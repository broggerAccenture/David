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https://ts.accenture.com/sites/ICIRetracer/Shared Documents/Test/Flexfilter/David/"/>
    </mc:Choice>
  </mc:AlternateContent>
  <xr:revisionPtr revIDLastSave="0" documentId="10_ncr:100000_{3D99171C-8440-4668-B11A-159853854C6E}" xr6:coauthVersionLast="31" xr6:coauthVersionMax="31" xr10:uidLastSave="{00000000-0000-0000-0000-000000000000}"/>
  <bookViews>
    <workbookView xWindow="0" yWindow="0" windowWidth="21876" windowHeight="11628" firstSheet="3" activeTab="3" xr2:uid="{F39DF46E-26D6-480E-83F3-5F6140E8400B}"/>
  </bookViews>
  <sheets>
    <sheet name="Krav-status" sheetId="16" r:id="rId1"/>
    <sheet name="Krav" sheetId="11" r:id="rId2"/>
    <sheet name="Copy" sheetId="17" r:id="rId3"/>
    <sheet name="FF - Test Design" sheetId="1" r:id="rId4"/>
    <sheet name="Errors" sheetId="15" r:id="rId5"/>
    <sheet name="Sheet2" sheetId="14" r:id="rId6"/>
    <sheet name="Sheet1" sheetId="13" r:id="rId7"/>
    <sheet name="Validering" sheetId="12"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s>
  <definedNames>
    <definedName name="_xlnm._FilterDatabase" localSheetId="3" hidden="1">'FF - Test Design'!$A$683:$AL$683</definedName>
    <definedName name="kravTable">Table1[#All]</definedName>
  </definedNames>
  <calcPr calcId="179017"/>
  <pivotCaches>
    <pivotCache cacheId="0" r:id="rId1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86" i="1" l="1"/>
  <c r="E1562" i="1" l="1"/>
  <c r="C1728" i="1" l="1"/>
  <c r="E2226" i="1"/>
  <c r="C2226" i="1"/>
  <c r="E2225" i="1"/>
  <c r="C2225" i="1"/>
  <c r="E2224" i="1"/>
  <c r="C2224" i="1"/>
  <c r="E2223" i="1"/>
  <c r="C2223" i="1"/>
  <c r="E2222" i="1"/>
  <c r="C2222" i="1"/>
  <c r="E2221" i="1"/>
  <c r="C2221" i="1"/>
  <c r="E2220" i="1"/>
  <c r="C2220" i="1"/>
  <c r="E2219" i="1"/>
  <c r="C2219" i="1"/>
  <c r="E2218" i="1"/>
  <c r="C2218" i="1"/>
  <c r="E2217" i="1"/>
  <c r="C2217" i="1"/>
  <c r="E2216" i="1"/>
  <c r="C2216" i="1"/>
  <c r="E2215" i="1"/>
  <c r="C2215" i="1"/>
  <c r="E2214" i="1"/>
  <c r="C2214" i="1"/>
  <c r="E2213" i="1"/>
  <c r="C2213" i="1"/>
  <c r="E2212" i="1"/>
  <c r="C2212" i="1"/>
  <c r="E2211" i="1"/>
  <c r="C2211" i="1"/>
  <c r="E2210" i="1"/>
  <c r="C2210" i="1"/>
  <c r="E2209" i="1"/>
  <c r="C2209" i="1"/>
  <c r="E2208" i="1"/>
  <c r="C2208" i="1"/>
  <c r="E2207" i="1"/>
  <c r="C2207" i="1"/>
  <c r="E1958" i="1"/>
  <c r="C1958" i="1"/>
  <c r="E1957" i="1"/>
  <c r="C1957" i="1"/>
  <c r="E1956" i="1"/>
  <c r="C1956" i="1"/>
  <c r="E1955" i="1"/>
  <c r="C1955" i="1"/>
  <c r="E1954" i="1"/>
  <c r="C1954" i="1"/>
  <c r="E1953" i="1"/>
  <c r="C1953" i="1"/>
  <c r="E1952" i="1"/>
  <c r="C1952" i="1"/>
  <c r="E1951" i="1"/>
  <c r="C1951" i="1"/>
  <c r="E1950" i="1"/>
  <c r="C1950" i="1"/>
  <c r="E1949" i="1"/>
  <c r="C1949" i="1"/>
  <c r="E1948" i="1"/>
  <c r="C1948" i="1"/>
  <c r="E1947" i="1"/>
  <c r="C1947" i="1"/>
  <c r="E1946" i="1"/>
  <c r="C1946" i="1"/>
  <c r="E1945" i="1"/>
  <c r="C1945" i="1"/>
  <c r="E1944" i="1"/>
  <c r="C1944" i="1"/>
  <c r="E1943" i="1"/>
  <c r="C1943" i="1"/>
  <c r="E1942" i="1"/>
  <c r="C1942" i="1"/>
  <c r="E1941" i="1"/>
  <c r="C1941" i="1"/>
  <c r="E1940" i="1"/>
  <c r="C1940" i="1"/>
  <c r="E1939" i="1"/>
  <c r="C1939" i="1"/>
  <c r="E1747" i="1"/>
  <c r="C1747" i="1"/>
  <c r="E1746" i="1"/>
  <c r="C1746" i="1"/>
  <c r="E1745" i="1"/>
  <c r="C1745" i="1"/>
  <c r="E1744" i="1"/>
  <c r="C1744" i="1"/>
  <c r="E1743" i="1"/>
  <c r="C1743" i="1"/>
  <c r="E1742" i="1"/>
  <c r="C1742" i="1"/>
  <c r="E1741" i="1"/>
  <c r="C1741" i="1"/>
  <c r="E1740" i="1"/>
  <c r="C1740" i="1"/>
  <c r="E1739" i="1"/>
  <c r="C1739" i="1"/>
  <c r="E1738" i="1"/>
  <c r="C1738" i="1"/>
  <c r="E1737" i="1"/>
  <c r="C1737" i="1"/>
  <c r="E1736" i="1"/>
  <c r="C1736" i="1"/>
  <c r="E1735" i="1"/>
  <c r="C1735" i="1"/>
  <c r="E1734" i="1"/>
  <c r="C1734" i="1"/>
  <c r="E1733" i="1"/>
  <c r="C1733" i="1"/>
  <c r="E1732" i="1"/>
  <c r="C1732" i="1"/>
  <c r="E1731" i="1"/>
  <c r="C1731" i="1"/>
  <c r="E1730" i="1"/>
  <c r="C1730" i="1"/>
  <c r="E1729" i="1"/>
  <c r="C1729" i="1"/>
  <c r="E1728" i="1"/>
  <c r="C1502" i="1"/>
  <c r="E1521" i="1"/>
  <c r="C1521" i="1"/>
  <c r="E1520" i="1"/>
  <c r="C1520" i="1"/>
  <c r="E1519" i="1"/>
  <c r="C1519" i="1"/>
  <c r="E1518" i="1"/>
  <c r="C1518" i="1"/>
  <c r="E1517" i="1"/>
  <c r="C1517" i="1"/>
  <c r="E1516" i="1"/>
  <c r="C1516" i="1"/>
  <c r="E1515" i="1"/>
  <c r="C1515" i="1"/>
  <c r="E1514" i="1"/>
  <c r="C1514" i="1"/>
  <c r="E1513" i="1"/>
  <c r="C1513" i="1"/>
  <c r="E1512" i="1"/>
  <c r="C1512" i="1"/>
  <c r="E1511" i="1"/>
  <c r="C1511" i="1"/>
  <c r="E1510" i="1"/>
  <c r="C1510" i="1"/>
  <c r="E1509" i="1"/>
  <c r="C1509" i="1"/>
  <c r="E1508" i="1"/>
  <c r="C1508" i="1"/>
  <c r="E1507" i="1"/>
  <c r="C1507" i="1"/>
  <c r="E1506" i="1"/>
  <c r="C1506" i="1"/>
  <c r="E1505" i="1"/>
  <c r="C1505" i="1"/>
  <c r="E1504" i="1"/>
  <c r="C1504" i="1"/>
  <c r="E1503" i="1"/>
  <c r="C1503" i="1"/>
  <c r="E1502" i="1"/>
  <c r="E1272" i="1" l="1"/>
  <c r="C1272" i="1"/>
  <c r="E1271" i="1"/>
  <c r="C1271" i="1"/>
  <c r="E1270" i="1"/>
  <c r="C1270" i="1"/>
  <c r="E1269" i="1"/>
  <c r="C1269" i="1"/>
  <c r="E1268" i="1"/>
  <c r="C1268" i="1"/>
  <c r="E1267" i="1"/>
  <c r="C1267" i="1"/>
  <c r="E1266" i="1"/>
  <c r="C1266" i="1"/>
  <c r="E1265" i="1"/>
  <c r="C1265" i="1"/>
  <c r="E1264" i="1"/>
  <c r="C1264" i="1"/>
  <c r="E1263" i="1"/>
  <c r="C1263" i="1"/>
  <c r="E1262" i="1"/>
  <c r="C1262" i="1"/>
  <c r="E1261" i="1"/>
  <c r="C1261" i="1"/>
  <c r="E1260" i="1"/>
  <c r="C1260" i="1"/>
  <c r="E1259" i="1"/>
  <c r="C1259" i="1"/>
  <c r="E1258" i="1"/>
  <c r="C1258" i="1"/>
  <c r="E1257" i="1"/>
  <c r="C1257" i="1"/>
  <c r="E1256" i="1"/>
  <c r="C1256" i="1"/>
  <c r="E1255" i="1"/>
  <c r="C1255" i="1"/>
  <c r="E1254" i="1"/>
  <c r="C1254" i="1"/>
  <c r="E1253" i="1"/>
  <c r="C1253" i="1"/>
  <c r="C684" i="1" l="1"/>
  <c r="E684" i="1"/>
  <c r="C685" i="1"/>
  <c r="E685" i="1"/>
  <c r="C686" i="1"/>
  <c r="E686" i="1"/>
  <c r="C687" i="1"/>
  <c r="E687" i="1"/>
  <c r="C688" i="1"/>
  <c r="E688" i="1"/>
  <c r="C689" i="1"/>
  <c r="E689" i="1"/>
  <c r="C690" i="1"/>
  <c r="E690" i="1"/>
  <c r="C691" i="1"/>
  <c r="E691" i="1"/>
  <c r="C692" i="1"/>
  <c r="E692" i="1"/>
  <c r="C693" i="1"/>
  <c r="E693" i="1"/>
  <c r="C694" i="1"/>
  <c r="E694" i="1"/>
  <c r="C695" i="1"/>
  <c r="E695" i="1"/>
  <c r="C696" i="1"/>
  <c r="E696" i="1"/>
  <c r="C697" i="1"/>
  <c r="E697" i="1"/>
  <c r="C698" i="1"/>
  <c r="E698" i="1"/>
  <c r="C699" i="1"/>
  <c r="E699" i="1"/>
  <c r="C700" i="1"/>
  <c r="E700" i="1"/>
  <c r="C701" i="1"/>
  <c r="E701" i="1"/>
  <c r="C702" i="1"/>
  <c r="E702" i="1"/>
  <c r="C703" i="1"/>
  <c r="E703" i="1"/>
  <c r="C704" i="1"/>
  <c r="E704" i="1"/>
  <c r="C705" i="1"/>
  <c r="E705" i="1"/>
  <c r="C706" i="1"/>
  <c r="E706" i="1"/>
  <c r="C707" i="1"/>
  <c r="E707" i="1"/>
  <c r="C708" i="1"/>
  <c r="E708" i="1"/>
  <c r="C709" i="1"/>
  <c r="E709" i="1"/>
  <c r="C710" i="1"/>
  <c r="E710" i="1"/>
  <c r="C711" i="1"/>
  <c r="E711" i="1"/>
  <c r="C712" i="1"/>
  <c r="E712" i="1"/>
  <c r="C713" i="1"/>
  <c r="E713" i="1"/>
  <c r="C714" i="1"/>
  <c r="E714" i="1"/>
  <c r="C715" i="1"/>
  <c r="E715" i="1"/>
  <c r="C716" i="1"/>
  <c r="E716" i="1"/>
  <c r="C717" i="1"/>
  <c r="E717" i="1"/>
  <c r="C718" i="1"/>
  <c r="E718" i="1"/>
  <c r="C719" i="1"/>
  <c r="E719" i="1"/>
  <c r="C720" i="1"/>
  <c r="E720" i="1"/>
  <c r="C721" i="1"/>
  <c r="E721" i="1"/>
  <c r="C722" i="1"/>
  <c r="E722" i="1"/>
  <c r="C723" i="1"/>
  <c r="E723" i="1"/>
  <c r="C724" i="1"/>
  <c r="E724" i="1"/>
  <c r="C725" i="1"/>
  <c r="E725" i="1"/>
  <c r="C726" i="1"/>
  <c r="E726" i="1"/>
  <c r="C727" i="1"/>
  <c r="E727" i="1"/>
  <c r="C728" i="1"/>
  <c r="E728" i="1"/>
  <c r="C729" i="1"/>
  <c r="E729" i="1"/>
  <c r="C730" i="1"/>
  <c r="E730" i="1"/>
  <c r="C731" i="1"/>
  <c r="E731" i="1"/>
  <c r="C732" i="1"/>
  <c r="E732" i="1"/>
  <c r="C733" i="1"/>
  <c r="E733" i="1"/>
  <c r="C734" i="1"/>
  <c r="E734" i="1"/>
  <c r="C735" i="1"/>
  <c r="E735" i="1"/>
  <c r="C736" i="1"/>
  <c r="E736" i="1"/>
  <c r="C737" i="1"/>
  <c r="E737" i="1"/>
  <c r="C738" i="1"/>
  <c r="E738" i="1"/>
  <c r="C739" i="1"/>
  <c r="E739" i="1"/>
  <c r="C740" i="1"/>
  <c r="E740" i="1"/>
  <c r="C741" i="1"/>
  <c r="E741" i="1"/>
  <c r="C742" i="1"/>
  <c r="E742" i="1"/>
  <c r="C743" i="1"/>
  <c r="E743" i="1"/>
  <c r="C744" i="1"/>
  <c r="E744" i="1"/>
  <c r="C745" i="1"/>
  <c r="E745" i="1"/>
  <c r="C746" i="1"/>
  <c r="E746" i="1"/>
  <c r="C747" i="1"/>
  <c r="E747" i="1"/>
  <c r="C748" i="1"/>
  <c r="E748" i="1"/>
  <c r="C749" i="1"/>
  <c r="E749" i="1"/>
  <c r="C750" i="1"/>
  <c r="E750" i="1"/>
  <c r="C751" i="1"/>
  <c r="E751" i="1"/>
  <c r="C752" i="1"/>
  <c r="E752" i="1"/>
  <c r="C753" i="1"/>
  <c r="E753" i="1"/>
  <c r="C754" i="1"/>
  <c r="E754" i="1"/>
  <c r="C755" i="1"/>
  <c r="E755" i="1"/>
  <c r="C756" i="1"/>
  <c r="E756" i="1"/>
  <c r="C757" i="1"/>
  <c r="E757" i="1"/>
  <c r="C758" i="1"/>
  <c r="E758" i="1"/>
  <c r="C759" i="1"/>
  <c r="E759" i="1"/>
  <c r="C760" i="1"/>
  <c r="E760" i="1"/>
  <c r="C761" i="1"/>
  <c r="E761" i="1"/>
  <c r="C762" i="1"/>
  <c r="E762" i="1"/>
  <c r="C763" i="1"/>
  <c r="E763" i="1"/>
  <c r="C764" i="1"/>
  <c r="E764" i="1"/>
  <c r="C765" i="1"/>
  <c r="E765" i="1"/>
  <c r="C766" i="1"/>
  <c r="E766" i="1"/>
  <c r="C767" i="1"/>
  <c r="E767" i="1"/>
  <c r="C768" i="1"/>
  <c r="E768" i="1"/>
  <c r="C769" i="1"/>
  <c r="E769" i="1"/>
  <c r="C770" i="1"/>
  <c r="E770" i="1"/>
  <c r="C771" i="1"/>
  <c r="E771" i="1"/>
  <c r="C772" i="1"/>
  <c r="E772" i="1"/>
  <c r="C773" i="1"/>
  <c r="E773" i="1"/>
  <c r="C774" i="1"/>
  <c r="E774" i="1"/>
  <c r="C775" i="1"/>
  <c r="E775" i="1"/>
  <c r="C776" i="1"/>
  <c r="E776" i="1"/>
  <c r="C777" i="1"/>
  <c r="E777" i="1"/>
  <c r="C778" i="1"/>
  <c r="E778" i="1"/>
  <c r="C779" i="1"/>
  <c r="E779" i="1"/>
  <c r="C780" i="1"/>
  <c r="E780" i="1"/>
  <c r="C781" i="1"/>
  <c r="E781" i="1"/>
  <c r="C782" i="1"/>
  <c r="E782" i="1"/>
  <c r="C783" i="1"/>
  <c r="E783" i="1"/>
  <c r="C784" i="1"/>
  <c r="E784" i="1"/>
  <c r="C785" i="1"/>
  <c r="E785" i="1"/>
  <c r="C786" i="1"/>
  <c r="E786" i="1"/>
  <c r="C787" i="1"/>
  <c r="E787" i="1"/>
  <c r="C788" i="1"/>
  <c r="E788" i="1"/>
  <c r="C789" i="1"/>
  <c r="E789" i="1"/>
  <c r="C790" i="1"/>
  <c r="E790" i="1"/>
  <c r="C791" i="1"/>
  <c r="E791" i="1"/>
  <c r="C792" i="1"/>
  <c r="E792" i="1"/>
  <c r="C793" i="1"/>
  <c r="E793" i="1"/>
  <c r="C794" i="1"/>
  <c r="E794" i="1"/>
  <c r="C795" i="1"/>
  <c r="E795" i="1"/>
  <c r="C796" i="1"/>
  <c r="E796" i="1"/>
  <c r="C797" i="1"/>
  <c r="E797" i="1"/>
  <c r="C798" i="1"/>
  <c r="E798" i="1"/>
  <c r="C799" i="1"/>
  <c r="E799" i="1"/>
  <c r="C800" i="1"/>
  <c r="E800" i="1"/>
  <c r="C801" i="1"/>
  <c r="E801" i="1"/>
  <c r="C802" i="1"/>
  <c r="E802" i="1"/>
  <c r="C803" i="1"/>
  <c r="E803" i="1"/>
  <c r="C804" i="1"/>
  <c r="E804" i="1"/>
  <c r="C805" i="1"/>
  <c r="E805" i="1"/>
  <c r="C806" i="1"/>
  <c r="E806" i="1"/>
  <c r="C807" i="1"/>
  <c r="E807" i="1"/>
  <c r="C808" i="1"/>
  <c r="E808" i="1"/>
  <c r="C809" i="1"/>
  <c r="E809" i="1"/>
  <c r="C810" i="1"/>
  <c r="E810" i="1"/>
  <c r="C811" i="1"/>
  <c r="E811" i="1"/>
  <c r="C812" i="1"/>
  <c r="E812" i="1"/>
  <c r="C813" i="1"/>
  <c r="E813" i="1"/>
  <c r="C814" i="1"/>
  <c r="E814" i="1"/>
  <c r="C815" i="1"/>
  <c r="E815" i="1"/>
  <c r="C816" i="1"/>
  <c r="E816" i="1"/>
  <c r="C817" i="1"/>
  <c r="E817" i="1"/>
  <c r="C818" i="1"/>
  <c r="E818" i="1"/>
  <c r="C819" i="1"/>
  <c r="E819" i="1"/>
  <c r="C820" i="1"/>
  <c r="E820" i="1"/>
  <c r="C821" i="1"/>
  <c r="E821" i="1"/>
  <c r="C822" i="1"/>
  <c r="E822" i="1"/>
  <c r="C823" i="1"/>
  <c r="E823" i="1"/>
  <c r="C824" i="1"/>
  <c r="E824" i="1"/>
  <c r="C825" i="1"/>
  <c r="E825" i="1"/>
  <c r="C826" i="1"/>
  <c r="E826" i="1"/>
  <c r="C827" i="1"/>
  <c r="E827" i="1"/>
  <c r="C828" i="1"/>
  <c r="E828" i="1"/>
  <c r="C829" i="1"/>
  <c r="E829" i="1"/>
  <c r="C830" i="1"/>
  <c r="E830" i="1"/>
  <c r="C831" i="1"/>
  <c r="E831" i="1"/>
  <c r="C832" i="1"/>
  <c r="E832" i="1"/>
  <c r="C833" i="1"/>
  <c r="E833" i="1"/>
  <c r="C834" i="1"/>
  <c r="E834" i="1"/>
  <c r="C835" i="1"/>
  <c r="E835" i="1"/>
  <c r="C836" i="1"/>
  <c r="E836" i="1"/>
  <c r="C837" i="1"/>
  <c r="E837" i="1"/>
  <c r="C838" i="1"/>
  <c r="E838" i="1"/>
  <c r="C839" i="1"/>
  <c r="E839" i="1"/>
  <c r="C840" i="1"/>
  <c r="E840" i="1"/>
  <c r="C841" i="1"/>
  <c r="E841" i="1"/>
  <c r="C842" i="1"/>
  <c r="E842" i="1"/>
  <c r="C843" i="1"/>
  <c r="E843" i="1"/>
  <c r="C844" i="1"/>
  <c r="E844" i="1"/>
  <c r="C845" i="1"/>
  <c r="E845" i="1"/>
  <c r="C846" i="1"/>
  <c r="E846" i="1"/>
  <c r="C847" i="1"/>
  <c r="E847" i="1"/>
  <c r="C848" i="1"/>
  <c r="E848" i="1"/>
  <c r="C849" i="1"/>
  <c r="E849" i="1"/>
  <c r="C850" i="1"/>
  <c r="E850" i="1"/>
  <c r="C851" i="1"/>
  <c r="E851" i="1"/>
  <c r="C852" i="1"/>
  <c r="E852" i="1"/>
  <c r="C853" i="1"/>
  <c r="E853" i="1"/>
  <c r="C854" i="1"/>
  <c r="E854" i="1"/>
  <c r="C855" i="1"/>
  <c r="E855" i="1"/>
  <c r="C856" i="1"/>
  <c r="E856" i="1"/>
  <c r="C857" i="1"/>
  <c r="E857" i="1"/>
  <c r="C858" i="1"/>
  <c r="E858" i="1"/>
  <c r="C859" i="1"/>
  <c r="E859" i="1"/>
  <c r="C860" i="1"/>
  <c r="E860" i="1"/>
  <c r="C861" i="1"/>
  <c r="E861" i="1"/>
  <c r="C862" i="1"/>
  <c r="E862" i="1"/>
  <c r="C863" i="1"/>
  <c r="E863" i="1"/>
  <c r="C864" i="1"/>
  <c r="E864" i="1"/>
  <c r="C865" i="1"/>
  <c r="E865" i="1"/>
  <c r="C866" i="1"/>
  <c r="E866" i="1"/>
  <c r="C867" i="1"/>
  <c r="E867" i="1"/>
  <c r="C868" i="1"/>
  <c r="E868" i="1"/>
  <c r="C869" i="1"/>
  <c r="E869" i="1"/>
  <c r="C870" i="1"/>
  <c r="E870" i="1"/>
  <c r="C871" i="1"/>
  <c r="E871" i="1"/>
  <c r="C872" i="1"/>
  <c r="E872" i="1"/>
  <c r="C873" i="1"/>
  <c r="E873" i="1"/>
  <c r="C874" i="1"/>
  <c r="E874" i="1"/>
  <c r="C875" i="1"/>
  <c r="E875" i="1"/>
  <c r="C876" i="1"/>
  <c r="E876" i="1"/>
  <c r="C877" i="1"/>
  <c r="E877" i="1"/>
  <c r="C878" i="1"/>
  <c r="E878" i="1"/>
  <c r="C879" i="1"/>
  <c r="E879" i="1"/>
  <c r="C880" i="1"/>
  <c r="E880" i="1"/>
  <c r="C881" i="1"/>
  <c r="E881" i="1"/>
  <c r="C882" i="1"/>
  <c r="E882" i="1"/>
  <c r="C883" i="1"/>
  <c r="E883" i="1"/>
  <c r="C884" i="1"/>
  <c r="E884" i="1"/>
  <c r="C885" i="1"/>
  <c r="E885" i="1"/>
  <c r="C886" i="1"/>
  <c r="E886" i="1"/>
  <c r="C887" i="1"/>
  <c r="E887" i="1"/>
  <c r="C888" i="1"/>
  <c r="E888" i="1"/>
  <c r="C889" i="1"/>
  <c r="E889" i="1"/>
  <c r="C890" i="1"/>
  <c r="E890" i="1"/>
  <c r="C891" i="1"/>
  <c r="E891" i="1"/>
  <c r="C892" i="1"/>
  <c r="E892" i="1"/>
  <c r="C893" i="1"/>
  <c r="E893" i="1"/>
  <c r="C894" i="1"/>
  <c r="E894" i="1"/>
  <c r="C895" i="1"/>
  <c r="E895" i="1"/>
  <c r="C896" i="1"/>
  <c r="E896" i="1"/>
  <c r="C897" i="1"/>
  <c r="E897" i="1"/>
  <c r="C898" i="1"/>
  <c r="E898" i="1"/>
  <c r="C899" i="1"/>
  <c r="E899" i="1"/>
  <c r="C900" i="1"/>
  <c r="E900" i="1"/>
  <c r="C901" i="1"/>
  <c r="E901" i="1"/>
  <c r="C902" i="1"/>
  <c r="E902" i="1"/>
  <c r="C903" i="1"/>
  <c r="E903" i="1"/>
  <c r="C904" i="1"/>
  <c r="E904" i="1"/>
  <c r="C905" i="1"/>
  <c r="E905" i="1"/>
  <c r="C906" i="1"/>
  <c r="E906" i="1"/>
  <c r="C907" i="1"/>
  <c r="E907" i="1"/>
  <c r="C908" i="1"/>
  <c r="E908" i="1"/>
  <c r="C909" i="1"/>
  <c r="E909" i="1"/>
  <c r="C910" i="1"/>
  <c r="E910" i="1"/>
  <c r="C911" i="1"/>
  <c r="E911" i="1"/>
  <c r="C912" i="1"/>
  <c r="E912" i="1"/>
  <c r="C913" i="1"/>
  <c r="E913" i="1"/>
  <c r="C914" i="1"/>
  <c r="E914" i="1"/>
  <c r="C915" i="1"/>
  <c r="E915" i="1"/>
  <c r="C916" i="1"/>
  <c r="E916" i="1"/>
  <c r="C917" i="1"/>
  <c r="E917" i="1"/>
  <c r="C918" i="1"/>
  <c r="E918" i="1"/>
  <c r="C919" i="1"/>
  <c r="E919" i="1"/>
  <c r="C920" i="1"/>
  <c r="E920" i="1"/>
  <c r="C921" i="1"/>
  <c r="E921" i="1"/>
  <c r="C922" i="1"/>
  <c r="E922" i="1"/>
  <c r="C923" i="1"/>
  <c r="E923" i="1"/>
  <c r="C924" i="1"/>
  <c r="E924" i="1"/>
  <c r="C925" i="1"/>
  <c r="E925" i="1"/>
  <c r="C926" i="1"/>
  <c r="E926" i="1"/>
  <c r="C927" i="1"/>
  <c r="E927" i="1"/>
  <c r="C928" i="1"/>
  <c r="E928" i="1"/>
  <c r="C929" i="1"/>
  <c r="E929" i="1"/>
  <c r="C930" i="1"/>
  <c r="E930" i="1"/>
  <c r="C931" i="1"/>
  <c r="E931" i="1"/>
  <c r="C932" i="1"/>
  <c r="E932" i="1"/>
  <c r="C933" i="1"/>
  <c r="E933" i="1"/>
  <c r="C934" i="1"/>
  <c r="E934" i="1"/>
  <c r="C935" i="1"/>
  <c r="E935" i="1"/>
  <c r="C936" i="1"/>
  <c r="E936" i="1"/>
  <c r="C937" i="1"/>
  <c r="E937" i="1"/>
  <c r="C938" i="1"/>
  <c r="E938" i="1"/>
  <c r="C939" i="1"/>
  <c r="E939" i="1"/>
  <c r="C940" i="1"/>
  <c r="E940" i="1"/>
  <c r="C941" i="1"/>
  <c r="E941" i="1"/>
  <c r="C942" i="1"/>
  <c r="E942" i="1"/>
  <c r="C943" i="1"/>
  <c r="E943" i="1"/>
  <c r="C944" i="1"/>
  <c r="E944" i="1"/>
  <c r="C945" i="1"/>
  <c r="E945" i="1"/>
  <c r="C946" i="1"/>
  <c r="E946" i="1"/>
  <c r="C947" i="1"/>
  <c r="E947" i="1"/>
  <c r="C948" i="1"/>
  <c r="E948" i="1"/>
  <c r="C949" i="1"/>
  <c r="E949" i="1"/>
  <c r="C950" i="1"/>
  <c r="E950" i="1"/>
  <c r="C951" i="1"/>
  <c r="E951" i="1"/>
  <c r="C952" i="1"/>
  <c r="E952" i="1"/>
  <c r="C953" i="1"/>
  <c r="E953" i="1"/>
  <c r="C954" i="1"/>
  <c r="E954" i="1"/>
  <c r="C955" i="1"/>
  <c r="E955" i="1"/>
  <c r="C956" i="1"/>
  <c r="E956" i="1"/>
  <c r="C957" i="1"/>
  <c r="E957" i="1"/>
  <c r="C958" i="1"/>
  <c r="E958" i="1"/>
  <c r="C959" i="1"/>
  <c r="E959" i="1"/>
  <c r="C960" i="1"/>
  <c r="E960" i="1"/>
  <c r="C961" i="1"/>
  <c r="E961" i="1"/>
  <c r="C962" i="1"/>
  <c r="E962" i="1"/>
  <c r="C963" i="1"/>
  <c r="E963" i="1"/>
  <c r="C964" i="1"/>
  <c r="E964" i="1"/>
  <c r="C965" i="1"/>
  <c r="E965" i="1"/>
  <c r="C966" i="1"/>
  <c r="E966" i="1"/>
  <c r="C967" i="1"/>
  <c r="E967" i="1"/>
  <c r="C968" i="1"/>
  <c r="E968" i="1"/>
  <c r="C969" i="1"/>
  <c r="E969" i="1"/>
  <c r="C970" i="1"/>
  <c r="E970" i="1"/>
  <c r="C971" i="1"/>
  <c r="E971" i="1"/>
  <c r="C972" i="1"/>
  <c r="E972" i="1"/>
  <c r="C973" i="1"/>
  <c r="E973" i="1"/>
  <c r="C974" i="1"/>
  <c r="E974" i="1"/>
  <c r="C975" i="1"/>
  <c r="E975" i="1"/>
  <c r="C976" i="1"/>
  <c r="E976" i="1"/>
  <c r="C977" i="1"/>
  <c r="E977" i="1"/>
  <c r="C978" i="1"/>
  <c r="E978" i="1"/>
  <c r="C979" i="1"/>
  <c r="E979" i="1"/>
  <c r="C980" i="1"/>
  <c r="E980" i="1"/>
  <c r="C981" i="1"/>
  <c r="E981" i="1"/>
  <c r="C982" i="1"/>
  <c r="E982" i="1"/>
  <c r="C983" i="1"/>
  <c r="E983" i="1"/>
  <c r="C984" i="1"/>
  <c r="E984" i="1"/>
  <c r="C985" i="1"/>
  <c r="E985" i="1"/>
  <c r="C986" i="1"/>
  <c r="E986" i="1"/>
  <c r="C987" i="1"/>
  <c r="E987" i="1"/>
  <c r="C2600" i="1" l="1"/>
  <c r="C2599" i="1"/>
  <c r="C2598" i="1"/>
  <c r="C2597" i="1"/>
  <c r="C2596" i="1"/>
  <c r="C2595" i="1"/>
  <c r="C2594" i="1"/>
  <c r="C2593" i="1"/>
  <c r="C2592" i="1"/>
  <c r="C2591" i="1"/>
  <c r="C2590" i="1"/>
  <c r="C2589" i="1"/>
  <c r="E2588" i="1"/>
  <c r="C2588" i="1"/>
  <c r="E2587" i="1"/>
  <c r="C2587" i="1"/>
  <c r="E2586" i="1"/>
  <c r="C2586" i="1"/>
  <c r="E2585" i="1"/>
  <c r="C2585" i="1"/>
  <c r="E2584" i="1"/>
  <c r="C2584" i="1"/>
  <c r="E2583" i="1"/>
  <c r="C2583" i="1"/>
  <c r="E2582" i="1"/>
  <c r="C2582" i="1"/>
  <c r="E2581" i="1"/>
  <c r="C2581" i="1"/>
  <c r="E2580" i="1"/>
  <c r="C2580" i="1"/>
  <c r="E2579" i="1"/>
  <c r="C2579" i="1"/>
  <c r="E2578" i="1"/>
  <c r="C2578" i="1"/>
  <c r="E2577" i="1"/>
  <c r="C2577" i="1"/>
  <c r="E2576" i="1"/>
  <c r="C2576" i="1"/>
  <c r="E2575" i="1"/>
  <c r="C2575" i="1"/>
  <c r="C2574" i="1"/>
  <c r="C2573" i="1"/>
  <c r="C2572" i="1"/>
  <c r="C2571" i="1"/>
  <c r="C2570" i="1"/>
  <c r="C2569" i="1"/>
  <c r="C2568" i="1"/>
  <c r="C2567" i="1"/>
  <c r="C2566" i="1"/>
  <c r="C2565" i="1"/>
  <c r="C2564" i="1"/>
  <c r="C2563" i="1"/>
  <c r="C2562" i="1"/>
  <c r="C2561" i="1"/>
  <c r="C2560" i="1"/>
  <c r="C2559" i="1"/>
  <c r="C2558" i="1"/>
  <c r="C2557" i="1"/>
  <c r="C2556" i="1"/>
  <c r="C2555" i="1"/>
  <c r="C2554" i="1"/>
  <c r="C2550" i="1"/>
  <c r="C2549" i="1"/>
  <c r="C2548" i="1"/>
  <c r="C2547" i="1"/>
  <c r="C2546" i="1"/>
  <c r="C2545" i="1"/>
  <c r="C2544" i="1"/>
  <c r="C2543" i="1"/>
  <c r="C2542" i="1"/>
  <c r="C2541" i="1"/>
  <c r="C2540" i="1"/>
  <c r="C2539" i="1"/>
  <c r="E2538" i="1"/>
  <c r="C2538" i="1"/>
  <c r="E2537" i="1"/>
  <c r="C2537" i="1"/>
  <c r="E2536" i="1"/>
  <c r="C2536" i="1"/>
  <c r="E2535" i="1"/>
  <c r="C2535" i="1"/>
  <c r="E2534" i="1"/>
  <c r="C2534" i="1"/>
  <c r="E2533" i="1"/>
  <c r="C2533" i="1"/>
  <c r="E2532" i="1"/>
  <c r="C2532" i="1"/>
  <c r="E2531" i="1"/>
  <c r="C2531" i="1"/>
  <c r="E2530" i="1"/>
  <c r="C2530" i="1"/>
  <c r="E2529" i="1"/>
  <c r="C2529" i="1"/>
  <c r="E2528" i="1"/>
  <c r="C2528" i="1"/>
  <c r="E2527" i="1"/>
  <c r="C2527" i="1"/>
  <c r="E2526" i="1"/>
  <c r="C2526" i="1"/>
  <c r="E2525" i="1"/>
  <c r="C2525" i="1"/>
  <c r="C2524" i="1"/>
  <c r="C2523" i="1"/>
  <c r="C2522" i="1"/>
  <c r="C2521" i="1"/>
  <c r="C2520" i="1"/>
  <c r="C2519" i="1"/>
  <c r="C2518" i="1"/>
  <c r="C2517" i="1"/>
  <c r="C2516" i="1"/>
  <c r="C2515" i="1"/>
  <c r="C2514" i="1"/>
  <c r="C2513" i="1"/>
  <c r="C2512" i="1"/>
  <c r="C2511" i="1"/>
  <c r="C2510" i="1"/>
  <c r="C2509" i="1"/>
  <c r="C2508" i="1"/>
  <c r="C2507" i="1"/>
  <c r="C2506" i="1"/>
  <c r="C2505" i="1"/>
  <c r="C2504" i="1"/>
  <c r="C2497" i="1"/>
  <c r="C2496" i="1"/>
  <c r="C2495" i="1"/>
  <c r="C2494" i="1"/>
  <c r="C2493" i="1"/>
  <c r="C2492" i="1"/>
  <c r="C2491" i="1"/>
  <c r="C2490" i="1"/>
  <c r="C2489" i="1"/>
  <c r="C2488" i="1"/>
  <c r="C2487" i="1"/>
  <c r="C2485" i="1"/>
  <c r="E2484" i="1"/>
  <c r="C2484" i="1"/>
  <c r="E2483" i="1"/>
  <c r="C2483" i="1"/>
  <c r="E2482" i="1"/>
  <c r="C2482" i="1"/>
  <c r="E2481" i="1"/>
  <c r="C2481" i="1"/>
  <c r="E2480" i="1"/>
  <c r="C2480" i="1"/>
  <c r="E2479" i="1"/>
  <c r="C2479" i="1"/>
  <c r="E2478" i="1"/>
  <c r="C2478" i="1"/>
  <c r="E2477" i="1"/>
  <c r="C2477" i="1"/>
  <c r="E2476" i="1"/>
  <c r="C2476" i="1"/>
  <c r="E2475" i="1"/>
  <c r="C2475" i="1"/>
  <c r="E2474" i="1"/>
  <c r="C2474" i="1"/>
  <c r="E2473" i="1"/>
  <c r="C2473" i="1"/>
  <c r="E2472" i="1"/>
  <c r="C2472" i="1"/>
  <c r="E2471" i="1"/>
  <c r="C2471" i="1"/>
  <c r="C2470" i="1"/>
  <c r="C2469" i="1"/>
  <c r="C2468" i="1"/>
  <c r="C2467" i="1"/>
  <c r="C2466" i="1"/>
  <c r="C2465" i="1"/>
  <c r="C2464" i="1"/>
  <c r="C2463" i="1"/>
  <c r="C2462" i="1"/>
  <c r="C2461" i="1"/>
  <c r="C2460" i="1"/>
  <c r="C2459" i="1"/>
  <c r="C2458" i="1"/>
  <c r="C2457" i="1"/>
  <c r="C2456" i="1"/>
  <c r="C2455" i="1"/>
  <c r="C2454" i="1"/>
  <c r="C2453" i="1"/>
  <c r="C2452" i="1"/>
  <c r="C2451" i="1"/>
  <c r="C2450" i="1"/>
  <c r="C2446" i="1"/>
  <c r="C2445" i="1"/>
  <c r="C2444" i="1"/>
  <c r="C2443" i="1"/>
  <c r="C2442" i="1"/>
  <c r="C2441" i="1"/>
  <c r="C2440" i="1"/>
  <c r="C2439" i="1"/>
  <c r="C2438" i="1"/>
  <c r="C2437" i="1"/>
  <c r="C2436" i="1"/>
  <c r="C2435" i="1"/>
  <c r="E2434" i="1"/>
  <c r="C2434" i="1"/>
  <c r="E2433" i="1"/>
  <c r="C2433" i="1"/>
  <c r="E2432" i="1"/>
  <c r="C2432" i="1"/>
  <c r="E2431" i="1"/>
  <c r="C2431" i="1"/>
  <c r="E2430" i="1"/>
  <c r="C2430" i="1"/>
  <c r="E2429" i="1"/>
  <c r="C2429" i="1"/>
  <c r="E2428" i="1"/>
  <c r="C2428" i="1"/>
  <c r="E2427" i="1"/>
  <c r="C2427" i="1"/>
  <c r="E2426" i="1"/>
  <c r="C2426" i="1"/>
  <c r="E2425" i="1"/>
  <c r="C2425" i="1"/>
  <c r="E2424" i="1"/>
  <c r="C2424" i="1"/>
  <c r="E2423" i="1"/>
  <c r="C2423" i="1"/>
  <c r="E2422" i="1"/>
  <c r="C2422" i="1"/>
  <c r="E2421" i="1"/>
  <c r="C2421" i="1"/>
  <c r="C2420" i="1"/>
  <c r="C2419" i="1"/>
  <c r="C2418" i="1"/>
  <c r="C2417" i="1"/>
  <c r="C2416" i="1"/>
  <c r="C2415" i="1"/>
  <c r="C2414" i="1"/>
  <c r="C2413" i="1"/>
  <c r="C2412" i="1"/>
  <c r="C2411" i="1"/>
  <c r="C2410" i="1"/>
  <c r="C2409" i="1"/>
  <c r="C2408" i="1"/>
  <c r="C2407" i="1"/>
  <c r="C2406" i="1"/>
  <c r="C2405" i="1"/>
  <c r="C2404" i="1"/>
  <c r="C2403" i="1"/>
  <c r="C2402" i="1"/>
  <c r="C2401" i="1"/>
  <c r="C2400" i="1"/>
  <c r="E2288" i="1"/>
  <c r="E2283" i="1"/>
  <c r="C2351" i="1" l="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50" i="1" l="1"/>
  <c r="C2349" i="1"/>
  <c r="E2383" i="1" l="1"/>
  <c r="E2382" i="1"/>
  <c r="E2381" i="1"/>
  <c r="E2380" i="1"/>
  <c r="E2379" i="1"/>
  <c r="E2378" i="1"/>
  <c r="E2377" i="1"/>
  <c r="E2376" i="1"/>
  <c r="E2374" i="1"/>
  <c r="E2373" i="1"/>
  <c r="E2371" i="1"/>
  <c r="F611" i="11" l="1"/>
  <c r="F599" i="11"/>
  <c r="E2375" i="1"/>
  <c r="E2372" i="1"/>
  <c r="E2370" i="1"/>
  <c r="E2345" i="1" l="1"/>
  <c r="E2344" i="1"/>
  <c r="E2343" i="1"/>
  <c r="E2342" i="1"/>
  <c r="E2341" i="1"/>
  <c r="E2340" i="1"/>
  <c r="E2339" i="1"/>
  <c r="E2336" i="1"/>
  <c r="E2335" i="1"/>
  <c r="E2334" i="1"/>
  <c r="E2333" i="1"/>
  <c r="E2332" i="1"/>
  <c r="E2331" i="1"/>
  <c r="E2330" i="1"/>
  <c r="E2329" i="1"/>
  <c r="E2324" i="1"/>
  <c r="E2323" i="1"/>
  <c r="E2322" i="1"/>
  <c r="E2321" i="1"/>
  <c r="E2320" i="1"/>
  <c r="E2319" i="1"/>
  <c r="E2318" i="1"/>
  <c r="E2315" i="1"/>
  <c r="E2314" i="1"/>
  <c r="E2313" i="1"/>
  <c r="E2312" i="1"/>
  <c r="E2311" i="1"/>
  <c r="E2310" i="1"/>
  <c r="E2309" i="1"/>
  <c r="E2306" i="1"/>
  <c r="E2305" i="1"/>
  <c r="E2304" i="1"/>
  <c r="E2303" i="1"/>
  <c r="E2302" i="1"/>
  <c r="E2301" i="1"/>
  <c r="E2300" i="1"/>
  <c r="E2299" i="1"/>
  <c r="E2296" i="1"/>
  <c r="E2295" i="1"/>
  <c r="E2294" i="1"/>
  <c r="E2293" i="1"/>
  <c r="E2292" i="1"/>
  <c r="E2291" i="1"/>
  <c r="E2290" i="1"/>
  <c r="E2289" i="1"/>
  <c r="E2287" i="1"/>
  <c r="E2286" i="1"/>
  <c r="E2285" i="1"/>
  <c r="E2284" i="1"/>
  <c r="E2282" i="1"/>
  <c r="E2281" i="1"/>
  <c r="E2280" i="1"/>
  <c r="E2279" i="1"/>
  <c r="E2278" i="1"/>
  <c r="E2277" i="1"/>
  <c r="E2276" i="1"/>
  <c r="E2275" i="1"/>
  <c r="E2274" i="1"/>
  <c r="E2273" i="1"/>
  <c r="E2272" i="1"/>
  <c r="E2271" i="1"/>
  <c r="E2270" i="1"/>
  <c r="E2269" i="1"/>
  <c r="E2268" i="1"/>
  <c r="E2267" i="1"/>
  <c r="E2266" i="1"/>
  <c r="E2265" i="1"/>
  <c r="E2264" i="1"/>
  <c r="E2263" i="1"/>
  <c r="E2262" i="1"/>
  <c r="E2261" i="1"/>
  <c r="E2260" i="1"/>
  <c r="E2259" i="1"/>
  <c r="E2258" i="1"/>
  <c r="E2257" i="1"/>
  <c r="E2256" i="1"/>
  <c r="E2255" i="1"/>
  <c r="E2254" i="1"/>
  <c r="E2253" i="1"/>
  <c r="E2252" i="1"/>
  <c r="E2251" i="1"/>
  <c r="E2250" i="1"/>
  <c r="E2249" i="1"/>
  <c r="E2248" i="1"/>
  <c r="E2247" i="1"/>
  <c r="E2246" i="1"/>
  <c r="E2245" i="1"/>
  <c r="E2242" i="1"/>
  <c r="E2241" i="1"/>
  <c r="E2240" i="1"/>
  <c r="E2239" i="1"/>
  <c r="E2238" i="1"/>
  <c r="E2237" i="1"/>
  <c r="E2236" i="1"/>
  <c r="E2235" i="1"/>
  <c r="E2234" i="1"/>
  <c r="E2233" i="1"/>
  <c r="E2232" i="1"/>
  <c r="E2231" i="1"/>
  <c r="E2206" i="1"/>
  <c r="E2205" i="1"/>
  <c r="E2204" i="1"/>
  <c r="E2203" i="1"/>
  <c r="E2202" i="1"/>
  <c r="E2201" i="1"/>
  <c r="E2200" i="1"/>
  <c r="E2199" i="1"/>
  <c r="E2198" i="1"/>
  <c r="E2197" i="1"/>
  <c r="E2196" i="1"/>
  <c r="E2195" i="1"/>
  <c r="E2194" i="1"/>
  <c r="E2193" i="1"/>
  <c r="E2192" i="1"/>
  <c r="E2191" i="1"/>
  <c r="E2190" i="1"/>
  <c r="E2189" i="1"/>
  <c r="E2188" i="1"/>
  <c r="E2187" i="1"/>
  <c r="E2186" i="1"/>
  <c r="E2185" i="1"/>
  <c r="E2184" i="1"/>
  <c r="E2183" i="1"/>
  <c r="E2182" i="1"/>
  <c r="E2181" i="1"/>
  <c r="E2180" i="1"/>
  <c r="E2179" i="1"/>
  <c r="E2178" i="1"/>
  <c r="E2177" i="1"/>
  <c r="E2176" i="1"/>
  <c r="E2175" i="1"/>
  <c r="E2174" i="1"/>
  <c r="E2173" i="1"/>
  <c r="E2172" i="1"/>
  <c r="E2171" i="1"/>
  <c r="E2170" i="1"/>
  <c r="E2169" i="1"/>
  <c r="E2168" i="1"/>
  <c r="E2167" i="1"/>
  <c r="E2166" i="1"/>
  <c r="E2165" i="1"/>
  <c r="E2164" i="1"/>
  <c r="E2163" i="1"/>
  <c r="E2162" i="1"/>
  <c r="E2161" i="1"/>
  <c r="E2160" i="1"/>
  <c r="E2159" i="1"/>
  <c r="E2158" i="1"/>
  <c r="E2157" i="1"/>
  <c r="E2156" i="1"/>
  <c r="E2155" i="1"/>
  <c r="E2154" i="1"/>
  <c r="E2153" i="1"/>
  <c r="E2152" i="1"/>
  <c r="E2151" i="1"/>
  <c r="E2150" i="1"/>
  <c r="E2149" i="1"/>
  <c r="E2148" i="1"/>
  <c r="E2147" i="1"/>
  <c r="E2146" i="1"/>
  <c r="E2145" i="1"/>
  <c r="E2144" i="1"/>
  <c r="E2143" i="1"/>
  <c r="E2142" i="1"/>
  <c r="E2141" i="1"/>
  <c r="E2140" i="1"/>
  <c r="E2139" i="1"/>
  <c r="E2138" i="1"/>
  <c r="E2137" i="1"/>
  <c r="E2136" i="1"/>
  <c r="E2135" i="1"/>
  <c r="E2134" i="1"/>
  <c r="E2133" i="1"/>
  <c r="E2132" i="1"/>
  <c r="E2131" i="1"/>
  <c r="E2130" i="1"/>
  <c r="E2129" i="1"/>
  <c r="E2128" i="1"/>
  <c r="E2127" i="1"/>
  <c r="E2126" i="1"/>
  <c r="E2125" i="1"/>
  <c r="E2124" i="1"/>
  <c r="E2123" i="1"/>
  <c r="E2122" i="1"/>
  <c r="E2121" i="1"/>
  <c r="E2120" i="1"/>
  <c r="E2119" i="1"/>
  <c r="E2118" i="1"/>
  <c r="E2117" i="1"/>
  <c r="E2116" i="1"/>
  <c r="E2115" i="1"/>
  <c r="E2114" i="1"/>
  <c r="E2113" i="1"/>
  <c r="E2112" i="1"/>
  <c r="E2111" i="1"/>
  <c r="E2110" i="1"/>
  <c r="E2109" i="1"/>
  <c r="E2108" i="1"/>
  <c r="E2107" i="1"/>
  <c r="E2106" i="1"/>
  <c r="E2105" i="1"/>
  <c r="E2104" i="1"/>
  <c r="E2103" i="1"/>
  <c r="E2102" i="1"/>
  <c r="E2101" i="1"/>
  <c r="E2100" i="1"/>
  <c r="E2099" i="1"/>
  <c r="E2098" i="1"/>
  <c r="E2097" i="1"/>
  <c r="E2096" i="1"/>
  <c r="E2095" i="1"/>
  <c r="E2094" i="1"/>
  <c r="E2093" i="1"/>
  <c r="E2092" i="1"/>
  <c r="E2091" i="1"/>
  <c r="E2090" i="1"/>
  <c r="E2089" i="1"/>
  <c r="E2088" i="1"/>
  <c r="E2087" i="1"/>
  <c r="E2086" i="1"/>
  <c r="E2085" i="1"/>
  <c r="E2084" i="1"/>
  <c r="E2083" i="1"/>
  <c r="E2082" i="1"/>
  <c r="E2081" i="1"/>
  <c r="E2080" i="1"/>
  <c r="E2079" i="1"/>
  <c r="E2078" i="1"/>
  <c r="E2077" i="1"/>
  <c r="E2076" i="1"/>
  <c r="E2075" i="1"/>
  <c r="E2074" i="1"/>
  <c r="E2073" i="1"/>
  <c r="E2072" i="1"/>
  <c r="E2071" i="1"/>
  <c r="E2070" i="1"/>
  <c r="E2069" i="1"/>
  <c r="E2068" i="1"/>
  <c r="E2067" i="1"/>
  <c r="E2066" i="1"/>
  <c r="E2065" i="1"/>
  <c r="E2064" i="1"/>
  <c r="E2063" i="1"/>
  <c r="E2062" i="1"/>
  <c r="E2061" i="1"/>
  <c r="E2060" i="1"/>
  <c r="E2059" i="1"/>
  <c r="E2058" i="1"/>
  <c r="E2057" i="1"/>
  <c r="E2056" i="1"/>
  <c r="E2055" i="1"/>
  <c r="E2054" i="1"/>
  <c r="E2053" i="1"/>
  <c r="E2052" i="1"/>
  <c r="E2051" i="1"/>
  <c r="E2050" i="1"/>
  <c r="E2049" i="1"/>
  <c r="E2048" i="1"/>
  <c r="E2047" i="1"/>
  <c r="E2046" i="1"/>
  <c r="E2045" i="1"/>
  <c r="E2044" i="1"/>
  <c r="E2043" i="1"/>
  <c r="E2042" i="1"/>
  <c r="E2041" i="1"/>
  <c r="E2040" i="1"/>
  <c r="E2039" i="1"/>
  <c r="E2038" i="1"/>
  <c r="E2037" i="1"/>
  <c r="E2036" i="1"/>
  <c r="E2035" i="1"/>
  <c r="E2034" i="1"/>
  <c r="E2033" i="1"/>
  <c r="E2032" i="1"/>
  <c r="E2031" i="1"/>
  <c r="E2030" i="1"/>
  <c r="E2029" i="1"/>
  <c r="E2028" i="1"/>
  <c r="E2027" i="1"/>
  <c r="E2026" i="1"/>
  <c r="E2025" i="1"/>
  <c r="E2024" i="1"/>
  <c r="E2023" i="1"/>
  <c r="E2022" i="1"/>
  <c r="E2021" i="1"/>
  <c r="E2020" i="1"/>
  <c r="E2019" i="1"/>
  <c r="E2018" i="1"/>
  <c r="E2017" i="1"/>
  <c r="E2016" i="1"/>
  <c r="E2015" i="1"/>
  <c r="E2014" i="1"/>
  <c r="E2013" i="1"/>
  <c r="E2012" i="1"/>
  <c r="E2011" i="1"/>
  <c r="E2010" i="1"/>
  <c r="E2009" i="1"/>
  <c r="E2008" i="1"/>
  <c r="E2007" i="1"/>
  <c r="E2006" i="1"/>
  <c r="E2005" i="1"/>
  <c r="E2004" i="1"/>
  <c r="E2003" i="1"/>
  <c r="E2002" i="1"/>
  <c r="E2001" i="1"/>
  <c r="E2000" i="1"/>
  <c r="E1999" i="1"/>
  <c r="E1998" i="1"/>
  <c r="E1997" i="1"/>
  <c r="E1996" i="1"/>
  <c r="E1995" i="1"/>
  <c r="E1994" i="1"/>
  <c r="E1993" i="1"/>
  <c r="E1992" i="1"/>
  <c r="E1991" i="1"/>
  <c r="E1990" i="1"/>
  <c r="E1989" i="1"/>
  <c r="E1988" i="1"/>
  <c r="E1987" i="1"/>
  <c r="E1986" i="1"/>
  <c r="E1985" i="1"/>
  <c r="E1984" i="1"/>
  <c r="E1983" i="1"/>
  <c r="E1982" i="1"/>
  <c r="E1981" i="1"/>
  <c r="E1980" i="1"/>
  <c r="E1979" i="1"/>
  <c r="E1978" i="1"/>
  <c r="E1977" i="1"/>
  <c r="E1976" i="1"/>
  <c r="E1975" i="1"/>
  <c r="E1974" i="1"/>
  <c r="E1973" i="1"/>
  <c r="E1972" i="1"/>
  <c r="E1971" i="1"/>
  <c r="E1970" i="1"/>
  <c r="E1969" i="1"/>
  <c r="E1968" i="1"/>
  <c r="E1938" i="1"/>
  <c r="E1937" i="1"/>
  <c r="E1936" i="1"/>
  <c r="E1935" i="1"/>
  <c r="E1934" i="1"/>
  <c r="E1933" i="1"/>
  <c r="E1932" i="1"/>
  <c r="E1931" i="1"/>
  <c r="E1930" i="1"/>
  <c r="E1929" i="1"/>
  <c r="E1928" i="1"/>
  <c r="E1927" i="1"/>
  <c r="E1926" i="1"/>
  <c r="E1925" i="1"/>
  <c r="E1924" i="1"/>
  <c r="E1923" i="1"/>
  <c r="E1922" i="1"/>
  <c r="E1921" i="1"/>
  <c r="E1920" i="1"/>
  <c r="E1919" i="1"/>
  <c r="E1918" i="1"/>
  <c r="E1917" i="1"/>
  <c r="E1916" i="1"/>
  <c r="E1915" i="1"/>
  <c r="E1914" i="1"/>
  <c r="E1913" i="1"/>
  <c r="E1912" i="1"/>
  <c r="E1911" i="1"/>
  <c r="E1910" i="1"/>
  <c r="E1909" i="1"/>
  <c r="E1908" i="1"/>
  <c r="E1907" i="1"/>
  <c r="E1906" i="1"/>
  <c r="E1905" i="1"/>
  <c r="E1904" i="1"/>
  <c r="E1903" i="1"/>
  <c r="E1902" i="1"/>
  <c r="E1901" i="1"/>
  <c r="E1900" i="1"/>
  <c r="E1899" i="1"/>
  <c r="E1898" i="1"/>
  <c r="E1897" i="1"/>
  <c r="E1896" i="1"/>
  <c r="E1895" i="1"/>
  <c r="E1894" i="1"/>
  <c r="E1893" i="1"/>
  <c r="E1892" i="1"/>
  <c r="E1891" i="1"/>
  <c r="E1890" i="1"/>
  <c r="E1889" i="1"/>
  <c r="E1888" i="1"/>
  <c r="E1887" i="1"/>
  <c r="E1886" i="1"/>
  <c r="E1885" i="1"/>
  <c r="E1884" i="1"/>
  <c r="E1883" i="1"/>
  <c r="E1882" i="1"/>
  <c r="E1881" i="1"/>
  <c r="E1880" i="1"/>
  <c r="E1879" i="1"/>
  <c r="E1878" i="1"/>
  <c r="E1877" i="1"/>
  <c r="E1876" i="1"/>
  <c r="E1875" i="1"/>
  <c r="E1874" i="1"/>
  <c r="E1873" i="1"/>
  <c r="E1872" i="1"/>
  <c r="E1871" i="1"/>
  <c r="E1870" i="1"/>
  <c r="E1869" i="1"/>
  <c r="E1868" i="1"/>
  <c r="E1867" i="1"/>
  <c r="E1866" i="1"/>
  <c r="E1865" i="1"/>
  <c r="E1864" i="1"/>
  <c r="E1863" i="1"/>
  <c r="E1862" i="1"/>
  <c r="E1861" i="1"/>
  <c r="E1860" i="1"/>
  <c r="E1859" i="1"/>
  <c r="E1858" i="1"/>
  <c r="E1857" i="1"/>
  <c r="E1856" i="1"/>
  <c r="E1855" i="1"/>
  <c r="E1854" i="1"/>
  <c r="E1853" i="1"/>
  <c r="E1852" i="1"/>
  <c r="E1851" i="1"/>
  <c r="E1850" i="1"/>
  <c r="E1849" i="1"/>
  <c r="E1848" i="1"/>
  <c r="E1847" i="1"/>
  <c r="E1846" i="1"/>
  <c r="E1845" i="1"/>
  <c r="E1844" i="1"/>
  <c r="E1843" i="1"/>
  <c r="E1842" i="1"/>
  <c r="E1841" i="1"/>
  <c r="E1840" i="1"/>
  <c r="E1839" i="1"/>
  <c r="E1838" i="1"/>
  <c r="E1837" i="1"/>
  <c r="E1836" i="1"/>
  <c r="E1835" i="1"/>
  <c r="E1834" i="1"/>
  <c r="E1833" i="1"/>
  <c r="E1832" i="1"/>
  <c r="E1831" i="1"/>
  <c r="E1830" i="1"/>
  <c r="E1829" i="1"/>
  <c r="E1828" i="1"/>
  <c r="E1827" i="1"/>
  <c r="E1826" i="1"/>
  <c r="E1825" i="1"/>
  <c r="E1824" i="1"/>
  <c r="E1823" i="1"/>
  <c r="E1822" i="1"/>
  <c r="E1821" i="1"/>
  <c r="E1820" i="1"/>
  <c r="E1819" i="1"/>
  <c r="E1818" i="1"/>
  <c r="E1817" i="1"/>
  <c r="E1816" i="1"/>
  <c r="E1815" i="1"/>
  <c r="E1814" i="1"/>
  <c r="E1813" i="1"/>
  <c r="E1812" i="1"/>
  <c r="E1811" i="1"/>
  <c r="E1810" i="1"/>
  <c r="E1809" i="1"/>
  <c r="E1808" i="1"/>
  <c r="E1807" i="1"/>
  <c r="E1806" i="1"/>
  <c r="E1805" i="1"/>
  <c r="E1804" i="1"/>
  <c r="E1803" i="1"/>
  <c r="E1802" i="1"/>
  <c r="E1801" i="1"/>
  <c r="E1800" i="1"/>
  <c r="E1799" i="1"/>
  <c r="E1798" i="1"/>
  <c r="E1797" i="1"/>
  <c r="E1796" i="1"/>
  <c r="E1795" i="1"/>
  <c r="E1794" i="1"/>
  <c r="E1793" i="1"/>
  <c r="E1792" i="1"/>
  <c r="E1791" i="1"/>
  <c r="E1790" i="1"/>
  <c r="E1789" i="1"/>
  <c r="E1788" i="1"/>
  <c r="E1787" i="1"/>
  <c r="E1786" i="1"/>
  <c r="E1785" i="1"/>
  <c r="E1784" i="1"/>
  <c r="E1783" i="1"/>
  <c r="E1782" i="1"/>
  <c r="E1781" i="1"/>
  <c r="E1780" i="1"/>
  <c r="E1779" i="1"/>
  <c r="E1778" i="1"/>
  <c r="E1777" i="1"/>
  <c r="E1776" i="1"/>
  <c r="E1775" i="1"/>
  <c r="E1774" i="1"/>
  <c r="E1773" i="1"/>
  <c r="E1772" i="1"/>
  <c r="E1771" i="1"/>
  <c r="E1770" i="1"/>
  <c r="E1769" i="1"/>
  <c r="E1768" i="1"/>
  <c r="E1767" i="1"/>
  <c r="E1766" i="1"/>
  <c r="E1765" i="1"/>
  <c r="E1764" i="1"/>
  <c r="E1763" i="1"/>
  <c r="E1762" i="1"/>
  <c r="E1761" i="1"/>
  <c r="E1760" i="1"/>
  <c r="E1759" i="1"/>
  <c r="E1758" i="1"/>
  <c r="E1727" i="1"/>
  <c r="E1726" i="1"/>
  <c r="E1725" i="1"/>
  <c r="E1724" i="1"/>
  <c r="E1723" i="1"/>
  <c r="E1722" i="1"/>
  <c r="E1721" i="1"/>
  <c r="E1720" i="1"/>
  <c r="E1719" i="1"/>
  <c r="E1718" i="1"/>
  <c r="E1717" i="1"/>
  <c r="E1716" i="1"/>
  <c r="E1715" i="1"/>
  <c r="E1714" i="1"/>
  <c r="E1713" i="1"/>
  <c r="E1712" i="1"/>
  <c r="E1711" i="1"/>
  <c r="E1710" i="1"/>
  <c r="E1709" i="1"/>
  <c r="E1708" i="1"/>
  <c r="E1707" i="1"/>
  <c r="E1706" i="1"/>
  <c r="E1705" i="1"/>
  <c r="E1704" i="1"/>
  <c r="E1703" i="1"/>
  <c r="E1702" i="1"/>
  <c r="E1701" i="1"/>
  <c r="E1700" i="1"/>
  <c r="E1699" i="1"/>
  <c r="E1698" i="1"/>
  <c r="E1697" i="1"/>
  <c r="E1696" i="1"/>
  <c r="E1695" i="1"/>
  <c r="E1694" i="1"/>
  <c r="E1693" i="1"/>
  <c r="E1692" i="1"/>
  <c r="E1691" i="1"/>
  <c r="E1690" i="1"/>
  <c r="E1689" i="1"/>
  <c r="E1688" i="1"/>
  <c r="E1687" i="1"/>
  <c r="E1686" i="1"/>
  <c r="E1685" i="1"/>
  <c r="E1684" i="1"/>
  <c r="E1683" i="1"/>
  <c r="E1682" i="1"/>
  <c r="E1681" i="1"/>
  <c r="E1680" i="1"/>
  <c r="E1679" i="1"/>
  <c r="E1678" i="1"/>
  <c r="E1677" i="1"/>
  <c r="E1676" i="1"/>
  <c r="E1675" i="1"/>
  <c r="E1674" i="1"/>
  <c r="E1673" i="1"/>
  <c r="E1672" i="1"/>
  <c r="E1671" i="1"/>
  <c r="E1670" i="1"/>
  <c r="E1669" i="1"/>
  <c r="E1668" i="1"/>
  <c r="E1667" i="1"/>
  <c r="E1666" i="1"/>
  <c r="E1665" i="1"/>
  <c r="E1664" i="1"/>
  <c r="E1663" i="1"/>
  <c r="E1662" i="1"/>
  <c r="E1661" i="1"/>
  <c r="E1660" i="1"/>
  <c r="E1659" i="1"/>
  <c r="E1658" i="1"/>
  <c r="E1657" i="1"/>
  <c r="E1656" i="1"/>
  <c r="E1655" i="1"/>
  <c r="E1654" i="1"/>
  <c r="E1653" i="1"/>
  <c r="E1652" i="1"/>
  <c r="E1651" i="1"/>
  <c r="E1650" i="1"/>
  <c r="E1649" i="1"/>
  <c r="E1648" i="1"/>
  <c r="E1647" i="1"/>
  <c r="E1646" i="1"/>
  <c r="E1645" i="1"/>
  <c r="E1644" i="1"/>
  <c r="E1643" i="1"/>
  <c r="E1642" i="1"/>
  <c r="E1641" i="1"/>
  <c r="E1640" i="1"/>
  <c r="E1639" i="1"/>
  <c r="E1638" i="1"/>
  <c r="E1637" i="1"/>
  <c r="E1636" i="1"/>
  <c r="E1635" i="1"/>
  <c r="E1634" i="1"/>
  <c r="E1633" i="1"/>
  <c r="E1632" i="1"/>
  <c r="E1631" i="1"/>
  <c r="E1630" i="1"/>
  <c r="E1629" i="1"/>
  <c r="E1628" i="1"/>
  <c r="E1627" i="1"/>
  <c r="E1626" i="1"/>
  <c r="E1625" i="1"/>
  <c r="E1624" i="1"/>
  <c r="E1623" i="1"/>
  <c r="E1622" i="1"/>
  <c r="E1621" i="1"/>
  <c r="E1620" i="1"/>
  <c r="E1619" i="1"/>
  <c r="E1618" i="1"/>
  <c r="E1617" i="1"/>
  <c r="E1616" i="1"/>
  <c r="E1615" i="1"/>
  <c r="E1614" i="1"/>
  <c r="E1613" i="1"/>
  <c r="E1612" i="1"/>
  <c r="E1611" i="1"/>
  <c r="E1610" i="1"/>
  <c r="E1609" i="1"/>
  <c r="E1608" i="1"/>
  <c r="E1607" i="1"/>
  <c r="E1606" i="1"/>
  <c r="E1605" i="1"/>
  <c r="E1604" i="1"/>
  <c r="E1603" i="1"/>
  <c r="E1602" i="1"/>
  <c r="E1601" i="1"/>
  <c r="E1600" i="1"/>
  <c r="E1599" i="1"/>
  <c r="E1598" i="1"/>
  <c r="E1597" i="1"/>
  <c r="E1596" i="1"/>
  <c r="E1595" i="1"/>
  <c r="E1594" i="1"/>
  <c r="E1593" i="1"/>
  <c r="E1592" i="1"/>
  <c r="E1591" i="1"/>
  <c r="E1590" i="1"/>
  <c r="E1589" i="1"/>
  <c r="E1588" i="1"/>
  <c r="E1587" i="1"/>
  <c r="E1586" i="1"/>
  <c r="E1585" i="1"/>
  <c r="E1584" i="1"/>
  <c r="E1583" i="1"/>
  <c r="E1582" i="1"/>
  <c r="E1581" i="1"/>
  <c r="E1580" i="1"/>
  <c r="E1579" i="1"/>
  <c r="E1578" i="1"/>
  <c r="E1577" i="1"/>
  <c r="E1576" i="1"/>
  <c r="E1575" i="1"/>
  <c r="E1574" i="1"/>
  <c r="E1573" i="1"/>
  <c r="E1572" i="1"/>
  <c r="E1571" i="1"/>
  <c r="E1570" i="1"/>
  <c r="E1569" i="1"/>
  <c r="E1568" i="1"/>
  <c r="E1567" i="1"/>
  <c r="E1566" i="1"/>
  <c r="E1565" i="1"/>
  <c r="E1564" i="1"/>
  <c r="E1563" i="1"/>
  <c r="E1561" i="1"/>
  <c r="E1560" i="1"/>
  <c r="E1559" i="1"/>
  <c r="E1558" i="1"/>
  <c r="E1557" i="1"/>
  <c r="E1556" i="1"/>
  <c r="E1555" i="1"/>
  <c r="E1554" i="1"/>
  <c r="E1553" i="1"/>
  <c r="E1552" i="1"/>
  <c r="E1551" i="1"/>
  <c r="E1550" i="1"/>
  <c r="E1549" i="1"/>
  <c r="E1548" i="1"/>
  <c r="E1547" i="1"/>
  <c r="E1546" i="1"/>
  <c r="E1545" i="1"/>
  <c r="E1544" i="1"/>
  <c r="E1543" i="1"/>
  <c r="E1542" i="1"/>
  <c r="E1541" i="1"/>
  <c r="E1540" i="1"/>
  <c r="E1539" i="1"/>
  <c r="E1538" i="1"/>
  <c r="E1537" i="1"/>
  <c r="E1536" i="1"/>
  <c r="E1535" i="1"/>
  <c r="E1534" i="1"/>
  <c r="E1533" i="1"/>
  <c r="E1532" i="1"/>
  <c r="E1531" i="1"/>
  <c r="E1530" i="1"/>
  <c r="E1529" i="1"/>
  <c r="E1501" i="1"/>
  <c r="E1500" i="1"/>
  <c r="E1499" i="1"/>
  <c r="E1498" i="1"/>
  <c r="E1497" i="1"/>
  <c r="E1496" i="1"/>
  <c r="E1495" i="1"/>
  <c r="E1494" i="1"/>
  <c r="E1493" i="1"/>
  <c r="E1492" i="1"/>
  <c r="E1491" i="1"/>
  <c r="E1490"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64" i="1"/>
  <c r="E1463" i="1"/>
  <c r="E1462" i="1"/>
  <c r="E1461" i="1"/>
  <c r="E1460" i="1"/>
  <c r="E1459" i="1"/>
  <c r="E1458" i="1"/>
  <c r="E1457" i="1"/>
  <c r="E1456" i="1"/>
  <c r="E1455" i="1"/>
  <c r="E1454" i="1"/>
  <c r="E1453" i="1"/>
  <c r="E1452" i="1"/>
  <c r="E1451" i="1"/>
  <c r="E1450" i="1"/>
  <c r="E1449" i="1"/>
  <c r="E1448" i="1"/>
  <c r="E1447" i="1"/>
  <c r="E1446" i="1"/>
  <c r="E1445" i="1"/>
  <c r="E1444" i="1"/>
  <c r="E1443" i="1"/>
  <c r="E1442" i="1"/>
  <c r="E1441" i="1"/>
  <c r="E1440" i="1"/>
  <c r="E1439" i="1"/>
  <c r="E1438" i="1"/>
  <c r="E1437" i="1"/>
  <c r="E1436" i="1"/>
  <c r="E1435" i="1"/>
  <c r="E1434" i="1"/>
  <c r="E1433" i="1"/>
  <c r="E1432" i="1"/>
  <c r="E1431" i="1"/>
  <c r="E1430" i="1"/>
  <c r="E1429" i="1"/>
  <c r="E1428" i="1"/>
  <c r="E1427" i="1"/>
  <c r="E1426" i="1"/>
  <c r="E1425" i="1"/>
  <c r="E1424" i="1"/>
  <c r="E1423" i="1"/>
  <c r="E1422" i="1"/>
  <c r="E1421" i="1"/>
  <c r="E1420" i="1"/>
  <c r="E1419" i="1"/>
  <c r="E1418" i="1"/>
  <c r="E1417" i="1"/>
  <c r="E1416" i="1"/>
  <c r="E1415" i="1"/>
  <c r="E1414" i="1"/>
  <c r="E1413" i="1"/>
  <c r="E1412" i="1"/>
  <c r="E1411" i="1"/>
  <c r="E1410" i="1"/>
  <c r="E1409" i="1"/>
  <c r="E1408" i="1"/>
  <c r="E1407" i="1"/>
  <c r="E1406" i="1"/>
  <c r="E1405" i="1"/>
  <c r="E1404" i="1"/>
  <c r="E1403" i="1"/>
  <c r="E1402" i="1"/>
  <c r="E1401" i="1"/>
  <c r="E1400" i="1"/>
  <c r="E1399" i="1"/>
  <c r="E1398" i="1"/>
  <c r="E1397" i="1"/>
  <c r="E1396" i="1"/>
  <c r="E1395" i="1"/>
  <c r="E1394" i="1"/>
  <c r="E1393" i="1"/>
  <c r="E1392" i="1"/>
  <c r="E1391" i="1"/>
  <c r="E1390" i="1"/>
  <c r="E1389" i="1"/>
  <c r="E1388" i="1"/>
  <c r="E1387" i="1"/>
  <c r="E1386" i="1"/>
  <c r="E1385" i="1"/>
  <c r="E1384" i="1"/>
  <c r="E1383" i="1"/>
  <c r="E1382" i="1"/>
  <c r="E1381" i="1"/>
  <c r="E1380" i="1"/>
  <c r="E1379" i="1"/>
  <c r="E1378" i="1"/>
  <c r="E1377" i="1"/>
  <c r="E1376" i="1"/>
  <c r="E1375" i="1"/>
  <c r="E1374" i="1"/>
  <c r="E1373" i="1"/>
  <c r="E1372" i="1"/>
  <c r="E1371" i="1"/>
  <c r="E1370" i="1"/>
  <c r="E1369" i="1"/>
  <c r="E1368" i="1"/>
  <c r="E1367" i="1"/>
  <c r="E1366" i="1"/>
  <c r="E1365" i="1"/>
  <c r="E1364" i="1"/>
  <c r="E1363" i="1"/>
  <c r="E1362" i="1"/>
  <c r="E1361" i="1"/>
  <c r="E1360" i="1"/>
  <c r="E1359" i="1"/>
  <c r="E1358" i="1"/>
  <c r="E1357" i="1"/>
  <c r="E1356" i="1"/>
  <c r="E1355" i="1"/>
  <c r="E1354" i="1"/>
  <c r="E1353" i="1"/>
  <c r="E1352" i="1"/>
  <c r="E1351"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2" i="1"/>
  <c r="E1301" i="1"/>
  <c r="E1300" i="1"/>
  <c r="E1299" i="1"/>
  <c r="E1298" i="1"/>
  <c r="E1297" i="1"/>
  <c r="E1296" i="1"/>
  <c r="E1295" i="1"/>
  <c r="E1294" i="1"/>
  <c r="E1293" i="1"/>
  <c r="E1292" i="1"/>
  <c r="E1291" i="1"/>
  <c r="E1290" i="1"/>
  <c r="E1289" i="1"/>
  <c r="E1288" i="1"/>
  <c r="E1287" i="1"/>
  <c r="E1286" i="1"/>
  <c r="E1285" i="1"/>
  <c r="E1284" i="1"/>
  <c r="E1283" i="1"/>
  <c r="E1282" i="1"/>
  <c r="E1252" i="1"/>
  <c r="E1251" i="1"/>
  <c r="E1250" i="1"/>
  <c r="E1249" i="1"/>
  <c r="E1248" i="1"/>
  <c r="E1247" i="1"/>
  <c r="E1246" i="1"/>
  <c r="E1245" i="1"/>
  <c r="E1244" i="1"/>
  <c r="E1243" i="1"/>
  <c r="E1242" i="1"/>
  <c r="E1241" i="1"/>
  <c r="E1240" i="1"/>
  <c r="E1239" i="1"/>
  <c r="E1238" i="1"/>
  <c r="E1237" i="1"/>
  <c r="E1236" i="1"/>
  <c r="E1235" i="1"/>
  <c r="E1234" i="1"/>
  <c r="E1233" i="1"/>
  <c r="E1232" i="1"/>
  <c r="E1231" i="1"/>
  <c r="E1230" i="1"/>
  <c r="E1229" i="1"/>
  <c r="E1228" i="1"/>
  <c r="E1227" i="1"/>
  <c r="E1226" i="1"/>
  <c r="E1225" i="1"/>
  <c r="E1224" i="1"/>
  <c r="E1223" i="1"/>
  <c r="E1222" i="1"/>
  <c r="E1221" i="1"/>
  <c r="E1220" i="1"/>
  <c r="E1219" i="1"/>
  <c r="E1218" i="1"/>
  <c r="E1217" i="1"/>
  <c r="E1216" i="1"/>
  <c r="E1215" i="1"/>
  <c r="E1214" i="1"/>
  <c r="E1213" i="1"/>
  <c r="E1212" i="1"/>
  <c r="E1211" i="1"/>
  <c r="E1210" i="1"/>
  <c r="E1209" i="1"/>
  <c r="E1208" i="1"/>
  <c r="E1207" i="1"/>
  <c r="E1206" i="1"/>
  <c r="E1205" i="1"/>
  <c r="E1204" i="1"/>
  <c r="E1203" i="1"/>
  <c r="E1202" i="1"/>
  <c r="E1201" i="1"/>
  <c r="E1200" i="1"/>
  <c r="E1199" i="1"/>
  <c r="E1198" i="1"/>
  <c r="E1197" i="1"/>
  <c r="E1196" i="1"/>
  <c r="E1195" i="1"/>
  <c r="E1194" i="1"/>
  <c r="E1193" i="1"/>
  <c r="E1192" i="1"/>
  <c r="E1191" i="1"/>
  <c r="E1190" i="1"/>
  <c r="E1189" i="1"/>
  <c r="E1188" i="1"/>
  <c r="E1187" i="1"/>
  <c r="E1186" i="1"/>
  <c r="E1185" i="1"/>
  <c r="E1184" i="1"/>
  <c r="E1183" i="1"/>
  <c r="E1182" i="1"/>
  <c r="E1181" i="1"/>
  <c r="E1180" i="1"/>
  <c r="E1179" i="1"/>
  <c r="E1178" i="1"/>
  <c r="E1177" i="1"/>
  <c r="E1176" i="1"/>
  <c r="E1175" i="1"/>
  <c r="E1174" i="1"/>
  <c r="E1173" i="1"/>
  <c r="E1172" i="1"/>
  <c r="E1171" i="1"/>
  <c r="E1170" i="1"/>
  <c r="E1169" i="1"/>
  <c r="E1168" i="1"/>
  <c r="E1167" i="1"/>
  <c r="E1166" i="1"/>
  <c r="E1165" i="1"/>
  <c r="E1164" i="1"/>
  <c r="E1163" i="1"/>
  <c r="E1162" i="1"/>
  <c r="E1161" i="1"/>
  <c r="E1160" i="1"/>
  <c r="E1159" i="1"/>
  <c r="E1158" i="1"/>
  <c r="E1157" i="1"/>
  <c r="E1156" i="1"/>
  <c r="E1155" i="1"/>
  <c r="E1154" i="1"/>
  <c r="E1153" i="1"/>
  <c r="E1152" i="1"/>
  <c r="E1151" i="1"/>
  <c r="E1150" i="1"/>
  <c r="E1149" i="1"/>
  <c r="E1148" i="1"/>
  <c r="E1147" i="1"/>
  <c r="E1146" i="1"/>
  <c r="E1145" i="1"/>
  <c r="E1144" i="1"/>
  <c r="E1143" i="1"/>
  <c r="E1142" i="1"/>
  <c r="E1141" i="1"/>
  <c r="E1140" i="1"/>
  <c r="E1139" i="1"/>
  <c r="E1138" i="1"/>
  <c r="E1137" i="1"/>
  <c r="E1136" i="1"/>
  <c r="E1135" i="1"/>
  <c r="E1134" i="1"/>
  <c r="E1133" i="1"/>
  <c r="E1132" i="1"/>
  <c r="E1131" i="1"/>
  <c r="E1130" i="1"/>
  <c r="E1129" i="1"/>
  <c r="E1128" i="1"/>
  <c r="E1127" i="1"/>
  <c r="E1126" i="1"/>
  <c r="E1125" i="1"/>
  <c r="E1124" i="1"/>
  <c r="E1123" i="1"/>
  <c r="E1122" i="1"/>
  <c r="E1121" i="1"/>
  <c r="E1120" i="1"/>
  <c r="E1119" i="1"/>
  <c r="E1118" i="1"/>
  <c r="E1117" i="1"/>
  <c r="E1116" i="1"/>
  <c r="E1115" i="1"/>
  <c r="E1114" i="1"/>
  <c r="E1113" i="1"/>
  <c r="E1112" i="1"/>
  <c r="E1111" i="1"/>
  <c r="E1110" i="1"/>
  <c r="E1109" i="1"/>
  <c r="E1108" i="1"/>
  <c r="E1107" i="1"/>
  <c r="E1106" i="1"/>
  <c r="E1105" i="1"/>
  <c r="E1104" i="1"/>
  <c r="E1103" i="1"/>
  <c r="E1102" i="1"/>
  <c r="E1101" i="1"/>
  <c r="E1100" i="1"/>
  <c r="E1099" i="1"/>
  <c r="E1098" i="1"/>
  <c r="E1097" i="1"/>
  <c r="E1096" i="1"/>
  <c r="E1095" i="1"/>
  <c r="E1094" i="1"/>
  <c r="E1093" i="1"/>
  <c r="E1092" i="1"/>
  <c r="E1091" i="1"/>
  <c r="E1090" i="1"/>
  <c r="E1089" i="1"/>
  <c r="E1088" i="1"/>
  <c r="E1087" i="1"/>
  <c r="E1086" i="1"/>
  <c r="E1085" i="1"/>
  <c r="E1084" i="1"/>
  <c r="E1083" i="1"/>
  <c r="E1082" i="1"/>
  <c r="E1081" i="1"/>
  <c r="E1080" i="1"/>
  <c r="E1079" i="1"/>
  <c r="E1078" i="1"/>
  <c r="E1077" i="1"/>
  <c r="E1076" i="1"/>
  <c r="E1075" i="1"/>
  <c r="E1074" i="1"/>
  <c r="E1073" i="1"/>
  <c r="E1072" i="1"/>
  <c r="E1071" i="1"/>
  <c r="E1070" i="1"/>
  <c r="E1069" i="1"/>
  <c r="E1068" i="1"/>
  <c r="E1067" i="1"/>
  <c r="E1066" i="1"/>
  <c r="E1065" i="1"/>
  <c r="E1064" i="1"/>
  <c r="E1063" i="1"/>
  <c r="E1062" i="1"/>
  <c r="E1061" i="1"/>
  <c r="E1060" i="1"/>
  <c r="E1059" i="1"/>
  <c r="E1058" i="1"/>
  <c r="E1057" i="1"/>
  <c r="E1056" i="1"/>
  <c r="E1055" i="1"/>
  <c r="E1054" i="1"/>
  <c r="E1053" i="1"/>
  <c r="E1052" i="1"/>
  <c r="E1051" i="1"/>
  <c r="E1050" i="1"/>
  <c r="E1049" i="1"/>
  <c r="E1048" i="1"/>
  <c r="E1047" i="1"/>
  <c r="E1046" i="1"/>
  <c r="E1045" i="1"/>
  <c r="E1044" i="1"/>
  <c r="E1043" i="1"/>
  <c r="E1042" i="1"/>
  <c r="E1041" i="1"/>
  <c r="E1040" i="1"/>
  <c r="E1039" i="1"/>
  <c r="E1038" i="1"/>
  <c r="E1037" i="1"/>
  <c r="E1036" i="1"/>
  <c r="E1035" i="1"/>
  <c r="E1034" i="1"/>
  <c r="E1033" i="1"/>
  <c r="E1032" i="1"/>
  <c r="E1031" i="1"/>
  <c r="E1030" i="1"/>
  <c r="E1029" i="1"/>
  <c r="E1028" i="1"/>
  <c r="E1027" i="1"/>
  <c r="E1026" i="1"/>
  <c r="E1025" i="1"/>
  <c r="E1024" i="1"/>
  <c r="E1023" i="1"/>
  <c r="E1022" i="1"/>
  <c r="E1021" i="1"/>
  <c r="E1020" i="1"/>
  <c r="E1019" i="1"/>
  <c r="E1018" i="1"/>
  <c r="E1017" i="1"/>
  <c r="E1016" i="1"/>
  <c r="E1015" i="1"/>
  <c r="E1014" i="1"/>
  <c r="E1013" i="1"/>
  <c r="E1012" i="1"/>
  <c r="E1011" i="1"/>
  <c r="E1010" i="1"/>
  <c r="E1009" i="1"/>
  <c r="E1008" i="1"/>
  <c r="E1007" i="1"/>
  <c r="E1006" i="1"/>
  <c r="E1005" i="1"/>
  <c r="E1004" i="1"/>
  <c r="E1003" i="1"/>
  <c r="E1002" i="1"/>
  <c r="E1001" i="1"/>
  <c r="E1000" i="1"/>
  <c r="E999" i="1"/>
  <c r="E998" i="1"/>
  <c r="E997" i="1"/>
  <c r="E996" i="1"/>
  <c r="E995" i="1"/>
  <c r="E994"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1" i="1"/>
  <c r="E390" i="1"/>
  <c r="E389" i="1"/>
  <c r="E388" i="1"/>
  <c r="E387" i="1"/>
  <c r="E386" i="1"/>
  <c r="E385" i="1"/>
  <c r="E384" i="1"/>
  <c r="E383" i="1"/>
  <c r="E382" i="1"/>
  <c r="E381" i="1"/>
  <c r="E380" i="1"/>
  <c r="E379" i="1"/>
  <c r="E378" i="1"/>
  <c r="E377" i="1"/>
  <c r="E376" i="1"/>
  <c r="E371" i="1"/>
  <c r="E370" i="1"/>
  <c r="E369" i="1"/>
  <c r="E368" i="1"/>
  <c r="E367" i="1"/>
  <c r="E366" i="1"/>
  <c r="E365" i="1"/>
  <c r="E364" i="1"/>
  <c r="E363" i="1"/>
  <c r="E362" i="1"/>
  <c r="E361" i="1"/>
  <c r="E360" i="1"/>
  <c r="E359" i="1"/>
  <c r="E358" i="1"/>
  <c r="E357" i="1"/>
  <c r="E356"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299" i="1"/>
  <c r="E298" i="1"/>
  <c r="E297" i="1"/>
  <c r="E296" i="1"/>
  <c r="E295" i="1"/>
  <c r="E294" i="1"/>
  <c r="E293" i="1"/>
  <c r="E292" i="1"/>
  <c r="E291" i="1"/>
  <c r="E290" i="1"/>
  <c r="E289" i="1"/>
  <c r="E288" i="1"/>
  <c r="E287" i="1"/>
  <c r="E286" i="1"/>
  <c r="E285" i="1"/>
  <c r="E284" i="1"/>
  <c r="E283" i="1"/>
  <c r="E282" i="1"/>
  <c r="E277" i="1"/>
  <c r="E276" i="1"/>
  <c r="E275" i="1"/>
  <c r="E274" i="1"/>
  <c r="E273" i="1"/>
  <c r="E272" i="1"/>
  <c r="E271" i="1"/>
  <c r="E270" i="1"/>
  <c r="E269" i="1"/>
  <c r="E268" i="1"/>
  <c r="E267" i="1"/>
  <c r="E266" i="1"/>
  <c r="E265" i="1"/>
  <c r="E264" i="1"/>
  <c r="E263" i="1"/>
  <c r="E262" i="1"/>
  <c r="E261" i="1"/>
  <c r="E260"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76" i="1"/>
  <c r="E175" i="1"/>
  <c r="E174" i="1"/>
  <c r="E173" i="1"/>
  <c r="E172" i="1"/>
  <c r="E171" i="1"/>
  <c r="E170" i="1"/>
  <c r="E169" i="1"/>
  <c r="E168" i="1"/>
  <c r="E167" i="1"/>
  <c r="E166" i="1"/>
  <c r="E165" i="1"/>
  <c r="E164" i="1"/>
  <c r="E163" i="1"/>
  <c r="E162" i="1"/>
  <c r="E161" i="1"/>
  <c r="E160" i="1"/>
  <c r="E159"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16" i="1"/>
  <c r="E115" i="1"/>
  <c r="E114" i="1"/>
  <c r="E113" i="1"/>
  <c r="E112" i="1"/>
  <c r="E111" i="1"/>
  <c r="E110" i="1"/>
  <c r="E109" i="1"/>
  <c r="E108" i="1"/>
  <c r="E107" i="1"/>
  <c r="E106" i="1"/>
  <c r="E105" i="1"/>
  <c r="E104" i="1"/>
  <c r="E103" i="1"/>
  <c r="E102" i="1"/>
  <c r="E101" i="1"/>
  <c r="E100" i="1"/>
  <c r="E99" i="1"/>
  <c r="E98" i="1"/>
  <c r="E97" i="1"/>
  <c r="E96" i="1"/>
  <c r="E95"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4" i="1"/>
  <c r="E13" i="1"/>
  <c r="E12" i="1"/>
  <c r="E11" i="1"/>
  <c r="E10" i="1"/>
  <c r="E9" i="1"/>
  <c r="E8" i="1"/>
  <c r="E7" i="1"/>
  <c r="E6" i="1"/>
  <c r="E5" i="1"/>
  <c r="E4" i="1"/>
  <c r="F3" i="1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316" i="1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F384" i="11"/>
  <c r="F385" i="11"/>
  <c r="F386" i="11"/>
  <c r="F387" i="11"/>
  <c r="F388" i="11"/>
  <c r="F389" i="11"/>
  <c r="F390" i="11"/>
  <c r="F391" i="11"/>
  <c r="F392" i="11"/>
  <c r="F393" i="11"/>
  <c r="F394" i="11"/>
  <c r="F395" i="11"/>
  <c r="F396" i="11"/>
  <c r="F397" i="11"/>
  <c r="F398" i="11"/>
  <c r="F399" i="11"/>
  <c r="F400" i="11"/>
  <c r="F401" i="11"/>
  <c r="F402" i="11"/>
  <c r="F403" i="11"/>
  <c r="F404" i="11"/>
  <c r="F405" i="11"/>
  <c r="F406" i="11"/>
  <c r="F407" i="11"/>
  <c r="F408" i="11"/>
  <c r="F409" i="11"/>
  <c r="F410" i="11"/>
  <c r="F411" i="11"/>
  <c r="F412" i="11"/>
  <c r="F413" i="11"/>
  <c r="F414" i="11"/>
  <c r="F415" i="11"/>
  <c r="F416" i="11"/>
  <c r="F417" i="11"/>
  <c r="F418" i="11"/>
  <c r="F419" i="11"/>
  <c r="F420" i="11"/>
  <c r="F421" i="11"/>
  <c r="F422" i="11"/>
  <c r="F423" i="11"/>
  <c r="F424" i="11"/>
  <c r="F425" i="11"/>
  <c r="F426" i="11"/>
  <c r="F427" i="11"/>
  <c r="F428"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53" i="11"/>
  <c r="F454" i="11"/>
  <c r="F455" i="11"/>
  <c r="F456" i="11"/>
  <c r="F457" i="11"/>
  <c r="F458" i="11"/>
  <c r="F459" i="11"/>
  <c r="F460" i="11"/>
  <c r="F461" i="11"/>
  <c r="F462" i="11"/>
  <c r="F463" i="11"/>
  <c r="F464" i="11"/>
  <c r="F465" i="11"/>
  <c r="F466" i="11"/>
  <c r="F467" i="11"/>
  <c r="F468" i="11"/>
  <c r="F469" i="11"/>
  <c r="F470" i="11"/>
  <c r="F471" i="11"/>
  <c r="F472" i="11"/>
  <c r="F473" i="11"/>
  <c r="F474" i="11"/>
  <c r="F475" i="11"/>
  <c r="F476" i="11"/>
  <c r="F477" i="11"/>
  <c r="F478" i="11"/>
  <c r="F479" i="11"/>
  <c r="F480" i="11"/>
  <c r="F481" i="11"/>
  <c r="F482" i="11"/>
  <c r="F483" i="11"/>
  <c r="F484" i="11"/>
  <c r="F485" i="11"/>
  <c r="F486" i="11"/>
  <c r="F487" i="11"/>
  <c r="F488" i="11"/>
  <c r="F489" i="11"/>
  <c r="F490" i="11"/>
  <c r="F491" i="11"/>
  <c r="F492" i="11"/>
  <c r="F493" i="11"/>
  <c r="F494" i="11"/>
  <c r="F495" i="11"/>
  <c r="F496" i="11"/>
  <c r="F497" i="11"/>
  <c r="F498" i="11"/>
  <c r="F499" i="11"/>
  <c r="F500" i="11"/>
  <c r="F501" i="11"/>
  <c r="F502" i="11"/>
  <c r="F503" i="11"/>
  <c r="F504" i="11"/>
  <c r="F505" i="11"/>
  <c r="F506" i="11"/>
  <c r="F507" i="11"/>
  <c r="F508" i="11"/>
  <c r="F509" i="11"/>
  <c r="F510" i="11"/>
  <c r="F511" i="11"/>
  <c r="F512" i="11"/>
  <c r="F513" i="11"/>
  <c r="F514" i="11"/>
  <c r="F515" i="11"/>
  <c r="F516" i="11"/>
  <c r="F517" i="11"/>
  <c r="F518" i="11"/>
  <c r="F519" i="11"/>
  <c r="F520" i="11"/>
  <c r="F521" i="11"/>
  <c r="F522" i="11"/>
  <c r="F523" i="11"/>
  <c r="F524" i="11"/>
  <c r="F525" i="11"/>
  <c r="F526" i="11"/>
  <c r="F527" i="11"/>
  <c r="F528" i="11"/>
  <c r="F529" i="11"/>
  <c r="F530" i="11"/>
  <c r="F531" i="11"/>
  <c r="F532" i="11"/>
  <c r="F533" i="11"/>
  <c r="F534" i="11"/>
  <c r="F535" i="11"/>
  <c r="F536" i="11"/>
  <c r="F537" i="11"/>
  <c r="F538" i="11"/>
  <c r="F539" i="11"/>
  <c r="F540" i="11"/>
  <c r="F541" i="11"/>
  <c r="F542" i="11"/>
  <c r="F543" i="11"/>
  <c r="F544" i="11"/>
  <c r="F545" i="11"/>
  <c r="F546" i="11"/>
  <c r="F547" i="11"/>
  <c r="F548" i="11"/>
  <c r="F549" i="11"/>
  <c r="F550" i="11"/>
  <c r="F551" i="11"/>
  <c r="F552" i="11"/>
  <c r="F553" i="11"/>
  <c r="F554" i="11"/>
  <c r="F555" i="11"/>
  <c r="F556" i="11"/>
  <c r="F557" i="11"/>
  <c r="F558" i="11"/>
  <c r="F559" i="11"/>
  <c r="F560" i="11"/>
  <c r="F561" i="11"/>
  <c r="F562" i="11"/>
  <c r="F563" i="11"/>
  <c r="F564" i="11"/>
  <c r="F565" i="11"/>
  <c r="F566" i="11"/>
  <c r="F567" i="11"/>
  <c r="F568" i="11"/>
  <c r="F569" i="11"/>
  <c r="F570" i="11"/>
  <c r="F571" i="11"/>
  <c r="F572" i="11"/>
  <c r="F573" i="11"/>
  <c r="F574" i="11"/>
  <c r="F575" i="11"/>
  <c r="F576" i="11"/>
  <c r="F577" i="11"/>
  <c r="F578" i="11"/>
  <c r="F579" i="11"/>
  <c r="F580" i="11"/>
  <c r="F581" i="11"/>
  <c r="F582" i="11"/>
  <c r="F583" i="11"/>
  <c r="F584" i="11"/>
  <c r="F585" i="11"/>
  <c r="F586" i="11"/>
  <c r="F587" i="11"/>
  <c r="F588" i="11"/>
  <c r="F589" i="11"/>
  <c r="F590" i="11"/>
  <c r="F591" i="11"/>
  <c r="F592" i="11"/>
  <c r="F593" i="11"/>
  <c r="F594" i="11"/>
  <c r="F595" i="11"/>
  <c r="F596" i="11"/>
  <c r="F597" i="11"/>
  <c r="F598" i="11"/>
  <c r="F600" i="11"/>
  <c r="F601" i="11"/>
  <c r="F602" i="11"/>
  <c r="F603" i="11"/>
  <c r="F604" i="11"/>
  <c r="F605" i="11"/>
  <c r="F606" i="11"/>
  <c r="F607" i="11"/>
  <c r="F608" i="11"/>
  <c r="F609" i="11"/>
  <c r="F610" i="11"/>
  <c r="F612" i="11"/>
  <c r="F613" i="11"/>
  <c r="F614" i="11"/>
  <c r="F615" i="11"/>
  <c r="F616" i="11"/>
  <c r="F617" i="11"/>
  <c r="F618" i="11"/>
  <c r="F619" i="11"/>
  <c r="F620" i="11"/>
  <c r="F621" i="11"/>
  <c r="F622" i="11"/>
  <c r="F623" i="11"/>
  <c r="F624" i="11"/>
  <c r="F625" i="11"/>
  <c r="F626" i="11"/>
  <c r="F627" i="11"/>
  <c r="F628" i="11"/>
  <c r="F629" i="11"/>
  <c r="F630" i="11"/>
  <c r="F631" i="11"/>
  <c r="F632" i="11"/>
  <c r="F633" i="11"/>
  <c r="F634" i="11"/>
  <c r="F635" i="11"/>
  <c r="F636" i="11"/>
  <c r="F637" i="11"/>
  <c r="F638" i="11"/>
  <c r="F639" i="11"/>
  <c r="F640" i="11"/>
  <c r="F641" i="11"/>
  <c r="F642" i="11"/>
  <c r="F643" i="11"/>
  <c r="F644" i="11"/>
  <c r="F645" i="11"/>
  <c r="F646" i="11"/>
  <c r="F647" i="11"/>
  <c r="F648" i="11"/>
  <c r="F649" i="11"/>
  <c r="F650" i="11"/>
  <c r="F651" i="11"/>
  <c r="F652" i="11"/>
  <c r="F653" i="11"/>
  <c r="F654" i="11"/>
  <c r="F655" i="11"/>
  <c r="F656" i="11"/>
  <c r="F657" i="11"/>
  <c r="F658" i="11"/>
  <c r="F659" i="11"/>
  <c r="F660" i="11"/>
  <c r="F661" i="11"/>
  <c r="F662" i="11"/>
  <c r="F663" i="11"/>
  <c r="F664" i="11"/>
  <c r="F665" i="11"/>
  <c r="F666" i="11"/>
  <c r="F667" i="11"/>
  <c r="F668" i="11"/>
  <c r="F669" i="11"/>
  <c r="F670" i="11"/>
  <c r="F671" i="11"/>
  <c r="F672" i="11"/>
  <c r="F673" i="11"/>
  <c r="F674" i="11"/>
  <c r="F675" i="11"/>
  <c r="F676" i="11"/>
  <c r="F677" i="11"/>
  <c r="F678" i="11"/>
  <c r="F679" i="11"/>
  <c r="F680" i="11"/>
  <c r="F681" i="11"/>
  <c r="F682" i="11"/>
  <c r="F683" i="11"/>
  <c r="F684" i="11"/>
  <c r="F685" i="11"/>
  <c r="F686" i="11"/>
  <c r="F687" i="11"/>
  <c r="D687" i="11"/>
  <c r="D686" i="11"/>
  <c r="D685" i="11"/>
  <c r="D684" i="11"/>
  <c r="D683" i="11"/>
  <c r="D682" i="11"/>
  <c r="D681" i="11"/>
  <c r="D680" i="11"/>
  <c r="D679" i="11"/>
  <c r="D678" i="11"/>
  <c r="D677" i="11"/>
  <c r="D676" i="11"/>
  <c r="D675" i="11"/>
  <c r="D674" i="11"/>
  <c r="D673" i="11"/>
  <c r="D672" i="11"/>
  <c r="D671" i="11"/>
  <c r="D670" i="11"/>
  <c r="D669" i="11"/>
  <c r="D668" i="11"/>
  <c r="D667" i="11"/>
  <c r="D666" i="11"/>
  <c r="D665" i="11"/>
  <c r="D664" i="11"/>
  <c r="D663" i="11"/>
  <c r="D662" i="11"/>
  <c r="D661" i="11"/>
  <c r="D660" i="11"/>
  <c r="D659" i="11"/>
  <c r="D658" i="11"/>
  <c r="D657" i="11"/>
  <c r="D656" i="11"/>
  <c r="D655" i="11"/>
  <c r="D654" i="11"/>
  <c r="D653" i="11"/>
  <c r="D652" i="11"/>
  <c r="D651" i="11"/>
  <c r="D650" i="11"/>
  <c r="D649" i="11"/>
  <c r="D648" i="11"/>
  <c r="D647" i="11"/>
  <c r="D646" i="11"/>
  <c r="D645" i="11"/>
  <c r="D644" i="11"/>
  <c r="D643" i="11"/>
  <c r="D642" i="11"/>
  <c r="D641" i="11"/>
  <c r="D640" i="11"/>
  <c r="D639" i="11"/>
  <c r="D638" i="11"/>
  <c r="D637" i="11"/>
  <c r="D636" i="11"/>
  <c r="D635" i="11"/>
  <c r="D634" i="11"/>
  <c r="D633" i="11"/>
  <c r="D632" i="11"/>
  <c r="D631" i="11"/>
  <c r="D630" i="11"/>
  <c r="D629" i="11"/>
  <c r="D628" i="11"/>
  <c r="D627" i="11"/>
  <c r="D626" i="11"/>
  <c r="D625" i="11"/>
  <c r="D624" i="11"/>
  <c r="D623" i="11"/>
  <c r="D622" i="11"/>
  <c r="D621" i="11"/>
  <c r="D620" i="11"/>
  <c r="D619" i="11"/>
  <c r="D618" i="11"/>
  <c r="D617" i="11"/>
  <c r="D616" i="11"/>
  <c r="D615" i="11"/>
  <c r="D614" i="11"/>
  <c r="D613" i="11"/>
  <c r="D612" i="11"/>
  <c r="D611" i="11"/>
  <c r="D610" i="11"/>
  <c r="D609" i="11"/>
  <c r="D608" i="11"/>
  <c r="D607" i="11"/>
  <c r="D606" i="11"/>
  <c r="D605" i="11"/>
  <c r="D604" i="11"/>
  <c r="D603" i="11"/>
  <c r="D602" i="11"/>
  <c r="D601" i="11"/>
  <c r="D600" i="11"/>
  <c r="D599" i="11"/>
  <c r="D598" i="11"/>
  <c r="D597" i="11"/>
  <c r="D596" i="11"/>
  <c r="D595" i="11"/>
  <c r="D594" i="11"/>
  <c r="D593" i="11"/>
  <c r="D592" i="11"/>
  <c r="D591" i="11"/>
  <c r="D590" i="11"/>
  <c r="D589" i="11"/>
  <c r="D588" i="11"/>
  <c r="D587" i="11"/>
  <c r="D586" i="11"/>
  <c r="D585" i="11"/>
  <c r="D584" i="11"/>
  <c r="D583" i="11"/>
  <c r="D582" i="11"/>
  <c r="D581" i="11"/>
  <c r="D580" i="11"/>
  <c r="D579" i="11"/>
  <c r="D578" i="11"/>
  <c r="D577" i="11"/>
  <c r="D576" i="11"/>
  <c r="D575" i="11"/>
  <c r="D574" i="11"/>
  <c r="D573" i="11"/>
  <c r="D572" i="11"/>
  <c r="D571" i="11"/>
  <c r="D570" i="11"/>
  <c r="D569" i="11"/>
  <c r="D568" i="11"/>
  <c r="D567" i="11"/>
  <c r="D566" i="11"/>
  <c r="D565" i="11"/>
  <c r="D564" i="11"/>
  <c r="D563" i="11"/>
  <c r="D562" i="11"/>
  <c r="D561" i="11"/>
  <c r="D560" i="11"/>
  <c r="D559" i="11"/>
  <c r="D558" i="11"/>
  <c r="D557" i="11"/>
  <c r="D556" i="11"/>
  <c r="D555" i="11"/>
  <c r="D554" i="11"/>
  <c r="D553" i="11"/>
  <c r="D552" i="11"/>
  <c r="D551" i="11"/>
  <c r="D550" i="11"/>
  <c r="D549" i="11"/>
  <c r="D548" i="11"/>
  <c r="D547" i="11"/>
  <c r="D546" i="11"/>
  <c r="D545" i="11"/>
  <c r="D544" i="11"/>
  <c r="D543" i="11"/>
  <c r="D542" i="11"/>
  <c r="D541" i="11"/>
  <c r="D540" i="11"/>
  <c r="D539" i="11"/>
  <c r="D538" i="11"/>
  <c r="D537" i="11"/>
  <c r="D536"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9" i="11"/>
  <c r="D398" i="11"/>
  <c r="D397" i="11"/>
  <c r="D396" i="11"/>
  <c r="D395" i="11"/>
  <c r="D394"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D256" i="11"/>
  <c r="D255" i="11"/>
  <c r="D254" i="11"/>
  <c r="D253" i="11"/>
  <c r="D252" i="11"/>
  <c r="D251" i="11"/>
  <c r="D250" i="11"/>
  <c r="D249" i="11"/>
  <c r="D248" i="11"/>
  <c r="D247" i="11"/>
  <c r="D246" i="11"/>
  <c r="D245" i="11"/>
  <c r="D244" i="11"/>
  <c r="D243" i="11"/>
  <c r="D242" i="11"/>
  <c r="D241" i="11"/>
  <c r="D240" i="11"/>
  <c r="D239" i="11"/>
  <c r="D238" i="11"/>
  <c r="D237" i="11"/>
  <c r="D236" i="11"/>
  <c r="D235" i="11"/>
  <c r="D234" i="11"/>
  <c r="D233" i="11"/>
  <c r="D232" i="11"/>
  <c r="D231" i="11"/>
  <c r="D230" i="11"/>
  <c r="D229" i="11"/>
  <c r="D228" i="11"/>
  <c r="D227" i="11"/>
  <c r="D226" i="11"/>
  <c r="D225" i="11"/>
  <c r="D224" i="11"/>
  <c r="D223" i="11"/>
  <c r="D222" i="11"/>
  <c r="D221" i="11"/>
  <c r="D220" i="11"/>
  <c r="D219" i="11"/>
  <c r="D218" i="11"/>
  <c r="D217" i="11"/>
  <c r="D216" i="11"/>
  <c r="D215" i="11"/>
  <c r="D214" i="11"/>
  <c r="D213" i="11"/>
  <c r="D212" i="11"/>
  <c r="D211" i="11"/>
  <c r="D210" i="11"/>
  <c r="D209" i="11"/>
  <c r="D208" i="11"/>
  <c r="D207" i="11"/>
  <c r="D206" i="11"/>
  <c r="D205" i="11"/>
  <c r="D204" i="11"/>
  <c r="D203" i="11"/>
  <c r="D202" i="11"/>
  <c r="D201" i="11"/>
  <c r="D200" i="11"/>
  <c r="D199" i="11"/>
  <c r="D198" i="11"/>
  <c r="D197" i="11"/>
  <c r="D196" i="11"/>
  <c r="D195" i="11"/>
  <c r="D194" i="11"/>
  <c r="D193" i="11"/>
  <c r="D192" i="11"/>
  <c r="D191" i="11"/>
  <c r="D190" i="11"/>
  <c r="D189" i="11"/>
  <c r="D188" i="11"/>
  <c r="D187" i="11"/>
  <c r="D186" i="11"/>
  <c r="D185" i="11"/>
  <c r="D184" i="11"/>
  <c r="D183" i="11"/>
  <c r="D182" i="11"/>
  <c r="D181" i="11"/>
  <c r="D180" i="11"/>
  <c r="D179" i="11"/>
  <c r="D178" i="11"/>
  <c r="D177" i="11"/>
  <c r="D176" i="11"/>
  <c r="D175" i="11"/>
  <c r="D174" i="11"/>
  <c r="D173" i="11"/>
  <c r="D172" i="11"/>
  <c r="D171" i="11"/>
  <c r="D170" i="11"/>
  <c r="D169" i="11"/>
  <c r="D168" i="11"/>
  <c r="D167" i="11"/>
  <c r="D166" i="11"/>
  <c r="D165" i="11"/>
  <c r="D164" i="11"/>
  <c r="D163" i="11"/>
  <c r="D162" i="11"/>
  <c r="D161" i="11"/>
  <c r="D160" i="11"/>
  <c r="D159" i="11"/>
  <c r="D158" i="11"/>
  <c r="D157" i="11"/>
  <c r="D156" i="11"/>
  <c r="D155" i="11"/>
  <c r="D154" i="11"/>
  <c r="D153" i="11"/>
  <c r="D152" i="11"/>
  <c r="D151" i="11"/>
  <c r="D150" i="11"/>
  <c r="D149" i="11"/>
  <c r="D148" i="11"/>
  <c r="D147" i="11"/>
  <c r="D146" i="11"/>
  <c r="D145" i="11"/>
  <c r="D144" i="11"/>
  <c r="D143" i="11"/>
  <c r="D142" i="11"/>
  <c r="D141" i="11"/>
  <c r="D140" i="11"/>
  <c r="D139" i="11"/>
  <c r="D138" i="11"/>
  <c r="D137" i="11"/>
  <c r="D136" i="11"/>
  <c r="D135" i="11"/>
  <c r="D134" i="11"/>
  <c r="D133" i="11"/>
  <c r="D132" i="11"/>
  <c r="D131" i="11"/>
  <c r="D130" i="11"/>
  <c r="D129" i="11"/>
  <c r="D128" i="11"/>
  <c r="D127" i="11"/>
  <c r="D126" i="11"/>
  <c r="D125" i="11"/>
  <c r="D124" i="11"/>
  <c r="D123" i="11"/>
  <c r="D122" i="11"/>
  <c r="D121" i="11"/>
  <c r="D120" i="11"/>
  <c r="D119" i="11"/>
  <c r="D118" i="11"/>
  <c r="D117" i="11"/>
  <c r="D116" i="11"/>
  <c r="D115" i="11"/>
  <c r="D114" i="11"/>
  <c r="D113" i="11"/>
  <c r="D112" i="11"/>
  <c r="D111" i="11"/>
  <c r="D110" i="11"/>
  <c r="D109" i="11"/>
  <c r="D108" i="11"/>
  <c r="D107" i="11"/>
  <c r="D106" i="11"/>
  <c r="D105" i="11"/>
  <c r="D104" i="11"/>
  <c r="D103" i="11"/>
  <c r="D102" i="11"/>
  <c r="D101" i="11"/>
  <c r="D10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D69" i="11"/>
  <c r="D68" i="11"/>
  <c r="D67" i="11"/>
  <c r="D66" i="11"/>
  <c r="D65" i="11"/>
  <c r="D64" i="11"/>
  <c r="D63" i="11"/>
  <c r="D62" i="11"/>
  <c r="D61" i="11"/>
  <c r="D60" i="11"/>
  <c r="D59" i="11"/>
  <c r="D58" i="11"/>
  <c r="D57" i="11"/>
  <c r="D56" i="11"/>
  <c r="D55" i="11"/>
  <c r="D54" i="11"/>
  <c r="D53" i="11"/>
  <c r="D52" i="11"/>
  <c r="D51" i="11"/>
  <c r="D50" i="11"/>
  <c r="D49" i="11"/>
  <c r="D48" i="11"/>
  <c r="D47" i="11"/>
  <c r="D46" i="11"/>
  <c r="D45" i="11"/>
  <c r="D44" i="11"/>
  <c r="D43" i="11"/>
  <c r="D42" i="11"/>
  <c r="D41" i="11"/>
  <c r="D40" i="11"/>
  <c r="D39" i="11"/>
  <c r="D38" i="11"/>
  <c r="D37" i="11"/>
  <c r="D36" i="11"/>
  <c r="D35" i="11"/>
  <c r="D34" i="11"/>
  <c r="D33" i="11"/>
  <c r="D32" i="11"/>
  <c r="D31" i="11"/>
  <c r="D30" i="11"/>
  <c r="D29" i="11"/>
  <c r="D28" i="11"/>
  <c r="D27" i="11"/>
  <c r="D26" i="11"/>
  <c r="D25" i="11"/>
  <c r="D24" i="11"/>
  <c r="D23" i="11"/>
  <c r="D22" i="11"/>
  <c r="D21" i="11"/>
  <c r="D20" i="11"/>
  <c r="D19" i="11"/>
  <c r="D18" i="11"/>
  <c r="D17" i="11"/>
  <c r="D16" i="11"/>
  <c r="D15" i="11"/>
  <c r="D14" i="11"/>
  <c r="D13" i="11"/>
  <c r="D12" i="11"/>
  <c r="D11" i="11"/>
  <c r="D10" i="11"/>
  <c r="D9" i="11"/>
  <c r="D8" i="11"/>
  <c r="D7" i="11"/>
  <c r="D6" i="11"/>
  <c r="D5" i="11"/>
  <c r="D4" i="11"/>
  <c r="D3" i="11"/>
  <c r="F2" i="11"/>
  <c r="D2" i="11"/>
  <c r="C2296" i="1" l="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345" i="1" l="1"/>
  <c r="C2344" i="1"/>
  <c r="C2343" i="1"/>
  <c r="C2342" i="1"/>
  <c r="C2341" i="1"/>
  <c r="C2340" i="1"/>
  <c r="C2339" i="1"/>
  <c r="C2336" i="1"/>
  <c r="C2335" i="1"/>
  <c r="C2334" i="1"/>
  <c r="C2333" i="1"/>
  <c r="C2332" i="1"/>
  <c r="C2331" i="1"/>
  <c r="C2330" i="1"/>
  <c r="C2329" i="1"/>
  <c r="C2324" i="1"/>
  <c r="C2323" i="1"/>
  <c r="C2322" i="1"/>
  <c r="C2321" i="1"/>
  <c r="C2320" i="1"/>
  <c r="C2319" i="1"/>
  <c r="C2318" i="1"/>
  <c r="C2315" i="1"/>
  <c r="C2314" i="1"/>
  <c r="C2313" i="1"/>
  <c r="C2312" i="1"/>
  <c r="C2311" i="1"/>
  <c r="C2310" i="1"/>
  <c r="C2309" i="1"/>
  <c r="C2306" i="1"/>
  <c r="C2305" i="1"/>
  <c r="C2304" i="1"/>
  <c r="C2303" i="1"/>
  <c r="C2302" i="1"/>
  <c r="C2301" i="1"/>
  <c r="C2300" i="1"/>
  <c r="C2299" i="1"/>
  <c r="C2242" i="1" l="1"/>
  <c r="C2241" i="1"/>
  <c r="C2240" i="1"/>
  <c r="C2239" i="1"/>
  <c r="C2238" i="1"/>
  <c r="C2237" i="1"/>
  <c r="C2236" i="1"/>
  <c r="C2235" i="1"/>
  <c r="C2234" i="1"/>
  <c r="C2233" i="1"/>
  <c r="C2232" i="1"/>
  <c r="C2231" i="1"/>
  <c r="C2206" i="1" l="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679" i="1" l="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1" i="1"/>
  <c r="C390" i="1"/>
  <c r="C389" i="1"/>
  <c r="C388" i="1"/>
  <c r="C387" i="1"/>
  <c r="C386" i="1"/>
  <c r="C385" i="1"/>
  <c r="C384" i="1"/>
  <c r="C383" i="1"/>
  <c r="C382" i="1"/>
  <c r="C381" i="1"/>
  <c r="C380" i="1"/>
  <c r="C379" i="1"/>
  <c r="C378" i="1"/>
  <c r="C377" i="1"/>
  <c r="C376" i="1"/>
  <c r="C371" i="1"/>
  <c r="C370" i="1"/>
  <c r="C369" i="1"/>
  <c r="C368" i="1"/>
  <c r="C367" i="1"/>
  <c r="C366" i="1"/>
  <c r="C365" i="1"/>
  <c r="C364" i="1"/>
  <c r="C363" i="1"/>
  <c r="C362" i="1"/>
  <c r="C361" i="1"/>
  <c r="C360" i="1"/>
  <c r="C359" i="1"/>
  <c r="C358" i="1"/>
  <c r="C357" i="1"/>
  <c r="C356"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299" i="1"/>
  <c r="C298" i="1"/>
  <c r="C297" i="1"/>
  <c r="C296" i="1"/>
  <c r="C295" i="1"/>
  <c r="C294" i="1"/>
  <c r="C293" i="1"/>
  <c r="C292" i="1"/>
  <c r="C291" i="1"/>
  <c r="C290" i="1"/>
  <c r="C289" i="1"/>
  <c r="C288" i="1"/>
  <c r="C287" i="1"/>
  <c r="C286" i="1"/>
  <c r="C285" i="1"/>
  <c r="C284" i="1"/>
  <c r="C283" i="1"/>
  <c r="C282" i="1"/>
  <c r="C277" i="1"/>
  <c r="C276" i="1"/>
  <c r="C275" i="1"/>
  <c r="C274" i="1"/>
  <c r="C273" i="1"/>
  <c r="C272" i="1"/>
  <c r="C271" i="1"/>
  <c r="C270" i="1"/>
  <c r="C269" i="1"/>
  <c r="C268" i="1"/>
  <c r="C267" i="1"/>
  <c r="C266" i="1"/>
  <c r="C265" i="1"/>
  <c r="C264" i="1"/>
  <c r="C263" i="1"/>
  <c r="C262" i="1"/>
  <c r="C261" i="1"/>
  <c r="C260"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76" i="1"/>
  <c r="C175" i="1"/>
  <c r="C174" i="1"/>
  <c r="C173" i="1"/>
  <c r="C172" i="1"/>
  <c r="C171" i="1"/>
  <c r="C170" i="1"/>
  <c r="C169" i="1"/>
  <c r="C168" i="1"/>
  <c r="C167" i="1"/>
  <c r="C166" i="1"/>
  <c r="C165" i="1"/>
  <c r="C164" i="1"/>
  <c r="C163" i="1"/>
  <c r="C162" i="1"/>
  <c r="C161" i="1"/>
  <c r="C160" i="1"/>
  <c r="C159"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B95" i="1"/>
  <c r="B96" i="1" s="1"/>
  <c r="B20" i="1"/>
  <c r="B21" i="1" s="1"/>
  <c r="C19" i="1"/>
  <c r="C14" i="1"/>
  <c r="C13" i="1"/>
  <c r="C12" i="1"/>
  <c r="C11" i="1"/>
  <c r="C10" i="1"/>
  <c r="C9" i="1"/>
  <c r="C8" i="1"/>
  <c r="C7" i="1"/>
  <c r="C6" i="1"/>
  <c r="C5" i="1"/>
  <c r="C4" i="1"/>
  <c r="C95" i="1" l="1"/>
  <c r="C96" i="1"/>
  <c r="B97" i="1"/>
  <c r="C21" i="1"/>
  <c r="B22" i="1"/>
  <c r="C20" i="1"/>
  <c r="C22" i="1" l="1"/>
  <c r="B23" i="1"/>
  <c r="B98" i="1"/>
  <c r="C97" i="1"/>
  <c r="B99" i="1" l="1"/>
  <c r="C98" i="1"/>
  <c r="C23" i="1"/>
  <c r="B24" i="1"/>
  <c r="B25" i="1" l="1"/>
  <c r="C24" i="1"/>
  <c r="C99" i="1"/>
  <c r="B100" i="1"/>
  <c r="C100" i="1" l="1"/>
  <c r="B101" i="1"/>
  <c r="B26" i="1"/>
  <c r="C25" i="1"/>
  <c r="C26" i="1" l="1"/>
  <c r="B27" i="1"/>
  <c r="B102" i="1"/>
  <c r="C101" i="1"/>
  <c r="B103" i="1" l="1"/>
  <c r="C102" i="1"/>
  <c r="B28" i="1"/>
  <c r="C27" i="1"/>
  <c r="B29" i="1" l="1"/>
  <c r="C28" i="1"/>
  <c r="C103" i="1"/>
  <c r="B104" i="1"/>
  <c r="C104" i="1" l="1"/>
  <c r="B105" i="1"/>
  <c r="C29" i="1"/>
  <c r="B30" i="1"/>
  <c r="B106" i="1" l="1"/>
  <c r="C105" i="1"/>
  <c r="C30" i="1"/>
  <c r="B31" i="1"/>
  <c r="B32" i="1" l="1"/>
  <c r="C31" i="1"/>
  <c r="B107" i="1"/>
  <c r="C106" i="1"/>
  <c r="B108" i="1" l="1"/>
  <c r="C107" i="1"/>
  <c r="B33" i="1"/>
  <c r="C32" i="1"/>
  <c r="C33" i="1" l="1"/>
  <c r="B34" i="1"/>
  <c r="B109" i="1"/>
  <c r="C108" i="1"/>
  <c r="B110" i="1" l="1"/>
  <c r="C109" i="1"/>
  <c r="C34" i="1"/>
  <c r="B35" i="1"/>
  <c r="C35" i="1" l="1"/>
  <c r="B36" i="1"/>
  <c r="C110" i="1"/>
  <c r="B111" i="1"/>
  <c r="B37" i="1" l="1"/>
  <c r="C36" i="1"/>
  <c r="C111" i="1"/>
  <c r="B112" i="1"/>
  <c r="B113" i="1" l="1"/>
  <c r="C112" i="1"/>
  <c r="B38" i="1"/>
  <c r="C37" i="1"/>
  <c r="C38" i="1" l="1"/>
  <c r="B39" i="1"/>
  <c r="B114" i="1"/>
  <c r="C113" i="1"/>
  <c r="C114" i="1" l="1"/>
  <c r="B115" i="1"/>
  <c r="C39" i="1"/>
  <c r="B40" i="1"/>
  <c r="B41" i="1" l="1"/>
  <c r="C40" i="1"/>
  <c r="C115" i="1"/>
  <c r="B116" i="1"/>
  <c r="C116" i="1" s="1"/>
  <c r="B42" i="1" l="1"/>
  <c r="C41" i="1"/>
  <c r="C42" i="1" l="1"/>
  <c r="B43" i="1"/>
  <c r="B44" i="1" l="1"/>
  <c r="C43" i="1"/>
  <c r="B45" i="1" l="1"/>
  <c r="C44" i="1"/>
  <c r="C45" i="1" l="1"/>
  <c r="B46" i="1"/>
  <c r="C46" i="1" l="1"/>
  <c r="B47" i="1"/>
  <c r="B48" i="1" l="1"/>
  <c r="C47" i="1"/>
  <c r="B49" i="1" l="1"/>
  <c r="C48" i="1"/>
  <c r="C49" i="1" l="1"/>
  <c r="B50" i="1"/>
  <c r="C50" i="1" l="1"/>
  <c r="B51" i="1"/>
  <c r="C51" i="1" l="1"/>
  <c r="B52" i="1"/>
  <c r="B53" i="1" l="1"/>
  <c r="C52" i="1"/>
  <c r="B54" i="1" l="1"/>
  <c r="C53" i="1"/>
  <c r="C54" i="1" l="1"/>
  <c r="B55" i="1"/>
  <c r="B56" i="1" l="1"/>
  <c r="C55" i="1"/>
  <c r="B57" i="1" l="1"/>
  <c r="C56" i="1"/>
  <c r="C57" i="1" l="1"/>
  <c r="B58" i="1"/>
  <c r="C58" i="1" l="1"/>
  <c r="B59" i="1"/>
  <c r="C59" i="1" l="1"/>
  <c r="B60" i="1"/>
  <c r="B61" i="1" l="1"/>
  <c r="C60" i="1"/>
  <c r="C61" i="1" l="1"/>
  <c r="B62" i="1"/>
  <c r="C62" i="1" l="1"/>
  <c r="B63" i="1"/>
  <c r="C63" i="1" l="1"/>
  <c r="B64" i="1"/>
  <c r="B65" i="1" l="1"/>
  <c r="C64" i="1"/>
  <c r="B66" i="1" l="1"/>
  <c r="C65" i="1"/>
  <c r="C66" i="1" l="1"/>
  <c r="B67" i="1"/>
  <c r="C67" i="1" l="1"/>
  <c r="B68" i="1"/>
  <c r="B69" i="1" l="1"/>
  <c r="C68" i="1"/>
  <c r="B70" i="1" l="1"/>
  <c r="C69" i="1"/>
  <c r="C70" i="1" l="1"/>
  <c r="B71" i="1"/>
  <c r="C71" i="1" l="1"/>
  <c r="B72" i="1"/>
  <c r="B73" i="1" l="1"/>
  <c r="C72" i="1"/>
  <c r="B74" i="1" l="1"/>
  <c r="C73" i="1"/>
  <c r="C74" i="1" l="1"/>
  <c r="B75" i="1"/>
  <c r="B76" i="1" l="1"/>
  <c r="C75" i="1"/>
  <c r="B77" i="1" l="1"/>
  <c r="C76" i="1"/>
  <c r="C77" i="1" l="1"/>
  <c r="B78" i="1"/>
  <c r="C78" i="1" l="1"/>
  <c r="B79" i="1"/>
  <c r="B80" i="1" l="1"/>
  <c r="C79" i="1"/>
  <c r="C80" i="1" l="1"/>
  <c r="B81" i="1"/>
  <c r="C81" i="1" l="1"/>
  <c r="B82" i="1"/>
  <c r="B83" i="1" l="1"/>
  <c r="C82" i="1"/>
  <c r="B84" i="1" l="1"/>
  <c r="C83" i="1"/>
  <c r="C84" i="1" l="1"/>
  <c r="B85" i="1"/>
  <c r="B86" i="1" l="1"/>
  <c r="C85" i="1"/>
  <c r="B87" i="1" l="1"/>
  <c r="C86" i="1"/>
  <c r="B88" i="1" l="1"/>
  <c r="C87" i="1"/>
  <c r="C88" i="1" l="1"/>
  <c r="B89" i="1"/>
  <c r="B90" i="1" l="1"/>
  <c r="C90" i="1" s="1"/>
  <c r="C8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Lund, Camilla</author>
  </authors>
  <commentList>
    <comment ref="H243" authorId="0" shapeId="0" xr:uid="{71C73239-6910-4C6E-B37D-AA14BB96876E}">
      <text>
        <r>
          <rPr>
            <b/>
            <sz val="9"/>
            <color indexed="81"/>
            <rFont val="Tahoma"/>
            <family val="2"/>
          </rPr>
          <t>Lund, Camilla:</t>
        </r>
        <r>
          <rPr>
            <sz val="9"/>
            <color indexed="81"/>
            <rFont val="Tahoma"/>
            <family val="2"/>
          </rPr>
          <t xml:space="preserve">
Det er ikke muligt at undgå at vælge</t>
        </r>
      </text>
    </comment>
    <comment ref="H285" authorId="0" shapeId="0" xr:uid="{3A20D5E3-6DFE-4DA4-BB69-B88A1747A08C}">
      <text>
        <r>
          <rPr>
            <b/>
            <sz val="9"/>
            <color indexed="81"/>
            <rFont val="Tahoma"/>
            <family val="2"/>
          </rPr>
          <t>Lund, Camilla:</t>
        </r>
        <r>
          <rPr>
            <sz val="9"/>
            <color indexed="81"/>
            <rFont val="Tahoma"/>
            <family val="2"/>
          </rPr>
          <t xml:space="preserve">
Skal vi ikke også have den omvendte?</t>
        </r>
      </text>
    </comment>
    <comment ref="H294" authorId="0" shapeId="0" xr:uid="{31A0E648-F408-4ED6-8B8C-3BE89428141C}">
      <text>
        <r>
          <rPr>
            <b/>
            <sz val="9"/>
            <color indexed="81"/>
            <rFont val="Tahoma"/>
            <family val="2"/>
          </rPr>
          <t>Lund, Camilla:</t>
        </r>
        <r>
          <rPr>
            <sz val="9"/>
            <color indexed="81"/>
            <rFont val="Tahoma"/>
            <family val="2"/>
          </rPr>
          <t xml:space="preserve">
Det er ikke muligt af vælge ingenting</t>
        </r>
      </text>
    </comment>
    <comment ref="H295" authorId="0" shapeId="0" xr:uid="{89717F1D-D28C-4FA4-9A3F-FF69ECFFB2AA}">
      <text>
        <r>
          <rPr>
            <b/>
            <sz val="9"/>
            <color indexed="81"/>
            <rFont val="Tahoma"/>
            <family val="2"/>
          </rPr>
          <t>Lund, Camilla:</t>
        </r>
        <r>
          <rPr>
            <sz val="9"/>
            <color indexed="81"/>
            <rFont val="Tahoma"/>
            <family val="2"/>
          </rPr>
          <t xml:space="preserve">
Det er ikke muligt af vælge ingenting</t>
        </r>
      </text>
    </comment>
    <comment ref="I607" authorId="0" shapeId="0" xr:uid="{F9248810-6D5F-4275-9A2B-6693A0266658}">
      <text>
        <r>
          <rPr>
            <b/>
            <sz val="9"/>
            <color indexed="81"/>
            <rFont val="Tahoma"/>
            <family val="2"/>
          </rPr>
          <t>Lund, Camilla:</t>
        </r>
        <r>
          <rPr>
            <sz val="9"/>
            <color indexed="81"/>
            <rFont val="Tahoma"/>
            <family val="2"/>
          </rPr>
          <t xml:space="preserve">
Usikker på hvilken form burde poppe op
</t>
        </r>
      </text>
    </comment>
  </commentList>
</comments>
</file>

<file path=xl/sharedStrings.xml><?xml version="1.0" encoding="utf-8"?>
<sst xmlns="http://schemas.openxmlformats.org/spreadsheetml/2006/main" count="45586" uniqueCount="2405">
  <si>
    <t>TC ID</t>
  </si>
  <si>
    <t>Pos./neg.</t>
  </si>
  <si>
    <t>LIMEDIE</t>
  </si>
  <si>
    <t>Positive</t>
  </si>
  <si>
    <t>Negative</t>
  </si>
  <si>
    <t>1</t>
  </si>
  <si>
    <t>Form</t>
  </si>
  <si>
    <t>TestCase Nr</t>
  </si>
  <si>
    <t>Parameter navn</t>
  </si>
  <si>
    <t>Parameter kode</t>
  </si>
  <si>
    <t>Fordringshaver ID</t>
  </si>
  <si>
    <t>Parameter type</t>
  </si>
  <si>
    <t>String</t>
  </si>
  <si>
    <t>Fordringstype</t>
  </si>
  <si>
    <t>Modtagelseperiode fra</t>
  </si>
  <si>
    <t>Modtagelseperiode til</t>
  </si>
  <si>
    <t>korrektData</t>
  </si>
  <si>
    <t>Tilbage knappen</t>
  </si>
  <si>
    <t>Videre knappen</t>
  </si>
  <si>
    <t>Commandbutton</t>
  </si>
  <si>
    <t>Okbutton</t>
  </si>
  <si>
    <t>Radiobutton</t>
  </si>
  <si>
    <t>Krav #</t>
  </si>
  <si>
    <t>1.1</t>
  </si>
  <si>
    <t>01-09-2014</t>
  </si>
  <si>
    <t>01-09-2015</t>
  </si>
  <si>
    <t>Ja</t>
  </si>
  <si>
    <t>X</t>
  </si>
  <si>
    <t>Forventet prosa</t>
  </si>
  <si>
    <t>Form #</t>
  </si>
  <si>
    <t xml:space="preserve">Spørgsmål </t>
  </si>
  <si>
    <t>Beskrivelse</t>
  </si>
  <si>
    <t>N/A</t>
  </si>
  <si>
    <t>0</t>
  </si>
  <si>
    <t>0.1</t>
  </si>
  <si>
    <t>Modtagelsesperioden: Vi vil ikke konfigurere fordringer, der er modtaget før den 1. september 2013</t>
  </si>
  <si>
    <t>0.2</t>
  </si>
  <si>
    <t>Fordringsart: Som udgangspunkt foretages der en konfiguration i forhold til både inddrivelses- og modregningsfordringer, og der spørges ikke ind til opkrævningsfordringer.</t>
  </si>
  <si>
    <t>0.3</t>
  </si>
  <si>
    <t>Som udgangspunkt skal Regel R0007 være deaktiveret</t>
  </si>
  <si>
    <t>0.4</t>
  </si>
  <si>
    <t>Som udgangspunkt skal Regel R0008 være deaktiveret</t>
  </si>
  <si>
    <t>0.5</t>
  </si>
  <si>
    <t>Der skal være angivet datoen 1. september 2013 som default i ”FordringensModtagelsesDatoFra”</t>
  </si>
  <si>
    <t>Form 2</t>
  </si>
  <si>
    <t>Hvis det angivne fordringshaverID er på færre end 4 cifre skal den numeriskeværdi foranstilles med nuller</t>
  </si>
  <si>
    <t>1.2</t>
  </si>
  <si>
    <t>FordringshaverID formatet skal være et tekstfelt eller dropdown menu</t>
  </si>
  <si>
    <t>1.3</t>
  </si>
  <si>
    <t>FordringshaverID'et skal gemmes i populationen</t>
  </si>
  <si>
    <t>2.1</t>
  </si>
  <si>
    <t>Fordringstyperne skal listes i en drop-down menu bestående af alle tilgængelige fordringstyper</t>
  </si>
  <si>
    <t>2.2</t>
  </si>
  <si>
    <t>Den valgte fordringstype skal gemmes i populationen</t>
  </si>
  <si>
    <t>3.1</t>
  </si>
  <si>
    <t>Såfremt den valgte modtagelsesdato ligger før d. 1 september 2013 skal der komme en advarsel</t>
  </si>
  <si>
    <t>3.2</t>
  </si>
  <si>
    <t>Det skal være muligt for brugeren at afgrænse en periode via to datofelter (fra og til)</t>
  </si>
  <si>
    <t>3.3</t>
  </si>
  <si>
    <t>Den valgte afgrænsningsperiode skal gemmes i populationen</t>
  </si>
  <si>
    <t>4.1</t>
  </si>
  <si>
    <t xml:space="preserve">Det skal være muligt for brugeren at markere hvorvidt en fordringshavers registreringspraksis har været det samme i hele den afgrænsede modtagelsesperiode. </t>
  </si>
  <si>
    <t>4</t>
  </si>
  <si>
    <t>4.2</t>
  </si>
  <si>
    <t>Såfremt brugeren svarer nej til spørgsmålet skal brugeren ledes videre til spørgsmål 4.a</t>
  </si>
  <si>
    <t>4.3</t>
  </si>
  <si>
    <t>Såfremt brugeren svarer ja til spørgsmålet skal brugeren ledes videre til spørgsmål 5</t>
  </si>
  <si>
    <t>Form 3</t>
  </si>
  <si>
    <t>4.a</t>
  </si>
  <si>
    <t>4.a.1</t>
  </si>
  <si>
    <t>Det skal være muligt for RIM at afgrænse en periode, hvor fordringshavers registreringspraksis har været den samme i hele den afgrænsede periode</t>
  </si>
  <si>
    <t>4.a.2</t>
  </si>
  <si>
    <t>Der skal være checkbokse med svarmulighederne:
1. ”at der enten foretages en tilpasning af den allerede afgrænsede modtagelses-periode”
2. ”at der foretages en perio-demæssig afgrænsning af den allerede afgrænsede modtagelsesperiode via ét eller flere af stamdatafel-terne”
3. ”NEJ/VED IKKE”</t>
  </si>
  <si>
    <t>4.a.3</t>
  </si>
  <si>
    <t>Såfremt brugeren vælger ”at der enten foretages en tilpasning af den allerede afgrænsede modtagelses-periode” skal brugeren ledes videre til spørgsmål 4.a.1</t>
  </si>
  <si>
    <t>4.a.4</t>
  </si>
  <si>
    <t>4.a.5</t>
  </si>
  <si>
    <t>Såfremt brugeren vælger ”NEJ/VED IKKE” skal brugeren ledes videre til spørgsmål 4.a.3</t>
  </si>
  <si>
    <t>Form 4</t>
  </si>
  <si>
    <t>4.a.1.1</t>
  </si>
  <si>
    <t xml:space="preserve">Det skal være muligt for brugeren at justere den allerede afgrænsede modtagelsesperiode </t>
  </si>
  <si>
    <t>4.a.1.2</t>
  </si>
  <si>
    <t>Den nye afgrænsede modtagelsesperiode skal gemmes i populationen</t>
  </si>
  <si>
    <t>4.a.1.3</t>
  </si>
  <si>
    <t>Brugeren ledes videre til spørgsmål 5</t>
  </si>
  <si>
    <t>Form 5</t>
  </si>
  <si>
    <t>5</t>
  </si>
  <si>
    <t>5.1</t>
  </si>
  <si>
    <t>Brugeren skal kunne bekræfte, hvorvidt stamdata for inddrivelses- og modregningsfordringer i den afgrænsede population til hver tid er registreret efter samme praksis</t>
  </si>
  <si>
    <t>5.2</t>
  </si>
  <si>
    <t>Brugeren skal have mulighed for at bekræfte dette via Ja / Nej knapper</t>
  </si>
  <si>
    <t>5.3</t>
  </si>
  <si>
    <t>Såfremt brugeren vælger "Ja" skal brugeren ledes videre til spørgsmål 5.a</t>
  </si>
  <si>
    <t>5.4</t>
  </si>
  <si>
    <t>Jf. kravet forventes det at et gyldigt fordringshaverid bliver gemt i Populationsarket</t>
  </si>
  <si>
    <t>Jf. kravet forventes det at et gyldigt fordringshaverid bliver gemt i SpmSvar arket</t>
  </si>
  <si>
    <t>blank</t>
  </si>
  <si>
    <t>abcd</t>
  </si>
  <si>
    <t>1229</t>
  </si>
  <si>
    <t>Kravtekst</t>
  </si>
  <si>
    <t>Som bruger vil jeg forvente at input som ikke figurerer på listen (fx tastefejl) vil blive fanget og en advarsel vil komme frem</t>
  </si>
  <si>
    <t>LIMRDIE</t>
  </si>
  <si>
    <t>Som bruger vil jeg forvente at input som som figurerer på listen vil blive gemt i Populationsarket</t>
  </si>
  <si>
    <t>Som bruger vil jeg forvente at input som som figurerer på listen vil blive gemt i SpmSvar arket</t>
  </si>
  <si>
    <t>LIM12IE</t>
  </si>
  <si>
    <t>LIMEDI</t>
  </si>
  <si>
    <t>LIMIEDIE</t>
  </si>
  <si>
    <t>empty</t>
  </si>
  <si>
    <t>Parameter kode2</t>
  </si>
  <si>
    <t>01-09-2012</t>
  </si>
  <si>
    <t>01-01-2013</t>
  </si>
  <si>
    <t>Jf. kravet bør d. 1 september 2013 være default i feltet txtModStart. Det vil sige at såfremt der ikke allerede er en værdi i SpmSvar arket bør denne fremgå som 01-09-2013</t>
  </si>
  <si>
    <t>Jf. kravet bør der komme en advarsel såfremt brugeren prøver at sætte modtagelsesdatofra til før d. 1/9-2013</t>
  </si>
  <si>
    <t>01-10-2013</t>
  </si>
  <si>
    <t>01-10-2018</t>
  </si>
  <si>
    <t>01-10-2014</t>
  </si>
  <si>
    <t>Jf. kravet bør den afgrænsede periode (Modtagelsesdato slut) gemmes i Populationsarket</t>
  </si>
  <si>
    <t>Jf. kravet bør den afgrænsede periode (Modtagelsesdato start) gemmes i Populationsarket</t>
  </si>
  <si>
    <t>10-15-2013</t>
  </si>
  <si>
    <t>31-10-2013</t>
  </si>
  <si>
    <t>10-15-2014</t>
  </si>
  <si>
    <t>01/10/2013</t>
  </si>
  <si>
    <t>01/10/2014</t>
  </si>
  <si>
    <t>1 oktober 2013</t>
  </si>
  <si>
    <t>1 oktober 2014</t>
  </si>
  <si>
    <t>Jf. kravet skal brugeren have mulgihed for at markere om den registrede registreringspraksis har været den samme under hele afgrænsningsperioden. Såfremt der svares ja bør dette også fremgå af SpmSvar arket</t>
  </si>
  <si>
    <t>Jf. kravet skal brugeren have mulgihed for at markere om den registrede registreringspraksis har været den samme under hele afgrænsningsperioden. Såfremt der svares nej bør dette også fremgå af SpmSvar arket</t>
  </si>
  <si>
    <t>forkertData</t>
  </si>
  <si>
    <t>True til samme praksis i hele perioden</t>
  </si>
  <si>
    <t>True</t>
  </si>
  <si>
    <t>False til samme praksis i hele perioden</t>
  </si>
  <si>
    <t>False</t>
  </si>
  <si>
    <t>Som bruger vil jeg ikke forvente det er muligt at fortsætte uden at angive et fordringshaverid. Her vil jeg forvente at en fejlbesked kommer frem.</t>
  </si>
  <si>
    <t>01-09-2013</t>
  </si>
  <si>
    <t>Som bruger vil jeg ikke forvente det er muligt at angive bogstaver some fordringshaverID, da dette udelukkende består af tal. Derfor vil jeg forvente en fejlbesked omkring dette.</t>
  </si>
  <si>
    <t>Som bruger vil jeg ikke forvente det er muligt at fortsætte uden at angive en forringstype. Her vil jeg forvente at en fejlbesked kommer frem</t>
  </si>
  <si>
    <t>Som bruger vil jeg ikke forvente at det er muligt at indtaste et ikke gyldigt datoformat (mm-dd-yyyy) i Modtagelsesdato start. En fejl besked bør komme frem</t>
  </si>
  <si>
    <t>Som bruger vil jeg ikke forvente at det er muligt at indtaste et ikke gyldigt datoformat (mm-dd-yyyy) i Modtagelsesdato slut. En fejl besked bør komme frem</t>
  </si>
  <si>
    <t>Som bruger vil jeg ikke forvente at det er muligt at indtaste et ikke gyldigt datoformat (dd/mm/yyyy) i Modtagelsesdato start. En fejl besked bør komme frem</t>
  </si>
  <si>
    <t>Som bruger vil jeg ikke forvente at det er muligt at indtaste et ikke gyldigt datoformat (dd/mm/yyyy)  i Modtagelsesdato slut. En fejl besked bør komme frem</t>
  </si>
  <si>
    <t>Som bruger vil jeg ikke forvente at det er muligt at indtaste et ikke gyldigt datoformat i Modtagelsesdato start. En fejl besked bør komme frem</t>
  </si>
  <si>
    <t>Som bruger vil jeg ikke forvente at det er muligt at indtaste et ikke gyldigt datoformat i Modtagelsesdato slut. En fejl besked bør komme frem</t>
  </si>
  <si>
    <t>Som bruger vil jeg ikke forvente at det vil være muligt at gå videre til næste step uden at svare på, hvorvidt den registrede registreringspraksis har været den samme under hele afgrænsningsperioden.
Her bør en fejlbesked komme frem.</t>
  </si>
  <si>
    <t>nextStep</t>
  </si>
  <si>
    <t>frm004</t>
  </si>
  <si>
    <t>frm003</t>
  </si>
  <si>
    <t>frm005</t>
  </si>
  <si>
    <t>Jf. kravet skal brugeren sendes videre til spørgsmål 4.a (form 3), såfremt at der svares nej til spørgsmålet</t>
  </si>
  <si>
    <t>Jf. kravet skal brugeren sendes videre til spørgsmål 5 (form 5), såfremt at der svares ja til spørgsmålet</t>
  </si>
  <si>
    <t>Som bruger vil jeg forvente at blive sendt videre til den forrige form såfremt at der klikkes på tilbage knappen</t>
  </si>
  <si>
    <t>frm001</t>
  </si>
  <si>
    <t>Dækket i x testcases</t>
  </si>
  <si>
    <t>At der foretages en periodemæssig afgrænsning</t>
  </si>
  <si>
    <t>At der enten foretages en tilpasning</t>
  </si>
  <si>
    <t>Nej/Ved Ikke</t>
  </si>
  <si>
    <t>Jf. kravet skal brugeren sendes videre til spørgsmål 4.a.1 (form 4)</t>
  </si>
  <si>
    <t>Jf. kravet skal brugeren sendes videre til spørgsmål 4.a.2 (form 26)</t>
  </si>
  <si>
    <t>frm026</t>
  </si>
  <si>
    <t>Som bruger vil jeg forvente at svaret bliver registreret i SpmSvar således at den bliver gemt som en del af den samlede konfiguration</t>
  </si>
  <si>
    <t>Jf. kravet skal brugeren sendes videre til spørgsmål 4.a.3 (Populationen skal afgrænses på ny og brugeren sendes tilbage til form 2)</t>
  </si>
  <si>
    <t>frm002</t>
  </si>
  <si>
    <t>Såfremt brugeren vælger ”at der foretages en perio-demæssig afgrænsning af den allerede afgrænsede modtagelsesperiode via ét eller flere af stamdatafelterne” skal brugeren ledes videre til spørgsmål 4.a.2</t>
  </si>
  <si>
    <t>Nej/Ved ikke</t>
  </si>
  <si>
    <t>Jf. kravet skal den første checkboks have værdien: "at der enten foretages en tilpasning af den allerede afgrænsede modtagelses-periode"</t>
  </si>
  <si>
    <t>Jf. kravet skal den anden checkboks have værdien: "at der enten foretages en tilpasning af den allerede afgrænsede modtagelses-periode"</t>
  </si>
  <si>
    <t>Tilbage</t>
  </si>
  <si>
    <t>Nej</t>
  </si>
  <si>
    <t>Som bruger vil jeg ikke forvente at det vil være muligt at gå videre til næste step uden at bekræfte, hvorvidt stamdata for inddrivelses- og modregningsfordringer i den afgrænsede population til hver tid er registreret efter samme praksis.
Her bør en fejlbesked komme frem.</t>
  </si>
  <si>
    <t>Jf. kravet skal brugeren sendes videre til spørgsmål 5.a , hvor regel R0006 aktiveres</t>
  </si>
  <si>
    <t>Jf. kravet skal brugeren sendes videre til spørgsmål 5.a , hvor regel R0007 deaktiveres</t>
  </si>
  <si>
    <t>Jf. kravet skal brugeren sendes videre til spørgsmål 5.a , hvor regel R0008 deaktiveres</t>
  </si>
  <si>
    <t>Jf. kravet skal brugeren sendes videre til spørgsmål 4.a.2 (form 6)</t>
  </si>
  <si>
    <t>frm006</t>
  </si>
  <si>
    <t>fordringshaverID</t>
  </si>
  <si>
    <t>errorMessage</t>
  </si>
  <si>
    <t>Error message not defined</t>
  </si>
  <si>
    <t>I forbindelse med at jeg kommer til form 2 hvor jeg har valgt "tidligere besvarelse" i form 1, skal eventuel forrige fordringshaverID pre-loades ind i formen</t>
  </si>
  <si>
    <t>fordringType</t>
  </si>
  <si>
    <t>I forbindelse med at jeg kommer til form 2 hvor jeg har valgt "tidligere besvarelse" i form 1, skal eventuel forrige fordringstype pre-loades ind i formen</t>
  </si>
  <si>
    <t>modtagelseStart</t>
  </si>
  <si>
    <t>modtagelseSlut</t>
  </si>
  <si>
    <t>30-10-2013</t>
  </si>
  <si>
    <t>Som bruger vil jeg ikke forvente at det er muligt at indtaste en Modtagelsesdato slut som er før Modtagelsesdato start. En fejl besked bør komme frem</t>
  </si>
  <si>
    <t>I forbindelse med at jeg kommer til form 2 hvor jeg har valgt "tidligere besvarelse" i form 1, skal eventuel forrige modtagelsedataStart pre-loades ind i formen</t>
  </si>
  <si>
    <t>I forbindelse med at jeg kommer til form 2 hvor jeg har valgt "tidligere besvarelse" i form 1, skal eventuel forrige modtagelsedataSlut pre-loades ind i formen</t>
  </si>
  <si>
    <t>backButton</t>
  </si>
  <si>
    <t>I forbindelse med at jeg kommer til form 2 hvor jeg har valgt "tidligere besvarelse" i form 1, skal eventuel forrige "forkertData"  pre-loades ind i formen</t>
  </si>
  <si>
    <t>I forbindelse med at jeg kommer til form 2 hvor jeg har valgt "tidligere besvarelse" i form 1, skal eventuel forrige "korrektData"  pre-loades ind i formen</t>
  </si>
  <si>
    <t>I forbindelse med at jeg kommer til form 3 hvor jeg har valgt "at der enten foretages en tilpasning af den allerede afgrænsede modtagelsesperiode" i en tidligere besvarelse, skal eventuel forrige valg pre-loades ind i formen</t>
  </si>
  <si>
    <t>I forbindelse med at jeg kommer til form 3 hvor jeg har valgt "at der foretages en periodemæssig afgrænsning af den allerede afgrænsede modtagelsesperiode via ét eller flere af stamdatafelterne" i en tidligere besvarelse, skal eventuel forrige valg pre-loades ind i formen</t>
  </si>
  <si>
    <t>I forbindelse med at jeg kommer til form 3 hvor jeg har valgt "Nej/Ved ikke" i en tidligere besvarelse, skal eventuel forrige valg pre-loades ind i formen</t>
  </si>
  <si>
    <t>I forbindelse med at jeg kommer til form 3 hvor der ikke er foretaget et valg i en tidligere besvarelse, vil jeg forvente at checkboksen ikke er markeret</t>
  </si>
  <si>
    <t>I forbindelse med at jeg kommer til form 2 hvor jeg har valgt "ny besvarelse" i form 1, alle feltet være blank</t>
  </si>
  <si>
    <t>I forbindelse med at jeg kommer til form 5 hvor jeg har valgt "Ja" i en tidligere besvarelse, skal eventuel forrige valg pre-loades ind i formen</t>
  </si>
  <si>
    <t>I forbindelse med at jeg kommer til form 5 hvor jeg har valgt "Nej" i en tidligere besvarelse, skal eventuel forrige valg pre-loades ind i formen</t>
  </si>
  <si>
    <t>I forbindelse med at jeg kommer til form 5 hvor der ikke tidligere er foretaget at valg, forventer jeg at begge checkbokses ikke er markeret</t>
  </si>
  <si>
    <t>Som bruger vil jeg ikke forvente at det vil være muligt at gå videre til næste step uden at bekræfte, hvorvidt stamdata for inddrivelses- og modregningsfordringer i den afgrænsede population til hver tid er registreret efter samme praksis.
Her bør intet gemmes i SpmSvar</t>
  </si>
  <si>
    <t>xx</t>
  </si>
  <si>
    <t>30-09-2013</t>
  </si>
  <si>
    <t>Ny Besvarelse</t>
  </si>
  <si>
    <t>Tidligere Besvarelse</t>
  </si>
  <si>
    <t>CommandButton1</t>
  </si>
  <si>
    <t>OKButton</t>
  </si>
  <si>
    <t>Når jeg som bruger vælger "Ny Besvarelse" forventer jeg at indstillinger i SpmSvar sættes tilbage til default</t>
  </si>
  <si>
    <t>Når jeg som bruger vælger "Ny Besvarelse" forventer jeg at indstillinger i Population sættes tilbage til default</t>
  </si>
  <si>
    <t>Når jeg som bruger vælger "Ny Besvarelse" forventer jeg at indstillinger i Regler sættes tilbage til default</t>
  </si>
  <si>
    <t>Når jeg som bruger vælger "Ny Besvarelse" forventer jeg at indstillinger i Grupper sættes tilbage til default</t>
  </si>
  <si>
    <t>Når jeg som bruger vælger "Ny Besvarelse" forventer jeg at blive ledt til den næste form efter nulstilling af konfigurationen</t>
  </si>
  <si>
    <t>Når jeg som bruger vælger "Ny Besvarelse" forventer jeg at blive mødt med en advarsel, hvor jeg skal bekræfte om jeg ønsker at slette den nuværende konfiguration</t>
  </si>
  <si>
    <t>Når jeg som bruger vælger "Tidligere Besvarelse" forventer jeg at blive ledt til den næste form</t>
  </si>
  <si>
    <t>existingConfig</t>
  </si>
  <si>
    <t>defaultConfig</t>
  </si>
  <si>
    <t>Når jeg som bruger vælger "Eksisterende Besvarelse" forventer jeg at indstillinger i SpmSvar forbliver uændret fra den eksisterende konfiguration</t>
  </si>
  <si>
    <t>Når jeg som bruger vælger "Eksisterende Besvarelse" forventer jeg at indstillinger i Population forbliver uændret fra den eksisterende konfiguration</t>
  </si>
  <si>
    <t>Når jeg som bruger vælger "Eksisterende Besvarelse" forventer jeg at indstillinger i Regler forbliver uændret fra den eksisterende konfiguration</t>
  </si>
  <si>
    <t>Når jeg som bruger vælger "Eksisterende Besvarelse" forventer jeg at indstillinger i Grupper forbliver uændret fra den eksisterende konfiguration</t>
  </si>
  <si>
    <t>testSubject</t>
  </si>
  <si>
    <t>testParameter</t>
  </si>
  <si>
    <t>expected</t>
  </si>
  <si>
    <t>Actual</t>
  </si>
  <si>
    <t>Review</t>
  </si>
  <si>
    <t>printsToPopSheet</t>
  </si>
  <si>
    <t/>
  </si>
  <si>
    <t>printsToSpmSvarSheet</t>
  </si>
  <si>
    <t>tidligereBesvarelse</t>
  </si>
  <si>
    <t>printsToSpmSheet</t>
  </si>
  <si>
    <t>printsToRulSheet</t>
  </si>
  <si>
    <t>printsToGroSheet</t>
  </si>
  <si>
    <t>checkCaption</t>
  </si>
  <si>
    <t>tidigereBesvarelse</t>
  </si>
  <si>
    <t>optionButton1</t>
  </si>
  <si>
    <t>optionButton2</t>
  </si>
  <si>
    <t>optionButton3</t>
  </si>
  <si>
    <t>run</t>
  </si>
  <si>
    <t>rule</t>
  </si>
  <si>
    <t>R0006</t>
  </si>
  <si>
    <t>R0007</t>
  </si>
  <si>
    <t>R0008</t>
  </si>
  <si>
    <t>At der enten foretages en tilpasning af den allerede afgrænsede modtagelsesperiode</t>
  </si>
  <si>
    <t>At der foretages en periodemæssig afgrænsning af den allerede afgrænsede modtagelsesperiode via ét eller flere af stamdatafelterne</t>
  </si>
  <si>
    <t>JA</t>
  </si>
  <si>
    <t>NEJ</t>
  </si>
  <si>
    <t>Jf. kravet forventes det at spørgeskemaet sætter foranstillede nuller foran et indtastet fordringshaverid på færre end 4 cifre. Et 4 cifret tal forventes i Populations arket</t>
  </si>
  <si>
    <t>Jf. kravet forventes det at spørgeskemaet sætter foranstillede nuller foran et indtastet fordringshaverid på færre end 4 cifre. Et 4 cifret tal forventes i SpmSvar arket</t>
  </si>
  <si>
    <t>Jf. kravet bør den afgrænsede periode (Modtagelsesdato start) gemmes i Populationsarket hvor man kun indtaster modtagelseDato Start</t>
  </si>
  <si>
    <t>Jf. kravet bør den afgrænsede periode (Modtagelsesdato start) gemmes i SpmSvararket hvor man kun indtaster modtagelseDato Start</t>
  </si>
  <si>
    <t>Jf. kravet bør den afgrænsede periode (Modtagelsesdato slut) gemmes i Populationsarket hvor man kun indtaster modtagelseDato Slut.</t>
  </si>
  <si>
    <t>Jf. kravet bør den afgrænsede periode (Modtagelsesdato slut) gemmes i SpmSvararket hvor man kun indtaster modtagelseDato Slut.</t>
  </si>
  <si>
    <t>Jf. kravet bør den afgrænsede periode (Modtagelsesdato start) gemmes i Populationsarket hvor man indtaster både modtagelse start og slut</t>
  </si>
  <si>
    <t>Jf. kravet bør den afgrænsede periode (Modtagelsesdato start) gemmes i SpmSvararket hvor man indtaster både modtagelse start og slut</t>
  </si>
  <si>
    <t>Jf. kravet bør den afgrænsede periode (Modtagelsesdato slut) gemmes i Populationsarket hvor man indtaster både modtagelse start og slut</t>
  </si>
  <si>
    <t>Jf. kravet bør den afgrænsede periode (Modtagelsesdato slut) gemmes i SpmSvararket hvor man indtaster både modtagelse start og slut</t>
  </si>
  <si>
    <t>Explanation</t>
  </si>
  <si>
    <t>Tests that the Spørgeskema prints values correctly to the Population Sheet</t>
  </si>
  <si>
    <t>Tests that the Spørgeskema prints values correctly to the SpmSvar Sheet</t>
  </si>
  <si>
    <t>Tests that the Spørgeskema prints values correctly to the Rules Sheet</t>
  </si>
  <si>
    <t>Tests that the Spørgeskema prints values correctly to the Groups Sheet</t>
  </si>
  <si>
    <t>Tests that the back button functions as intended</t>
  </si>
  <si>
    <t>Tests error messages - both that they appear and their message</t>
  </si>
  <si>
    <t>Tests that the correct following form(s) open</t>
  </si>
  <si>
    <t>Tests that the form correctly loads any previous response saved</t>
  </si>
  <si>
    <t>Ja, 1</t>
  </si>
  <si>
    <t>Nej, 1</t>
  </si>
  <si>
    <t>Ja, 2</t>
  </si>
  <si>
    <t>Nej, 2</t>
  </si>
  <si>
    <t>Ja, 3</t>
  </si>
  <si>
    <t>Nej, 3</t>
  </si>
  <si>
    <t>optionButton4</t>
  </si>
  <si>
    <t>optionButton5</t>
  </si>
  <si>
    <t>optionButton6</t>
  </si>
  <si>
    <t>6.a.1</t>
  </si>
  <si>
    <t>Jf. Kravet vil jeg som bruger forvente at en fejlbesked kommer frem,  da et ja i et af felterne medføre at konfigurationen ikke er understøttet af spørgeskemaet (Ja til Spg 1, Nej til Spg 2 og Nej til Spg 3)</t>
  </si>
  <si>
    <t>To be defined</t>
  </si>
  <si>
    <t>Jf. Kravet vil jeg som bruger forvente at en fejlbesked kommer frem,  da et ja i et af felterne medføre at konfigurationen ikke er understøttet af spørgeskemaet (Ja til Spg 1, Ja til Spg 2 og Nej til Spg 3)</t>
  </si>
  <si>
    <t>Jf. Kravet vil jeg som bruger forvente at en fejlbesked kommer frem,  da et ja i et af felterne medføre at konfigurationen ikke er understøttet af spørgeskemaet (Ja til Spg 1, Nej til Spg 2 og Ja til Spg 3)</t>
  </si>
  <si>
    <t>Jf. Kravet vil jeg som bruger forvente at en fejlbesked kommer frem,  da et ja i et af felterne medføre at konfigurationen ikke er understøttet af spørgeskemaet (Ja til Spg 1, Ja til Spg 2 og Ja til Spg 3)</t>
  </si>
  <si>
    <t>7.a.1</t>
  </si>
  <si>
    <t>Jf. Kravet vil jeg som bruger forvente at en fejlbesked kommer frem,  da et ja i et af felterne medføre at konfigurationen ikke er understøttet af spørgeskemaet (Nej til Spg 1, Ja til Spg 2 og Nej til Spg 3)</t>
  </si>
  <si>
    <t>7.2</t>
  </si>
  <si>
    <t>Jf. Kravet vil jeg som bruger forvente at en fejlbesked kommer frem,  da et ja i et af felterne medføre at konfigurationen ikke er understøttet af spørgeskemaet (Nej til Spg 1, Ja til Spg 2 og Ja til Spg 3)</t>
  </si>
  <si>
    <t>8.2</t>
  </si>
  <si>
    <t>Jf. Kravet vil jeg som bruger forvente at en fejlbesked kommer frem,  da et ja i et af felterne medføre at konfigurationen ikke er understøttet af spørgeskemaet (Nej til Spg 1, Nej til Spg 2 og Ja til Spg 3)</t>
  </si>
  <si>
    <t>8.a.1</t>
  </si>
  <si>
    <t>6.3</t>
  </si>
  <si>
    <t>Som bruger vil jeg forvente at resultatet gemmes i SpmSvar, således at det kan indhentes på et senere tidspunkt</t>
  </si>
  <si>
    <t>7.3</t>
  </si>
  <si>
    <t>8.3</t>
  </si>
  <si>
    <t>Jf. Kravet skal brugeren sendes til Spørgsmål 9, hvilket er form 7. Derfor bør brugeren ledes til Form 9 når der er svaret nej til alle spørgsmål</t>
  </si>
  <si>
    <t xml:space="preserve">Som bruger forventer jeg at få vist form 5 hvis jeg trykker på tilbage knappen. </t>
  </si>
  <si>
    <t>I forbindelse med at jeg kommer til form 6 hvor jeg har valgt "Ja" i optionButton2 en tidligere besvarelse, skal eventuel forrige valg pre-loades ind i formen</t>
  </si>
  <si>
    <t>I forbindelse med at jeg kommer til form 6 hvor jeg har valgt "Ja" i optionButton4 en tidligere besvarelse, skal eventuel forrige valg pre-loades ind i formen</t>
  </si>
  <si>
    <t>I forbindelse med at jeg kommer til form 6 hvor jeg har valgt "Ja" i optionButton6 en tidligere besvarelse, skal eventuel forrige valg pre-loades ind i formen</t>
  </si>
  <si>
    <t>I forbindelse med at jeg kommer til form 6 hvor der ikke tidligere er foretaget at valg, forventer jeg at alle checkbokses ikke er markeret</t>
  </si>
  <si>
    <t>frm007</t>
  </si>
  <si>
    <t>Altid</t>
  </si>
  <si>
    <t>I visse tilfælde</t>
  </si>
  <si>
    <t>9.2</t>
  </si>
  <si>
    <t>Jf. kravet skal brugeren, når der vælges "Altid", sendes til spørgsmål 9.a (Form 8)</t>
  </si>
  <si>
    <t>frm008</t>
  </si>
  <si>
    <t>9.3</t>
  </si>
  <si>
    <t>Jf. kravet skal brugeren, når der vælges "I visse tilfælde" sendes til spørgsmål 9.b (Form 11)</t>
  </si>
  <si>
    <t>frm011</t>
  </si>
  <si>
    <t>9.4</t>
  </si>
  <si>
    <t>Aldrig</t>
  </si>
  <si>
    <t xml:space="preserve">Jf. kravet skal brugeren, når der vælges "Aldrig", sendes til spørgsmål 9.c, hvor logikken foregår i samme form. Herefter sendes brugeren automatisk til Spørgsmål 10 (form 14) </t>
  </si>
  <si>
    <t>frm014</t>
  </si>
  <si>
    <t>9.c.1</t>
  </si>
  <si>
    <t xml:space="preserve">Jf. kravet skal der angives et Nej i Populationsarket. </t>
  </si>
  <si>
    <t>ruleActivation</t>
  </si>
  <si>
    <t>9.c.2</t>
  </si>
  <si>
    <t>Jf. kravet skal "FOKO-kontrollen  sættes op som i Re-tracer (dvs. standard. Se regel 320, 321 og 513 i Retracer-Matricen). Dette indebærer, at RIM ikke beregner en forældelsesdato, der ligger senere end den af fordringshaver registrerede FOKO."</t>
  </si>
  <si>
    <t>R0042</t>
  </si>
  <si>
    <t>9.c.3</t>
  </si>
  <si>
    <t>ruleDurXDays</t>
  </si>
  <si>
    <t>ruleDurXMonths</t>
  </si>
  <si>
    <t>ruleDurXYears</t>
  </si>
  <si>
    <t>9.c.4</t>
  </si>
  <si>
    <t>R0043</t>
  </si>
  <si>
    <t>9.c.5</t>
  </si>
  <si>
    <t>9.c.6</t>
  </si>
  <si>
    <t>R0044</t>
  </si>
  <si>
    <t>9.c.7</t>
  </si>
  <si>
    <t>9.c.8</t>
  </si>
  <si>
    <t>R0045</t>
  </si>
  <si>
    <t>9.c.9</t>
  </si>
  <si>
    <t>9.c.10</t>
  </si>
  <si>
    <t>R0046</t>
  </si>
  <si>
    <t>9.c.11</t>
  </si>
  <si>
    <t>Som bruger forventer jeg ikke at jeg kan gå videre uden at aktivere en af checkboksne. Her bør en advarsel komme</t>
  </si>
  <si>
    <t>Jf. Kravet skal brugeren sendes til Spørgsmål 9, hvilket er form 7. Derfor bør brugeren ledes til Form 7 når der trykkes "Tilbage"</t>
  </si>
  <si>
    <t>I forbindelse med at jeg kommer til form 7 hvor jeg har valgt "Ja" i optionButton1 en tidligere besvarelse, skal eventuel forrige valg pre-loades ind i formen</t>
  </si>
  <si>
    <t>I forbindelse med at jeg kommer til form 7 hvor jeg har valgt "Ja" i optionButton2 en tidligere besvarelse, skal eventuel forrige valg pre-loades ind i formen</t>
  </si>
  <si>
    <t>I forbindelse med at jeg kommer til form 7 hvor jeg har valgt "Ja" i optionButton3 en tidligere besvarelse, skal eventuel forrige valg pre-loades ind i formen</t>
  </si>
  <si>
    <t>I forbindelse med at jeg kommer til form 7 hvor jeg har valgt "ny besvarelse" i form 1, alle feltet være blank</t>
  </si>
  <si>
    <t>Group</t>
  </si>
  <si>
    <t>Run</t>
  </si>
  <si>
    <t>9.a.2</t>
  </si>
  <si>
    <t xml:space="preserve">Jf. kravet skal brugeren, når der vælges "Ja", sendes til spørgsmål 9.a.1, hvor logikken foregår i samme form. Herefter sendes brugeren automatisk til Spørgsmål 11 (form 15) </t>
  </si>
  <si>
    <t>9.a.3</t>
  </si>
  <si>
    <t>Jf. kravet skal brugeren, når der vælges "Nej" sendes til 9.a.2 (Form 15)</t>
  </si>
  <si>
    <t>frm009</t>
  </si>
  <si>
    <t>9.a.1.1</t>
  </si>
  <si>
    <t>groupActivation</t>
  </si>
  <si>
    <t>9.a.1.2</t>
  </si>
  <si>
    <t>9.a.1.3</t>
  </si>
  <si>
    <t>Jf. kravet skal der skrives "Ja" som værdi ud for "Stoler RIM på fordringshaver forældelsesdatoen" i populationsarket</t>
  </si>
  <si>
    <t>9.a.1.4</t>
  </si>
  <si>
    <t>Jf. kravet skal der skrives "Nej" som værdi ud for "Vil RIM beregne en tidligst mulig forældelsesdato?" i populationsarket</t>
  </si>
  <si>
    <t>I forbindelse med at jeg kommer til form 8 hvor jeg har valgt "Ja" i en tidligere besvarelse, skal eventuel forrige valg pre-loades ind i formen</t>
  </si>
  <si>
    <t>I forbindelse med at jeg kommer til form 8 hvor jeg har valgt "Nej" i  en tidligere besvarelse, skal eventuel forrige valg pre-loades ind i formen</t>
  </si>
  <si>
    <t>I forbindelse med at jeg kommer til form 8 hvor jeg har valgt "ny besvarelse" i form 1, alle feltet være blank</t>
  </si>
  <si>
    <t>Som bruger forventer jeg at blive sendt tilbage til den seneste form når der trykkes på tilbage knappen</t>
  </si>
  <si>
    <t>trustRIM</t>
  </si>
  <si>
    <t>rimFOKO</t>
  </si>
  <si>
    <t>9.a.2.2</t>
  </si>
  <si>
    <t>9.a.2.3</t>
  </si>
  <si>
    <t>Jf. kravet skal brugeren, når der vælges "Nej" sendes til 9.a.2.2 (Form 10)</t>
  </si>
  <si>
    <t>9.a.2.1.1</t>
  </si>
  <si>
    <t>9.a.2.1.2</t>
  </si>
  <si>
    <t>9.a.2.1.3</t>
  </si>
  <si>
    <t>9.a.2.1.4</t>
  </si>
  <si>
    <t>group</t>
  </si>
  <si>
    <t>I forbindelse med at jeg kommer til form 9 hvor jeg har valgt "Ja" i en tidligere besvarelse, skal eventuel forrige valg pre-loades ind i formen</t>
  </si>
  <si>
    <t>I forbindelse med at jeg kommer til form 9 hvor jeg har valgt "Nej" i  en tidligere besvarelse, skal eventuel forrige valg pre-loades ind i formen</t>
  </si>
  <si>
    <t>I forbindelse med at jeg kommer til form 9 hvor jeg har valgt "ny besvarelse" i form 1, alle feltet være blank</t>
  </si>
  <si>
    <t>frm010</t>
  </si>
  <si>
    <t>Jf. kravet skal gruppe 1 deaktiveres når der vælges "Ja" i formen</t>
  </si>
  <si>
    <t>Jf. kravet skal gruppe 2 aktiveres når der vælges "Ja" i formen</t>
  </si>
  <si>
    <t>DageTick</t>
  </si>
  <si>
    <t>Ved ikke</t>
  </si>
  <si>
    <t>Dage</t>
  </si>
  <si>
    <t>Rule</t>
  </si>
  <si>
    <t>9.a.2.2.2</t>
  </si>
  <si>
    <t>9.a.2.2.3</t>
  </si>
  <si>
    <t>9.a.2.2.1.1</t>
  </si>
  <si>
    <t>Jf. kravet skal gruppe 1 deaktiveres når der bliver angivet antal dage</t>
  </si>
  <si>
    <t>10</t>
  </si>
  <si>
    <t>9.a.2.2.1.2</t>
  </si>
  <si>
    <t>Jf. kravet skal antallet af dage indsættes i "Varighed X" cellen ved Regel R0042</t>
  </si>
  <si>
    <t>9.a.2.2.1.3</t>
  </si>
  <si>
    <t>Jf. kravet skal antallet af dage indsættes i "Varighed X" cellen ved Regel R0043</t>
  </si>
  <si>
    <t>9.a.2.2.1.4</t>
  </si>
  <si>
    <t>Jf. kravet skal antallet af dage indsættes i "Varighed X" cellen ved Regel R0044</t>
  </si>
  <si>
    <t>9.a.2.2.1.5</t>
  </si>
  <si>
    <t>Jf. kravet skal antallet af dage indsættes i "Varighed X" cellen ved Regel R0045</t>
  </si>
  <si>
    <t>9.a.2.2.1.6</t>
  </si>
  <si>
    <t>Jf. kravet skal antallet af dage indsættes i "Varighed X" cellen ved Regel R0046</t>
  </si>
  <si>
    <t>9.a.2.2.1.7</t>
  </si>
  <si>
    <t>Jf. kravet skal gruppe 2 aktiveres når der bliver angivet antal dage</t>
  </si>
  <si>
    <t>9.a.2.2.1.8</t>
  </si>
  <si>
    <t>9.a.2.2.1.9</t>
  </si>
  <si>
    <t>9.a.2.2.2.1</t>
  </si>
  <si>
    <t>Jf. kravet skal der skrives "NEJ" som værdi ud for "Stoler RIM på fordringshaver forældelsesdatoen" i populationsarket</t>
  </si>
  <si>
    <t>9.a.2.2.2.2</t>
  </si>
  <si>
    <t>9.a.2.2.2.3</t>
  </si>
  <si>
    <t>9.a.2.2.2.4</t>
  </si>
  <si>
    <t>9.a.2.2.2.5</t>
  </si>
  <si>
    <t>9.a.2.2.2.6</t>
  </si>
  <si>
    <t>9.a.2.2.2.7</t>
  </si>
  <si>
    <t>9.a.2.2.2.8</t>
  </si>
  <si>
    <t>9.a.2.2.2.9</t>
  </si>
  <si>
    <t>9.a.2.2.2.10</t>
  </si>
  <si>
    <t>9.a.2.2.2.11</t>
  </si>
  <si>
    <t>Som bruger vil jeg ikke forvente at jeg kan undlade at indtaste antal dage, da grunden til at brugeren sendes til denne form er for at definere denne</t>
  </si>
  <si>
    <t>-10</t>
  </si>
  <si>
    <t>Som bruger vil jeg ikke forvente at jeg kan indsætte andet end tal</t>
  </si>
  <si>
    <t>hej</t>
  </si>
  <si>
    <t>Som bruger vil jeg ikke forvente at jeg kan indsætte antal dage over 1000 (grænsen står med kommentar i regel arket)</t>
  </si>
  <si>
    <t>1001</t>
  </si>
  <si>
    <t>Som bruger vil jeg ikke forvente at jeg kan indsætte antal dage under -1000 (grænsen står med kommentar i regel arket)</t>
  </si>
  <si>
    <t>-1001</t>
  </si>
  <si>
    <t>G0002</t>
  </si>
  <si>
    <t>G0001</t>
  </si>
  <si>
    <t xml:space="preserve">Jf. kravet skal brugeren, når der vælges "Ved ikke" sendes til 9.a.2.2.2 - hvor logikken foregår i samme form. Herefter sendes brugeren automatisk til Spørgsmål 10 (form 14)  </t>
  </si>
  <si>
    <t xml:space="preserve">Jf. kravet skal brugeren, når der vælges "Hvis antal dage kan angives", sendes til spørgsmål 9.a.2.2.1, hvor logikken foregår i samme form. Herefter sendes brugeren automatisk til Spørgsmål 10 (form 14) </t>
  </si>
  <si>
    <t>Jf. kravet skal der skrives "Ja" som værdi ud for "Stoler RIM på fordringshaver forældelsesdatoen" i populationsarket hvis der angives antal dage</t>
  </si>
  <si>
    <t>Jf. kravet skal der skrives "Nej" som værdi ud for "Vil RIM beregne en tidligst mulig forældelsesdato?" i populationsarket hvis der angives antal dage</t>
  </si>
  <si>
    <t>antalDage</t>
  </si>
  <si>
    <t>noExtraPrints</t>
  </si>
  <si>
    <t>noChangeWhenError</t>
  </si>
  <si>
    <t>Som bruger vil jeg ikke forvente det er muligt at fortsætte uden at angive et fordringshaverid. Dette betyder også at der ikke foretages ændringer i arkene</t>
  </si>
  <si>
    <t>Som bruger vil jeg ikke forvente det er muligt at angive bogstaver some fordringshaverID, da dette udelukkende består af tal. Dette betyder også at der ikke foretages ændringer i arkene</t>
  </si>
  <si>
    <t>Som bruger vil jeg ikke forvente det er muligt at angive tal som del af fordringstypen, da denne udelukkende bogstaver. Dette betyder der burde vises en fejlbesked</t>
  </si>
  <si>
    <t>Som bruger vil jeg ikke forvente det er muligt at angive tal som del af fordringstypen, da denne udelukkende bogstaver. Dette betyder der ikke burde ændres i arkene</t>
  </si>
  <si>
    <t>Som bruger vil jeg ikke forvente det er muligt at angive en fordringstype under 7 karakterer, da fordringstyper altid har denne længde. Dette betyder at der burde vises en fejlbesked</t>
  </si>
  <si>
    <t>Som bruger vil jeg ikke forvente det er muligt at angive en fordringstype under 7 karakterer, da fordringstyper altid har denne længde. Dette betyder at der ikke burde være ændringer i arkene</t>
  </si>
  <si>
    <t>Som bruger vil jeg ikke forvente det er muligt at angive en fordringstype over 7 karakterer, da fordringstyper altid har denne længde. Dette betyder at der burde vises en fejlbesked</t>
  </si>
  <si>
    <t>Som bruger vil jeg ikke forvente det er muligt at angive en fordringstype over 7 karakterer, da fordringstyper altid har denne længde. Dette betyder at der ikke burde være ændringer i arkene</t>
  </si>
  <si>
    <t>Jeg forventer ikke der skrives noget i arkene hvår jeg indtaster en dato før 01-09-2013, da der skal komme en advarsel</t>
  </si>
  <si>
    <t>Som bruger vil jeg ikke forvente at det er muligt at indtaste et ikke gyldigt datoformat (mm-dd-yyyy) i Modtagelsesdato start. Der bør ikke være ændringer i arkene</t>
  </si>
  <si>
    <t>Som bruger vil jeg ikke forvente at det er muligt at indtaste et ikke gyldigt datoformat (mm-dd-yyyy) i Modtagelsesdato slut. Der bør ikke være ændringer i arkene</t>
  </si>
  <si>
    <t>Som bruger vil jeg ikke forvente at det er muligt at indtaste et ikke gyldigt datoformat (dd/mm/yyyy) i Modtagelsesdato start. Der bør ikke være ændringer i arkene</t>
  </si>
  <si>
    <t>Som bruger vil jeg ikke forvente at det er muligt at indtaste et ikke gyldigt datoformat (dd/mm/yyyy) i Modtagelsesdato slut. Der bør ikke være ændringer i arkene</t>
  </si>
  <si>
    <t>Som bruger vil jeg ikke forvente at det er muligt at indtaste et ikke gyldigt datoformat i Modtagelsesdato start. Der bør ikke være ændringer i arkene</t>
  </si>
  <si>
    <t>Som bruger vil jeg ikke forvente at det er muligt at indtaste et ikke gyldigt datoformat i Modtagelsesdato slut. Der bør ikke være ændringer i arkene</t>
  </si>
  <si>
    <t>Som bruger vil jeg ikke forvente at det er muligt at indtaste en Modtagelsesdato slut som er før Modtagelsesdato start. Der bør ikke ændres i arkene</t>
  </si>
  <si>
    <t>Som bruger vil jeg ikke forvente at det vil være muligt at gå videre til næste step uden at svare på, hvorvidt den registrede registreringspraksis har været den samme under hele afgrænsningsperioden.
Der bør ikke være ændringer i arkene</t>
  </si>
  <si>
    <t>Som bruger vil jeg ikke forvente at det vil være muligt at gå videre til næste step uden at svare på, hvorvidt den registrede registreringspraksis har været den samme under hele afgrænsningsperioden.
Der bør ikke ændres noget i arkene</t>
  </si>
  <si>
    <t>Som bruger vil jeg ikke forvente at det vil være muligt at gå videre til næste step uden at bekræfte, hvorvidt stamdata for inddrivelses- og modregningsfordringer i den afgrænsede population til hver tid er registreret efter samme praksis.
Her bør der ikke ændres i arkene</t>
  </si>
  <si>
    <t>Som bruger forventer jeg ikke at jeg kan gå videre uden at aktivere en af checkboksne. Her  bør der ikke ændres noget i arkene</t>
  </si>
  <si>
    <t>Som bruger forventer jeg ikke at jeg kan gå videre uden at aktivere en af checkboksne. Her bør der ikke ændres i arkene</t>
  </si>
  <si>
    <t>Som bruger vil jeg ikke forvente at jeg kan undlade at indtaste antal dage, da grunden til at brugeren sendes til denne form er for at definere denne. Der bør ikke ændres noget i arkene</t>
  </si>
  <si>
    <t>Som bruger vil jeg ikke forvente at jeg kan indsætte andet end tal. Der bør ikke ændres noget i arkene</t>
  </si>
  <si>
    <t>Som bruger vil jeg ikke forvente at jeg kan indsætte antal dage over 1000 (grænsen står med kommentar i regel arket). Der bør ikke ændres noget i arkene</t>
  </si>
  <si>
    <t>Som bruger vil jeg ikke forvente at jeg kan indsætte antal dage under -1000 (grænsen står med kommentar i regel arket). Der bør ikke ændres noget i arkene</t>
  </si>
  <si>
    <t>config1</t>
  </si>
  <si>
    <t>config2</t>
  </si>
  <si>
    <t>Jeg forventer at kun bestemte celler ændre sig ved at svare Ja (Andre celler end hvis jeg svarer nej)</t>
  </si>
  <si>
    <t>Jeg forventer at kun bestemte celler ændre sig ved at svare Nej (Andre celler end hvis jeg svarer nej)</t>
  </si>
  <si>
    <t>Jeg forventer at kun bestemte celler ændre sig ved at svare "Aldrig"  (Andre celler end hvis jeg svarer anderledes)</t>
  </si>
  <si>
    <t>Jeg forventer at kun bestemte celler ændre sig ved at svare "Altid" (Andre celler end hvis jeg svarer aldrig)</t>
  </si>
  <si>
    <t>Jeg forventer at kun bestemte celler ændre sig uanset hvad jeg svarer</t>
  </si>
  <si>
    <t>Som bruger vil jeg ikke forvente det er muligt at fortsætte uden at angive en fordringstype. Her vil jeg forvente at der ikke forekommer ændringer i arkene</t>
  </si>
  <si>
    <t>Jeg forventer at kun bestemte celler ændre sig ved at svare Nej (Andre celler end hvis jeg svarer ja)</t>
  </si>
  <si>
    <t>Jeg forventer at kun bestemte celler ændre sig ved at svare "i visse tilfælde" (Andre celler end hvis jeg svarer aldrig)</t>
  </si>
  <si>
    <t>Fordringstype findes ikke</t>
  </si>
  <si>
    <t>10-15-2014 er ikke en gyldig dato.</t>
  </si>
  <si>
    <t>Formattet skal være DD-MM-ÅÅÅÅ.</t>
  </si>
  <si>
    <t>Slutperioden kan ikke ligge før startperioden.</t>
  </si>
  <si>
    <t>Udfyld venligst spørgsmål omkring fordringshavers registreringspraksis for at forsætte.</t>
  </si>
  <si>
    <t>AFGDÆKN</t>
  </si>
  <si>
    <t>0021</t>
  </si>
  <si>
    <t>21</t>
  </si>
  <si>
    <t>0061</t>
  </si>
  <si>
    <t>DFKFEUB</t>
  </si>
  <si>
    <t xml:space="preserve">Som bruger forventer jeg at spørgeskemaet viser en fejlbesked hvis jeg indtaster en kombination af fordringshaverID og Fordringstype som ikke findes. </t>
  </si>
  <si>
    <t>Som bruger forventer jeg at spørgeskemaet afviser hvis jeg indtaster en kombination af fordringshaverID og Fordringstype som ikke findes og derfor ikke printer noget i arkene</t>
  </si>
  <si>
    <t>Kombination af FordringshaverID og Fordringstype findes ikke.</t>
  </si>
  <si>
    <t>frm039</t>
  </si>
  <si>
    <t>Empty</t>
  </si>
  <si>
    <t>Vælg venligst én af de ovenstående muligheder</t>
  </si>
  <si>
    <t>Antal dage er indtastet forkert</t>
  </si>
  <si>
    <t>9.b.2</t>
  </si>
  <si>
    <t>9.b.3</t>
  </si>
  <si>
    <t>Jf. kravet skal brugeren, når der vælges "Nej" sendes til 9.b.2 (Form 10)</t>
  </si>
  <si>
    <t>frm012</t>
  </si>
  <si>
    <t>9.b.1.1</t>
  </si>
  <si>
    <t>9.b.2.2</t>
  </si>
  <si>
    <t>9.b.2.3</t>
  </si>
  <si>
    <t>Jf. kravet skal brugeren, når der vælges "Nej" sendes til 9.b.2.2 (Form 10)</t>
  </si>
  <si>
    <t>frm013</t>
  </si>
  <si>
    <t>9.b.2.1.1</t>
  </si>
  <si>
    <t>9.b.2.1.2</t>
  </si>
  <si>
    <t>9.b.2.2.2</t>
  </si>
  <si>
    <t xml:space="preserve">Jf. kravet skal brugeren, når der vælges "Hvis antal dage kan angives", sendes til spørgsmål 9.b.2.2.1, hvor logikken foregår i samme form. Herefter sendes brugeren automatisk til Spørgsmål 10 (form 14) </t>
  </si>
  <si>
    <t>9.b.2.2.1.1</t>
  </si>
  <si>
    <t>9.b.2.2.1.2</t>
  </si>
  <si>
    <t>9.b.2.2.1.3</t>
  </si>
  <si>
    <t>9.b.2.2.1.4</t>
  </si>
  <si>
    <t>9.b.2.2.1.5</t>
  </si>
  <si>
    <t>9.b.2.2.1.6</t>
  </si>
  <si>
    <t>9.b.2.2.3</t>
  </si>
  <si>
    <t xml:space="preserve">Jf. kravet skal brugeren, når der vælges "Ved ikke" sendes til 9.b.2.2.2 - hvor logikken foregår i samme form. Herefter sendes brugeren automatisk til Spørgsmål 10 (form 14)  </t>
  </si>
  <si>
    <t>9.b.2.2.2.1</t>
  </si>
  <si>
    <t>9.b.2.2.2.2</t>
  </si>
  <si>
    <t>9.b.2.2.2.3</t>
  </si>
  <si>
    <t>Jf. kravet skal antallet af dage sættes til blank i "Varighed X" cellen ved Regel R0042</t>
  </si>
  <si>
    <t>9.b.2.2.2.4</t>
  </si>
  <si>
    <t>9.b.2.2.2.5</t>
  </si>
  <si>
    <t>Jf. kravet skal antallet af dage sættes til blank i "Varighed X" cellen ved Regel R0043</t>
  </si>
  <si>
    <t>9.b.2.2.2.6</t>
  </si>
  <si>
    <t>9.b.2.2.2.7</t>
  </si>
  <si>
    <t>Jf. kravet skal antallet af dage sættes til blank i "Varighed X" cellen ved Regel R0044</t>
  </si>
  <si>
    <t>9.b.2.2.2.8</t>
  </si>
  <si>
    <t>9.b.2.2.2.9</t>
  </si>
  <si>
    <t>Jf. kravet skal antallet af dage sættes til blank i "Varighed X" cellen ved Regel R0045</t>
  </si>
  <si>
    <t>9.b.2.2.2.10</t>
  </si>
  <si>
    <t>9.b.2.2.2.11</t>
  </si>
  <si>
    <t>Jf. kravet skal antallet af dage sættes til blank i "Varighed X" cellen ved Regel R0046</t>
  </si>
  <si>
    <t>Forfaldsdato</t>
  </si>
  <si>
    <t>SRB</t>
  </si>
  <si>
    <t>Stiftelsesdato</t>
  </si>
  <si>
    <t>Periode start dato</t>
  </si>
  <si>
    <t>Periode slut dato</t>
  </si>
  <si>
    <t>Ingen</t>
  </si>
  <si>
    <t>spm9 Svar</t>
  </si>
  <si>
    <t>spm9b1 Svar</t>
  </si>
  <si>
    <t>spm9b21 Svar</t>
  </si>
  <si>
    <t>spm9b221 Svar</t>
  </si>
  <si>
    <t>Checkbox</t>
  </si>
  <si>
    <t>KOMMENTAR</t>
  </si>
  <si>
    <t>forfaldsdato</t>
  </si>
  <si>
    <t>srb</t>
  </si>
  <si>
    <t>stiftelsesdato</t>
  </si>
  <si>
    <t>periodeStartDato</t>
  </si>
  <si>
    <t>periodeSlutDato</t>
  </si>
  <si>
    <t>ingen</t>
  </si>
  <si>
    <t>spm9Svar</t>
  </si>
  <si>
    <t>spm9bSvar</t>
  </si>
  <si>
    <t>spm9b2Svar</t>
  </si>
  <si>
    <t>spm9b22Svar</t>
  </si>
  <si>
    <t xml:space="preserve">group </t>
  </si>
  <si>
    <t>10.5</t>
  </si>
  <si>
    <t>jf. kravet skal jeg ledes til spm 10 gennem form 28 hvis jeg vælge forfaldsdato</t>
  </si>
  <si>
    <t>frm028</t>
  </si>
  <si>
    <t>Som bruger vil jeg forvente at mit valg/fravalg af forfaldsdato skrives til SpmSvar</t>
  </si>
  <si>
    <t>Forfaldsdato True</t>
  </si>
  <si>
    <t>Som bruger vil jeg forvente at mit valg/fravalg af SRB skrives til SpmSvar</t>
  </si>
  <si>
    <t>SRB False</t>
  </si>
  <si>
    <t>Som bruger vil jeg forvente at mit valg/fravalg af stiftelsesdato skrives til SpmSvar</t>
  </si>
  <si>
    <t>Stiftelsesdato False</t>
  </si>
  <si>
    <t>Som bruger vil jeg forvente at mit valg/fravalg af Periodestartdato skrives til SpmSvar</t>
  </si>
  <si>
    <t>PeriodeStart False</t>
  </si>
  <si>
    <t>Som bruger vil jeg forvente at mit valg/fravalg af Periodeslutdato skrives til SpmSvar</t>
  </si>
  <si>
    <t>PeriodeSlut False</t>
  </si>
  <si>
    <t>Ingen False</t>
  </si>
  <si>
    <t>Jeg forventer at kun bestemte celler ændre sig ved at svare forfaldsdato (Andre celler end hvis jeg svarer ingen)</t>
  </si>
  <si>
    <t>10.6</t>
  </si>
  <si>
    <t>jf. kravet skal jeg ledes til spm 10 gennem form 32 hvis jeg vælge SRB</t>
  </si>
  <si>
    <t>frm032</t>
  </si>
  <si>
    <t>Forfaldsdato False</t>
  </si>
  <si>
    <t>SRB True</t>
  </si>
  <si>
    <t>Jeg forventer at kun bestemte celler ændre sig ved at svare SRB (Andre celler end hvis jeg svarer ingen)</t>
  </si>
  <si>
    <t>10.4</t>
  </si>
  <si>
    <t>jf. kravet skal jeg ledes til spm 10 gennem form 29 hvis jeg vælge stiftelsesdato</t>
  </si>
  <si>
    <t>frm029</t>
  </si>
  <si>
    <t>Stiftelsesdato True</t>
  </si>
  <si>
    <t>Jeg forventer at kun bestemte celler ændre sig ved at svare stiftelsesDato (Andre celler end hvis jeg svarer ingen)</t>
  </si>
  <si>
    <t>10.7</t>
  </si>
  <si>
    <t>jf. kravet skal jeg ledes til spm 10 gennem form 30 hvis jeg vælge Periode start dato</t>
  </si>
  <si>
    <t>frm030</t>
  </si>
  <si>
    <t>PeriodeStart True</t>
  </si>
  <si>
    <t>Jeg forventer at kun bestemte celler ændre sig ved at svare periodeStartDato (Andre celler end hvis jeg svarer ingen)</t>
  </si>
  <si>
    <t>10.8</t>
  </si>
  <si>
    <t>jf. kravet skal jeg ledes til spm 10 gennem form 31 hvis jeg vælge Periode slut dato</t>
  </si>
  <si>
    <t>frm031</t>
  </si>
  <si>
    <t>PeriodeSlut True</t>
  </si>
  <si>
    <t>Jeg forventer at kun bestemte celler ændre sig ved at svare periodeSlutDato (Andre celler end hvis jeg svarer ingen)</t>
  </si>
  <si>
    <t>message</t>
  </si>
  <si>
    <t>jf. kravet skal jeg vises en advarselsbok (frmMsg) popper op før jeg fortsætter fra 10.b til 11</t>
  </si>
  <si>
    <t>frmMsg</t>
  </si>
  <si>
    <t xml:space="preserve">Denne er et gæt! Ikke beskrevet i kravene hvad der sker hvis du kommer til 10b via 9a. </t>
  </si>
  <si>
    <t>10.b.4</t>
  </si>
  <si>
    <t>jf. kravet hvis jeg vælger "ingen" skal der komme en advarsel frem før jeg forsætter til 11: ”RIM kan ikke beregne et tidligst muligt forældelsestidspunkt den del af populationen, hvor der ikke er indsendt FOKO. Den følgende konfiguration angår derfor kun fordringer, hvor der er indsendt FOKO”.</t>
  </si>
  <si>
    <t>”RIM kan ikke beregne et tidligst muligt forældelsestidspunkt den del af populationen, hvor der ikke er indsendt FOKO. Den følgende konfiguration angår derfor kun fordringer, hvor der er indsendt FOKO”</t>
  </si>
  <si>
    <t>10.b.1</t>
  </si>
  <si>
    <t>jf. kravet hvis jeg har svaret "I visse tilfælde" i spm 9 og "Ja" i 9b, skal jeg vises en advarselsbok (frmMsg) popper op før jeg fortsætter fra 10.b til 11</t>
  </si>
  <si>
    <t>jf. kravet hvis jeg vælger "ingen" og jeg har indtastet en gyldig kombination i spm9, så skal der komme en advarsel frem før jeg forsætter til 11: ”RIM kan ikke beregne et tidligst muligt forældelsestidspunkt den del af populationen, hvor der ikke er indsendt FOKO. Den følgende konfiguration angår derfor kun fordringer, hvor der er indsendt FOKO”.</t>
  </si>
  <si>
    <t>jf. kravet hvis jeg har svaret "I visse tilfælde" i spm 9 og "Ja" i 9b2, skal jeg vises en advarselsbok (frmMsg) popper op før jeg fortsætter fra 10.b til 11</t>
  </si>
  <si>
    <t>jf. kravet hvis jeg har svaret "I visse tilfælde" i spm 9 og angivet antal dage i 9b22, skal jeg vises en advarselsbok (frmMsg) popper op før jeg fortsætter fra 10.b til 11</t>
  </si>
  <si>
    <t>Antal dage angivet</t>
  </si>
  <si>
    <t>jf. kravet hvis jeg har svaret "I visse tilfælde" og svaret "nej"  i spm 9b, "nej"  i spm 9b2 og "ved ikke"  i spm 9b22, så skal spørgeskemaet afslutte. Derfor forventer jeg som bruger at der vises en fejlbesked</t>
  </si>
  <si>
    <t>to be defined</t>
  </si>
  <si>
    <t>Som bruger forventer jeg ikke at der ændres i arkene når jeg har indtastet en kombination som medfører en fejl</t>
  </si>
  <si>
    <t>jf. kravet hvis jeg har svaret "aldrig" i spm 9, så skal spørgeskemaet afslutte. Derfor forventer jeg som bruger at der vises en fejlbesked</t>
  </si>
  <si>
    <t>10.9</t>
  </si>
  <si>
    <t>nextForm</t>
  </si>
  <si>
    <t>jf. kravet skal jeg ledes til spm 10b (logikken er i form 14) hvor der vises en message boks. Når jeg trykker ok ledes jeg til spm 11 (frm039)</t>
  </si>
  <si>
    <t>Ingen True</t>
  </si>
  <si>
    <t>10.b.2</t>
  </si>
  <si>
    <t>10.b.3</t>
  </si>
  <si>
    <t>Jf. kravet skal gruppe 1 deaktiveres når der vælges "Ingen" i formen</t>
  </si>
  <si>
    <t>Jeg forventer at kun bestemte celler ændre sig ved at svare ingen</t>
  </si>
  <si>
    <t>Mindst ét af stamdatafelterne eller 'Ingen' skal vælges for at forsætte</t>
  </si>
  <si>
    <t xml:space="preserve">Som bruger forventer jeg at gå tilbage til form </t>
  </si>
  <si>
    <t>Kan komme fra mange forskellige…</t>
  </si>
  <si>
    <t xml:space="preserve">Som bruger forventer jeg evnetuelle tidligere besvarelse loades med formen. </t>
  </si>
  <si>
    <t>Som bruger forventer jeg at hvis jeg har valgt ny besvarelse at formen ikke er preudfyldt</t>
  </si>
  <si>
    <t>Form ID</t>
  </si>
  <si>
    <t>Testcase</t>
  </si>
  <si>
    <t>11</t>
  </si>
  <si>
    <t>14</t>
  </si>
  <si>
    <t>14.08</t>
  </si>
  <si>
    <t>14.47</t>
  </si>
  <si>
    <t>14.75</t>
  </si>
  <si>
    <t>3</t>
  </si>
  <si>
    <t>6</t>
  </si>
  <si>
    <t>7</t>
  </si>
  <si>
    <t>8</t>
  </si>
  <si>
    <t>9</t>
  </si>
  <si>
    <t>0.6</t>
  </si>
  <si>
    <t xml:space="preserve">Der skal være angivet et ”NEJ” i ”Stoler RIM på fordringshavers forældelsesdato” </t>
  </si>
  <si>
    <t>0.7</t>
  </si>
  <si>
    <t>Der skal være angivet et ”NEJ” i ”Vil RIM beregne en forældelsesdato”.</t>
  </si>
  <si>
    <t>3.4</t>
  </si>
  <si>
    <t>Hvis der angives en afgræsningsperiode før d. 1/9-2013, skal der komme en advarselsboks op med to muligheder: 1) "Afgræns ny periode" eller 2) "Fortsæt med den valgte afgræsning".</t>
  </si>
  <si>
    <t>4.a.6</t>
  </si>
  <si>
    <t>Såfremt brugeren vælger ”at der enten foretages en tilpasning af den allerede afgrænsede modtagelses-periode” skal modtagelsesstart datoen pr. default være sat til 1. september 2013.</t>
  </si>
  <si>
    <t>4.a.7</t>
  </si>
  <si>
    <t xml:space="preserve">Der skal være en infoboks med teksten: ”Hvis du vælger at afgrænse modtagelsesperioden via et eller flere af stamdatafelterne, da vil modtagelsesdato pr. default være sat til 1. september 2013. Formålet hermed er at undgå, at der utilsigtet medtages konverterede fordringer. Du har mulighed for at ændre default-datoen i det underliggende Excel ark.” </t>
  </si>
  <si>
    <t>Såfremt brugeren vælger "Nej" skal spørgeskemaet ikke fortsætte.</t>
  </si>
  <si>
    <t>Form 27</t>
  </si>
  <si>
    <t>5.b</t>
  </si>
  <si>
    <t>5.b.1</t>
  </si>
  <si>
    <t xml:space="preserve">Det skal være muligt for brugeren at vælge hvilken fordringsart der ønskes at lave en konfiguration for (inddrivelses eller modregningsfordring) </t>
  </si>
  <si>
    <t>5.b.2</t>
  </si>
  <si>
    <t xml:space="preserve">Såfremt brugeren vælger "inddrivelsesfordringer" skal brugeren ledes videre til spørgsmål 5.b.1 </t>
  </si>
  <si>
    <t>5.b.3</t>
  </si>
  <si>
    <t xml:space="preserve">Såfremt brugeren vælger "modregningsfordringer" skal brugeren ledes videre til spørgsmål 5.b.2 </t>
  </si>
  <si>
    <t xml:space="preserve">5.b.1 </t>
  </si>
  <si>
    <t>5.b.1.1</t>
  </si>
  <si>
    <t>R0006 skal aktiveres</t>
  </si>
  <si>
    <t>5.b.1.2</t>
  </si>
  <si>
    <t>R0007 skal aktiveres</t>
  </si>
  <si>
    <t>5.b.1.3</t>
  </si>
  <si>
    <t>R0008 skal deaktiveres</t>
  </si>
  <si>
    <t>5.b.1.4</t>
  </si>
  <si>
    <t xml:space="preserve">Såfremt 5.b.1 ruten tages skal spørgsmål 15 ikke stilles for denne konfiguration. </t>
  </si>
  <si>
    <t>5.b.1.5</t>
  </si>
  <si>
    <t>Brugeren skal ledes videre til spørgsmål 6</t>
  </si>
  <si>
    <t>5.b.2.1</t>
  </si>
  <si>
    <t>5.b.2.2</t>
  </si>
  <si>
    <t>R0007 skal deaktiveres</t>
  </si>
  <si>
    <t>5.b.2.3</t>
  </si>
  <si>
    <t>R0008 skal aktiveres</t>
  </si>
  <si>
    <t>5.b.2.4</t>
  </si>
  <si>
    <t xml:space="preserve">Såfremt 5.b.2 ruten tages skal spørgsmål 14 ikke stilles for denne konfiguration. </t>
  </si>
  <si>
    <t>5.b.2.5</t>
  </si>
  <si>
    <t>Form 6</t>
  </si>
  <si>
    <t>6.1</t>
  </si>
  <si>
    <t>Det skal være muligt for brugeren at bekræfte via Ja/Nej, hvorvidt et eller flere krav i den afgrænsede population er underlagt udenlandske forældelsesregler</t>
  </si>
  <si>
    <t>6.2</t>
  </si>
  <si>
    <t>Såfremt brugeren vælger "Ja" skal brugeres ledes til spørgsmål 6.a</t>
  </si>
  <si>
    <t>Såfremt brugeren vælger "Nej" skal brugeres ledes til spørgsmål 7</t>
  </si>
  <si>
    <t>6.a</t>
  </si>
  <si>
    <t xml:space="preserve">Spørgeskemaet skal afsluttes da den valgte konfiguration ikke understøttes af spørgeskemaet. </t>
  </si>
  <si>
    <t>7.1</t>
  </si>
  <si>
    <t>Det skal være muligt for brugeren, via Ja/Nej, at svare på om der er registreret et eller flere krav id en afgrænsede population der er udtryk for rente eller lignende ydelse</t>
  </si>
  <si>
    <t>Såfremt brugeren vælger "Ja" skal brugeres ledes til spørgsmål 7.a</t>
  </si>
  <si>
    <t>Såfremt brugeren vælger "Nej" skal brugeres ledes til spørgsmål 8</t>
  </si>
  <si>
    <t>7.a</t>
  </si>
  <si>
    <t>8.1</t>
  </si>
  <si>
    <t>Det skal være muligt for brugeren, via Ja/Nej, at svare på om der er registreret et eller flere krav i  den afgrænsede population der er udtryk for flere krav, men som er registeret som et samlet krav</t>
  </si>
  <si>
    <t>Såfremt brugeren vælger "Ja" skal brugeres ledes til spørgsmål 8.a</t>
  </si>
  <si>
    <t>Såfremt brugeren vælger "Nej" skal brugeres ledes til spørgsmål 9</t>
  </si>
  <si>
    <t>8.a</t>
  </si>
  <si>
    <t>Form 7</t>
  </si>
  <si>
    <t>9.1</t>
  </si>
  <si>
    <t>Det skal være muligt for brugeren, via checkbokse, at svare på om der altid, i visse tilfælde eller aldrig er indsendt en FOKO for de fordringer, der er afsendt af den afgrænsede population</t>
  </si>
  <si>
    <t>Såfremt brugeren vælger "Altid" skal brugeren ledes til spørgsmål 9.a</t>
  </si>
  <si>
    <t>Såfremt brugeren vælger "I visse tilfælde" skal brugeren ledes til spørgsmål 9.b</t>
  </si>
  <si>
    <t>Såfremt brugeren vælger "Aldrig" skal brugeren ledes til spørgsmål 9.c</t>
  </si>
  <si>
    <t>9.c</t>
  </si>
  <si>
    <t xml:space="preserve">Der angives et ”NEJ” i populationen under ”Stoler RIM på fordringshavers forældelsesdato” </t>
  </si>
  <si>
    <t>Regel R0042 skal aktiveres</t>
  </si>
  <si>
    <t>Regel R0042's Varighed X skal sættes til blank</t>
  </si>
  <si>
    <t>Regel R0043 skal aktiveres</t>
  </si>
  <si>
    <t>Regel R0043's Varighed X skal sættes til blank</t>
  </si>
  <si>
    <t>Regel R0044 skal aktiveres</t>
  </si>
  <si>
    <t>Regel R0044's Varighed X skal sættes til blank</t>
  </si>
  <si>
    <t>Regel R0045 skal aktiveres</t>
  </si>
  <si>
    <t>Regel R0045's Varighed X skal sættes til blank</t>
  </si>
  <si>
    <t>Regel R0046 skal aktiveres</t>
  </si>
  <si>
    <t>Regel R0046's Varighed X skal sættes til blank</t>
  </si>
  <si>
    <t>Form 8</t>
  </si>
  <si>
    <t>9.a</t>
  </si>
  <si>
    <t>9.a.1</t>
  </si>
  <si>
    <t>Såfremt brugeren vælger "Ja" skal brugeres ledes til spørgsmål 9.a.1</t>
  </si>
  <si>
    <t>Såfremt brugeren vælger "Nej" skal brugeres ledes til spørgsmål 9.a.2</t>
  </si>
  <si>
    <t xml:space="preserve">Form 8 </t>
  </si>
  <si>
    <t>Gruppe 1 deaktiveres</t>
  </si>
  <si>
    <t>Gruppe 2 aktiveres</t>
  </si>
  <si>
    <t>Der angives et ”JA” i populationen under ”Stoler RIM på fordringshaveres forældel-sesdato?”</t>
  </si>
  <si>
    <t>Der angives et ”NEJ” i populationen under ”Vil RIM beregne en tidligst mulig forældel-sesdato?”</t>
  </si>
  <si>
    <t>9.a.1.5</t>
  </si>
  <si>
    <t>Videre til spørgsmål vedrørende frasortering (Spørgsmål 11)</t>
  </si>
  <si>
    <t>Form 9</t>
  </si>
  <si>
    <t>9.a.2.1</t>
  </si>
  <si>
    <t xml:space="preserve">Det skal være muligt for brugeren, via Ja/Nej, at svare på om fordringshavers forældelsesdato til en hver tid er registreret tidligere end den faktisk forældelsesdato? </t>
  </si>
  <si>
    <t>Såfremt brugeren vælger "Ja" skal brugeres ledes til spørgsmål 9.a.2.1</t>
  </si>
  <si>
    <t>Såfremt brugeren vælger "Nej" skal brugeres ledes til spørgsmål 9.a.2.2</t>
  </si>
  <si>
    <t>Der angives et ”JA” i populationen under ”Stoler RIM på fordringshaveres forældelsesdato?”</t>
  </si>
  <si>
    <t>Form 10</t>
  </si>
  <si>
    <t>9.a.2.2.1</t>
  </si>
  <si>
    <t>Det skal være muligt for brugeren, via et tekstfelt med "Hvis antal dage kan angives" og mulighed for at svare "Ved ikke", på hvor mange dage efter den faktiske forældelsesdato foko senest vil være registreret?</t>
  </si>
  <si>
    <t>Såfremt brugeren vælger "Hvis antal dage kan angives" skal brugeres ledes til spørgsmål 9.a.2.2.1</t>
  </si>
  <si>
    <t>Såfremt brugeren vælger "Ved ikke" skal brugeres ledes til spørgsmål 9.a.2.2.2</t>
  </si>
  <si>
    <t>Antallet af dage indsættes i [Varighed_X] i R0042</t>
  </si>
  <si>
    <t>Antallet af dage indsættes i [Varighed_X] i R0043</t>
  </si>
  <si>
    <t>Antallet af dage indsættes i [Varighed_X] i R0044</t>
  </si>
  <si>
    <t>Antallet af dage indsættes i [Varighed_X] i R0045</t>
  </si>
  <si>
    <t>Antallet af dage indsættes i [Varighed_X] i R0046</t>
  </si>
  <si>
    <t>Der angives et ”NEJ” i populationen under ”Vil RIM beregne en tidligst mulig forældelsesdato?”</t>
  </si>
  <si>
    <t>Der skal angives et ”NEJ” i ”Stoler RIM på fordringshavers forældelsesdato”  i regel arket</t>
  </si>
  <si>
    <t>Form 11</t>
  </si>
  <si>
    <t>9.b</t>
  </si>
  <si>
    <t>9.b.1</t>
  </si>
  <si>
    <t>Det skal være muligt for brugeren, via Ja/Nej, at bekræfte om fordringhavers forældelsesdato til en hver tid er registreret korrekt.</t>
  </si>
  <si>
    <t>Såfremt brugeren vælger "Ja" skal brugeren ledes til spørgsmål 9.b.1</t>
  </si>
  <si>
    <t>Såfremt brugeren vælger "Nej" skal brugeren ledes til spørgsmål 9.b.2</t>
  </si>
  <si>
    <t>9.b.1.2</t>
  </si>
  <si>
    <t>Der angives et ”JA” i populationen under ”Stoler RIM på fordringshavers forældelsesdato?”</t>
  </si>
  <si>
    <t>Form 12</t>
  </si>
  <si>
    <t>9.b.2.1</t>
  </si>
  <si>
    <t>Det skal være muligt for brugeren, via Ja/Nej, at bekræfte om fordringhavers forældelsesdatotil til en hver tid er registreret tidligere end den faktiske forældelsesdato.</t>
  </si>
  <si>
    <t>Såfremt brugeren vælger "Ja" skal brugeren ledes til spørgsmål 9.b.2.1</t>
  </si>
  <si>
    <t>Såfremt brugeren vælger "Nej" skal brugeren ledes til spørgsmål 9.b.2.2</t>
  </si>
  <si>
    <t>Form 13</t>
  </si>
  <si>
    <t>9.b.2.2.1</t>
  </si>
  <si>
    <t>Såfremt brugeren vælger "Hvis antal dage kan angives" skal brugeres ledes til spørgsmål 9.b.2.2.1</t>
  </si>
  <si>
    <t>Såfremt brugeren vælger "Ved ikke" skal brugeres ledes til spørgsmål 9.b.2.2.2</t>
  </si>
  <si>
    <t>Regel R0042's Varighed X skal sættes til det angivne fra 9.b.2.2</t>
  </si>
  <si>
    <t>Regel R0043's Varighed X skal sættes til det angivne fra 9.b.2.2</t>
  </si>
  <si>
    <t>Regel R0044's Varighed X skal sættes til det angivne fra 9.b.2.2</t>
  </si>
  <si>
    <t>Regel R0045's Varighed X skal sættes til det angivne fra 9.b.2.2</t>
  </si>
  <si>
    <t>Regel R0046's Varighed X skal sættes til det angivne fra 9.b.2.2</t>
  </si>
  <si>
    <t>Form 14</t>
  </si>
  <si>
    <t>10.1</t>
  </si>
  <si>
    <t>Det skal være muligt for brugeren at vælge minimum et stamdatafelt, før RIM kan beregne en tidligst mulig f orædelsesdato</t>
  </si>
  <si>
    <t>10.2</t>
  </si>
  <si>
    <t>Formen skal bestå af checkbokse med følgende muligheder : "Stiftelsesdato", "Forfaldsdato", "Sidste rettidige betalingsdato", "Periode start", Periode slut" og "Ingen".</t>
  </si>
  <si>
    <t>10.3</t>
  </si>
  <si>
    <t>Brugeren skal præsenteres for spørgsmålene fra 10.a, for hvert valgt stamdatafelt.</t>
  </si>
  <si>
    <t>Såfremt brugeren vælger et eller flere af stamdatafelterne, hvor stiftelsesdato er i blandt, skal brugeren ledes til spørgsmål 10.a via form 29</t>
  </si>
  <si>
    <t>Såfremt brugeren vælger et eller flere af stamdatafelterne, hvor forfaldsdato er i blandt, skal brugeren ledes til spørgsmål 10.a via form 28</t>
  </si>
  <si>
    <t>Såfremt brugeren vælger et eller flere af stamdatafelterne, hvor sidste rettidige betalingsdato er i blandt, skal brugeren ledes til spørgsmål 10.a via form 32</t>
  </si>
  <si>
    <t>Såfremt brugeren vælger et eller flere af stamdatafelterne, hvor periode start er i blandt, skal brugeren ledes til spørgsmål 10.a via form 30</t>
  </si>
  <si>
    <t>Såfremt brugeren vælger et eller flere af stamdatafelterne, hvor periode slut er i blandt, skal brugeren ledes til spørgsmål 10.a via form 31</t>
  </si>
  <si>
    <t>Såfremt brugeren vælger "Ingen" skal brugeren ledes til spørgsmål 10.b</t>
  </si>
  <si>
    <t>Form 28</t>
  </si>
  <si>
    <t>10.a</t>
  </si>
  <si>
    <t>10.a.1</t>
  </si>
  <si>
    <t xml:space="preserve">Det skal være muligt for brugeren, med checkbokse, at vælge om begyndelsestidspunktet for forældelsesfristen altid beregnes "Før" eller "Samme dag eller senere" </t>
  </si>
  <si>
    <t>10.a.2</t>
  </si>
  <si>
    <t xml:space="preserve">Såfremt brugeren vælger "før", skal felterne fra spørgsmål 10.a.1 vises </t>
  </si>
  <si>
    <t>10.a.3</t>
  </si>
  <si>
    <t>Såfremt brugeren vælger "Samme dag eller senere", skal felterne fra spørgsmål 10.a.2</t>
  </si>
  <si>
    <t>10.a.1.1</t>
  </si>
  <si>
    <t>Det skal være muligt for brugeren, via tekstfelt, at udfylde det antal dage, for hvor lang tid før det [valgte stamdatafelt] kan begyndelsestidspunktet for forældelsesfristens beregning tidligst ligge for den afgrænsede population.</t>
  </si>
  <si>
    <t>10.a.1.2</t>
  </si>
  <si>
    <t>Det skal være muligt for brugeren at svare "ved ikke", såfremt at der ikke vides, hvor lang tid før det [valgte stamdatafelt] kan begyndelsestidspunktet for forældelsesfristens beregning tidligst ligge for den afgrænsede population.</t>
  </si>
  <si>
    <t>10.a.1.3</t>
  </si>
  <si>
    <t>Såfremt brugeren angiver antal dage skal brugeren ledes til spørgsmål 10.a.1.1</t>
  </si>
  <si>
    <t>10.a.1.4</t>
  </si>
  <si>
    <t xml:space="preserve">Såfremt brugeren angiver "ved ikke" skal brugeren ledes til 10.a.1.2 </t>
  </si>
  <si>
    <t>Form 29</t>
  </si>
  <si>
    <t>10.a.1.5</t>
  </si>
  <si>
    <t>10.a.1.6</t>
  </si>
  <si>
    <t>10.a.1.7</t>
  </si>
  <si>
    <t>10.a.1.8</t>
  </si>
  <si>
    <t>Form 30</t>
  </si>
  <si>
    <t>10.a.1.9</t>
  </si>
  <si>
    <t>10.a.1.10</t>
  </si>
  <si>
    <t>10.a.1.11</t>
  </si>
  <si>
    <t>10.a.1.12</t>
  </si>
  <si>
    <t>Form 31</t>
  </si>
  <si>
    <t>10.a.1.13</t>
  </si>
  <si>
    <t>10.a.1.14</t>
  </si>
  <si>
    <t>10.a.1.15</t>
  </si>
  <si>
    <t>10.a.1.16</t>
  </si>
  <si>
    <t>Form 32</t>
  </si>
  <si>
    <t>10.a.1.17</t>
  </si>
  <si>
    <t>10.a.1.18</t>
  </si>
  <si>
    <t>10.a.1.19</t>
  </si>
  <si>
    <t>10.a.1.20</t>
  </si>
  <si>
    <t>10.a.1.1.1</t>
  </si>
  <si>
    <t>Der skal fremgå en infoboks med teksten: ”Normalt” er fordringer undergivet en 3 års forældelsesfrist”.</t>
  </si>
  <si>
    <t>10.a.1.1.2</t>
  </si>
  <si>
    <t>Det skal være muligt for brugeren, via tekstfelt, at definere den korteste mulige fristlængde for forældelsesfristens beregning for krav omfattet af den afgrænsede population.</t>
  </si>
  <si>
    <t>10.a.1.1.3</t>
  </si>
  <si>
    <t>Det skal være muligt for brugeren at svare "ved ikke", såfremt at den korteste mulige fristlængde for forældelsesfristens beregning for krav omfattet af den afgrænsede population ikke vides.</t>
  </si>
  <si>
    <t>10.a.1.1.4</t>
  </si>
  <si>
    <t>Der skal være en boks, hvor man kan vælge "3 år" som den korteste mulige fristlængde for forældelsesfristens beregning.</t>
  </si>
  <si>
    <t>10.a.1.1.5</t>
  </si>
  <si>
    <t>Såfremt brugeren angiver en frist skal brugeren ledes til spørgsmål 10.a.1.1.1</t>
  </si>
  <si>
    <t>10.a.1.1.6</t>
  </si>
  <si>
    <t>Såfremt brugeren angiver "ved ikke" skal brugeren ledes til 10.a.1.1.2</t>
  </si>
  <si>
    <t>10.a.1.1.7</t>
  </si>
  <si>
    <t>10.a.1.1.8</t>
  </si>
  <si>
    <t>10.a.1.1.9</t>
  </si>
  <si>
    <t>10.a.1.1.10</t>
  </si>
  <si>
    <t>10.a.1.1.11</t>
  </si>
  <si>
    <t>10.a.1.1.12</t>
  </si>
  <si>
    <t>10.a.1.1.13</t>
  </si>
  <si>
    <t>10.a.1.1.14</t>
  </si>
  <si>
    <t>10.a.1.1.15</t>
  </si>
  <si>
    <t>10.a.1.1.16</t>
  </si>
  <si>
    <t>10.a.1.1.17</t>
  </si>
  <si>
    <t>10.a.1.1.18</t>
  </si>
  <si>
    <t>10.a.1.1.19</t>
  </si>
  <si>
    <t>10.a.1.1.20</t>
  </si>
  <si>
    <t>10.a.1.1.21</t>
  </si>
  <si>
    <t>10.a.1.1.22</t>
  </si>
  <si>
    <t>10.a.1.1.23</t>
  </si>
  <si>
    <t>10.a.1.1.24</t>
  </si>
  <si>
    <t>10.a.1.1.25</t>
  </si>
  <si>
    <t>10.a.1.1.26</t>
  </si>
  <si>
    <t>10.a.1.1.27</t>
  </si>
  <si>
    <t>10.a.1.1.28</t>
  </si>
  <si>
    <t>10.a.1.1.29</t>
  </si>
  <si>
    <t>10.a.1.1.30</t>
  </si>
  <si>
    <t>10.a.1.1.1.1</t>
  </si>
  <si>
    <t>Gruppe 1 aktiveres</t>
  </si>
  <si>
    <t>10.a.1.1.1.2</t>
  </si>
  <si>
    <t>10.a.1.1.1.3</t>
  </si>
  <si>
    <t>10.a.1.1.1.4</t>
  </si>
  <si>
    <t>10.a.1.1.1.5</t>
  </si>
  <si>
    <t>10.a.1.1.1.6</t>
  </si>
  <si>
    <t>Hvis forfaldsdato er valgt: Regel R0047 aktiveres</t>
  </si>
  <si>
    <t>10.a.1.1.1.7</t>
  </si>
  <si>
    <t>Hvis forfaldsdato er valgt: Regel R0048 aktiveres</t>
  </si>
  <si>
    <t>10.a.1.1.1.8</t>
  </si>
  <si>
    <t>Hvis forfaldsdato er valgt: Regel R0049 aktiveres</t>
  </si>
  <si>
    <t>10.a.1.1.1.9</t>
  </si>
  <si>
    <t>Hvis forfaldsdato er valgt: Regel R0050 aktiveres</t>
  </si>
  <si>
    <t>10.a.1.1.1.10</t>
  </si>
  <si>
    <t>Hvis stiftelsesdato er valgt: Regel R0051 aktiveres</t>
  </si>
  <si>
    <t>10.a.1.1.1.11</t>
  </si>
  <si>
    <t>Hvis stiftelsesdato er valgt: Regel R0052 aktiveres</t>
  </si>
  <si>
    <t>10.a.1.1.1.12</t>
  </si>
  <si>
    <t>Hvis stiftelsesdato er valgt: Regel R0053 aktiveres</t>
  </si>
  <si>
    <t>10.a.1.1.1.13</t>
  </si>
  <si>
    <t>Hvis stiftelsesdato er valgt: Regel R0054 aktiveres</t>
  </si>
  <si>
    <t>10.a.1.1.1.14</t>
  </si>
  <si>
    <t>Hvis FordringsStartDato er valgt: Regel R0055 aktiveres</t>
  </si>
  <si>
    <t>10.a.1.1.1.15</t>
  </si>
  <si>
    <t>Hvis FordringsStartDato er valgt: Regel R0056 aktiveres</t>
  </si>
  <si>
    <t>10.a.1.1.1.16</t>
  </si>
  <si>
    <t>Hvis FordringsStartDato er valgt: Regel R0057 aktiveres</t>
  </si>
  <si>
    <t>10.a.1.1.1.17</t>
  </si>
  <si>
    <t>Hvis FordringsStartDato er valgt: Regel R0058 aktiveres</t>
  </si>
  <si>
    <t>10.a.1.1.1.18</t>
  </si>
  <si>
    <t>Hvis FordringsSlutDato er valgt: Regel R0059 aktiveres</t>
  </si>
  <si>
    <t>10.a.1.1.1.19</t>
  </si>
  <si>
    <t>Hvis FordringsSlutDato er valgt: Regel R0060 aktiveres</t>
  </si>
  <si>
    <t>10.a.1.1.1.20</t>
  </si>
  <si>
    <t>Hvis FordringsSlutDato er valgt: Regel R0061 aktiveres</t>
  </si>
  <si>
    <t>10.a.1.1.1.21</t>
  </si>
  <si>
    <t>Hvis FordringsSlutDato er valgt: Regel R0062 aktiveres</t>
  </si>
  <si>
    <t>10.a.1.1.1.22</t>
  </si>
  <si>
    <t>Hvis SRBDato er valgt: Regel R0063 aktiveres</t>
  </si>
  <si>
    <t>10.a.1.1.1.23</t>
  </si>
  <si>
    <t>Hvis SRBDato er valgt: Regel R0064 aktiveres</t>
  </si>
  <si>
    <t>10.a.1.1.1.24</t>
  </si>
  <si>
    <t>Hvis SRBDato er valgt: Regel R0065 aktiveres</t>
  </si>
  <si>
    <t>10.a.1.1.1.25</t>
  </si>
  <si>
    <t>Hvis SRBDato er valgt: Regel R0066 aktiveres</t>
  </si>
  <si>
    <t>10.a.1.1.1.26</t>
  </si>
  <si>
    <t>Hvis ForfaldsDato er valgt: Regel R0067 aktiveres</t>
  </si>
  <si>
    <t>10.a.1.1.1.27</t>
  </si>
  <si>
    <t>Hvis StiftelsesDato er valgt: Regel R0068 aktiveres</t>
  </si>
  <si>
    <t>10.a.1.1.1.28</t>
  </si>
  <si>
    <t>Hvis FordringsStartDato er valgt: Regel R0069 aktiveres</t>
  </si>
  <si>
    <t>10.a.1.1.1.29</t>
  </si>
  <si>
    <t>Hvis FordringsSlutDato er valgt: Regel R0070 aktiveres</t>
  </si>
  <si>
    <t>10.a.1.1.1.30</t>
  </si>
  <si>
    <t>Hvis SRBDato er valgt: Regel R0071 aktiveres</t>
  </si>
  <si>
    <t>10.a.1.1.1.31</t>
  </si>
  <si>
    <t>Hvis forfaldsdato ikke er valgt: Regel R0047 deaktiveres</t>
  </si>
  <si>
    <t>10.a.1.1.1.32</t>
  </si>
  <si>
    <t>Hvis forfaldsdato ikke er valgt: Regel R0048 deaktiveres</t>
  </si>
  <si>
    <t>10.a.1.1.1.33</t>
  </si>
  <si>
    <t>Hvis forfaldsdato ikke er valgt: Regel R0049 deaktiveres</t>
  </si>
  <si>
    <t>10.a.1.1.1.34</t>
  </si>
  <si>
    <t>Hvis forfaldsdato ikke er valgt: Regel R0050 deaktiveres</t>
  </si>
  <si>
    <t>10.a.1.1.1.35</t>
  </si>
  <si>
    <t>Hvis stiftelsesdato ikke er valgt: Regel R0051 deaktiveres</t>
  </si>
  <si>
    <t>10.a.1.1.1.36</t>
  </si>
  <si>
    <t>Hvis stiftelsesdato ikke er valgt: Regel R0052 deaktiveres</t>
  </si>
  <si>
    <t>10.a.1.1.1.37</t>
  </si>
  <si>
    <t>Hvis stiftelsesdato ikke er valgt: Regel R0053 deaktiveres</t>
  </si>
  <si>
    <t>10.a.1.1.1.38</t>
  </si>
  <si>
    <t>Hvis stiftelsesdato ikke er valgt: Regel R0054 deaktiveres</t>
  </si>
  <si>
    <t>10.a.1.1.1.39</t>
  </si>
  <si>
    <t>Hvis FordringsStartDato ikke er valgt: Regel R0055 deaktiveres</t>
  </si>
  <si>
    <t>10.a.1.1.1.40</t>
  </si>
  <si>
    <t>Hvis FordringsStartDato ikke er valgt: Regel R0056 deaktiveres</t>
  </si>
  <si>
    <t>10.a.1.1.1.41</t>
  </si>
  <si>
    <t>Hvis FordringsStartDato ikke er valgt: Regel R0057 deaktiveres</t>
  </si>
  <si>
    <t>10.a.1.1.1.42</t>
  </si>
  <si>
    <t>Hvis FordringsStartDato ikke er valgt: Regel R0058 deaktiveres</t>
  </si>
  <si>
    <t>10.a.1.1.1.43</t>
  </si>
  <si>
    <t>Hvis FordringsSlutDato ikke er valgt: Regel R0059 deaktiveres</t>
  </si>
  <si>
    <t>10.a.1.1.1.44</t>
  </si>
  <si>
    <t>Hvis FordringsSlutDato ikke er valgt: Regel R0060 deaktiveres</t>
  </si>
  <si>
    <t>10.a.1.1.1.45</t>
  </si>
  <si>
    <t>Hvis FordringsSlutDato ikke er valgt: Regel R0061 deaktiveres</t>
  </si>
  <si>
    <t>10.a.1.1.1.46</t>
  </si>
  <si>
    <t>Hvis FordringsSlutDato ikke er valgt: Regel R0062 deaktiveres</t>
  </si>
  <si>
    <t>10.a.1.1.1.47</t>
  </si>
  <si>
    <t>Hvis SRBDato ikke er valgt: Regel R0063 deaktiveres</t>
  </si>
  <si>
    <t>10.a.1.1.1.48</t>
  </si>
  <si>
    <t>Hvis SRBDato ikke er valgt: Regel R0064 deaktiveres</t>
  </si>
  <si>
    <t>10.a.1.1.1.49</t>
  </si>
  <si>
    <t>Hvis SRBDato ikke er valgt: Regel R0065 deaktiveres</t>
  </si>
  <si>
    <t>10.a.1.1.1.50</t>
  </si>
  <si>
    <t>Hvis SRBDato ikke er valgt: Regel R0066 deaktiveres</t>
  </si>
  <si>
    <t>10.a.1.1.1.51</t>
  </si>
  <si>
    <t>Hvis ForfaldsDato ikke er valgt: Regel R0067 deaktiveres</t>
  </si>
  <si>
    <t>10.a.1.1.1.52</t>
  </si>
  <si>
    <t>Hvis StiftelsesDato ikke er valgt: Regel R0068 deaktiveres</t>
  </si>
  <si>
    <t>10.a.1.1.1.53</t>
  </si>
  <si>
    <t>Hvis FordringsStartDato ikke er valgt: Regel R0069 deaktiveres</t>
  </si>
  <si>
    <t>10.a.1.1.1.54</t>
  </si>
  <si>
    <t>Hvis FordringsSlutDato ikke er valgt: Regel R0070 deaktiveres</t>
  </si>
  <si>
    <t>10.a.1.1.1.55</t>
  </si>
  <si>
    <t>Hvis SRBDato ikke er valgt: Regel R0071 deaktiveres</t>
  </si>
  <si>
    <t>10.a.1.1.1.56</t>
  </si>
  <si>
    <t>Hvis ForfaldsDato er valgt: Fristlængden indsættes i Regel R0047 - fristlængden beregnes ved at fratrække værdien fra spm. 10.a.1 med værdien fra 10.a.1.1</t>
  </si>
  <si>
    <t>10.a.1.1.1.57</t>
  </si>
  <si>
    <t>Hvis ForfaldsDato er valgt: Fristlængden indsættes i Regel R0048 - fristlængden beregnes ved at fratrække værdien fra spm. 10.a.1 med værdien fra 10.a.1.1</t>
  </si>
  <si>
    <t>10.a.1.1.1.58</t>
  </si>
  <si>
    <t>Hvis ForfaldsDato er valgt: Fristlængden indsættes i Regel R0049 - fristlængden beregnes ved at fratrække værdien fra spm. 10.a.1 med værdien fra 10.a.1.1</t>
  </si>
  <si>
    <t>10.a.1.1.1.59</t>
  </si>
  <si>
    <t>Hvis ForfaldsDato er valgt: Fristlængden indsættes i Regel R0050 - fristlængden beregnes ved at fratrække værdien fra spm. 10.a.1 med værdien fra 10.a.1.1</t>
  </si>
  <si>
    <t>10.a.1.1.1.60</t>
  </si>
  <si>
    <t>Hvis StiftelsesDato er valgt: Fristlængden indsættes i Regel R0051 - fristlængden beregnes ved at fratrække værdien fra spm. 10.a.1 med værdien fra 10.a.1.1</t>
  </si>
  <si>
    <t>10.a.1.1.1.61</t>
  </si>
  <si>
    <t>Hvis StiftelsesDato er valgt: Fristlængden indsættes i Regel R0052 - fristlængden beregnes ved at fratrække værdien fra spm. 10.a.1 med værdien fra 10.a.1.1</t>
  </si>
  <si>
    <t>10.a.1.1.1.62</t>
  </si>
  <si>
    <t>Hvis StiftelsesDato er valgt: Fristlængden indsættes i Regel R0053 - fristlængden beregnes ved at fratrække værdien fra spm. 10.a.1 med værdien fra 10.a.1.1</t>
  </si>
  <si>
    <t>10.a.1.1.1.63</t>
  </si>
  <si>
    <t>Hvis StiftelsesDato er valgt: Fristlængden indsættes i Regel R0054 - fristlængden beregnes ved at fratrække værdien fra spm. 10.a.1 med værdien fra 10.a.1.1</t>
  </si>
  <si>
    <t>10.a.1.1.1.64</t>
  </si>
  <si>
    <t>Hvis FordringsStartDato er valgt: Fristlængden indsættes i Regel R0055 - fristlængden beregnes ved at fratrække værdien fra spm. 10.a.1 med værdien fra 10.a.1.1</t>
  </si>
  <si>
    <t>10.a.1.1.1.65</t>
  </si>
  <si>
    <t>Hvis FordringsStartDato er valgt: Fristlængden indsættes i Regel R0056 - fristlængden beregnes ved at fratrække værdien fra spm. 10.a.1 med værdien fra 10.a.1.1</t>
  </si>
  <si>
    <t>10.a.1.1.1.66</t>
  </si>
  <si>
    <t>Hvis FordringsStartDato er valgt: Fristlængden indsættes i Regel R0057 - fristlængden beregnes ved at fratrække værdien fra spm. 10.a.1 med værdien fra 10.a.1.1</t>
  </si>
  <si>
    <t>10.a.1.1.1.67</t>
  </si>
  <si>
    <t>Hvis FordringsStartDato er valgt: Fristlængden indsættes i Regel R0058 - fristlængden beregnes ved at fratrække værdien fra spm. 10.a.1 med værdien fra 10.a.1.1</t>
  </si>
  <si>
    <t>10.a.1.1.1.68</t>
  </si>
  <si>
    <t>Hvis FordringsSlutDato er valgt: Fristlængden indsættes i Regel R0059 - fristlængden beregnes ved at fratrække værdien fra spm. 10.a.1 med værdien fra 10.a.1.1</t>
  </si>
  <si>
    <t>10.a.1.1.1.69</t>
  </si>
  <si>
    <t>Hvis FordringsSlutDato er valgt: Fristlængden indsættes i Regel R0060 - fristlængden beregnes ved at fratrække værdien fra spm. 10.a.1 med værdien fra 10.a.1.1</t>
  </si>
  <si>
    <t>10.a.1.1.1.70</t>
  </si>
  <si>
    <t>Hvis FordringsSlutDato er valgt: Fristlængden indsættes i Regel R0061 - fristlængden beregnes ved at fratrække værdien fra spm. 10.a.1 med værdien fra 10.a.1.1</t>
  </si>
  <si>
    <t>10.a.1.1.1.71</t>
  </si>
  <si>
    <t>Hvis FordringsSlutDato er valgt: Fristlængden indsættes i Regel R0062 - fristlængden beregnes ved at fratrække værdien fra spm. 10.a.1 med værdien fra 10.a.1.1</t>
  </si>
  <si>
    <t>10.a.1.1.1.72</t>
  </si>
  <si>
    <t>Hvis SRBDato er valgt: Fristlængden indsættes i Regel R0063 - fristlængden beregnes ved at fratrække værdien fra spm. 10.a.1 med værdien fra 10.a.1.1</t>
  </si>
  <si>
    <t>10.a.1.1.1.73</t>
  </si>
  <si>
    <t>Hvis SRBDato er valgt: Fristlængden indsættes i Regel R0064 - fristlængden beregnes ved at fratrække værdien fra spm. 10.a.1 med værdien fra 10.a.1.1</t>
  </si>
  <si>
    <t>10.a.1.1.1.74</t>
  </si>
  <si>
    <t>Hvis SRBDato er valgt: Fristlængden indsættes i Regel R0065 - fristlængden beregnes ved at fratrække værdien fra spm. 10.a.1 med værdien fra 10.a.1.1</t>
  </si>
  <si>
    <t>10.a.1.1.1.75</t>
  </si>
  <si>
    <t>Hvis SRBDato er valgt: Fristlængden indsættes i Regel R0066 - fristlængden beregnes ved at fratrække værdien fra spm. 10.a.1 med værdien fra 10.a.1.1</t>
  </si>
  <si>
    <t>10.a.1.1.1.76</t>
  </si>
  <si>
    <t>Hvis ForfaldsDato er valgt: Fristlængden indsættes i Regel R0067 - fristlængden beregnes ved at fratrække værdien fra spm. 10.a.1 med værdien fra 10.a.1.1</t>
  </si>
  <si>
    <t>10.a.1.1.1.77</t>
  </si>
  <si>
    <t>Hvis StiftelsesDato er valgt: Fristlængden indsættes i Regel R0068 - fristlængden beregnes ved at fratrække værdien fra spm. 10.a.1 med værdien fra 10.a.1.1</t>
  </si>
  <si>
    <t>10.a.1.1.1.78</t>
  </si>
  <si>
    <t>Hvis FordringsStartDato er valgt: Fristlængden indsættes i Regel R0069 - fristlængden beregnes ved at fratrække værdien fra spm. 10.a.1 med værdien fra 10.a.1.1</t>
  </si>
  <si>
    <t>10.a.1.1.1.79</t>
  </si>
  <si>
    <t>Hvis FordringsSlutDato er valgt: Fristlængden indsættes i Regel R0070 - fristlængden beregnes ved at fratrække værdien fra spm. 10.a.1 med værdien fra 10.a.1.1</t>
  </si>
  <si>
    <t>10.a.1.1.1.80</t>
  </si>
  <si>
    <t>Hvis SRBDato er valgt: Fristlængden indsættes i Regel R0071 - fristlængden beregnes ved at fratrække værdien fra spm. 10.a.1 med værdien fra 10.a.1.1</t>
  </si>
  <si>
    <t>10.a.1.1.1.81</t>
  </si>
  <si>
    <t>Hvis ForfaldsDato ikke er valgt: Fristlængden indsættes ikke for Regel R0047</t>
  </si>
  <si>
    <t>10.a.1.1.1.82</t>
  </si>
  <si>
    <t>Hvis ForfaldsDato ikke er valgt: Fristlængden indsættes ikke for Regel R0048</t>
  </si>
  <si>
    <t>10.a.1.1.1.83</t>
  </si>
  <si>
    <t>Hvis ForfaldsDato ikke er valgt: Fristlængden indsættes ikke for Regel R0049</t>
  </si>
  <si>
    <t>10.a.1.1.1.84</t>
  </si>
  <si>
    <t>Hvis ForfaldsDato ikke er valgt: Fristlængden indsættes ikke for Regel R0050</t>
  </si>
  <si>
    <t>10.a.1.1.1.85</t>
  </si>
  <si>
    <t>Hvis StiftelsesDato ikke er valgt: Fristlængden indsættes ikke for Regel R0051</t>
  </si>
  <si>
    <t>10.a.1.1.1.86</t>
  </si>
  <si>
    <t>Hvis StiftelsesDato ikke er valgt: Fristlængden indsættes ikke for Regel R0052</t>
  </si>
  <si>
    <t>10.a.1.1.1.87</t>
  </si>
  <si>
    <t>Hvis StiftelsesDato ikke er valgt: Fristlængden indsættes ikke for Regel R0053</t>
  </si>
  <si>
    <t>10.a.1.1.1.88</t>
  </si>
  <si>
    <t>Hvis StiftelsesDato ikke er valgt: Fristlængden indsættes ikke for Regel R0054</t>
  </si>
  <si>
    <t>10.a.1.1.1.89</t>
  </si>
  <si>
    <t>Hvis FordringsStartDato ikke er valgt: Fristlængden indsættes ikke for Regel R0055</t>
  </si>
  <si>
    <t>10.a.1.1.1.90</t>
  </si>
  <si>
    <t>Hvis FordringsStartDato ikke er valgt: Fristlængden indsættes ikke for Regel R0056</t>
  </si>
  <si>
    <t>10.a.1.1.1.91</t>
  </si>
  <si>
    <t>Hvis FordringsStartDato ikke er valgt: Fristlængden indsættes ikke for Regel R0057</t>
  </si>
  <si>
    <t>10.a.1.1.1.92</t>
  </si>
  <si>
    <t>Hvis FordringsStartDato ikke er valgt: Fristlængden indsættes ikke for Regel R0058</t>
  </si>
  <si>
    <t>10.a.1.1.1.93</t>
  </si>
  <si>
    <t>Hvis FordringsSlutDato ikke er valgt: Fristlængden indsættes ikke for Regel R0059</t>
  </si>
  <si>
    <t>10.a.1.1.1.94</t>
  </si>
  <si>
    <t>Hvis FordringsSlutDato ikke er valgt: Fristlængden indsættes ikke for Regel R0060</t>
  </si>
  <si>
    <t>10.a.1.1.1.95</t>
  </si>
  <si>
    <t>Hvis FordringsSlutDato ikke er valgt: Fristlængden indsættes ikke for Regel R0061</t>
  </si>
  <si>
    <t>10.a.1.1.1.96</t>
  </si>
  <si>
    <t>Hvis FordringsSlutDato ikke er valgt: Fristlængden indsættes ikke for Regel R0062</t>
  </si>
  <si>
    <t>10.a.1.1.1.97</t>
  </si>
  <si>
    <t>Hvis SRBDato ikke er valgt: Fristlængden indsættes ikke for Regel R0063</t>
  </si>
  <si>
    <t>10.a.1.1.1.98</t>
  </si>
  <si>
    <t>Hvis SRBDato ikke er valgt: Fristlængden indsættes ikke for Regel R0064</t>
  </si>
  <si>
    <t>10.a.1.1.1.99</t>
  </si>
  <si>
    <t>Hvis SRBDato ikke er valgt: Fristlængden indsættes ikke for Regel R0065</t>
  </si>
  <si>
    <t>10.a.1.1.1.100</t>
  </si>
  <si>
    <t>Hvis SRBDato ikke er valgt: Fristlængden indsættes ikke for Regel R0066</t>
  </si>
  <si>
    <t>10.a.1.1.1.101</t>
  </si>
  <si>
    <t>Hvis ForfaldsDato ikke er valgt: Fristlængden indsættes ikke for Regel R0067</t>
  </si>
  <si>
    <t>10.a.1.1.1.102</t>
  </si>
  <si>
    <t>Hvis StiftelsesDato ikke er valgt: Fristlængden indsættes ikke for Regel R0068</t>
  </si>
  <si>
    <t>10.a.1.1.1.103</t>
  </si>
  <si>
    <t>Hvis FordringsStartDato ikke er valgt: Fristlængden indsættes ikke for Regel R0069</t>
  </si>
  <si>
    <t>10.a.1.1.1.104</t>
  </si>
  <si>
    <t>Hvis FordringsSlutDato ikke er valgt: Fristlængden indsættes ikke for Regel R0070</t>
  </si>
  <si>
    <t>10.a.1.1.1.105</t>
  </si>
  <si>
    <t>Hvis SRBDato ikke er valgt: Fristlængden indsættes ikke for Regel R0071</t>
  </si>
  <si>
    <t>10.a.1.1.1.106</t>
  </si>
  <si>
    <t>Der angives et ”JA” i populationen under ”Vil RIM beregne en tidligst mulig forældelsesdato?”</t>
  </si>
  <si>
    <t>10.a.1.1.1.107</t>
  </si>
  <si>
    <t>10.a.1.1.1.108</t>
  </si>
  <si>
    <t>10.a.1.1.1.109</t>
  </si>
  <si>
    <t>10.a.1.1.1.110</t>
  </si>
  <si>
    <t>10.a.1.1.2.1</t>
  </si>
  <si>
    <t>Hvis der er svaret "I visse tilfælde" i spørgsmål 9 og hvis der er svaret "Ja" i enten 9.b.1, 9.b.2.1 eller 9.b.2.2.1 skal brugeren ledes til spørgsmål 11</t>
  </si>
  <si>
    <t>10.a.1.1.2.2</t>
  </si>
  <si>
    <t>Der angives et "NEJ" i i populationen under ”vil RIM beregne en tidligst mulig forældelsesdato?"</t>
  </si>
  <si>
    <t>10.a.1.1.2.3</t>
  </si>
  <si>
    <t>10.a.1.1.2.4</t>
  </si>
  <si>
    <t>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t>
  </si>
  <si>
    <t>10.a.1.1.2.5</t>
  </si>
  <si>
    <t xml:space="preserve">Hvis fordringshaver har svaret ”aldrig” i spm. 9, kan der ikke opsættes en FLEX-filter konfiguration for populationen. </t>
  </si>
  <si>
    <t>10.a.1.2.1</t>
  </si>
  <si>
    <t>10.a.1.2.2</t>
  </si>
  <si>
    <t>10.a.1.2.3</t>
  </si>
  <si>
    <t>10.a.1.2.4</t>
  </si>
  <si>
    <t>10.a.1.2.5</t>
  </si>
  <si>
    <t>10.a.1.2.6</t>
  </si>
  <si>
    <t>10.a.1.2.7</t>
  </si>
  <si>
    <t>10.a.1.2.8</t>
  </si>
  <si>
    <t>10.a.1.2.9</t>
  </si>
  <si>
    <t>10.a.1.2.10</t>
  </si>
  <si>
    <t>10.a.1.2.11</t>
  </si>
  <si>
    <t>10.a.1.2.12</t>
  </si>
  <si>
    <t>10.a.1.2.13</t>
  </si>
  <si>
    <t>10.a.1.2.14</t>
  </si>
  <si>
    <t>10.a.1.2.15</t>
  </si>
  <si>
    <t>10.a.1.2.16</t>
  </si>
  <si>
    <t>10.a.1.2.17</t>
  </si>
  <si>
    <t>10.a.1.2.18</t>
  </si>
  <si>
    <t>10.a.1.2.19</t>
  </si>
  <si>
    <t>10.a.1.2.20</t>
  </si>
  <si>
    <t>10.a.1.2.21</t>
  </si>
  <si>
    <t>10.a.1.2.22</t>
  </si>
  <si>
    <t>10.a.1.2.23</t>
  </si>
  <si>
    <t>10.a.1.2.24</t>
  </si>
  <si>
    <t>10.a.1.2.25</t>
  </si>
  <si>
    <t>10.a.2.1</t>
  </si>
  <si>
    <t>Det skal være muligt for brugeren, via tekstfelt, at udfylde det antal dage, for hvor lang tid efter det [valgte stamdatafelt] kan begyndelsestidspunktet for forældelsesfristens beregning tidligst ligge for den afgrænsede population.</t>
  </si>
  <si>
    <t>10.a.2.2</t>
  </si>
  <si>
    <t>Det skal være muligt for brugeren at svare "ved ikke", såfremt at der ikke vides, hvor lang tid efter det [valgte stamdatafelt] kan begyndelsestidspunktet for forældelsesfristens beregning tidligst ligge for den afgrænsede population.</t>
  </si>
  <si>
    <t>10.a.2.3</t>
  </si>
  <si>
    <t>Såfremt brugeren angiver antal dage skal brugeren ledes til spørgsmål 10.a.2.1</t>
  </si>
  <si>
    <t>10.a.2.4</t>
  </si>
  <si>
    <t>Såfremt brugeren angiver "ved ikke" skal brugeren ledes til 10.a.2.2</t>
  </si>
  <si>
    <t>10.a.2.5</t>
  </si>
  <si>
    <t>Der skal være en infoboks med teksten: "Hvis begyndelsestidspunktet kan ligge samme dag som indholdet af stamdatafeltet svares 0 dage."</t>
  </si>
  <si>
    <t>10.a.2.6</t>
  </si>
  <si>
    <t>10.a.2.7</t>
  </si>
  <si>
    <t>10.a.2.8</t>
  </si>
  <si>
    <t>10.a.2.9</t>
  </si>
  <si>
    <t>10.a.2.10</t>
  </si>
  <si>
    <t>10.a.2.11</t>
  </si>
  <si>
    <t>10.a.2.12</t>
  </si>
  <si>
    <t>10.a.2.13</t>
  </si>
  <si>
    <t>10.a.2.14</t>
  </si>
  <si>
    <t>10.a.2.15</t>
  </si>
  <si>
    <t>10.a.2.16</t>
  </si>
  <si>
    <t>10.a.2.17</t>
  </si>
  <si>
    <t>10.a.2.18</t>
  </si>
  <si>
    <t>10.a.2.19</t>
  </si>
  <si>
    <t>10.a.2.20</t>
  </si>
  <si>
    <t>10.a.2.21</t>
  </si>
  <si>
    <t>10.a.2.22</t>
  </si>
  <si>
    <t>10.a.2.23</t>
  </si>
  <si>
    <t>10.a.2.24</t>
  </si>
  <si>
    <t>10.a.2.25</t>
  </si>
  <si>
    <t>10.a.2.1.1</t>
  </si>
  <si>
    <t>Det skal være muligt for brugeren, ved at angive en frist eller ved at svare "ved ikke", at kortlægge den kortest mulige fristlængde for forældelsesfristens beregning for krav omfattet af den afgrænsede population</t>
  </si>
  <si>
    <t>10.a.2.1.2</t>
  </si>
  <si>
    <t>Såfremt brugeren angiver en frist skal brugeren ledes til spørgsmål 10.a.2.1.1</t>
  </si>
  <si>
    <t>10.a.2.1.3</t>
  </si>
  <si>
    <t>Såfremt brugeren angiver "ved ikke" skal brugeren ledes til 10.a.2.1.2</t>
  </si>
  <si>
    <t>10.a.2.1.1.1</t>
  </si>
  <si>
    <t>10.a.2.1.1.2</t>
  </si>
  <si>
    <t>10.a.2.1.1.3</t>
  </si>
  <si>
    <t>10.a.2.1.1.4</t>
  </si>
  <si>
    <t>10.a.2.1.1.5</t>
  </si>
  <si>
    <t>10.a.2.1.1.6</t>
  </si>
  <si>
    <t>10.a.2.1.1.7</t>
  </si>
  <si>
    <t>10.a.2.1.1.8</t>
  </si>
  <si>
    <t>10.a.2.1.1.9</t>
  </si>
  <si>
    <t>10.a.2.1.1.10</t>
  </si>
  <si>
    <t>10.a.2.1.1.11</t>
  </si>
  <si>
    <t>10.a.2.1.1.12</t>
  </si>
  <si>
    <t>10.a.2.1.1.13</t>
  </si>
  <si>
    <t>10.a.2.1.1.14</t>
  </si>
  <si>
    <t>10.a.2.1.1.15</t>
  </si>
  <si>
    <t>10.a.2.1.1.16</t>
  </si>
  <si>
    <t>10.a.2.1.1.17</t>
  </si>
  <si>
    <t>10.a.2.1.1.18</t>
  </si>
  <si>
    <t>10.a.2.1.1.19</t>
  </si>
  <si>
    <t>10.a.2.1.1.20</t>
  </si>
  <si>
    <t>10.a.2.1.1.21</t>
  </si>
  <si>
    <t>10.a.2.1.1.22</t>
  </si>
  <si>
    <t>10.a.2.1.1.23</t>
  </si>
  <si>
    <t>10.a.2.1.1.24</t>
  </si>
  <si>
    <t>10.a.2.1.1.25</t>
  </si>
  <si>
    <t>10.a.2.1.1.26</t>
  </si>
  <si>
    <t>10.a.2.1.1.27</t>
  </si>
  <si>
    <t>10.a.2.1.1.28</t>
  </si>
  <si>
    <t>10.a.2.1.1.29</t>
  </si>
  <si>
    <t>10.a.2.1.1.30</t>
  </si>
  <si>
    <t>10.a.2.1.1.31</t>
  </si>
  <si>
    <t>10.a.2.1.1.32</t>
  </si>
  <si>
    <t>10.a.2.1.1.33</t>
  </si>
  <si>
    <t>10.a.2.1.1.34</t>
  </si>
  <si>
    <t>10.a.2.1.1.35</t>
  </si>
  <si>
    <t>10.a.2.1.1.36</t>
  </si>
  <si>
    <t>10.a.2.1.1.37</t>
  </si>
  <si>
    <t>10.a.2.1.1.38</t>
  </si>
  <si>
    <t>10.a.2.1.1.39</t>
  </si>
  <si>
    <t>10.a.2.1.1.40</t>
  </si>
  <si>
    <t>10.a.2.1.1.41</t>
  </si>
  <si>
    <t>10.a.2.1.1.42</t>
  </si>
  <si>
    <t>10.a.2.1.1.43</t>
  </si>
  <si>
    <t>10.a.2.1.1.44</t>
  </si>
  <si>
    <t>10.a.2.1.1.45</t>
  </si>
  <si>
    <t>10.a.2.1.1.46</t>
  </si>
  <si>
    <t>10.a.2.1.1.47</t>
  </si>
  <si>
    <t>10.a.2.1.1.48</t>
  </si>
  <si>
    <t>10.a.2.1.1.49</t>
  </si>
  <si>
    <t>10.a.2.1.1.50</t>
  </si>
  <si>
    <t>10.a.2.1.1.51</t>
  </si>
  <si>
    <t>10.a.2.1.1.52</t>
  </si>
  <si>
    <t>10.a.2.1.1.53</t>
  </si>
  <si>
    <t>10.a.2.1.1.54</t>
  </si>
  <si>
    <t>10.a.2.1.1.55</t>
  </si>
  <si>
    <t>10.a.2.1.1.56</t>
  </si>
  <si>
    <t>Hvis ForfaldsDato er valgt: Fristlængden indsættes i Regel R0047 - fristlængden beregnes ved at fratrække værdien fra spm. 10.a.2 med værdien fra 10.a.2.1</t>
  </si>
  <si>
    <t>10.a.2.1.1.57</t>
  </si>
  <si>
    <t>Hvis ForfaldsDato er valgt: Fristlængden indsættes i Regel R0048 - fristlængden beregnes ved at fratrække værdien fra spm. 10.a.2 med værdien fra 10.a.2.1</t>
  </si>
  <si>
    <t>10.a.2.1.1.58</t>
  </si>
  <si>
    <t>Hvis ForfaldsDato er valgt: Fristlængden indsættes i Regel R0049 - fristlængden beregnes ved at fratrække værdien fra spm. 10.a.2 med værdien fra 10.a.2.1</t>
  </si>
  <si>
    <t>10.a.2.1.1.59</t>
  </si>
  <si>
    <t>Hvis ForfaldsDato er valgt: Fristlængden indsættes i Regel R0050 - fristlængden beregnes ved at fratrække værdien fra spm. 10.a.2 med værdien fra 10.a.2.1</t>
  </si>
  <si>
    <t>10.a.2.1.1.60</t>
  </si>
  <si>
    <t>Hvis StiftelsesDato er valgt: Fristlængden indsættes i Regel R0051 - fristlængden beregnes ved at fratrække værdien fra spm. 10.a.2 med værdien fra 10.a.2.1</t>
  </si>
  <si>
    <t>10.a.2.1.1.61</t>
  </si>
  <si>
    <t>Hvis StiftelsesDato er valgt: Fristlængden indsættes i Regel R0052 - fristlængden beregnes ved at fratrække værdien fra spm. 10.a.2 med værdien fra 10.a.2.1</t>
  </si>
  <si>
    <t>10.a.2.1.1.62</t>
  </si>
  <si>
    <t>Hvis StiftelsesDato er valgt: Fristlængden indsættes i Regel R0053 - fristlængden beregnes ved at fratrække værdien fra spm. 10.a.2 med værdien fra 10.a.2.1</t>
  </si>
  <si>
    <t>10.a.2.1.1.63</t>
  </si>
  <si>
    <t>Hvis StiftelsesDato er valgt: Fristlængden indsættes i Regel R0054 - fristlængden beregnes ved at fratrække værdien fra spm. 10.a.2 med værdien fra 10.a.2.1</t>
  </si>
  <si>
    <t>10.a.2.1.1.64</t>
  </si>
  <si>
    <t>Hvis FordringsStartDato er valgt: Fristlængden indsættes i Regel R0055 - fristlængden beregnes ved at fratrække værdien fra spm. 10.a.2 med værdien fra 10.a.2.1</t>
  </si>
  <si>
    <t>10.a.2.1.1.65</t>
  </si>
  <si>
    <t>Hvis FordringsStartDato er valgt: Fristlængden indsættes i Regel R0056 - fristlængden beregnes ved at fratrække værdien fra spm. 10.a.2 med værdien fra 10.a.2.1</t>
  </si>
  <si>
    <t>10.a.2.1.1.66</t>
  </si>
  <si>
    <t>Hvis FordringsStartDato er valgt: Fristlængden indsættes i Regel R0057 - fristlængden beregnes ved at fratrække værdien fra spm. 10.a.2 med værdien fra 10.a.2.1</t>
  </si>
  <si>
    <t>10.a.2.1.1.67</t>
  </si>
  <si>
    <t>Hvis FordringsStartDato er valgt: Fristlængden indsættes i Regel R0058 - fristlængden beregnes ved at fratrække værdien fra spm. 10.a.2 med værdien fra 10.a.2.1</t>
  </si>
  <si>
    <t>10.a.2.1.1.68</t>
  </si>
  <si>
    <t>Hvis FordringsSlutDato er valgt: Fristlængden indsættes i Regel R0059 - fristlængden beregnes ved at fratrække værdien fra spm. 10.a.2 med værdien fra 10.a.2.1</t>
  </si>
  <si>
    <t>10.a.2.1.1.69</t>
  </si>
  <si>
    <t>Hvis FordringsSlutDato er valgt: Fristlængden indsættes i Regel R0060 - fristlængden beregnes ved at fratrække værdien fra spm. 10.a.2 med værdien fra 10.a.2.1</t>
  </si>
  <si>
    <t>10.a.2.1.1.70</t>
  </si>
  <si>
    <t>Hvis FordringsSlutDato er valgt: Fristlængden indsættes i Regel R0061 - fristlængden beregnes ved at fratrække værdien fra spm. 10.a.2 med værdien fra 10.a.2.1</t>
  </si>
  <si>
    <t>10.a.2.1.1.71</t>
  </si>
  <si>
    <t>Hvis FordringsSlutDato er valgt: Fristlængden indsættes i Regel R0062 - fristlængden beregnes ved at fratrække værdien fra spm. 10.a.2 med værdien fra 10.a.2.1</t>
  </si>
  <si>
    <t>10.a.2.1.1.72</t>
  </si>
  <si>
    <t>Hvis SRBDato er valgt: Fristlængden indsættes i Regel R0063 - fristlængden beregnes ved at fratrække værdien fra spm. 10.a.2 med værdien fra 10.a.2.1</t>
  </si>
  <si>
    <t>10.a.2.1.1.73</t>
  </si>
  <si>
    <t>Hvis SRBDato er valgt: Fristlængden indsættes i Regel R0064 - fristlængden beregnes ved at fratrække værdien fra spm. 10.a.2 med værdien fra 10.a.2.1</t>
  </si>
  <si>
    <t>10.a.2.1.1.74</t>
  </si>
  <si>
    <t>Hvis SRBDato er valgt: Fristlængden indsættes i Regel R0065 - fristlængden beregnes ved at fratrække værdien fra spm. 10.a.2 med værdien fra 10.a.2.1</t>
  </si>
  <si>
    <t>10.a.2.1.1.75</t>
  </si>
  <si>
    <t>Hvis SRBDato er valgt: Fristlængden indsættes i Regel R0066 - fristlængden beregnes ved at fratrække værdien fra spm. 10.a.2 med værdien fra 10.a.2.1</t>
  </si>
  <si>
    <t>10.a.2.1.1.76</t>
  </si>
  <si>
    <t>Hvis ForfaldsDato er valgt: Fristlængden indsættes i Regel R0067 - fristlængden beregnes ved at fratrække værdien fra spm. 10.a.2 med værdien fra 10.a.2.1</t>
  </si>
  <si>
    <t>10.a.2.1.1.77</t>
  </si>
  <si>
    <t>Hvis StiftelsesDato er valgt: Fristlængden indsættes i Regel R0068 - fristlængden beregnes ved at fratrække værdien fra spm. 10.a.2 med værdien fra 10.a.2.1</t>
  </si>
  <si>
    <t>10.a.2.1.1.78</t>
  </si>
  <si>
    <t>Hvis FordringsStartDato er valgt: Fristlængden indsættes i Regel R0069 - fristlængden beregnes ved at fratrække værdien fra spm. 10.a.2 med værdien fra 10.a.2.1</t>
  </si>
  <si>
    <t>10.a.2.1.1.79</t>
  </si>
  <si>
    <t>Hvis FordringsSlutDato er valgt: Fristlængden indsættes i Regel R0070 - fristlængden beregnes ved at fratrække værdien fra spm. 10.a.2 med værdien fra 10.a.2.1</t>
  </si>
  <si>
    <t>10.a.2.1.1.80</t>
  </si>
  <si>
    <t>Hvis SRBDato er valgt: Fristlængden indsættes i Regel R0071 - fristlængden beregnes ved at fratrække værdien fra spm. 10.a.2 med værdien fra 10.a.2.1</t>
  </si>
  <si>
    <t>10.a.2.1.1.81</t>
  </si>
  <si>
    <t>10.a.2.1.1.82</t>
  </si>
  <si>
    <t>10.a.2.1.1.83</t>
  </si>
  <si>
    <t>10.a.2.1.1.84</t>
  </si>
  <si>
    <t>10.a.2.1.1.85</t>
  </si>
  <si>
    <t>10.a.2.1.1.86</t>
  </si>
  <si>
    <t>10.a.2.1.1.87</t>
  </si>
  <si>
    <t>10.a.2.1.1.88</t>
  </si>
  <si>
    <t>10.a.2.1.1.89</t>
  </si>
  <si>
    <t>10.a.2.1.1.90</t>
  </si>
  <si>
    <t>10.a.2.1.1.91</t>
  </si>
  <si>
    <t>10.a.2.1.1.92</t>
  </si>
  <si>
    <t>10.a.2.1.1.93</t>
  </si>
  <si>
    <t>10.a.2.1.1.94</t>
  </si>
  <si>
    <t>10.a.2.1.1.95</t>
  </si>
  <si>
    <t>10.a.2.1.1.96</t>
  </si>
  <si>
    <t>10.a.2.1.1.97</t>
  </si>
  <si>
    <t>10.a.2.1.1.98</t>
  </si>
  <si>
    <t>10.a.2.1.1.99</t>
  </si>
  <si>
    <t>10.a.2.1.1.100</t>
  </si>
  <si>
    <t>10.a.2.1.1.101</t>
  </si>
  <si>
    <t>10.a.2.1.1.102</t>
  </si>
  <si>
    <t>10.a.2.1.1.103</t>
  </si>
  <si>
    <t>10.a.2.1.1.104</t>
  </si>
  <si>
    <t>10.a.2.1.1.105</t>
  </si>
  <si>
    <t>10.a.2.1.1.106</t>
  </si>
  <si>
    <t>10.a.2.1.1.107</t>
  </si>
  <si>
    <t>10.a.2.1.1.108</t>
  </si>
  <si>
    <t>10.a.2.1.1.109</t>
  </si>
  <si>
    <t>10.a.2.1.1.110</t>
  </si>
  <si>
    <t>10.a.2.1.2.1</t>
  </si>
  <si>
    <t>10.a.2.1.2.2</t>
  </si>
  <si>
    <t>10.a.2.1.2.3</t>
  </si>
  <si>
    <t>10.a.2.1.2.4</t>
  </si>
  <si>
    <t>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t>
  </si>
  <si>
    <t>10.a.2.1.2.5</t>
  </si>
  <si>
    <t>10.a.2.2.1</t>
  </si>
  <si>
    <t>10.a.2.2.2</t>
  </si>
  <si>
    <t>10.a.2.2.3</t>
  </si>
  <si>
    <t>10.a.2.2.4</t>
  </si>
  <si>
    <t>10.a.2.2.5</t>
  </si>
  <si>
    <t>10.a.2.2.6</t>
  </si>
  <si>
    <t>10.a.2.2.7</t>
  </si>
  <si>
    <t>10.a.2.2.8</t>
  </si>
  <si>
    <t>10.a.2.2.9</t>
  </si>
  <si>
    <t>10.a.2.2.10</t>
  </si>
  <si>
    <t>10.a.2.2.11</t>
  </si>
  <si>
    <t>10.a.2.2.12</t>
  </si>
  <si>
    <t>10.a.2.2.13</t>
  </si>
  <si>
    <t>10.a.2.2.14</t>
  </si>
  <si>
    <t>10.a.2.2.15</t>
  </si>
  <si>
    <t>10.a.2.2.16</t>
  </si>
  <si>
    <t>10.a.2.2.17</t>
  </si>
  <si>
    <t>10.a.2.2.18</t>
  </si>
  <si>
    <t>10.a.2.2.19</t>
  </si>
  <si>
    <t>10.a.2.2.20</t>
  </si>
  <si>
    <t>10.a.2.2.21</t>
  </si>
  <si>
    <t>10.a.2.2.22</t>
  </si>
  <si>
    <t>10.a.2.2.23</t>
  </si>
  <si>
    <t>10.a.2.2.24</t>
  </si>
  <si>
    <t>10.a.2.2.25</t>
  </si>
  <si>
    <t>10.b</t>
  </si>
  <si>
    <t>10.b.5</t>
  </si>
  <si>
    <t>Form 39</t>
  </si>
  <si>
    <t>11.1</t>
  </si>
  <si>
    <t>Dækket</t>
  </si>
  <si>
    <t>Row Labels</t>
  </si>
  <si>
    <t>Grand Total</t>
  </si>
  <si>
    <t>Count of Krav #</t>
  </si>
  <si>
    <t>Krav # + Beskrivelse</t>
  </si>
  <si>
    <t>Jeg forventer at kun bestemte celler ændre sig ved at svare antal dage (Andre celler end hvis jeg svarer "ved ikke")</t>
  </si>
  <si>
    <t>Jf. kravet skal der skrives "NEJ" som værdi ud for "Stoler RIM på fordringshaver forældelsesdatoen" i populationsarket hvis der angives antal dage</t>
  </si>
  <si>
    <t>Jeg forventer at kun bestemte celler ændre sig ved at svare "Ved ikke" (Andre celler end hvis jeg svarer med antal dage)</t>
  </si>
  <si>
    <t>13</t>
  </si>
  <si>
    <t>13.32</t>
  </si>
  <si>
    <t>13.33</t>
  </si>
  <si>
    <t>13.34</t>
  </si>
  <si>
    <t>13.36</t>
  </si>
  <si>
    <t>13.37</t>
  </si>
  <si>
    <t>13.38</t>
  </si>
  <si>
    <t>R0047</t>
  </si>
  <si>
    <t>R0048</t>
  </si>
  <si>
    <t>R0049</t>
  </si>
  <si>
    <t>R0050</t>
  </si>
  <si>
    <t>R0067</t>
  </si>
  <si>
    <t>jf. kravet skal regelerne tilknyttet forfaldsdato aktiveres ved valg af forfaldsdato i spm 10</t>
  </si>
  <si>
    <t>R0063</t>
  </si>
  <si>
    <t>R0064</t>
  </si>
  <si>
    <t>R0065</t>
  </si>
  <si>
    <t>R0066</t>
  </si>
  <si>
    <t>R0071</t>
  </si>
  <si>
    <t>R0051</t>
  </si>
  <si>
    <t>R0052</t>
  </si>
  <si>
    <t>R0053</t>
  </si>
  <si>
    <t>R0054</t>
  </si>
  <si>
    <t>R0068</t>
  </si>
  <si>
    <t>jf. kravet skal regelerne tilknyttet stiftelsesdato aktiveres ved valg af stiftelsesdato i spm 10</t>
  </si>
  <si>
    <t>jf. kravet skal regelerne tilknyttet SRB aktiveres ved valg af SRB i spm 10</t>
  </si>
  <si>
    <t>jf. kravet skal regelerne tilknyttet periode slut aktiveres ved valg af periode slut i spm 10</t>
  </si>
  <si>
    <t>jf. kravet skal regelerne tilknyttet periode start aktiveres ved valg af periode start i spm 10</t>
  </si>
  <si>
    <t>R0055</t>
  </si>
  <si>
    <t>R0056</t>
  </si>
  <si>
    <t>R0057</t>
  </si>
  <si>
    <t>R0058</t>
  </si>
  <si>
    <t>R0069</t>
  </si>
  <si>
    <t>R0070</t>
  </si>
  <si>
    <t>R0059</t>
  </si>
  <si>
    <t>R0060</t>
  </si>
  <si>
    <t>R0061</t>
  </si>
  <si>
    <t>R0062</t>
  </si>
  <si>
    <t>jf. kravet skal regelerne tilknyttet periode slut deaktiveres når den ikke er valgt i spm 10</t>
  </si>
  <si>
    <t>jf. kravet skal regelerne tilknyttet periode start deaktiveres når den ikke er valgt i spm 10</t>
  </si>
  <si>
    <t>jf. kravet skal regelerne tilknyttet stiftelsesdato deaktiveres når den ikke er valgt i spm 10</t>
  </si>
  <si>
    <t>jf. kravet skal regelerne tilknyttet SRB deaktiveres når den ikke er valgt i spm 10</t>
  </si>
  <si>
    <t>jf. kravet skal regelerne tilknyttet forfaldsdato deaktiveres når den ikke er valgt i spm 10</t>
  </si>
  <si>
    <t>14.13</t>
  </si>
  <si>
    <t>14.74</t>
  </si>
  <si>
    <t>14.76</t>
  </si>
  <si>
    <t>14.77</t>
  </si>
  <si>
    <t>14.78</t>
  </si>
  <si>
    <t>14.41</t>
  </si>
  <si>
    <t>14.46</t>
  </si>
  <si>
    <t>14.107</t>
  </si>
  <si>
    <t>14.140</t>
  </si>
  <si>
    <t>14.146</t>
  </si>
  <si>
    <t>14.166</t>
  </si>
  <si>
    <t>14.167</t>
  </si>
  <si>
    <t>14.168</t>
  </si>
  <si>
    <t>14.169</t>
  </si>
  <si>
    <t>14.170</t>
  </si>
  <si>
    <t>14.171</t>
  </si>
  <si>
    <t>14.172</t>
  </si>
  <si>
    <t>14.173</t>
  </si>
  <si>
    <t>14.174</t>
  </si>
  <si>
    <t>14.175</t>
  </si>
  <si>
    <t>14.176</t>
  </si>
  <si>
    <t>14.177</t>
  </si>
  <si>
    <t>14.178</t>
  </si>
  <si>
    <t>14.185</t>
  </si>
  <si>
    <t>14.186</t>
  </si>
  <si>
    <t>14.212</t>
  </si>
  <si>
    <t>14.214</t>
  </si>
  <si>
    <t>14.218</t>
  </si>
  <si>
    <t>14.219</t>
  </si>
  <si>
    <t>Jf. kravet skal der skrives "Nej" som værdi ud for "Vil RIM beregne en tidligst mulig forældelsesdato?" i populationsarket når der vælges "Ingen" i spm 10</t>
  </si>
  <si>
    <t>Som bruger forventer jeg  at hvis jeg vælger SRB, stiftelsesdato, periodstartdato og periodeslutdato at jeg ledes igennem form 32 (SRB) først</t>
  </si>
  <si>
    <t>Som bruger forventer jeg  som bruger at hvis jeg vælger alle datafelter at jeg ledes igennem form 28 (forfaldsdato) først</t>
  </si>
  <si>
    <t>Som bruger forventer jeg  som bruger at hvis jeg vælger stiftelsesdato, periodstartdato og periodeslutdato at jeg ledes igennem form 29 stiftelsesdato, først</t>
  </si>
  <si>
    <t>Som bruger forventer jeg  som bruger at hvis jeg vælger periodstartdato og periodeslutdato at jeg ledes igennem form 30 periodstartdato først</t>
  </si>
  <si>
    <t>13.40</t>
  </si>
  <si>
    <t>FordringsId er forkert udfyldt</t>
  </si>
  <si>
    <t>FordringsType er forkert udfyldt</t>
  </si>
  <si>
    <t>before01092013</t>
  </si>
  <si>
    <t xml:space="preserve">Fordringshaver har indtastet et begyndelsestidspunkt for modtagelsesperioden, der ligger før den 1. september 2013. Som udgangspunkt vil vi ikke konfigurere fordringer, der er modtaget før den 1. september 2013, da der er risiko for, at disse fordringer har mistet data i forbindelse med konverteringen til EFI/DMI. _x000D_
_x000D_
Såfremt der i populationsafgrænsningen vælges en modtagelsesperiode med start før den 1. september 2013, skal det afdækkes, om konverteringen af den afgrænsede population har medført ændringer i fordringernes data._x000D_
</t>
  </si>
  <si>
    <t>10-15-2013 er ikke en gyldig dato.</t>
  </si>
  <si>
    <t>Dato ikke udfyldt korrekt..</t>
  </si>
  <si>
    <t>noChangeWhenBackButton</t>
  </si>
  <si>
    <t>Som bruger ville jeg ikke forvente der skrives noget til arkene når jeg trykker tilabge knappen.</t>
  </si>
  <si>
    <t>Vælg venligst et svar</t>
  </si>
  <si>
    <t>Hvis registreringspraksis er forskellig kan FlexFilteret ikke anvendes</t>
  </si>
  <si>
    <t>FlexFilter konfiguration kan ikke udføres pba. denne besvarelse.</t>
  </si>
  <si>
    <t>Jf. kravet skal brugeren, når der vælges "Ja", sendes til spørgsmål 9.b.1, hvor logikken foregår i samme form. Herefter sendes brugeren automatisk til Spørgsmål 10 (frm14)</t>
  </si>
  <si>
    <t>I forbindelse med at jeg kommer til form 11 hvor jeg har valgt "Ja" i en tidligere besvarelse, skal eventuel forrige valg pre-loades ind i formen</t>
  </si>
  <si>
    <t>I forbindelse med at jeg kommer til form 11 hvor jeg har valgt "Nej" i  en tidligere besvarelse, skal eventuel forrige valg pre-loades ind i formen</t>
  </si>
  <si>
    <t>I forbindelse med at jeg kommer til form 11 hvor jeg har valgt "ny besvarelse" i form 1, alle feltet være blank</t>
  </si>
  <si>
    <t xml:space="preserve">Jf. kravet skal brugeren, når der vælges "Ja", sendes til spørgsmål 9.b.2.1, hvor logikken foregår i samme form. Herefter sendes brugeren automatisk til Spørgsmål 10 (form 14) </t>
  </si>
  <si>
    <t>Før</t>
  </si>
  <si>
    <t>Samme dag eller senere</t>
  </si>
  <si>
    <t>Antal dage efter</t>
  </si>
  <si>
    <t>Antal dage</t>
  </si>
  <si>
    <t>Ved ikke (1)</t>
  </si>
  <si>
    <t>Ved ikke (2)</t>
  </si>
  <si>
    <t>3 år</t>
  </si>
  <si>
    <t>Spm 9 Svar</t>
  </si>
  <si>
    <t>Spm 9b Svar</t>
  </si>
  <si>
    <t>Spm 9b2 Svar</t>
  </si>
  <si>
    <t>Spm 9b22 Svar</t>
  </si>
  <si>
    <t>Choices in form 14</t>
  </si>
  <si>
    <t xml:space="preserve">Kommentar </t>
  </si>
  <si>
    <t>Boolean</t>
  </si>
  <si>
    <t>textbox1</t>
  </si>
  <si>
    <t>textbox2</t>
  </si>
  <si>
    <t>checkbox1</t>
  </si>
  <si>
    <t>checkbox2</t>
  </si>
  <si>
    <t>checkbox3</t>
  </si>
  <si>
    <t>SpmSvar9</t>
  </si>
  <si>
    <t>SpmSvar9b</t>
  </si>
  <si>
    <t>SpmSvar9b2</t>
  </si>
  <si>
    <t>SpmSvar9b22</t>
  </si>
  <si>
    <t>periodeStartdato</t>
  </si>
  <si>
    <t>periodeSlutdato</t>
  </si>
  <si>
    <t>gruppe 1 aktiveres</t>
  </si>
  <si>
    <t>1095</t>
  </si>
  <si>
    <t xml:space="preserve">Jfr. Kravet. Fristlængden indsættes i de relevante regler. 
OBS: Dog skal fordringshavers oplysninger om antallet af dage mellem det tidligst mulige begyndelsestidspunkt for forældelsesfristens beregning og det angivne stamdatafelt (spm. 10.a.1) fratrækkes den oplyste fristlængde (spm. 10.a.1.1).
</t>
  </si>
  <si>
    <t>1085</t>
  </si>
  <si>
    <t>20</t>
  </si>
  <si>
    <t>Som bruger vil jeg ikke forvente at værdien indsættes i regel arket, da der i regelarket er opsat grænseværdier i varigheder imellem -1000 og +1000</t>
  </si>
  <si>
    <t>1021</t>
  </si>
  <si>
    <t>Jfr. Kravet.  Der angives et ”JA” i populationen under ”Vil RIM beregne en tidligst mulig forældelsesdato?”</t>
  </si>
  <si>
    <t>Før det valgte stamdatafelt</t>
  </si>
  <si>
    <t>jfr. Kravet. Såfremt brugeren angiver en frist skal brugeren ledes til spørgsmål 10.a.1.1.1 og der ikke er angivet andre stamdatafelter</t>
  </si>
  <si>
    <t>Såfremt brugeren angivet stiftelsedato i form14 førventes næste form vare frm029</t>
  </si>
  <si>
    <t>Såfremt brugeren angivet periode startdato i form14 førventes næste form vare frm030</t>
  </si>
  <si>
    <t>Såfremt brugeren angivet slutdato i form14 førventes næste form vare frm031</t>
  </si>
  <si>
    <t>Såfremt brugeren angivet srb i form14 førventes næste form vare frm032</t>
  </si>
  <si>
    <t>Som bruger vil jeg ikke forvente det er muligt at fortsætte uden at angive antal dage. Her vil jeg forvente at en fejlbesked kommer frem.</t>
  </si>
  <si>
    <t>To be defined Error Message</t>
  </si>
  <si>
    <t>Som bruger vil jeg ikke forvente det er muligt at fortsætte uden at angive antal dage. Der bør ikke ændres noget i arkene</t>
  </si>
  <si>
    <t>Som bruger vil jeg ikke forvente det er muligt at fortsætte med forkert angive antal dage. Her vil jeg forvente at en fejlbesked kommer frem.</t>
  </si>
  <si>
    <t>Som bruger vil jeg ikke forvente det er muligt at fortsætte med forkert angive antal dage. Der bør ikke ændres noget i arkene</t>
  </si>
  <si>
    <t>Som bruger vil jeg ikke forvente det er muligt at fortsætte negativt antal dage. Her vil jeg forvente at en fejlbesked kommer frem.</t>
  </si>
  <si>
    <t>Som bruger vil jeg ikke forvente det er muligt at fortsætte med negativt antal dage. Der bør ikke ændres noget i arkene</t>
  </si>
  <si>
    <t>Som bruger vil jeg ikke forvente det er muligt at fortsætte med negativt antal dage. Her vil jeg forvente at en fejlbesked kommer frem.</t>
  </si>
  <si>
    <t>Jfr. Kravet. Der angives et "NEJ" i i populationen under ”vil RIM beregne en tidligst mulig forældelsesdato?"</t>
  </si>
  <si>
    <t>Jeg forventer at mine svar gemmes i SpmSvar</t>
  </si>
  <si>
    <t>Jfr. Kravet.Gruppe 1 deaktiveres</t>
  </si>
  <si>
    <t>Jfr. Kravet.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t>
  </si>
  <si>
    <t>RIM kan ikke beregne et tidligst muligt forældelsestidspunkt den del af populationen, hvor der ikke er indsendt FOKO. Den følgende konfiguration angår derfor kun fordringer, hvor der er indsendt FOKO</t>
  </si>
  <si>
    <t xml:space="preserve">jfr kravet. Hvis fordringshaver har svaret ”aldrig” i spm. 9, kan der ikke opsættes en FLEX-filter konfiguration for populationen. </t>
  </si>
  <si>
    <t>clickOnErrorMessage</t>
  </si>
  <si>
    <t>jfr kravet. Hvis der er svaret "I visse tilfælde" i spørgsmål 9 og hvis der er svaret "Ja" i enten 9.b.1, 9.b.2.1 eller 9.b.2.2.1 skal brugeren ledes til spørgsmål 11</t>
  </si>
  <si>
    <t>Jf. kravet. Hvis der er svaret "Altid" i spm 9 så skal brugeren ledes til spørgsmål 11</t>
  </si>
  <si>
    <t>jfr kravet. Der angives et "NEJ" i i populationen under ”vil RIM beregne en tidligst mulig forældelsesdato?"</t>
  </si>
  <si>
    <t>Som bruger forventer jeg at mine svar gemmes i SpmSvar</t>
  </si>
  <si>
    <t>Jfr. Kravet.  Inden spørgeskema-logikken går videre fra spørgsmål 10.a.1.2 til spørgsmål 11, skal der fremkomme en boks, hvor følgende fremgår ”RIM kan ikke beregne et tidligst muligt forældelsestidspunkt den del af populationen, hvor der ikke er indsendt FOKO. Den følgende konfiguration angår derfor kun fordringer, hvor der er indsendt FOKO”.</t>
  </si>
  <si>
    <t>jfr Kravet. Hvis der er svaret "I visse tilfælde" i spørgsmål 9 og hvis der er svaret "Ja" i enten 9.b.1, 9.b.2.1 eller 9.b.2.2.1 skal brugeren ledes til spørgsmål 11</t>
  </si>
  <si>
    <t>Som bruger forventer jeg ikke at jeg kan gå videre uden at aktivere en af optionbuttons. Her vil jeg forvente at en fejlbesked kommer frem.</t>
  </si>
  <si>
    <t>Som bruger forventer jeg ikke at jeg kan gå videre uden at aktivere en af optionbuttons. Her bør der ikke ændres i arkene</t>
  </si>
  <si>
    <t>jfr. kravet. Der skal fremgå en infoboks med teksten: ”Normalt” er fordringer undergivet en 3 års forældelsesfrist”.</t>
  </si>
  <si>
    <t xml:space="preserve">Hvis begyndelsestidspunktet kan ligge samme dag som indholdet af stamdatafeltet svares 0 dage. </t>
  </si>
  <si>
    <t>jfr. kravet. Der skal være en infoboks med teksten: "Hvis begyndelsestidspunktet kan ligge samme dag som indholdet af stamdatafeltet svares 0 dage."</t>
  </si>
  <si>
    <t>Normalt er fordringer undergivet en 3 års forældelsesfrist.</t>
  </si>
  <si>
    <t>Jfr. kravet skal gruppe 1 aktiveres når optionbutton vælges</t>
  </si>
  <si>
    <t xml:space="preserve">Jfr. Kravet. Fristlængden indsættes i de relevante regler. 
</t>
  </si>
  <si>
    <t xml:space="preserve">Jfr. Kravet. Fristlængden indsættes i de relevante regler. 
</t>
  </si>
  <si>
    <t>Samme dag eller senere end det valgte stamdatafelt</t>
  </si>
  <si>
    <t>jfr. Kravet. Såfremt brugeren angiver en frist skal brugeren ledes til spørgsmål 10.a.2.1.1</t>
  </si>
  <si>
    <t>Jfr. Kravet.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t>
  </si>
  <si>
    <t>jfr Kravet. Hvis der er svaret "altid" i spørgsmål 9  skal brugeren ledes til spørgsmål 11</t>
  </si>
  <si>
    <t>Jfr. Kravet. Inden spørgeskema-logikken går videre fra spørgsmål 10.a.2.2.2 til spørgsmål 11, skal der fremkomme en boks, hvor følgende fremgår ”RIM kan ikke beregne et tidligst muligt forældelsestidspunkt den del af populationen, hvor der ikke er indsendt FOKO. Den følgende konfiguration angår derfor kun fordringer, hvor der er indsendt FOKO”.</t>
  </si>
  <si>
    <t>I forbindelse med at jeg kommer til form 28 hvor jeg har valgt "optionbutton1" i en tidligere besvarelse, skal eventuel forrige valg pre-loades ind i formen</t>
  </si>
  <si>
    <t>I forbindelse med at jeg kommer til form 28 hvor jeg har valgt "ny besvarelse" i form 1, alle feltet være blank</t>
  </si>
  <si>
    <t>I forbindelse med at jeg kommer til form 8 hvor jeg har valgt "optionbutton2" i  en tidligere besvarelse, skal eventuel forrige valg pre-loades ind i formen</t>
  </si>
  <si>
    <t>I forbindelse med at jeg kommer til form 28 hvor jeg har skrivit i  "textbox1" i en tidligere besvarelse, skal eventuel forrige valg pre-loades ind i formen</t>
  </si>
  <si>
    <t>I forbindelse med at jeg kommer til form 28 hvor jeg har skrivit i  "textbox2" i en tidligere besvarelse, skal eventuel forrige valg pre-loades ind i formen</t>
  </si>
  <si>
    <t>10.a.17</t>
  </si>
  <si>
    <t>Forfaldsdato From</t>
  </si>
  <si>
    <t>Forfaldsdato To</t>
  </si>
  <si>
    <t>SRB From</t>
  </si>
  <si>
    <t>SRB To</t>
  </si>
  <si>
    <t>Stiftelsesdato From</t>
  </si>
  <si>
    <t>Stiftelsesdato To</t>
  </si>
  <si>
    <t>Periode startdato</t>
  </si>
  <si>
    <t>Periode startdato From</t>
  </si>
  <si>
    <t>Periode startdato To</t>
  </si>
  <si>
    <t>Periode slutdato</t>
  </si>
  <si>
    <t>Periode slutdato From</t>
  </si>
  <si>
    <t>Periode slutdato To</t>
  </si>
  <si>
    <t>TextBox</t>
  </si>
  <si>
    <t>forfaldsdatoFrom</t>
  </si>
  <si>
    <t>forfaldsdatoTo</t>
  </si>
  <si>
    <t>srbFrom</t>
  </si>
  <si>
    <t>srbTo</t>
  </si>
  <si>
    <t>stiftelsesdatoFrom</t>
  </si>
  <si>
    <t>stiftelsesdatoTo</t>
  </si>
  <si>
    <t>periodeStart</t>
  </si>
  <si>
    <t>periodeStartFrom</t>
  </si>
  <si>
    <t>periodeStartTo</t>
  </si>
  <si>
    <t>periodeSlut</t>
  </si>
  <si>
    <t>periodeSlutFrom</t>
  </si>
  <si>
    <t>periodeSlutTo</t>
  </si>
  <si>
    <t>4.a.2.1.6</t>
  </si>
  <si>
    <t xml:space="preserve">De indtastet interval for forfaldsdato skal skrives til populationsarket. </t>
  </si>
  <si>
    <t>10-09-2013</t>
  </si>
  <si>
    <t>10-09-2014</t>
  </si>
  <si>
    <t>4.a.2.1.7</t>
  </si>
  <si>
    <t>4.a.2.1.8</t>
  </si>
  <si>
    <t xml:space="preserve">Hvis SRB ikke er valgt skal der ikke skrives noget interval i populationsarket. </t>
  </si>
  <si>
    <t>4.a.2.1.9</t>
  </si>
  <si>
    <t>4.a.2.1.3</t>
  </si>
  <si>
    <t xml:space="preserve">Hvis stiftelsesdato ikke er valgt skal der ikke skrives noget interval i populationsarket. </t>
  </si>
  <si>
    <t>4.a.2.1.5</t>
  </si>
  <si>
    <t>4.a.2.1.10</t>
  </si>
  <si>
    <t xml:space="preserve">Hvis periode start ikke er valgt skal der ikke skrives noget interval i populationsarket. </t>
  </si>
  <si>
    <t>4.a.2.1.11</t>
  </si>
  <si>
    <t>4.a.2.1.12</t>
  </si>
  <si>
    <t xml:space="preserve">Hvis periode slut ikke er valgt skal der ikke skrives noget interval i populationsarket. </t>
  </si>
  <si>
    <t>4.a.2.1.13</t>
  </si>
  <si>
    <t>Det skal registreres i SpmSvar arket at forfaldsdato er valgt.</t>
  </si>
  <si>
    <t xml:space="preserve">Det indtastet interval for forfaldsdato skal skrives til SpmSvar-arket. </t>
  </si>
  <si>
    <t>Det skal registreres i SpmSvar arket at srb ikke er valgt.</t>
  </si>
  <si>
    <t>Hvis SRB ikke er valgt skal der ikke skrives noget interval i SpmSvar arket</t>
  </si>
  <si>
    <t>Det skal registreres i SpmSvar arket at stiftelsesdato ikke er valgt.</t>
  </si>
  <si>
    <t>Hvis stiftelsesdato ikke er valgt skal der ikke skrives noget interval i SpmSvar arket</t>
  </si>
  <si>
    <t>Det skal registreres i SpmSvar arket at periode start ikke er valgt.</t>
  </si>
  <si>
    <t>Hvis periode start ikke er valgt skal der ikke skrives noget interval i SpmSvar arket</t>
  </si>
  <si>
    <t>Det skal registreres i SpmSvar arket at periode slut ikke er valgt.</t>
  </si>
  <si>
    <t xml:space="preserve">Hvis periode slut ikke er valgt skal der ikke skrives noget interval i SpmSvar arket. </t>
  </si>
  <si>
    <t>Det indtastet interval for forfaldsdato skal skrives til populationsarket når der kun skrives en "start" dato unden en "slut" dato</t>
  </si>
  <si>
    <t>Det indtastet interval for forfaldsdato skal skrives til SpmSvar-arket når der kun skrives en "start" dato unden en "slut" dato</t>
  </si>
  <si>
    <t>Det indtastet interval for forfaldsdato skal skrives til populationsarket når der kun skrives en "slut" dato unden en "start" dato</t>
  </si>
  <si>
    <t>Currently breaks the code as it cannot handle empty start</t>
  </si>
  <si>
    <t>Det indtastet interval for forfaldsdato skal skrives til SpmSvar-arket når der kun skrives en "slut" dato unden en "start" dato</t>
  </si>
  <si>
    <t>Jeg forventer kun bestemte celler ændre sig når jeg vælger forfaldsdato</t>
  </si>
  <si>
    <t>4.a.2.1.2</t>
  </si>
  <si>
    <t xml:space="preserve">jf. kravet skal brugeren forsætte til spm 5 ( form 5 ) </t>
  </si>
  <si>
    <t>Som bruger vil jeg ikke forvente at det er muligt at indtaste et ikke gyldigt datoformat (mm-dd-yyyy) i fra-datofeltet. En fejl besked bør komme frem</t>
  </si>
  <si>
    <t>Som bruger vil jeg ikke forvente at det er muligt at indtaste et ikke gyldigt datoformat (mm-dd-yyyy) i fra-datofeltet. Der bør ikke være ændringer i arkene</t>
  </si>
  <si>
    <t>Som bruger vil jeg ikke forvente at det er muligt at indtaste et ikke gyldigt datoformat (mm-dd-yyyy) i til-datofeltet. En fejl besked bør komme frem</t>
  </si>
  <si>
    <t>Som bruger vil jeg ikke forvente at det er muligt at indtaste et ikke gyldigt datoformat (mm-dd-yyyy) i til-datofeltet. Der bør ikke være ændringer i arkene</t>
  </si>
  <si>
    <t>Som bruger vil jeg ikke forvente at det er muligt at indtaste et ikke gyldigt datoformat (dd/mm/yyyy) i fra-datofeltet. En fejl besked bør komme frem</t>
  </si>
  <si>
    <t>Som bruger vil jeg ikke forvente at det er muligt at indtaste et ikke gyldigt datoformat (dd/mm/yyyy) i fra-datofeltet. Der bør ikke være ændringer i arkene</t>
  </si>
  <si>
    <t>Som bruger vil jeg ikke forvente at det er muligt at indtaste et ikke gyldigt datoformat (dd/mm/yyyy)  i til-datofeltet. En fejl besked bør komme frem</t>
  </si>
  <si>
    <t>Som bruger vil jeg ikke forvente at det er muligt at indtaste et ikke gyldigt datoformat (dd/mm/yyyy) i til-datofeltet. Der bør ikke være ændringer i arkene</t>
  </si>
  <si>
    <t>Som bruger vil jeg ikke forvente at det er muligt at indtaste et ikke gyldigt datoformat i fra-datofeltet. En fejl besked bør komme frem</t>
  </si>
  <si>
    <t>Som bruger vil jeg ikke forvente at det er muligt at indtaste et ikke gyldigt datoformat i fra-datofeltet. Der bør ikke være ændringer i arkene</t>
  </si>
  <si>
    <t>Som bruger vil jeg ikke forvente at det er muligt at indtaste et ikke gyldigt datoformat i til-datofeltet. En fejl besked bør komme frem</t>
  </si>
  <si>
    <t>Som bruger vil jeg ikke forvente at det er muligt at indtaste et ikke gyldigt datoformat i til-datofeltet. Der bør ikke være ændringer i arkene</t>
  </si>
  <si>
    <t>Som bruger vil jeg ikke forvente at det er muligt at indtaste en slut dato som er før start dato. En fejl besked bør komme frem</t>
  </si>
  <si>
    <t>Startdatoen (indtastet: 31-10-2013) skal ligge før slutdatoen (indtastet: 30-10-2013)</t>
  </si>
  <si>
    <t>Som bruger vil jeg ikke forvente at det er muligt at indtaste en slut dato som er før start dato. Der bør ikke ændres i arkene</t>
  </si>
  <si>
    <t xml:space="preserve">Hvis forfaldsdato ikke er valgt skal der ikke skrives noget interval i populationsarket. </t>
  </si>
  <si>
    <t xml:space="preserve">De indtastet interval for srb skal skrives til populationsarket. </t>
  </si>
  <si>
    <t>Det skal registreres i SpmSvar arket at forfaldsdato ikke er valgt.</t>
  </si>
  <si>
    <t>Hvis forfaldsdato ikke er valgt skal der ikke skrives noget interval i SpmSvar arket</t>
  </si>
  <si>
    <t>Det skal registreres i SpmSvar arket at srb er valgt.</t>
  </si>
  <si>
    <t>SRB Dato</t>
  </si>
  <si>
    <t xml:space="preserve">Det indtastet interval for SRB skal skrives til SpmSvar-arket. </t>
  </si>
  <si>
    <t>Det indtastet interval for SRB skal skrives til populationsarket når der kun skrives en "start" dato unden en "slut" dato</t>
  </si>
  <si>
    <t>Det indtastet interval for SRB skal skrives til SpmSvar-arket når der kun skrives en "start" dato unden en "slut" dato</t>
  </si>
  <si>
    <t>Det indtastet interval for SRB skal skrives til populationsarket når der kun skrives en "slut" dato unden en "start" dato</t>
  </si>
  <si>
    <t>Det indtastet interval for SRB skal skrives til SpmSvar-arket når der kun skrives en "slut" dato unden en "start" dato</t>
  </si>
  <si>
    <t>Jeg forventer kun bestemte celler ændre sig</t>
  </si>
  <si>
    <t xml:space="preserve">De indtastet interval for stiftelsesdato skal skrives til populationsarket. </t>
  </si>
  <si>
    <t>Det skal registreres i SpmSvar arket at stiftelsesdato er valgt.</t>
  </si>
  <si>
    <t xml:space="preserve">Det indtastet interval for stiftelsesdato skal skrives til SpmSvar-arket. </t>
  </si>
  <si>
    <t>Det indtastet interval for stiftelsesdato skal skrives til populationsarket når der kun skrives en "start" dato unden en "slut" dato</t>
  </si>
  <si>
    <t>Det indtastet interval for stiftelsesdato skal skrives til SpmSvar-arket når der kun skrives en "start" dato unden en "slut" dato</t>
  </si>
  <si>
    <t>Det indtastet interval for stiftelsesdato skal skrives til populationsarket når der kun skrives en "slut" dato unden en "start" dato</t>
  </si>
  <si>
    <t>Det indtastet interval for stiftelsesdato skal skrives til SpmSvar-arket når der kun skrives en "slut" dato unden en "start" dato</t>
  </si>
  <si>
    <t xml:space="preserve">De indtastet interval for periode start skal skrives til populationsarket. </t>
  </si>
  <si>
    <t>Det skal registreres i SpmSvar arket at periode start er valgt.</t>
  </si>
  <si>
    <t>PeriodeStartdato</t>
  </si>
  <si>
    <t xml:space="preserve">Det indtastet interval for Periode Start skal skrives til SpmSvar-arket. </t>
  </si>
  <si>
    <t>Det indtastet interval for Periode Start skal skrives til populationsarket når der kun skrives en "start" dato unden en "slut" dato</t>
  </si>
  <si>
    <t>Det indtastet interval for Periode Start skal skrives til SpmSvar-arket når der kun skrives en "start" dato unden en "slut" dato</t>
  </si>
  <si>
    <t>Det indtastet interval for Periode Start skal skrives til populationsarket når der kun skrives en "slut" dato unden en "start" dato</t>
  </si>
  <si>
    <t>Det indtastet interval for Periode Start skal skrives til SpmSvar-arket når der kun skrives en "slut" dato unden en "start" dato</t>
  </si>
  <si>
    <t xml:space="preserve">De indtastet interval for periode slut skal skrives til populationsarket. </t>
  </si>
  <si>
    <t xml:space="preserve">Hvis periode start ikke er valgt skal der ikke skrives noget interval i SpmSvar arket. </t>
  </si>
  <si>
    <t>Det skal registreres i SpmSvar arket at periode slut er valgt.</t>
  </si>
  <si>
    <t>PeriodeSlutdato</t>
  </si>
  <si>
    <t xml:space="preserve">Det indtastet interval for Periode Slut skal skrives til SpmSvar-arket. </t>
  </si>
  <si>
    <t>Det indtastet interval for Periode Slut skal skrives til populationsarket når der kun skrives en "start" dato unden en "slut" dato</t>
  </si>
  <si>
    <t>Det indtastet interval for Periode Slut skal skrives til SpmSvar-arket når der kun skrives en "start" dato unden en "slut" dato</t>
  </si>
  <si>
    <t>Det indtastet interval for Periode Slut skal skrives til populationsarket når der kun skrives en "slut" dato unden en "start" dato</t>
  </si>
  <si>
    <t>Det indtastet interval for Periode Slut skal skrives til SpmSvar-arket når der kun skrives en "slut" dato unden en "start" dato</t>
  </si>
  <si>
    <t>'Startdatoen (indtastet: 31-10-2013) skal ligge før slutdatoen (indtastet: 30-10-2013)</t>
  </si>
  <si>
    <t xml:space="preserve">De indtastet interval for SRB skal skrives til populationsarket. </t>
  </si>
  <si>
    <t>Som bruger vil jeg ikke forvente at det er muligt at forsætte uden at have valgt minimum 1 checkbox. En fejl besked bør komme frem</t>
  </si>
  <si>
    <t>Vælg som minimum et stamdatafelt for at gå videre</t>
  </si>
  <si>
    <t>Som bruger vil jeg ikke forvente at det er muligt at forsætte uden at have valgt minimum 1 checkbox. Der bør ikke være ændringer i arkene</t>
  </si>
  <si>
    <t>Som bruger forventer jeg at gå tilbage til form 3 når jeg trykker tilbage</t>
  </si>
  <si>
    <t>Som bruger ville jeg ikke forvente der skrives noget til arkene når jeg trykker tilbage knappen.</t>
  </si>
  <si>
    <t>Stiftelsesdato og Periodestart</t>
  </si>
  <si>
    <t>Stiftelsesdato og Periodeslut</t>
  </si>
  <si>
    <t>checkbox4</t>
  </si>
  <si>
    <t>checkbox5</t>
  </si>
  <si>
    <t xml:space="preserve">Som bruger ville jeg forvente at mit svar gemmes i SpmSvar. </t>
  </si>
  <si>
    <t>11.7</t>
  </si>
  <si>
    <t>jf. kravet skal brugeren fortsætte til spm 11.a som består at 4 forms (frm034, frm035, frm036, frm037). Efter form 39 forsæt til frm034</t>
  </si>
  <si>
    <t>frm034</t>
  </si>
  <si>
    <t>11.6</t>
  </si>
  <si>
    <t>jf. kravet skal brugeren fortsætte til spm 11.b som består at 4 forms (frm034, frm035, frm036, frm038). Efter form 39 forsæt til frm034</t>
  </si>
  <si>
    <t>Som bruger ville jeg ikke forvente at kunne fortsætte uden at vælge en af valgmulighederne. En fejlbesked burde forekomme</t>
  </si>
  <si>
    <t>Vælg venligst en relation for 'stiftelsesdato'.</t>
  </si>
  <si>
    <t>Som bruger ville jeg ikke forvente at kunne fortsætte uden at vælge en af valgmulighederne. Der bør ikke ske ændringer i arkene.</t>
  </si>
  <si>
    <t>Som bruger ville jeg forvente at gå tilbage til forrige form</t>
  </si>
  <si>
    <t>Denne skal diskutteres</t>
  </si>
  <si>
    <t>Som bruger ville jeg forvente at tidligere besvarelser loades ind i formen</t>
  </si>
  <si>
    <t>13.09</t>
  </si>
  <si>
    <t>13.39</t>
  </si>
  <si>
    <t>13.42</t>
  </si>
  <si>
    <t>14.100</t>
  </si>
  <si>
    <t>14.216</t>
  </si>
  <si>
    <t>14.226</t>
  </si>
  <si>
    <t>26</t>
  </si>
  <si>
    <t>26.30</t>
  </si>
  <si>
    <t>26.31</t>
  </si>
  <si>
    <t>26.32</t>
  </si>
  <si>
    <t>26.33</t>
  </si>
  <si>
    <t>26.244</t>
  </si>
  <si>
    <t>26.272</t>
  </si>
  <si>
    <t>26.274</t>
  </si>
  <si>
    <t>26.275</t>
  </si>
  <si>
    <t>26.277</t>
  </si>
  <si>
    <t>26.278</t>
  </si>
  <si>
    <t>26.280</t>
  </si>
  <si>
    <t>26.281</t>
  </si>
  <si>
    <t>26.283</t>
  </si>
  <si>
    <t>26.284</t>
  </si>
  <si>
    <t>26.286</t>
  </si>
  <si>
    <t>26.287</t>
  </si>
  <si>
    <t>28</t>
  </si>
  <si>
    <t>28.230</t>
  </si>
  <si>
    <t>28.232</t>
  </si>
  <si>
    <t>28.235</t>
  </si>
  <si>
    <t>28.237</t>
  </si>
  <si>
    <t>29</t>
  </si>
  <si>
    <t>29.01</t>
  </si>
  <si>
    <t>29.02</t>
  </si>
  <si>
    <t>29.33</t>
  </si>
  <si>
    <t>29.42</t>
  </si>
  <si>
    <t>29.44</t>
  </si>
  <si>
    <t>29.46</t>
  </si>
  <si>
    <t>29.48</t>
  </si>
  <si>
    <t>29.50</t>
  </si>
  <si>
    <t>29.51</t>
  </si>
  <si>
    <t>29.52</t>
  </si>
  <si>
    <t>29.53</t>
  </si>
  <si>
    <t>29.54</t>
  </si>
  <si>
    <t>29.55</t>
  </si>
  <si>
    <t>29.56</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</si>
  <si>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</si>
  <si>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</si>
  <si>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</si>
  <si>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</si>
  <si>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</si>
  <si>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</si>
  <si>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</si>
  <si>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</si>
  <si>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</si>
  <si>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</si>
  <si>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</si>
  <si>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</si>
  <si>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</si>
  <si>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</si>
  <si>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</si>
  <si>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</si>
  <si>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</si>
  <si>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</si>
  <si>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</si>
  <si>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</si>
  <si>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</si>
  <si>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</si>
  <si>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</si>
  <si>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</si>
  <si>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</si>
  <si>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</si>
  <si>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</si>
  <si>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</si>
  <si>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</si>
  <si>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</si>
  <si>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</si>
  <si>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</si>
  <si>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</si>
  <si>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29.92</t>
  </si>
  <si>
    <t>29.93</t>
  </si>
  <si>
    <t>29.94</t>
  </si>
  <si>
    <t>29.95</t>
  </si>
  <si>
    <t>29.96</t>
  </si>
  <si>
    <t>29.97</t>
  </si>
  <si>
    <t>29.98</t>
  </si>
  <si>
    <t>29.99</t>
  </si>
  <si>
    <t>29.100</t>
  </si>
  <si>
    <t>29.104</t>
  </si>
  <si>
    <t>29.105</t>
  </si>
  <si>
    <t>29.106</t>
  </si>
  <si>
    <t>29.107</t>
  </si>
  <si>
    <t>29.108</t>
  </si>
  <si>
    <t>29.109</t>
  </si>
  <si>
    <t>29.110</t>
  </si>
  <si>
    <t>29.126</t>
  </si>
  <si>
    <t>29.130</t>
  </si>
  <si>
    <t>29.132</t>
  </si>
  <si>
    <t>29.134</t>
  </si>
  <si>
    <t>29.136</t>
  </si>
  <si>
    <t>29.138</t>
  </si>
  <si>
    <t>29.139</t>
  </si>
  <si>
    <t>29.140</t>
  </si>
  <si>
    <t>29.141</t>
  </si>
  <si>
    <t>29.146</t>
  </si>
  <si>
    <t>29.147</t>
  </si>
  <si>
    <t>29.148</t>
  </si>
  <si>
    <t>29.149</t>
  </si>
  <si>
    <t>29.150</t>
  </si>
  <si>
    <t>29.151</t>
  </si>
  <si>
    <t>29.152</t>
  </si>
  <si>
    <t>29.153</t>
  </si>
  <si>
    <t>29.154</t>
  </si>
  <si>
    <t>29.155</t>
  </si>
  <si>
    <t>29.156</t>
  </si>
  <si>
    <t>29.157</t>
  </si>
  <si>
    <t>29.158</t>
  </si>
  <si>
    <t>29.159</t>
  </si>
  <si>
    <t>29.160</t>
  </si>
  <si>
    <t>29.161</t>
  </si>
  <si>
    <t>29.162</t>
  </si>
  <si>
    <t>29.163</t>
  </si>
  <si>
    <t>29.164</t>
  </si>
  <si>
    <t>29.165</t>
  </si>
  <si>
    <t>29.166</t>
  </si>
  <si>
    <t>29.167</t>
  </si>
  <si>
    <t>29.168</t>
  </si>
  <si>
    <t>29.169</t>
  </si>
  <si>
    <t>29.170</t>
  </si>
  <si>
    <t>29.171</t>
  </si>
  <si>
    <t>29.172</t>
  </si>
  <si>
    <t>29.173</t>
  </si>
  <si>
    <t>29.174</t>
  </si>
  <si>
    <t>29.175</t>
  </si>
  <si>
    <t>29.176</t>
  </si>
  <si>
    <t>29.177</t>
  </si>
  <si>
    <t>29.178</t>
  </si>
  <si>
    <t>29.179</t>
  </si>
  <si>
    <t>29.180</t>
  </si>
  <si>
    <t>29.181</t>
  </si>
  <si>
    <t>29.182</t>
  </si>
  <si>
    <t>29.183</t>
  </si>
  <si>
    <t>29.184</t>
  </si>
  <si>
    <t>29.185</t>
  </si>
  <si>
    <t>29.186</t>
  </si>
  <si>
    <t>29.187</t>
  </si>
  <si>
    <t>29.188</t>
  </si>
  <si>
    <t>29.189</t>
  </si>
  <si>
    <t>29.190</t>
  </si>
  <si>
    <t>29.196</t>
  </si>
  <si>
    <t>29.198</t>
  </si>
  <si>
    <t>29.199</t>
  </si>
  <si>
    <t>29.200</t>
  </si>
  <si>
    <t>29.201</t>
  </si>
  <si>
    <t>29.210</t>
  </si>
  <si>
    <t>29.211</t>
  </si>
  <si>
    <t>29.212</t>
  </si>
  <si>
    <t>30</t>
  </si>
  <si>
    <t>30.01</t>
  </si>
  <si>
    <t>30.02</t>
  </si>
  <si>
    <t>30.33</t>
  </si>
  <si>
    <t>30.40</t>
  </si>
  <si>
    <t>30.42</t>
  </si>
  <si>
    <t>30.44</t>
  </si>
  <si>
    <t>30.46</t>
  </si>
  <si>
    <t>30.48</t>
  </si>
  <si>
    <t>30.49</t>
  </si>
  <si>
    <t>30.50</t>
  </si>
  <si>
    <t>30.51</t>
  </si>
  <si>
    <t>30.52</t>
  </si>
  <si>
    <t>30.53</t>
  </si>
  <si>
    <t>30.54</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</si>
  <si>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</si>
  <si>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</si>
  <si>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</si>
  <si>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</si>
  <si>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</si>
  <si>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</si>
  <si>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</si>
  <si>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</si>
  <si>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</si>
  <si>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</si>
  <si>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</si>
  <si>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</si>
  <si>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</si>
  <si>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</si>
  <si>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</si>
  <si>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</si>
  <si>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</si>
  <si>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</si>
  <si>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</si>
  <si>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</si>
  <si>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</si>
  <si>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</si>
  <si>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</si>
  <si>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</si>
  <si>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</si>
  <si>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</si>
  <si>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</si>
  <si>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</si>
  <si>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</si>
  <si>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</si>
  <si>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</si>
  <si>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</si>
  <si>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</si>
  <si>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</si>
  <si>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30.93</t>
  </si>
  <si>
    <t>30.94</t>
  </si>
  <si>
    <t>30.95</t>
  </si>
  <si>
    <t>30.96</t>
  </si>
  <si>
    <t>30.97</t>
  </si>
  <si>
    <t>30.98</t>
  </si>
  <si>
    <t>30.99</t>
  </si>
  <si>
    <t>30.115</t>
  </si>
  <si>
    <t>30.119</t>
  </si>
  <si>
    <t>30.121</t>
  </si>
  <si>
    <t>30.123</t>
  </si>
  <si>
    <t>30.125</t>
  </si>
  <si>
    <t>30.127</t>
  </si>
  <si>
    <t>30.128</t>
  </si>
  <si>
    <t>30.129</t>
  </si>
  <si>
    <t>30.130</t>
  </si>
  <si>
    <t>30.133</t>
  </si>
  <si>
    <t>30.134</t>
  </si>
  <si>
    <t>30.135</t>
  </si>
  <si>
    <t>30.136</t>
  </si>
  <si>
    <t>30.137</t>
  </si>
  <si>
    <t>30.138</t>
  </si>
  <si>
    <t>30.139</t>
  </si>
  <si>
    <t>30.140</t>
  </si>
  <si>
    <t>30.141</t>
  </si>
  <si>
    <t>30.142</t>
  </si>
  <si>
    <t>30.143</t>
  </si>
  <si>
    <t>30.144</t>
  </si>
  <si>
    <t>30.145</t>
  </si>
  <si>
    <t>30.146</t>
  </si>
  <si>
    <t>30.147</t>
  </si>
  <si>
    <t>30.148</t>
  </si>
  <si>
    <t>30.149</t>
  </si>
  <si>
    <t>30.150</t>
  </si>
  <si>
    <t>30.151</t>
  </si>
  <si>
    <t>30.152</t>
  </si>
  <si>
    <t>30.153</t>
  </si>
  <si>
    <t>30.154</t>
  </si>
  <si>
    <t>30.155</t>
  </si>
  <si>
    <t>30.156</t>
  </si>
  <si>
    <t>30.157</t>
  </si>
  <si>
    <t>30.158</t>
  </si>
  <si>
    <t>30.159</t>
  </si>
  <si>
    <t>30.160</t>
  </si>
  <si>
    <t>30.161</t>
  </si>
  <si>
    <t>30.162</t>
  </si>
  <si>
    <t>30.163</t>
  </si>
  <si>
    <t>30.164</t>
  </si>
  <si>
    <t>30.165</t>
  </si>
  <si>
    <t>30.166</t>
  </si>
  <si>
    <t>30.167</t>
  </si>
  <si>
    <t>30.168</t>
  </si>
  <si>
    <t>30.169</t>
  </si>
  <si>
    <t>30.175</t>
  </si>
  <si>
    <t>30.177</t>
  </si>
  <si>
    <t>30.178</t>
  </si>
  <si>
    <t>30.179</t>
  </si>
  <si>
    <t>30.180</t>
  </si>
  <si>
    <t>30.189</t>
  </si>
  <si>
    <t>30.190</t>
  </si>
  <si>
    <t>30.191</t>
  </si>
  <si>
    <t>31</t>
  </si>
  <si>
    <t>31.01</t>
  </si>
  <si>
    <t>31.02</t>
  </si>
  <si>
    <t>31.33</t>
  </si>
  <si>
    <t>31.39</t>
  </si>
  <si>
    <t>31.41</t>
  </si>
  <si>
    <t>31.43</t>
  </si>
  <si>
    <t>31.45</t>
  </si>
  <si>
    <t>31.47</t>
  </si>
  <si>
    <t>31.48</t>
  </si>
  <si>
    <t>31.49</t>
  </si>
  <si>
    <t>31.50</t>
  </si>
  <si>
    <t>31.51</t>
  </si>
  <si>
    <t>31.52</t>
  </si>
  <si>
    <t>31.53</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</si>
  <si>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</si>
  <si>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</si>
  <si>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</si>
  <si>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</si>
  <si>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</si>
  <si>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</si>
  <si>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</si>
  <si>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</si>
  <si>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</si>
  <si>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</si>
  <si>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</si>
  <si>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</si>
  <si>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</si>
  <si>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</si>
  <si>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</si>
  <si>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</si>
  <si>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</si>
  <si>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</si>
  <si>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</si>
  <si>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</si>
  <si>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</si>
  <si>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</si>
  <si>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</si>
  <si>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</si>
  <si>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</si>
  <si>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</si>
  <si>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31.84</t>
  </si>
  <si>
    <t>31.85</t>
  </si>
  <si>
    <t>31.86</t>
  </si>
  <si>
    <t>31.87</t>
  </si>
  <si>
    <t>31.88</t>
  </si>
  <si>
    <t>31.89</t>
  </si>
  <si>
    <t>31.90</t>
  </si>
  <si>
    <t>31.106</t>
  </si>
  <si>
    <t>31.110</t>
  </si>
  <si>
    <t>31.112</t>
  </si>
  <si>
    <t>31.114</t>
  </si>
  <si>
    <t>31.116</t>
  </si>
  <si>
    <t>31.118</t>
  </si>
  <si>
    <t>31.119</t>
  </si>
  <si>
    <t>31.120</t>
  </si>
  <si>
    <t>31.121</t>
  </si>
  <si>
    <t>31.123</t>
  </si>
  <si>
    <t>31.124</t>
  </si>
  <si>
    <t>31.125</t>
  </si>
  <si>
    <t>31.126</t>
  </si>
  <si>
    <t>31.127</t>
  </si>
  <si>
    <t>31.128</t>
  </si>
  <si>
    <t>31.129</t>
  </si>
  <si>
    <t>31.130</t>
  </si>
  <si>
    <t>31.131</t>
  </si>
  <si>
    <t>31.132</t>
  </si>
  <si>
    <t>31.133</t>
  </si>
  <si>
    <t>31.134</t>
  </si>
  <si>
    <t>31.135</t>
  </si>
  <si>
    <t>31.136</t>
  </si>
  <si>
    <t>31.137</t>
  </si>
  <si>
    <t>31.138</t>
  </si>
  <si>
    <t>31.139</t>
  </si>
  <si>
    <t>31.140</t>
  </si>
  <si>
    <t>31.141</t>
  </si>
  <si>
    <t>31.142</t>
  </si>
  <si>
    <t>31.143</t>
  </si>
  <si>
    <t>31.144</t>
  </si>
  <si>
    <t>31.145</t>
  </si>
  <si>
    <t>31.146</t>
  </si>
  <si>
    <t>31.147</t>
  </si>
  <si>
    <t>31.148</t>
  </si>
  <si>
    <t>31.149</t>
  </si>
  <si>
    <t>31.150</t>
  </si>
  <si>
    <t>31.151</t>
  </si>
  <si>
    <t>31.157</t>
  </si>
  <si>
    <t>31.159</t>
  </si>
  <si>
    <t>31.160</t>
  </si>
  <si>
    <t>31.161</t>
  </si>
  <si>
    <t>31.162</t>
  </si>
  <si>
    <t>31.171</t>
  </si>
  <si>
    <t>31.172</t>
  </si>
  <si>
    <t>31.173</t>
  </si>
  <si>
    <t>32</t>
  </si>
  <si>
    <t>32.01</t>
  </si>
  <si>
    <t>32.02</t>
  </si>
  <si>
    <t>32.33</t>
  </si>
  <si>
    <t>32.38</t>
  </si>
  <si>
    <t>32.39</t>
  </si>
  <si>
    <t>32.40</t>
  </si>
  <si>
    <t>32.41</t>
  </si>
  <si>
    <t>32.42</t>
  </si>
  <si>
    <t>32.44</t>
  </si>
  <si>
    <t>32.46</t>
  </si>
  <si>
    <t>32.48</t>
  </si>
  <si>
    <t>32.50</t>
  </si>
  <si>
    <t>32.52</t>
  </si>
  <si>
    <t>32.53</t>
  </si>
  <si>
    <t>32.54</t>
  </si>
  <si>
    <t>32.55</t>
  </si>
  <si>
    <t>32.56</t>
  </si>
  <si>
    <t>32.57</t>
  </si>
  <si>
    <t>32.58</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</si>
  <si>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</si>
  <si>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</si>
  <si>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</si>
  <si>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</si>
  <si>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</si>
  <si>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</si>
  <si>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</si>
  <si>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</si>
  <si>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</si>
  <si>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</si>
  <si>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</si>
  <si>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</si>
  <si>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</si>
  <si>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</si>
  <si>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</si>
  <si>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</si>
  <si>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</si>
  <si>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</si>
  <si>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</si>
  <si>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</si>
  <si>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</si>
  <si>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</si>
  <si>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</si>
  <si>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</si>
  <si>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</si>
  <si>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</si>
  <si>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</si>
  <si>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</si>
  <si>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</si>
  <si>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</si>
  <si>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</si>
  <si>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</si>
  <si>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</si>
  <si>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</si>
  <si>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</si>
  <si>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</si>
  <si>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</si>
  <si>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</si>
  <si>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</si>
  <si>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</si>
  <si>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32.100</t>
  </si>
  <si>
    <t>32.101</t>
  </si>
  <si>
    <t>32.102</t>
  </si>
  <si>
    <t>32.103</t>
  </si>
  <si>
    <t>32.104</t>
  </si>
  <si>
    <t>32.105</t>
  </si>
  <si>
    <t>32.106</t>
  </si>
  <si>
    <t>32.107</t>
  </si>
  <si>
    <t>32.108</t>
  </si>
  <si>
    <t>32.109</t>
  </si>
  <si>
    <t>32.113</t>
  </si>
  <si>
    <t>Det angivne beløb fra spørgsmål 12 indsættes i regel R0072</t>
  </si>
  <si>
    <t>jfr. Kravet. Det angivne beløb fra spørgsmål 12 indsættes i regel R0072</t>
  </si>
  <si>
    <t>R0072</t>
  </si>
  <si>
    <t>Det angivne beløb fra spørgsmål 12 indsættes i regel R0073</t>
  </si>
  <si>
    <t>jfr. Kravet. Det angivne beløb fra spørgsmål 12 indsættes i regel R0073</t>
  </si>
  <si>
    <t>R0073</t>
  </si>
  <si>
    <t>Regel R0072 aktiveres</t>
  </si>
  <si>
    <t>jfr. Kravet. Regel R0072 aktiveres</t>
  </si>
  <si>
    <t>Regel R0073 aktiveres</t>
  </si>
  <si>
    <t>jfr. Kravet. Regel R0073 aktiveres</t>
  </si>
  <si>
    <t>Gruppe 5 aktiveres</t>
  </si>
  <si>
    <t>jfr. Kravet. Gruppe 5 aktiveres</t>
  </si>
  <si>
    <t>G0005</t>
  </si>
  <si>
    <t>Regel R0074 deaktiveres</t>
  </si>
  <si>
    <t>jfr. Kravet. Regel R0074 deaktiveres</t>
  </si>
  <si>
    <t>R0074</t>
  </si>
  <si>
    <t>Regel R0103 deaktiveres</t>
  </si>
  <si>
    <t>jfr. Kravet. Regel R0103 deaktiveres</t>
  </si>
  <si>
    <t>R0103</t>
  </si>
  <si>
    <t>Gruppe 6 deaktiveres</t>
  </si>
  <si>
    <t>jfr. Kravet. Gruppe 6 deaktiveres</t>
  </si>
  <si>
    <t>10000</t>
  </si>
  <si>
    <t>25</t>
  </si>
  <si>
    <t>Gruppe 5 deaktiveres</t>
  </si>
  <si>
    <t>jfr. Kravet. Gruppe 5 deaktiveres</t>
  </si>
  <si>
    <t>Regel R0072 deaktiveres</t>
  </si>
  <si>
    <t>jfr. Kravet. R0072 deaktiveres</t>
  </si>
  <si>
    <t>Regel R0073 deaktiveres</t>
  </si>
  <si>
    <t>jfr. Kravet. Regel R0073 deaktiveres</t>
  </si>
  <si>
    <t>jfr.  Kravet.Regel R0103 deaktiveres</t>
  </si>
  <si>
    <t>Ved Ikke</t>
  </si>
  <si>
    <t>Brugeren ledes videre til spørgsmål 13</t>
  </si>
  <si>
    <t>jf. kravet skal brugeren fortsætte til spm 13 (form22)</t>
  </si>
  <si>
    <t>frm022</t>
  </si>
  <si>
    <t>frm037</t>
  </si>
  <si>
    <t>frm038</t>
  </si>
  <si>
    <t>10 kr.</t>
  </si>
  <si>
    <t>amount</t>
  </si>
  <si>
    <t>G0006</t>
  </si>
  <si>
    <t>10000 kr.</t>
  </si>
  <si>
    <t>Comments</t>
  </si>
  <si>
    <t>beskrivelse</t>
  </si>
  <si>
    <t>buttonOne</t>
  </si>
  <si>
    <t>Fortsæt med den valgte afgrænsning</t>
  </si>
  <si>
    <t>buttonTwo</t>
  </si>
  <si>
    <t>Afgræns ny periode</t>
  </si>
  <si>
    <t>hide</t>
  </si>
  <si>
    <t xml:space="preserve">Fordringshaver har svaret, at "stiftelsesdato” kan ligge efter "forfaldsdato”, hvilket som udgangs-punkt ikke er juridisk muligt._x000D_
Det skal derfor undersøges med fordringshaver, hvorfor ”stiftelsesdato” kan være registreret med en dato efter ”forfaldsdato”._x000D_
Det er vigtigt, at fordringshavers svar sammenholdes med data._x000D_
</t>
  </si>
  <si>
    <t>Gå tilbage og _x000D_
ret stamdatarelation</t>
  </si>
  <si>
    <t>Gå videre</t>
  </si>
  <si>
    <t>frm035</t>
  </si>
  <si>
    <t>frm036</t>
  </si>
  <si>
    <t xml:space="preserve">Fordringshaver har svaret, at ”periode slut” kan ligge før ”periode start”, hvilket ikke er muligt._x000D_
Det skal derfor undersøges med fordringshaver, hvorfor ”periode slut” er registreret med en dato før ”periode start”._x000D_
Det er vigtigt, at fordringshavers svar sammenholdes med data._x000D_
</t>
  </si>
  <si>
    <t xml:space="preserve">Fordringshaver har svaret, at ”stiftelsesdato” kan ligge før ”periode start”. I retracer er det normal-billedet, at stiftelsesdato kan ligge samme dag som eller efter periode start._x000D_
Det skal derfor undersøges med fordringshaver, hvorfor ”stiftelsesdato” kan være registreret med en dato før ”periode start”. _x000D_
Det er vigtigt, at fordringshavers svar sammenholdes med data._x000D_
</t>
  </si>
  <si>
    <t>frm021</t>
  </si>
  <si>
    <t xml:space="preserve">Fordringshaver har svaret, at ”sidste rettidige betalingsdato” kan ligge før       ”forfaldsdato”, hvilket som udgangspunkt ikke er juridisk muligt._x000D_
_x000D_
Det skal derfor undersøges med fordringshaver, hvorfor ”sidste rettidige betalingsdato” kan være registreret med en dato før ”forfaldsdato”. _x000D_
_x000D_
Det er vigtigt, at fordringshavers svar sammen-holdes med data_x000D_
_x000D_
</t>
  </si>
  <si>
    <t>Jf. kravene skal beskrivelsen i formen være: "Fordringshaver har indtastet et begyndelsestidspunkt for modtagelsesperioden, der ligger før den 1. september 2013. Som udgangspunkt vil vi ikke konfigurere fordringer, der er modtaget før den 1. september 2013, da der er risiko for, at disse fordringer har mistet data i forbindelse med konverteringen til EFI/DMI. 
Såfremt der i populationsafgrænsningen vælges en modtagelsesperiode med start før den 1. september 2013, skal det afdækkes, om konverteringen af den afgrænsede population har medført ændringer i fordringernes data."</t>
  </si>
  <si>
    <t>Jf. kravene skal den ene af knapperne have teksten "Fortsæt med den valgte afgræsning"</t>
  </si>
  <si>
    <t>Jf. kravene skal den anden af knapperne have teksten "Afgræns ny periode"</t>
  </si>
  <si>
    <t>Jf. kravet skal brugeren blive på den nuværende form såfremt der klikes på knappen "Afgræns ny periode"</t>
  </si>
  <si>
    <t>Som bruger vil jeg ikke forvente at knappen medfører ændringer i SpmSvar, Population, Regler eller Gruppe arkene</t>
  </si>
  <si>
    <t>Jf. kravene skal den ene af knapperne have teksten "Gå tilbage og ret stamdatarelation"</t>
  </si>
  <si>
    <t>Jf. kravene skal den anden af knapperne have teksten "Gå videre"</t>
  </si>
  <si>
    <t>Jf. kravet skal brugeren blive på den nuværende form såfremt der klikes på knappen "Gå tilbage og ret stamdatarelation"</t>
  </si>
  <si>
    <t xml:space="preserve">Jf. kravet skal brugeren ledes til frm035, hvis der trykkes på knappen "Gå videre" </t>
  </si>
  <si>
    <t xml:space="preserve">Jf. kravet skal brugeren ledes til frm005 når der klikkes på knappen "Fortsæt med den valgte afgræsning", hvis der er svaret ja til ”Kan det lægges til grund, at fordringshavers registreringspraksis har været den samme i hele den afgrænsede modtagelsesperiode?” </t>
  </si>
  <si>
    <t xml:space="preserve">Jf. kravet skal brugeren ledes til frm003 når der klikkes på knappen "Fortsæt med den valgte afgræsning", hvis der er svaret nej til ”Kan det lægges til grund, at fordringshavers registreringspraksis har været den samme i hele den afgrænsede modtagelsesperiode?” </t>
  </si>
  <si>
    <t xml:space="preserve">Jf. kravene skal beskrivelsen i formen være: "Fordringshaver har svaret, at "stiftelsesdato” kan ligge efter "forfaldsdato”, hvilket som udgangspunkt ikke er juridisk muligt.
Det skal derfor undersøges med fordringshaver, hvorfor ”stiftelsesdato” kan være registreret med en dato efter ”forfaldsdato”.
Det er vigtigt, at fordringshavers svar sammenholdes med data."
</t>
  </si>
  <si>
    <t xml:space="preserve">Jf. kravene skal beskrivelsen i formen være: ”Fordringshaver har svaret, at ”periode slut” kan ligge før ”periode start”, hvilket ikke er muligt.
Det skal derfor undersøges med fordringshaver, hvorfor ”periode slut” er registreret med en dato før ”periode start”.
Det er vigtigt, at fordringshavers svar sammenholdes med data.”
</t>
  </si>
  <si>
    <t>Jf. kravet skal brugeren ledes til frm037, hvis der trykkes på knappen "Gå videre" og hvis der er svaret "Stiftelsesdato og Periodestart"</t>
  </si>
  <si>
    <t>Jf. kravet skal brugeren ledes til frm038, hvis der trykkes på knappen "Gå videre" og hvis der er svaret "Stiftelsesdato og Periodeslut"</t>
  </si>
  <si>
    <t xml:space="preserve">Jf. kravene skal beskrivelsen i formen være: ”Fordringshaver har svaret, at ”stiftelsesdato” kan ligge før ”periode start”. I retracer er det normal-billedet, at stiftelsesdato kan ligge samme dag som eller efter periode start.
Det skal derfor undersøges med fordringshaver, hvorfor ”stiftelsesdato” kan være registreret med en dato før ”periode start”. 
Det er vigtigt, at fordringshavers svar sammenholdes med data.”
</t>
  </si>
  <si>
    <t xml:space="preserve">Jf. kravet skal brugeren ledes til frm021, hvis der trykkes på knappen "Gå videre" </t>
  </si>
  <si>
    <t>12.a.1</t>
  </si>
  <si>
    <t>12.a.2</t>
  </si>
  <si>
    <t>12.a.3</t>
  </si>
  <si>
    <t>12.a.4</t>
  </si>
  <si>
    <t>12.a.5</t>
  </si>
  <si>
    <t>12.a.6</t>
  </si>
  <si>
    <t>12.a.7</t>
  </si>
  <si>
    <t>12.a.8</t>
  </si>
  <si>
    <t>0 kr.</t>
  </si>
  <si>
    <t>12.b.1</t>
  </si>
  <si>
    <t>12.b.2</t>
  </si>
  <si>
    <t>12.b.3</t>
  </si>
  <si>
    <t>12.b.4</t>
  </si>
  <si>
    <t>12.b.5</t>
  </si>
  <si>
    <t>12.b.6</t>
  </si>
  <si>
    <t>12.a.9</t>
  </si>
  <si>
    <t>12.b.7</t>
  </si>
  <si>
    <t>textBox1</t>
  </si>
  <si>
    <t>9.b.2.2.4</t>
  </si>
  <si>
    <t>9.b.2.2.5</t>
  </si>
  <si>
    <t>9.b.2.2.6</t>
  </si>
  <si>
    <t>Form 26</t>
  </si>
  <si>
    <t>4.a.2.1</t>
  </si>
  <si>
    <t>Der skal være checkbokse med de fem stamdatafelter: "stiftelsesdato”, ”forfaldsda-to”, ”sidste rettidige beta-lingsdato”, ”periode start” og ”periode slut”</t>
  </si>
  <si>
    <t>4.a.2.2</t>
  </si>
  <si>
    <t xml:space="preserve">Der skal vælges minimum et stamdatafelt. Flere stamdatafelter kan vælges. </t>
  </si>
  <si>
    <t>4.a.2.3</t>
  </si>
  <si>
    <t>Efter valg af stamdatafelt(er), skal brugeren ledes til spørgsmål 4.a.2.1</t>
  </si>
  <si>
    <t>4.a.2.1.1</t>
  </si>
  <si>
    <t>Der skal være to datofelter, hvor periode fra/til for hvert valgt stamdatafelt i 4.a.2 kan angives.</t>
  </si>
  <si>
    <t>Når brugeren klikker på Videre skal denne ledes til spørgsmål 5</t>
  </si>
  <si>
    <t>Den indtastede "fra" periode for stiftelsesdato skal gemmes i populationsarket</t>
  </si>
  <si>
    <t>4.a.2.1.4</t>
  </si>
  <si>
    <t>Den indtastede "til" periode for stiftelsesdato skal gemmes i populationsarket</t>
  </si>
  <si>
    <t>Den indtastede "fra" periode for forfaldsdato skal gemmes i populationsarket</t>
  </si>
  <si>
    <t>Den indtastede "til" periode for forfaldsdato skal gemmes i populationsarket</t>
  </si>
  <si>
    <t>Den indtastede "fra" periode for sidste rettidige betalingsdato skal gemmes i populationsarket</t>
  </si>
  <si>
    <t>Den indtastede "til" periode for sidste rettidige betalingsdato skal gemmes i populationsarket</t>
  </si>
  <si>
    <t>Den indtastede "fra" periode for periode start skal gemmes i populationsarket</t>
  </si>
  <si>
    <t>Den indtastede "til" periode for periode start skal gemmes i populationsarket</t>
  </si>
  <si>
    <t>Den indtastede "fra" periode for periode slut skal gemmes i populationsarket</t>
  </si>
  <si>
    <t>Den indtastede "til" periode for periode slut skal gemmes i populationsarket</t>
  </si>
  <si>
    <t>I formen skal der være en checkboks med: "relationen mellem "Stiftelsesdato", og "Periode start" og "relationen mellem "Stiftelsesdato" og "Periode slut"</t>
  </si>
  <si>
    <t>11.2</t>
  </si>
  <si>
    <t>Brugeren skal altid opsætte regler for relationen mellem: 
• ”forfaldsdato” og ”sidste rettidige betalingsdato”,
• ”forfaldsdato” og ”stiftelsesdato”, 
• ”periode start” og ”periode slut” 
samt en af relationerne:
• ”stiftelsesdato” og ”periode start”, eller 
• ”stiftelsesdato” og ”periode slut”</t>
  </si>
  <si>
    <t>11.3</t>
  </si>
  <si>
    <t>Relationen mellem forfaldsdato og sidste rettidige betalingsdato skal altid angives</t>
  </si>
  <si>
    <t>11.4</t>
  </si>
  <si>
    <t>Relationen mellem forfaldsdato og stiftelsesdato skal altid angives</t>
  </si>
  <si>
    <t>11.5</t>
  </si>
  <si>
    <t>Relationen mellem periode start og periode slut skal altid angives</t>
  </si>
  <si>
    <t xml:space="preserve">Såfremt relationen imellem "stiftelsesdato" og "periode slut" angives skal brugeren ledes til spørgsmål 11.b </t>
  </si>
  <si>
    <t>Såfremt relationen imellem "stiftelsesdato" og "periode start" angives skal brugeren ledes til spørgsmål 11.a</t>
  </si>
  <si>
    <t>Form 37</t>
  </si>
  <si>
    <t>11.a</t>
  </si>
  <si>
    <t>11.a.1</t>
  </si>
  <si>
    <t>Der skal komme en advarsel om det ikke er "normalt" hvis fordringshaver svarer at stiftelsesdatoen kan ligge før periode start</t>
  </si>
  <si>
    <t>Form 34</t>
  </si>
  <si>
    <t>11.a.2</t>
  </si>
  <si>
    <t>Der skal komme en advarsel om det ikke er "normalt" hvis fordringshaver svarer at sidste rettidige betalingsdato kan ligge før forfaldsdatoen</t>
  </si>
  <si>
    <t>Form 35</t>
  </si>
  <si>
    <t>11.a.3</t>
  </si>
  <si>
    <t>Der skal komme en advarsel om det ikke er "normalt" hvis fordringshaver svarer at stiftelsesdatoen kan ligge efter forfaldsdatoen</t>
  </si>
  <si>
    <t>Form 36</t>
  </si>
  <si>
    <t>11.a.4</t>
  </si>
  <si>
    <t>Der skal komme en advarsel om det ikke er "normalt" hvis fordringshaver svarer at periode slut kan ligge før periode start</t>
  </si>
  <si>
    <t>11.a.5</t>
  </si>
  <si>
    <t>”stiftelsesdato” kan ligge samme dag som eller op til 365 dage efter ”periode start”.</t>
  </si>
  <si>
    <t>11.a.6</t>
  </si>
  <si>
    <t xml:space="preserve">Hvis fordringshaver svarer, at ”stiftelsesdato” kan ligge før ”periode start”, da skal følgende advar-selstekst dukke op: ”Fordringshaver har svaret, at ”stiftelsesdato” kan ligge før ”periode start”. I retracer er det normal-billedet, at stiftelsesdato kan ligge samme dag som eller efter periode start.
Det skal derfor undersøges med fordringshaver, hvorfor ”stiftelsesdato” kan være registreret med en dato før ”periode start”. 
Det er vigtigt, at fordringshavers svar sammen-holdes med data.”
</t>
  </si>
  <si>
    <t>11.a.7</t>
  </si>
  <si>
    <t>”sidste rettidige betalingsdato kan ligge samme dag som eller op til 119 dage efter ”forfaldsdato”.</t>
  </si>
  <si>
    <t>11.a.8</t>
  </si>
  <si>
    <t xml:space="preserve">Hvis fordringshaver svarer, at ”sidste rettidige betalingsdato” kan ligge før ”forfaldsdato”, da skal følgende advarselstekst dukke op:
”Fordringshaver har svaret, at ”sidste rettidige betalingsdato” kan ligge før ”forfaldsdato”, hvilket som udgangspunkt ikke er juridisk muligt.
Det skal derfor undersøges med fordringshaver, hvorfor ”sidste rettidige betalingsdato” kan være registreret med en dato før ”forfaldsdato”. 
Det er vigtigt, at fordringshavers svar sammenholdes med data.”
</t>
  </si>
  <si>
    <t>11.a.9</t>
  </si>
  <si>
    <t>”forfaldsdato” kan ligge samme dag som eller op til 365 dage efter ”stiftelsesdato”.</t>
  </si>
  <si>
    <t>11.a.10</t>
  </si>
  <si>
    <t xml:space="preserve">Hvis fordringshaver svarer, at ”stiftelsesdato” kan ligge efter ”forfaldsdato”, da skal følgende advar-selstekst dukke op:
”Fordringshaver har svaret, at ”stiftelsesdato” kan ligge efter ”forfaldsdato”, hvilket som udgangs-punkt ikke er juridisk muligt.
Det skal derfor undersøges med fordringshaver, hvorfor ”stiftelsesdato” kan være registreret med en dato efter ”forfaldsdato”.
Det er vigtigt, at fordringshavers svar sammen-holdes med data.”
</t>
  </si>
  <si>
    <t>11.a.11</t>
  </si>
  <si>
    <t>”periode slut” kan ligge samme dag som eller op til 732 dage efter ”periode start”.</t>
  </si>
  <si>
    <t>11.a.12</t>
  </si>
  <si>
    <t xml:space="preserve">Hvis fordringshaver svarer, at ”periode slut” kan ligge før ”periode start”, da skal følgende advar-selstekst dukke op:
”Fordringshaver har svaret, at ”periode slut” kan ligge før ”periode start”, hvilket ikke er muligt.
Det skal derfor undersøges med fordringshaver, hvorfor ”periode slut” er registreret med en dato før ”periode start”.
Det er vigtigt, at fordringshavers svar sammen-holdes med data.”
</t>
  </si>
  <si>
    <t>11.a.13</t>
  </si>
  <si>
    <t>Brugeren ledes videre til spørgsmål 12</t>
  </si>
  <si>
    <t>11.a.14</t>
  </si>
  <si>
    <t>11.a.15</t>
  </si>
  <si>
    <t>11.a.16</t>
  </si>
  <si>
    <t>Form 38</t>
  </si>
  <si>
    <t>11.b</t>
  </si>
  <si>
    <t>11.b.1</t>
  </si>
  <si>
    <t>Der skal laves forskellige advarselsbokse, alt efter hvilken stamdatarelation fordringshaver vælger, og hvordan fordringshaver udfylder den.</t>
  </si>
  <si>
    <t>11.b.2</t>
  </si>
  <si>
    <t xml:space="preserve">”Stiftelsesdato” og ”periode slut”
Der er ingen generelle frasorteringsregler for denne relation. Der er dog nogle fordringstype-specifikke frasorteringsregler, hvor ”stiftelsesda-to” kan ligge fra 10 dage før til 1081 dage efter ”periode slut”.
</t>
  </si>
  <si>
    <t>11.b.3</t>
  </si>
  <si>
    <t>”Sidste rettidige betalingsdato” og ”forfaldsdato”
”sidste rettidige betalingsdato kan ligge samme dag som eller op til 119 dage efter ”forfaldsdato”.</t>
  </si>
  <si>
    <t>11.b.4</t>
  </si>
  <si>
    <t xml:space="preserve">Hvis fordringshaver svarer, at ”sidste rettidige betalingsdato” kan ligge før ”forfaldsdato”, da skal følgende advarselstekst dukke op:
”Fordringshaver har svaret, at ”sidste rettidige betalingsdato” kan ligge før ”forfaldsdato”, hvilket som udgangspunkt ikke er juridisk muligt.
Det skal derfor undersøges med fordringshaver, hvorfor ”sidste rettidige betalingsdato” kan være registreret med en dato før ”forfaldsdato”. 
Det er vigtigt, at fordringshavers svar sammen-holdes med data.”
</t>
  </si>
  <si>
    <t>11.b.5</t>
  </si>
  <si>
    <t>”Stiftelsesdato” og ”forfaldsdato”
”forfaldsdato” kan ligge samme dag som eller op til 365 dage efter ”stiftelsesdato”.</t>
  </si>
  <si>
    <t>11.b.6</t>
  </si>
  <si>
    <t>Hvis fordringshaver svarer, at ”stiftelsesdato” kan ligge efter ”forfaldsdato”, da skal følgende advar-selstekst dukke op:
”Fordringshaver har svaret, at ”stiftelsesdato” kan ligge efter ”forfaldsdato”, hvilket som udgangs-punkt ikke er juridisk muligt.
Det skal derfor undersøges med fordringshaver, hvorfor ”stiftelsesdato” kan være registreret med en dato efter ”forfaldsdato”.
Det er vigtigt, at fordringshavers svar sammen-holdes med data.”</t>
  </si>
  <si>
    <t>11.b.7</t>
  </si>
  <si>
    <t>”Periode start” og ”periode slut”
”periode slut” kan ligge samme dag som eller op til 732 dage efter ”periode start”.</t>
  </si>
  <si>
    <t>11.b.8</t>
  </si>
  <si>
    <t>Hvis fordringshaver svarer, at ”periode slut” kan ligge før ”periode start”, da skal følgende advar-selstekst dukke op:
”Fordringshaver har svaret, at ”periode slut” kan ligge før ”periode start”, hvilket ikke er muligt.
Det skal derfor undersøges med fordringshaver, hvorfor ”periode slut” er registreret med en dato før ”periode start”.
Det er vigtigt, at fordringshavers svar sammen-holdes med data.”</t>
  </si>
  <si>
    <t>11.b.9</t>
  </si>
  <si>
    <t>11.b.10</t>
  </si>
  <si>
    <t>11.b.11</t>
  </si>
  <si>
    <t>11.b.12</t>
  </si>
  <si>
    <t>Form 21</t>
  </si>
  <si>
    <t>12</t>
  </si>
  <si>
    <t>12.1</t>
  </si>
  <si>
    <t>Det skal være muligt for brugeren, via et tekstfelt, at angive et beløb eller muligheden for at svare "ved ikke"</t>
  </si>
  <si>
    <t>12.2</t>
  </si>
  <si>
    <t>Hvis beløb angives skal brugeren ledes til spørgsmål 12.a</t>
  </si>
  <si>
    <t>12.3</t>
  </si>
  <si>
    <t>Hvis brugeren svarer "ved ikke" skal brugeren ledes til spørgsmål 12.b</t>
  </si>
  <si>
    <t>12.a</t>
  </si>
  <si>
    <t>12.b</t>
  </si>
  <si>
    <t>Form 22</t>
  </si>
  <si>
    <t>13.1</t>
  </si>
  <si>
    <t>Det skal være muligt for brugeren, via mulighederne "Ja" og "Nej/Ved ikke", at svare på om fordringshaver altid registrerer én eller flere af datoerne i felterne ”forfaldsdato”, ”sidste rettidige betalingsdato”, ”stiftelsesdato”, ”periode start” og ”periode slut” som de(n) samme dag(e) i måneden eller som de(n) samme måned(er) i året?</t>
  </si>
  <si>
    <t>13.2</t>
  </si>
  <si>
    <t>Såfremt brugeren svarer Ja til spørgsmålet skal brugeren ledes videre til spørgsmål 13.a</t>
  </si>
  <si>
    <t>13.3</t>
  </si>
  <si>
    <t>Såfremt brugeren svarer Ja til spørgsmålet skal brugeren ledes videre til spørgsmål 13.b</t>
  </si>
  <si>
    <t>13.4</t>
  </si>
  <si>
    <t>Såfremt brugeren svarer Nej/Ved ikke til spørgsmålet skal brugeren ledes videre til spørgsmål 13.c</t>
  </si>
  <si>
    <t>13.a</t>
  </si>
  <si>
    <t>13.a.1</t>
  </si>
  <si>
    <t xml:space="preserve">Der skal være checkbokse med svarmulighederne: ”forfaldsdato”, ”sidste retti-dige betalingsdato”, ”stiftel-sesdato”, ”periode start” og ”periode slut” </t>
  </si>
  <si>
    <t>13.a.2</t>
  </si>
  <si>
    <t>Der skal være tekstbokse tilknyttet checkboksene til indtastning af dag, eller mulighed for indtast-ning af sidste dag i måneden (EOM).</t>
  </si>
  <si>
    <t>13.a.3</t>
  </si>
  <si>
    <t>Det skal kun være muligt for brugeren at vælge maksimalt to dage</t>
  </si>
  <si>
    <t>13.b</t>
  </si>
  <si>
    <t>13.b.1</t>
  </si>
  <si>
    <t>13.b.2</t>
  </si>
  <si>
    <t>Der skal være tekstbokse tilknyttet checkboksene til indtastning af måned.</t>
  </si>
  <si>
    <t>13.b.3</t>
  </si>
  <si>
    <t>Det skal kun være muligt for brugeren at vælge maksimalt to måneder</t>
  </si>
  <si>
    <t>Brugeren ledes videre til spørgsmål 14</t>
  </si>
  <si>
    <t>13.c</t>
  </si>
  <si>
    <t>13.c.1</t>
  </si>
  <si>
    <t>Regel R0075 deaktiveres</t>
  </si>
  <si>
    <t>13.c.2</t>
  </si>
  <si>
    <t>Regel R0076 deaktiveres</t>
  </si>
  <si>
    <t>13.c.3</t>
  </si>
  <si>
    <t>Regel R0077 deaktiveres</t>
  </si>
  <si>
    <t>13.c.4</t>
  </si>
  <si>
    <t>Regel R0078 deaktiveres</t>
  </si>
  <si>
    <t>13.c.5</t>
  </si>
  <si>
    <t>Regel R0079 deaktiveres</t>
  </si>
  <si>
    <t>13.c.6</t>
  </si>
  <si>
    <t>Regel R0080 deaktiveres</t>
  </si>
  <si>
    <t>13.c.7</t>
  </si>
  <si>
    <t>Regel R0081 deaktiveres</t>
  </si>
  <si>
    <t>13.c.8</t>
  </si>
  <si>
    <t>Regel R0082 deaktiveres</t>
  </si>
  <si>
    <t>13.c.9</t>
  </si>
  <si>
    <t>Regel R0083 deaktiveres</t>
  </si>
  <si>
    <t>13.c.10</t>
  </si>
  <si>
    <t>Regel R0084 deaktiveres</t>
  </si>
  <si>
    <t>13.c.11</t>
  </si>
  <si>
    <t>Regel R0085 deaktiveres</t>
  </si>
  <si>
    <t>13.c.12</t>
  </si>
  <si>
    <t>Regel R0086 deaktiveres</t>
  </si>
  <si>
    <t>13.c.13</t>
  </si>
  <si>
    <t>Regel R0087 deaktiveres</t>
  </si>
  <si>
    <t>13.c.14</t>
  </si>
  <si>
    <t>Regel R0088 deaktiveres</t>
  </si>
  <si>
    <t>13.c.15</t>
  </si>
  <si>
    <t>Regel R0089 deaktiveres</t>
  </si>
  <si>
    <t>13.c.16</t>
  </si>
  <si>
    <t>Regel R0090 deaktiveres</t>
  </si>
  <si>
    <t>13.c.17</t>
  </si>
  <si>
    <t>Regel R0091 deaktiveres</t>
  </si>
  <si>
    <t>13.c.18</t>
  </si>
  <si>
    <t>Regel R0092 deaktiveres</t>
  </si>
  <si>
    <t>13.c.19</t>
  </si>
  <si>
    <t>Regel R0093 deaktiveres</t>
  </si>
  <si>
    <t>13.c.20</t>
  </si>
  <si>
    <t>Regel R0094 deaktiveres</t>
  </si>
  <si>
    <t>13.c.21</t>
  </si>
  <si>
    <t>Form 23</t>
  </si>
  <si>
    <t>14.1</t>
  </si>
  <si>
    <t xml:space="preserve">Det skal være muligt for brugeren, via "Ja/Nej" at svare på om fordringshaver sender fordringer omfattet af den afgrænsede population til inddrivelse før eller samtidig med udløbet af én eller flere af de registrerede datoer i datafelterne ”forfaldsdato”, ”sidste rettidige betalingsda-to”, ”stiftelsesdato”, ”periode start”, og ”periode slut”? </t>
  </si>
  <si>
    <t>14.2</t>
  </si>
  <si>
    <t>Såfremt brugeren svarer nej skal brugeren ledes til spørgsmål 14.a</t>
  </si>
  <si>
    <t>14.3</t>
  </si>
  <si>
    <t>Såfremt brugeren svarer ja skal brugeren ledes til spørgsmål 14.b</t>
  </si>
  <si>
    <t>14.a</t>
  </si>
  <si>
    <t>14.a.1</t>
  </si>
  <si>
    <t xml:space="preserve">Regel R0023 opsættes således, at datoerne i datafelterne forfaldsdato, sidste rettidige betalingsdato, periode start, periode slut og stiftelsesdato skal ligge før modtagelsesdatoen. </t>
  </si>
  <si>
    <t>14.a.2</t>
  </si>
  <si>
    <t xml:space="preserve">Regel R0024 opsættes således, at datoerne i datafelterne forfaldsdato, sidste rettidige betalingsdato, periode start, periode slut og stiftelsesdato skal ligge før modtagelsesdatoen. </t>
  </si>
  <si>
    <t>14.a.3</t>
  </si>
  <si>
    <t xml:space="preserve">Regel R0025 opsættes således, at datoerne i datafelterne forfaldsdato, sidste rettidige betalingsdato, periode start, periode slut og stiftelsesdato skal ligge før modtagelsesdatoen. </t>
  </si>
  <si>
    <t>14.a.4</t>
  </si>
  <si>
    <t xml:space="preserve">Regel R0026 opsættes således, at datoerne i datafelterne forfaldsdato, sidste rettidige betalingsdato, periode start, periode slut og stiftelsesdato skal ligge før modtagelsesdatoen. </t>
  </si>
  <si>
    <t>14.a.5</t>
  </si>
  <si>
    <t xml:space="preserve">Regel R0027 opsættes således, at datoerne i datafelterne forfaldsdato, sidste rettidige betalingsdato, periode start, periode slut og stiftelsesdato skal ligge før modtagelsesdatoen. </t>
  </si>
  <si>
    <t>Form 17</t>
  </si>
  <si>
    <t>14.b</t>
  </si>
  <si>
    <t>14.b.1</t>
  </si>
  <si>
    <t>14.b.2</t>
  </si>
  <si>
    <t>Der skal indsættes en oplysningsboks ved siden af spørgsmålet med følgende indhold:
”Det fremgår af gældsinddrivelseslovens § 2, stk. 3, 1. pkt., at fordringer overdrages til RIM, når betalingsfristen er overskredet og sædvanlig ryk-kerprocedure forgæves er gennemført. Det be-tyder, at ”sidste rettidige betalingsdato” skal væ-re udløbet, før fordringen oversendes til inddri-velse. Det er i den forbindelse det juridiske ud-gangspunkt, at ”stiftelsesdato” og ”forfaldsdato” skal være udløbet før eller samtidig med ”sidste rettidige betalingsdato”.</t>
  </si>
  <si>
    <t>14.b.3</t>
  </si>
  <si>
    <t>Hvis brugeren vælger periode slut skal brugeren ledes til 14.b.1</t>
  </si>
  <si>
    <t>14.b.4</t>
  </si>
  <si>
    <t>Hvis brugeren vælger forfaldsdato skal brugeren ledes til 14.b.2</t>
  </si>
  <si>
    <t>14.b.5</t>
  </si>
  <si>
    <t>Hvis brugeren vælger sidste rettidige betalingsdato skal brugeren ledes til 14.b.2</t>
  </si>
  <si>
    <t>14.b.6</t>
  </si>
  <si>
    <t>Hvis brugeren vælger stiftelsesdato skal brugeren ledes til 14.b.2</t>
  </si>
  <si>
    <t>14.b.7</t>
  </si>
  <si>
    <t>Hvis brugeren vælger periode start skal brugeren ledes til 14.b.2</t>
  </si>
  <si>
    <t>Form 24</t>
  </si>
  <si>
    <t>15</t>
  </si>
  <si>
    <t>15.1</t>
  </si>
  <si>
    <t>Frm001_test</t>
  </si>
  <si>
    <t>Frm002_test</t>
  </si>
  <si>
    <t>Frm003_test</t>
  </si>
  <si>
    <t>Frm004_test</t>
  </si>
  <si>
    <t>Frm005_test</t>
  </si>
  <si>
    <t>Frm006_test</t>
  </si>
  <si>
    <t>Frm008_test</t>
  </si>
  <si>
    <t>Frm009_test</t>
  </si>
  <si>
    <t>Global_Test_Func</t>
  </si>
  <si>
    <t>Main_Test_Form</t>
  </si>
  <si>
    <t>Frm007_test</t>
  </si>
  <si>
    <t>Frm010_test</t>
  </si>
  <si>
    <t>Frm011_test</t>
  </si>
  <si>
    <t>Frm014_test</t>
  </si>
  <si>
    <t>Frm012_test</t>
  </si>
  <si>
    <t>Frm013_test</t>
  </si>
  <si>
    <t>Frm028_test</t>
  </si>
  <si>
    <t>Frm029_test</t>
  </si>
  <si>
    <t>Frm030_test</t>
  </si>
  <si>
    <t>Frm031_test</t>
  </si>
  <si>
    <t>Frm032_test</t>
  </si>
  <si>
    <t>Frm039_test</t>
  </si>
  <si>
    <t>Frm026_test</t>
  </si>
  <si>
    <t>Frm021_test</t>
  </si>
  <si>
    <t>Frm043_test</t>
  </si>
  <si>
    <t>Frm044_test</t>
  </si>
  <si>
    <t>Frm045_test</t>
  </si>
  <si>
    <t>Frm046_test</t>
  </si>
  <si>
    <t>Frm047_test</t>
  </si>
  <si>
    <t>=</t>
  </si>
  <si>
    <t>Jf. Kravene ”sidste rettidige betalingsdato kan ligge samme dag som eller op til 119 dage efter ”forfaldsdato”.</t>
  </si>
  <si>
    <t>combobox2</t>
  </si>
  <si>
    <t>combobox4</t>
  </si>
  <si>
    <t>50</t>
  </si>
  <si>
    <t>100</t>
  </si>
  <si>
    <t>efter</t>
  </si>
  <si>
    <t>før</t>
  </si>
  <si>
    <t>118</t>
  </si>
  <si>
    <t>120</t>
  </si>
  <si>
    <t>-50</t>
  </si>
  <si>
    <t>Som en bruger forventer jeg at komme til form 35, hvis alt er udfyldt korrekt</t>
  </si>
  <si>
    <t>R0013</t>
  </si>
  <si>
    <t>ruleXDays</t>
  </si>
  <si>
    <t>ruleYDays</t>
  </si>
  <si>
    <t>Breaks Code</t>
  </si>
  <si>
    <t>Da der ikke er angivet en slutdato forventes denne at være blank i populationsarket, således at intervallet ikke er begrænset</t>
  </si>
  <si>
    <t>Da der ikke er angivet en slutdato forventes denne at være blank i SpmSvar, således at intervallet ikke er begrænset</t>
  </si>
  <si>
    <t>Da der ikke er indtastet en slutdato for SRB forventes det at denne er blank i populationsarket</t>
  </si>
  <si>
    <t>Da der ikke er indtastet en slutdato for SRB forventes det at denne er blank i SpmSvararket</t>
  </si>
  <si>
    <t>Da stiftelsdato slut ikke er angivet forventes det at denne også er blank i populationsarket</t>
  </si>
  <si>
    <t>Da stiftelsdato slut ikke er angivet forventes det at denne også er blank i SpgSvar arket</t>
  </si>
  <si>
    <t>Da der ikke er intastet en dato for periodestart slut forventes denne at være blank i Populationsarket</t>
  </si>
  <si>
    <t>Da der ikke er intastet en dato for periodestart slut forventes denne at være blank i SpmSvararket</t>
  </si>
  <si>
    <t>Da der ikke er indtastet en periodslut slut dato forventes denne også at være blank i Populationsarket</t>
  </si>
  <si>
    <t>Da der ikke er indtastet en periodslut slut dato forventes denne også at være blank i SpmSvararket</t>
  </si>
  <si>
    <t>10/9/2013</t>
  </si>
  <si>
    <t>10/9/2014</t>
  </si>
  <si>
    <t>R0014</t>
  </si>
  <si>
    <t>R0015</t>
  </si>
  <si>
    <t>R0016</t>
  </si>
  <si>
    <t>R0017</t>
  </si>
  <si>
    <t>Regel deaktiveres R0047</t>
  </si>
  <si>
    <t>Regel deaktiveres R0048</t>
  </si>
  <si>
    <t>Regel deaktiveres R0049</t>
  </si>
  <si>
    <t>Regel deaktiveres R0050</t>
  </si>
  <si>
    <t>Regel deaktiveres R0067</t>
  </si>
  <si>
    <t xml:space="preserve"> </t>
  </si>
  <si>
    <t>Regel deaktiveres R0051</t>
  </si>
  <si>
    <t>Regel deaktiveres R0052</t>
  </si>
  <si>
    <t>Regel deaktiveres R0053</t>
  </si>
  <si>
    <t>Regel deaktiveres R0054</t>
  </si>
  <si>
    <t>Regel deaktiveres R0068</t>
  </si>
  <si>
    <t>Regel deaktiveres R0055</t>
  </si>
  <si>
    <t>Regel deaktiveres R0056</t>
  </si>
  <si>
    <t>Regel deaktiveres R0057</t>
  </si>
  <si>
    <t>Regel deaktiveres R0058</t>
  </si>
  <si>
    <t>Regel deaktiveres R0069</t>
  </si>
  <si>
    <t>Regel deaktiveres R0059</t>
  </si>
  <si>
    <t>Regel deaktiveres R0060</t>
  </si>
  <si>
    <t>Regel deaktiveres R0061</t>
  </si>
  <si>
    <t>Regel deaktiveres R0062</t>
  </si>
  <si>
    <t>Regel deaktiveres R0070</t>
  </si>
  <si>
    <t>Regel deaktiveres R0063</t>
  </si>
  <si>
    <t>Regel deaktiveres R0064</t>
  </si>
  <si>
    <t>Regel deaktiveres R0065</t>
  </si>
  <si>
    <t>Regel deaktiveres R0066</t>
  </si>
  <si>
    <t>Regel deaktiveres R0071</t>
  </si>
  <si>
    <t>Frm034_test</t>
  </si>
  <si>
    <t>Frm035_test</t>
  </si>
  <si>
    <t>Frm036_test</t>
  </si>
  <si>
    <t>Frm037_test</t>
  </si>
  <si>
    <t>Frm038_test</t>
  </si>
  <si>
    <t>FOANKRF</t>
  </si>
  <si>
    <t>41</t>
  </si>
  <si>
    <t>REOPKRÆ</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</si>
</sst>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sz val="11"/>
      <color theme="0"/>
      <name val="Calibri"/>
      <family val="2"/>
      <scheme val="minor"/>
    </font>
    <font>
      <sz val="1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8"/>
      <color theme="3"/>
      <name val="Calibri Light"/>
      <family val="2"/>
      <scheme val="major"/>
    </font>
    <font>
      <b/>
      <sz val="11"/>
      <color rgb="FFFF0000"/>
      <name val="Calibri"/>
      <family val="2"/>
      <scheme val="minor"/>
    </font>
    <font>
      <sz val="10"/>
      <color rgb="FF000000"/>
      <name val="Segoe UI"/>
      <family val="2"/>
    </font>
    <font>
      <sz val="10"/>
      <color theme="1"/>
      <name val="Arial"/>
      <family val="2"/>
    </font>
    <font>
      <sz val="8"/>
      <color rgb="FF4E586A"/>
      <name val="Segoe UI"/>
      <family val="2"/>
    </font>
    <font>
      <sz val="10"/>
      <color theme="1"/>
      <name val="Calibri"/>
      <family val="2"/>
      <scheme val="minor"/>
    </font>
    <font>
      <sz val="9"/>
      <color indexed="81"/>
      <name val="Tahoma"/>
      <family val="2"/>
    </font>
    <font>
      <b/>
      <sz val="9"/>
      <color indexed="81"/>
      <name val="Tahoma"/>
      <family val="2"/>
    </font>
    <font>
      <sz val="11"/>
      <color theme="9" tint="-0.249977111117893"/>
      <name val="Calibri"/>
      <family val="2"/>
      <scheme val="minor"/>
    </font>
    <font>
      <sz val="11"/>
      <color theme="9" tint="-0.499984740745262"/>
      <name val="Calibri"/>
      <family val="2"/>
      <scheme val="minor"/>
    </font>
    <font>
      <b/>
      <sz val="11"/>
      <name val="Calibri"/>
      <family val="2"/>
      <scheme val="minor"/>
    </font>
    <font>
      <sz val="22"/>
      <color rgb="FF000000"/>
      <name val="Goudy Stout"/>
      <family val="1"/>
    </font>
    <font>
      <b/>
      <sz val="11"/>
      <color theme="9" tint="-0.499984740745262"/>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4" tint="0.59999389629810485"/>
        <bgColor indexed="65"/>
      </patternFill>
    </fill>
    <fill>
      <patternFill patternType="solid">
        <fgColor theme="7" tint="0.39997558519241921"/>
        <bgColor indexed="65"/>
      </patternFill>
    </fill>
    <fill>
      <patternFill patternType="solid">
        <fgColor theme="8"/>
      </patternFill>
    </fill>
    <fill>
      <patternFill patternType="solid">
        <fgColor theme="9" tint="0.79998168889431442"/>
        <bgColor indexed="65"/>
      </patternFill>
    </fill>
    <fill>
      <patternFill patternType="solid">
        <fgColor theme="9" tint="0.79998168889431442"/>
        <bgColor indexed="64"/>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7" tint="0.39997558519241921"/>
        <bgColor theme="4"/>
      </patternFill>
    </fill>
    <fill>
      <patternFill patternType="solid">
        <fgColor rgb="FFFFFF00"/>
        <bgColor indexed="64"/>
      </patternFill>
    </fill>
    <fill>
      <patternFill patternType="solid">
        <fgColor theme="7" tint="0.79998168889431442"/>
        <bgColor indexed="64"/>
      </patternFill>
    </fill>
    <fill>
      <patternFill patternType="solid">
        <fgColor rgb="FFE2EFDA"/>
        <bgColor indexed="64"/>
      </patternFill>
    </fill>
    <fill>
      <patternFill patternType="solid">
        <fgColor rgb="FFFCE4D6"/>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theme="4" tint="0.79998168889431442"/>
      </patternFill>
    </fill>
    <fill>
      <patternFill patternType="solid">
        <fgColor theme="0"/>
        <bgColor theme="4"/>
      </patternFill>
    </fill>
    <fill>
      <patternFill patternType="solid">
        <fgColor theme="0"/>
      </patternFill>
    </fill>
    <fill>
      <patternFill patternType="solid">
        <fgColor theme="5" tint="0.39997558519241921"/>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indexed="64"/>
      </left>
      <right/>
      <top style="thin">
        <color indexed="64"/>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3">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6" fillId="15" borderId="0" applyNumberFormat="0" applyBorder="0" applyAlignment="0" applyProtection="0"/>
    <xf numFmtId="0" fontId="6" fillId="19" borderId="0" applyNumberFormat="0" applyBorder="0" applyAlignment="0" applyProtection="0"/>
    <xf numFmtId="0" fontId="6" fillId="23" borderId="0" applyNumberFormat="0" applyBorder="0" applyAlignment="0" applyProtection="0"/>
    <xf numFmtId="0" fontId="6" fillId="6" borderId="0" applyNumberFormat="0" applyBorder="0" applyAlignment="0" applyProtection="0"/>
    <xf numFmtId="0" fontId="6" fillId="29" borderId="0" applyNumberFormat="0" applyBorder="0" applyAlignment="0" applyProtection="0"/>
    <xf numFmtId="0" fontId="6" fillId="32" borderId="0" applyNumberFormat="0" applyBorder="0" applyAlignment="0" applyProtection="0"/>
    <xf numFmtId="0" fontId="5" fillId="0" borderId="0" applyNumberFormat="0" applyFill="0" applyBorder="0" applyAlignment="0" applyProtection="0"/>
    <xf numFmtId="0" fontId="1" fillId="12" borderId="9" applyNumberFormat="0" applyFont="0" applyAlignment="0" applyProtection="0"/>
    <xf numFmtId="0" fontId="11" fillId="10" borderId="6" applyNumberFormat="0" applyAlignment="0" applyProtection="0"/>
    <xf numFmtId="0" fontId="14" fillId="0" borderId="0" applyNumberFormat="0" applyFill="0" applyBorder="0" applyAlignment="0" applyProtection="0"/>
    <xf numFmtId="0" fontId="2" fillId="2" borderId="0" applyNumberFormat="0" applyBorder="0" applyAlignment="0" applyProtection="0"/>
    <xf numFmtId="0" fontId="13" fillId="11" borderId="8" applyNumberFormat="0" applyAlignment="0" applyProtection="0"/>
    <xf numFmtId="0" fontId="6" fillId="13" borderId="0" applyNumberFormat="0" applyBorder="0" applyAlignment="0" applyProtection="0"/>
    <xf numFmtId="0" fontId="6" fillId="16" borderId="0" applyNumberFormat="0" applyBorder="0" applyAlignment="0" applyProtection="0"/>
    <xf numFmtId="0" fontId="6" fillId="20" borderId="0" applyNumberFormat="0" applyBorder="0" applyAlignment="0" applyProtection="0"/>
    <xf numFmtId="0" fontId="6" fillId="24" borderId="0" applyNumberFormat="0" applyBorder="0" applyAlignment="0" applyProtection="0"/>
    <xf numFmtId="0" fontId="6" fillId="7" borderId="0" applyNumberFormat="0" applyBorder="0" applyAlignment="0" applyProtection="0"/>
    <xf numFmtId="0" fontId="6" fillId="30" borderId="0" applyNumberFormat="0" applyBorder="0" applyAlignment="0" applyProtection="0"/>
    <xf numFmtId="0" fontId="8" fillId="0" borderId="3" applyNumberFormat="0" applyFill="0" applyAlignment="0" applyProtection="0"/>
    <xf numFmtId="0" fontId="9" fillId="0" borderId="4" applyNumberFormat="0" applyFill="0" applyAlignment="0" applyProtection="0"/>
    <xf numFmtId="0" fontId="10" fillId="0" borderId="5" applyNumberFormat="0" applyFill="0" applyAlignment="0" applyProtection="0"/>
    <xf numFmtId="0" fontId="10" fillId="0" borderId="0" applyNumberFormat="0" applyFill="0" applyBorder="0" applyAlignment="0" applyProtection="0"/>
    <xf numFmtId="0" fontId="12" fillId="0" borderId="7" applyNumberFormat="0" applyFill="0" applyAlignment="0" applyProtection="0"/>
    <xf numFmtId="0" fontId="15" fillId="0" borderId="0" applyNumberFormat="0" applyFill="0" applyBorder="0" applyAlignment="0" applyProtection="0"/>
    <xf numFmtId="0" fontId="3" fillId="3" borderId="0" applyNumberFormat="0" applyBorder="0" applyAlignment="0" applyProtection="0"/>
  </cellStyleXfs>
  <cellXfs count="390">
    <xf numFmtId="0" fontId="0" fillId="0" borderId="0" xfId="0"/>
    <xf numFmtId="0" fontId="0" fillId="0" borderId="0" xfId="0" applyAlignment="1">
      <alignment vertical="top"/>
    </xf>
    <xf numFmtId="0" fontId="0" fillId="0" borderId="0" xfId="0" applyBorder="1" applyAlignment="1">
      <alignment horizontal="left" vertical="top"/>
    </xf>
    <xf numFmtId="0" fontId="0" fillId="0" borderId="0" xfId="0" applyBorder="1" applyAlignment="1">
      <alignment vertical="top"/>
    </xf>
    <xf numFmtId="0" fontId="4" fillId="4" borderId="1" xfId="3" applyBorder="1" applyAlignment="1">
      <alignment vertical="top"/>
    </xf>
    <xf numFmtId="0" fontId="0" fillId="0" borderId="0" xfId="0" applyAlignment="1">
      <alignment wrapText="1"/>
    </xf>
    <xf numFmtId="0" fontId="0" fillId="0" borderId="0" xfId="0"/>
    <xf numFmtId="49" fontId="0" fillId="0" borderId="0" xfId="0" applyNumberFormat="1"/>
    <xf numFmtId="0" fontId="0" fillId="0" borderId="0" xfId="0" applyAlignment="1"/>
    <xf numFmtId="0" fontId="0" fillId="0" borderId="0" xfId="0" applyBorder="1" applyAlignment="1">
      <alignment vertical="top" wrapText="1"/>
    </xf>
    <xf numFmtId="0" fontId="0" fillId="0" borderId="0" xfId="0" applyAlignment="1">
      <alignment vertical="top" wrapText="1"/>
    </xf>
    <xf numFmtId="0" fontId="2" fillId="9" borderId="1" xfId="1" applyFill="1" applyBorder="1" applyAlignment="1">
      <alignment horizontal="left" vertical="top"/>
    </xf>
    <xf numFmtId="0" fontId="2" fillId="9" borderId="1" xfId="1" applyFill="1" applyBorder="1" applyAlignment="1">
      <alignment vertical="top"/>
    </xf>
    <xf numFmtId="0" fontId="2" fillId="9" borderId="2" xfId="1" applyFill="1" applyBorder="1" applyAlignment="1">
      <alignment vertical="top"/>
    </xf>
    <xf numFmtId="49" fontId="16" fillId="9" borderId="1" xfId="2" applyNumberFormat="1" applyFont="1" applyFill="1" applyBorder="1" applyAlignment="1">
      <alignment vertical="top"/>
    </xf>
    <xf numFmtId="49" fontId="16" fillId="9" borderId="1" xfId="2" quotePrefix="1" applyNumberFormat="1" applyFont="1" applyFill="1" applyBorder="1" applyAlignment="1">
      <alignment vertical="top"/>
    </xf>
    <xf numFmtId="0" fontId="2" fillId="9" borderId="10" xfId="1" applyFill="1" applyBorder="1" applyAlignment="1">
      <alignment horizontal="left" vertical="top"/>
    </xf>
    <xf numFmtId="0" fontId="1" fillId="9" borderId="10" xfId="5" applyFont="1" applyFill="1" applyBorder="1" applyAlignment="1">
      <alignment vertical="top"/>
    </xf>
    <xf numFmtId="0" fontId="2" fillId="9" borderId="10" xfId="1" applyFill="1" applyBorder="1" applyAlignment="1">
      <alignment vertical="top"/>
    </xf>
    <xf numFmtId="0" fontId="2" fillId="9" borderId="11" xfId="1" applyFill="1" applyBorder="1" applyAlignment="1">
      <alignment vertical="top"/>
    </xf>
    <xf numFmtId="0" fontId="4" fillId="4" borderId="10" xfId="3" applyBorder="1" applyAlignment="1">
      <alignment vertical="top"/>
    </xf>
    <xf numFmtId="49" fontId="16" fillId="9" borderId="10" xfId="2" quotePrefix="1" applyNumberFormat="1" applyFont="1" applyFill="1" applyBorder="1" applyAlignment="1">
      <alignment vertical="top"/>
    </xf>
    <xf numFmtId="49" fontId="7" fillId="9" borderId="10" xfId="2" applyNumberFormat="1" applyFont="1" applyFill="1" applyBorder="1" applyAlignment="1">
      <alignment vertical="top"/>
    </xf>
    <xf numFmtId="0" fontId="2" fillId="9" borderId="1" xfId="1" applyFont="1" applyFill="1" applyBorder="1" applyAlignment="1">
      <alignment horizontal="left" vertical="top"/>
    </xf>
    <xf numFmtId="0" fontId="0" fillId="9" borderId="1" xfId="5" applyFont="1" applyFill="1" applyBorder="1" applyAlignment="1">
      <alignment vertical="top"/>
    </xf>
    <xf numFmtId="0" fontId="2" fillId="9" borderId="12" xfId="1" applyFont="1" applyFill="1" applyBorder="1" applyAlignment="1">
      <alignment vertical="top" wrapText="1"/>
    </xf>
    <xf numFmtId="0" fontId="1" fillId="6" borderId="0" xfId="0" applyFont="1" applyFill="1" applyBorder="1" applyAlignment="1">
      <alignment vertical="top"/>
    </xf>
    <xf numFmtId="0" fontId="0" fillId="9" borderId="10" xfId="5" applyFont="1" applyFill="1" applyBorder="1" applyAlignment="1">
      <alignment vertical="top"/>
    </xf>
    <xf numFmtId="0" fontId="0" fillId="0" borderId="0" xfId="0" applyNumberFormat="1"/>
    <xf numFmtId="0" fontId="2" fillId="9" borderId="2" xfId="1" applyFont="1" applyFill="1" applyBorder="1" applyAlignment="1">
      <alignment vertical="top"/>
    </xf>
    <xf numFmtId="49" fontId="2" fillId="9" borderId="2" xfId="1" applyNumberFormat="1" applyFont="1" applyFill="1" applyBorder="1" applyAlignment="1">
      <alignment vertical="top"/>
    </xf>
    <xf numFmtId="0" fontId="13" fillId="33" borderId="13" xfId="0" applyFont="1" applyFill="1" applyBorder="1" applyAlignment="1">
      <alignment vertical="top"/>
    </xf>
    <xf numFmtId="0" fontId="17" fillId="0" borderId="0" xfId="0" applyFon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0" fillId="0" borderId="0" xfId="0" applyFill="1" applyBorder="1" applyAlignment="1">
      <alignment horizontal="left" vertical="top"/>
    </xf>
    <xf numFmtId="0" fontId="0" fillId="0" borderId="0" xfId="0" applyFill="1" applyBorder="1" applyAlignment="1">
      <alignment vertical="top"/>
    </xf>
    <xf numFmtId="0" fontId="0" fillId="0" borderId="0" xfId="0" applyFill="1" applyBorder="1" applyAlignment="1">
      <alignment vertical="top" wrapText="1"/>
    </xf>
    <xf numFmtId="0" fontId="0" fillId="0" borderId="0" xfId="0" applyFill="1" applyBorder="1"/>
    <xf numFmtId="0" fontId="2" fillId="0" borderId="14" xfId="1" applyFill="1" applyBorder="1" applyAlignment="1">
      <alignment horizontal="left" vertical="top"/>
    </xf>
    <xf numFmtId="0" fontId="1" fillId="0" borderId="14" xfId="5" applyFont="1" applyFill="1" applyBorder="1" applyAlignment="1">
      <alignment vertical="top"/>
    </xf>
    <xf numFmtId="0" fontId="2" fillId="0" borderId="14" xfId="1" applyFill="1" applyBorder="1" applyAlignment="1">
      <alignment vertical="top"/>
    </xf>
    <xf numFmtId="0" fontId="2" fillId="0" borderId="14" xfId="1" applyFill="1" applyBorder="1" applyAlignment="1">
      <alignment vertical="top" wrapText="1"/>
    </xf>
    <xf numFmtId="49" fontId="2" fillId="0" borderId="14" xfId="1" applyNumberFormat="1" applyFill="1" applyBorder="1" applyAlignment="1">
      <alignment vertical="top"/>
    </xf>
    <xf numFmtId="0" fontId="4" fillId="0" borderId="14" xfId="3" applyFill="1" applyBorder="1" applyAlignment="1">
      <alignment vertical="top"/>
    </xf>
    <xf numFmtId="49" fontId="7" fillId="0" borderId="14" xfId="2" quotePrefix="1" applyNumberFormat="1" applyFont="1" applyFill="1" applyBorder="1" applyAlignment="1">
      <alignment vertical="top"/>
    </xf>
    <xf numFmtId="49" fontId="7" fillId="0" borderId="14" xfId="2" applyNumberFormat="1" applyFont="1" applyFill="1" applyBorder="1" applyAlignment="1">
      <alignment vertical="top"/>
    </xf>
    <xf numFmtId="0" fontId="0" fillId="0" borderId="14" xfId="0" applyFill="1" applyBorder="1" applyAlignment="1">
      <alignment vertical="top"/>
    </xf>
    <xf numFmtId="0" fontId="18" fillId="0" borderId="14" xfId="0" applyFont="1" applyFill="1" applyBorder="1" applyAlignment="1">
      <alignment vertical="center"/>
    </xf>
    <xf numFmtId="0" fontId="13" fillId="33" borderId="15" xfId="0" applyFont="1" applyFill="1" applyBorder="1" applyAlignment="1">
      <alignment horizontal="left" vertical="top"/>
    </xf>
    <xf numFmtId="0" fontId="13" fillId="33" borderId="13" xfId="0" applyFont="1" applyFill="1" applyBorder="1" applyAlignment="1">
      <alignment horizontal="left" vertical="top"/>
    </xf>
    <xf numFmtId="0" fontId="13" fillId="33" borderId="13" xfId="0" applyFont="1" applyFill="1" applyBorder="1" applyAlignment="1">
      <alignment vertical="top" wrapText="1"/>
    </xf>
    <xf numFmtId="0" fontId="2" fillId="9" borderId="2" xfId="1" applyFont="1" applyFill="1" applyBorder="1" applyAlignment="1">
      <alignment vertical="top" wrapText="1"/>
    </xf>
    <xf numFmtId="0" fontId="2" fillId="9" borderId="12" xfId="1" applyFont="1" applyFill="1" applyBorder="1" applyAlignment="1">
      <alignment vertical="top"/>
    </xf>
    <xf numFmtId="0" fontId="7" fillId="34" borderId="0" xfId="0" applyFont="1" applyFill="1" applyBorder="1" applyAlignment="1">
      <alignment vertical="top"/>
    </xf>
    <xf numFmtId="0" fontId="7" fillId="9" borderId="10" xfId="3" applyFont="1" applyFill="1" applyBorder="1" applyAlignment="1">
      <alignment horizontal="left" vertical="top"/>
    </xf>
    <xf numFmtId="0" fontId="0" fillId="0" borderId="0" xfId="0"/>
    <xf numFmtId="0" fontId="0" fillId="6" borderId="0" xfId="4" applyFont="1" applyBorder="1" applyAlignment="1">
      <alignment vertical="top"/>
    </xf>
    <xf numFmtId="49" fontId="7" fillId="9" borderId="1" xfId="2" applyNumberFormat="1" applyFont="1" applyFill="1" applyBorder="1" applyAlignment="1">
      <alignment vertical="top"/>
    </xf>
    <xf numFmtId="49" fontId="7" fillId="9" borderId="10" xfId="2" quotePrefix="1" applyNumberFormat="1" applyFont="1" applyFill="1" applyBorder="1" applyAlignment="1">
      <alignment vertical="top"/>
    </xf>
    <xf numFmtId="49" fontId="7" fillId="9" borderId="1" xfId="2" quotePrefix="1" applyNumberFormat="1" applyFont="1" applyFill="1" applyBorder="1" applyAlignment="1">
      <alignment vertical="top"/>
    </xf>
    <xf numFmtId="0" fontId="0" fillId="6" borderId="0" xfId="0" applyFont="1" applyFill="1" applyBorder="1" applyAlignment="1">
      <alignment vertical="top"/>
    </xf>
    <xf numFmtId="0" fontId="2" fillId="9" borderId="2" xfId="1" applyFill="1" applyBorder="1" applyAlignment="1">
      <alignment vertical="top" wrapText="1"/>
    </xf>
    <xf numFmtId="0" fontId="2" fillId="9" borderId="11" xfId="1" applyFill="1" applyBorder="1" applyAlignment="1">
      <alignment vertical="top" wrapText="1"/>
    </xf>
    <xf numFmtId="49" fontId="2" fillId="9" borderId="2" xfId="1" applyNumberFormat="1" applyFill="1" applyBorder="1" applyAlignment="1">
      <alignment vertical="top"/>
    </xf>
    <xf numFmtId="49" fontId="2" fillId="9" borderId="11" xfId="1" applyNumberFormat="1" applyFill="1" applyBorder="1" applyAlignment="1">
      <alignment vertical="top"/>
    </xf>
    <xf numFmtId="49" fontId="2" fillId="9" borderId="11" xfId="1" quotePrefix="1" applyNumberFormat="1" applyFill="1" applyBorder="1" applyAlignment="1">
      <alignment vertical="top"/>
    </xf>
    <xf numFmtId="49" fontId="2" fillId="9" borderId="2" xfId="1" quotePrefix="1" applyNumberFormat="1" applyFill="1" applyBorder="1" applyAlignment="1">
      <alignment vertical="top"/>
    </xf>
    <xf numFmtId="0" fontId="13" fillId="33" borderId="0" xfId="0" applyFont="1" applyFill="1" applyBorder="1" applyAlignment="1">
      <alignment vertical="top"/>
    </xf>
    <xf numFmtId="0" fontId="2" fillId="9" borderId="13" xfId="1" applyFill="1" applyBorder="1" applyAlignment="1">
      <alignment vertical="top"/>
    </xf>
    <xf numFmtId="0" fontId="13" fillId="33" borderId="0" xfId="0" applyFont="1" applyFill="1" applyBorder="1" applyAlignment="1">
      <alignment vertical="top" wrapText="1"/>
    </xf>
    <xf numFmtId="0" fontId="2" fillId="9" borderId="12" xfId="1" applyFill="1" applyBorder="1" applyAlignment="1">
      <alignment vertical="top"/>
    </xf>
    <xf numFmtId="0" fontId="2" fillId="35" borderId="13" xfId="1" applyFont="1" applyFill="1" applyBorder="1" applyAlignment="1">
      <alignment vertical="top" wrapText="1"/>
    </xf>
    <xf numFmtId="0" fontId="2" fillId="35" borderId="11" xfId="1" applyFill="1" applyBorder="1" applyAlignment="1">
      <alignment vertical="top" wrapText="1"/>
    </xf>
    <xf numFmtId="0" fontId="2" fillId="35" borderId="2" xfId="1" applyFont="1" applyFill="1" applyBorder="1" applyAlignment="1">
      <alignment vertical="top" wrapText="1"/>
    </xf>
    <xf numFmtId="0" fontId="2" fillId="9" borderId="11" xfId="1" applyFont="1" applyFill="1" applyBorder="1" applyAlignment="1">
      <alignment vertical="top" wrapText="1"/>
    </xf>
    <xf numFmtId="0" fontId="2" fillId="36" borderId="2" xfId="1" applyFont="1" applyFill="1" applyBorder="1" applyAlignment="1">
      <alignment vertical="top" wrapText="1"/>
    </xf>
    <xf numFmtId="0" fontId="2" fillId="36" borderId="2" xfId="1" applyFont="1" applyFill="1" applyBorder="1" applyAlignment="1">
      <alignment vertical="top"/>
    </xf>
    <xf numFmtId="49" fontId="2" fillId="36" borderId="2" xfId="1" applyNumberFormat="1" applyFont="1" applyFill="1" applyBorder="1" applyAlignment="1">
      <alignment vertical="top"/>
    </xf>
    <xf numFmtId="0" fontId="2" fillId="36" borderId="11" xfId="1" applyFill="1" applyBorder="1" applyAlignment="1">
      <alignment vertical="top" wrapText="1"/>
    </xf>
    <xf numFmtId="0" fontId="2" fillId="36" borderId="12" xfId="1" applyFont="1" applyFill="1" applyBorder="1" applyAlignment="1">
      <alignment vertical="top" wrapText="1"/>
    </xf>
    <xf numFmtId="49" fontId="2" fillId="36" borderId="11" xfId="1" applyNumberFormat="1" applyFill="1" applyBorder="1" applyAlignment="1">
      <alignment vertical="top"/>
    </xf>
    <xf numFmtId="49" fontId="2" fillId="36" borderId="11" xfId="1" quotePrefix="1" applyNumberFormat="1" applyFill="1" applyBorder="1" applyAlignment="1">
      <alignment vertical="top"/>
    </xf>
    <xf numFmtId="0" fontId="2" fillId="9" borderId="1" xfId="1" applyFill="1" applyBorder="1" applyAlignment="1">
      <alignment vertical="top" wrapText="1"/>
    </xf>
    <xf numFmtId="0" fontId="2" fillId="9" borderId="1" xfId="1" applyFont="1" applyFill="1" applyBorder="1" applyAlignment="1">
      <alignment vertical="top" wrapText="1"/>
    </xf>
    <xf numFmtId="49" fontId="2" fillId="9" borderId="1" xfId="1" applyNumberFormat="1" applyFill="1" applyBorder="1" applyAlignment="1">
      <alignment vertical="top"/>
    </xf>
    <xf numFmtId="49" fontId="2" fillId="9" borderId="1" xfId="1" quotePrefix="1" applyNumberFormat="1" applyFill="1" applyBorder="1" applyAlignment="1">
      <alignment vertical="top"/>
    </xf>
    <xf numFmtId="0" fontId="2" fillId="9" borderId="10" xfId="1" applyFont="1" applyFill="1" applyBorder="1" applyAlignment="1">
      <alignment horizontal="left" vertical="top"/>
    </xf>
    <xf numFmtId="0" fontId="0" fillId="0" borderId="1" xfId="0" applyBorder="1" applyAlignment="1">
      <alignment vertical="top"/>
    </xf>
    <xf numFmtId="0" fontId="0" fillId="0" borderId="1" xfId="0" applyBorder="1"/>
    <xf numFmtId="0" fontId="2" fillId="36" borderId="1" xfId="1" applyFont="1" applyFill="1" applyBorder="1" applyAlignment="1">
      <alignment vertical="top" wrapText="1"/>
    </xf>
    <xf numFmtId="0" fontId="2" fillId="36" borderId="1" xfId="1" applyFill="1" applyBorder="1" applyAlignment="1">
      <alignment vertical="top"/>
    </xf>
    <xf numFmtId="49" fontId="2" fillId="36" borderId="1" xfId="1" applyNumberFormat="1" applyFill="1" applyBorder="1" applyAlignment="1">
      <alignment vertical="top"/>
    </xf>
    <xf numFmtId="49" fontId="2" fillId="9" borderId="1" xfId="1" quotePrefix="1" applyNumberFormat="1" applyFill="1" applyBorder="1" applyAlignment="1">
      <alignment vertical="top" wrapText="1"/>
    </xf>
    <xf numFmtId="49" fontId="2" fillId="9" borderId="2" xfId="1" quotePrefix="1" applyNumberFormat="1" applyFill="1" applyBorder="1" applyAlignment="1">
      <alignment vertical="top" wrapText="1"/>
    </xf>
    <xf numFmtId="49" fontId="2" fillId="9" borderId="11" xfId="1" quotePrefix="1" applyNumberFormat="1" applyFill="1" applyBorder="1" applyAlignment="1">
      <alignment vertical="top" wrapText="1"/>
    </xf>
    <xf numFmtId="0" fontId="23" fillId="9" borderId="2" xfId="1" applyFont="1" applyFill="1" applyBorder="1" applyAlignment="1">
      <alignment vertical="top"/>
    </xf>
    <xf numFmtId="0" fontId="23" fillId="9" borderId="11" xfId="1" applyFont="1" applyFill="1" applyBorder="1" applyAlignment="1">
      <alignment vertical="top"/>
    </xf>
    <xf numFmtId="0" fontId="23" fillId="9" borderId="12" xfId="1" applyFont="1" applyFill="1" applyBorder="1" applyAlignment="1">
      <alignment vertical="top" wrapText="1"/>
    </xf>
    <xf numFmtId="49" fontId="23" fillId="9" borderId="11" xfId="1" quotePrefix="1" applyNumberFormat="1" applyFont="1" applyFill="1" applyBorder="1" applyAlignment="1">
      <alignment vertical="top"/>
    </xf>
    <xf numFmtId="0" fontId="23" fillId="36" borderId="2" xfId="1" applyFont="1" applyFill="1" applyBorder="1" applyAlignment="1">
      <alignment vertical="top"/>
    </xf>
    <xf numFmtId="0" fontId="23" fillId="36" borderId="12" xfId="1" applyFont="1" applyFill="1" applyBorder="1" applyAlignment="1">
      <alignment vertical="top" wrapText="1"/>
    </xf>
    <xf numFmtId="49" fontId="23" fillId="36" borderId="11" xfId="1" quotePrefix="1" applyNumberFormat="1" applyFont="1" applyFill="1" applyBorder="1" applyAlignment="1">
      <alignment vertical="top"/>
    </xf>
    <xf numFmtId="0" fontId="24" fillId="9" borderId="2" xfId="1" applyFont="1" applyFill="1" applyBorder="1" applyAlignment="1">
      <alignment vertical="top"/>
    </xf>
    <xf numFmtId="0" fontId="24" fillId="9" borderId="12" xfId="1" applyFont="1" applyFill="1" applyBorder="1" applyAlignment="1">
      <alignment vertical="top" wrapText="1"/>
    </xf>
    <xf numFmtId="49" fontId="24" fillId="9" borderId="11" xfId="1" quotePrefix="1" applyNumberFormat="1" applyFont="1" applyFill="1" applyBorder="1" applyAlignment="1">
      <alignment vertical="top"/>
    </xf>
    <xf numFmtId="0" fontId="24" fillId="36" borderId="2" xfId="1" applyFont="1" applyFill="1" applyBorder="1" applyAlignment="1">
      <alignment vertical="top"/>
    </xf>
    <xf numFmtId="0" fontId="24" fillId="36" borderId="12" xfId="1" applyFont="1" applyFill="1" applyBorder="1" applyAlignment="1">
      <alignment vertical="top" wrapText="1"/>
    </xf>
    <xf numFmtId="49" fontId="24" fillId="36" borderId="11" xfId="1" quotePrefix="1" applyNumberFormat="1" applyFont="1" applyFill="1" applyBorder="1" applyAlignment="1">
      <alignment vertical="top"/>
    </xf>
    <xf numFmtId="49" fontId="2" fillId="9" borderId="10" xfId="1" applyNumberFormat="1" applyFill="1" applyBorder="1" applyAlignment="1">
      <alignment vertical="top"/>
    </xf>
    <xf numFmtId="0" fontId="2" fillId="0" borderId="0" xfId="1" applyFill="1" applyBorder="1" applyAlignment="1">
      <alignment horizontal="left" vertical="top"/>
    </xf>
    <xf numFmtId="0" fontId="2" fillId="0" borderId="0" xfId="1" applyFont="1" applyFill="1" applyBorder="1" applyAlignment="1">
      <alignment horizontal="left" vertical="top"/>
    </xf>
    <xf numFmtId="0" fontId="0" fillId="0" borderId="0" xfId="5" applyFont="1" applyFill="1" applyBorder="1" applyAlignment="1">
      <alignment vertical="top"/>
    </xf>
    <xf numFmtId="0" fontId="2" fillId="0" borderId="0" xfId="1" applyFill="1" applyBorder="1" applyAlignment="1">
      <alignment vertical="top"/>
    </xf>
    <xf numFmtId="0" fontId="2" fillId="0" borderId="0" xfId="1" applyFill="1" applyBorder="1" applyAlignment="1">
      <alignment vertical="top" wrapText="1"/>
    </xf>
    <xf numFmtId="0" fontId="2" fillId="0" borderId="0" xfId="1" applyFont="1" applyFill="1" applyBorder="1" applyAlignment="1">
      <alignment vertical="top" wrapText="1"/>
    </xf>
    <xf numFmtId="49" fontId="2" fillId="0" borderId="0" xfId="1" applyNumberFormat="1" applyFill="1" applyBorder="1" applyAlignment="1">
      <alignment vertical="top"/>
    </xf>
    <xf numFmtId="49" fontId="2" fillId="0" borderId="0" xfId="1" quotePrefix="1" applyNumberFormat="1" applyFill="1" applyBorder="1" applyAlignment="1">
      <alignment vertical="top" wrapText="1"/>
    </xf>
    <xf numFmtId="49" fontId="2" fillId="0" borderId="0" xfId="1" quotePrefix="1" applyNumberFormat="1" applyFill="1" applyBorder="1" applyAlignment="1">
      <alignment vertical="top"/>
    </xf>
    <xf numFmtId="0" fontId="4" fillId="0" borderId="0" xfId="3" applyFill="1" applyBorder="1" applyAlignment="1">
      <alignment vertical="top"/>
    </xf>
    <xf numFmtId="49" fontId="7" fillId="0" borderId="0" xfId="2" quotePrefix="1" applyNumberFormat="1" applyFont="1" applyFill="1" applyBorder="1" applyAlignment="1">
      <alignment vertical="top"/>
    </xf>
    <xf numFmtId="49" fontId="7" fillId="0" borderId="0" xfId="2" applyNumberFormat="1" applyFont="1" applyFill="1" applyBorder="1" applyAlignment="1">
      <alignment vertical="top"/>
    </xf>
    <xf numFmtId="49" fontId="2" fillId="37" borderId="11" xfId="1" quotePrefix="1" applyNumberFormat="1" applyFill="1" applyBorder="1" applyAlignment="1">
      <alignment vertical="top"/>
    </xf>
    <xf numFmtId="49" fontId="25" fillId="9" borderId="1" xfId="2" quotePrefix="1" applyNumberFormat="1" applyFont="1" applyFill="1" applyBorder="1" applyAlignment="1">
      <alignment vertical="top"/>
    </xf>
    <xf numFmtId="49" fontId="2" fillId="38" borderId="11" xfId="1" quotePrefix="1" applyNumberFormat="1" applyFill="1" applyBorder="1" applyAlignment="1">
      <alignment vertical="top"/>
    </xf>
    <xf numFmtId="49" fontId="25" fillId="9" borderId="10" xfId="2" quotePrefix="1" applyNumberFormat="1" applyFont="1" applyFill="1" applyBorder="1" applyAlignment="1">
      <alignment vertical="top"/>
    </xf>
    <xf numFmtId="49" fontId="2" fillId="38" borderId="1" xfId="1" quotePrefix="1" applyNumberFormat="1" applyFill="1" applyBorder="1" applyAlignment="1">
      <alignment vertical="top"/>
    </xf>
    <xf numFmtId="49" fontId="2" fillId="37" borderId="1" xfId="1" quotePrefix="1" applyNumberFormat="1" applyFill="1" applyBorder="1" applyAlignment="1">
      <alignment vertical="top"/>
    </xf>
    <xf numFmtId="49" fontId="2" fillId="37" borderId="2" xfId="1" quotePrefix="1" applyNumberFormat="1" applyFill="1" applyBorder="1" applyAlignment="1">
      <alignment vertical="top"/>
    </xf>
    <xf numFmtId="49" fontId="0" fillId="0" borderId="0" xfId="0" applyNumberFormat="1" applyAlignment="1">
      <alignment horizontal="center"/>
    </xf>
    <xf numFmtId="0" fontId="13" fillId="33" borderId="16" xfId="0" applyFont="1" applyFill="1" applyBorder="1" applyAlignment="1">
      <alignment horizontal="left" vertical="top"/>
    </xf>
    <xf numFmtId="0" fontId="13" fillId="33" borderId="17" xfId="0" applyFont="1" applyFill="1" applyBorder="1" applyAlignment="1">
      <alignment horizontal="left" vertical="top"/>
    </xf>
    <xf numFmtId="0" fontId="13" fillId="33" borderId="17" xfId="0" applyFont="1" applyFill="1" applyBorder="1" applyAlignment="1">
      <alignment vertical="top"/>
    </xf>
    <xf numFmtId="0" fontId="13" fillId="33" borderId="17" xfId="0" applyFont="1" applyFill="1" applyBorder="1" applyAlignment="1">
      <alignment vertical="top" wrapText="1"/>
    </xf>
    <xf numFmtId="0" fontId="13" fillId="6" borderId="17" xfId="0" applyFont="1" applyFill="1" applyBorder="1" applyAlignment="1">
      <alignment vertical="top"/>
    </xf>
    <xf numFmtId="0" fontId="13" fillId="6" borderId="18" xfId="4" applyFont="1" applyFill="1" applyBorder="1" applyAlignment="1">
      <alignment vertical="top"/>
    </xf>
    <xf numFmtId="0" fontId="2" fillId="9" borderId="11" xfId="1" applyFont="1" applyFill="1" applyBorder="1" applyAlignment="1">
      <alignment horizontal="left" vertical="top"/>
    </xf>
    <xf numFmtId="0" fontId="0" fillId="9" borderId="11" xfId="5" applyFont="1" applyFill="1" applyBorder="1" applyAlignment="1">
      <alignment vertical="top"/>
    </xf>
    <xf numFmtId="0" fontId="2" fillId="9" borderId="11" xfId="1" applyFont="1" applyFill="1" applyBorder="1" applyAlignment="1">
      <alignment vertical="top"/>
    </xf>
    <xf numFmtId="49" fontId="2" fillId="9" borderId="11" xfId="1" applyNumberFormat="1" applyFont="1" applyFill="1" applyBorder="1" applyAlignment="1">
      <alignment vertical="top"/>
    </xf>
    <xf numFmtId="0" fontId="4" fillId="4" borderId="11" xfId="3" applyFont="1" applyFill="1" applyBorder="1" applyAlignment="1">
      <alignment vertical="top"/>
    </xf>
    <xf numFmtId="49" fontId="7" fillId="9" borderId="11" xfId="2" applyNumberFormat="1" applyFont="1" applyFill="1" applyBorder="1" applyAlignment="1">
      <alignment vertical="top"/>
    </xf>
    <xf numFmtId="49" fontId="16" fillId="9" borderId="11" xfId="2" applyNumberFormat="1" applyFont="1" applyFill="1" applyBorder="1" applyAlignment="1">
      <alignment vertical="top"/>
    </xf>
    <xf numFmtId="0" fontId="2" fillId="36" borderId="11" xfId="1" applyFont="1" applyFill="1" applyBorder="1" applyAlignment="1">
      <alignment vertical="top"/>
    </xf>
    <xf numFmtId="0" fontId="2" fillId="36" borderId="11" xfId="1" applyFont="1" applyFill="1" applyBorder="1" applyAlignment="1">
      <alignment vertical="top" wrapText="1"/>
    </xf>
    <xf numFmtId="49" fontId="2" fillId="36" borderId="11" xfId="1" applyNumberFormat="1" applyFont="1" applyFill="1" applyBorder="1" applyAlignment="1">
      <alignment vertical="top"/>
    </xf>
    <xf numFmtId="0" fontId="2" fillId="9" borderId="2" xfId="1" applyFont="1" applyFill="1" applyBorder="1" applyAlignment="1">
      <alignment horizontal="left" vertical="top"/>
    </xf>
    <xf numFmtId="0" fontId="0" fillId="9" borderId="2" xfId="5" applyFont="1" applyFill="1" applyBorder="1" applyAlignment="1">
      <alignment vertical="top"/>
    </xf>
    <xf numFmtId="0" fontId="4" fillId="4" borderId="2" xfId="3" applyFont="1" applyFill="1" applyBorder="1" applyAlignment="1">
      <alignment vertical="top"/>
    </xf>
    <xf numFmtId="49" fontId="7" fillId="9" borderId="2" xfId="2" applyNumberFormat="1" applyFont="1" applyFill="1" applyBorder="1" applyAlignment="1">
      <alignment vertical="top"/>
    </xf>
    <xf numFmtId="49" fontId="16" fillId="9" borderId="2" xfId="2" applyNumberFormat="1" applyFont="1" applyFill="1" applyBorder="1" applyAlignment="1">
      <alignment vertical="top"/>
    </xf>
    <xf numFmtId="0" fontId="0" fillId="0" borderId="0" xfId="0" pivotButton="1"/>
    <xf numFmtId="0" fontId="0" fillId="0" borderId="0" xfId="0" applyAlignment="1">
      <alignment horizontal="left"/>
    </xf>
    <xf numFmtId="49" fontId="2" fillId="9" borderId="11" xfId="1" quotePrefix="1" applyNumberFormat="1" applyFont="1" applyFill="1" applyBorder="1" applyAlignment="1">
      <alignment vertical="top"/>
    </xf>
    <xf numFmtId="49" fontId="2" fillId="37" borderId="11" xfId="1" quotePrefix="1" applyNumberFormat="1" applyFont="1" applyFill="1" applyBorder="1" applyAlignment="1">
      <alignment vertical="top"/>
    </xf>
    <xf numFmtId="49" fontId="2" fillId="9" borderId="2" xfId="1" quotePrefix="1" applyNumberFormat="1" applyFont="1" applyFill="1" applyBorder="1" applyAlignment="1">
      <alignment vertical="top"/>
    </xf>
    <xf numFmtId="49" fontId="2" fillId="37" borderId="2" xfId="1" quotePrefix="1" applyNumberFormat="1" applyFont="1" applyFill="1" applyBorder="1" applyAlignment="1">
      <alignment vertical="top"/>
    </xf>
    <xf numFmtId="0" fontId="1" fillId="39" borderId="10" xfId="5" applyFont="1" applyFill="1" applyBorder="1" applyAlignment="1">
      <alignment vertical="top"/>
    </xf>
    <xf numFmtId="0" fontId="0" fillId="39" borderId="11" xfId="5" applyFont="1" applyFill="1" applyBorder="1" applyAlignment="1">
      <alignment vertical="top"/>
    </xf>
    <xf numFmtId="49" fontId="2" fillId="9" borderId="11" xfId="1" quotePrefix="1" applyNumberFormat="1" applyFont="1" applyFill="1" applyBorder="1" applyAlignment="1">
      <alignment vertical="top" wrapText="1"/>
    </xf>
    <xf numFmtId="0" fontId="0" fillId="39" borderId="1" xfId="5" applyFont="1" applyFill="1" applyBorder="1" applyAlignment="1">
      <alignment vertical="top"/>
    </xf>
    <xf numFmtId="0" fontId="0" fillId="39" borderId="10" xfId="5" applyFont="1" applyFill="1" applyBorder="1" applyAlignment="1">
      <alignment vertical="top"/>
    </xf>
    <xf numFmtId="49" fontId="7" fillId="37" borderId="11" xfId="1" quotePrefix="1" applyNumberFormat="1" applyFont="1" applyFill="1" applyBorder="1" applyAlignment="1">
      <alignment vertical="top"/>
    </xf>
    <xf numFmtId="0" fontId="7" fillId="4" borderId="10" xfId="3" applyFont="1" applyBorder="1" applyAlignment="1">
      <alignment vertical="top"/>
    </xf>
    <xf numFmtId="0" fontId="7" fillId="0" borderId="0" xfId="0" applyFont="1" applyAlignment="1">
      <alignment vertical="top"/>
    </xf>
    <xf numFmtId="49" fontId="7" fillId="40" borderId="1" xfId="2" quotePrefix="1" applyNumberFormat="1" applyFont="1" applyFill="1" applyBorder="1" applyAlignment="1">
      <alignment vertical="top"/>
    </xf>
    <xf numFmtId="0" fontId="7" fillId="41" borderId="10" xfId="1" applyFont="1" applyFill="1" applyBorder="1" applyAlignment="1">
      <alignment horizontal="left" vertical="top"/>
    </xf>
    <xf numFmtId="0" fontId="7" fillId="41" borderId="1" xfId="1" applyFont="1" applyFill="1" applyBorder="1" applyAlignment="1">
      <alignment horizontal="left" vertical="top"/>
    </xf>
    <xf numFmtId="0" fontId="7" fillId="41" borderId="10" xfId="5" applyFont="1" applyFill="1" applyBorder="1" applyAlignment="1">
      <alignment vertical="top"/>
    </xf>
    <xf numFmtId="0" fontId="2" fillId="41" borderId="10" xfId="1" applyFill="1" applyBorder="1" applyAlignment="1">
      <alignment vertical="top"/>
    </xf>
    <xf numFmtId="0" fontId="2" fillId="41" borderId="2" xfId="1" applyFont="1" applyFill="1" applyBorder="1" applyAlignment="1">
      <alignment vertical="top" wrapText="1"/>
    </xf>
    <xf numFmtId="0" fontId="2" fillId="41" borderId="12" xfId="1" applyFont="1" applyFill="1" applyBorder="1" applyAlignment="1">
      <alignment vertical="top" wrapText="1"/>
    </xf>
    <xf numFmtId="49" fontId="2" fillId="41" borderId="2" xfId="1" quotePrefix="1" applyNumberFormat="1" applyFill="1" applyBorder="1" applyAlignment="1">
      <alignment vertical="top"/>
    </xf>
    <xf numFmtId="49" fontId="2" fillId="41" borderId="11" xfId="1" quotePrefix="1" applyNumberFormat="1" applyFill="1" applyBorder="1" applyAlignment="1">
      <alignment vertical="top"/>
    </xf>
    <xf numFmtId="0" fontId="4" fillId="41" borderId="10" xfId="3" applyFill="1" applyBorder="1" applyAlignment="1">
      <alignment vertical="top"/>
    </xf>
    <xf numFmtId="49" fontId="7" fillId="41" borderId="1" xfId="2" quotePrefix="1" applyNumberFormat="1" applyFont="1" applyFill="1" applyBorder="1" applyAlignment="1">
      <alignment vertical="top"/>
    </xf>
    <xf numFmtId="49" fontId="7" fillId="41" borderId="1" xfId="2" applyNumberFormat="1" applyFont="1" applyFill="1" applyBorder="1" applyAlignment="1">
      <alignment vertical="top"/>
    </xf>
    <xf numFmtId="0" fontId="0" fillId="41" borderId="0" xfId="0" applyFill="1" applyAlignment="1">
      <alignment vertical="top"/>
    </xf>
    <xf numFmtId="0" fontId="2" fillId="41" borderId="11" xfId="1" applyFont="1" applyFill="1" applyBorder="1" applyAlignment="1">
      <alignment vertical="top" wrapText="1"/>
    </xf>
    <xf numFmtId="49" fontId="2" fillId="41" borderId="11" xfId="1" quotePrefix="1" applyNumberFormat="1" applyFill="1" applyBorder="1" applyAlignment="1">
      <alignment vertical="top" wrapText="1"/>
    </xf>
    <xf numFmtId="0" fontId="4" fillId="41" borderId="1" xfId="3" applyFill="1" applyBorder="1" applyAlignment="1">
      <alignment vertical="top"/>
    </xf>
    <xf numFmtId="0" fontId="0" fillId="42" borderId="0" xfId="0" applyFill="1" applyAlignment="1">
      <alignment vertical="top"/>
    </xf>
    <xf numFmtId="0" fontId="2" fillId="41" borderId="2" xfId="1" applyFill="1" applyBorder="1" applyAlignment="1">
      <alignment vertical="top" wrapText="1"/>
    </xf>
    <xf numFmtId="0" fontId="2" fillId="41" borderId="11" xfId="1" applyFill="1" applyBorder="1" applyAlignment="1">
      <alignment vertical="top"/>
    </xf>
    <xf numFmtId="49" fontId="16" fillId="41" borderId="1" xfId="2" quotePrefix="1" applyNumberFormat="1" applyFont="1" applyFill="1" applyBorder="1" applyAlignment="1">
      <alignment vertical="top"/>
    </xf>
    <xf numFmtId="0" fontId="2" fillId="41" borderId="2" xfId="1" applyFont="1" applyFill="1" applyBorder="1" applyAlignment="1">
      <alignment vertical="top"/>
    </xf>
    <xf numFmtId="49" fontId="5" fillId="41" borderId="1" xfId="2" quotePrefix="1" applyNumberFormat="1" applyFont="1" applyFill="1" applyBorder="1" applyAlignment="1">
      <alignment vertical="top"/>
    </xf>
    <xf numFmtId="0" fontId="0" fillId="36" borderId="0" xfId="0" applyFill="1" applyAlignment="1">
      <alignment vertical="top"/>
    </xf>
    <xf numFmtId="49" fontId="2" fillId="41" borderId="2" xfId="1" quotePrefix="1" applyNumberFormat="1" applyFill="1" applyBorder="1" applyAlignment="1">
      <alignment vertical="top" wrapText="1"/>
    </xf>
    <xf numFmtId="0" fontId="7" fillId="36" borderId="10" xfId="1" applyFont="1" applyFill="1" applyBorder="1" applyAlignment="1">
      <alignment horizontal="left" vertical="top"/>
    </xf>
    <xf numFmtId="0" fontId="7" fillId="36" borderId="1" xfId="1" applyFont="1" applyFill="1" applyBorder="1" applyAlignment="1">
      <alignment horizontal="left" vertical="top"/>
    </xf>
    <xf numFmtId="0" fontId="7" fillId="36" borderId="10" xfId="5" applyFont="1" applyFill="1" applyBorder="1" applyAlignment="1">
      <alignment vertical="top"/>
    </xf>
    <xf numFmtId="0" fontId="2" fillId="36" borderId="10" xfId="1" applyFill="1" applyBorder="1" applyAlignment="1">
      <alignment vertical="top"/>
    </xf>
    <xf numFmtId="0" fontId="2" fillId="36" borderId="11" xfId="1" applyFill="1" applyBorder="1" applyAlignment="1">
      <alignment vertical="top"/>
    </xf>
    <xf numFmtId="49" fontId="2" fillId="36" borderId="2" xfId="1" quotePrefix="1" applyNumberFormat="1" applyFill="1" applyBorder="1" applyAlignment="1">
      <alignment vertical="top"/>
    </xf>
    <xf numFmtId="0" fontId="4" fillId="36" borderId="1" xfId="3" applyFill="1" applyBorder="1" applyAlignment="1">
      <alignment vertical="top"/>
    </xf>
    <xf numFmtId="49" fontId="7" fillId="36" borderId="1" xfId="2" quotePrefix="1" applyNumberFormat="1" applyFont="1" applyFill="1" applyBorder="1" applyAlignment="1">
      <alignment vertical="top"/>
    </xf>
    <xf numFmtId="49" fontId="7" fillId="36" borderId="1" xfId="2" applyNumberFormat="1" applyFont="1" applyFill="1" applyBorder="1" applyAlignment="1">
      <alignment vertical="top"/>
    </xf>
    <xf numFmtId="0" fontId="4" fillId="36" borderId="10" xfId="3" applyFill="1" applyBorder="1" applyAlignment="1">
      <alignment vertical="top"/>
    </xf>
    <xf numFmtId="0" fontId="0" fillId="9" borderId="0" xfId="0" applyFill="1" applyAlignment="1">
      <alignment vertical="top"/>
    </xf>
    <xf numFmtId="0" fontId="7" fillId="9" borderId="10" xfId="1" applyFont="1" applyFill="1" applyBorder="1" applyAlignment="1">
      <alignment horizontal="left" vertical="top"/>
    </xf>
    <xf numFmtId="0" fontId="7" fillId="9" borderId="1" xfId="1" applyFont="1" applyFill="1" applyBorder="1" applyAlignment="1">
      <alignment horizontal="left" vertical="top"/>
    </xf>
    <xf numFmtId="0" fontId="7" fillId="9" borderId="10" xfId="5" applyFont="1" applyFill="1" applyBorder="1" applyAlignment="1">
      <alignment vertical="top"/>
    </xf>
    <xf numFmtId="0" fontId="4" fillId="9" borderId="1" xfId="3" applyFill="1" applyBorder="1" applyAlignment="1">
      <alignment vertical="top"/>
    </xf>
    <xf numFmtId="49" fontId="5" fillId="9" borderId="1" xfId="2" quotePrefix="1" applyNumberFormat="1" applyFont="1" applyFill="1" applyBorder="1" applyAlignment="1">
      <alignment vertical="top"/>
    </xf>
    <xf numFmtId="0" fontId="4" fillId="9" borderId="10" xfId="3" applyFill="1" applyBorder="1" applyAlignment="1">
      <alignment vertical="top"/>
    </xf>
    <xf numFmtId="0" fontId="0" fillId="43" borderId="0" xfId="0" applyFill="1" applyAlignment="1">
      <alignment vertical="top"/>
    </xf>
    <xf numFmtId="0" fontId="7" fillId="44" borderId="10" xfId="1" applyFont="1" applyFill="1" applyBorder="1" applyAlignment="1">
      <alignment horizontal="left" vertical="top"/>
    </xf>
    <xf numFmtId="0" fontId="7" fillId="44" borderId="1" xfId="1" applyFont="1" applyFill="1" applyBorder="1" applyAlignment="1">
      <alignment horizontal="left" vertical="top"/>
    </xf>
    <xf numFmtId="0" fontId="7" fillId="44" borderId="10" xfId="5" applyFont="1" applyFill="1" applyBorder="1" applyAlignment="1">
      <alignment vertical="top"/>
    </xf>
    <xf numFmtId="0" fontId="2" fillId="44" borderId="10" xfId="1" applyFill="1" applyBorder="1" applyAlignment="1">
      <alignment vertical="top"/>
    </xf>
    <xf numFmtId="0" fontId="2" fillId="44" borderId="11" xfId="1" applyFill="1" applyBorder="1" applyAlignment="1">
      <alignment vertical="top" wrapText="1"/>
    </xf>
    <xf numFmtId="0" fontId="2" fillId="44" borderId="2" xfId="1" applyFont="1" applyFill="1" applyBorder="1" applyAlignment="1">
      <alignment vertical="top"/>
    </xf>
    <xf numFmtId="0" fontId="2" fillId="44" borderId="11" xfId="1" applyFill="1" applyBorder="1" applyAlignment="1">
      <alignment vertical="top"/>
    </xf>
    <xf numFmtId="0" fontId="2" fillId="44" borderId="11" xfId="1" applyFont="1" applyFill="1" applyBorder="1" applyAlignment="1">
      <alignment vertical="top" wrapText="1"/>
    </xf>
    <xf numFmtId="49" fontId="2" fillId="44" borderId="11" xfId="1" quotePrefix="1" applyNumberFormat="1" applyFill="1" applyBorder="1" applyAlignment="1">
      <alignment vertical="top"/>
    </xf>
    <xf numFmtId="49" fontId="2" fillId="44" borderId="2" xfId="1" quotePrefix="1" applyNumberFormat="1" applyFill="1" applyBorder="1" applyAlignment="1">
      <alignment vertical="top"/>
    </xf>
    <xf numFmtId="0" fontId="4" fillId="44" borderId="10" xfId="3" applyFill="1" applyBorder="1" applyAlignment="1">
      <alignment vertical="top"/>
    </xf>
    <xf numFmtId="49" fontId="7" fillId="44" borderId="1" xfId="2" quotePrefix="1" applyNumberFormat="1" applyFont="1" applyFill="1" applyBorder="1" applyAlignment="1">
      <alignment vertical="top"/>
    </xf>
    <xf numFmtId="49" fontId="7" fillId="44" borderId="1" xfId="2" applyNumberFormat="1" applyFont="1" applyFill="1" applyBorder="1" applyAlignment="1">
      <alignment vertical="top"/>
    </xf>
    <xf numFmtId="0" fontId="0" fillId="44" borderId="0" xfId="0" applyFill="1" applyAlignment="1">
      <alignment vertical="top"/>
    </xf>
    <xf numFmtId="0" fontId="4" fillId="44" borderId="1" xfId="3" applyFill="1" applyBorder="1" applyAlignment="1">
      <alignment vertical="top"/>
    </xf>
    <xf numFmtId="0" fontId="2" fillId="44" borderId="2" xfId="1" applyFont="1" applyFill="1" applyBorder="1" applyAlignment="1">
      <alignment vertical="top" wrapText="1"/>
    </xf>
    <xf numFmtId="0" fontId="7" fillId="45" borderId="10" xfId="1" applyFont="1" applyFill="1" applyBorder="1" applyAlignment="1">
      <alignment horizontal="left" vertical="top"/>
    </xf>
    <xf numFmtId="0" fontId="7" fillId="45" borderId="1" xfId="1" applyFont="1" applyFill="1" applyBorder="1" applyAlignment="1">
      <alignment horizontal="left" vertical="top"/>
    </xf>
    <xf numFmtId="0" fontId="7" fillId="45" borderId="10" xfId="5" applyFont="1" applyFill="1" applyBorder="1" applyAlignment="1">
      <alignment vertical="top"/>
    </xf>
    <xf numFmtId="0" fontId="2" fillId="45" borderId="10" xfId="1" applyFill="1" applyBorder="1" applyAlignment="1">
      <alignment vertical="top"/>
    </xf>
    <xf numFmtId="0" fontId="2" fillId="45" borderId="2" xfId="1" applyFont="1" applyFill="1" applyBorder="1" applyAlignment="1">
      <alignment vertical="top" wrapText="1"/>
    </xf>
    <xf numFmtId="0" fontId="2" fillId="45" borderId="12" xfId="1" applyFont="1" applyFill="1" applyBorder="1" applyAlignment="1">
      <alignment vertical="top" wrapText="1"/>
    </xf>
    <xf numFmtId="49" fontId="2" fillId="45" borderId="11" xfId="1" quotePrefix="1" applyNumberFormat="1" applyFill="1" applyBorder="1" applyAlignment="1">
      <alignment vertical="top"/>
    </xf>
    <xf numFmtId="0" fontId="4" fillId="45" borderId="1" xfId="3" applyFill="1" applyBorder="1" applyAlignment="1">
      <alignment vertical="top"/>
    </xf>
    <xf numFmtId="49" fontId="7" fillId="45" borderId="1" xfId="2" quotePrefix="1" applyNumberFormat="1" applyFont="1" applyFill="1" applyBorder="1" applyAlignment="1">
      <alignment vertical="top"/>
    </xf>
    <xf numFmtId="49" fontId="7" fillId="45" borderId="1" xfId="2" applyNumberFormat="1" applyFont="1" applyFill="1" applyBorder="1" applyAlignment="1">
      <alignment vertical="top"/>
    </xf>
    <xf numFmtId="0" fontId="0" fillId="45" borderId="0" xfId="0" applyFill="1" applyAlignment="1">
      <alignment vertical="top"/>
    </xf>
    <xf numFmtId="0" fontId="2" fillId="45" borderId="11" xfId="1" applyFont="1" applyFill="1" applyBorder="1" applyAlignment="1">
      <alignment vertical="top" wrapText="1"/>
    </xf>
    <xf numFmtId="49" fontId="2" fillId="45" borderId="11" xfId="1" quotePrefix="1" applyNumberFormat="1" applyFill="1" applyBorder="1" applyAlignment="1">
      <alignment vertical="top" wrapText="1"/>
    </xf>
    <xf numFmtId="49" fontId="2" fillId="45" borderId="2" xfId="1" quotePrefix="1" applyNumberFormat="1" applyFill="1" applyBorder="1" applyAlignment="1">
      <alignment vertical="top"/>
    </xf>
    <xf numFmtId="0" fontId="4" fillId="45" borderId="10" xfId="3" applyFill="1" applyBorder="1" applyAlignment="1">
      <alignment vertical="top"/>
    </xf>
    <xf numFmtId="0" fontId="2" fillId="45" borderId="2" xfId="1" applyFont="1" applyFill="1" applyBorder="1" applyAlignment="1">
      <alignment vertical="top"/>
    </xf>
    <xf numFmtId="0" fontId="2" fillId="45" borderId="11" xfId="1" applyFill="1" applyBorder="1" applyAlignment="1">
      <alignment vertical="top"/>
    </xf>
    <xf numFmtId="49" fontId="5" fillId="45" borderId="1" xfId="2" quotePrefix="1" applyNumberFormat="1" applyFont="1" applyFill="1" applyBorder="1" applyAlignment="1">
      <alignment vertical="top"/>
    </xf>
    <xf numFmtId="49" fontId="2" fillId="45" borderId="2" xfId="1" quotePrefix="1" applyNumberFormat="1" applyFill="1" applyBorder="1" applyAlignment="1">
      <alignment vertical="top" wrapText="1"/>
    </xf>
    <xf numFmtId="0" fontId="7" fillId="46" borderId="10" xfId="1" applyFont="1" applyFill="1" applyBorder="1" applyAlignment="1">
      <alignment horizontal="left" vertical="top"/>
    </xf>
    <xf numFmtId="0" fontId="7" fillId="46" borderId="1" xfId="1" applyFont="1" applyFill="1" applyBorder="1" applyAlignment="1">
      <alignment horizontal="left" vertical="top"/>
    </xf>
    <xf numFmtId="0" fontId="7" fillId="46" borderId="10" xfId="5" applyFont="1" applyFill="1" applyBorder="1" applyAlignment="1">
      <alignment vertical="top"/>
    </xf>
    <xf numFmtId="0" fontId="2" fillId="46" borderId="10" xfId="1" applyFill="1" applyBorder="1" applyAlignment="1">
      <alignment vertical="top"/>
    </xf>
    <xf numFmtId="0" fontId="2" fillId="46" borderId="2" xfId="1" applyFont="1" applyFill="1" applyBorder="1" applyAlignment="1">
      <alignment vertical="top" wrapText="1"/>
    </xf>
    <xf numFmtId="0" fontId="2" fillId="46" borderId="11" xfId="1" applyFill="1" applyBorder="1" applyAlignment="1">
      <alignment vertical="top"/>
    </xf>
    <xf numFmtId="0" fontId="2" fillId="46" borderId="12" xfId="1" applyFont="1" applyFill="1" applyBorder="1" applyAlignment="1">
      <alignment vertical="top" wrapText="1"/>
    </xf>
    <xf numFmtId="49" fontId="2" fillId="46" borderId="11" xfId="1" quotePrefix="1" applyNumberFormat="1" applyFill="1" applyBorder="1" applyAlignment="1">
      <alignment vertical="top"/>
    </xf>
    <xf numFmtId="49" fontId="2" fillId="46" borderId="2" xfId="1" quotePrefix="1" applyNumberFormat="1" applyFill="1" applyBorder="1" applyAlignment="1">
      <alignment vertical="top"/>
    </xf>
    <xf numFmtId="0" fontId="4" fillId="46" borderId="1" xfId="3" applyFill="1" applyBorder="1" applyAlignment="1">
      <alignment vertical="top"/>
    </xf>
    <xf numFmtId="49" fontId="7" fillId="46" borderId="1" xfId="2" quotePrefix="1" applyNumberFormat="1" applyFont="1" applyFill="1" applyBorder="1" applyAlignment="1">
      <alignment vertical="top"/>
    </xf>
    <xf numFmtId="49" fontId="7" fillId="46" borderId="1" xfId="2" applyNumberFormat="1" applyFont="1" applyFill="1" applyBorder="1" applyAlignment="1">
      <alignment vertical="top"/>
    </xf>
    <xf numFmtId="0" fontId="0" fillId="46" borderId="0" xfId="0" applyFill="1" applyAlignment="1">
      <alignment vertical="top"/>
    </xf>
    <xf numFmtId="0" fontId="2" fillId="46" borderId="11" xfId="1" applyFont="1" applyFill="1" applyBorder="1" applyAlignment="1">
      <alignment vertical="top" wrapText="1"/>
    </xf>
    <xf numFmtId="0" fontId="4" fillId="46" borderId="10" xfId="3" applyFill="1" applyBorder="1" applyAlignment="1">
      <alignment vertical="top"/>
    </xf>
    <xf numFmtId="0" fontId="2" fillId="46" borderId="2" xfId="1" applyFont="1" applyFill="1" applyBorder="1" applyAlignment="1">
      <alignment vertical="top"/>
    </xf>
    <xf numFmtId="0" fontId="7" fillId="47" borderId="10" xfId="1" applyFont="1" applyFill="1" applyBorder="1" applyAlignment="1">
      <alignment horizontal="left" vertical="top"/>
    </xf>
    <xf numFmtId="0" fontId="7" fillId="47" borderId="1" xfId="1" applyFont="1" applyFill="1" applyBorder="1" applyAlignment="1">
      <alignment horizontal="left" vertical="top"/>
    </xf>
    <xf numFmtId="0" fontId="7" fillId="47" borderId="10" xfId="5" applyFont="1" applyFill="1" applyBorder="1" applyAlignment="1">
      <alignment vertical="top"/>
    </xf>
    <xf numFmtId="0" fontId="2" fillId="47" borderId="10" xfId="1" applyFill="1" applyBorder="1" applyAlignment="1">
      <alignment vertical="top"/>
    </xf>
    <xf numFmtId="0" fontId="2" fillId="47" borderId="2" xfId="1" applyFont="1" applyFill="1" applyBorder="1" applyAlignment="1">
      <alignment vertical="top" wrapText="1"/>
    </xf>
    <xf numFmtId="0" fontId="2" fillId="47" borderId="11" xfId="1" applyFill="1" applyBorder="1" applyAlignment="1">
      <alignment vertical="top"/>
    </xf>
    <xf numFmtId="0" fontId="2" fillId="47" borderId="11" xfId="1" applyFont="1" applyFill="1" applyBorder="1" applyAlignment="1">
      <alignment vertical="top" wrapText="1"/>
    </xf>
    <xf numFmtId="49" fontId="2" fillId="47" borderId="11" xfId="1" quotePrefix="1" applyNumberFormat="1" applyFill="1" applyBorder="1" applyAlignment="1">
      <alignment vertical="top"/>
    </xf>
    <xf numFmtId="49" fontId="2" fillId="47" borderId="2" xfId="1" quotePrefix="1" applyNumberFormat="1" applyFill="1" applyBorder="1" applyAlignment="1">
      <alignment vertical="top"/>
    </xf>
    <xf numFmtId="0" fontId="4" fillId="47" borderId="1" xfId="3" applyFill="1" applyBorder="1" applyAlignment="1">
      <alignment vertical="top"/>
    </xf>
    <xf numFmtId="49" fontId="7" fillId="47" borderId="1" xfId="2" quotePrefix="1" applyNumberFormat="1" applyFont="1" applyFill="1" applyBorder="1" applyAlignment="1">
      <alignment vertical="top"/>
    </xf>
    <xf numFmtId="49" fontId="7" fillId="47" borderId="1" xfId="2" applyNumberFormat="1" applyFont="1" applyFill="1" applyBorder="1" applyAlignment="1">
      <alignment vertical="top"/>
    </xf>
    <xf numFmtId="0" fontId="0" fillId="47" borderId="0" xfId="0" applyFill="1" applyAlignment="1">
      <alignment vertical="top"/>
    </xf>
    <xf numFmtId="0" fontId="2" fillId="47" borderId="12" xfId="1" applyFont="1" applyFill="1" applyBorder="1" applyAlignment="1">
      <alignment vertical="top" wrapText="1"/>
    </xf>
    <xf numFmtId="0" fontId="2" fillId="47" borderId="2" xfId="1" applyFont="1" applyFill="1" applyBorder="1" applyAlignment="1">
      <alignment vertical="top"/>
    </xf>
    <xf numFmtId="0" fontId="4" fillId="47" borderId="10" xfId="3" applyFill="1" applyBorder="1" applyAlignment="1">
      <alignment vertical="top"/>
    </xf>
    <xf numFmtId="0" fontId="0" fillId="47" borderId="1" xfId="0" applyFill="1" applyBorder="1" applyAlignment="1">
      <alignment vertical="top"/>
    </xf>
    <xf numFmtId="0" fontId="7" fillId="42" borderId="10" xfId="1" applyFont="1" applyFill="1" applyBorder="1" applyAlignment="1">
      <alignment horizontal="left" vertical="top"/>
    </xf>
    <xf numFmtId="0" fontId="7" fillId="42" borderId="1" xfId="1" applyFont="1" applyFill="1" applyBorder="1" applyAlignment="1">
      <alignment horizontal="left" vertical="top"/>
    </xf>
    <xf numFmtId="0" fontId="7" fillId="42" borderId="10" xfId="5" applyFont="1" applyFill="1" applyBorder="1" applyAlignment="1">
      <alignment vertical="top"/>
    </xf>
    <xf numFmtId="0" fontId="2" fillId="42" borderId="10" xfId="1" applyFill="1" applyBorder="1" applyAlignment="1">
      <alignment vertical="top"/>
    </xf>
    <xf numFmtId="0" fontId="2" fillId="42" borderId="2" xfId="1" applyFill="1" applyBorder="1" applyAlignment="1">
      <alignment vertical="top" wrapText="1"/>
    </xf>
    <xf numFmtId="0" fontId="2" fillId="42" borderId="2" xfId="1" applyFont="1" applyFill="1" applyBorder="1" applyAlignment="1">
      <alignment vertical="top" wrapText="1"/>
    </xf>
    <xf numFmtId="0" fontId="2" fillId="42" borderId="2" xfId="1" applyFont="1" applyFill="1" applyBorder="1" applyAlignment="1">
      <alignment vertical="top"/>
    </xf>
    <xf numFmtId="0" fontId="2" fillId="42" borderId="11" xfId="1" applyFill="1" applyBorder="1" applyAlignment="1">
      <alignment vertical="top" wrapText="1"/>
    </xf>
    <xf numFmtId="49" fontId="2" fillId="42" borderId="11" xfId="1" applyNumberFormat="1" applyFill="1" applyBorder="1" applyAlignment="1">
      <alignment vertical="top"/>
    </xf>
    <xf numFmtId="49" fontId="2" fillId="42" borderId="11" xfId="1" quotePrefix="1" applyNumberFormat="1" applyFill="1" applyBorder="1" applyAlignment="1">
      <alignment vertical="top" wrapText="1"/>
    </xf>
    <xf numFmtId="49" fontId="2" fillId="42" borderId="11" xfId="1" quotePrefix="1" applyNumberFormat="1" applyFill="1" applyBorder="1" applyAlignment="1">
      <alignment vertical="top"/>
    </xf>
    <xf numFmtId="0" fontId="4" fillId="42" borderId="10" xfId="3" applyFill="1" applyBorder="1" applyAlignment="1">
      <alignment vertical="top"/>
    </xf>
    <xf numFmtId="49" fontId="7" fillId="42" borderId="1" xfId="2" quotePrefix="1" applyNumberFormat="1" applyFont="1" applyFill="1" applyBorder="1" applyAlignment="1">
      <alignment vertical="top"/>
    </xf>
    <xf numFmtId="49" fontId="7" fillId="42" borderId="1" xfId="2" applyNumberFormat="1" applyFont="1" applyFill="1" applyBorder="1" applyAlignment="1">
      <alignment vertical="top"/>
    </xf>
    <xf numFmtId="49" fontId="2" fillId="42" borderId="2" xfId="1" applyNumberFormat="1" applyFill="1" applyBorder="1" applyAlignment="1">
      <alignment vertical="top"/>
    </xf>
    <xf numFmtId="0" fontId="4" fillId="42" borderId="1" xfId="3" applyFill="1" applyBorder="1" applyAlignment="1">
      <alignment vertical="top"/>
    </xf>
    <xf numFmtId="0" fontId="2" fillId="42" borderId="12" xfId="1" applyFont="1" applyFill="1" applyBorder="1" applyAlignment="1">
      <alignment vertical="top" wrapText="1"/>
    </xf>
    <xf numFmtId="49" fontId="2" fillId="42" borderId="1" xfId="1" quotePrefix="1" applyNumberFormat="1" applyFill="1" applyBorder="1" applyAlignment="1">
      <alignment vertical="top" wrapText="1"/>
    </xf>
    <xf numFmtId="49" fontId="2" fillId="42" borderId="1" xfId="1" quotePrefix="1" applyNumberFormat="1" applyFill="1" applyBorder="1" applyAlignment="1">
      <alignment vertical="top"/>
    </xf>
    <xf numFmtId="0" fontId="0" fillId="42" borderId="1" xfId="0" applyFill="1" applyBorder="1" applyAlignment="1">
      <alignment vertical="top"/>
    </xf>
    <xf numFmtId="0" fontId="2" fillId="42" borderId="1" xfId="1" applyFont="1" applyFill="1" applyBorder="1" applyAlignment="1">
      <alignment vertical="top" wrapText="1"/>
    </xf>
    <xf numFmtId="0" fontId="2" fillId="42" borderId="11" xfId="1" applyFont="1" applyFill="1" applyBorder="1" applyAlignment="1">
      <alignment vertical="top" wrapText="1"/>
    </xf>
    <xf numFmtId="0" fontId="0" fillId="42" borderId="0" xfId="0" applyFill="1"/>
    <xf numFmtId="49" fontId="0" fillId="48" borderId="13" xfId="0" applyNumberFormat="1" applyFont="1" applyFill="1" applyBorder="1"/>
    <xf numFmtId="49" fontId="0" fillId="45" borderId="13" xfId="0" applyNumberFormat="1" applyFont="1" applyFill="1" applyBorder="1"/>
    <xf numFmtId="0" fontId="24" fillId="41" borderId="10" xfId="1" applyFont="1" applyFill="1" applyBorder="1" applyAlignment="1">
      <alignment horizontal="left" vertical="top"/>
    </xf>
    <xf numFmtId="0" fontId="24" fillId="41" borderId="1" xfId="1" applyFont="1" applyFill="1" applyBorder="1" applyAlignment="1">
      <alignment horizontal="left" vertical="top"/>
    </xf>
    <xf numFmtId="0" fontId="24" fillId="41" borderId="10" xfId="5" applyFont="1" applyFill="1" applyBorder="1" applyAlignment="1">
      <alignment vertical="top"/>
    </xf>
    <xf numFmtId="0" fontId="24" fillId="41" borderId="10" xfId="1" applyFont="1" applyFill="1" applyBorder="1" applyAlignment="1">
      <alignment vertical="top"/>
    </xf>
    <xf numFmtId="0" fontId="24" fillId="41" borderId="2" xfId="1" applyFont="1" applyFill="1" applyBorder="1" applyAlignment="1">
      <alignment vertical="top" wrapText="1"/>
    </xf>
    <xf numFmtId="49" fontId="24" fillId="41" borderId="11" xfId="1" quotePrefix="1" applyNumberFormat="1" applyFont="1" applyFill="1" applyBorder="1" applyAlignment="1">
      <alignment vertical="top"/>
    </xf>
    <xf numFmtId="0" fontId="24" fillId="41" borderId="10" xfId="3" applyFont="1" applyFill="1" applyBorder="1" applyAlignment="1">
      <alignment vertical="top"/>
    </xf>
    <xf numFmtId="49" fontId="24" fillId="41" borderId="1" xfId="2" quotePrefix="1" applyNumberFormat="1" applyFont="1" applyFill="1" applyBorder="1" applyAlignment="1">
      <alignment vertical="top"/>
    </xf>
    <xf numFmtId="49" fontId="24" fillId="41" borderId="1" xfId="2" applyNumberFormat="1" applyFont="1" applyFill="1" applyBorder="1" applyAlignment="1">
      <alignment vertical="top"/>
    </xf>
    <xf numFmtId="0" fontId="24" fillId="41" borderId="0" xfId="0" applyFont="1" applyFill="1" applyAlignment="1">
      <alignment vertical="top"/>
    </xf>
    <xf numFmtId="0" fontId="24" fillId="41" borderId="11" xfId="1" applyFont="1" applyFill="1" applyBorder="1" applyAlignment="1">
      <alignment vertical="top" wrapText="1"/>
    </xf>
    <xf numFmtId="49" fontId="24" fillId="41" borderId="11" xfId="1" quotePrefix="1" applyNumberFormat="1" applyFont="1" applyFill="1" applyBorder="1" applyAlignment="1">
      <alignment vertical="top" wrapText="1"/>
    </xf>
    <xf numFmtId="49" fontId="27" fillId="41" borderId="1" xfId="2" quotePrefix="1" applyNumberFormat="1" applyFont="1" applyFill="1" applyBorder="1" applyAlignment="1">
      <alignment vertical="top"/>
    </xf>
    <xf numFmtId="0" fontId="24" fillId="41" borderId="1" xfId="3" applyFont="1" applyFill="1" applyBorder="1" applyAlignment="1">
      <alignment vertical="top"/>
    </xf>
    <xf numFmtId="0" fontId="24" fillId="45" borderId="10" xfId="5" applyFont="1" applyFill="1" applyBorder="1" applyAlignment="1">
      <alignment vertical="top"/>
    </xf>
    <xf numFmtId="0" fontId="24" fillId="45" borderId="10" xfId="1" applyFont="1" applyFill="1" applyBorder="1" applyAlignment="1">
      <alignment vertical="top"/>
    </xf>
    <xf numFmtId="0" fontId="24" fillId="45" borderId="2" xfId="1" applyFont="1" applyFill="1" applyBorder="1" applyAlignment="1">
      <alignment vertical="top" wrapText="1"/>
    </xf>
    <xf numFmtId="0" fontId="24" fillId="45" borderId="2" xfId="1" applyFont="1" applyFill="1" applyBorder="1" applyAlignment="1">
      <alignment vertical="top"/>
    </xf>
    <xf numFmtId="0" fontId="24" fillId="45" borderId="12" xfId="1" applyFont="1" applyFill="1" applyBorder="1" applyAlignment="1">
      <alignment vertical="top" wrapText="1"/>
    </xf>
    <xf numFmtId="49" fontId="24" fillId="45" borderId="11" xfId="1" quotePrefix="1" applyNumberFormat="1" applyFont="1" applyFill="1" applyBorder="1" applyAlignment="1">
      <alignment vertical="top"/>
    </xf>
    <xf numFmtId="49" fontId="24" fillId="45" borderId="2" xfId="1" quotePrefix="1" applyNumberFormat="1" applyFont="1" applyFill="1" applyBorder="1" applyAlignment="1">
      <alignment vertical="top"/>
    </xf>
    <xf numFmtId="0" fontId="24" fillId="45" borderId="10" xfId="3" applyFont="1" applyFill="1" applyBorder="1" applyAlignment="1">
      <alignment vertical="top"/>
    </xf>
    <xf numFmtId="49" fontId="24" fillId="45" borderId="1" xfId="2" quotePrefix="1" applyNumberFormat="1" applyFont="1" applyFill="1" applyBorder="1" applyAlignment="1">
      <alignment vertical="top"/>
    </xf>
    <xf numFmtId="49" fontId="24" fillId="45" borderId="1" xfId="2" applyNumberFormat="1" applyFont="1" applyFill="1" applyBorder="1" applyAlignment="1">
      <alignment vertical="top"/>
    </xf>
    <xf numFmtId="0" fontId="24" fillId="45" borderId="0" xfId="0" applyFont="1" applyFill="1" applyAlignment="1">
      <alignment vertical="top"/>
    </xf>
    <xf numFmtId="0" fontId="24" fillId="45" borderId="11" xfId="1" applyFont="1" applyFill="1" applyBorder="1" applyAlignment="1">
      <alignment vertical="top" wrapText="1"/>
    </xf>
    <xf numFmtId="49" fontId="24" fillId="45" borderId="11" xfId="1" quotePrefix="1" applyNumberFormat="1" applyFont="1" applyFill="1" applyBorder="1" applyAlignment="1">
      <alignment vertical="top" wrapText="1"/>
    </xf>
    <xf numFmtId="0" fontId="24" fillId="45" borderId="1" xfId="3" applyFont="1" applyFill="1" applyBorder="1" applyAlignment="1">
      <alignment vertical="top"/>
    </xf>
    <xf numFmtId="49" fontId="2" fillId="37" borderId="11" xfId="1" quotePrefix="1" applyNumberFormat="1" applyFill="1" applyBorder="1" applyAlignment="1">
      <alignment vertical="top" wrapText="1"/>
    </xf>
    <xf numFmtId="14" fontId="2" fillId="9" borderId="11" xfId="1" applyNumberFormat="1" applyFill="1" applyBorder="1" applyAlignment="1">
      <alignment horizontal="left" vertical="top"/>
    </xf>
    <xf numFmtId="49" fontId="2" fillId="38" borderId="11" xfId="1" quotePrefix="1" applyNumberFormat="1" applyFill="1" applyBorder="1" applyAlignment="1">
      <alignment vertical="top" wrapText="1"/>
    </xf>
    <xf numFmtId="49" fontId="2" fillId="9" borderId="11" xfId="1" applyNumberFormat="1" applyFont="1" applyFill="1" applyBorder="1" applyAlignment="1">
      <alignment vertical="top" wrapText="1"/>
    </xf>
    <xf numFmtId="0" fontId="2" fillId="9" borderId="10" xfId="1" applyFill="1" applyBorder="1" applyAlignment="1">
      <alignment vertical="top" wrapText="1"/>
    </xf>
    <xf numFmtId="0" fontId="2" fillId="9" borderId="1" xfId="1" applyFont="1" applyFill="1" applyBorder="1" applyAlignment="1">
      <alignment vertical="top"/>
    </xf>
    <xf numFmtId="49" fontId="24" fillId="37" borderId="11" xfId="1" quotePrefix="1" applyNumberFormat="1" applyFont="1" applyFill="1" applyBorder="1" applyAlignment="1">
      <alignment vertical="top"/>
    </xf>
    <xf numFmtId="0" fontId="24" fillId="9" borderId="1" xfId="4" applyFont="1" applyFill="1" applyBorder="1" applyAlignment="1">
      <alignment vertical="top"/>
    </xf>
    <xf numFmtId="0" fontId="13" fillId="49" borderId="15" xfId="0" applyFont="1" applyFill="1" applyBorder="1" applyAlignment="1">
      <alignment horizontal="left" vertical="top"/>
    </xf>
    <xf numFmtId="0" fontId="13" fillId="49" borderId="13" xfId="0" applyFont="1" applyFill="1" applyBorder="1" applyAlignment="1">
      <alignment horizontal="left" vertical="top"/>
    </xf>
    <xf numFmtId="0" fontId="13" fillId="49" borderId="13" xfId="0" applyFont="1" applyFill="1" applyBorder="1" applyAlignment="1">
      <alignment vertical="top"/>
    </xf>
    <xf numFmtId="0" fontId="13" fillId="49" borderId="13" xfId="0" applyFont="1" applyFill="1" applyBorder="1" applyAlignment="1">
      <alignment vertical="top" wrapText="1"/>
    </xf>
    <xf numFmtId="0" fontId="13" fillId="49" borderId="17" xfId="0" applyFont="1" applyFill="1" applyBorder="1" applyAlignment="1">
      <alignment vertical="top"/>
    </xf>
    <xf numFmtId="0" fontId="0" fillId="50" borderId="0" xfId="4" applyFont="1" applyFill="1" applyBorder="1" applyAlignment="1">
      <alignment vertical="top"/>
    </xf>
    <xf numFmtId="0" fontId="0" fillId="50" borderId="0" xfId="0" applyFont="1" applyFill="1" applyBorder="1" applyAlignment="1">
      <alignment vertical="top"/>
    </xf>
    <xf numFmtId="0" fontId="0" fillId="44" borderId="0" xfId="0" applyFill="1"/>
    <xf numFmtId="0" fontId="2" fillId="44" borderId="1" xfId="1" applyFill="1" applyBorder="1" applyAlignment="1">
      <alignment horizontal="left" vertical="top"/>
    </xf>
    <xf numFmtId="0" fontId="2" fillId="44" borderId="1" xfId="1" applyFont="1" applyFill="1" applyBorder="1" applyAlignment="1">
      <alignment horizontal="left" vertical="top"/>
    </xf>
    <xf numFmtId="0" fontId="0" fillId="44" borderId="1" xfId="5" applyFont="1" applyFill="1" applyBorder="1" applyAlignment="1">
      <alignment vertical="top"/>
    </xf>
    <xf numFmtId="0" fontId="2" fillId="44" borderId="1" xfId="1" applyFill="1" applyBorder="1" applyAlignment="1">
      <alignment vertical="top"/>
    </xf>
    <xf numFmtId="0" fontId="2" fillId="44" borderId="1" xfId="1" applyFill="1" applyBorder="1" applyAlignment="1">
      <alignment vertical="top" wrapText="1"/>
    </xf>
    <xf numFmtId="0" fontId="2" fillId="44" borderId="1" xfId="1" applyFont="1" applyFill="1" applyBorder="1" applyAlignment="1">
      <alignment vertical="top" wrapText="1"/>
    </xf>
    <xf numFmtId="0" fontId="24" fillId="44" borderId="1" xfId="4" applyFont="1" applyFill="1" applyBorder="1" applyAlignment="1">
      <alignment vertical="top"/>
    </xf>
    <xf numFmtId="49" fontId="2" fillId="44" borderId="1" xfId="1" applyNumberFormat="1" applyFill="1" applyBorder="1" applyAlignment="1">
      <alignment vertical="top"/>
    </xf>
    <xf numFmtId="49" fontId="2" fillId="44" borderId="1" xfId="1" quotePrefix="1" applyNumberFormat="1" applyFill="1" applyBorder="1" applyAlignment="1">
      <alignment vertical="top"/>
    </xf>
    <xf numFmtId="0" fontId="4" fillId="50" borderId="1" xfId="3" applyFill="1" applyBorder="1" applyAlignment="1">
      <alignment vertical="top"/>
    </xf>
    <xf numFmtId="49" fontId="2" fillId="44" borderId="1" xfId="1" quotePrefix="1" applyNumberFormat="1" applyFill="1" applyBorder="1" applyAlignment="1">
      <alignment vertical="top" wrapText="1"/>
    </xf>
    <xf numFmtId="0" fontId="2" fillId="44" borderId="1" xfId="1" applyFont="1" applyFill="1" applyBorder="1" applyAlignment="1">
      <alignment vertical="top"/>
    </xf>
    <xf numFmtId="49" fontId="5" fillId="44" borderId="1" xfId="2" quotePrefix="1" applyNumberFormat="1" applyFont="1" applyFill="1" applyBorder="1" applyAlignment="1">
      <alignment vertical="top"/>
    </xf>
    <xf numFmtId="49" fontId="2" fillId="44" borderId="2" xfId="1" applyNumberFormat="1" applyFill="1" applyBorder="1" applyAlignment="1">
      <alignment vertical="top"/>
    </xf>
    <xf numFmtId="0" fontId="2" fillId="44" borderId="12" xfId="1" applyFont="1" applyFill="1" applyBorder="1" applyAlignment="1">
      <alignment vertical="top" wrapText="1"/>
    </xf>
    <xf numFmtId="0" fontId="0" fillId="44" borderId="0" xfId="0" applyFill="1" applyAlignment="1">
      <alignment wrapText="1"/>
    </xf>
    <xf numFmtId="0" fontId="0" fillId="0" borderId="0" xfId="0" applyNumberFormat="1" applyAlignment="1"/>
    <xf numFmtId="49" fontId="11" fillId="9" borderId="1" xfId="2" quotePrefix="1" applyNumberFormat="1" applyFont="1" applyFill="1" applyBorder="1" applyAlignment="1">
      <alignment vertical="top"/>
    </xf>
    <xf numFmtId="49" fontId="1" fillId="9" borderId="1" xfId="2" quotePrefix="1" applyNumberFormat="1" applyFont="1" applyFill="1" applyBorder="1" applyAlignment="1">
      <alignment vertical="top"/>
    </xf>
    <xf numFmtId="49" fontId="0" fillId="9" borderId="1" xfId="2" quotePrefix="1" applyNumberFormat="1" applyFont="1" applyFill="1" applyBorder="1" applyAlignment="1">
      <alignment vertical="top"/>
    </xf>
    <xf numFmtId="0" fontId="2" fillId="45" borderId="1" xfId="1" applyFill="1" applyBorder="1" applyAlignment="1">
      <alignment horizontal="left" vertical="top"/>
    </xf>
    <xf numFmtId="0" fontId="2" fillId="45" borderId="11" xfId="1" applyFill="1" applyBorder="1" applyAlignment="1">
      <alignment vertical="top" wrapText="1"/>
    </xf>
    <xf numFmtId="0" fontId="2" fillId="45" borderId="1" xfId="1" applyFont="1" applyFill="1" applyBorder="1" applyAlignment="1">
      <alignment vertical="top" wrapText="1"/>
    </xf>
    <xf numFmtId="49" fontId="2" fillId="45" borderId="1" xfId="1" quotePrefix="1" applyNumberFormat="1" applyFill="1" applyBorder="1" applyAlignment="1">
      <alignment vertical="top"/>
    </xf>
    <xf numFmtId="0" fontId="0" fillId="45" borderId="0" xfId="0" applyFill="1"/>
    <xf numFmtId="0" fontId="2" fillId="45" borderId="1" xfId="1" applyFont="1" applyFill="1" applyBorder="1" applyAlignment="1">
      <alignment vertical="top"/>
    </xf>
    <xf numFmtId="49" fontId="2" fillId="45" borderId="1" xfId="1" applyNumberFormat="1" applyFill="1" applyBorder="1" applyAlignment="1">
      <alignment vertical="top"/>
    </xf>
    <xf numFmtId="49" fontId="0" fillId="45" borderId="1" xfId="2" quotePrefix="1" applyNumberFormat="1" applyFont="1" applyFill="1" applyBorder="1" applyAlignment="1">
      <alignment vertical="top"/>
    </xf>
    <xf numFmtId="49" fontId="1" fillId="45" borderId="1" xfId="2" quotePrefix="1" applyNumberFormat="1" applyFont="1" applyFill="1" applyBorder="1" applyAlignment="1">
      <alignment vertical="top"/>
    </xf>
    <xf numFmtId="0" fontId="7" fillId="51" borderId="10" xfId="1" applyFont="1" applyFill="1" applyBorder="1" applyAlignment="1">
      <alignment horizontal="left" vertical="top"/>
    </xf>
    <xf numFmtId="0" fontId="7" fillId="51" borderId="1" xfId="1" applyFont="1" applyFill="1" applyBorder="1" applyAlignment="1">
      <alignment horizontal="left" vertical="top"/>
    </xf>
    <xf numFmtId="0" fontId="7" fillId="51" borderId="10" xfId="5" applyFont="1" applyFill="1" applyBorder="1" applyAlignment="1">
      <alignment vertical="top"/>
    </xf>
    <xf numFmtId="49" fontId="7" fillId="51" borderId="1" xfId="2" quotePrefix="1" applyNumberFormat="1" applyFont="1" applyFill="1" applyBorder="1" applyAlignment="1">
      <alignment vertical="top"/>
    </xf>
    <xf numFmtId="49" fontId="7" fillId="51" borderId="1" xfId="2" applyNumberFormat="1" applyFont="1" applyFill="1" applyBorder="1" applyAlignment="1">
      <alignment vertical="top"/>
    </xf>
    <xf numFmtId="0" fontId="7" fillId="51" borderId="1" xfId="1" applyFont="1" applyFill="1" applyBorder="1" applyAlignment="1">
      <alignment vertical="top" wrapText="1"/>
    </xf>
    <xf numFmtId="0" fontId="7" fillId="51" borderId="10" xfId="1" applyFont="1" applyFill="1" applyBorder="1" applyAlignment="1">
      <alignment vertical="top"/>
    </xf>
    <xf numFmtId="0" fontId="7" fillId="51" borderId="11" xfId="1" applyFont="1" applyFill="1" applyBorder="1" applyAlignment="1">
      <alignment vertical="top" wrapText="1"/>
    </xf>
    <xf numFmtId="0" fontId="7" fillId="51" borderId="2" xfId="1" applyFont="1" applyFill="1" applyBorder="1" applyAlignment="1">
      <alignment vertical="top" wrapText="1"/>
    </xf>
    <xf numFmtId="0" fontId="7" fillId="51" borderId="2" xfId="1" applyFont="1" applyFill="1" applyBorder="1" applyAlignment="1">
      <alignment vertical="top"/>
    </xf>
    <xf numFmtId="49" fontId="7" fillId="51" borderId="11" xfId="1" quotePrefix="1" applyNumberFormat="1" applyFont="1" applyFill="1" applyBorder="1" applyAlignment="1">
      <alignment vertical="top"/>
    </xf>
    <xf numFmtId="0" fontId="7" fillId="51" borderId="10" xfId="3" applyFont="1" applyFill="1" applyBorder="1" applyAlignment="1">
      <alignment vertical="top"/>
    </xf>
    <xf numFmtId="0" fontId="7" fillId="51" borderId="0" xfId="0" applyFont="1" applyFill="1"/>
    <xf numFmtId="0" fontId="7" fillId="51" borderId="0" xfId="0" applyFont="1" applyFill="1" applyAlignment="1">
      <alignment vertical="top"/>
    </xf>
    <xf numFmtId="49" fontId="2" fillId="42" borderId="2" xfId="1" quotePrefix="1" applyNumberFormat="1" applyFill="1" applyBorder="1" applyAlignment="1">
      <alignment vertical="top" wrapText="1"/>
    </xf>
    <xf numFmtId="0" fontId="13" fillId="6" borderId="0" xfId="4" applyFont="1" applyFill="1" applyBorder="1" applyAlignment="1">
      <alignment vertical="top"/>
    </xf>
  </cellXfs>
  <cellStyles count="43">
    <cellStyle name="20 % - Markeringsfarve1" xfId="6" xr:uid="{ED6464A3-AA5C-4CDD-A658-16B533E5EDAF}"/>
    <cellStyle name="20 % - Markeringsfarve2" xfId="7" xr:uid="{E506CF0F-C1BF-4992-B4DC-DCEBD433EBA7}"/>
    <cellStyle name="20 % - Markeringsfarve3" xfId="8" xr:uid="{ED0BB571-F7CD-4D3D-A3F8-8FF01FE8D870}"/>
    <cellStyle name="20 % - Markeringsfarve4" xfId="9" xr:uid="{7E74EA64-3C45-4B4F-A51F-18311A4D712A}"/>
    <cellStyle name="20 % - Markeringsfarve5" xfId="10" xr:uid="{788D2287-540B-4E68-99A5-9479B9444B17}"/>
    <cellStyle name="20 % - Markeringsfarve6" xfId="11" xr:uid="{9D85F460-A11C-461B-9765-E8BC3F65C267}"/>
    <cellStyle name="20% - Accent6" xfId="5" builtinId="50"/>
    <cellStyle name="40 % - Markeringsfarve1" xfId="12" xr:uid="{8B27D60A-AD42-4AF5-B1E8-5FDB83DD0905}"/>
    <cellStyle name="40 % - Markeringsfarve2" xfId="13" xr:uid="{E8E99E15-9E00-4458-AB07-7D96FD5A8F9F}"/>
    <cellStyle name="40 % - Markeringsfarve3" xfId="14" xr:uid="{B0B45074-2DEA-4BEE-9A71-F9E9E1555BA4}"/>
    <cellStyle name="40 % - Markeringsfarve4" xfId="15" xr:uid="{AE4D778B-CF1B-4894-8C90-7D05F1603037}"/>
    <cellStyle name="40 % - Markeringsfarve5" xfId="16" xr:uid="{18B6B42D-DFA7-48D7-89EE-37E065F8FBCE}"/>
    <cellStyle name="40 % - Markeringsfarve6" xfId="17" xr:uid="{6E32158B-E46B-4942-B269-E2EAD26020B2}"/>
    <cellStyle name="60 % - Markeringsfarve1" xfId="18" xr:uid="{D0E41BA7-C492-4F88-89BB-C14BE0D82611}"/>
    <cellStyle name="60 % - Markeringsfarve2" xfId="19" xr:uid="{4B474791-4B63-4AFD-A927-1421B708C388}"/>
    <cellStyle name="60 % - Markeringsfarve3" xfId="20" xr:uid="{E6F92C0E-0025-4408-9A77-F2DE232262D7}"/>
    <cellStyle name="60 % - Markeringsfarve4" xfId="21" xr:uid="{65741B0A-3762-45FF-973D-493EB267F70C}"/>
    <cellStyle name="60 % - Markeringsfarve5" xfId="22" xr:uid="{0E858185-D96E-4141-BA76-02F4CECCE39A}"/>
    <cellStyle name="60 % - Markeringsfarve6" xfId="23" xr:uid="{3809E1DF-58BB-483E-99B9-119866E28315}"/>
    <cellStyle name="60% - Accent4" xfId="4" builtinId="44"/>
    <cellStyle name="Advarselstekst" xfId="24" xr:uid="{E12A063A-3E87-4C1A-B584-3647B3D0529B}"/>
    <cellStyle name="Bad" xfId="2" builtinId="27"/>
    <cellStyle name="Bemærk!" xfId="25" xr:uid="{48DF6DA2-7E74-45D0-BECE-1D933D4D9C3B}"/>
    <cellStyle name="Beregning" xfId="26" xr:uid="{9AA83010-803D-44FC-8457-BE26A5786366}"/>
    <cellStyle name="Forklarende tekst" xfId="27" xr:uid="{F925534E-51AB-44EB-9393-1044ECD30FE8}"/>
    <cellStyle name="God" xfId="28" xr:uid="{BA6C6BBF-27DC-4BDB-B22C-C9DC63B0378F}"/>
    <cellStyle name="Good" xfId="1" builtinId="26"/>
    <cellStyle name="Kontroller celle" xfId="29" xr:uid="{770AC801-4866-4889-9A8F-630418D9B3BD}"/>
    <cellStyle name="Markeringsfarve1" xfId="30" xr:uid="{86388B5A-BF42-4607-BD68-CFBB68645418}"/>
    <cellStyle name="Markeringsfarve2" xfId="31" xr:uid="{3EB9F252-FC86-4AA2-9179-ADB92C84F370}"/>
    <cellStyle name="Markeringsfarve3" xfId="32" xr:uid="{49673D67-15C7-4F9C-BF8E-2700155ED07E}"/>
    <cellStyle name="Markeringsfarve4" xfId="33" xr:uid="{DBF56F44-05B9-417E-9622-D407341A4BAF}"/>
    <cellStyle name="Markeringsfarve5" xfId="34" xr:uid="{9A9D20D8-788E-409B-B3EA-C4EA1A4A347E}"/>
    <cellStyle name="Markeringsfarve6" xfId="35" xr:uid="{1ADE8231-A085-48ED-8042-53D2EB337A1F}"/>
    <cellStyle name="Neutral" xfId="3" builtinId="28"/>
    <cellStyle name="Normal" xfId="0" builtinId="0"/>
    <cellStyle name="Overskrift 1" xfId="36" xr:uid="{25480680-77C8-4F07-BF1D-9D677B4F04A5}"/>
    <cellStyle name="Overskrift 2" xfId="37" xr:uid="{3658A7DF-98C9-462F-8CD5-3424E7B10981}"/>
    <cellStyle name="Overskrift 3" xfId="38" xr:uid="{28D1B1EB-7C8B-47B4-BCE4-13B86FE26EA1}"/>
    <cellStyle name="Overskrift 4" xfId="39" xr:uid="{71FFC1CA-373C-42A3-A90A-DCC284F20216}"/>
    <cellStyle name="Sammenkædet celle" xfId="40" xr:uid="{060D0EC8-D148-45D2-9B8D-F5FB3A7ADA33}"/>
    <cellStyle name="Titel" xfId="41" xr:uid="{135F2197-5AFB-40D9-9780-F283AC2EDE51}"/>
    <cellStyle name="Ugyldig" xfId="42" xr:uid="{72031914-3C4A-458F-9F3A-B416C71B13F0}"/>
  </cellStyles>
  <dxfs count="1098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0" formatCode="General"/>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s>
  <tableStyles count="0" defaultTableStyle="TableStyleMedium2" defaultPivotStyle="PivotStyleLight16"/>
  <colors>
    <mruColors>
      <color rgb="FF63BE7B"/>
      <color rgb="FFF869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calcChain" Target="calcChain.xml"/><Relationship Id="rId10" Type="http://schemas.openxmlformats.org/officeDocument/2006/relationships/externalLink" Target="externalLinks/externalLink2.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160020</xdr:colOff>
          <xdr:row>5</xdr:row>
          <xdr:rowOff>175260</xdr:rowOff>
        </xdr:from>
        <xdr:to>
          <xdr:col>9</xdr:col>
          <xdr:colOff>342900</xdr:colOff>
          <xdr:row>10</xdr:row>
          <xdr:rowOff>106680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82296" tIns="73152" rIns="82296" bIns="73152" anchor="ctr" upright="1"/>
            <a:lstStyle/>
            <a:p>
              <a:pPr algn="ctr" rtl="0">
                <a:defRPr sz="1000"/>
              </a:pPr>
              <a:r>
                <a:rPr lang="da-DK" sz="2200" b="0" i="0" u="none" strike="noStrike" baseline="0">
                  <a:solidFill>
                    <a:srgbClr val="000000"/>
                  </a:solidFill>
                  <a:latin typeface="Goudy Stout"/>
                </a:rPr>
                <a:t>Find errors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artin.Rask\Accenture\ICI%20Retracer%20-%20Dokumenter\Test\Flexfilter\Martin\FF_Spgskema_TC_KRAV.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amilla.Lund\Accenture\ICI%20Retracer%20-%20Documents\Test\Flexfilter\Main\FF_Spgskema_TC_12D.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ites/ICIRetracer/Shared%20Documents/Test/Flexfilter/Main/FF_Spgskema_TC_12D.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Camilla.Lund\Accenture\ICI%20Retracer%20-%20Documents\Test\Flexfilter\Martin\FF_Spgskema_TC_12D.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Camilla.Lund\Accenture\ICI%20Retracer%20-%20Documents\Test\Flexfilter\Main\FF_Spgskema_TC_form1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Camilla.Lund\Accenture\ICI%20Retracer%20-%20Documents\Test\Flexfilter\Camilla\FF_Spgskema_TC_main_CAMILLA.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Camilla.Lund\Accenture\ICI%20Retracer%20-%20Documents\Test\Flexfilter\Camilla\old\FF_Spgskema_TC_main_copy.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sites/ICIRetracer/Shared%20Documents/Test/Flexfilter/Joel/FF_Spgskema_TC_Joel5.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Camilla.Lund\Accenture\ICI%20Retracer%20-%20Documents\Test\Flexfilter\Camilla\FF_Spgskema_TC_main_Cam.xlsm"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FF_Spgskema_TC_Joel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F - Test Design"/>
      <sheetName val="Krav"/>
      <sheetName val="Sheet1"/>
      <sheetName val="Form Parameters"/>
      <sheetName val="Validering"/>
      <sheetName val="FF_Spgskema_TC_KRAV"/>
    </sheetNames>
    <sheetDataSet>
      <sheetData sheetId="0">
        <row r="3">
          <cell r="D3" t="str">
            <v>Krav #</v>
          </cell>
        </row>
        <row r="18">
          <cell r="D18" t="str">
            <v>Krav #</v>
          </cell>
        </row>
        <row r="19">
          <cell r="D19" t="str">
            <v>1.1</v>
          </cell>
        </row>
        <row r="20">
          <cell r="D20" t="str">
            <v>1.1</v>
          </cell>
        </row>
        <row r="21">
          <cell r="D21" t="str">
            <v>1.1</v>
          </cell>
        </row>
        <row r="22">
          <cell r="D22" t="str">
            <v>1.1</v>
          </cell>
        </row>
        <row r="23">
          <cell r="D23" t="str">
            <v>1.1</v>
          </cell>
        </row>
        <row r="24">
          <cell r="D24" t="str">
            <v>1.1</v>
          </cell>
        </row>
        <row r="25">
          <cell r="D25" t="str">
            <v>1.3</v>
          </cell>
        </row>
        <row r="26">
          <cell r="D26" t="str">
            <v>1.3</v>
          </cell>
        </row>
        <row r="34">
          <cell r="D34" t="str">
            <v>2.1</v>
          </cell>
        </row>
        <row r="35">
          <cell r="D35" t="str">
            <v>2.1</v>
          </cell>
        </row>
        <row r="36">
          <cell r="D36" t="str">
            <v>2.1</v>
          </cell>
        </row>
        <row r="37">
          <cell r="D37" t="str">
            <v>2.1</v>
          </cell>
        </row>
        <row r="38">
          <cell r="D38" t="str">
            <v>2.1</v>
          </cell>
        </row>
        <row r="39">
          <cell r="D39" t="str">
            <v>2.1</v>
          </cell>
        </row>
        <row r="40">
          <cell r="D40" t="str">
            <v>2.1</v>
          </cell>
        </row>
        <row r="41">
          <cell r="D41" t="str">
            <v>2.1</v>
          </cell>
        </row>
        <row r="42">
          <cell r="D42" t="str">
            <v>2.1</v>
          </cell>
        </row>
        <row r="43">
          <cell r="D43" t="str">
            <v>2.1</v>
          </cell>
        </row>
        <row r="44">
          <cell r="D44" t="str">
            <v>2.1</v>
          </cell>
        </row>
        <row r="45">
          <cell r="D45" t="str">
            <v>2.1</v>
          </cell>
        </row>
        <row r="46">
          <cell r="D46" t="str">
            <v>2.1</v>
          </cell>
        </row>
        <row r="47">
          <cell r="D47" t="str">
            <v>2.1</v>
          </cell>
        </row>
        <row r="49">
          <cell r="D49" t="str">
            <v>0.1</v>
          </cell>
        </row>
        <row r="50">
          <cell r="D50" t="str">
            <v>0.1</v>
          </cell>
        </row>
        <row r="51">
          <cell r="D51" t="str">
            <v>0.5</v>
          </cell>
        </row>
        <row r="52">
          <cell r="D52" t="str">
            <v>3.1</v>
          </cell>
        </row>
        <row r="53">
          <cell r="D53" t="str">
            <v>3.3</v>
          </cell>
        </row>
        <row r="54">
          <cell r="D54" t="str">
            <v>3.3</v>
          </cell>
        </row>
        <row r="55">
          <cell r="D55" t="str">
            <v>3.3</v>
          </cell>
        </row>
        <row r="56">
          <cell r="D56" t="str">
            <v>3.3</v>
          </cell>
        </row>
        <row r="57">
          <cell r="D57" t="str">
            <v>3.3</v>
          </cell>
        </row>
        <row r="58">
          <cell r="D58" t="str">
            <v>3.3</v>
          </cell>
        </row>
        <row r="59">
          <cell r="D59" t="str">
            <v>3.3</v>
          </cell>
        </row>
        <row r="60">
          <cell r="D60" t="str">
            <v>3.3</v>
          </cell>
        </row>
        <row r="84">
          <cell r="D84" t="str">
            <v>4.1</v>
          </cell>
        </row>
        <row r="85">
          <cell r="D85" t="str">
            <v>4.1</v>
          </cell>
        </row>
        <row r="86">
          <cell r="D86" t="str">
            <v>4.1</v>
          </cell>
        </row>
        <row r="87">
          <cell r="D87" t="str">
            <v>4.1</v>
          </cell>
        </row>
        <row r="88">
          <cell r="D88" t="str">
            <v>4.1</v>
          </cell>
        </row>
        <row r="89">
          <cell r="D89" t="str">
            <v>4.2</v>
          </cell>
        </row>
        <row r="90">
          <cell r="D90" t="str">
            <v>4.3</v>
          </cell>
        </row>
        <row r="102">
          <cell r="D102" t="str">
            <v>Krav #</v>
          </cell>
        </row>
        <row r="103">
          <cell r="D103" t="str">
            <v>4.a.2</v>
          </cell>
        </row>
        <row r="104">
          <cell r="D104" t="str">
            <v>4.a.3</v>
          </cell>
        </row>
        <row r="106">
          <cell r="D106" t="str">
            <v>4.a.2</v>
          </cell>
        </row>
        <row r="107">
          <cell r="D107" t="str">
            <v>4.a.4</v>
          </cell>
        </row>
        <row r="109">
          <cell r="D109" t="str">
            <v>4.a.2</v>
          </cell>
        </row>
        <row r="110">
          <cell r="D110" t="str">
            <v>4.a.5</v>
          </cell>
        </row>
        <row r="125">
          <cell r="D125" t="str">
            <v>Krav #</v>
          </cell>
        </row>
        <row r="126">
          <cell r="D126" t="str">
            <v>0.1</v>
          </cell>
        </row>
        <row r="127">
          <cell r="D127" t="str">
            <v>0.1</v>
          </cell>
        </row>
        <row r="128">
          <cell r="D128" t="str">
            <v>3.1</v>
          </cell>
        </row>
        <row r="129">
          <cell r="D129" t="str">
            <v>4.a.1.2</v>
          </cell>
        </row>
        <row r="130">
          <cell r="D130" t="str">
            <v>4.a.1.1</v>
          </cell>
        </row>
        <row r="131">
          <cell r="D131" t="str">
            <v>4.a.1.2</v>
          </cell>
        </row>
        <row r="132">
          <cell r="D132" t="str">
            <v>4.a.1.1</v>
          </cell>
        </row>
        <row r="133">
          <cell r="D133" t="str">
            <v>4.a.1.2</v>
          </cell>
        </row>
        <row r="134">
          <cell r="D134" t="str">
            <v>4.a.1.1</v>
          </cell>
        </row>
        <row r="135">
          <cell r="D135" t="str">
            <v>4.a.1.2</v>
          </cell>
        </row>
        <row r="136">
          <cell r="D136" t="str">
            <v>4.a.1.1</v>
          </cell>
        </row>
        <row r="137">
          <cell r="D137" t="str">
            <v>4.a.1.2</v>
          </cell>
        </row>
        <row r="138">
          <cell r="D138" t="str">
            <v>4.a.1.1</v>
          </cell>
        </row>
        <row r="140">
          <cell r="D140" t="str">
            <v>4.a.1.2</v>
          </cell>
        </row>
        <row r="141">
          <cell r="D141" t="str">
            <v>4.a.1.1</v>
          </cell>
        </row>
        <row r="143">
          <cell r="D143" t="str">
            <v>4.a.1.2</v>
          </cell>
        </row>
        <row r="144">
          <cell r="D144" t="str">
            <v>4.a.1.1</v>
          </cell>
        </row>
        <row r="146">
          <cell r="D146" t="str">
            <v>4.a.1.2</v>
          </cell>
        </row>
        <row r="147">
          <cell r="D147" t="str">
            <v>4.a.1.1</v>
          </cell>
        </row>
        <row r="149">
          <cell r="D149" t="str">
            <v>4.a.1.2</v>
          </cell>
        </row>
        <row r="150">
          <cell r="D150" t="str">
            <v>4.a.1.1</v>
          </cell>
        </row>
        <row r="158">
          <cell r="D158" t="str">
            <v>4.3</v>
          </cell>
        </row>
        <row r="160">
          <cell r="D160" t="str">
            <v>0.5</v>
          </cell>
        </row>
        <row r="167">
          <cell r="D167" t="str">
            <v>Krav #</v>
          </cell>
        </row>
        <row r="168">
          <cell r="D168" t="str">
            <v>5.3</v>
          </cell>
        </row>
        <row r="169">
          <cell r="D169" t="str">
            <v>5.3</v>
          </cell>
        </row>
        <row r="170">
          <cell r="D170" t="str">
            <v>5.3</v>
          </cell>
        </row>
        <row r="173">
          <cell r="D173" t="str">
            <v>5.4</v>
          </cell>
        </row>
        <row r="185">
          <cell r="D185" t="str">
            <v>Krav #</v>
          </cell>
        </row>
        <row r="186">
          <cell r="D186" t="str">
            <v>6.1</v>
          </cell>
        </row>
        <row r="187">
          <cell r="D187" t="str">
            <v>6.a.1</v>
          </cell>
        </row>
        <row r="188">
          <cell r="D188" t="str">
            <v>6.2</v>
          </cell>
        </row>
        <row r="189">
          <cell r="D189" t="str">
            <v>6.a.1</v>
          </cell>
        </row>
        <row r="190">
          <cell r="D190" t="str">
            <v>6.2</v>
          </cell>
        </row>
        <row r="191">
          <cell r="D191" t="str">
            <v>6.a.1</v>
          </cell>
        </row>
        <row r="192">
          <cell r="D192" t="str">
            <v>6.2</v>
          </cell>
        </row>
        <row r="193">
          <cell r="D193" t="str">
            <v>6.a.1</v>
          </cell>
        </row>
        <row r="194">
          <cell r="D194" t="str">
            <v>7.1</v>
          </cell>
        </row>
        <row r="195">
          <cell r="D195" t="str">
            <v>7.a.1</v>
          </cell>
        </row>
        <row r="196">
          <cell r="D196" t="str">
            <v>7.1</v>
          </cell>
        </row>
        <row r="197">
          <cell r="D197" t="str">
            <v>7.2</v>
          </cell>
        </row>
        <row r="198">
          <cell r="D198" t="str">
            <v>8.1</v>
          </cell>
        </row>
        <row r="199">
          <cell r="D199" t="str">
            <v>8.2</v>
          </cell>
        </row>
        <row r="200">
          <cell r="D200" t="str">
            <v>8.a.1</v>
          </cell>
        </row>
        <row r="201">
          <cell r="D201" t="str">
            <v>6.3</v>
          </cell>
        </row>
        <row r="202">
          <cell r="D202" t="str">
            <v>7.3</v>
          </cell>
        </row>
        <row r="203">
          <cell r="D203" t="str">
            <v>8.3</v>
          </cell>
        </row>
        <row r="204">
          <cell r="D204" t="str">
            <v>8.3</v>
          </cell>
        </row>
        <row r="206">
          <cell r="D206" t="str">
            <v>8.3</v>
          </cell>
        </row>
        <row r="207">
          <cell r="D207" t="str">
            <v>8.a.1</v>
          </cell>
        </row>
        <row r="208">
          <cell r="D208" t="str">
            <v>8.3</v>
          </cell>
        </row>
        <row r="209">
          <cell r="D209" t="str">
            <v>8.a.1</v>
          </cell>
        </row>
        <row r="210">
          <cell r="D210" t="str">
            <v>8.3</v>
          </cell>
        </row>
        <row r="211">
          <cell r="D211" t="str">
            <v>8.a.1</v>
          </cell>
        </row>
        <row r="212">
          <cell r="D212" t="str">
            <v>8.a.1</v>
          </cell>
        </row>
        <row r="213">
          <cell r="D213" t="str">
            <v>8.a.1</v>
          </cell>
        </row>
        <row r="214">
          <cell r="D214" t="str">
            <v>8.a.1</v>
          </cell>
        </row>
        <row r="215">
          <cell r="D215" t="str">
            <v>8.a.1</v>
          </cell>
        </row>
        <row r="216">
          <cell r="D216" t="str">
            <v>8.a.1</v>
          </cell>
        </row>
        <row r="217">
          <cell r="D217" t="str">
            <v>8.a.1</v>
          </cell>
        </row>
        <row r="221">
          <cell r="D221" t="str">
            <v>Krav #</v>
          </cell>
        </row>
        <row r="222">
          <cell r="D222" t="str">
            <v>9.2</v>
          </cell>
        </row>
        <row r="223">
          <cell r="D223" t="str">
            <v>9.2</v>
          </cell>
        </row>
        <row r="224">
          <cell r="D224" t="str">
            <v>9.3</v>
          </cell>
        </row>
        <row r="225">
          <cell r="D225" t="str">
            <v>9.3</v>
          </cell>
        </row>
        <row r="226">
          <cell r="D226" t="str">
            <v>9.4</v>
          </cell>
        </row>
        <row r="227">
          <cell r="D227" t="str">
            <v>9.4</v>
          </cell>
        </row>
        <row r="228">
          <cell r="D228" t="str">
            <v>9.c.1</v>
          </cell>
        </row>
        <row r="229">
          <cell r="D229" t="str">
            <v>9.c.1</v>
          </cell>
        </row>
        <row r="230">
          <cell r="D230" t="str">
            <v>9.c.1</v>
          </cell>
        </row>
        <row r="231">
          <cell r="D231" t="str">
            <v>9.c.2</v>
          </cell>
        </row>
        <row r="232">
          <cell r="D232" t="str">
            <v>9.c.3</v>
          </cell>
        </row>
        <row r="233">
          <cell r="D233" t="str">
            <v>9.c.4</v>
          </cell>
        </row>
        <row r="234">
          <cell r="D234" t="str">
            <v>9.c.5</v>
          </cell>
        </row>
        <row r="235">
          <cell r="D235" t="str">
            <v>9.c.6</v>
          </cell>
        </row>
        <row r="236">
          <cell r="D236" t="str">
            <v>9.c.7</v>
          </cell>
        </row>
        <row r="237">
          <cell r="D237" t="str">
            <v>9.c.8</v>
          </cell>
        </row>
        <row r="238">
          <cell r="D238" t="str">
            <v>9.c.9</v>
          </cell>
        </row>
        <row r="239">
          <cell r="D239" t="str">
            <v>9.c.10</v>
          </cell>
        </row>
        <row r="240">
          <cell r="D240" t="str">
            <v>9.c.11</v>
          </cell>
        </row>
        <row r="252">
          <cell r="D252" t="str">
            <v>Krav #</v>
          </cell>
        </row>
        <row r="253">
          <cell r="D253" t="str">
            <v>9.a.2</v>
          </cell>
        </row>
        <row r="254">
          <cell r="D254" t="str">
            <v>9.a.3</v>
          </cell>
        </row>
        <row r="255">
          <cell r="D255" t="str">
            <v>9.a.3</v>
          </cell>
        </row>
        <row r="256">
          <cell r="D256" t="str">
            <v>9.a.1.1</v>
          </cell>
        </row>
        <row r="257">
          <cell r="D257" t="str">
            <v>9.a.1.2</v>
          </cell>
        </row>
        <row r="259">
          <cell r="D259" t="str">
            <v>9.a.1.3</v>
          </cell>
        </row>
        <row r="260">
          <cell r="D260" t="str">
            <v>9.a.1.4</v>
          </cell>
        </row>
        <row r="270">
          <cell r="D270" t="str">
            <v>Krav #</v>
          </cell>
        </row>
        <row r="271">
          <cell r="D271" t="str">
            <v>9.a.2.2</v>
          </cell>
        </row>
        <row r="272">
          <cell r="D272" t="str">
            <v>9.a.2.3</v>
          </cell>
        </row>
        <row r="273">
          <cell r="D273" t="str">
            <v>9.a.2.3</v>
          </cell>
        </row>
        <row r="274">
          <cell r="D274" t="str">
            <v>9.a.2.1.1</v>
          </cell>
        </row>
        <row r="275">
          <cell r="D275" t="str">
            <v>9.a.2.1.2</v>
          </cell>
        </row>
        <row r="277">
          <cell r="D277" t="str">
            <v>9.a.2.1.3</v>
          </cell>
        </row>
        <row r="278">
          <cell r="D278" t="str">
            <v>9.a.2.1.4</v>
          </cell>
        </row>
        <row r="288">
          <cell r="D288" t="str">
            <v>Krav #</v>
          </cell>
        </row>
        <row r="289">
          <cell r="D289" t="str">
            <v>9.a.2.2.2</v>
          </cell>
        </row>
        <row r="290">
          <cell r="D290" t="str">
            <v>9.a.2.2.3</v>
          </cell>
        </row>
        <row r="291">
          <cell r="D291" t="str">
            <v>9.a.2.2.1.1</v>
          </cell>
        </row>
        <row r="292">
          <cell r="D292" t="str">
            <v>9.a.2.2.1.2</v>
          </cell>
        </row>
        <row r="293">
          <cell r="D293" t="str">
            <v>9.a.2.2.1.3</v>
          </cell>
        </row>
        <row r="294">
          <cell r="D294" t="str">
            <v>9.a.2.2.1.4</v>
          </cell>
        </row>
        <row r="295">
          <cell r="D295" t="str">
            <v>9.a.2.2.1.5</v>
          </cell>
        </row>
        <row r="296">
          <cell r="D296" t="str">
            <v>9.a.2.2.1.6</v>
          </cell>
        </row>
        <row r="297">
          <cell r="D297" t="str">
            <v>9.a.2.2.1.7</v>
          </cell>
        </row>
        <row r="298">
          <cell r="D298" t="str">
            <v>9.a.2.2.1.8</v>
          </cell>
        </row>
        <row r="299">
          <cell r="D299" t="str">
            <v>9.a.2.2.1.9</v>
          </cell>
        </row>
        <row r="303">
          <cell r="D303" t="str">
            <v>9.a.2.2.2.1</v>
          </cell>
        </row>
        <row r="304">
          <cell r="D304" t="str">
            <v>9.a.2.2.2.2</v>
          </cell>
        </row>
        <row r="305">
          <cell r="D305" t="str">
            <v>9.a.2.2.2.3</v>
          </cell>
        </row>
        <row r="306">
          <cell r="D306" t="str">
            <v>9.a.2.2.2.4</v>
          </cell>
        </row>
        <row r="307">
          <cell r="D307" t="str">
            <v>9.a.2.2.2.5</v>
          </cell>
        </row>
        <row r="308">
          <cell r="D308" t="str">
            <v>9.a.2.2.2.6</v>
          </cell>
        </row>
        <row r="309">
          <cell r="D309" t="str">
            <v>9.a.2.2.2.7</v>
          </cell>
        </row>
        <row r="310">
          <cell r="D310" t="str">
            <v>9.a.2.2.2.8</v>
          </cell>
        </row>
        <row r="311">
          <cell r="D311" t="str">
            <v>9.a.2.2.2.9</v>
          </cell>
        </row>
        <row r="312">
          <cell r="D312" t="str">
            <v>9.a.2.2.2.10</v>
          </cell>
        </row>
        <row r="313">
          <cell r="D313" t="str">
            <v>9.a.2.2.2.11</v>
          </cell>
        </row>
      </sheetData>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rav"/>
      <sheetName val="FF - Test Design"/>
      <sheetName val="Form Parameters"/>
      <sheetName val="Validering"/>
    </sheetNames>
    <sheetDataSet>
      <sheetData sheetId="0" refreshError="1"/>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F - Test Design"/>
      <sheetName val="Krav"/>
      <sheetName val="Form Parameters"/>
      <sheetName val="Validering"/>
    </sheetNames>
    <sheetDataSet>
      <sheetData sheetId="0" refreshError="1"/>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F - Test Design"/>
      <sheetName val="Krav"/>
      <sheetName val="Form Parameters"/>
      <sheetName val="Validering"/>
    </sheetNames>
    <sheetDataSet>
      <sheetData sheetId="0"/>
      <sheetData sheetId="1">
        <row r="1">
          <cell r="C1" t="str">
            <v>Krav #</v>
          </cell>
        </row>
      </sheetData>
      <sheetData sheetId="2"/>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ering"/>
      <sheetName val="Krav"/>
      <sheetName val="FF - Test Design"/>
      <sheetName val="Sheet3"/>
      <sheetName val="Sheet2"/>
      <sheetName val="Sheet1"/>
      <sheetName val="Form Parameters"/>
    </sheetNames>
    <sheetDataSet>
      <sheetData sheetId="0" refreshError="1"/>
      <sheetData sheetId="1" refreshError="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rav"/>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rav-status"/>
      <sheetName val="Krav"/>
      <sheetName val="Copy"/>
      <sheetName val="FF - Test Design"/>
      <sheetName val="Errors"/>
      <sheetName val="Sheet2"/>
      <sheetName val="Sheet1"/>
      <sheetName val="Validering"/>
    </sheetNames>
    <sheetDataSet>
      <sheetData sheetId="0"/>
      <sheetData sheetId="1" refreshError="1"/>
      <sheetData sheetId="2"/>
      <sheetData sheetId="3"/>
      <sheetData sheetId="4"/>
      <sheetData sheetId="5"/>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rav"/>
      <sheetName val="FF - Test Design"/>
      <sheetName val="Sheet2"/>
      <sheetName val="Sheet1"/>
      <sheetName val="Validering"/>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
      <sheetName val="Krav-status"/>
      <sheetName val="Krav"/>
      <sheetName val="FF - Test Design"/>
      <sheetName val="Errors"/>
      <sheetName val="Sheet2"/>
      <sheetName val="Sheet1"/>
      <sheetName val="Valider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rav"/>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sk, Martin Hejgaard" refreshedDate="43424.60264837963" createdVersion="6" refreshedVersion="6" minRefreshableVersion="3" recordCount="569" xr:uid="{FC2EB8B3-D923-4D4F-BCFA-1ED63E1D4B3F}">
  <cacheSource type="worksheet">
    <worksheetSource name="Table1"/>
  </cacheSource>
  <cacheFields count="7">
    <cacheField name="Form #" numFmtId="0">
      <sharedItems count="22">
        <s v="N/A"/>
        <s v="Form 2"/>
        <s v="Form 3"/>
        <s v="Form 4"/>
        <s v="Form 5"/>
        <s v="Form 27"/>
        <s v="Form 6"/>
        <s v="Form 7"/>
        <s v="Form 8"/>
        <s v="Form 8 "/>
        <s v="Form 9"/>
        <s v="Form 10"/>
        <s v="Form 11"/>
        <s v="Form 12"/>
        <s v="Form 13"/>
        <s v="Form 14"/>
        <s v="Form 28"/>
        <s v="Form 29"/>
        <s v="Form 30"/>
        <s v="Form 31"/>
        <s v="Form 32"/>
        <s v="Form 39"/>
      </sharedItems>
    </cacheField>
    <cacheField name="Spørgsmål " numFmtId="49">
      <sharedItems containsMixedTypes="1" containsNumber="1" containsInteger="1" minValue="1" maxValue="4"/>
    </cacheField>
    <cacheField name="Krav #" numFmtId="49">
      <sharedItems count="517">
        <s v="0.1"/>
        <s v="0.2"/>
        <s v="0.3"/>
        <s v="0.4"/>
        <s v="0.5"/>
        <s v="0.6"/>
        <s v="0.7"/>
        <s v="1.1"/>
        <s v="1.2"/>
        <s v="1.3"/>
        <s v="2.1"/>
        <s v="2.2"/>
        <s v="3.1"/>
        <s v="3.2"/>
        <s v="3.3"/>
        <s v="3.4"/>
        <s v="4.1"/>
        <s v="4.2"/>
        <s v="4.3"/>
        <s v="4.a.1"/>
        <s v="4.a.2"/>
        <s v="4.a.3"/>
        <s v="4.a.4"/>
        <s v="4.a.5"/>
        <s v="4.a.6"/>
        <s v="4.a.7"/>
        <s v="4.a.1.1"/>
        <s v="4.a.1.2"/>
        <s v="4.a.1.3"/>
        <s v="5.1"/>
        <s v="5.2"/>
        <s v="5.3"/>
        <s v="5.4"/>
        <s v="5.b.1"/>
        <s v="5.b.2"/>
        <s v="5.b.3"/>
        <s v="5.b.1.1"/>
        <s v="5.b.1.2"/>
        <s v="5.b.1.3"/>
        <s v="5.b.1.4"/>
        <s v="5.b.1.5"/>
        <s v="5.b.2.1"/>
        <s v="5.b.2.2"/>
        <s v="5.b.2.3"/>
        <s v="5.b.2.4"/>
        <s v="5.b.2.5"/>
        <s v="6.1"/>
        <s v="6.2"/>
        <s v="6.3"/>
        <s v="6.a.1"/>
        <s v="7.1"/>
        <s v="7.2"/>
        <s v="7.3"/>
        <s v="7.a.1"/>
        <s v="8.1"/>
        <s v="8.2"/>
        <s v="8.3"/>
        <s v="8.a.1"/>
        <s v="9.1"/>
        <s v="9.2"/>
        <s v="9.3"/>
        <s v="9.4"/>
        <s v="9.c.1"/>
        <s v="9.c.2"/>
        <s v="9.c.3"/>
        <s v="9.c.4"/>
        <s v="9.c.5"/>
        <s v="9.c.6"/>
        <s v="9.c.7"/>
        <s v="9.c.8"/>
        <s v="9.c.9"/>
        <s v="9.c.10"/>
        <s v="9.c.11"/>
        <s v="9.a.1"/>
        <s v="9.a.2"/>
        <s v="9.a.3"/>
        <s v="9.a.1.1"/>
        <s v="9.a.1.2"/>
        <s v="9.a.1.3"/>
        <s v="9.a.1.4"/>
        <s v="9.a.1.5"/>
        <s v="9.a.2.1"/>
        <s v="9.a.2.2"/>
        <s v="9.a.2.3"/>
        <s v="9.a.2.1.1"/>
        <s v="9.a.2.1.2"/>
        <s v="9.a.2.1.3"/>
        <s v="9.a.2.1.4"/>
        <s v="9.a.2.2.1"/>
        <s v="9.a.2.2.2"/>
        <s v="9.a.2.2.3"/>
        <s v="9.a.2.2.1.1"/>
        <s v="9.a.2.2.1.2"/>
        <s v="9.a.2.2.1.3"/>
        <s v="9.a.2.2.1.4"/>
        <s v="9.a.2.2.1.5"/>
        <s v="9.a.2.2.1.6"/>
        <s v="9.a.2.2.1.7"/>
        <s v="9.a.2.2.1.8"/>
        <s v="9.a.2.2.1.9"/>
        <s v="9.a.2.2.2.1"/>
        <s v="9.a.2.2.2.2"/>
        <s v="9.a.2.2.2.3"/>
        <s v="9.a.2.2.2.4"/>
        <s v="9.a.2.2.2.5"/>
        <s v="9.a.2.2.2.6"/>
        <s v="9.a.2.2.2.7"/>
        <s v="9.a.2.2.2.8"/>
        <s v="9.a.2.2.2.9"/>
        <s v="9.a.2.2.2.10"/>
        <s v="9.a.2.2.2.11"/>
        <s v="9.b.1"/>
        <s v="9.b.2"/>
        <s v="9.b.3"/>
        <s v="9.b.1.1"/>
        <s v="9.b.1.2"/>
        <s v="9.b.2.1"/>
        <s v="9.b.2.2"/>
        <s v="9.b.2.3"/>
        <s v="9.b.2.1.1"/>
        <s v="9.b.2.1.2"/>
        <s v="9.b.2.2.1"/>
        <s v="9.b.2.2.2"/>
        <s v="9.b.2.2.3"/>
        <s v="9.b.2.2.1.1"/>
        <s v="9.b.2.2.1.2"/>
        <s v="9.b.2.2.1.3"/>
        <s v="9.b.2.2.1.4"/>
        <s v="9.b.2.2.1.5"/>
        <s v="9.b.2.2.1.6"/>
        <s v="9.b.2.2.2.1"/>
        <s v="9.b.2.2.2.2"/>
        <s v="9.b.2.2.2.3"/>
        <s v="9.b.2.2.2.4"/>
        <s v="9.b.2.2.2.5"/>
        <s v="9.b.2.2.2.6"/>
        <s v="9.b.2.2.2.7"/>
        <s v="9.b.2.2.2.8"/>
        <s v="9.b.2.2.2.9"/>
        <s v="9.b.2.2.2.10"/>
        <s v="9.b.2.2.2.11"/>
        <s v="10.1"/>
        <s v="10.2"/>
        <s v="10.3"/>
        <s v="10.4"/>
        <s v="10.5"/>
        <s v="10.6"/>
        <s v="10.7"/>
        <s v="10.8"/>
        <s v="10.9"/>
        <s v="10.a.1"/>
        <s v="10.a.2"/>
        <s v="10.a.3"/>
        <s v="10.a.1.1"/>
        <s v="10.a.1.2"/>
        <s v="10.a.1.3"/>
        <s v="10.a.1.4"/>
        <s v="10.a.1.5"/>
        <s v="10.a.1.6"/>
        <s v="10.a.1.7"/>
        <s v="10.a.1.8"/>
        <s v="10.a.1.9"/>
        <s v="10.a.1.10"/>
        <s v="10.a.1.11"/>
        <s v="10.a.1.12"/>
        <s v="10.a.1.13"/>
        <s v="10.a.1.14"/>
        <s v="10.a.1.15"/>
        <s v="10.a.1.16"/>
        <s v="10.a.1.17"/>
        <s v="10.a.1.18"/>
        <s v="10.a.1.19"/>
        <s v="10.a.1.20"/>
        <s v="10.a.1.1.1"/>
        <s v="10.a.1.1.2"/>
        <s v="10.a.1.1.3"/>
        <s v="10.a.1.1.4"/>
        <s v="10.a.1.1.5"/>
        <s v="10.a.1.1.6"/>
        <s v="10.a.1.1.7"/>
        <s v="10.a.1.1.8"/>
        <s v="10.a.1.1.9"/>
        <s v="10.a.1.1.10"/>
        <s v="10.a.1.1.11"/>
        <s v="10.a.1.1.12"/>
        <s v="10.a.1.1.13"/>
        <s v="10.a.1.1.14"/>
        <s v="10.a.1.1.15"/>
        <s v="10.a.1.1.16"/>
        <s v="10.a.1.1.17"/>
        <s v="10.a.1.1.18"/>
        <s v="10.a.1.1.19"/>
        <s v="10.a.1.1.20"/>
        <s v="10.a.1.1.21"/>
        <s v="10.a.1.1.22"/>
        <s v="10.a.1.1.23"/>
        <s v="10.a.1.1.24"/>
        <s v="10.a.1.1.25"/>
        <s v="10.a.1.1.26"/>
        <s v="10.a.1.1.27"/>
        <s v="10.a.1.1.28"/>
        <s v="10.a.1.1.29"/>
        <s v="10.a.1.1.30"/>
        <s v="10.a.1.1.1.1"/>
        <s v="10.a.1.1.1.2"/>
        <s v="10.a.1.1.1.3"/>
        <s v="10.a.1.1.1.4"/>
        <s v="10.a.1.1.1.5"/>
        <s v="10.a.1.1.1.6"/>
        <s v="10.a.1.1.1.7"/>
        <s v="10.a.1.1.1.8"/>
        <s v="10.a.1.1.1.9"/>
        <s v="10.a.1.1.1.10"/>
        <s v="10.a.1.1.1.11"/>
        <s v="10.a.1.1.1.12"/>
        <s v="10.a.1.1.1.13"/>
        <s v="10.a.1.1.1.14"/>
        <s v="10.a.1.1.1.15"/>
        <s v="10.a.1.1.1.16"/>
        <s v="10.a.1.1.1.17"/>
        <s v="10.a.1.1.1.18"/>
        <s v="10.a.1.1.1.19"/>
        <s v="10.a.1.1.1.20"/>
        <s v="10.a.1.1.1.21"/>
        <s v="10.a.1.1.1.22"/>
        <s v="10.a.1.1.1.23"/>
        <s v="10.a.1.1.1.24"/>
        <s v="10.a.1.1.1.25"/>
        <s v="10.a.1.1.1.26"/>
        <s v="10.a.1.1.1.27"/>
        <s v="10.a.1.1.1.28"/>
        <s v="10.a.1.1.1.29"/>
        <s v="10.a.1.1.1.30"/>
        <s v="10.a.1.1.1.31"/>
        <s v="10.a.1.1.1.32"/>
        <s v="10.a.1.1.1.33"/>
        <s v="10.a.1.1.1.34"/>
        <s v="10.a.1.1.1.35"/>
        <s v="10.a.1.1.1.36"/>
        <s v="10.a.1.1.1.37"/>
        <s v="10.a.1.1.1.38"/>
        <s v="10.a.1.1.1.39"/>
        <s v="10.a.1.1.1.40"/>
        <s v="10.a.1.1.1.41"/>
        <s v="10.a.1.1.1.42"/>
        <s v="10.a.1.1.1.43"/>
        <s v="10.a.1.1.1.44"/>
        <s v="10.a.1.1.1.45"/>
        <s v="10.a.1.1.1.46"/>
        <s v="10.a.1.1.1.47"/>
        <s v="10.a.1.1.1.48"/>
        <s v="10.a.1.1.1.49"/>
        <s v="10.a.1.1.1.50"/>
        <s v="10.a.1.1.1.51"/>
        <s v="10.a.1.1.1.52"/>
        <s v="10.a.1.1.1.53"/>
        <s v="10.a.1.1.1.54"/>
        <s v="10.a.1.1.1.55"/>
        <s v="10.a.1.1.1.56"/>
        <s v="10.a.1.1.1.57"/>
        <s v="10.a.1.1.1.58"/>
        <s v="10.a.1.1.1.59"/>
        <s v="10.a.1.1.1.60"/>
        <s v="10.a.1.1.1.61"/>
        <s v="10.a.1.1.1.62"/>
        <s v="10.a.1.1.1.63"/>
        <s v="10.a.1.1.1.64"/>
        <s v="10.a.1.1.1.65"/>
        <s v="10.a.1.1.1.66"/>
        <s v="10.a.1.1.1.67"/>
        <s v="10.a.1.1.1.68"/>
        <s v="10.a.1.1.1.69"/>
        <s v="10.a.1.1.1.70"/>
        <s v="10.a.1.1.1.71"/>
        <s v="10.a.1.1.1.72"/>
        <s v="10.a.1.1.1.73"/>
        <s v="10.a.1.1.1.74"/>
        <s v="10.a.1.1.1.75"/>
        <s v="10.a.1.1.1.76"/>
        <s v="10.a.1.1.1.77"/>
        <s v="10.a.1.1.1.78"/>
        <s v="10.a.1.1.1.79"/>
        <s v="10.a.1.1.1.80"/>
        <s v="10.a.1.1.1.81"/>
        <s v="10.a.1.1.1.82"/>
        <s v="10.a.1.1.1.83"/>
        <s v="10.a.1.1.1.84"/>
        <s v="10.a.1.1.1.85"/>
        <s v="10.a.1.1.1.86"/>
        <s v="10.a.1.1.1.87"/>
        <s v="10.a.1.1.1.88"/>
        <s v="10.a.1.1.1.89"/>
        <s v="10.a.1.1.1.90"/>
        <s v="10.a.1.1.1.91"/>
        <s v="10.a.1.1.1.92"/>
        <s v="10.a.1.1.1.93"/>
        <s v="10.a.1.1.1.94"/>
        <s v="10.a.1.1.1.95"/>
        <s v="10.a.1.1.1.96"/>
        <s v="10.a.1.1.1.97"/>
        <s v="10.a.1.1.1.98"/>
        <s v="10.a.1.1.1.99"/>
        <s v="10.a.1.1.1.100"/>
        <s v="10.a.1.1.1.101"/>
        <s v="10.a.1.1.1.102"/>
        <s v="10.a.1.1.1.103"/>
        <s v="10.a.1.1.1.104"/>
        <s v="10.a.1.1.1.105"/>
        <s v="10.a.1.1.1.106"/>
        <s v="10.a.1.1.1.107"/>
        <s v="10.a.1.1.1.108"/>
        <s v="10.a.1.1.1.109"/>
        <s v="10.a.1.1.1.110"/>
        <s v="10.a.1.1.2.1"/>
        <s v="10.a.1.1.2.2"/>
        <s v="10.a.1.1.2.3"/>
        <s v="10.a.1.1.2.4"/>
        <s v="10.a.1.1.2.5"/>
        <s v="10.a.1.2.1"/>
        <s v="10.a.1.2.2"/>
        <s v="10.a.1.2.3"/>
        <s v="10.a.1.2.4"/>
        <s v="10.a.1.2.5"/>
        <s v="10.a.1.2.6"/>
        <s v="10.a.1.2.7"/>
        <s v="10.a.1.2.8"/>
        <s v="10.a.1.2.9"/>
        <s v="10.a.1.2.10"/>
        <s v="10.a.1.2.11"/>
        <s v="10.a.1.2.12"/>
        <s v="10.a.1.2.13"/>
        <s v="10.a.1.2.14"/>
        <s v="10.a.1.2.15"/>
        <s v="10.a.1.2.16"/>
        <s v="10.a.1.2.17"/>
        <s v="10.a.1.2.18"/>
        <s v="10.a.1.2.19"/>
        <s v="10.a.1.2.20"/>
        <s v="10.a.1.2.21"/>
        <s v="10.a.1.2.22"/>
        <s v="10.a.1.2.23"/>
        <s v="10.a.1.2.24"/>
        <s v="10.a.1.2.25"/>
        <s v="10.a.2.1"/>
        <s v="10.a.2.2"/>
        <s v="10.a.2.3"/>
        <s v="10.a.2.4"/>
        <s v="10.a.2.5"/>
        <s v="10.a.2.6"/>
        <s v="10.a.2.7"/>
        <s v="10.a.2.8"/>
        <s v="10.a.2.9"/>
        <s v="10.a.2.10"/>
        <s v="10.a.2.11"/>
        <s v="10.a.2.12"/>
        <s v="10.a.2.13"/>
        <s v="10.a.2.14"/>
        <s v="10.a.2.15"/>
        <s v="10.a.2.16"/>
        <s v="10.a.2.17"/>
        <s v="10.a.2.18"/>
        <s v="10.a.2.19"/>
        <s v="10.a.2.20"/>
        <s v="10.a.2.21"/>
        <s v="10.a.2.22"/>
        <s v="10.a.2.23"/>
        <s v="10.a.2.24"/>
        <s v="10.a.2.25"/>
        <s v="10.a.2.1.1"/>
        <s v="10.a.2.1.2"/>
        <s v="10.a.2.1.3"/>
        <s v="10.a.2.1.1.1"/>
        <s v="10.a.2.1.1.2"/>
        <s v="10.a.2.1.1.3"/>
        <s v="10.a.2.1.1.4"/>
        <s v="10.a.2.1.1.5"/>
        <s v="10.a.2.1.1.6"/>
        <s v="10.a.2.1.1.7"/>
        <s v="10.a.2.1.1.8"/>
        <s v="10.a.2.1.1.9"/>
        <s v="10.a.2.1.1.10"/>
        <s v="10.a.2.1.1.11"/>
        <s v="10.a.2.1.1.12"/>
        <s v="10.a.2.1.1.13"/>
        <s v="10.a.2.1.1.14"/>
        <s v="10.a.2.1.1.15"/>
        <s v="10.a.2.1.1.16"/>
        <s v="10.a.2.1.1.17"/>
        <s v="10.a.2.1.1.18"/>
        <s v="10.a.2.1.1.19"/>
        <s v="10.a.2.1.1.20"/>
        <s v="10.a.2.1.1.21"/>
        <s v="10.a.2.1.1.22"/>
        <s v="10.a.2.1.1.23"/>
        <s v="10.a.2.1.1.24"/>
        <s v="10.a.2.1.1.25"/>
        <s v="10.a.2.1.1.26"/>
        <s v="10.a.2.1.1.27"/>
        <s v="10.a.2.1.1.28"/>
        <s v="10.a.2.1.1.29"/>
        <s v="10.a.2.1.1.30"/>
        <s v="10.a.2.1.1.31"/>
        <s v="10.a.2.1.1.32"/>
        <s v="10.a.2.1.1.33"/>
        <s v="10.a.2.1.1.34"/>
        <s v="10.a.2.1.1.35"/>
        <s v="10.a.2.1.1.36"/>
        <s v="10.a.2.1.1.37"/>
        <s v="10.a.2.1.1.38"/>
        <s v="10.a.2.1.1.39"/>
        <s v="10.a.2.1.1.40"/>
        <s v="10.a.2.1.1.41"/>
        <s v="10.a.2.1.1.42"/>
        <s v="10.a.2.1.1.43"/>
        <s v="10.a.2.1.1.44"/>
        <s v="10.a.2.1.1.45"/>
        <s v="10.a.2.1.1.46"/>
        <s v="10.a.2.1.1.47"/>
        <s v="10.a.2.1.1.48"/>
        <s v="10.a.2.1.1.49"/>
        <s v="10.a.2.1.1.50"/>
        <s v="10.a.2.1.1.51"/>
        <s v="10.a.2.1.1.52"/>
        <s v="10.a.2.1.1.53"/>
        <s v="10.a.2.1.1.54"/>
        <s v="10.a.2.1.1.55"/>
        <s v="10.a.2.1.1.56"/>
        <s v="10.a.2.1.1.57"/>
        <s v="10.a.2.1.1.58"/>
        <s v="10.a.2.1.1.59"/>
        <s v="10.a.2.1.1.60"/>
        <s v="10.a.2.1.1.61"/>
        <s v="10.a.2.1.1.62"/>
        <s v="10.a.2.1.1.63"/>
        <s v="10.a.2.1.1.64"/>
        <s v="10.a.2.1.1.65"/>
        <s v="10.a.2.1.1.66"/>
        <s v="10.a.2.1.1.67"/>
        <s v="10.a.2.1.1.68"/>
        <s v="10.a.2.1.1.69"/>
        <s v="10.a.2.1.1.70"/>
        <s v="10.a.2.1.1.71"/>
        <s v="10.a.2.1.1.72"/>
        <s v="10.a.2.1.1.73"/>
        <s v="10.a.2.1.1.74"/>
        <s v="10.a.2.1.1.75"/>
        <s v="10.a.2.1.1.76"/>
        <s v="10.a.2.1.1.77"/>
        <s v="10.a.2.1.1.78"/>
        <s v="10.a.2.1.1.79"/>
        <s v="10.a.2.1.1.80"/>
        <s v="10.a.2.1.1.81"/>
        <s v="10.a.2.1.1.82"/>
        <s v="10.a.2.1.1.83"/>
        <s v="10.a.2.1.1.84"/>
        <s v="10.a.2.1.1.85"/>
        <s v="10.a.2.1.1.86"/>
        <s v="10.a.2.1.1.87"/>
        <s v="10.a.2.1.1.88"/>
        <s v="10.a.2.1.1.89"/>
        <s v="10.a.2.1.1.90"/>
        <s v="10.a.2.1.1.91"/>
        <s v="10.a.2.1.1.92"/>
        <s v="10.a.2.1.1.93"/>
        <s v="10.a.2.1.1.94"/>
        <s v="10.a.2.1.1.95"/>
        <s v="10.a.2.1.1.96"/>
        <s v="10.a.2.1.1.97"/>
        <s v="10.a.2.1.1.98"/>
        <s v="10.a.2.1.1.99"/>
        <s v="10.a.2.1.1.100"/>
        <s v="10.a.2.1.1.101"/>
        <s v="10.a.2.1.1.102"/>
        <s v="10.a.2.1.1.103"/>
        <s v="10.a.2.1.1.104"/>
        <s v="10.a.2.1.1.105"/>
        <s v="10.a.2.1.1.106"/>
        <s v="10.a.2.1.1.107"/>
        <s v="10.a.2.1.1.108"/>
        <s v="10.a.2.1.1.109"/>
        <s v="10.a.2.1.1.110"/>
        <s v="10.a.2.1.2.1"/>
        <s v="10.a.2.1.2.2"/>
        <s v="10.a.2.1.2.3"/>
        <s v="10.a.2.1.2.4"/>
        <s v="10.a.2.1.2.5"/>
        <s v="10.a.2.2.1"/>
        <s v="10.a.2.2.2"/>
        <s v="10.a.2.2.3"/>
        <s v="10.a.2.2.4"/>
        <s v="10.a.2.2.5"/>
        <s v="10.a.2.2.6"/>
        <s v="10.a.2.2.7"/>
        <s v="10.a.2.2.8"/>
        <s v="10.a.2.2.9"/>
        <s v="10.a.2.2.10"/>
        <s v="10.a.2.2.11"/>
        <s v="10.a.2.2.12"/>
        <s v="10.a.2.2.13"/>
        <s v="10.a.2.2.14"/>
        <s v="10.a.2.2.15"/>
        <s v="10.a.2.2.16"/>
        <s v="10.a.2.2.17"/>
        <s v="10.a.2.2.18"/>
        <s v="10.a.2.2.19"/>
        <s v="10.a.2.2.20"/>
        <s v="10.a.2.2.21"/>
        <s v="10.a.2.2.22"/>
        <s v="10.a.2.2.23"/>
        <s v="10.a.2.2.24"/>
        <s v="10.a.2.2.25"/>
        <s v="10.b.1"/>
        <s v="10.b.2"/>
        <s v="10.b.3"/>
        <s v="10.b.4"/>
        <s v="10.b.5"/>
        <s v="11.1"/>
      </sharedItems>
    </cacheField>
    <cacheField name="Dækket i x testcases" numFmtId="0">
      <sharedItems containsSemiMixedTypes="0" containsString="0" containsNumber="1" containsInteger="1" minValue="0" maxValue="12"/>
    </cacheField>
    <cacheField name="Dækket" numFmtId="0">
      <sharedItems count="2">
        <s v="Ja"/>
        <s v="Nej"/>
      </sharedItems>
    </cacheField>
    <cacheField name="Beskrivelse" numFmtId="0">
      <sharedItems containsBlank="1" count="267" longText="1">
        <s v="Modtagelsesperioden: Vi vil ikke konfigurere fordringer, der er modtaget før den 1. september 2013"/>
        <s v="Fordringsart: Som udgangspunkt foretages der en konfiguration i forhold til både inddrivelses- og modregningsfordringer, og der spørges ikke ind til opkrævningsfordringer."/>
        <s v="Som udgangspunkt skal Regel R0007 være deaktiveret"/>
        <s v="Som udgangspunkt skal Regel R0008 være deaktiveret"/>
        <s v="Der skal være angivet datoen 1. september 2013 som default i ”FordringensModtagelsesDatoFra”"/>
        <s v="Der skal være angivet et ”NEJ” i ”Stoler RIM på fordringshavers forældelsesdato” "/>
        <s v="Der skal være angivet et ”NEJ” i ”Vil RIM beregne en forældelsesdato”."/>
        <s v="Hvis det angivne fordringshaverID er på færre end 4 cifre skal den numeriskeværdi foranstilles med nuller"/>
        <s v="FordringshaverID formatet skal være et tekstfelt eller dropdown menu"/>
        <s v="FordringshaverID'et skal gemmes i populationen"/>
        <s v="Fordringstyperne skal listes i en drop-down menu bestående af alle tilgængelige fordringstyper"/>
        <s v="Den valgte fordringstype skal gemmes i populationen"/>
        <s v="Såfremt den valgte modtagelsesdato ligger før d. 1 september 2013 skal der komme en advarsel"/>
        <s v="Det skal være muligt for brugeren at afgrænse en periode via to datofelter (fra og til)"/>
        <s v="Den valgte afgrænsningsperiode skal gemmes i populationen"/>
        <s v="Hvis der angives en afgræsningsperiode før d. 1/9-2013, skal der komme en advarselsboks op med to muligheder: 1) &quot;Afgræns ny periode&quot; eller 2) &quot;Fortsæt med den valgte afgræsning&quot;."/>
        <s v="Det skal være muligt for brugeren at markere hvorvidt en fordringshavers registreringspraksis har været det samme i hele den afgrænsede modtagelsesperiode. "/>
        <s v="Såfremt brugeren svarer nej til spørgsmålet skal brugeren ledes videre til spørgsmål 4.a"/>
        <s v="Såfremt brugeren svarer ja til spørgsmålet skal brugeren ledes videre til spørgsmål 5"/>
        <s v="Det skal være muligt for RIM at afgrænse en periode, hvor fordringshavers registreringspraksis har været den samme i hele den afgrænsede periode"/>
        <s v="Der skal være checkbokse med svarmulighederne:_x000a_1. ”at der enten foretages en tilpasning af den allerede afgrænsede modtagelses-periode”_x000a_2. ”at der foretages en perio-demæssig afgrænsning af den allerede afgrænsede modtagelsesperiode via ét eller flere af stamdatafel-terne”_x000a_3. ”NEJ/VED IKKE”"/>
        <s v="Såfremt brugeren vælger ”at der enten foretages en tilpasning af den allerede afgrænsede modtagelses-periode” skal brugeren ledes videre til spørgsmål 4.a.1"/>
        <s v="Såfremt brugeren vælger ”at der foretages en perio-demæssig afgrænsning af den allerede afgrænsede modtagelsesperiode via ét eller flere af stamdatafelterne” skal brugeren ledes videre til spørgsmål 4.a.2"/>
        <s v="Såfremt brugeren vælger ”NEJ/VED IKKE” skal brugeren ledes videre til spørgsmål 4.a.3"/>
        <s v="Såfremt brugeren vælger ”at der enten foretages en tilpasning af den allerede afgrænsede modtagelses-periode” skal modtagelsesstart datoen pr. default være sat til 1. september 2013."/>
        <s v="Der skal være en infoboks med teksten: ”Hvis du vælger at afgrænse modtagelsesperioden via et eller flere af stamdatafelterne, da vil modtagelsesdato pr. default være sat til 1. september 2013. Formålet hermed er at undgå, at der utilsigtet medtages konverterede fordringer. Du har mulighed for at ændre default-datoen i det underliggende Excel ark.” "/>
        <s v="Det skal være muligt for brugeren at justere den allerede afgrænsede modtagelsesperiode "/>
        <s v="Den nye afgrænsede modtagelsesperiode skal gemmes i populationen"/>
        <s v="Brugeren ledes videre til spørgsmål 5"/>
        <s v="Brugeren skal kunne bekræfte, hvorvidt stamdata for inddrivelses- og modregningsfordringer i den afgrænsede population til hver tid er registreret efter samme praksis"/>
        <s v="Brugeren skal have mulighed for at bekræfte dette via Ja / Nej knapper"/>
        <s v="Såfremt brugeren vælger &quot;Ja&quot; skal brugeren ledes videre til spørgsmål 5.a"/>
        <s v="Såfremt brugeren vælger &quot;Nej&quot; skal spørgeskemaet ikke fortsætte."/>
        <s v="Det skal være muligt for brugeren at vælge hvilken fordringsart der ønskes at lave en konfiguration for (inddrivelses eller modregningsfordring) "/>
        <s v="Såfremt brugeren vælger &quot;inddrivelsesfordringer&quot; skal brugeren ledes videre til spørgsmål 5.b.1 "/>
        <s v="Såfremt brugeren vælger &quot;modregningsfordringer&quot; skal brugeren ledes videre til spørgsmål 5.b.2 "/>
        <s v="R0006 skal aktiveres"/>
        <s v="R0007 skal aktiveres"/>
        <s v="R0008 skal deaktiveres"/>
        <s v="Såfremt 5.b.1 ruten tages skal spørgsmål 15 ikke stilles for denne konfiguration. "/>
        <s v="Brugeren skal ledes videre til spørgsmål 6"/>
        <s v="R0007 skal deaktiveres"/>
        <s v="R0008 skal aktiveres"/>
        <s v="Såfremt 5.b.2 ruten tages skal spørgsmål 14 ikke stilles for denne konfiguration. "/>
        <s v="Det skal være muligt for brugeren at bekræfte via Ja/Nej, hvorvidt et eller flere krav i den afgrænsede population er underlagt udenlandske forældelsesregler"/>
        <s v="Såfremt brugeren vælger &quot;Ja&quot; skal brugeres ledes til spørgsmål 6.a"/>
        <s v="Såfremt brugeren vælger &quot;Nej&quot; skal brugeres ledes til spørgsmål 7"/>
        <s v="Spørgeskemaet skal afsluttes da den valgte konfiguration ikke understøttes af spørgeskemaet. "/>
        <s v="Det skal være muligt for brugeren, via Ja/Nej, at svare på om der er registreret et eller flere krav id en afgrænsede population der er udtryk for rente eller lignende ydelse"/>
        <s v="Såfremt brugeren vælger &quot;Ja&quot; skal brugeres ledes til spørgsmål 7.a"/>
        <s v="Såfremt brugeren vælger &quot;Nej&quot; skal brugeres ledes til spørgsmål 8"/>
        <s v="Det skal være muligt for brugeren, via Ja/Nej, at svare på om der er registreret et eller flere krav i  den afgrænsede population der er udtryk for flere krav, men som er registeret som et samlet krav"/>
        <s v="Såfremt brugeren vælger &quot;Ja&quot; skal brugeres ledes til spørgsmål 8.a"/>
        <s v="Såfremt brugeren vælger &quot;Nej&quot; skal brugeres ledes til spørgsmål 9"/>
        <s v="Det skal være muligt for brugeren, via checkbokse, at svare på om der altid, i visse tilfælde eller aldrig er indsendt en FOKO for de fordringer, der er afsendt af den afgrænsede population"/>
        <s v="Såfremt brugeren vælger &quot;Altid&quot; skal brugeren ledes til spørgsmål 9.a"/>
        <s v="Såfremt brugeren vælger &quot;I visse tilfælde&quot; skal brugeren ledes til spørgsmål 9.b"/>
        <s v="Såfremt brugeren vælger &quot;Aldrig&quot; skal brugeren ledes til spørgsmål 9.c"/>
        <s v="Der angives et ”NEJ” i populationen under ”Stoler RIM på fordringshavers forældelsesdato” "/>
        <s v="Regel R0042 skal aktiveres"/>
        <s v="Regel R0042's Varighed X skal sættes til blank"/>
        <s v="Regel R0043 skal aktiveres"/>
        <s v="Regel R0043's Varighed X skal sættes til blank"/>
        <s v="Regel R0044 skal aktiveres"/>
        <s v="Regel R0044's Varighed X skal sættes til blank"/>
        <s v="Regel R0045 skal aktiveres"/>
        <s v="Regel R0045's Varighed X skal sættes til blank"/>
        <s v="Regel R0046 skal aktiveres"/>
        <s v="Regel R0046's Varighed X skal sættes til blank"/>
        <s v="Såfremt brugeren vælger &quot;Ja&quot; skal brugeres ledes til spørgsmål 9.a.1"/>
        <s v="Såfremt brugeren vælger &quot;Nej&quot; skal brugeres ledes til spørgsmål 9.a.2"/>
        <s v="Gruppe 1 deaktiveres"/>
        <s v="Gruppe 2 aktiveres"/>
        <s v="Der angives et ”JA” i populationen under ”Stoler RIM på fordringshaveres forældel-sesdato?”"/>
        <s v="Der angives et ”NEJ” i populationen under ”Vil RIM beregne en tidligst mulig forældel-sesdato?”"/>
        <s v="Videre til spørgsmål vedrørende frasortering (Spørgsmål 11)"/>
        <s v="Det skal være muligt for brugeren, via Ja/Nej, at svare på om fordringshavers forældelsesdato til en hver tid er registreret tidligere end den faktisk forældelsesdato? "/>
        <s v="Såfremt brugeren vælger &quot;Ja&quot; skal brugeres ledes til spørgsmål 9.a.2.1"/>
        <s v="Såfremt brugeren vælger &quot;Nej&quot; skal brugeres ledes til spørgsmål 9.a.2.2"/>
        <s v="Der angives et ”JA” i populationen under ”Stoler RIM på fordringshaveres forældelsesdato?”"/>
        <s v="Det skal være muligt for brugeren, via et tekstfelt med &quot;Hvis antal dage kan angives&quot; og mulighed for at svare &quot;Ved ikke&quot;, på hvor mange dage efter den faktiske forældelsesdato foko senest vil være registreret?"/>
        <s v="Såfremt brugeren vælger &quot;Hvis antal dage kan angives&quot; skal brugeres ledes til spørgsmål 9.a.2.2.1"/>
        <s v="Såfremt brugeren vælger &quot;Ved ikke&quot; skal brugeres ledes til spørgsmål 9.a.2.2.2"/>
        <s v="Antallet af dage indsættes i [Varighed_X] i R0042"/>
        <s v="Antallet af dage indsættes i [Varighed_X] i R0043"/>
        <s v="Antallet af dage indsættes i [Varighed_X] i R0044"/>
        <s v="Antallet af dage indsættes i [Varighed_X] i R0045"/>
        <s v="Antallet af dage indsættes i [Varighed_X] i R0046"/>
        <s v="Der angives et ”NEJ” i populationen under ”Vil RIM beregne en tidligst mulig forældelsesdato?”"/>
        <s v="Der skal angives et ”NEJ” i ”Stoler RIM på fordringshavers forældelsesdato”  i regel arket"/>
        <s v="Det skal være muligt for brugeren, via Ja/Nej, at bekræfte om fordringhavers forældelsesdato til en hver tid er registreret korrekt."/>
        <s v="Såfremt brugeren vælger &quot;Ja&quot; skal brugeren ledes til spørgsmål 9.b.1"/>
        <s v="Såfremt brugeren vælger &quot;Nej&quot; skal brugeren ledes til spørgsmål 9.b.2"/>
        <s v="Der angives et ”JA” i populationen under ”Stoler RIM på fordringshavers forældelsesdato?”"/>
        <s v="Det skal være muligt for brugeren, via Ja/Nej, at bekræfte om fordringhavers forældelsesdatotil til en hver tid er registreret tidligere end den faktiske forældelsesdato."/>
        <s v="Såfremt brugeren vælger &quot;Ja&quot; skal brugeren ledes til spørgsmål 9.b.2.1"/>
        <s v="Såfremt brugeren vælger &quot;Nej&quot; skal brugeren ledes til spørgsmål 9.b.2.2"/>
        <s v="Såfremt brugeren vælger &quot;Hvis antal dage kan angives&quot; skal brugeres ledes til spørgsmål 9.b.2.2.1"/>
        <s v="Såfremt brugeren vælger &quot;Ved ikke&quot; skal brugeres ledes til spørgsmål 9.b.2.2.2"/>
        <s v="Regel R0042's Varighed X skal sættes til det angivne fra 9.b.2.2"/>
        <s v="Regel R0043's Varighed X skal sættes til det angivne fra 9.b.2.2"/>
        <s v="Regel R0044's Varighed X skal sættes til det angivne fra 9.b.2.2"/>
        <s v="Regel R0045's Varighed X skal sættes til det angivne fra 9.b.2.2"/>
        <s v="Regel R0046's Varighed X skal sættes til det angivne fra 9.b.2.2"/>
        <s v="Det skal være muligt for brugeren at vælge minimum et stamdatafelt, før RIM kan beregne en tidligst mulig f orædelsesdato"/>
        <s v="Formen skal bestå af checkbokse med følgende muligheder : &quot;Stiftelsesdato&quot;, &quot;Forfaldsdato&quot;, &quot;Sidste rettidige betalingsdato&quot;, &quot;Periode start&quot;, Periode slut&quot; og &quot;Ingen&quot;."/>
        <s v="Brugeren skal præsenteres for spørgsmålene fra 10.a, for hvert valgt stamdatafelt."/>
        <s v="Såfremt brugeren vælger et eller flere af stamdatafelterne, hvor stiftelsesdato er i blandt, skal brugeren ledes til spørgsmål 10.a via form 29"/>
        <s v="Såfremt brugeren vælger et eller flere af stamdatafelterne, hvor forfaldsdato er i blandt, skal brugeren ledes til spørgsmål 10.a via form 28"/>
        <s v="Såfremt brugeren vælger et eller flere af stamdatafelterne, hvor sidste rettidige betalingsdato er i blandt, skal brugeren ledes til spørgsmål 10.a via form 32"/>
        <s v="Såfremt brugeren vælger et eller flere af stamdatafelterne, hvor periode start er i blandt, skal brugeren ledes til spørgsmål 10.a via form 30"/>
        <s v="Såfremt brugeren vælger et eller flere af stamdatafelterne, hvor periode slut er i blandt, skal brugeren ledes til spørgsmål 10.a via form 31"/>
        <s v="Såfremt brugeren vælger &quot;Ingen&quot; skal brugeren ledes til spørgsmål 10.b"/>
        <s v="Det skal være muligt for brugeren, med checkbokse, at vælge om begyndelsestidspunktet for forældelsesfristen altid beregnes &quot;Før&quot; eller &quot;Samme dag eller senere&quot; "/>
        <s v="Såfremt brugeren vælger &quot;før&quot;, skal felterne fra spørgsmål 10.a.1 vises "/>
        <s v="Såfremt brugeren vælger &quot;Samme dag eller senere&quot;, skal felterne fra spørgsmål 10.a.2"/>
        <s v="Det skal være muligt for brugeren, via tekstfelt, at udfylde det antal dage, for hvor lang tid før det [valgte stamdatafelt] kan begyndelsestidspunktet for forældelsesfristens beregning tidligst ligge for den afgrænsede population."/>
        <s v="Det skal være muligt for brugeren at svare &quot;ved ikke&quot;, såfremt at der ikke vides, hvor lang tid før det [valgte stamdatafelt] kan begyndelsestidspunktet for forældelsesfristens beregning tidligst ligge for den afgrænsede population."/>
        <s v="Såfremt brugeren angiver antal dage skal brugeren ledes til spørgsmål 10.a.1.1"/>
        <s v="Såfremt brugeren angiver &quot;ved ikke&quot; skal brugeren ledes til 10.a.1.2 "/>
        <s v="Der skal fremgå en infoboks med teksten: ”Normalt” er fordringer undergivet en 3 års forældelsesfrist”."/>
        <s v="Det skal være muligt for brugeren, via tekstfelt, at definere den korteste mulige fristlængde for forældelsesfristens beregning for krav omfattet af den afgrænsede population."/>
        <s v="Det skal være muligt for brugeren at svare &quot;ved ikke&quot;, såfremt at den korteste mulige fristlængde for forældelsesfristens beregning for krav omfattet af den afgrænsede population ikke vides."/>
        <s v="Der skal være en boks, hvor man kan vælge &quot;3 år&quot; som den korteste mulige fristlængde for forældelsesfristens beregning."/>
        <s v="Såfremt brugeren angiver en frist skal brugeren ledes til spørgsmål 10.a.1.1.1"/>
        <s v="Såfremt brugeren angiver &quot;ved ikke&quot; skal brugeren ledes til 10.a.1.1.2"/>
        <s v="Gruppe 1 aktiveres"/>
        <s v="Hvis forfaldsdato er valgt: Regel R0047 aktiveres"/>
        <s v="Hvis forfaldsdato er valgt: Regel R0048 aktiveres"/>
        <s v="Hvis forfaldsdato er valgt: Regel R0049 aktiveres"/>
        <s v="Hvis forfaldsdato er valgt: Regel R0050 aktiveres"/>
        <s v="Hvis stiftelsesdato er valgt: Regel R0051 aktiveres"/>
        <s v="Hvis stiftelsesdato er valgt: Regel R0052 aktiveres"/>
        <s v="Hvis stiftelsesdato er valgt: Regel R0053 aktiveres"/>
        <s v="Hvis stiftelsesdato er valgt: Regel R0054 aktiveres"/>
        <s v="Hvis FordringsStartDato er valgt: Regel R0055 aktiveres"/>
        <s v="Hvis FordringsStartDato er valgt: Regel R0056 aktiveres"/>
        <s v="Hvis FordringsStartDato er valgt: Regel R0057 aktiveres"/>
        <s v="Hvis FordringsStartDato er valgt: Regel R0058 aktiveres"/>
        <s v="Hvis FordringsSlutDato er valgt: Regel R0059 aktiveres"/>
        <s v="Hvis FordringsSlutDato er valgt: Regel R0060 aktiveres"/>
        <s v="Hvis FordringsSlutDato er valgt: Regel R0061 aktiveres"/>
        <s v="Hvis FordringsSlutDato er valgt: Regel R0062 aktiveres"/>
        <s v="Hvis SRBDato er valgt: Regel R0063 aktiveres"/>
        <s v="Hvis SRBDato er valgt: Regel R0064 aktiveres"/>
        <s v="Hvis SRBDato er valgt: Regel R0065 aktiveres"/>
        <s v="Hvis SRBDato er valgt: Regel R0066 aktiveres"/>
        <s v="Hvis ForfaldsDato er valgt: Regel R0067 aktiveres"/>
        <s v="Hvis StiftelsesDato er valgt: Regel R0068 aktiveres"/>
        <s v="Hvis FordringsStartDato er valgt: Regel R0069 aktiveres"/>
        <s v="Hvis FordringsSlutDato er valgt: Regel R0070 aktiveres"/>
        <s v="Hvis SRBDato er valgt: Regel R0071 aktiveres"/>
        <s v="Hvis forfaldsdato ikke er valgt: Regel R0047 deaktiveres"/>
        <s v="Hvis forfaldsdato ikke er valgt: Regel R0048 deaktiveres"/>
        <s v="Hvis forfaldsdato ikke er valgt: Regel R0049 deaktiveres"/>
        <s v="Hvis forfaldsdato ikke er valgt: Regel R0050 deaktiveres"/>
        <s v="Hvis stiftelsesdato ikke er valgt: Regel R0051 deaktiveres"/>
        <s v="Hvis stiftelsesdato ikke er valgt: Regel R0052 deaktiveres"/>
        <s v="Hvis stiftelsesdato ikke er valgt: Regel R0053 deaktiveres"/>
        <s v="Hvis stiftelsesdato ikke er valgt: Regel R0054 deaktiveres"/>
        <s v="Hvis FordringsStartDato ikke er valgt: Regel R0055 deaktiveres"/>
        <s v="Hvis FordringsStartDato ikke er valgt: Regel R0056 deaktiveres"/>
        <s v="Hvis FordringsStartDato ikke er valgt: Regel R0057 deaktiveres"/>
        <s v="Hvis FordringsStartDato ikke er valgt: Regel R0058 deaktiveres"/>
        <s v="Hvis FordringsSlutDato ikke er valgt: Regel R0059 deaktiveres"/>
        <s v="Hvis FordringsSlutDato ikke er valgt: Regel R0060 deaktiveres"/>
        <s v="Hvis FordringsSlutDato ikke er valgt: Regel R0061 deaktiveres"/>
        <s v="Hvis FordringsSlutDato ikke er valgt: Regel R0062 deaktiveres"/>
        <s v="Hvis SRBDato ikke er valgt: Regel R0063 deaktiveres"/>
        <s v="Hvis SRBDato ikke er valgt: Regel R0064 deaktiveres"/>
        <s v="Hvis SRBDato ikke er valgt: Regel R0065 deaktiveres"/>
        <s v="Hvis SRBDato ikke er valgt: Regel R0066 deaktiveres"/>
        <s v="Hvis ForfaldsDato ikke er valgt: Regel R0067 deaktiveres"/>
        <s v="Hvis StiftelsesDato ikke er valgt: Regel R0068 deaktiveres"/>
        <s v="Hvis FordringsStartDato ikke er valgt: Regel R0069 deaktiveres"/>
        <s v="Hvis FordringsSlutDato ikke er valgt: Regel R0070 deaktiveres"/>
        <s v="Hvis SRBDato ikke er valgt: Regel R0071 deaktiveres"/>
        <s v="Hvis ForfaldsDato er valgt: Fristlængden indsættes i Regel R0047 - fristlængden beregnes ved at fratrække værdien fra spm. 10.a.1 med værdien fra 10.a.1.1"/>
        <s v="Hvis ForfaldsDato er valgt: Fristlængden indsættes i Regel R0048 - fristlængden beregnes ved at fratrække værdien fra spm. 10.a.1 med værdien fra 10.a.1.1"/>
        <s v="Hvis ForfaldsDato er valgt: Fristlængden indsættes i Regel R0049 - fristlængden beregnes ved at fratrække værdien fra spm. 10.a.1 med værdien fra 10.a.1.1"/>
        <s v="Hvis ForfaldsDato er valgt: Fristlængden indsættes i Regel R0050 - fristlængden beregnes ved at fratrække værdien fra spm. 10.a.1 med værdien fra 10.a.1.1"/>
        <s v="Hvis StiftelsesDato er valgt: Fristlængden indsættes i Regel R0051 - fristlængden beregnes ved at fratrække værdien fra spm. 10.a.1 med værdien fra 10.a.1.1"/>
        <s v="Hvis StiftelsesDato er valgt: Fristlængden indsættes i Regel R0052 - fristlængden beregnes ved at fratrække værdien fra spm. 10.a.1 med værdien fra 10.a.1.1"/>
        <s v="Hvis StiftelsesDato er valgt: Fristlængden indsættes i Regel R0053 - fristlængden beregnes ved at fratrække værdien fra spm. 10.a.1 med værdien fra 10.a.1.1"/>
        <s v="Hvis StiftelsesDato er valgt: Fristlængden indsættes i Regel R0054 - fristlængden beregnes ved at fratrække værdien fra spm. 10.a.1 med værdien fra 10.a.1.1"/>
        <s v="Hvis FordringsStartDato er valgt: Fristlængden indsættes i Regel R0055 - fristlængden beregnes ved at fratrække værdien fra spm. 10.a.1 med værdien fra 10.a.1.1"/>
        <s v="Hvis FordringsStartDato er valgt: Fristlængden indsættes i Regel R0056 - fristlængden beregnes ved at fratrække værdien fra spm. 10.a.1 med værdien fra 10.a.1.1"/>
        <s v="Hvis FordringsStartDato er valgt: Fristlængden indsættes i Regel R0057 - fristlængden beregnes ved at fratrække værdien fra spm. 10.a.1 med værdien fra 10.a.1.1"/>
        <s v="Hvis FordringsStartDato er valgt: Fristlængden indsættes i Regel R0058 - fristlængden beregnes ved at fratrække værdien fra spm. 10.a.1 med værdien fra 10.a.1.1"/>
        <s v="Hvis FordringsSlutDato er valgt: Fristlængden indsættes i Regel R0059 - fristlængden beregnes ved at fratrække værdien fra spm. 10.a.1 med værdien fra 10.a.1.1"/>
        <s v="Hvis FordringsSlutDato er valgt: Fristlængden indsættes i Regel R0060 - fristlængden beregnes ved at fratrække værdien fra spm. 10.a.1 med værdien fra 10.a.1.1"/>
        <s v="Hvis FordringsSlutDato er valgt: Fristlængden indsættes i Regel R0061 - fristlængden beregnes ved at fratrække værdien fra spm. 10.a.1 med værdien fra 10.a.1.1"/>
        <s v="Hvis FordringsSlutDato er valgt: Fristlængden indsættes i Regel R0062 - fristlængden beregnes ved at fratrække værdien fra spm. 10.a.1 med værdien fra 10.a.1.1"/>
        <s v="Hvis SRBDato er valgt: Fristlængden indsættes i Regel R0063 - fristlængden beregnes ved at fratrække værdien fra spm. 10.a.1 med værdien fra 10.a.1.1"/>
        <s v="Hvis SRBDato er valgt: Fristlængden indsættes i Regel R0064 - fristlængden beregnes ved at fratrække værdien fra spm. 10.a.1 med værdien fra 10.a.1.1"/>
        <s v="Hvis SRBDato er valgt: Fristlængden indsættes i Regel R0065 - fristlængden beregnes ved at fratrække værdien fra spm. 10.a.1 med værdien fra 10.a.1.1"/>
        <s v="Hvis SRBDato er valgt: Fristlængden indsættes i Regel R0066 - fristlængden beregnes ved at fratrække værdien fra spm. 10.a.1 med værdien fra 10.a.1.1"/>
        <s v="Hvis ForfaldsDato er valgt: Fristlængden indsættes i Regel R0067 - fristlængden beregnes ved at fratrække værdien fra spm. 10.a.1 med værdien fra 10.a.1.1"/>
        <s v="Hvis StiftelsesDato er valgt: Fristlængden indsættes i Regel R0068 - fristlængden beregnes ved at fratrække værdien fra spm. 10.a.1 med værdien fra 10.a.1.1"/>
        <s v="Hvis FordringsStartDato er valgt: Fristlængden indsættes i Regel R0069 - fristlængden beregnes ved at fratrække værdien fra spm. 10.a.1 med værdien fra 10.a.1.1"/>
        <s v="Hvis FordringsSlutDato er valgt: Fristlængden indsættes i Regel R0070 - fristlængden beregnes ved at fratrække værdien fra spm. 10.a.1 med værdien fra 10.a.1.1"/>
        <s v="Hvis SRBDato er valgt: Fristlængden indsættes i Regel R0071 - fristlængden beregnes ved at fratrække værdien fra spm. 10.a.1 med værdien fra 10.a.1.1"/>
        <s v="Hvis ForfaldsDato ikke er valgt: Fristlængden indsættes ikke for Regel R0047"/>
        <s v="Hvis ForfaldsDato ikke er valgt: Fristlængden indsættes ikke for Regel R0048"/>
        <s v="Hvis ForfaldsDato ikke er valgt: Fristlængden indsættes ikke for Regel R0049"/>
        <s v="Hvis ForfaldsDato ikke er valgt: Fristlængden indsættes ikke for Regel R0050"/>
        <s v="Hvis StiftelsesDato ikke er valgt: Fristlængden indsættes ikke for Regel R0051"/>
        <s v="Hvis StiftelsesDato ikke er valgt: Fristlængden indsættes ikke for Regel R0052"/>
        <s v="Hvis StiftelsesDato ikke er valgt: Fristlængden indsættes ikke for Regel R0053"/>
        <s v="Hvis StiftelsesDato ikke er valgt: Fristlængden indsættes ikke for Regel R0054"/>
        <s v="Hvis FordringsStartDato ikke er valgt: Fristlængden indsættes ikke for Regel R0055"/>
        <s v="Hvis FordringsStartDato ikke er valgt: Fristlængden indsættes ikke for Regel R0056"/>
        <s v="Hvis FordringsStartDato ikke er valgt: Fristlængden indsættes ikke for Regel R0057"/>
        <s v="Hvis FordringsStartDato ikke er valgt: Fristlængden indsættes ikke for Regel R0058"/>
        <s v="Hvis FordringsSlutDato ikke er valgt: Fristlængden indsættes ikke for Regel R0059"/>
        <s v="Hvis FordringsSlutDato ikke er valgt: Fristlængden indsættes ikke for Regel R0060"/>
        <s v="Hvis FordringsSlutDato ikke er valgt: Fristlængden indsættes ikke for Regel R0061"/>
        <s v="Hvis FordringsSlutDato ikke er valgt: Fristlængden indsættes ikke for Regel R0062"/>
        <s v="Hvis SRBDato ikke er valgt: Fristlængden indsættes ikke for Regel R0063"/>
        <s v="Hvis SRBDato ikke er valgt: Fristlængden indsættes ikke for Regel R0064"/>
        <s v="Hvis SRBDato ikke er valgt: Fristlængden indsættes ikke for Regel R0065"/>
        <s v="Hvis SRBDato ikke er valgt: Fristlængden indsættes ikke for Regel R0066"/>
        <s v="Hvis ForfaldsDato ikke er valgt: Fristlængden indsættes ikke for Regel R0067"/>
        <s v="Hvis StiftelsesDato ikke er valgt: Fristlængden indsættes ikke for Regel R0068"/>
        <s v="Hvis FordringsStartDato ikke er valgt: Fristlængden indsættes ikke for Regel R0069"/>
        <s v="Hvis FordringsSlutDato ikke er valgt: Fristlængden indsættes ikke for Regel R0070"/>
        <s v="Hvis SRBDato ikke er valgt: Fristlængden indsættes ikke for Regel R0071"/>
        <s v="Der angives et ”JA” i populationen under ”Vil RIM beregne en tidligst mulig forældelsesdato?”"/>
        <s v="Hvis der er svaret &quot;I visse tilfælde&quot; i spørgsmål 9 og hvis der er svaret &quot;Ja&quot; i enten 9.b.1, 9.b.2.1 eller 9.b.2.2.1 skal brugeren ledes til spørgsmål 11"/>
        <s v="Der angives et &quot;NEJ&quot; i i populationen under ”vil RIM beregne en tidligst mulig forældelsesdato?&quot;"/>
        <s v="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
        <s v="Hvis fordringshaver har svaret ”aldrig” i spm. 9, kan der ikke opsættes en FLEX-filter konfiguration for populationen. "/>
        <s v="Det skal være muligt for brugeren, via tekstfelt, at udfylde det antal dage, for hvor lang tid efter det [valgte stamdatafelt] kan begyndelsestidspunktet for forældelsesfristens beregning tidligst ligge for den afgrænsede population."/>
        <s v="Det skal være muligt for brugeren at svare &quot;ved ikke&quot;, såfremt at der ikke vides, hvor lang tid efter det [valgte stamdatafelt] kan begyndelsestidspunktet for forældelsesfristens beregning tidligst ligge for den afgrænsede population."/>
        <s v="Såfremt brugeren angiver antal dage skal brugeren ledes til spørgsmål 10.a.2.1"/>
        <s v="Såfremt brugeren angiver &quot;ved ikke&quot; skal brugeren ledes til 10.a.2.2"/>
        <s v="Der skal være en infoboks med teksten: &quot;Hvis begyndelsestidspunktet kan ligge samme dag som indholdet af stamdatafeltet svares 0 dage.&quot;"/>
        <s v="Det skal være muligt for brugeren, ved at angive en frist eller ved at svare &quot;ved ikke&quot;, at kortlægge den kortest mulige fristlængde for forældelsesfristens beregning for krav omfattet af den afgrænsede population"/>
        <s v="Såfremt brugeren angiver en frist skal brugeren ledes til spørgsmål 10.a.2.1.1"/>
        <s v="Såfremt brugeren angiver &quot;ved ikke&quot; skal brugeren ledes til 10.a.2.1.2"/>
        <s v="Hvis ForfaldsDato er valgt: Fristlængden indsættes i Regel R0047 - fristlængden beregnes ved at fratrække værdien fra spm. 10.a.2 med værdien fra 10.a.2.1"/>
        <s v="Hvis ForfaldsDato er valgt: Fristlængden indsættes i Regel R0048 - fristlængden beregnes ved at fratrække værdien fra spm. 10.a.2 med værdien fra 10.a.2.1"/>
        <s v="Hvis ForfaldsDato er valgt: Fristlængden indsættes i Regel R0049 - fristlængden beregnes ved at fratrække værdien fra spm. 10.a.2 med værdien fra 10.a.2.1"/>
        <s v="Hvis ForfaldsDato er valgt: Fristlængden indsættes i Regel R0050 - fristlængden beregnes ved at fratrække værdien fra spm. 10.a.2 med værdien fra 10.a.2.1"/>
        <s v="Hvis StiftelsesDato er valgt: Fristlængden indsættes i Regel R0051 - fristlængden beregnes ved at fratrække værdien fra spm. 10.a.2 med værdien fra 10.a.2.1"/>
        <s v="Hvis StiftelsesDato er valgt: Fristlængden indsættes i Regel R0052 - fristlængden beregnes ved at fratrække værdien fra spm. 10.a.2 med værdien fra 10.a.2.1"/>
        <s v="Hvis StiftelsesDato er valgt: Fristlængden indsættes i Regel R0053 - fristlængden beregnes ved at fratrække værdien fra spm. 10.a.2 med værdien fra 10.a.2.1"/>
        <s v="Hvis StiftelsesDato er valgt: Fristlængden indsættes i Regel R0054 - fristlængden beregnes ved at fratrække værdien fra spm. 10.a.2 med værdien fra 10.a.2.1"/>
        <s v="Hvis FordringsStartDato er valgt: Fristlængden indsættes i Regel R0055 - fristlængden beregnes ved at fratrække værdien fra spm. 10.a.2 med værdien fra 10.a.2.1"/>
        <s v="Hvis FordringsStartDato er valgt: Fristlængden indsættes i Regel R0056 - fristlængden beregnes ved at fratrække værdien fra spm. 10.a.2 med værdien fra 10.a.2.1"/>
        <s v="Hvis FordringsStartDato er valgt: Fristlængden indsættes i Regel R0057 - fristlængden beregnes ved at fratrække værdien fra spm. 10.a.2 med værdien fra 10.a.2.1"/>
        <s v="Hvis FordringsStartDato er valgt: Fristlængden indsættes i Regel R0058 - fristlængden beregnes ved at fratrække værdien fra spm. 10.a.2 med værdien fra 10.a.2.1"/>
        <s v="Hvis FordringsSlutDato er valgt: Fristlængden indsættes i Regel R0059 - fristlængden beregnes ved at fratrække værdien fra spm. 10.a.2 med værdien fra 10.a.2.1"/>
        <s v="Hvis FordringsSlutDato er valgt: Fristlængden indsættes i Regel R0060 - fristlængden beregnes ved at fratrække værdien fra spm. 10.a.2 med værdien fra 10.a.2.1"/>
        <s v="Hvis FordringsSlutDato er valgt: Fristlængden indsættes i Regel R0061 - fristlængden beregnes ved at fratrække værdien fra spm. 10.a.2 med værdien fra 10.a.2.1"/>
        <s v="Hvis FordringsSlutDato er valgt: Fristlængden indsættes i Regel R0062 - fristlængden beregnes ved at fratrække værdien fra spm. 10.a.2 med værdien fra 10.a.2.1"/>
        <s v="Hvis SRBDato er valgt: Fristlængden indsættes i Regel R0063 - fristlængden beregnes ved at fratrække værdien fra spm. 10.a.2 med værdien fra 10.a.2.1"/>
        <s v="Hvis SRBDato er valgt: Fristlængden indsættes i Regel R0064 - fristlængden beregnes ved at fratrække værdien fra spm. 10.a.2 med værdien fra 10.a.2.1"/>
        <s v="Hvis SRBDato er valgt: Fristlængden indsættes i Regel R0065 - fristlængden beregnes ved at fratrække værdien fra spm. 10.a.2 med værdien fra 10.a.2.1"/>
        <s v="Hvis SRBDato er valgt: Fristlængden indsættes i Regel R0066 - fristlængden beregnes ved at fratrække værdien fra spm. 10.a.2 med værdien fra 10.a.2.1"/>
        <s v="Hvis ForfaldsDato er valgt: Fristlængden indsættes i Regel R0067 - fristlængden beregnes ved at fratrække værdien fra spm. 10.a.2 med værdien fra 10.a.2.1"/>
        <s v="Hvis StiftelsesDato er valgt: Fristlængden indsættes i Regel R0068 - fristlængden beregnes ved at fratrække værdien fra spm. 10.a.2 med værdien fra 10.a.2.1"/>
        <s v="Hvis FordringsStartDato er valgt: Fristlængden indsættes i Regel R0069 - fristlængden beregnes ved at fratrække værdien fra spm. 10.a.2 med værdien fra 10.a.2.1"/>
        <s v="Hvis FordringsSlutDato er valgt: Fristlængden indsættes i Regel R0070 - fristlængden beregnes ved at fratrække værdien fra spm. 10.a.2 med værdien fra 10.a.2.1"/>
        <s v="Hvis SRBDato er valgt: Fristlængden indsættes i Regel R0071 - fristlængden beregnes ved at fratrække værdien fra spm. 10.a.2 med værdien fra 10.a.2.1"/>
        <s v="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
        <m/>
      </sharedItems>
    </cacheField>
    <cacheField name="Krav # + Beskrivelse" numFmtId="0">
      <sharedItems count="517" longText="1">
        <s v="0.1 - Modtagelsesperioden: Vi vil ikke konfigurere fordringer, der er modtaget før den 1. september 2013"/>
        <s v="0.2 - Fordringsart: Som udgangspunkt foretages der en konfiguration i forhold til både inddrivelses- og modregningsfordringer, og der spørges ikke ind til opkrævningsfordringer."/>
        <s v="0.3 - Som udgangspunkt skal Regel R0007 være deaktiveret"/>
        <s v="0.4 - Som udgangspunkt skal Regel R0008 være deaktiveret"/>
        <s v="0.5 - Der skal være angivet datoen 1. september 2013 som default i ”FordringensModtagelsesDatoFra”"/>
        <s v="0.6 - Der skal være angivet et ”NEJ” i ”Stoler RIM på fordringshavers forældelsesdato” "/>
        <s v="0.7 - Der skal være angivet et ”NEJ” i ”Vil RIM beregne en forældelsesdato”."/>
        <s v="1.1 - Hvis det angivne fordringshaverID er på færre end 4 cifre skal den numeriskeværdi foranstilles med nuller"/>
        <s v="1.2 - FordringshaverID formatet skal være et tekstfelt eller dropdown menu"/>
        <s v="1.3 - FordringshaverID'et skal gemmes i populationen"/>
        <s v="2.1 - Fordringstyperne skal listes i en drop-down menu bestående af alle tilgængelige fordringstyper"/>
        <s v="2.2 - Den valgte fordringstype skal gemmes i populationen"/>
        <s v="3.1 - Såfremt den valgte modtagelsesdato ligger før d. 1 september 2013 skal der komme en advarsel"/>
        <s v="3.2 - Det skal være muligt for brugeren at afgrænse en periode via to datofelter (fra og til)"/>
        <s v="3.3 - Den valgte afgrænsningsperiode skal gemmes i populationen"/>
        <s v="3.4 - Hvis der angives en afgræsningsperiode før d. 1/9-2013, skal der komme en advarselsboks op med to muligheder: 1) &quot;Afgræns ny periode&quot; eller 2) &quot;Fortsæt med den valgte afgræsning&quot;."/>
        <s v="4.1 - Det skal være muligt for brugeren at markere hvorvidt en fordringshavers registreringspraksis har været det samme i hele den afgrænsede modtagelsesperiode. "/>
        <s v="4.2 - Såfremt brugeren svarer nej til spørgsmålet skal brugeren ledes videre til spørgsmål 4.a"/>
        <s v="4.3 - Såfremt brugeren svarer ja til spørgsmålet skal brugeren ledes videre til spørgsmål 5"/>
        <s v="4.a.1 - Det skal være muligt for RIM at afgrænse en periode, hvor fordringshavers registreringspraksis har været den samme i hele den afgrænsede periode"/>
        <s v="4.a.2 - Der skal være checkbokse med svarmulighederne:_x000a_1. ”at der enten foretages en tilpasning af den allerede afgrænsede modtagelses-periode”_x000a_2. ”at der foretages en perio-demæssig afgrænsning af den allerede afgrænsede modtagelsesperiode via ét eller flere af stamdatafel-terne”_x000a_3. ”NEJ/VED IKKE”"/>
        <s v="4.a.3 - Såfremt brugeren vælger ”at der enten foretages en tilpasning af den allerede afgrænsede modtagelses-periode” skal brugeren ledes videre til spørgsmål 4.a.1"/>
        <s v="4.a.4 - Såfremt brugeren vælger ”at der foretages en perio-demæssig afgrænsning af den allerede afgrænsede modtagelsesperiode via ét eller flere af stamdatafelterne” skal brugeren ledes videre til spørgsmål 4.a.2"/>
        <s v="4.a.5 - Såfremt brugeren vælger ”NEJ/VED IKKE” skal brugeren ledes videre til spørgsmål 4.a.3"/>
        <s v="4.a.6 - Såfremt brugeren vælger ”at der enten foretages en tilpasning af den allerede afgrænsede modtagelses-periode” skal modtagelsesstart datoen pr. default være sat til 1. september 2013."/>
        <s v="4.a.7 - Der skal være en infoboks med teksten: ”Hvis du vælger at afgrænse modtagelsesperioden via et eller flere af stamdatafelterne, da vil modtagelsesdato pr. default være sat til 1. september 2013. Formålet hermed er at undgå, at der utilsigtet medtages konverterede fordringer. Du har mulighed for at ændre default-datoen i det underliggende Excel ark.” "/>
        <s v="4.a.1.1 - Det skal være muligt for brugeren at justere den allerede afgrænsede modtagelsesperiode "/>
        <s v="4.a.1.2 - Den nye afgrænsede modtagelsesperiode skal gemmes i populationen"/>
        <s v="4.a.1.3 - Brugeren ledes videre til spørgsmål 5"/>
        <s v="5.1 - Brugeren skal kunne bekræfte, hvorvidt stamdata for inddrivelses- og modregningsfordringer i den afgrænsede population til hver tid er registreret efter samme praksis"/>
        <s v="5.2 - Brugeren skal have mulighed for at bekræfte dette via Ja / Nej knapper"/>
        <s v="5.3 - Såfremt brugeren vælger &quot;Ja&quot; skal brugeren ledes videre til spørgsmål 5.a"/>
        <s v="5.4 - Såfremt brugeren vælger &quot;Nej&quot; skal spørgeskemaet ikke fortsætte."/>
        <s v="5.b.1 - Det skal være muligt for brugeren at vælge hvilken fordringsart der ønskes at lave en konfiguration for (inddrivelses eller modregningsfordring) "/>
        <s v="5.b.2 - Såfremt brugeren vælger &quot;inddrivelsesfordringer&quot; skal brugeren ledes videre til spørgsmål 5.b.1 "/>
        <s v="5.b.3 - Såfremt brugeren vælger &quot;modregningsfordringer&quot; skal brugeren ledes videre til spørgsmål 5.b.2 "/>
        <s v="5.b.1.1 - R0006 skal aktiveres"/>
        <s v="5.b.1.2 - R0007 skal aktiveres"/>
        <s v="5.b.1.3 - R0008 skal deaktiveres"/>
        <s v="5.b.1.4 - Såfremt 5.b.1 ruten tages skal spørgsmål 15 ikke stilles for denne konfiguration. "/>
        <s v="5.b.1.5 - Brugeren skal ledes videre til spørgsmål 6"/>
        <s v="5.b.2.1 - R0006 skal aktiveres"/>
        <s v="5.b.2.2 - R0007 skal deaktiveres"/>
        <s v="5.b.2.3 - R0008 skal aktiveres"/>
        <s v="5.b.2.4 - Såfremt 5.b.2 ruten tages skal spørgsmål 14 ikke stilles for denne konfiguration. "/>
        <s v="5.b.2.5 - Brugeren skal ledes videre til spørgsmål 6"/>
        <s v="6.1 - Det skal være muligt for brugeren at bekræfte via Ja/Nej, hvorvidt et eller flere krav i den afgrænsede population er underlagt udenlandske forældelsesregler"/>
        <s v="6.2 - Såfremt brugeren vælger &quot;Ja&quot; skal brugeres ledes til spørgsmål 6.a"/>
        <s v="6.3 - Såfremt brugeren vælger &quot;Nej&quot; skal brugeres ledes til spørgsmål 7"/>
        <s v="6.a.1 - Spørgeskemaet skal afsluttes da den valgte konfiguration ikke understøttes af spørgeskemaet. "/>
        <s v="7.1 - Det skal være muligt for brugeren, via Ja/Nej, at svare på om der er registreret et eller flere krav id en afgrænsede population der er udtryk for rente eller lignende ydelse"/>
        <s v="7.2 - Såfremt brugeren vælger &quot;Ja&quot; skal brugeres ledes til spørgsmål 7.a"/>
        <s v="7.3 - Såfremt brugeren vælger &quot;Nej&quot; skal brugeres ledes til spørgsmål 8"/>
        <s v="7.a.1 - Spørgeskemaet skal afsluttes da den valgte konfiguration ikke understøttes af spørgeskemaet. "/>
        <s v="8.1 - Det skal være muligt for brugeren, via Ja/Nej, at svare på om der er registreret et eller flere krav i  den afgrænsede population der er udtryk for flere krav, men som er registeret som et samlet krav"/>
        <s v="8.2 - Såfremt brugeren vælger &quot;Ja&quot; skal brugeres ledes til spørgsmål 8.a"/>
        <s v="8.3 - Såfremt brugeren vælger &quot;Nej&quot; skal brugeres ledes til spørgsmål 9"/>
        <s v="8.a.1 - Spørgeskemaet skal afsluttes da den valgte konfiguration ikke understøttes af spørgeskemaet. "/>
        <s v="9.1 - Det skal være muligt for brugeren, via checkbokse, at svare på om der altid, i visse tilfælde eller aldrig er indsendt en FOKO for de fordringer, der er afsendt af den afgrænsede population"/>
        <s v="9.2 - Såfremt brugeren vælger &quot;Altid&quot; skal brugeren ledes til spørgsmål 9.a"/>
        <s v="9.3 - Såfremt brugeren vælger &quot;I visse tilfælde&quot; skal brugeren ledes til spørgsmål 9.b"/>
        <s v="9.4 - Såfremt brugeren vælger &quot;Aldrig&quot; skal brugeren ledes til spørgsmål 9.c"/>
        <s v="9.c.1 - Der angives et ”NEJ” i populationen under ”Stoler RIM på fordringshavers forældelsesdato” "/>
        <s v="9.c.2 - Regel R0042 skal aktiveres"/>
        <s v="9.c.3 - Regel R0042's Varighed X skal sættes til blank"/>
        <s v="9.c.4 - Regel R0043 skal aktiveres"/>
        <s v="9.c.5 - Regel R0043's Varighed X skal sættes til blank"/>
        <s v="9.c.6 - Regel R0044 skal aktiveres"/>
        <s v="9.c.7 - Regel R0044's Varighed X skal sættes til blank"/>
        <s v="9.c.8 - Regel R0045 skal aktiveres"/>
        <s v="9.c.9 - Regel R0045's Varighed X skal sættes til blank"/>
        <s v="9.c.10 - Regel R0046 skal aktiveres"/>
        <s v="9.c.11 - Regel R0046's Varighed X skal sættes til blank"/>
        <s v="9.a.1 - Det skal være muligt for brugeren, via Ja/Nej, at svare på om der er registreret et eller flere krav i  den afgrænsede population der er udtryk for flere krav, men som er registeret som et samlet krav"/>
        <s v="9.a.2 - Såfremt brugeren vælger &quot;Ja&quot; skal brugeres ledes til spørgsmål 9.a.1"/>
        <s v="9.a.3 - Såfremt brugeren vælger &quot;Nej&quot; skal brugeres ledes til spørgsmål 9.a.2"/>
        <s v="9.a.1.1 - Gruppe 1 deaktiveres"/>
        <s v="9.a.1.2 - Gruppe 2 aktiveres"/>
        <s v="9.a.1.3 - Der angives et ”JA” i populationen under ”Stoler RIM på fordringshaveres forældel-sesdato?”"/>
        <s v="9.a.1.4 - Der angives et ”NEJ” i populationen under ”Vil RIM beregne en tidligst mulig forældel-sesdato?”"/>
        <s v="9.a.1.5 - Videre til spørgsmål vedrørende frasortering (Spørgsmål 11)"/>
        <s v="9.a.2.1 - Det skal være muligt for brugeren, via Ja/Nej, at svare på om fordringshavers forældelsesdato til en hver tid er registreret tidligere end den faktisk forældelsesdato? "/>
        <s v="9.a.2.2 - Såfremt brugeren vælger &quot;Ja&quot; skal brugeres ledes til spørgsmål 9.a.2.1"/>
        <s v="9.a.2.3 - Såfremt brugeren vælger &quot;Nej&quot; skal brugeres ledes til spørgsmål 9.a.2.2"/>
        <s v="9.a.2.1.1 - Gruppe 1 deaktiveres"/>
        <s v="9.a.2.1.2 - Gruppe 2 aktiveres"/>
        <s v="9.a.2.1.3 - Der angives et ”JA” i populationen under ”Stoler RIM på fordringshaveres forældelsesdato?”"/>
        <s v="9.a.2.1.4 - Der angives et ”NEJ” i populationen under ”Vil RIM beregne en tidligst mulig forældel-sesdato?”"/>
        <s v="9.a.2.2.1 - Det skal være muligt for brugeren, via et tekstfelt med &quot;Hvis antal dage kan angives&quot; og mulighed for at svare &quot;Ved ikke&quot;, på hvor mange dage efter den faktiske forældelsesdato foko senest vil være registreret?"/>
        <s v="9.a.2.2.2 - Såfremt brugeren vælger &quot;Hvis antal dage kan angives&quot; skal brugeres ledes til spørgsmål 9.a.2.2.1"/>
        <s v="9.a.2.2.3 - Såfremt brugeren vælger &quot;Ved ikke&quot; skal brugeres ledes til spørgsmål 9.a.2.2.2"/>
        <s v="9.a.2.2.1.1 - Gruppe 1 deaktiveres"/>
        <s v="9.a.2.2.1.2 - Antallet af dage indsættes i [Varighed_X] i R0042"/>
        <s v="9.a.2.2.1.3 - Antallet af dage indsættes i [Varighed_X] i R0043"/>
        <s v="9.a.2.2.1.4 - Antallet af dage indsættes i [Varighed_X] i R0044"/>
        <s v="9.a.2.2.1.5 - Antallet af dage indsættes i [Varighed_X] i R0045"/>
        <s v="9.a.2.2.1.6 - Antallet af dage indsættes i [Varighed_X] i R0046"/>
        <s v="9.a.2.2.1.7 - Gruppe 2 aktiveres"/>
        <s v="9.a.2.2.1.8 - Der angives et ”JA” i populationen under ”Stoler RIM på fordringshaveres forældel-sesdato?”"/>
        <s v="9.a.2.2.1.9 - Der angives et ”NEJ” i populationen under ”Vil RIM beregne en tidligst mulig forældelsesdato?”"/>
        <s v="9.a.2.2.2.1 - Der skal angives et ”NEJ” i ”Stoler RIM på fordringshavers forældelsesdato”  i regel arket"/>
        <s v="9.a.2.2.2.2 - Regel R0042 skal aktiveres"/>
        <s v="9.a.2.2.2.3 - Regel R0042's Varighed X skal sættes til blank"/>
        <s v="9.a.2.2.2.4 - Regel R0043 skal aktiveres"/>
        <s v="9.a.2.2.2.5 - Regel R0043's Varighed X skal sættes til blank"/>
        <s v="9.a.2.2.2.6 - Regel R0044 skal aktiveres"/>
        <s v="9.a.2.2.2.7 - Regel R0044's Varighed X skal sættes til blank"/>
        <s v="9.a.2.2.2.8 - Regel R0045 skal aktiveres"/>
        <s v="9.a.2.2.2.9 - Regel R0045's Varighed X skal sættes til blank"/>
        <s v="9.a.2.2.2.10 - Regel R0046 skal aktiveres"/>
        <s v="9.a.2.2.2.11 - Regel R0046's Varighed X skal sættes til blank"/>
        <s v="9.b.1 - Det skal være muligt for brugeren, via Ja/Nej, at bekræfte om fordringhavers forældelsesdato til en hver tid er registreret korrekt."/>
        <s v="9.b.2 - Såfremt brugeren vælger &quot;Ja&quot; skal brugeren ledes til spørgsmål 9.b.1"/>
        <s v="9.b.3 - Såfremt brugeren vælger &quot;Nej&quot; skal brugeren ledes til spørgsmål 9.b.2"/>
        <s v="9.b.1.1 - Gruppe 2 aktiveres"/>
        <s v="9.b.1.2 - Der angives et ”JA” i populationen under ”Stoler RIM på fordringshavers forældelsesdato?”"/>
        <s v="9.b.2.1 - Det skal være muligt for brugeren, via Ja/Nej, at bekræfte om fordringhavers forældelsesdatotil til en hver tid er registreret tidligere end den faktiske forældelsesdato."/>
        <s v="9.b.2.2 - Såfremt brugeren vælger &quot;Ja&quot; skal brugeren ledes til spørgsmål 9.b.2.1"/>
        <s v="9.b.2.3 - Såfremt brugeren vælger &quot;Nej&quot; skal brugeren ledes til spørgsmål 9.b.2.2"/>
        <s v="9.b.2.1.1 - Gruppe 2 aktiveres"/>
        <s v="9.b.2.1.2 - Der angives et ”JA” i populationen under ”Stoler RIM på fordringshavers forældelsesdato?”"/>
        <s v="9.b.2.2.1 - Det skal være muligt for brugeren, via et tekstfelt med &quot;Hvis antal dage kan angives&quot; og mulighed for at svare &quot;Ved ikke&quot;, på hvor mange dage efter den faktiske forældelsesdato foko senest vil være registreret?"/>
        <s v="9.b.2.2.2 - Såfremt brugeren vælger &quot;Hvis antal dage kan angives&quot; skal brugeres ledes til spørgsmål 9.b.2.2.1"/>
        <s v="9.b.2.2.3 - Såfremt brugeren vælger &quot;Ved ikke&quot; skal brugeres ledes til spørgsmål 9.b.2.2.2"/>
        <s v="9.b.2.2.1.1 - Regel R0042's Varighed X skal sættes til det angivne fra 9.b.2.2"/>
        <s v="9.b.2.2.1.2 - Regel R0043's Varighed X skal sættes til det angivne fra 9.b.2.2"/>
        <s v="9.b.2.2.1.3 - Regel R0044's Varighed X skal sættes til det angivne fra 9.b.2.2"/>
        <s v="9.b.2.2.1.4 - Regel R0045's Varighed X skal sættes til det angivne fra 9.b.2.2"/>
        <s v="9.b.2.2.1.5 - Regel R0046's Varighed X skal sættes til det angivne fra 9.b.2.2"/>
        <s v="9.b.2.2.1.6 - Der angives et ”JA” i populationen under ”Stoler RIM på fordringshavers forældelsesdato?”"/>
        <s v="9.b.2.2.2.1 - Der angives et ”NEJ” i populationen under ”Stoler RIM på fordringshavers forældelsesdato” "/>
        <s v="9.b.2.2.2.2 - Regel R0042 skal aktiveres"/>
        <s v="9.b.2.2.2.3 - Regel R0042's Varighed X skal sættes til blank"/>
        <s v="9.b.2.2.2.4 - Regel R0043 skal aktiveres"/>
        <s v="9.b.2.2.2.5 - Regel R0043's Varighed X skal sættes til blank"/>
        <s v="9.b.2.2.2.6 - Regel R0044 skal aktiveres"/>
        <s v="9.b.2.2.2.7 - Regel R0044's Varighed X skal sættes til blank"/>
        <s v="9.b.2.2.2.8 - Regel R0045 skal aktiveres"/>
        <s v="9.b.2.2.2.9 - Regel R0045's Varighed X skal sættes til blank"/>
        <s v="9.b.2.2.2.10 - Regel R0046 skal aktiveres"/>
        <s v="9.b.2.2.2.11 - Regel R0046's Varighed X skal sættes til blank"/>
        <s v="10.1 - Det skal være muligt for brugeren at vælge minimum et stamdatafelt, før RIM kan beregne en tidligst mulig f orædelsesdato"/>
        <s v="10.2 - Formen skal bestå af checkbokse med følgende muligheder : &quot;Stiftelsesdato&quot;, &quot;Forfaldsdato&quot;, &quot;Sidste rettidige betalingsdato&quot;, &quot;Periode start&quot;, Periode slut&quot; og &quot;Ingen&quot;."/>
        <s v="10.3 - Brugeren skal præsenteres for spørgsmålene fra 10.a, for hvert valgt stamdatafelt."/>
        <s v="10.4 - Såfremt brugeren vælger et eller flere af stamdatafelterne, hvor stiftelsesdato er i blandt, skal brugeren ledes til spørgsmål 10.a via form 29"/>
        <s v="10.5 - Såfremt brugeren vælger et eller flere af stamdatafelterne, hvor forfaldsdato er i blandt, skal brugeren ledes til spørgsmål 10.a via form 28"/>
        <s v="10.6 - Såfremt brugeren vælger et eller flere af stamdatafelterne, hvor sidste rettidige betalingsdato er i blandt, skal brugeren ledes til spørgsmål 10.a via form 32"/>
        <s v="10.7 - Såfremt brugeren vælger et eller flere af stamdatafelterne, hvor periode start er i blandt, skal brugeren ledes til spørgsmål 10.a via form 30"/>
        <s v="10.8 - Såfremt brugeren vælger et eller flere af stamdatafelterne, hvor periode slut er i blandt, skal brugeren ledes til spørgsmål 10.a via form 31"/>
        <s v="10.9 - Såfremt brugeren vælger &quot;Ingen&quot; skal brugeren ledes til spørgsmål 10.b"/>
        <s v="10.a.1 - Det skal være muligt for brugeren, med checkbokse, at vælge om begyndelsestidspunktet for forældelsesfristen altid beregnes &quot;Før&quot; eller &quot;Samme dag eller senere&quot; "/>
        <s v="10.a.2 - Såfremt brugeren vælger &quot;før&quot;, skal felterne fra spørgsmål 10.a.1 vises "/>
        <s v="10.a.3 - Såfremt brugeren vælger &quot;Samme dag eller senere&quot;, skal felterne fra spørgsmål 10.a.2"/>
        <s v="10.a.1.1 - Det skal være muligt for brugeren, via tekstfelt, at udfylde det antal dage, for hvor lang tid før det [valgte stamdatafelt] kan begyndelsestidspunktet for forældelsesfristens beregning tidligst ligge for den afgrænsede population."/>
        <s v="10.a.1.2 - Det skal være muligt for brugeren at svare &quot;ved ikke&quot;, såfremt at der ikke vides, hvor lang tid før det [valgte stamdatafelt] kan begyndelsestidspunktet for forældelsesfristens beregning tidligst ligge for den afgrænsede population."/>
        <s v="10.a.1.3 - Såfremt brugeren angiver antal dage skal brugeren ledes til spørgsmål 10.a.1.1"/>
        <s v="10.a.1.4 - Såfremt brugeren angiver &quot;ved ikke&quot; skal brugeren ledes til 10.a.1.2 "/>
        <s v="10.a.1.5 - Det skal være muligt for brugeren, via tekstfelt, at udfylde det antal dage, for hvor lang tid før det [valgte stamdatafelt] kan begyndelsestidspunktet for forældelsesfristens beregning tidligst ligge for den afgrænsede population."/>
        <s v="10.a.1.6 - Det skal være muligt for brugeren at svare &quot;ved ikke&quot;, såfremt at der ikke vides, hvor lang tid før det [valgte stamdatafelt] kan begyndelsestidspunktet for forældelsesfristens beregning tidligst ligge for den afgrænsede population."/>
        <s v="10.a.1.7 - Såfremt brugeren angiver antal dage skal brugeren ledes til spørgsmål 10.a.1.1"/>
        <s v="10.a.1.8 - Såfremt brugeren angiver &quot;ved ikke&quot; skal brugeren ledes til 10.a.1.2 "/>
        <s v="10.a.1.9 - Det skal være muligt for brugeren, via tekstfelt, at udfylde det antal dage, for hvor lang tid før det [valgte stamdatafelt] kan begyndelsestidspunktet for forældelsesfristens beregning tidligst ligge for den afgrænsede population."/>
        <s v="10.a.1.10 - Det skal være muligt for brugeren at svare &quot;ved ikke&quot;, såfremt at der ikke vides, hvor lang tid før det [valgte stamdatafelt] kan begyndelsestidspunktet for forældelsesfristens beregning tidligst ligge for den afgrænsede population."/>
        <s v="10.a.1.11 - Såfremt brugeren angiver antal dage skal brugeren ledes til spørgsmål 10.a.1.1"/>
        <s v="10.a.1.12 - Såfremt brugeren angiver &quot;ved ikke&quot; skal brugeren ledes til 10.a.1.2 "/>
        <s v="10.a.1.13 - Det skal være muligt for brugeren, via tekstfelt, at udfylde det antal dage, for hvor lang tid før det [valgte stamdatafelt] kan begyndelsestidspunktet for forældelsesfristens beregning tidligst ligge for den afgrænsede population."/>
        <s v="10.a.1.14 - Det skal være muligt for brugeren at svare &quot;ved ikke&quot;, såfremt at der ikke vides, hvor lang tid før det [valgte stamdatafelt] kan begyndelsestidspunktet for forældelsesfristens beregning tidligst ligge for den afgrænsede population."/>
        <s v="10.a.1.15 - Såfremt brugeren angiver antal dage skal brugeren ledes til spørgsmål 10.a.1.1"/>
        <s v="10.a.1.16 - Såfremt brugeren angiver &quot;ved ikke&quot; skal brugeren ledes til 10.a.1.2 "/>
        <s v="10.a.1.17 - Det skal være muligt for brugeren, via tekstfelt, at udfylde det antal dage, for hvor lang tid før det [valgte stamdatafelt] kan begyndelsestidspunktet for forældelsesfristens beregning tidligst ligge for den afgrænsede population."/>
        <s v="10.a.1.18 - Det skal være muligt for brugeren at svare &quot;ved ikke&quot;, såfremt at der ikke vides, hvor lang tid før det [valgte stamdatafelt] kan begyndelsestidspunktet for forældelsesfristens beregning tidligst ligge for den afgrænsede population."/>
        <s v="10.a.1.19 - Såfremt brugeren angiver antal dage skal brugeren ledes til spørgsmål 10.a.1.1"/>
        <s v="10.a.1.20 - Såfremt brugeren angiver &quot;ved ikke&quot; skal brugeren ledes til 10.a.1.2 "/>
        <s v="10.a.1.1.1 - Der skal fremgå en infoboks med teksten: ”Normalt” er fordringer undergivet en 3 års forældelsesfrist”."/>
        <s v="10.a.1.1.2 - Det skal være muligt for brugeren, via tekstfelt, at definere den korteste mulige fristlængde for forældelsesfristens beregning for krav omfattet af den afgrænsede population."/>
        <s v="10.a.1.1.3 - Det skal være muligt for brugeren at svare &quot;ved ikke&quot;, såfremt at den korteste mulige fristlængde for forældelsesfristens beregning for krav omfattet af den afgrænsede population ikke vides."/>
        <s v="10.a.1.1.4 - Der skal være en boks, hvor man kan vælge &quot;3 år&quot; som den korteste mulige fristlængde for forældelsesfristens beregning."/>
        <s v="10.a.1.1.5 - Såfremt brugeren angiver en frist skal brugeren ledes til spørgsmål 10.a.1.1.1"/>
        <s v="10.a.1.1.6 - Såfremt brugeren angiver &quot;ved ikke&quot; skal brugeren ledes til 10.a.1.1.2"/>
        <s v="10.a.1.1.7 - Der skal fremgå en infoboks med teksten: ”Normalt” er fordringer undergivet en 3 års forældelsesfrist”."/>
        <s v="10.a.1.1.8 - Det skal være muligt for brugeren, via tekstfelt, at definere den korteste mulige fristlængde for forældelsesfristens beregning for krav omfattet af den afgrænsede population."/>
        <s v="10.a.1.1.9 - Det skal være muligt for brugeren at svare &quot;ved ikke&quot;, såfremt at den korteste mulige fristlængde for forældelsesfristens beregning for krav omfattet af den afgrænsede population ikke vides."/>
        <s v="10.a.1.1.10 - Der skal være en boks, hvor man kan vælge &quot;3 år&quot; som den korteste mulige fristlængde for forældelsesfristens beregning."/>
        <s v="10.a.1.1.11 - Såfremt brugeren angiver en frist skal brugeren ledes til spørgsmål 10.a.1.1.1"/>
        <s v="10.a.1.1.12 - Såfremt brugeren angiver &quot;ved ikke&quot; skal brugeren ledes til 10.a.1.1.2"/>
        <s v="10.a.1.1.13 - Der skal fremgå en infoboks med teksten: ”Normalt” er fordringer undergivet en 3 års forældelsesfrist”."/>
        <s v="10.a.1.1.14 - Det skal være muligt for brugeren, via tekstfelt, at definere den korteste mulige fristlængde for forældelsesfristens beregning for krav omfattet af den afgrænsede population."/>
        <s v="10.a.1.1.15 - Det skal være muligt for brugeren at svare &quot;ved ikke&quot;, såfremt at den korteste mulige fristlængde for forældelsesfristens beregning for krav omfattet af den afgrænsede population ikke vides."/>
        <s v="10.a.1.1.16 - Der skal være en boks, hvor man kan vælge &quot;3 år&quot; som den korteste mulige fristlængde for forældelsesfristens beregning."/>
        <s v="10.a.1.1.17 - Såfremt brugeren angiver en frist skal brugeren ledes til spørgsmål 10.a.1.1.1"/>
        <s v="10.a.1.1.18 - Såfremt brugeren angiver &quot;ved ikke&quot; skal brugeren ledes til 10.a.1.1.2"/>
        <s v="10.a.1.1.19 - Der skal fremgå en infoboks med teksten: ”Normalt” er fordringer undergivet en 3 års forældelsesfrist”."/>
        <s v="10.a.1.1.20 - Det skal være muligt for brugeren, via tekstfelt, at definere den korteste mulige fristlængde for forældelsesfristens beregning for krav omfattet af den afgrænsede population."/>
        <s v="10.a.1.1.21 - Det skal være muligt for brugeren at svare &quot;ved ikke&quot;, såfremt at den korteste mulige fristlængde for forældelsesfristens beregning for krav omfattet af den afgrænsede population ikke vides."/>
        <s v="10.a.1.1.22 - Der skal være en boks, hvor man kan vælge &quot;3 år&quot; som den korteste mulige fristlængde for forældelsesfristens beregning."/>
        <s v="10.a.1.1.23 - Såfremt brugeren angiver en frist skal brugeren ledes til spørgsmål 10.a.1.1.1"/>
        <s v="10.a.1.1.24 - Såfremt brugeren angiver &quot;ved ikke&quot; skal brugeren ledes til 10.a.1.1.2"/>
        <s v="10.a.1.1.25 - Der skal fremgå en infoboks med teksten: ”Normalt” er fordringer undergivet en 3 års forældelsesfrist”."/>
        <s v="10.a.1.1.26 - Det skal være muligt for brugeren, via tekstfelt, at definere den korteste mulige fristlængde for forældelsesfristens beregning for krav omfattet af den afgrænsede population."/>
        <s v="10.a.1.1.27 - Det skal være muligt for brugeren at svare &quot;ved ikke&quot;, såfremt at den korteste mulige fristlængde for forældelsesfristens beregning for krav omfattet af den afgrænsede population ikke vides."/>
        <s v="10.a.1.1.28 - Der skal være en boks, hvor man kan vælge &quot;3 år&quot; som den korteste mulige fristlængde for forældelsesfristens beregning."/>
        <s v="10.a.1.1.29 - Såfremt brugeren angiver en frist skal brugeren ledes til spørgsmål 10.a.1.1.1"/>
        <s v="10.a.1.1.30 - Såfremt brugeren angiver &quot;ved ikke&quot; skal brugeren ledes til 10.a.1.1.2"/>
        <s v="10.a.1.1.1.1 - Gruppe 1 aktiveres"/>
        <s v="10.a.1.1.1.2 - Gruppe 1 aktiveres"/>
        <s v="10.a.1.1.1.3 - Gruppe 1 aktiveres"/>
        <s v="10.a.1.1.1.4 - Gruppe 1 aktiveres"/>
        <s v="10.a.1.1.1.5 - Gruppe 1 aktiveres"/>
        <s v="10.a.1.1.1.6 - Hvis forfaldsdato er valgt: Regel R0047 aktiveres"/>
        <s v="10.a.1.1.1.7 - Hvis forfaldsdato er valgt: Regel R0048 aktiveres"/>
        <s v="10.a.1.1.1.8 - Hvis forfaldsdato er valgt: Regel R0049 aktiveres"/>
        <s v="10.a.1.1.1.9 - Hvis forfaldsdato er valgt: Regel R0050 aktiveres"/>
        <s v="10.a.1.1.1.10 - Hvis stiftelsesdato er valgt: Regel R0051 aktiveres"/>
        <s v="10.a.1.1.1.11 - Hvis stiftelsesdato er valgt: Regel R0052 aktiveres"/>
        <s v="10.a.1.1.1.12 - Hvis stiftelsesdato er valgt: Regel R0053 aktiveres"/>
        <s v="10.a.1.1.1.13 - Hvis stiftelsesdato er valgt: Regel R0054 aktiveres"/>
        <s v="10.a.1.1.1.14 - Hvis FordringsStartDato er valgt: Regel R0055 aktiveres"/>
        <s v="10.a.1.1.1.15 - Hvis FordringsStartDato er valgt: Regel R0056 aktiveres"/>
        <s v="10.a.1.1.1.16 - Hvis FordringsStartDato er valgt: Regel R0057 aktiveres"/>
        <s v="10.a.1.1.1.17 - Hvis FordringsStartDato er valgt: Regel R0058 aktiveres"/>
        <s v="10.a.1.1.1.18 - Hvis FordringsSlutDato er valgt: Regel R0059 aktiveres"/>
        <s v="10.a.1.1.1.19 - Hvis FordringsSlutDato er valgt: Regel R0060 aktiveres"/>
        <s v="10.a.1.1.1.20 - Hvis FordringsSlutDato er valgt: Regel R0061 aktiveres"/>
        <s v="10.a.1.1.1.21 - Hvis FordringsSlutDato er valgt: Regel R0062 aktiveres"/>
        <s v="10.a.1.1.1.22 - Hvis SRBDato er valgt: Regel R0063 aktiveres"/>
        <s v="10.a.1.1.1.23 - Hvis SRBDato er valgt: Regel R0064 aktiveres"/>
        <s v="10.a.1.1.1.24 - Hvis SRBDato er valgt: Regel R0065 aktiveres"/>
        <s v="10.a.1.1.1.25 - Hvis SRBDato er valgt: Regel R0066 aktiveres"/>
        <s v="10.a.1.1.1.26 - Hvis ForfaldsDato er valgt: Regel R0067 aktiveres"/>
        <s v="10.a.1.1.1.27 - Hvis StiftelsesDato er valgt: Regel R0068 aktiveres"/>
        <s v="10.a.1.1.1.28 - Hvis FordringsStartDato er valgt: Regel R0069 aktiveres"/>
        <s v="10.a.1.1.1.29 - Hvis FordringsSlutDato er valgt: Regel R0070 aktiveres"/>
        <s v="10.a.1.1.1.30 - Hvis SRBDato er valgt: Regel R0071 aktiveres"/>
        <s v="10.a.1.1.1.31 - Hvis forfaldsdato ikke er valgt: Regel R0047 deaktiveres"/>
        <s v="10.a.1.1.1.32 - Hvis forfaldsdato ikke er valgt: Regel R0048 deaktiveres"/>
        <s v="10.a.1.1.1.33 - Hvis forfaldsdato ikke er valgt: Regel R0049 deaktiveres"/>
        <s v="10.a.1.1.1.34 - Hvis forfaldsdato ikke er valgt: Regel R0050 deaktiveres"/>
        <s v="10.a.1.1.1.35 - Hvis stiftelsesdato ikke er valgt: Regel R0051 deaktiveres"/>
        <s v="10.a.1.1.1.36 - Hvis stiftelsesdato ikke er valgt: Regel R0052 deaktiveres"/>
        <s v="10.a.1.1.1.37 - Hvis stiftelsesdato ikke er valgt: Regel R0053 deaktiveres"/>
        <s v="10.a.1.1.1.38 - Hvis stiftelsesdato ikke er valgt: Regel R0054 deaktiveres"/>
        <s v="10.a.1.1.1.39 - Hvis FordringsStartDato ikke er valgt: Regel R0055 deaktiveres"/>
        <s v="10.a.1.1.1.40 - Hvis FordringsStartDato ikke er valgt: Regel R0056 deaktiveres"/>
        <s v="10.a.1.1.1.41 - Hvis FordringsStartDato ikke er valgt: Regel R0057 deaktiveres"/>
        <s v="10.a.1.1.1.42 - Hvis FordringsStartDato ikke er valgt: Regel R0058 deaktiveres"/>
        <s v="10.a.1.1.1.43 - Hvis FordringsSlutDato ikke er valgt: Regel R0059 deaktiveres"/>
        <s v="10.a.1.1.1.44 - Hvis FordringsSlutDato ikke er valgt: Regel R0060 deaktiveres"/>
        <s v="10.a.1.1.1.45 - Hvis FordringsSlutDato ikke er valgt: Regel R0061 deaktiveres"/>
        <s v="10.a.1.1.1.46 - Hvis FordringsSlutDato ikke er valgt: Regel R0062 deaktiveres"/>
        <s v="10.a.1.1.1.47 - Hvis SRBDato ikke er valgt: Regel R0063 deaktiveres"/>
        <s v="10.a.1.1.1.48 - Hvis SRBDato ikke er valgt: Regel R0064 deaktiveres"/>
        <s v="10.a.1.1.1.49 - Hvis SRBDato ikke er valgt: Regel R0065 deaktiveres"/>
        <s v="10.a.1.1.1.50 - Hvis SRBDato ikke er valgt: Regel R0066 deaktiveres"/>
        <s v="10.a.1.1.1.51 - Hvis ForfaldsDato ikke er valgt: Regel R0067 deaktiveres"/>
        <s v="10.a.1.1.1.52 - Hvis StiftelsesDato ikke er valgt: Regel R0068 deaktiveres"/>
        <s v="10.a.1.1.1.53 - Hvis FordringsStartDato ikke er valgt: Regel R0069 deaktiveres"/>
        <s v="10.a.1.1.1.54 - Hvis FordringsSlutDato ikke er valgt: Regel R0070 deaktiveres"/>
        <s v="10.a.1.1.1.55 - Hvis SRBDato ikke er valgt: Regel R0071 deaktiveres"/>
        <s v="10.a.1.1.1.56 - Hvis ForfaldsDato er valgt: Fristlængden indsættes i Regel R0047 - fristlængden beregnes ved at fratrække værdien fra spm. 10.a.1 med værdien fra 10.a.1.1"/>
        <s v="10.a.1.1.1.57 - Hvis ForfaldsDato er valgt: Fristlængden indsættes i Regel R0048 - fristlængden beregnes ved at fratrække værdien fra spm. 10.a.1 med værdien fra 10.a.1.1"/>
        <s v="10.a.1.1.1.58 - Hvis ForfaldsDato er valgt: Fristlængden indsættes i Regel R0049 - fristlængden beregnes ved at fratrække værdien fra spm. 10.a.1 med værdien fra 10.a.1.1"/>
        <s v="10.a.1.1.1.59 - Hvis ForfaldsDato er valgt: Fristlængden indsættes i Regel R0050 - fristlængden beregnes ved at fratrække værdien fra spm. 10.a.1 med værdien fra 10.a.1.1"/>
        <s v="10.a.1.1.1.60 - Hvis StiftelsesDato er valgt: Fristlængden indsættes i Regel R0051 - fristlængden beregnes ved at fratrække værdien fra spm. 10.a.1 med værdien fra 10.a.1.1"/>
        <s v="10.a.1.1.1.61 - Hvis StiftelsesDato er valgt: Fristlængden indsættes i Regel R0052 - fristlængden beregnes ved at fratrække værdien fra spm. 10.a.1 med værdien fra 10.a.1.1"/>
        <s v="10.a.1.1.1.62 - Hvis StiftelsesDato er valgt: Fristlængden indsættes i Regel R0053 - fristlængden beregnes ved at fratrække værdien fra spm. 10.a.1 med værdien fra 10.a.1.1"/>
        <s v="10.a.1.1.1.63 - Hvis StiftelsesDato er valgt: Fristlængden indsættes i Regel R0054 - fristlængden beregnes ved at fratrække værdien fra spm. 10.a.1 med værdien fra 10.a.1.1"/>
        <s v="10.a.1.1.1.64 - Hvis FordringsStartDato er valgt: Fristlængden indsættes i Regel R0055 - fristlængden beregnes ved at fratrække værdien fra spm. 10.a.1 med værdien fra 10.a.1.1"/>
        <s v="10.a.1.1.1.65 - Hvis FordringsStartDato er valgt: Fristlængden indsættes i Regel R0056 - fristlængden beregnes ved at fratrække værdien fra spm. 10.a.1 med værdien fra 10.a.1.1"/>
        <s v="10.a.1.1.1.66 - Hvis FordringsStartDato er valgt: Fristlængden indsættes i Regel R0057 - fristlængden beregnes ved at fratrække værdien fra spm. 10.a.1 med værdien fra 10.a.1.1"/>
        <s v="10.a.1.1.1.67 - Hvis FordringsStartDato er valgt: Fristlængden indsættes i Regel R0058 - fristlængden beregnes ved at fratrække værdien fra spm. 10.a.1 med værdien fra 10.a.1.1"/>
        <s v="10.a.1.1.1.68 - Hvis FordringsSlutDato er valgt: Fristlængden indsættes i Regel R0059 - fristlængden beregnes ved at fratrække værdien fra spm. 10.a.1 med værdien fra 10.a.1.1"/>
        <s v="10.a.1.1.1.69 - Hvis FordringsSlutDato er valgt: Fristlængden indsættes i Regel R0060 - fristlængden beregnes ved at fratrække værdien fra spm. 10.a.1 med værdien fra 10.a.1.1"/>
        <s v="10.a.1.1.1.70 - Hvis FordringsSlutDato er valgt: Fristlængden indsættes i Regel R0061 - fristlængden beregnes ved at fratrække værdien fra spm. 10.a.1 med værdien fra 10.a.1.1"/>
        <s v="10.a.1.1.1.71 - Hvis FordringsSlutDato er valgt: Fristlængden indsættes i Regel R0062 - fristlængden beregnes ved at fratrække værdien fra spm. 10.a.1 med værdien fra 10.a.1.1"/>
        <s v="10.a.1.1.1.72 - Hvis SRBDato er valgt: Fristlængden indsættes i Regel R0063 - fristlængden beregnes ved at fratrække værdien fra spm. 10.a.1 med værdien fra 10.a.1.1"/>
        <s v="10.a.1.1.1.73 - Hvis SRBDato er valgt: Fristlængden indsættes i Regel R0064 - fristlængden beregnes ved at fratrække værdien fra spm. 10.a.1 med værdien fra 10.a.1.1"/>
        <s v="10.a.1.1.1.74 - Hvis SRBDato er valgt: Fristlængden indsættes i Regel R0065 - fristlængden beregnes ved at fratrække værdien fra spm. 10.a.1 med værdien fra 10.a.1.1"/>
        <s v="10.a.1.1.1.75 - Hvis SRBDato er valgt: Fristlængden indsættes i Regel R0066 - fristlængden beregnes ved at fratrække værdien fra spm. 10.a.1 med værdien fra 10.a.1.1"/>
        <s v="10.a.1.1.1.76 - Hvis ForfaldsDato er valgt: Fristlængden indsættes i Regel R0067 - fristlængden beregnes ved at fratrække værdien fra spm. 10.a.1 med værdien fra 10.a.1.1"/>
        <s v="10.a.1.1.1.77 - Hvis StiftelsesDato er valgt: Fristlængden indsættes i Regel R0068 - fristlængden beregnes ved at fratrække værdien fra spm. 10.a.1 med værdien fra 10.a.1.1"/>
        <s v="10.a.1.1.1.78 - Hvis FordringsStartDato er valgt: Fristlængden indsættes i Regel R0069 - fristlængden beregnes ved at fratrække værdien fra spm. 10.a.1 med værdien fra 10.a.1.1"/>
        <s v="10.a.1.1.1.79 - Hvis FordringsSlutDato er valgt: Fristlængden indsættes i Regel R0070 - fristlængden beregnes ved at fratrække værdien fra spm. 10.a.1 med værdien fra 10.a.1.1"/>
        <s v="10.a.1.1.1.80 - Hvis SRBDato er valgt: Fristlængden indsættes i Regel R0071 - fristlængden beregnes ved at fratrække værdien fra spm. 10.a.1 med værdien fra 10.a.1.1"/>
        <s v="10.a.1.1.1.81 - Hvis ForfaldsDato ikke er valgt: Fristlængden indsættes ikke for Regel R0047"/>
        <s v="10.a.1.1.1.82 - Hvis ForfaldsDato ikke er valgt: Fristlængden indsættes ikke for Regel R0048"/>
        <s v="10.a.1.1.1.83 - Hvis ForfaldsDato ikke er valgt: Fristlængden indsættes ikke for Regel R0049"/>
        <s v="10.a.1.1.1.84 - Hvis ForfaldsDato ikke er valgt: Fristlængden indsættes ikke for Regel R0050"/>
        <s v="10.a.1.1.1.85 - Hvis StiftelsesDato ikke er valgt: Fristlængden indsættes ikke for Regel R0051"/>
        <s v="10.a.1.1.1.86 - Hvis StiftelsesDato ikke er valgt: Fristlængden indsættes ikke for Regel R0052"/>
        <s v="10.a.1.1.1.87 - Hvis StiftelsesDato ikke er valgt: Fristlængden indsættes ikke for Regel R0053"/>
        <s v="10.a.1.1.1.88 - Hvis StiftelsesDato ikke er valgt: Fristlængden indsættes ikke for Regel R0054"/>
        <s v="10.a.1.1.1.89 - Hvis FordringsStartDato ikke er valgt: Fristlængden indsættes ikke for Regel R0055"/>
        <s v="10.a.1.1.1.90 - Hvis FordringsStartDato ikke er valgt: Fristlængden indsættes ikke for Regel R0056"/>
        <s v="10.a.1.1.1.91 - Hvis FordringsStartDato ikke er valgt: Fristlængden indsættes ikke for Regel R0057"/>
        <s v="10.a.1.1.1.92 - Hvis FordringsStartDato ikke er valgt: Fristlængden indsættes ikke for Regel R0058"/>
        <s v="10.a.1.1.1.93 - Hvis FordringsSlutDato ikke er valgt: Fristlængden indsættes ikke for Regel R0059"/>
        <s v="10.a.1.1.1.94 - Hvis FordringsSlutDato ikke er valgt: Fristlængden indsættes ikke for Regel R0060"/>
        <s v="10.a.1.1.1.95 - Hvis FordringsSlutDato ikke er valgt: Fristlængden indsættes ikke for Regel R0061"/>
        <s v="10.a.1.1.1.96 - Hvis FordringsSlutDato ikke er valgt: Fristlængden indsættes ikke for Regel R0062"/>
        <s v="10.a.1.1.1.97 - Hvis SRBDato ikke er valgt: Fristlængden indsættes ikke for Regel R0063"/>
        <s v="10.a.1.1.1.98 - Hvis SRBDato ikke er valgt: Fristlængden indsættes ikke for Regel R0064"/>
        <s v="10.a.1.1.1.99 - Hvis SRBDato ikke er valgt: Fristlængden indsættes ikke for Regel R0065"/>
        <s v="10.a.1.1.1.100 - Hvis SRBDato ikke er valgt: Fristlængden indsættes ikke for Regel R0066"/>
        <s v="10.a.1.1.1.101 - Hvis ForfaldsDato ikke er valgt: Fristlængden indsættes ikke for Regel R0067"/>
        <s v="10.a.1.1.1.102 - Hvis StiftelsesDato ikke er valgt: Fristlængden indsættes ikke for Regel R0068"/>
        <s v="10.a.1.1.1.103 - Hvis FordringsStartDato ikke er valgt: Fristlængden indsættes ikke for Regel R0069"/>
        <s v="10.a.1.1.1.104 - Hvis FordringsSlutDato ikke er valgt: Fristlængden indsættes ikke for Regel R0070"/>
        <s v="10.a.1.1.1.105 - Hvis SRBDato ikke er valgt: Fristlængden indsættes ikke for Regel R0071"/>
        <s v="10.a.1.1.1.106 - Der angives et ”JA” i populationen under ”Vil RIM beregne en tidligst mulig forældelsesdato?”"/>
        <s v="10.a.1.1.1.107 - Der angives et ”JA” i populationen under ”Vil RIM beregne en tidligst mulig forældelsesdato?”"/>
        <s v="10.a.1.1.1.108 - Der angives et ”JA” i populationen under ”Vil RIM beregne en tidligst mulig forældelsesdato?”"/>
        <s v="10.a.1.1.1.109 - Der angives et ”JA” i populationen under ”Vil RIM beregne en tidligst mulig forældelsesdato?”"/>
        <s v="10.a.1.1.1.110 - Der angives et ”JA” i populationen under ”Vil RIM beregne en tidligst mulig forældelsesdato?”"/>
        <s v="10.a.1.1.2.1 - Hvis der er svaret &quot;I visse tilfælde&quot; i spørgsmål 9 og hvis der er svaret &quot;Ja&quot; i enten 9.b.1, 9.b.2.1 eller 9.b.2.2.1 skal brugeren ledes til spørgsmål 11"/>
        <s v="10.a.1.1.2.2 - Der angives et &quot;NEJ&quot; i i populationen under ”vil RIM beregne en tidligst mulig forældelsesdato?&quot;"/>
        <s v="10.a.1.1.2.3 - Gruppe 1 deaktiveres"/>
        <s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
        <s v="10.a.1.1.2.5 - Hvis fordringshaver har svaret ”aldrig” i spm. 9, kan der ikke opsættes en FLEX-filter konfiguration for populationen. "/>
        <s v="10.a.1.2.1 - Hvis der er svaret &quot;I visse tilfælde&quot; i spørgsmål 9 og hvis der er svaret &quot;Ja&quot; i enten 9.b.1, 9.b.2.1 eller 9.b.2.2.1 skal brugeren ledes til spørgsmål 11"/>
        <s v="10.a.1.2.2 - Der angives et &quot;NEJ&quot; i i populationen under ”vil RIM beregne en tidligst mulig forældelsesdato?&quot;"/>
        <s v="10.a.1.2.3 - Gruppe 1 deaktiveres"/>
        <s v="10.a.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
        <s v="10.a.1.2.5 - Hvis fordringshaver har svaret ”aldrig” i spm. 9, kan der ikke opsættes en FLEX-filter konfiguration for populationen. "/>
        <s v="10.a.1.2.6 - Hvis der er svaret &quot;I visse tilfælde&quot; i spørgsmål 9 og hvis der er svaret &quot;Ja&quot; i enten 9.b.1, 9.b.2.1 eller 9.b.2.2.1 skal brugeren ledes til spørgsmål 11"/>
        <s v="10.a.1.2.7 - Der angives et &quot;NEJ&quot; i i populationen under ”vil RIM beregne en tidligst mulig forældelsesdato?&quot;"/>
        <s v="10.a.1.2.8 - Gruppe 1 deaktiveres"/>
        <s v="10.a.1.2.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
        <s v="10.a.1.2.10 - Hvis fordringshaver har svaret ”aldrig” i spm. 9, kan der ikke opsættes en FLEX-filter konfiguration for populationen. "/>
        <s v="10.a.1.2.11 - Hvis der er svaret &quot;I visse tilfælde&quot; i spørgsmål 9 og hvis der er svaret &quot;Ja&quot; i enten 9.b.1, 9.b.2.1 eller 9.b.2.2.1 skal brugeren ledes til spørgsmål 11"/>
        <s v="10.a.1.2.12 - Der angives et &quot;NEJ&quot; i i populationen under ”vil RIM beregne en tidligst mulig forældelsesdato?&quot;"/>
        <s v="10.a.1.2.13 - Gruppe 1 deaktiveres"/>
        <s v="10.a.1.2.1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
        <s v="10.a.1.2.15 - Hvis fordringshaver har svaret ”aldrig” i spm. 9, kan der ikke opsættes en FLEX-filter konfiguration for populationen. "/>
        <s v="10.a.1.2.16 - Hvis der er svaret &quot;I visse tilfælde&quot; i spørgsmål 9 og hvis der er svaret &quot;Ja&quot; i enten 9.b.1, 9.b.2.1 eller 9.b.2.2.1 skal brugeren ledes til spørgsmål 11"/>
        <s v="10.a.1.2.17 - Der angives et &quot;NEJ&quot; i i populationen under ”vil RIM beregne en tidligst mulig forældelsesdato?&quot;"/>
        <s v="10.a.1.2.18 - Gruppe 1 deaktiveres"/>
        <s v="10.a.1.2.1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
        <s v="10.a.1.2.20 - Hvis fordringshaver har svaret ”aldrig” i spm. 9, kan der ikke opsættes en FLEX-filter konfiguration for populationen. "/>
        <s v="10.a.1.2.21 - Hvis der er svaret &quot;I visse tilfælde&quot; i spørgsmål 9 og hvis der er svaret &quot;Ja&quot; i enten 9.b.1, 9.b.2.1 eller 9.b.2.2.1 skal brugeren ledes til spørgsmål 11"/>
        <s v="10.a.1.2.22 - Der angives et &quot;NEJ&quot; i i populationen under ”vil RIM beregne en tidligst mulig forældelsesdato?&quot;"/>
        <s v="10.a.1.2.23 - Gruppe 1 deaktiveres"/>
        <s v="10.a.1.2.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
        <s v="10.a.1.2.25 - Hvis fordringshaver har svaret ”aldrig” i spm. 9, kan der ikke opsættes en FLEX-filter konfiguration for populationen. "/>
        <s v="10.a.2.1 - Det skal være muligt for brugeren, via tekstfelt, at udfylde det antal dage, for hvor lang tid efter det [valgte stamdatafelt] kan begyndelsestidspunktet for forældelsesfristens beregning tidligst ligge for den afgrænsede population."/>
        <s v="10.a.2.2 - Det skal være muligt for brugeren at svare &quot;ved ikke&quot;, såfremt at der ikke vides, hvor lang tid efter det [valgte stamdatafelt] kan begyndelsestidspunktet for forældelsesfristens beregning tidligst ligge for den afgrænsede population."/>
        <s v="10.a.2.3 - Såfremt brugeren angiver antal dage skal brugeren ledes til spørgsmål 10.a.2.1"/>
        <s v="10.a.2.4 - Såfremt brugeren angiver &quot;ved ikke&quot; skal brugeren ledes til 10.a.2.2"/>
        <s v="10.a.2.5 - Der skal være en infoboks med teksten: &quot;Hvis begyndelsestidspunktet kan ligge samme dag som indholdet af stamdatafeltet svares 0 dage.&quot;"/>
        <s v="10.a.2.6 - Det skal være muligt for brugeren, via tekstfelt, at udfylde det antal dage, for hvor lang tid efter det [valgte stamdatafelt] kan begyndelsestidspunktet for forældelsesfristens beregning tidligst ligge for den afgrænsede population."/>
        <s v="10.a.2.7 - Det skal være muligt for brugeren at svare &quot;ved ikke&quot;, såfremt at der ikke vides, hvor lang tid efter det [valgte stamdatafelt] kan begyndelsestidspunktet for forældelsesfristens beregning tidligst ligge for den afgrænsede population."/>
        <s v="10.a.2.8 - Såfremt brugeren angiver antal dage skal brugeren ledes til spørgsmål 10.a.2.1"/>
        <s v="10.a.2.9 - Såfremt brugeren angiver &quot;ved ikke&quot; skal brugeren ledes til 10.a.2.2"/>
        <s v="10.a.2.10 - Der skal være en infoboks med teksten: &quot;Hvis begyndelsestidspunktet kan ligge samme dag som indholdet af stamdatafeltet svares 0 dage.&quot;"/>
        <s v="10.a.2.11 - Det skal være muligt for brugeren, via tekstfelt, at udfylde det antal dage, for hvor lang tid efter det [valgte stamdatafelt] kan begyndelsestidspunktet for forældelsesfristens beregning tidligst ligge for den afgrænsede population."/>
        <s v="10.a.2.12 - Det skal være muligt for brugeren at svare &quot;ved ikke&quot;, såfremt at der ikke vides, hvor lang tid efter det [valgte stamdatafelt] kan begyndelsestidspunktet for forældelsesfristens beregning tidligst ligge for den afgrænsede population."/>
        <s v="10.a.2.13 - Såfremt brugeren angiver antal dage skal brugeren ledes til spørgsmål 10.a.2.1"/>
        <s v="10.a.2.14 - Såfremt brugeren angiver &quot;ved ikke&quot; skal brugeren ledes til 10.a.2.2"/>
        <s v="10.a.2.15 - Der skal være en infoboks med teksten: &quot;Hvis begyndelsestidspunktet kan ligge samme dag som indholdet af stamdatafeltet svares 0 dage.&quot;"/>
        <s v="10.a.2.16 - Det skal være muligt for brugeren, via tekstfelt, at udfylde det antal dage, for hvor lang tid efter det [valgte stamdatafelt] kan begyndelsestidspunktet for forældelsesfristens beregning tidligst ligge for den afgrænsede population."/>
        <s v="10.a.2.17 - Det skal være muligt for brugeren at svare &quot;ved ikke&quot;, såfremt at der ikke vides, hvor lang tid efter det [valgte stamdatafelt] kan begyndelsestidspunktet for forældelsesfristens beregning tidligst ligge for den afgrænsede population."/>
        <s v="10.a.2.18 - Såfremt brugeren angiver antal dage skal brugeren ledes til spørgsmål 10.a.2.1"/>
        <s v="10.a.2.19 - Såfremt brugeren angiver &quot;ved ikke&quot; skal brugeren ledes til 10.a.2.2"/>
        <s v="10.a.2.20 - Der skal være en infoboks med teksten: &quot;Hvis begyndelsestidspunktet kan ligge samme dag som indholdet af stamdatafeltet svares 0 dage.&quot;"/>
        <s v="10.a.2.21 - Det skal være muligt for brugeren, via tekstfelt, at udfylde det antal dage, for hvor lang tid efter det [valgte stamdatafelt] kan begyndelsestidspunktet for forældelsesfristens beregning tidligst ligge for den afgrænsede population."/>
        <s v="10.a.2.22 - Det skal være muligt for brugeren at svare &quot;ved ikke&quot;, såfremt at der ikke vides, hvor lang tid efter det [valgte stamdatafelt] kan begyndelsestidspunktet for forældelsesfristens beregning tidligst ligge for den afgrænsede population."/>
        <s v="10.a.2.23 - Såfremt brugeren angiver antal dage skal brugeren ledes til spørgsmål 10.a.2.1"/>
        <s v="10.a.2.24 - Såfremt brugeren angiver &quot;ved ikke&quot; skal brugeren ledes til 10.a.2.2"/>
        <s v="10.a.2.25 - Der skal være en infoboks med teksten: &quot;Hvis begyndelsestidspunktet kan ligge samme dag som indholdet af stamdatafeltet svares 0 dage.&quot;"/>
        <s v="10.a.2.1.1 - Det skal være muligt for brugeren, ved at angive en frist eller ved at svare &quot;ved ikke&quot;, at kortlægge den kortest mulige fristlængde for forældelsesfristens beregning for krav omfattet af den afgrænsede population"/>
        <s v="10.a.2.1.2 - Såfremt brugeren angiver en frist skal brugeren ledes til spørgsmål 10.a.2.1.1"/>
        <s v="10.a.2.1.3 - Såfremt brugeren angiver &quot;ved ikke&quot; skal brugeren ledes til 10.a.2.1.2"/>
        <s v="10.a.2.1.1.1 - Gruppe 1 aktiveres"/>
        <s v="10.a.2.1.1.2 - Gruppe 1 aktiveres"/>
        <s v="10.a.2.1.1.3 - Gruppe 1 aktiveres"/>
        <s v="10.a.2.1.1.4 - Gruppe 1 aktiveres"/>
        <s v="10.a.2.1.1.5 - Gruppe 1 aktiveres"/>
        <s v="10.a.2.1.1.6 - Hvis forfaldsdato er valgt: Regel R0047 aktiveres"/>
        <s v="10.a.2.1.1.7 - Hvis forfaldsdato er valgt: Regel R0048 aktiveres"/>
        <s v="10.a.2.1.1.8 - Hvis forfaldsdato er valgt: Regel R0049 aktiveres"/>
        <s v="10.a.2.1.1.9 - Hvis forfaldsdato er valgt: Regel R0050 aktiveres"/>
        <s v="10.a.2.1.1.10 - Hvis stiftelsesdato er valgt: Regel R0051 aktiveres"/>
        <s v="10.a.2.1.1.11 - Hvis stiftelsesdato er valgt: Regel R0052 aktiveres"/>
        <s v="10.a.2.1.1.12 - Hvis stiftelsesdato er valgt: Regel R0053 aktiveres"/>
        <s v="10.a.2.1.1.13 - Hvis stiftelsesdato er valgt: Regel R0054 aktiveres"/>
        <s v="10.a.2.1.1.14 - Hvis FordringsStartDato er valgt: Regel R0055 aktiveres"/>
        <s v="10.a.2.1.1.15 - Hvis FordringsStartDato er valgt: Regel R0056 aktiveres"/>
        <s v="10.a.2.1.1.16 - Hvis FordringsStartDato er valgt: Regel R0057 aktiveres"/>
        <s v="10.a.2.1.1.17 - Hvis FordringsStartDato er valgt: Regel R0058 aktiveres"/>
        <s v="10.a.2.1.1.18 - Hvis FordringsSlutDato er valgt: Regel R0059 aktiveres"/>
        <s v="10.a.2.1.1.19 - Hvis FordringsSlutDato er valgt: Regel R0060 aktiveres"/>
        <s v="10.a.2.1.1.20 - Hvis FordringsSlutDato er valgt: Regel R0061 aktiveres"/>
        <s v="10.a.2.1.1.21 - Hvis FordringsSlutDato er valgt: Regel R0062 aktiveres"/>
        <s v="10.a.2.1.1.22 - Hvis SRBDato er valgt: Regel R0063 aktiveres"/>
        <s v="10.a.2.1.1.23 - Hvis SRBDato er valgt: Regel R0064 aktiveres"/>
        <s v="10.a.2.1.1.24 - Hvis SRBDato er valgt: Regel R0065 aktiveres"/>
        <s v="10.a.2.1.1.25 - Hvis SRBDato er valgt: Regel R0066 aktiveres"/>
        <s v="10.a.2.1.1.26 - Hvis ForfaldsDato er valgt: Regel R0067 aktiveres"/>
        <s v="10.a.2.1.1.27 - Hvis StiftelsesDato er valgt: Regel R0068 aktiveres"/>
        <s v="10.a.2.1.1.28 - Hvis FordringsStartDato er valgt: Regel R0069 aktiveres"/>
        <s v="10.a.2.1.1.29 - Hvis FordringsSlutDato er valgt: Regel R0070 aktiveres"/>
        <s v="10.a.2.1.1.30 - Hvis SRBDato er valgt: Regel R0071 aktiveres"/>
        <s v="10.a.2.1.1.31 - Hvis forfaldsdato ikke er valgt: Regel R0047 deaktiveres"/>
        <s v="10.a.2.1.1.32 - Hvis forfaldsdato ikke er valgt: Regel R0048 deaktiveres"/>
        <s v="10.a.2.1.1.33 - Hvis forfaldsdato ikke er valgt: Regel R0049 deaktiveres"/>
        <s v="10.a.2.1.1.34 - Hvis forfaldsdato ikke er valgt: Regel R0050 deaktiveres"/>
        <s v="10.a.2.1.1.35 - Hvis stiftelsesdato ikke er valgt: Regel R0051 deaktiveres"/>
        <s v="10.a.2.1.1.36 - Hvis stiftelsesdato ikke er valgt: Regel R0052 deaktiveres"/>
        <s v="10.a.2.1.1.37 - Hvis stiftelsesdato ikke er valgt: Regel R0053 deaktiveres"/>
        <s v="10.a.2.1.1.38 - Hvis stiftelsesdato ikke er valgt: Regel R0054 deaktiveres"/>
        <s v="10.a.2.1.1.39 - Hvis FordringsStartDato ikke er valgt: Regel R0055 deaktiveres"/>
        <s v="10.a.2.1.1.40 - Hvis FordringsStartDato ikke er valgt: Regel R0056 deaktiveres"/>
        <s v="10.a.2.1.1.41 - Hvis FordringsStartDato ikke er valgt: Regel R0057 deaktiveres"/>
        <s v="10.a.2.1.1.42 - Hvis FordringsStartDato ikke er valgt: Regel R0058 deaktiveres"/>
        <s v="10.a.2.1.1.43 - Hvis FordringsSlutDato ikke er valgt: Regel R0059 deaktiveres"/>
        <s v="10.a.2.1.1.44 - Hvis FordringsSlutDato ikke er valgt: Regel R0060 deaktiveres"/>
        <s v="10.a.2.1.1.45 - Hvis FordringsSlutDato ikke er valgt: Regel R0061 deaktiveres"/>
        <s v="10.a.2.1.1.46 - Hvis FordringsSlutDato ikke er valgt: Regel R0062 deaktiveres"/>
        <s v="10.a.2.1.1.47 - Hvis SRBDato ikke er valgt: Regel R0063 deaktiveres"/>
        <s v="10.a.2.1.1.48 - Hvis SRBDato ikke er valgt: Regel R0064 deaktiveres"/>
        <s v="10.a.2.1.1.49 - Hvis SRBDato ikke er valgt: Regel R0065 deaktiveres"/>
        <s v="10.a.2.1.1.50 - Hvis SRBDato ikke er valgt: Regel R0066 deaktiveres"/>
        <s v="10.a.2.1.1.51 - Hvis ForfaldsDato ikke er valgt: Regel R0067 deaktiveres"/>
        <s v="10.a.2.1.1.52 - Hvis StiftelsesDato ikke er valgt: Regel R0068 deaktiveres"/>
        <s v="10.a.2.1.1.53 - Hvis FordringsStartDato ikke er valgt: Regel R0069 deaktiveres"/>
        <s v="10.a.2.1.1.54 - Hvis FordringsSlutDato ikke er valgt: Regel R0070 deaktiveres"/>
        <s v="10.a.2.1.1.55 - Hvis SRBDato ikke er valgt: Regel R0071 deaktiveres"/>
        <s v="10.a.2.1.1.56 - Hvis ForfaldsDato er valgt: Fristlængden indsættes i Regel R0047 - fristlængden beregnes ved at fratrække værdien fra spm. 10.a.2 med værdien fra 10.a.2.1"/>
        <s v="10.a.2.1.1.57 - Hvis ForfaldsDato er valgt: Fristlængden indsættes i Regel R0048 - fristlængden beregnes ved at fratrække værdien fra spm. 10.a.2 med værdien fra 10.a.2.1"/>
        <s v="10.a.2.1.1.58 - Hvis ForfaldsDato er valgt: Fristlængden indsættes i Regel R0049 - fristlængden beregnes ved at fratrække værdien fra spm. 10.a.2 med værdien fra 10.a.2.1"/>
        <s v="10.a.2.1.1.59 - Hvis ForfaldsDato er valgt: Fristlængden indsættes i Regel R0050 - fristlængden beregnes ved at fratrække værdien fra spm. 10.a.2 med værdien fra 10.a.2.1"/>
        <s v="10.a.2.1.1.60 - Hvis StiftelsesDato er valgt: Fristlængden indsættes i Regel R0051 - fristlængden beregnes ved at fratrække værdien fra spm. 10.a.2 med værdien fra 10.a.2.1"/>
        <s v="10.a.2.1.1.61 - Hvis StiftelsesDato er valgt: Fristlængden indsættes i Regel R0052 - fristlængden beregnes ved at fratrække værdien fra spm. 10.a.2 med værdien fra 10.a.2.1"/>
        <s v="10.a.2.1.1.62 - Hvis StiftelsesDato er valgt: Fristlængden indsættes i Regel R0053 - fristlængden beregnes ved at fratrække værdien fra spm. 10.a.2 med værdien fra 10.a.2.1"/>
        <s v="10.a.2.1.1.63 - Hvis StiftelsesDato er valgt: Fristlængden indsættes i Regel R0054 - fristlængden beregnes ved at fratrække værdien fra spm. 10.a.2 med værdien fra 10.a.2.1"/>
        <s v="10.a.2.1.1.64 - Hvis FordringsStartDato er valgt: Fristlængden indsættes i Regel R0055 - fristlængden beregnes ved at fratrække værdien fra spm. 10.a.2 med værdien fra 10.a.2.1"/>
        <s v="10.a.2.1.1.65 - Hvis FordringsStartDato er valgt: Fristlængden indsættes i Regel R0056 - fristlængden beregnes ved at fratrække værdien fra spm. 10.a.2 med værdien fra 10.a.2.1"/>
        <s v="10.a.2.1.1.66 - Hvis FordringsStartDato er valgt: Fristlængden indsættes i Regel R0057 - fristlængden beregnes ved at fratrække værdien fra spm. 10.a.2 med værdien fra 10.a.2.1"/>
        <s v="10.a.2.1.1.67 - Hvis FordringsStartDato er valgt: Fristlængden indsættes i Regel R0058 - fristlængden beregnes ved at fratrække værdien fra spm. 10.a.2 med værdien fra 10.a.2.1"/>
        <s v="10.a.2.1.1.68 - Hvis FordringsSlutDato er valgt: Fristlængden indsættes i Regel R0059 - fristlængden beregnes ved at fratrække værdien fra spm. 10.a.2 med værdien fra 10.a.2.1"/>
        <s v="10.a.2.1.1.69 - Hvis FordringsSlutDato er valgt: Fristlængden indsættes i Regel R0060 - fristlængden beregnes ved at fratrække værdien fra spm. 10.a.2 med værdien fra 10.a.2.1"/>
        <s v="10.a.2.1.1.70 - Hvis FordringsSlutDato er valgt: Fristlængden indsættes i Regel R0061 - fristlængden beregnes ved at fratrække værdien fra spm. 10.a.2 med værdien fra 10.a.2.1"/>
        <s v="10.a.2.1.1.71 - Hvis FordringsSlutDato er valgt: Fristlængden indsættes i Regel R0062 - fristlængden beregnes ved at fratrække værdien fra spm. 10.a.2 med værdien fra 10.a.2.1"/>
        <s v="10.a.2.1.1.72 - Hvis SRBDato er valgt: Fristlængden indsættes i Regel R0063 - fristlængden beregnes ved at fratrække værdien fra spm. 10.a.2 med værdien fra 10.a.2.1"/>
        <s v="10.a.2.1.1.73 - Hvis SRBDato er valgt: Fristlængden indsættes i Regel R0064 - fristlængden beregnes ved at fratrække værdien fra spm. 10.a.2 med værdien fra 10.a.2.1"/>
        <s v="10.a.2.1.1.74 - Hvis SRBDato er valgt: Fristlængden indsættes i Regel R0065 - fristlængden beregnes ved at fratrække værdien fra spm. 10.a.2 med værdien fra 10.a.2.1"/>
        <s v="10.a.2.1.1.75 - Hvis SRBDato er valgt: Fristlængden indsættes i Regel R0066 - fristlængden beregnes ved at fratrække værdien fra spm. 10.a.2 med værdien fra 10.a.2.1"/>
        <s v="10.a.2.1.1.76 - Hvis ForfaldsDato er valgt: Fristlængden indsættes i Regel R0067 - fristlængden beregnes ved at fratrække værdien fra spm. 10.a.2 med værdien fra 10.a.2.1"/>
        <s v="10.a.2.1.1.77 - Hvis StiftelsesDato er valgt: Fristlængden indsættes i Regel R0068 - fristlængden beregnes ved at fratrække værdien fra spm. 10.a.2 med værdien fra 10.a.2.1"/>
        <s v="10.a.2.1.1.78 - Hvis FordringsStartDato er valgt: Fristlængden indsættes i Regel R0069 - fristlængden beregnes ved at fratrække værdien fra spm. 10.a.2 med værdien fra 10.a.2.1"/>
        <s v="10.a.2.1.1.79 - Hvis FordringsSlutDato er valgt: Fristlængden indsættes i Regel R0070 - fristlængden beregnes ved at fratrække værdien fra spm. 10.a.2 med værdien fra 10.a.2.1"/>
        <s v="10.a.2.1.1.80 - Hvis SRBDato er valgt: Fristlængden indsættes i Regel R0071 - fristlængden beregnes ved at fratrække værdien fra spm. 10.a.2 med værdien fra 10.a.2.1"/>
        <s v="10.a.2.1.1.81 - Hvis ForfaldsDato ikke er valgt: Fristlængden indsættes ikke for Regel R0047"/>
        <s v="10.a.2.1.1.82 - Hvis ForfaldsDato ikke er valgt: Fristlængden indsættes ikke for Regel R0048"/>
        <s v="10.a.2.1.1.83 - Hvis ForfaldsDato ikke er valgt: Fristlængden indsættes ikke for Regel R0049"/>
        <s v="10.a.2.1.1.84 - Hvis ForfaldsDato ikke er valgt: Fristlængden indsættes ikke for Regel R0050"/>
        <s v="10.a.2.1.1.85 - Hvis StiftelsesDato ikke er valgt: Fristlængden indsættes ikke for Regel R0051"/>
        <s v="10.a.2.1.1.86 - Hvis StiftelsesDato ikke er valgt: Fristlængden indsættes ikke for Regel R0052"/>
        <s v="10.a.2.1.1.87 - Hvis StiftelsesDato ikke er valgt: Fristlængden indsættes ikke for Regel R0053"/>
        <s v="10.a.2.1.1.88 - Hvis StiftelsesDato ikke er valgt: Fristlængden indsættes ikke for Regel R0054"/>
        <s v="10.a.2.1.1.89 - Hvis FordringsStartDato ikke er valgt: Fristlængden indsættes ikke for Regel R0055"/>
        <s v="10.a.2.1.1.90 - Hvis FordringsStartDato ikke er valgt: Fristlængden indsættes ikke for Regel R0056"/>
        <s v="10.a.2.1.1.91 - Hvis FordringsStartDato ikke er valgt: Fristlængden indsættes ikke for Regel R0057"/>
        <s v="10.a.2.1.1.92 - Hvis FordringsStartDato ikke er valgt: Fristlængden indsættes ikke for Regel R0058"/>
        <s v="10.a.2.1.1.93 - Hvis FordringsSlutDato ikke er valgt: Fristlængden indsættes ikke for Regel R0059"/>
        <s v="10.a.2.1.1.94 - Hvis FordringsSlutDato ikke er valgt: Fristlængden indsættes ikke for Regel R0060"/>
        <s v="10.a.2.1.1.95 - Hvis FordringsSlutDato ikke er valgt: Fristlængden indsættes ikke for Regel R0061"/>
        <s v="10.a.2.1.1.96 - Hvis FordringsSlutDato ikke er valgt: Fristlængden indsættes ikke for Regel R0062"/>
        <s v="10.a.2.1.1.97 - Hvis SRBDato ikke er valgt: Fristlængden indsættes ikke for Regel R0063"/>
        <s v="10.a.2.1.1.98 - Hvis SRBDato ikke er valgt: Fristlængden indsættes ikke for Regel R0064"/>
        <s v="10.a.2.1.1.99 - Hvis SRBDato ikke er valgt: Fristlængden indsættes ikke for Regel R0065"/>
        <s v="10.a.2.1.1.100 - Hvis SRBDato ikke er valgt: Fristlængden indsættes ikke for Regel R0066"/>
        <s v="10.a.2.1.1.101 - Hvis ForfaldsDato ikke er valgt: Fristlængden indsættes ikke for Regel R0067"/>
        <s v="10.a.2.1.1.102 - Hvis StiftelsesDato ikke er valgt: Fristlængden indsættes ikke for Regel R0068"/>
        <s v="10.a.2.1.1.103 - Hvis FordringsStartDato ikke er valgt: Fristlængden indsættes ikke for Regel R0069"/>
        <s v="10.a.2.1.1.104 - Hvis FordringsSlutDato ikke er valgt: Fristlængden indsættes ikke for Regel R0070"/>
        <s v="10.a.2.1.1.105 - Hvis SRBDato ikke er valgt: Fristlængden indsættes ikke for Regel R0071"/>
        <s v="10.a.2.1.1.106 - Der angives et ”JA” i populationen under ”Vil RIM beregne en tidligst mulig forældelsesdato?”"/>
        <s v="10.a.2.1.1.107 - Der angives et ”JA” i populationen under ”Vil RIM beregne en tidligst mulig forældelsesdato?”"/>
        <s v="10.a.2.1.1.108 - Der angives et ”JA” i populationen under ”Vil RIM beregne en tidligst mulig forældelsesdato?”"/>
        <s v="10.a.2.1.1.109 - Der angives et ”JA” i populationen under ”Vil RIM beregne en tidligst mulig forældelsesdato?”"/>
        <s v="10.a.2.1.1.110 - Der angives et ”JA” i populationen under ”Vil RIM beregne en tidligst mulig forældelsesdato?”"/>
        <s v="10.a.2.1.2.1 - Hvis der er svaret &quot;I visse tilfælde&quot; i spørgsmål 9 og hvis der er svaret &quot;Ja&quot; i enten 9.b.1, 9.b.2.1 eller 9.b.2.2.1 skal brugeren ledes til spørgsmål 11"/>
        <s v="10.a.2.1.2.2 - Der angives et &quot;NEJ&quot; i i populationen under ”vil RIM beregne en tidligst mulig forældelsesdato?&quot;"/>
        <s v="10.a.2.1.2.3 - Gruppe 1 deaktiveres"/>
        <s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
        <s v="10.a.2.1.2.5 - Hvis fordringshaver har svaret ”aldrig” i spm. 9, kan der ikke opsættes en FLEX-filter konfiguration for populationen. "/>
        <s v="10.a.2.2.1 - Hvis der er svaret &quot;I visse tilfælde&quot; i spørgsmål 9 og hvis der er svaret &quot;Ja&quot; i enten 9.b.1, 9.b.2.1 eller 9.b.2.2.1 skal brugeren ledes til spørgsmål 11"/>
        <s v="10.a.2.2.2 - Der angives et &quot;NEJ&quot; i i populationen under ”vil RIM beregne en tidligst mulig forældelsesdato?&quot;"/>
        <s v="10.a.2.2.3 - Gruppe 1 deaktiveres"/>
        <s v="10.a.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
        <s v="10.a.2.2.5 - Hvis fordringshaver har svaret ”aldrig” i spm. 9, kan der ikke opsættes en FLEX-filter konfiguration for populationen. "/>
        <s v="10.a.2.2.6 - Hvis der er svaret &quot;I visse tilfælde&quot; i spørgsmål 9 og hvis der er svaret &quot;Ja&quot; i enten 9.b.1, 9.b.2.1 eller 9.b.2.2.1 skal brugeren ledes til spørgsmål 11"/>
        <s v="10.a.2.2.7 - Der angives et &quot;NEJ&quot; i i populationen under ”vil RIM beregne en tidligst mulig forældelsesdato?&quot;"/>
        <s v="10.a.2.2.8 - Gruppe 1 deaktiveres"/>
        <s v="10.a.2.2.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
        <s v="10.a.2.2.10 - Hvis fordringshaver har svaret ”aldrig” i spm. 9, kan der ikke opsættes en FLEX-filter konfiguration for populationen. "/>
        <s v="10.a.2.2.11 - Hvis der er svaret &quot;I visse tilfælde&quot; i spørgsmål 9 og hvis der er svaret &quot;Ja&quot; i enten 9.b.1, 9.b.2.1 eller 9.b.2.2.1 skal brugeren ledes til spørgsmål 11"/>
        <s v="10.a.2.2.12 - Der angives et &quot;NEJ&quot; i i populationen under ”vil RIM beregne en tidligst mulig forældelsesdato?&quot;"/>
        <s v="10.a.2.2.13 - Gruppe 1 deaktiveres"/>
        <s v="10.a.2.2.1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
        <s v="10.a.2.2.15 - Hvis fordringshaver har svaret ”aldrig” i spm. 9, kan der ikke opsættes en FLEX-filter konfiguration for populationen. "/>
        <s v="10.a.2.2.16 - Hvis der er svaret &quot;I visse tilfælde&quot; i spørgsmål 9 og hvis der er svaret &quot;Ja&quot; i enten 9.b.1, 9.b.2.1 eller 9.b.2.2.1 skal brugeren ledes til spørgsmål 11"/>
        <s v="10.a.2.2.17 - Der angives et &quot;NEJ&quot; i i populationen under ”vil RIM beregne en tidligst mulig forældelsesdato?&quot;"/>
        <s v="10.a.2.2.18 - Gruppe 1 deaktiveres"/>
        <s v="10.a.2.2.1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
        <s v="10.a.2.2.20 - Hvis fordringshaver har svaret ”aldrig” i spm. 9, kan der ikke opsættes en FLEX-filter konfiguration for populationen. "/>
        <s v="10.a.2.2.21 - Hvis der er svaret &quot;I visse tilfælde&quot; i spørgsmål 9 og hvis der er svaret &quot;Ja&quot; i enten 9.b.1, 9.b.2.1 eller 9.b.2.2.1 skal brugeren ledes til spørgsmål 11"/>
        <s v="10.a.2.2.22 - Der angives et &quot;NEJ&quot; i i populationen under ”vil RIM beregne en tidligst mulig forældelsesdato?&quot;"/>
        <s v="10.a.2.2.23 - Gruppe 1 deaktiveres"/>
        <s v="10.a.2.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
        <s v="10.a.2.2.25 - Hvis fordringshaver har svaret ”aldrig” i spm. 9, kan der ikke opsættes en FLEX-filter konfiguration for populationen. "/>
        <s v="10.b.1 - Hvis der er svaret &quot;I visse tilfælde&quot; i spørgsmål 9 og hvis der er svaret &quot;Ja&quot; i enten 9.b.1, 9.b.2.1 eller 9.b.2.2.1 skal brugeren ledes til spørgsmål 11"/>
        <s v="10.b.2 - Der angives et &quot;NEJ&quot; i i populationen under ”vil RIM beregne en tidligst mulig forældelsesdato?&quot;"/>
        <s v="10.b.3 - Gruppe 1 deaktiveres"/>
        <s v="10.b.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
        <s v="10.b.5 - Hvis fordringshaver har svaret ”aldrig” i spm. 9, kan der ikke opsættes en FLEX-filter konfiguration for populationen. "/>
        <s v="11.1 - "/>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9">
  <r>
    <x v="0"/>
    <s v="0"/>
    <x v="0"/>
    <n v="1"/>
    <x v="0"/>
    <x v="0"/>
    <x v="0"/>
  </r>
  <r>
    <x v="0"/>
    <s v="0"/>
    <x v="1"/>
    <n v="0"/>
    <x v="1"/>
    <x v="1"/>
    <x v="1"/>
  </r>
  <r>
    <x v="0"/>
    <s v="0"/>
    <x v="2"/>
    <n v="0"/>
    <x v="1"/>
    <x v="2"/>
    <x v="2"/>
  </r>
  <r>
    <x v="0"/>
    <s v="0"/>
    <x v="3"/>
    <n v="0"/>
    <x v="1"/>
    <x v="3"/>
    <x v="3"/>
  </r>
  <r>
    <x v="0"/>
    <s v="0"/>
    <x v="4"/>
    <n v="2"/>
    <x v="0"/>
    <x v="4"/>
    <x v="4"/>
  </r>
  <r>
    <x v="0"/>
    <s v="0"/>
    <x v="5"/>
    <n v="0"/>
    <x v="1"/>
    <x v="5"/>
    <x v="5"/>
  </r>
  <r>
    <x v="0"/>
    <s v="0"/>
    <x v="6"/>
    <n v="0"/>
    <x v="1"/>
    <x v="6"/>
    <x v="6"/>
  </r>
  <r>
    <x v="1"/>
    <n v="1"/>
    <x v="7"/>
    <n v="8"/>
    <x v="0"/>
    <x v="7"/>
    <x v="7"/>
  </r>
  <r>
    <x v="1"/>
    <n v="1"/>
    <x v="8"/>
    <n v="0"/>
    <x v="1"/>
    <x v="8"/>
    <x v="8"/>
  </r>
  <r>
    <x v="1"/>
    <n v="1"/>
    <x v="9"/>
    <n v="2"/>
    <x v="0"/>
    <x v="9"/>
    <x v="9"/>
  </r>
  <r>
    <x v="1"/>
    <n v="2"/>
    <x v="10"/>
    <n v="4"/>
    <x v="0"/>
    <x v="10"/>
    <x v="10"/>
  </r>
  <r>
    <x v="1"/>
    <n v="2"/>
    <x v="11"/>
    <n v="0"/>
    <x v="1"/>
    <x v="11"/>
    <x v="11"/>
  </r>
  <r>
    <x v="1"/>
    <n v="3"/>
    <x v="12"/>
    <n v="2"/>
    <x v="0"/>
    <x v="12"/>
    <x v="12"/>
  </r>
  <r>
    <x v="1"/>
    <n v="3"/>
    <x v="13"/>
    <n v="0"/>
    <x v="1"/>
    <x v="13"/>
    <x v="13"/>
  </r>
  <r>
    <x v="1"/>
    <n v="3"/>
    <x v="14"/>
    <n v="8"/>
    <x v="0"/>
    <x v="14"/>
    <x v="14"/>
  </r>
  <r>
    <x v="1"/>
    <s v="3"/>
    <x v="15"/>
    <n v="0"/>
    <x v="1"/>
    <x v="15"/>
    <x v="15"/>
  </r>
  <r>
    <x v="1"/>
    <n v="4"/>
    <x v="16"/>
    <n v="3"/>
    <x v="0"/>
    <x v="16"/>
    <x v="16"/>
  </r>
  <r>
    <x v="1"/>
    <s v="4"/>
    <x v="17"/>
    <n v="1"/>
    <x v="0"/>
    <x v="17"/>
    <x v="17"/>
  </r>
  <r>
    <x v="1"/>
    <s v="4"/>
    <x v="18"/>
    <n v="2"/>
    <x v="0"/>
    <x v="18"/>
    <x v="18"/>
  </r>
  <r>
    <x v="2"/>
    <s v="4.a"/>
    <x v="19"/>
    <n v="0"/>
    <x v="1"/>
    <x v="19"/>
    <x v="19"/>
  </r>
  <r>
    <x v="2"/>
    <s v="4.a"/>
    <x v="20"/>
    <n v="3"/>
    <x v="0"/>
    <x v="20"/>
    <x v="20"/>
  </r>
  <r>
    <x v="2"/>
    <s v="4.a"/>
    <x v="21"/>
    <n v="1"/>
    <x v="0"/>
    <x v="21"/>
    <x v="21"/>
  </r>
  <r>
    <x v="2"/>
    <s v="4.a"/>
    <x v="22"/>
    <n v="1"/>
    <x v="0"/>
    <x v="22"/>
    <x v="22"/>
  </r>
  <r>
    <x v="2"/>
    <s v="4.a"/>
    <x v="23"/>
    <n v="1"/>
    <x v="0"/>
    <x v="23"/>
    <x v="23"/>
  </r>
  <r>
    <x v="2"/>
    <s v="4.a"/>
    <x v="24"/>
    <n v="0"/>
    <x v="1"/>
    <x v="24"/>
    <x v="24"/>
  </r>
  <r>
    <x v="2"/>
    <s v="4.a"/>
    <x v="25"/>
    <n v="0"/>
    <x v="1"/>
    <x v="25"/>
    <x v="25"/>
  </r>
  <r>
    <x v="3"/>
    <s v="4.a.1"/>
    <x v="26"/>
    <n v="4"/>
    <x v="0"/>
    <x v="26"/>
    <x v="26"/>
  </r>
  <r>
    <x v="3"/>
    <s v="4.a.1"/>
    <x v="27"/>
    <n v="4"/>
    <x v="0"/>
    <x v="27"/>
    <x v="27"/>
  </r>
  <r>
    <x v="3"/>
    <s v="4.a.1"/>
    <x v="28"/>
    <n v="0"/>
    <x v="1"/>
    <x v="28"/>
    <x v="28"/>
  </r>
  <r>
    <x v="4"/>
    <s v="5"/>
    <x v="29"/>
    <n v="0"/>
    <x v="1"/>
    <x v="29"/>
    <x v="29"/>
  </r>
  <r>
    <x v="4"/>
    <s v="5"/>
    <x v="30"/>
    <n v="0"/>
    <x v="1"/>
    <x v="30"/>
    <x v="30"/>
  </r>
  <r>
    <x v="4"/>
    <s v="5"/>
    <x v="31"/>
    <n v="3"/>
    <x v="0"/>
    <x v="31"/>
    <x v="31"/>
  </r>
  <r>
    <x v="4"/>
    <s v="5"/>
    <x v="32"/>
    <n v="1"/>
    <x v="0"/>
    <x v="32"/>
    <x v="32"/>
  </r>
  <r>
    <x v="5"/>
    <s v="5.b"/>
    <x v="33"/>
    <n v="0"/>
    <x v="1"/>
    <x v="33"/>
    <x v="33"/>
  </r>
  <r>
    <x v="5"/>
    <s v="5.b"/>
    <x v="34"/>
    <n v="0"/>
    <x v="1"/>
    <x v="34"/>
    <x v="34"/>
  </r>
  <r>
    <x v="5"/>
    <s v="5.b"/>
    <x v="35"/>
    <n v="0"/>
    <x v="1"/>
    <x v="35"/>
    <x v="35"/>
  </r>
  <r>
    <x v="5"/>
    <s v="5.b.1 "/>
    <x v="36"/>
    <n v="0"/>
    <x v="1"/>
    <x v="36"/>
    <x v="36"/>
  </r>
  <r>
    <x v="5"/>
    <s v="5.b.1 "/>
    <x v="37"/>
    <n v="0"/>
    <x v="1"/>
    <x v="37"/>
    <x v="37"/>
  </r>
  <r>
    <x v="5"/>
    <s v="5.b.1 "/>
    <x v="38"/>
    <n v="0"/>
    <x v="1"/>
    <x v="38"/>
    <x v="38"/>
  </r>
  <r>
    <x v="5"/>
    <s v="5.b.1 "/>
    <x v="39"/>
    <n v="0"/>
    <x v="1"/>
    <x v="39"/>
    <x v="39"/>
  </r>
  <r>
    <x v="5"/>
    <s v="5.b.1 "/>
    <x v="40"/>
    <n v="0"/>
    <x v="1"/>
    <x v="40"/>
    <x v="40"/>
  </r>
  <r>
    <x v="5"/>
    <s v="5.b.2"/>
    <x v="41"/>
    <n v="0"/>
    <x v="1"/>
    <x v="36"/>
    <x v="41"/>
  </r>
  <r>
    <x v="5"/>
    <s v="5.b.2"/>
    <x v="42"/>
    <n v="0"/>
    <x v="1"/>
    <x v="41"/>
    <x v="42"/>
  </r>
  <r>
    <x v="5"/>
    <s v="5.b.2"/>
    <x v="43"/>
    <n v="0"/>
    <x v="1"/>
    <x v="42"/>
    <x v="43"/>
  </r>
  <r>
    <x v="5"/>
    <s v="5.b.2"/>
    <x v="44"/>
    <n v="0"/>
    <x v="1"/>
    <x v="43"/>
    <x v="44"/>
  </r>
  <r>
    <x v="5"/>
    <s v="5.b.2"/>
    <x v="45"/>
    <n v="0"/>
    <x v="1"/>
    <x v="40"/>
    <x v="45"/>
  </r>
  <r>
    <x v="6"/>
    <s v="6"/>
    <x v="46"/>
    <n v="0"/>
    <x v="1"/>
    <x v="44"/>
    <x v="46"/>
  </r>
  <r>
    <x v="6"/>
    <s v="6"/>
    <x v="47"/>
    <n v="0"/>
    <x v="1"/>
    <x v="45"/>
    <x v="47"/>
  </r>
  <r>
    <x v="6"/>
    <s v="6"/>
    <x v="48"/>
    <n v="1"/>
    <x v="0"/>
    <x v="46"/>
    <x v="48"/>
  </r>
  <r>
    <x v="6"/>
    <s v="6.a"/>
    <x v="49"/>
    <n v="4"/>
    <x v="0"/>
    <x v="47"/>
    <x v="49"/>
  </r>
  <r>
    <x v="6"/>
    <s v="7"/>
    <x v="50"/>
    <n v="0"/>
    <x v="1"/>
    <x v="48"/>
    <x v="50"/>
  </r>
  <r>
    <x v="6"/>
    <s v="7"/>
    <x v="51"/>
    <n v="1"/>
    <x v="0"/>
    <x v="49"/>
    <x v="51"/>
  </r>
  <r>
    <x v="6"/>
    <s v="7"/>
    <x v="52"/>
    <n v="1"/>
    <x v="0"/>
    <x v="50"/>
    <x v="52"/>
  </r>
  <r>
    <x v="6"/>
    <s v="7.a"/>
    <x v="53"/>
    <n v="1"/>
    <x v="0"/>
    <x v="47"/>
    <x v="53"/>
  </r>
  <r>
    <x v="6"/>
    <s v="8"/>
    <x v="54"/>
    <n v="0"/>
    <x v="1"/>
    <x v="51"/>
    <x v="54"/>
  </r>
  <r>
    <x v="6"/>
    <s v="8"/>
    <x v="55"/>
    <n v="1"/>
    <x v="0"/>
    <x v="52"/>
    <x v="55"/>
  </r>
  <r>
    <x v="6"/>
    <s v="8"/>
    <x v="56"/>
    <n v="3"/>
    <x v="0"/>
    <x v="53"/>
    <x v="56"/>
  </r>
  <r>
    <x v="6"/>
    <s v="8.a"/>
    <x v="57"/>
    <n v="12"/>
    <x v="0"/>
    <x v="47"/>
    <x v="57"/>
  </r>
  <r>
    <x v="7"/>
    <s v="9"/>
    <x v="58"/>
    <n v="0"/>
    <x v="1"/>
    <x v="54"/>
    <x v="58"/>
  </r>
  <r>
    <x v="7"/>
    <s v="9"/>
    <x v="59"/>
    <n v="2"/>
    <x v="0"/>
    <x v="55"/>
    <x v="59"/>
  </r>
  <r>
    <x v="7"/>
    <s v="9"/>
    <x v="60"/>
    <n v="2"/>
    <x v="0"/>
    <x v="56"/>
    <x v="60"/>
  </r>
  <r>
    <x v="7"/>
    <s v="9"/>
    <x v="61"/>
    <n v="2"/>
    <x v="0"/>
    <x v="57"/>
    <x v="61"/>
  </r>
  <r>
    <x v="7"/>
    <s v="9.c"/>
    <x v="62"/>
    <n v="3"/>
    <x v="0"/>
    <x v="58"/>
    <x v="62"/>
  </r>
  <r>
    <x v="7"/>
    <s v="9.c"/>
    <x v="63"/>
    <n v="1"/>
    <x v="0"/>
    <x v="59"/>
    <x v="63"/>
  </r>
  <r>
    <x v="7"/>
    <s v="9.c"/>
    <x v="64"/>
    <n v="3"/>
    <x v="0"/>
    <x v="60"/>
    <x v="64"/>
  </r>
  <r>
    <x v="7"/>
    <s v="9.c"/>
    <x v="65"/>
    <n v="1"/>
    <x v="0"/>
    <x v="61"/>
    <x v="65"/>
  </r>
  <r>
    <x v="7"/>
    <s v="9.c"/>
    <x v="66"/>
    <n v="3"/>
    <x v="0"/>
    <x v="62"/>
    <x v="66"/>
  </r>
  <r>
    <x v="7"/>
    <s v="9.c"/>
    <x v="67"/>
    <n v="1"/>
    <x v="0"/>
    <x v="63"/>
    <x v="67"/>
  </r>
  <r>
    <x v="7"/>
    <s v="9.c"/>
    <x v="68"/>
    <n v="3"/>
    <x v="0"/>
    <x v="64"/>
    <x v="68"/>
  </r>
  <r>
    <x v="7"/>
    <s v="9.c"/>
    <x v="69"/>
    <n v="1"/>
    <x v="0"/>
    <x v="65"/>
    <x v="69"/>
  </r>
  <r>
    <x v="7"/>
    <s v="9.c"/>
    <x v="70"/>
    <n v="3"/>
    <x v="0"/>
    <x v="66"/>
    <x v="70"/>
  </r>
  <r>
    <x v="7"/>
    <s v="9.c"/>
    <x v="71"/>
    <n v="1"/>
    <x v="0"/>
    <x v="67"/>
    <x v="71"/>
  </r>
  <r>
    <x v="7"/>
    <s v="9.c"/>
    <x v="72"/>
    <n v="3"/>
    <x v="0"/>
    <x v="68"/>
    <x v="72"/>
  </r>
  <r>
    <x v="8"/>
    <s v="9.a"/>
    <x v="73"/>
    <n v="0"/>
    <x v="1"/>
    <x v="51"/>
    <x v="73"/>
  </r>
  <r>
    <x v="8"/>
    <s v="9.a"/>
    <x v="74"/>
    <n v="1"/>
    <x v="0"/>
    <x v="69"/>
    <x v="74"/>
  </r>
  <r>
    <x v="8"/>
    <s v="9.a"/>
    <x v="75"/>
    <n v="2"/>
    <x v="0"/>
    <x v="70"/>
    <x v="75"/>
  </r>
  <r>
    <x v="9"/>
    <s v="9.a.1"/>
    <x v="76"/>
    <n v="1"/>
    <x v="0"/>
    <x v="71"/>
    <x v="76"/>
  </r>
  <r>
    <x v="9"/>
    <s v="9.a.1"/>
    <x v="77"/>
    <n v="1"/>
    <x v="0"/>
    <x v="72"/>
    <x v="77"/>
  </r>
  <r>
    <x v="9"/>
    <s v="9.a.1"/>
    <x v="78"/>
    <n v="1"/>
    <x v="0"/>
    <x v="73"/>
    <x v="78"/>
  </r>
  <r>
    <x v="9"/>
    <s v="9.a.1"/>
    <x v="79"/>
    <n v="1"/>
    <x v="0"/>
    <x v="74"/>
    <x v="79"/>
  </r>
  <r>
    <x v="9"/>
    <s v="9.a.1"/>
    <x v="80"/>
    <n v="0"/>
    <x v="1"/>
    <x v="75"/>
    <x v="80"/>
  </r>
  <r>
    <x v="10"/>
    <s v="9.a.2"/>
    <x v="81"/>
    <n v="0"/>
    <x v="1"/>
    <x v="76"/>
    <x v="81"/>
  </r>
  <r>
    <x v="10"/>
    <s v="9.a.2"/>
    <x v="82"/>
    <n v="1"/>
    <x v="0"/>
    <x v="77"/>
    <x v="82"/>
  </r>
  <r>
    <x v="10"/>
    <s v="9.a.2"/>
    <x v="83"/>
    <n v="2"/>
    <x v="0"/>
    <x v="78"/>
    <x v="83"/>
  </r>
  <r>
    <x v="10"/>
    <s v="9.a.2.1"/>
    <x v="84"/>
    <n v="1"/>
    <x v="0"/>
    <x v="71"/>
    <x v="84"/>
  </r>
  <r>
    <x v="10"/>
    <s v="9.a.2.1"/>
    <x v="85"/>
    <n v="1"/>
    <x v="0"/>
    <x v="72"/>
    <x v="85"/>
  </r>
  <r>
    <x v="10"/>
    <s v="9.a.2.1"/>
    <x v="86"/>
    <n v="2"/>
    <x v="0"/>
    <x v="79"/>
    <x v="86"/>
  </r>
  <r>
    <x v="10"/>
    <s v="9.a.2.1"/>
    <x v="87"/>
    <n v="1"/>
    <x v="0"/>
    <x v="74"/>
    <x v="87"/>
  </r>
  <r>
    <x v="11"/>
    <s v="9.a.2.2"/>
    <x v="88"/>
    <n v="0"/>
    <x v="1"/>
    <x v="80"/>
    <x v="88"/>
  </r>
  <r>
    <x v="11"/>
    <s v="9.a.2.2"/>
    <x v="89"/>
    <n v="1"/>
    <x v="0"/>
    <x v="81"/>
    <x v="89"/>
  </r>
  <r>
    <x v="11"/>
    <s v="9.a.2.2"/>
    <x v="90"/>
    <n v="1"/>
    <x v="0"/>
    <x v="82"/>
    <x v="90"/>
  </r>
  <r>
    <x v="11"/>
    <s v="9.a.2.2.1"/>
    <x v="91"/>
    <n v="1"/>
    <x v="0"/>
    <x v="71"/>
    <x v="91"/>
  </r>
  <r>
    <x v="11"/>
    <s v="9.a.2.2.1"/>
    <x v="92"/>
    <n v="3"/>
    <x v="0"/>
    <x v="83"/>
    <x v="92"/>
  </r>
  <r>
    <x v="11"/>
    <s v="9.a.2.2.1"/>
    <x v="93"/>
    <n v="3"/>
    <x v="0"/>
    <x v="84"/>
    <x v="93"/>
  </r>
  <r>
    <x v="11"/>
    <s v="9.a.2.2.1"/>
    <x v="94"/>
    <n v="3"/>
    <x v="0"/>
    <x v="85"/>
    <x v="94"/>
  </r>
  <r>
    <x v="11"/>
    <s v="9.a.2.2.1"/>
    <x v="95"/>
    <n v="3"/>
    <x v="0"/>
    <x v="86"/>
    <x v="95"/>
  </r>
  <r>
    <x v="11"/>
    <s v="9.a.2.2.1"/>
    <x v="96"/>
    <n v="3"/>
    <x v="0"/>
    <x v="87"/>
    <x v="96"/>
  </r>
  <r>
    <x v="11"/>
    <s v="9.a.2.2.1"/>
    <x v="97"/>
    <n v="1"/>
    <x v="0"/>
    <x v="72"/>
    <x v="97"/>
  </r>
  <r>
    <x v="11"/>
    <s v="9.a.2.2.1"/>
    <x v="98"/>
    <n v="1"/>
    <x v="0"/>
    <x v="73"/>
    <x v="98"/>
  </r>
  <r>
    <x v="11"/>
    <s v="9.a.2.2.1"/>
    <x v="99"/>
    <n v="1"/>
    <x v="0"/>
    <x v="88"/>
    <x v="99"/>
  </r>
  <r>
    <x v="11"/>
    <s v="9.a.2.2.2"/>
    <x v="100"/>
    <n v="1"/>
    <x v="0"/>
    <x v="89"/>
    <x v="100"/>
  </r>
  <r>
    <x v="11"/>
    <s v="9.a.2.2.2"/>
    <x v="101"/>
    <n v="1"/>
    <x v="0"/>
    <x v="59"/>
    <x v="101"/>
  </r>
  <r>
    <x v="11"/>
    <s v="9.a.2.2.2"/>
    <x v="102"/>
    <n v="1"/>
    <x v="0"/>
    <x v="60"/>
    <x v="102"/>
  </r>
  <r>
    <x v="11"/>
    <s v="9.a.2.2.2"/>
    <x v="103"/>
    <n v="1"/>
    <x v="0"/>
    <x v="61"/>
    <x v="103"/>
  </r>
  <r>
    <x v="11"/>
    <s v="9.a.2.2.2"/>
    <x v="104"/>
    <n v="1"/>
    <x v="0"/>
    <x v="62"/>
    <x v="104"/>
  </r>
  <r>
    <x v="11"/>
    <s v="9.a.2.2.2"/>
    <x v="105"/>
    <n v="1"/>
    <x v="0"/>
    <x v="63"/>
    <x v="105"/>
  </r>
  <r>
    <x v="11"/>
    <s v="9.a.2.2.2"/>
    <x v="106"/>
    <n v="1"/>
    <x v="0"/>
    <x v="64"/>
    <x v="106"/>
  </r>
  <r>
    <x v="11"/>
    <s v="9.a.2.2.2"/>
    <x v="107"/>
    <n v="1"/>
    <x v="0"/>
    <x v="65"/>
    <x v="107"/>
  </r>
  <r>
    <x v="11"/>
    <s v="9.a.2.2.2"/>
    <x v="108"/>
    <n v="1"/>
    <x v="0"/>
    <x v="66"/>
    <x v="108"/>
  </r>
  <r>
    <x v="11"/>
    <s v="9.a.2.2.2"/>
    <x v="109"/>
    <n v="1"/>
    <x v="0"/>
    <x v="67"/>
    <x v="109"/>
  </r>
  <r>
    <x v="11"/>
    <s v="9.a.2.2.2"/>
    <x v="110"/>
    <n v="1"/>
    <x v="0"/>
    <x v="68"/>
    <x v="110"/>
  </r>
  <r>
    <x v="12"/>
    <s v="9.b"/>
    <x v="111"/>
    <n v="0"/>
    <x v="1"/>
    <x v="90"/>
    <x v="111"/>
  </r>
  <r>
    <x v="12"/>
    <s v="9.b"/>
    <x v="112"/>
    <n v="1"/>
    <x v="0"/>
    <x v="91"/>
    <x v="112"/>
  </r>
  <r>
    <x v="12"/>
    <s v="9.b"/>
    <x v="113"/>
    <n v="1"/>
    <x v="0"/>
    <x v="92"/>
    <x v="113"/>
  </r>
  <r>
    <x v="12"/>
    <s v="9.b.1"/>
    <x v="114"/>
    <n v="1"/>
    <x v="0"/>
    <x v="72"/>
    <x v="114"/>
  </r>
  <r>
    <x v="12"/>
    <s v="9.b.1"/>
    <x v="115"/>
    <n v="0"/>
    <x v="1"/>
    <x v="93"/>
    <x v="115"/>
  </r>
  <r>
    <x v="13"/>
    <s v="9.b.2"/>
    <x v="116"/>
    <n v="0"/>
    <x v="1"/>
    <x v="94"/>
    <x v="116"/>
  </r>
  <r>
    <x v="13"/>
    <s v="9.b.2"/>
    <x v="117"/>
    <n v="1"/>
    <x v="0"/>
    <x v="95"/>
    <x v="117"/>
  </r>
  <r>
    <x v="13"/>
    <s v="9.b.2"/>
    <x v="118"/>
    <n v="1"/>
    <x v="0"/>
    <x v="96"/>
    <x v="118"/>
  </r>
  <r>
    <x v="13"/>
    <s v="9.b.2.1"/>
    <x v="119"/>
    <n v="1"/>
    <x v="0"/>
    <x v="72"/>
    <x v="119"/>
  </r>
  <r>
    <x v="13"/>
    <s v="9.b.2.1"/>
    <x v="120"/>
    <n v="1"/>
    <x v="0"/>
    <x v="93"/>
    <x v="120"/>
  </r>
  <r>
    <x v="14"/>
    <s v="9.b.2.2"/>
    <x v="121"/>
    <n v="0"/>
    <x v="1"/>
    <x v="80"/>
    <x v="121"/>
  </r>
  <r>
    <x v="14"/>
    <s v="9.b.2.2"/>
    <x v="122"/>
    <n v="1"/>
    <x v="0"/>
    <x v="97"/>
    <x v="122"/>
  </r>
  <r>
    <x v="14"/>
    <s v="9.b.2.2"/>
    <x v="123"/>
    <n v="1"/>
    <x v="0"/>
    <x v="98"/>
    <x v="123"/>
  </r>
  <r>
    <x v="14"/>
    <s v="9.b.2.2.1"/>
    <x v="124"/>
    <n v="2"/>
    <x v="0"/>
    <x v="99"/>
    <x v="124"/>
  </r>
  <r>
    <x v="14"/>
    <s v="9.b.2.2.1"/>
    <x v="125"/>
    <n v="2"/>
    <x v="0"/>
    <x v="100"/>
    <x v="125"/>
  </r>
  <r>
    <x v="14"/>
    <s v="9.b.2.2.1"/>
    <x v="126"/>
    <n v="2"/>
    <x v="0"/>
    <x v="101"/>
    <x v="126"/>
  </r>
  <r>
    <x v="14"/>
    <s v="9.b.2.2.1"/>
    <x v="127"/>
    <n v="2"/>
    <x v="0"/>
    <x v="102"/>
    <x v="127"/>
  </r>
  <r>
    <x v="14"/>
    <s v="9.b.2.2.1"/>
    <x v="128"/>
    <n v="2"/>
    <x v="0"/>
    <x v="103"/>
    <x v="128"/>
  </r>
  <r>
    <x v="14"/>
    <s v="9.b.2.2.1"/>
    <x v="129"/>
    <n v="1"/>
    <x v="0"/>
    <x v="93"/>
    <x v="129"/>
  </r>
  <r>
    <x v="14"/>
    <s v="9.b.2.2.2"/>
    <x v="130"/>
    <n v="1"/>
    <x v="0"/>
    <x v="58"/>
    <x v="130"/>
  </r>
  <r>
    <x v="14"/>
    <s v="9.b.2.2.2"/>
    <x v="131"/>
    <n v="1"/>
    <x v="0"/>
    <x v="59"/>
    <x v="131"/>
  </r>
  <r>
    <x v="14"/>
    <s v="9.b.2.2.2"/>
    <x v="132"/>
    <n v="1"/>
    <x v="0"/>
    <x v="60"/>
    <x v="132"/>
  </r>
  <r>
    <x v="14"/>
    <s v="9.b.2.2.2"/>
    <x v="133"/>
    <n v="1"/>
    <x v="0"/>
    <x v="61"/>
    <x v="133"/>
  </r>
  <r>
    <x v="14"/>
    <s v="9.b.2.2.2"/>
    <x v="134"/>
    <n v="1"/>
    <x v="0"/>
    <x v="62"/>
    <x v="134"/>
  </r>
  <r>
    <x v="14"/>
    <s v="9.b.2.2.2"/>
    <x v="135"/>
    <n v="1"/>
    <x v="0"/>
    <x v="63"/>
    <x v="135"/>
  </r>
  <r>
    <x v="14"/>
    <s v="9.b.2.2.2"/>
    <x v="136"/>
    <n v="1"/>
    <x v="0"/>
    <x v="64"/>
    <x v="136"/>
  </r>
  <r>
    <x v="14"/>
    <s v="9.b.2.2.2"/>
    <x v="137"/>
    <n v="1"/>
    <x v="0"/>
    <x v="65"/>
    <x v="137"/>
  </r>
  <r>
    <x v="14"/>
    <s v="9.b.2.2.2"/>
    <x v="138"/>
    <n v="1"/>
    <x v="0"/>
    <x v="66"/>
    <x v="138"/>
  </r>
  <r>
    <x v="14"/>
    <s v="9.b.2.2.2"/>
    <x v="139"/>
    <n v="1"/>
    <x v="0"/>
    <x v="67"/>
    <x v="139"/>
  </r>
  <r>
    <x v="14"/>
    <s v="9.b.2.2.2"/>
    <x v="140"/>
    <n v="1"/>
    <x v="0"/>
    <x v="68"/>
    <x v="140"/>
  </r>
  <r>
    <x v="15"/>
    <s v="10"/>
    <x v="141"/>
    <n v="0"/>
    <x v="1"/>
    <x v="104"/>
    <x v="141"/>
  </r>
  <r>
    <x v="15"/>
    <s v="10"/>
    <x v="142"/>
    <n v="0"/>
    <x v="1"/>
    <x v="105"/>
    <x v="142"/>
  </r>
  <r>
    <x v="15"/>
    <s v="10"/>
    <x v="143"/>
    <n v="0"/>
    <x v="1"/>
    <x v="106"/>
    <x v="143"/>
  </r>
  <r>
    <x v="15"/>
    <s v="10"/>
    <x v="144"/>
    <n v="1"/>
    <x v="0"/>
    <x v="107"/>
    <x v="144"/>
  </r>
  <r>
    <x v="15"/>
    <s v="10"/>
    <x v="145"/>
    <n v="1"/>
    <x v="0"/>
    <x v="108"/>
    <x v="145"/>
  </r>
  <r>
    <x v="15"/>
    <s v="10"/>
    <x v="146"/>
    <n v="1"/>
    <x v="0"/>
    <x v="109"/>
    <x v="146"/>
  </r>
  <r>
    <x v="15"/>
    <s v="10"/>
    <x v="147"/>
    <n v="1"/>
    <x v="0"/>
    <x v="110"/>
    <x v="147"/>
  </r>
  <r>
    <x v="15"/>
    <s v="10"/>
    <x v="148"/>
    <n v="1"/>
    <x v="0"/>
    <x v="111"/>
    <x v="148"/>
  </r>
  <r>
    <x v="15"/>
    <s v="10"/>
    <x v="149"/>
    <n v="1"/>
    <x v="0"/>
    <x v="112"/>
    <x v="149"/>
  </r>
  <r>
    <x v="16"/>
    <s v="10.a"/>
    <x v="150"/>
    <n v="0"/>
    <x v="1"/>
    <x v="113"/>
    <x v="150"/>
  </r>
  <r>
    <x v="16"/>
    <s v="10.a"/>
    <x v="151"/>
    <n v="0"/>
    <x v="1"/>
    <x v="114"/>
    <x v="151"/>
  </r>
  <r>
    <x v="16"/>
    <s v="10.a"/>
    <x v="152"/>
    <n v="0"/>
    <x v="1"/>
    <x v="115"/>
    <x v="152"/>
  </r>
  <r>
    <x v="16"/>
    <s v="10.a.1"/>
    <x v="153"/>
    <n v="0"/>
    <x v="1"/>
    <x v="116"/>
    <x v="153"/>
  </r>
  <r>
    <x v="16"/>
    <s v="10.a.1"/>
    <x v="154"/>
    <n v="0"/>
    <x v="1"/>
    <x v="117"/>
    <x v="154"/>
  </r>
  <r>
    <x v="16"/>
    <s v="10.a.1"/>
    <x v="155"/>
    <n v="0"/>
    <x v="1"/>
    <x v="118"/>
    <x v="155"/>
  </r>
  <r>
    <x v="16"/>
    <s v="10.a.1"/>
    <x v="156"/>
    <n v="0"/>
    <x v="1"/>
    <x v="119"/>
    <x v="156"/>
  </r>
  <r>
    <x v="17"/>
    <s v="10.a.1"/>
    <x v="157"/>
    <n v="0"/>
    <x v="1"/>
    <x v="116"/>
    <x v="157"/>
  </r>
  <r>
    <x v="17"/>
    <s v="10.a.1"/>
    <x v="158"/>
    <n v="0"/>
    <x v="1"/>
    <x v="117"/>
    <x v="158"/>
  </r>
  <r>
    <x v="17"/>
    <s v="10.a.1"/>
    <x v="159"/>
    <n v="0"/>
    <x v="1"/>
    <x v="118"/>
    <x v="159"/>
  </r>
  <r>
    <x v="17"/>
    <s v="10.a.1"/>
    <x v="160"/>
    <n v="0"/>
    <x v="1"/>
    <x v="119"/>
    <x v="160"/>
  </r>
  <r>
    <x v="18"/>
    <s v="10.a.1"/>
    <x v="161"/>
    <n v="0"/>
    <x v="1"/>
    <x v="116"/>
    <x v="161"/>
  </r>
  <r>
    <x v="18"/>
    <s v="10.a.1"/>
    <x v="162"/>
    <n v="0"/>
    <x v="1"/>
    <x v="117"/>
    <x v="162"/>
  </r>
  <r>
    <x v="18"/>
    <s v="10.a.1"/>
    <x v="163"/>
    <n v="0"/>
    <x v="1"/>
    <x v="118"/>
    <x v="163"/>
  </r>
  <r>
    <x v="18"/>
    <s v="10.a.1"/>
    <x v="164"/>
    <n v="0"/>
    <x v="1"/>
    <x v="119"/>
    <x v="164"/>
  </r>
  <r>
    <x v="19"/>
    <s v="10.a.1"/>
    <x v="165"/>
    <n v="0"/>
    <x v="1"/>
    <x v="116"/>
    <x v="165"/>
  </r>
  <r>
    <x v="19"/>
    <s v="10.a.1"/>
    <x v="166"/>
    <n v="0"/>
    <x v="1"/>
    <x v="117"/>
    <x v="166"/>
  </r>
  <r>
    <x v="19"/>
    <s v="10.a.1"/>
    <x v="167"/>
    <n v="0"/>
    <x v="1"/>
    <x v="118"/>
    <x v="167"/>
  </r>
  <r>
    <x v="19"/>
    <s v="10.a.1"/>
    <x v="168"/>
    <n v="0"/>
    <x v="1"/>
    <x v="119"/>
    <x v="168"/>
  </r>
  <r>
    <x v="20"/>
    <s v="10.a.1"/>
    <x v="169"/>
    <n v="0"/>
    <x v="1"/>
    <x v="116"/>
    <x v="169"/>
  </r>
  <r>
    <x v="20"/>
    <s v="10.a.1"/>
    <x v="170"/>
    <n v="0"/>
    <x v="1"/>
    <x v="117"/>
    <x v="170"/>
  </r>
  <r>
    <x v="20"/>
    <s v="10.a.1"/>
    <x v="171"/>
    <n v="0"/>
    <x v="1"/>
    <x v="118"/>
    <x v="171"/>
  </r>
  <r>
    <x v="20"/>
    <s v="10.a.1"/>
    <x v="172"/>
    <n v="0"/>
    <x v="1"/>
    <x v="119"/>
    <x v="172"/>
  </r>
  <r>
    <x v="16"/>
    <s v="10.a.1.1"/>
    <x v="173"/>
    <n v="0"/>
    <x v="1"/>
    <x v="120"/>
    <x v="173"/>
  </r>
  <r>
    <x v="16"/>
    <s v="10.a.1.1"/>
    <x v="174"/>
    <n v="0"/>
    <x v="1"/>
    <x v="121"/>
    <x v="174"/>
  </r>
  <r>
    <x v="16"/>
    <s v="10.a.1.1"/>
    <x v="175"/>
    <n v="0"/>
    <x v="1"/>
    <x v="122"/>
    <x v="175"/>
  </r>
  <r>
    <x v="16"/>
    <s v="10.a.1.1"/>
    <x v="176"/>
    <n v="0"/>
    <x v="1"/>
    <x v="123"/>
    <x v="176"/>
  </r>
  <r>
    <x v="16"/>
    <s v="10.a.1.1"/>
    <x v="177"/>
    <n v="0"/>
    <x v="1"/>
    <x v="124"/>
    <x v="177"/>
  </r>
  <r>
    <x v="16"/>
    <s v="10.a.1.1"/>
    <x v="178"/>
    <n v="0"/>
    <x v="1"/>
    <x v="125"/>
    <x v="178"/>
  </r>
  <r>
    <x v="17"/>
    <s v="10.a.1.1"/>
    <x v="179"/>
    <n v="0"/>
    <x v="1"/>
    <x v="120"/>
    <x v="179"/>
  </r>
  <r>
    <x v="17"/>
    <s v="10.a.1.1"/>
    <x v="180"/>
    <n v="0"/>
    <x v="1"/>
    <x v="121"/>
    <x v="180"/>
  </r>
  <r>
    <x v="17"/>
    <s v="10.a.1.1"/>
    <x v="181"/>
    <n v="0"/>
    <x v="1"/>
    <x v="122"/>
    <x v="181"/>
  </r>
  <r>
    <x v="17"/>
    <s v="10.a.1.1"/>
    <x v="182"/>
    <n v="0"/>
    <x v="1"/>
    <x v="123"/>
    <x v="182"/>
  </r>
  <r>
    <x v="17"/>
    <s v="10.a.1.1"/>
    <x v="183"/>
    <n v="0"/>
    <x v="1"/>
    <x v="124"/>
    <x v="183"/>
  </r>
  <r>
    <x v="17"/>
    <s v="10.a.1.1"/>
    <x v="184"/>
    <n v="0"/>
    <x v="1"/>
    <x v="125"/>
    <x v="184"/>
  </r>
  <r>
    <x v="18"/>
    <s v="10.a.1.1"/>
    <x v="185"/>
    <n v="0"/>
    <x v="1"/>
    <x v="120"/>
    <x v="185"/>
  </r>
  <r>
    <x v="18"/>
    <s v="10.a.1.1"/>
    <x v="186"/>
    <n v="0"/>
    <x v="1"/>
    <x v="121"/>
    <x v="186"/>
  </r>
  <r>
    <x v="18"/>
    <s v="10.a.1.1"/>
    <x v="187"/>
    <n v="0"/>
    <x v="1"/>
    <x v="122"/>
    <x v="187"/>
  </r>
  <r>
    <x v="18"/>
    <s v="10.a.1.1"/>
    <x v="188"/>
    <n v="0"/>
    <x v="1"/>
    <x v="123"/>
    <x v="188"/>
  </r>
  <r>
    <x v="18"/>
    <s v="10.a.1.1"/>
    <x v="189"/>
    <n v="0"/>
    <x v="1"/>
    <x v="124"/>
    <x v="189"/>
  </r>
  <r>
    <x v="18"/>
    <s v="10.a.1.1"/>
    <x v="190"/>
    <n v="0"/>
    <x v="1"/>
    <x v="125"/>
    <x v="190"/>
  </r>
  <r>
    <x v="19"/>
    <s v="10.a.1.1"/>
    <x v="191"/>
    <n v="0"/>
    <x v="1"/>
    <x v="120"/>
    <x v="191"/>
  </r>
  <r>
    <x v="19"/>
    <s v="10.a.1.1"/>
    <x v="192"/>
    <n v="0"/>
    <x v="1"/>
    <x v="121"/>
    <x v="192"/>
  </r>
  <r>
    <x v="19"/>
    <s v="10.a.1.1"/>
    <x v="193"/>
    <n v="0"/>
    <x v="1"/>
    <x v="122"/>
    <x v="193"/>
  </r>
  <r>
    <x v="19"/>
    <s v="10.a.1.1"/>
    <x v="194"/>
    <n v="0"/>
    <x v="1"/>
    <x v="123"/>
    <x v="194"/>
  </r>
  <r>
    <x v="19"/>
    <s v="10.a.1.1"/>
    <x v="195"/>
    <n v="0"/>
    <x v="1"/>
    <x v="124"/>
    <x v="195"/>
  </r>
  <r>
    <x v="19"/>
    <s v="10.a.1.1"/>
    <x v="196"/>
    <n v="0"/>
    <x v="1"/>
    <x v="125"/>
    <x v="196"/>
  </r>
  <r>
    <x v="20"/>
    <s v="10.a.1.1"/>
    <x v="197"/>
    <n v="0"/>
    <x v="1"/>
    <x v="120"/>
    <x v="197"/>
  </r>
  <r>
    <x v="20"/>
    <s v="10.a.1.1"/>
    <x v="198"/>
    <n v="0"/>
    <x v="1"/>
    <x v="121"/>
    <x v="198"/>
  </r>
  <r>
    <x v="20"/>
    <s v="10.a.1.1"/>
    <x v="199"/>
    <n v="0"/>
    <x v="1"/>
    <x v="122"/>
    <x v="199"/>
  </r>
  <r>
    <x v="20"/>
    <s v="10.a.1.1"/>
    <x v="200"/>
    <n v="0"/>
    <x v="1"/>
    <x v="123"/>
    <x v="200"/>
  </r>
  <r>
    <x v="20"/>
    <s v="10.a.1.1"/>
    <x v="201"/>
    <n v="0"/>
    <x v="1"/>
    <x v="124"/>
    <x v="201"/>
  </r>
  <r>
    <x v="20"/>
    <s v="10.a.1.1"/>
    <x v="202"/>
    <n v="0"/>
    <x v="1"/>
    <x v="125"/>
    <x v="202"/>
  </r>
  <r>
    <x v="16"/>
    <s v="10.a.1.1.1"/>
    <x v="203"/>
    <n v="0"/>
    <x v="1"/>
    <x v="126"/>
    <x v="203"/>
  </r>
  <r>
    <x v="17"/>
    <s v="10.a.1.1.1"/>
    <x v="204"/>
    <n v="0"/>
    <x v="1"/>
    <x v="126"/>
    <x v="204"/>
  </r>
  <r>
    <x v="18"/>
    <s v="10.a.1.1.1"/>
    <x v="205"/>
    <n v="0"/>
    <x v="1"/>
    <x v="126"/>
    <x v="205"/>
  </r>
  <r>
    <x v="19"/>
    <s v="10.a.1.1.1"/>
    <x v="206"/>
    <n v="0"/>
    <x v="1"/>
    <x v="126"/>
    <x v="206"/>
  </r>
  <r>
    <x v="20"/>
    <s v="10.a.1.1.1"/>
    <x v="207"/>
    <n v="0"/>
    <x v="1"/>
    <x v="126"/>
    <x v="207"/>
  </r>
  <r>
    <x v="16"/>
    <s v="10.a.1.1.1"/>
    <x v="208"/>
    <n v="0"/>
    <x v="1"/>
    <x v="127"/>
    <x v="208"/>
  </r>
  <r>
    <x v="16"/>
    <s v="10.a.1.1.1"/>
    <x v="209"/>
    <n v="0"/>
    <x v="1"/>
    <x v="128"/>
    <x v="209"/>
  </r>
  <r>
    <x v="16"/>
    <s v="10.a.1.1.1"/>
    <x v="210"/>
    <n v="0"/>
    <x v="1"/>
    <x v="129"/>
    <x v="210"/>
  </r>
  <r>
    <x v="16"/>
    <s v="10.a.1.1.1"/>
    <x v="211"/>
    <n v="0"/>
    <x v="1"/>
    <x v="130"/>
    <x v="211"/>
  </r>
  <r>
    <x v="17"/>
    <s v="10.a.1.1.1"/>
    <x v="212"/>
    <n v="0"/>
    <x v="1"/>
    <x v="131"/>
    <x v="212"/>
  </r>
  <r>
    <x v="17"/>
    <s v="10.a.1.1.1"/>
    <x v="213"/>
    <n v="0"/>
    <x v="1"/>
    <x v="132"/>
    <x v="213"/>
  </r>
  <r>
    <x v="17"/>
    <s v="10.a.1.1.1"/>
    <x v="214"/>
    <n v="0"/>
    <x v="1"/>
    <x v="133"/>
    <x v="214"/>
  </r>
  <r>
    <x v="17"/>
    <s v="10.a.1.1.1"/>
    <x v="215"/>
    <n v="0"/>
    <x v="1"/>
    <x v="134"/>
    <x v="215"/>
  </r>
  <r>
    <x v="18"/>
    <s v="10.a.1.1.1"/>
    <x v="216"/>
    <n v="0"/>
    <x v="1"/>
    <x v="135"/>
    <x v="216"/>
  </r>
  <r>
    <x v="18"/>
    <s v="10.a.1.1.1"/>
    <x v="217"/>
    <n v="0"/>
    <x v="1"/>
    <x v="136"/>
    <x v="217"/>
  </r>
  <r>
    <x v="18"/>
    <s v="10.a.1.1.1"/>
    <x v="218"/>
    <n v="0"/>
    <x v="1"/>
    <x v="137"/>
    <x v="218"/>
  </r>
  <r>
    <x v="18"/>
    <s v="10.a.1.1.1"/>
    <x v="219"/>
    <n v="0"/>
    <x v="1"/>
    <x v="138"/>
    <x v="219"/>
  </r>
  <r>
    <x v="19"/>
    <s v="10.a.1.1.1"/>
    <x v="220"/>
    <n v="0"/>
    <x v="1"/>
    <x v="139"/>
    <x v="220"/>
  </r>
  <r>
    <x v="19"/>
    <s v="10.a.1.1.1"/>
    <x v="221"/>
    <n v="0"/>
    <x v="1"/>
    <x v="140"/>
    <x v="221"/>
  </r>
  <r>
    <x v="19"/>
    <s v="10.a.1.1.1"/>
    <x v="222"/>
    <n v="0"/>
    <x v="1"/>
    <x v="141"/>
    <x v="222"/>
  </r>
  <r>
    <x v="19"/>
    <s v="10.a.1.1.1"/>
    <x v="223"/>
    <n v="0"/>
    <x v="1"/>
    <x v="142"/>
    <x v="223"/>
  </r>
  <r>
    <x v="20"/>
    <s v="10.a.1.1.1"/>
    <x v="224"/>
    <n v="0"/>
    <x v="1"/>
    <x v="143"/>
    <x v="224"/>
  </r>
  <r>
    <x v="20"/>
    <s v="10.a.1.1.1"/>
    <x v="225"/>
    <n v="0"/>
    <x v="1"/>
    <x v="144"/>
    <x v="225"/>
  </r>
  <r>
    <x v="20"/>
    <s v="10.a.1.1.1"/>
    <x v="226"/>
    <n v="0"/>
    <x v="1"/>
    <x v="145"/>
    <x v="226"/>
  </r>
  <r>
    <x v="20"/>
    <s v="10.a.1.1.1"/>
    <x v="227"/>
    <n v="0"/>
    <x v="1"/>
    <x v="146"/>
    <x v="227"/>
  </r>
  <r>
    <x v="16"/>
    <s v="10.a.1.1.1"/>
    <x v="228"/>
    <n v="0"/>
    <x v="1"/>
    <x v="147"/>
    <x v="228"/>
  </r>
  <r>
    <x v="17"/>
    <s v="10.a.1.1.1"/>
    <x v="229"/>
    <n v="0"/>
    <x v="1"/>
    <x v="148"/>
    <x v="229"/>
  </r>
  <r>
    <x v="18"/>
    <s v="10.a.1.1.1"/>
    <x v="230"/>
    <n v="0"/>
    <x v="1"/>
    <x v="149"/>
    <x v="230"/>
  </r>
  <r>
    <x v="19"/>
    <s v="10.a.1.1.1"/>
    <x v="231"/>
    <n v="0"/>
    <x v="1"/>
    <x v="150"/>
    <x v="231"/>
  </r>
  <r>
    <x v="20"/>
    <s v="10.a.1.1.1"/>
    <x v="232"/>
    <n v="0"/>
    <x v="1"/>
    <x v="151"/>
    <x v="232"/>
  </r>
  <r>
    <x v="16"/>
    <s v="10.a.1.1.1"/>
    <x v="233"/>
    <n v="0"/>
    <x v="1"/>
    <x v="152"/>
    <x v="233"/>
  </r>
  <r>
    <x v="16"/>
    <s v="10.a.1.1.1"/>
    <x v="234"/>
    <n v="0"/>
    <x v="1"/>
    <x v="153"/>
    <x v="234"/>
  </r>
  <r>
    <x v="16"/>
    <s v="10.a.1.1.1"/>
    <x v="235"/>
    <n v="0"/>
    <x v="1"/>
    <x v="154"/>
    <x v="235"/>
  </r>
  <r>
    <x v="16"/>
    <s v="10.a.1.1.1"/>
    <x v="236"/>
    <n v="0"/>
    <x v="1"/>
    <x v="155"/>
    <x v="236"/>
  </r>
  <r>
    <x v="17"/>
    <s v="10.a.1.1.1"/>
    <x v="237"/>
    <n v="0"/>
    <x v="1"/>
    <x v="156"/>
    <x v="237"/>
  </r>
  <r>
    <x v="17"/>
    <s v="10.a.1.1.1"/>
    <x v="238"/>
    <n v="0"/>
    <x v="1"/>
    <x v="157"/>
    <x v="238"/>
  </r>
  <r>
    <x v="17"/>
    <s v="10.a.1.1.1"/>
    <x v="239"/>
    <n v="0"/>
    <x v="1"/>
    <x v="158"/>
    <x v="239"/>
  </r>
  <r>
    <x v="17"/>
    <s v="10.a.1.1.1"/>
    <x v="240"/>
    <n v="0"/>
    <x v="1"/>
    <x v="159"/>
    <x v="240"/>
  </r>
  <r>
    <x v="18"/>
    <s v="10.a.1.1.1"/>
    <x v="241"/>
    <n v="0"/>
    <x v="1"/>
    <x v="160"/>
    <x v="241"/>
  </r>
  <r>
    <x v="18"/>
    <s v="10.a.1.1.1"/>
    <x v="242"/>
    <n v="0"/>
    <x v="1"/>
    <x v="161"/>
    <x v="242"/>
  </r>
  <r>
    <x v="18"/>
    <s v="10.a.1.1.1"/>
    <x v="243"/>
    <n v="0"/>
    <x v="1"/>
    <x v="162"/>
    <x v="243"/>
  </r>
  <r>
    <x v="18"/>
    <s v="10.a.1.1.1"/>
    <x v="244"/>
    <n v="0"/>
    <x v="1"/>
    <x v="163"/>
    <x v="244"/>
  </r>
  <r>
    <x v="19"/>
    <s v="10.a.1.1.1"/>
    <x v="245"/>
    <n v="0"/>
    <x v="1"/>
    <x v="164"/>
    <x v="245"/>
  </r>
  <r>
    <x v="19"/>
    <s v="10.a.1.1.1"/>
    <x v="246"/>
    <n v="0"/>
    <x v="1"/>
    <x v="165"/>
    <x v="246"/>
  </r>
  <r>
    <x v="19"/>
    <s v="10.a.1.1.1"/>
    <x v="247"/>
    <n v="0"/>
    <x v="1"/>
    <x v="166"/>
    <x v="247"/>
  </r>
  <r>
    <x v="19"/>
    <s v="10.a.1.1.1"/>
    <x v="248"/>
    <n v="0"/>
    <x v="1"/>
    <x v="167"/>
    <x v="248"/>
  </r>
  <r>
    <x v="20"/>
    <s v="10.a.1.1.1"/>
    <x v="249"/>
    <n v="0"/>
    <x v="1"/>
    <x v="168"/>
    <x v="249"/>
  </r>
  <r>
    <x v="20"/>
    <s v="10.a.1.1.1"/>
    <x v="250"/>
    <n v="0"/>
    <x v="1"/>
    <x v="169"/>
    <x v="250"/>
  </r>
  <r>
    <x v="20"/>
    <s v="10.a.1.1.1"/>
    <x v="251"/>
    <n v="0"/>
    <x v="1"/>
    <x v="170"/>
    <x v="251"/>
  </r>
  <r>
    <x v="20"/>
    <s v="10.a.1.1.1"/>
    <x v="252"/>
    <n v="0"/>
    <x v="1"/>
    <x v="171"/>
    <x v="252"/>
  </r>
  <r>
    <x v="16"/>
    <s v="10.a.1.1.1"/>
    <x v="253"/>
    <n v="0"/>
    <x v="1"/>
    <x v="172"/>
    <x v="253"/>
  </r>
  <r>
    <x v="17"/>
    <s v="10.a.1.1.1"/>
    <x v="254"/>
    <n v="0"/>
    <x v="1"/>
    <x v="173"/>
    <x v="254"/>
  </r>
  <r>
    <x v="18"/>
    <s v="10.a.1.1.1"/>
    <x v="255"/>
    <n v="0"/>
    <x v="1"/>
    <x v="174"/>
    <x v="255"/>
  </r>
  <r>
    <x v="19"/>
    <s v="10.a.1.1.1"/>
    <x v="256"/>
    <n v="0"/>
    <x v="1"/>
    <x v="175"/>
    <x v="256"/>
  </r>
  <r>
    <x v="20"/>
    <s v="10.a.1.1.1"/>
    <x v="257"/>
    <n v="0"/>
    <x v="1"/>
    <x v="176"/>
    <x v="257"/>
  </r>
  <r>
    <x v="16"/>
    <s v="10.a.1.1.1"/>
    <x v="258"/>
    <n v="0"/>
    <x v="1"/>
    <x v="177"/>
    <x v="258"/>
  </r>
  <r>
    <x v="16"/>
    <s v="10.a.1.1.1"/>
    <x v="259"/>
    <n v="0"/>
    <x v="1"/>
    <x v="178"/>
    <x v="259"/>
  </r>
  <r>
    <x v="16"/>
    <s v="10.a.1.1.1"/>
    <x v="260"/>
    <n v="0"/>
    <x v="1"/>
    <x v="179"/>
    <x v="260"/>
  </r>
  <r>
    <x v="16"/>
    <s v="10.a.1.1.1"/>
    <x v="261"/>
    <n v="0"/>
    <x v="1"/>
    <x v="180"/>
    <x v="261"/>
  </r>
  <r>
    <x v="17"/>
    <s v="10.a.1.1.1"/>
    <x v="262"/>
    <n v="0"/>
    <x v="1"/>
    <x v="181"/>
    <x v="262"/>
  </r>
  <r>
    <x v="17"/>
    <s v="10.a.1.1.1"/>
    <x v="263"/>
    <n v="0"/>
    <x v="1"/>
    <x v="182"/>
    <x v="263"/>
  </r>
  <r>
    <x v="17"/>
    <s v="10.a.1.1.1"/>
    <x v="264"/>
    <n v="0"/>
    <x v="1"/>
    <x v="183"/>
    <x v="264"/>
  </r>
  <r>
    <x v="17"/>
    <s v="10.a.1.1.1"/>
    <x v="265"/>
    <n v="0"/>
    <x v="1"/>
    <x v="184"/>
    <x v="265"/>
  </r>
  <r>
    <x v="18"/>
    <s v="10.a.1.1.1"/>
    <x v="266"/>
    <n v="0"/>
    <x v="1"/>
    <x v="185"/>
    <x v="266"/>
  </r>
  <r>
    <x v="18"/>
    <s v="10.a.1.1.1"/>
    <x v="267"/>
    <n v="0"/>
    <x v="1"/>
    <x v="186"/>
    <x v="267"/>
  </r>
  <r>
    <x v="18"/>
    <s v="10.a.1.1.1"/>
    <x v="268"/>
    <n v="0"/>
    <x v="1"/>
    <x v="187"/>
    <x v="268"/>
  </r>
  <r>
    <x v="18"/>
    <s v="10.a.1.1.1"/>
    <x v="269"/>
    <n v="0"/>
    <x v="1"/>
    <x v="188"/>
    <x v="269"/>
  </r>
  <r>
    <x v="19"/>
    <s v="10.a.1.1.1"/>
    <x v="270"/>
    <n v="0"/>
    <x v="1"/>
    <x v="189"/>
    <x v="270"/>
  </r>
  <r>
    <x v="19"/>
    <s v="10.a.1.1.1"/>
    <x v="271"/>
    <n v="0"/>
    <x v="1"/>
    <x v="190"/>
    <x v="271"/>
  </r>
  <r>
    <x v="19"/>
    <s v="10.a.1.1.1"/>
    <x v="272"/>
    <n v="0"/>
    <x v="1"/>
    <x v="191"/>
    <x v="272"/>
  </r>
  <r>
    <x v="19"/>
    <s v="10.a.1.1.1"/>
    <x v="273"/>
    <n v="0"/>
    <x v="1"/>
    <x v="192"/>
    <x v="273"/>
  </r>
  <r>
    <x v="20"/>
    <s v="10.a.1.1.1"/>
    <x v="274"/>
    <n v="0"/>
    <x v="1"/>
    <x v="193"/>
    <x v="274"/>
  </r>
  <r>
    <x v="20"/>
    <s v="10.a.1.1.1"/>
    <x v="275"/>
    <n v="0"/>
    <x v="1"/>
    <x v="194"/>
    <x v="275"/>
  </r>
  <r>
    <x v="20"/>
    <s v="10.a.1.1.1"/>
    <x v="276"/>
    <n v="0"/>
    <x v="1"/>
    <x v="195"/>
    <x v="276"/>
  </r>
  <r>
    <x v="20"/>
    <s v="10.a.1.1.1"/>
    <x v="277"/>
    <n v="0"/>
    <x v="1"/>
    <x v="196"/>
    <x v="277"/>
  </r>
  <r>
    <x v="16"/>
    <s v="10.a.1.1.1"/>
    <x v="278"/>
    <n v="0"/>
    <x v="1"/>
    <x v="197"/>
    <x v="278"/>
  </r>
  <r>
    <x v="17"/>
    <s v="10.a.1.1.1"/>
    <x v="279"/>
    <n v="0"/>
    <x v="1"/>
    <x v="198"/>
    <x v="279"/>
  </r>
  <r>
    <x v="18"/>
    <s v="10.a.1.1.1"/>
    <x v="280"/>
    <n v="0"/>
    <x v="1"/>
    <x v="199"/>
    <x v="280"/>
  </r>
  <r>
    <x v="19"/>
    <s v="10.a.1.1.1"/>
    <x v="281"/>
    <n v="0"/>
    <x v="1"/>
    <x v="200"/>
    <x v="281"/>
  </r>
  <r>
    <x v="20"/>
    <s v="10.a.1.1.1"/>
    <x v="282"/>
    <n v="0"/>
    <x v="1"/>
    <x v="201"/>
    <x v="282"/>
  </r>
  <r>
    <x v="16"/>
    <s v="10.a.1.1.1"/>
    <x v="283"/>
    <n v="0"/>
    <x v="1"/>
    <x v="202"/>
    <x v="283"/>
  </r>
  <r>
    <x v="16"/>
    <s v="10.a.1.1.1"/>
    <x v="284"/>
    <n v="0"/>
    <x v="1"/>
    <x v="203"/>
    <x v="284"/>
  </r>
  <r>
    <x v="16"/>
    <s v="10.a.1.1.1"/>
    <x v="285"/>
    <n v="0"/>
    <x v="1"/>
    <x v="204"/>
    <x v="285"/>
  </r>
  <r>
    <x v="16"/>
    <s v="10.a.1.1.1"/>
    <x v="286"/>
    <n v="0"/>
    <x v="1"/>
    <x v="205"/>
    <x v="286"/>
  </r>
  <r>
    <x v="17"/>
    <s v="10.a.1.1.1"/>
    <x v="287"/>
    <n v="0"/>
    <x v="1"/>
    <x v="206"/>
    <x v="287"/>
  </r>
  <r>
    <x v="17"/>
    <s v="10.a.1.1.1"/>
    <x v="288"/>
    <n v="0"/>
    <x v="1"/>
    <x v="207"/>
    <x v="288"/>
  </r>
  <r>
    <x v="17"/>
    <s v="10.a.1.1.1"/>
    <x v="289"/>
    <n v="0"/>
    <x v="1"/>
    <x v="208"/>
    <x v="289"/>
  </r>
  <r>
    <x v="17"/>
    <s v="10.a.1.1.1"/>
    <x v="290"/>
    <n v="0"/>
    <x v="1"/>
    <x v="209"/>
    <x v="290"/>
  </r>
  <r>
    <x v="18"/>
    <s v="10.a.1.1.1"/>
    <x v="291"/>
    <n v="0"/>
    <x v="1"/>
    <x v="210"/>
    <x v="291"/>
  </r>
  <r>
    <x v="18"/>
    <s v="10.a.1.1.1"/>
    <x v="292"/>
    <n v="0"/>
    <x v="1"/>
    <x v="211"/>
    <x v="292"/>
  </r>
  <r>
    <x v="18"/>
    <s v="10.a.1.1.1"/>
    <x v="293"/>
    <n v="0"/>
    <x v="1"/>
    <x v="212"/>
    <x v="293"/>
  </r>
  <r>
    <x v="18"/>
    <s v="10.a.1.1.1"/>
    <x v="294"/>
    <n v="0"/>
    <x v="1"/>
    <x v="213"/>
    <x v="294"/>
  </r>
  <r>
    <x v="19"/>
    <s v="10.a.1.1.1"/>
    <x v="295"/>
    <n v="0"/>
    <x v="1"/>
    <x v="214"/>
    <x v="295"/>
  </r>
  <r>
    <x v="19"/>
    <s v="10.a.1.1.1"/>
    <x v="296"/>
    <n v="0"/>
    <x v="1"/>
    <x v="215"/>
    <x v="296"/>
  </r>
  <r>
    <x v="19"/>
    <s v="10.a.1.1.1"/>
    <x v="297"/>
    <n v="0"/>
    <x v="1"/>
    <x v="216"/>
    <x v="297"/>
  </r>
  <r>
    <x v="19"/>
    <s v="10.a.1.1.1"/>
    <x v="298"/>
    <n v="0"/>
    <x v="1"/>
    <x v="217"/>
    <x v="298"/>
  </r>
  <r>
    <x v="20"/>
    <s v="10.a.1.1.1"/>
    <x v="299"/>
    <n v="0"/>
    <x v="1"/>
    <x v="218"/>
    <x v="299"/>
  </r>
  <r>
    <x v="20"/>
    <s v="10.a.1.1.1"/>
    <x v="300"/>
    <n v="0"/>
    <x v="1"/>
    <x v="219"/>
    <x v="300"/>
  </r>
  <r>
    <x v="20"/>
    <s v="10.a.1.1.1"/>
    <x v="301"/>
    <n v="0"/>
    <x v="1"/>
    <x v="220"/>
    <x v="301"/>
  </r>
  <r>
    <x v="20"/>
    <s v="10.a.1.1.1"/>
    <x v="302"/>
    <n v="0"/>
    <x v="1"/>
    <x v="221"/>
    <x v="302"/>
  </r>
  <r>
    <x v="16"/>
    <s v="10.a.1.1.1"/>
    <x v="303"/>
    <n v="0"/>
    <x v="1"/>
    <x v="222"/>
    <x v="303"/>
  </r>
  <r>
    <x v="17"/>
    <s v="10.a.1.1.1"/>
    <x v="304"/>
    <n v="0"/>
    <x v="1"/>
    <x v="223"/>
    <x v="304"/>
  </r>
  <r>
    <x v="18"/>
    <s v="10.a.1.1.1"/>
    <x v="305"/>
    <n v="0"/>
    <x v="1"/>
    <x v="224"/>
    <x v="305"/>
  </r>
  <r>
    <x v="19"/>
    <s v="10.a.1.1.1"/>
    <x v="306"/>
    <n v="0"/>
    <x v="1"/>
    <x v="225"/>
    <x v="306"/>
  </r>
  <r>
    <x v="20"/>
    <s v="10.a.1.1.1"/>
    <x v="307"/>
    <n v="0"/>
    <x v="1"/>
    <x v="226"/>
    <x v="307"/>
  </r>
  <r>
    <x v="16"/>
    <s v="10.a.1.1.1"/>
    <x v="308"/>
    <n v="0"/>
    <x v="1"/>
    <x v="227"/>
    <x v="308"/>
  </r>
  <r>
    <x v="17"/>
    <s v="10.a.1.1.1"/>
    <x v="309"/>
    <n v="0"/>
    <x v="1"/>
    <x v="227"/>
    <x v="309"/>
  </r>
  <r>
    <x v="18"/>
    <s v="10.a.1.1.1"/>
    <x v="310"/>
    <n v="0"/>
    <x v="1"/>
    <x v="227"/>
    <x v="310"/>
  </r>
  <r>
    <x v="19"/>
    <s v="10.a.1.1.1"/>
    <x v="311"/>
    <n v="0"/>
    <x v="1"/>
    <x v="227"/>
    <x v="311"/>
  </r>
  <r>
    <x v="20"/>
    <s v="10.a.1.1.1"/>
    <x v="312"/>
    <n v="0"/>
    <x v="1"/>
    <x v="227"/>
    <x v="312"/>
  </r>
  <r>
    <x v="16"/>
    <s v="10.a.1.1.2"/>
    <x v="313"/>
    <n v="0"/>
    <x v="1"/>
    <x v="228"/>
    <x v="313"/>
  </r>
  <r>
    <x v="16"/>
    <s v="10.a.1.1.2"/>
    <x v="314"/>
    <n v="0"/>
    <x v="1"/>
    <x v="229"/>
    <x v="314"/>
  </r>
  <r>
    <x v="16"/>
    <s v="10.a.1.1.2"/>
    <x v="315"/>
    <n v="0"/>
    <x v="1"/>
    <x v="71"/>
    <x v="315"/>
  </r>
  <r>
    <x v="16"/>
    <s v="10.a.1.1.2"/>
    <x v="316"/>
    <n v="0"/>
    <x v="1"/>
    <x v="230"/>
    <x v="316"/>
  </r>
  <r>
    <x v="16"/>
    <s v="10.a.1.1.2"/>
    <x v="317"/>
    <n v="0"/>
    <x v="1"/>
    <x v="231"/>
    <x v="317"/>
  </r>
  <r>
    <x v="17"/>
    <s v="10.a.1.1.2"/>
    <x v="313"/>
    <n v="0"/>
    <x v="1"/>
    <x v="228"/>
    <x v="313"/>
  </r>
  <r>
    <x v="17"/>
    <s v="10.a.1.1.2"/>
    <x v="314"/>
    <n v="0"/>
    <x v="1"/>
    <x v="229"/>
    <x v="314"/>
  </r>
  <r>
    <x v="17"/>
    <s v="10.a.1.1.2"/>
    <x v="315"/>
    <n v="0"/>
    <x v="1"/>
    <x v="71"/>
    <x v="315"/>
  </r>
  <r>
    <x v="17"/>
    <s v="10.a.1.1.2"/>
    <x v="316"/>
    <n v="0"/>
    <x v="1"/>
    <x v="230"/>
    <x v="316"/>
  </r>
  <r>
    <x v="17"/>
    <s v="10.a.1.1.2"/>
    <x v="317"/>
    <n v="0"/>
    <x v="1"/>
    <x v="231"/>
    <x v="317"/>
  </r>
  <r>
    <x v="18"/>
    <s v="10.a.1.1.2"/>
    <x v="313"/>
    <n v="0"/>
    <x v="1"/>
    <x v="228"/>
    <x v="313"/>
  </r>
  <r>
    <x v="18"/>
    <s v="10.a.1.1.2"/>
    <x v="314"/>
    <n v="0"/>
    <x v="1"/>
    <x v="229"/>
    <x v="314"/>
  </r>
  <r>
    <x v="18"/>
    <s v="10.a.1.1.2"/>
    <x v="315"/>
    <n v="0"/>
    <x v="1"/>
    <x v="71"/>
    <x v="315"/>
  </r>
  <r>
    <x v="18"/>
    <s v="10.a.1.1.2"/>
    <x v="316"/>
    <n v="0"/>
    <x v="1"/>
    <x v="230"/>
    <x v="316"/>
  </r>
  <r>
    <x v="18"/>
    <s v="10.a.1.1.2"/>
    <x v="317"/>
    <n v="0"/>
    <x v="1"/>
    <x v="231"/>
    <x v="317"/>
  </r>
  <r>
    <x v="19"/>
    <s v="10.a.1.1.2"/>
    <x v="313"/>
    <n v="0"/>
    <x v="1"/>
    <x v="228"/>
    <x v="313"/>
  </r>
  <r>
    <x v="19"/>
    <s v="10.a.1.1.2"/>
    <x v="314"/>
    <n v="0"/>
    <x v="1"/>
    <x v="229"/>
    <x v="314"/>
  </r>
  <r>
    <x v="19"/>
    <s v="10.a.1.1.2"/>
    <x v="315"/>
    <n v="0"/>
    <x v="1"/>
    <x v="71"/>
    <x v="315"/>
  </r>
  <r>
    <x v="19"/>
    <s v="10.a.1.1.2"/>
    <x v="316"/>
    <n v="0"/>
    <x v="1"/>
    <x v="230"/>
    <x v="316"/>
  </r>
  <r>
    <x v="19"/>
    <s v="10.a.1.1.2"/>
    <x v="317"/>
    <n v="0"/>
    <x v="1"/>
    <x v="231"/>
    <x v="317"/>
  </r>
  <r>
    <x v="20"/>
    <s v="10.a.1.1.2"/>
    <x v="313"/>
    <n v="0"/>
    <x v="1"/>
    <x v="228"/>
    <x v="313"/>
  </r>
  <r>
    <x v="20"/>
    <s v="10.a.1.1.2"/>
    <x v="314"/>
    <n v="0"/>
    <x v="1"/>
    <x v="229"/>
    <x v="314"/>
  </r>
  <r>
    <x v="20"/>
    <s v="10.a.1.1.2"/>
    <x v="315"/>
    <n v="0"/>
    <x v="1"/>
    <x v="71"/>
    <x v="315"/>
  </r>
  <r>
    <x v="20"/>
    <s v="10.a.1.1.2"/>
    <x v="316"/>
    <n v="0"/>
    <x v="1"/>
    <x v="230"/>
    <x v="316"/>
  </r>
  <r>
    <x v="20"/>
    <s v="10.a.1.1.2"/>
    <x v="317"/>
    <n v="0"/>
    <x v="1"/>
    <x v="231"/>
    <x v="317"/>
  </r>
  <r>
    <x v="16"/>
    <s v="10.a.1.2"/>
    <x v="318"/>
    <n v="0"/>
    <x v="1"/>
    <x v="228"/>
    <x v="318"/>
  </r>
  <r>
    <x v="16"/>
    <s v="10.a.1.2"/>
    <x v="319"/>
    <n v="0"/>
    <x v="1"/>
    <x v="229"/>
    <x v="319"/>
  </r>
  <r>
    <x v="16"/>
    <s v="10.a.1.2"/>
    <x v="320"/>
    <n v="0"/>
    <x v="1"/>
    <x v="71"/>
    <x v="320"/>
  </r>
  <r>
    <x v="16"/>
    <s v="10.a.1.2"/>
    <x v="321"/>
    <n v="0"/>
    <x v="1"/>
    <x v="230"/>
    <x v="321"/>
  </r>
  <r>
    <x v="16"/>
    <s v="10.a.1.2"/>
    <x v="322"/>
    <n v="0"/>
    <x v="1"/>
    <x v="231"/>
    <x v="322"/>
  </r>
  <r>
    <x v="17"/>
    <s v="10.a.1.2"/>
    <x v="323"/>
    <n v="0"/>
    <x v="1"/>
    <x v="228"/>
    <x v="323"/>
  </r>
  <r>
    <x v="17"/>
    <s v="10.a.1.2"/>
    <x v="324"/>
    <n v="0"/>
    <x v="1"/>
    <x v="229"/>
    <x v="324"/>
  </r>
  <r>
    <x v="17"/>
    <s v="10.a.1.2"/>
    <x v="325"/>
    <n v="0"/>
    <x v="1"/>
    <x v="71"/>
    <x v="325"/>
  </r>
  <r>
    <x v="17"/>
    <s v="10.a.1.2"/>
    <x v="326"/>
    <n v="0"/>
    <x v="1"/>
    <x v="230"/>
    <x v="326"/>
  </r>
  <r>
    <x v="17"/>
    <s v="10.a.1.2"/>
    <x v="327"/>
    <n v="0"/>
    <x v="1"/>
    <x v="231"/>
    <x v="327"/>
  </r>
  <r>
    <x v="18"/>
    <s v="10.a.1.2"/>
    <x v="328"/>
    <n v="0"/>
    <x v="1"/>
    <x v="228"/>
    <x v="328"/>
  </r>
  <r>
    <x v="18"/>
    <s v="10.a.1.2"/>
    <x v="329"/>
    <n v="0"/>
    <x v="1"/>
    <x v="229"/>
    <x v="329"/>
  </r>
  <r>
    <x v="18"/>
    <s v="10.a.1.2"/>
    <x v="330"/>
    <n v="0"/>
    <x v="1"/>
    <x v="71"/>
    <x v="330"/>
  </r>
  <r>
    <x v="18"/>
    <s v="10.a.1.2"/>
    <x v="331"/>
    <n v="0"/>
    <x v="1"/>
    <x v="230"/>
    <x v="331"/>
  </r>
  <r>
    <x v="18"/>
    <s v="10.a.1.2"/>
    <x v="332"/>
    <n v="0"/>
    <x v="1"/>
    <x v="231"/>
    <x v="332"/>
  </r>
  <r>
    <x v="19"/>
    <s v="10.a.1.2"/>
    <x v="333"/>
    <n v="0"/>
    <x v="1"/>
    <x v="228"/>
    <x v="333"/>
  </r>
  <r>
    <x v="19"/>
    <s v="10.a.1.2"/>
    <x v="334"/>
    <n v="0"/>
    <x v="1"/>
    <x v="229"/>
    <x v="334"/>
  </r>
  <r>
    <x v="19"/>
    <s v="10.a.1.2"/>
    <x v="335"/>
    <n v="0"/>
    <x v="1"/>
    <x v="71"/>
    <x v="335"/>
  </r>
  <r>
    <x v="19"/>
    <s v="10.a.1.2"/>
    <x v="336"/>
    <n v="0"/>
    <x v="1"/>
    <x v="230"/>
    <x v="336"/>
  </r>
  <r>
    <x v="19"/>
    <s v="10.a.1.2"/>
    <x v="337"/>
    <n v="0"/>
    <x v="1"/>
    <x v="231"/>
    <x v="337"/>
  </r>
  <r>
    <x v="20"/>
    <s v="10.a.1.2"/>
    <x v="338"/>
    <n v="0"/>
    <x v="1"/>
    <x v="228"/>
    <x v="338"/>
  </r>
  <r>
    <x v="20"/>
    <s v="10.a.1.2"/>
    <x v="339"/>
    <n v="0"/>
    <x v="1"/>
    <x v="229"/>
    <x v="339"/>
  </r>
  <r>
    <x v="20"/>
    <s v="10.a.1.2"/>
    <x v="340"/>
    <n v="0"/>
    <x v="1"/>
    <x v="71"/>
    <x v="340"/>
  </r>
  <r>
    <x v="20"/>
    <s v="10.a.1.2"/>
    <x v="341"/>
    <n v="0"/>
    <x v="1"/>
    <x v="230"/>
    <x v="341"/>
  </r>
  <r>
    <x v="20"/>
    <s v="10.a.1.2"/>
    <x v="342"/>
    <n v="0"/>
    <x v="1"/>
    <x v="231"/>
    <x v="342"/>
  </r>
  <r>
    <x v="16"/>
    <s v="10.a.2"/>
    <x v="343"/>
    <n v="0"/>
    <x v="1"/>
    <x v="232"/>
    <x v="343"/>
  </r>
  <r>
    <x v="16"/>
    <s v="10.a.2"/>
    <x v="344"/>
    <n v="0"/>
    <x v="1"/>
    <x v="233"/>
    <x v="344"/>
  </r>
  <r>
    <x v="16"/>
    <s v="10.a.2"/>
    <x v="345"/>
    <n v="0"/>
    <x v="1"/>
    <x v="234"/>
    <x v="345"/>
  </r>
  <r>
    <x v="16"/>
    <s v="10.a.2"/>
    <x v="346"/>
    <n v="0"/>
    <x v="1"/>
    <x v="235"/>
    <x v="346"/>
  </r>
  <r>
    <x v="16"/>
    <s v="10.a.2"/>
    <x v="347"/>
    <n v="0"/>
    <x v="1"/>
    <x v="236"/>
    <x v="347"/>
  </r>
  <r>
    <x v="17"/>
    <s v="10.a.2"/>
    <x v="348"/>
    <n v="0"/>
    <x v="1"/>
    <x v="232"/>
    <x v="348"/>
  </r>
  <r>
    <x v="17"/>
    <s v="10.a.2"/>
    <x v="349"/>
    <n v="0"/>
    <x v="1"/>
    <x v="233"/>
    <x v="349"/>
  </r>
  <r>
    <x v="17"/>
    <s v="10.a.2"/>
    <x v="350"/>
    <n v="0"/>
    <x v="1"/>
    <x v="234"/>
    <x v="350"/>
  </r>
  <r>
    <x v="17"/>
    <s v="10.a.2"/>
    <x v="351"/>
    <n v="0"/>
    <x v="1"/>
    <x v="235"/>
    <x v="351"/>
  </r>
  <r>
    <x v="17"/>
    <s v="10.a.2"/>
    <x v="352"/>
    <n v="0"/>
    <x v="1"/>
    <x v="236"/>
    <x v="352"/>
  </r>
  <r>
    <x v="18"/>
    <s v="10.a.2"/>
    <x v="353"/>
    <n v="0"/>
    <x v="1"/>
    <x v="232"/>
    <x v="353"/>
  </r>
  <r>
    <x v="18"/>
    <s v="10.a.2"/>
    <x v="354"/>
    <n v="0"/>
    <x v="1"/>
    <x v="233"/>
    <x v="354"/>
  </r>
  <r>
    <x v="18"/>
    <s v="10.a.2"/>
    <x v="355"/>
    <n v="0"/>
    <x v="1"/>
    <x v="234"/>
    <x v="355"/>
  </r>
  <r>
    <x v="18"/>
    <s v="10.a.2"/>
    <x v="356"/>
    <n v="0"/>
    <x v="1"/>
    <x v="235"/>
    <x v="356"/>
  </r>
  <r>
    <x v="18"/>
    <s v="10.a.2"/>
    <x v="357"/>
    <n v="0"/>
    <x v="1"/>
    <x v="236"/>
    <x v="357"/>
  </r>
  <r>
    <x v="19"/>
    <s v="10.a.2"/>
    <x v="358"/>
    <n v="0"/>
    <x v="1"/>
    <x v="232"/>
    <x v="358"/>
  </r>
  <r>
    <x v="19"/>
    <s v="10.a.2"/>
    <x v="359"/>
    <n v="0"/>
    <x v="1"/>
    <x v="233"/>
    <x v="359"/>
  </r>
  <r>
    <x v="19"/>
    <s v="10.a.2"/>
    <x v="360"/>
    <n v="0"/>
    <x v="1"/>
    <x v="234"/>
    <x v="360"/>
  </r>
  <r>
    <x v="19"/>
    <s v="10.a.2"/>
    <x v="361"/>
    <n v="0"/>
    <x v="1"/>
    <x v="235"/>
    <x v="361"/>
  </r>
  <r>
    <x v="19"/>
    <s v="10.a.2"/>
    <x v="362"/>
    <n v="0"/>
    <x v="1"/>
    <x v="236"/>
    <x v="362"/>
  </r>
  <r>
    <x v="20"/>
    <s v="10.a.2"/>
    <x v="363"/>
    <n v="0"/>
    <x v="1"/>
    <x v="232"/>
    <x v="363"/>
  </r>
  <r>
    <x v="20"/>
    <s v="10.a.2"/>
    <x v="364"/>
    <n v="0"/>
    <x v="1"/>
    <x v="233"/>
    <x v="364"/>
  </r>
  <r>
    <x v="20"/>
    <s v="10.a.2"/>
    <x v="365"/>
    <n v="0"/>
    <x v="1"/>
    <x v="234"/>
    <x v="365"/>
  </r>
  <r>
    <x v="20"/>
    <s v="10.a.2"/>
    <x v="366"/>
    <n v="0"/>
    <x v="1"/>
    <x v="235"/>
    <x v="366"/>
  </r>
  <r>
    <x v="20"/>
    <s v="10.a.2"/>
    <x v="367"/>
    <n v="0"/>
    <x v="1"/>
    <x v="236"/>
    <x v="367"/>
  </r>
  <r>
    <x v="16"/>
    <s v="10.a.2.1"/>
    <x v="368"/>
    <n v="0"/>
    <x v="1"/>
    <x v="237"/>
    <x v="368"/>
  </r>
  <r>
    <x v="16"/>
    <s v="10.a.2.1"/>
    <x v="369"/>
    <n v="0"/>
    <x v="1"/>
    <x v="238"/>
    <x v="369"/>
  </r>
  <r>
    <x v="16"/>
    <s v="10.a.2.1"/>
    <x v="370"/>
    <n v="0"/>
    <x v="1"/>
    <x v="239"/>
    <x v="370"/>
  </r>
  <r>
    <x v="17"/>
    <s v="10.a.2.1"/>
    <x v="368"/>
    <n v="0"/>
    <x v="1"/>
    <x v="237"/>
    <x v="368"/>
  </r>
  <r>
    <x v="17"/>
    <s v="10.a.2.1"/>
    <x v="369"/>
    <n v="0"/>
    <x v="1"/>
    <x v="238"/>
    <x v="369"/>
  </r>
  <r>
    <x v="17"/>
    <s v="10.a.2.1"/>
    <x v="370"/>
    <n v="0"/>
    <x v="1"/>
    <x v="239"/>
    <x v="370"/>
  </r>
  <r>
    <x v="18"/>
    <s v="10.a.2.1"/>
    <x v="368"/>
    <n v="0"/>
    <x v="1"/>
    <x v="237"/>
    <x v="368"/>
  </r>
  <r>
    <x v="18"/>
    <s v="10.a.2.1"/>
    <x v="369"/>
    <n v="0"/>
    <x v="1"/>
    <x v="238"/>
    <x v="369"/>
  </r>
  <r>
    <x v="18"/>
    <s v="10.a.2.1"/>
    <x v="370"/>
    <n v="0"/>
    <x v="1"/>
    <x v="239"/>
    <x v="370"/>
  </r>
  <r>
    <x v="19"/>
    <s v="10.a.2.1"/>
    <x v="368"/>
    <n v="0"/>
    <x v="1"/>
    <x v="237"/>
    <x v="368"/>
  </r>
  <r>
    <x v="19"/>
    <s v="10.a.2.1"/>
    <x v="369"/>
    <n v="0"/>
    <x v="1"/>
    <x v="238"/>
    <x v="369"/>
  </r>
  <r>
    <x v="19"/>
    <s v="10.a.2.1"/>
    <x v="370"/>
    <n v="0"/>
    <x v="1"/>
    <x v="239"/>
    <x v="370"/>
  </r>
  <r>
    <x v="20"/>
    <s v="10.a.2.1"/>
    <x v="368"/>
    <n v="0"/>
    <x v="1"/>
    <x v="237"/>
    <x v="368"/>
  </r>
  <r>
    <x v="20"/>
    <s v="10.a.2.1"/>
    <x v="369"/>
    <n v="0"/>
    <x v="1"/>
    <x v="238"/>
    <x v="369"/>
  </r>
  <r>
    <x v="20"/>
    <s v="10.a.2.1"/>
    <x v="370"/>
    <n v="0"/>
    <x v="1"/>
    <x v="239"/>
    <x v="370"/>
  </r>
  <r>
    <x v="16"/>
    <s v="10.a.2.1.1"/>
    <x v="371"/>
    <n v="0"/>
    <x v="1"/>
    <x v="126"/>
    <x v="371"/>
  </r>
  <r>
    <x v="17"/>
    <s v="10.a.2.1.1"/>
    <x v="372"/>
    <n v="0"/>
    <x v="1"/>
    <x v="126"/>
    <x v="372"/>
  </r>
  <r>
    <x v="18"/>
    <s v="10.a.2.1.1"/>
    <x v="373"/>
    <n v="0"/>
    <x v="1"/>
    <x v="126"/>
    <x v="373"/>
  </r>
  <r>
    <x v="19"/>
    <s v="10.a.2.1.1"/>
    <x v="374"/>
    <n v="0"/>
    <x v="1"/>
    <x v="126"/>
    <x v="374"/>
  </r>
  <r>
    <x v="20"/>
    <s v="10.a.2.1.1"/>
    <x v="375"/>
    <n v="0"/>
    <x v="1"/>
    <x v="126"/>
    <x v="375"/>
  </r>
  <r>
    <x v="16"/>
    <s v="10.a.2.1.1"/>
    <x v="376"/>
    <n v="0"/>
    <x v="1"/>
    <x v="127"/>
    <x v="376"/>
  </r>
  <r>
    <x v="16"/>
    <s v="10.a.2.1.1"/>
    <x v="377"/>
    <n v="0"/>
    <x v="1"/>
    <x v="128"/>
    <x v="377"/>
  </r>
  <r>
    <x v="16"/>
    <s v="10.a.2.1.1"/>
    <x v="378"/>
    <n v="0"/>
    <x v="1"/>
    <x v="129"/>
    <x v="378"/>
  </r>
  <r>
    <x v="16"/>
    <s v="10.a.2.1.1"/>
    <x v="379"/>
    <n v="0"/>
    <x v="1"/>
    <x v="130"/>
    <x v="379"/>
  </r>
  <r>
    <x v="17"/>
    <s v="10.a.2.1.1"/>
    <x v="380"/>
    <n v="0"/>
    <x v="1"/>
    <x v="131"/>
    <x v="380"/>
  </r>
  <r>
    <x v="17"/>
    <s v="10.a.2.1.1"/>
    <x v="381"/>
    <n v="0"/>
    <x v="1"/>
    <x v="132"/>
    <x v="381"/>
  </r>
  <r>
    <x v="17"/>
    <s v="10.a.2.1.1"/>
    <x v="382"/>
    <n v="0"/>
    <x v="1"/>
    <x v="133"/>
    <x v="382"/>
  </r>
  <r>
    <x v="17"/>
    <s v="10.a.2.1.1"/>
    <x v="383"/>
    <n v="0"/>
    <x v="1"/>
    <x v="134"/>
    <x v="383"/>
  </r>
  <r>
    <x v="18"/>
    <s v="10.a.2.1.1"/>
    <x v="384"/>
    <n v="0"/>
    <x v="1"/>
    <x v="135"/>
    <x v="384"/>
  </r>
  <r>
    <x v="18"/>
    <s v="10.a.2.1.1"/>
    <x v="385"/>
    <n v="0"/>
    <x v="1"/>
    <x v="136"/>
    <x v="385"/>
  </r>
  <r>
    <x v="18"/>
    <s v="10.a.2.1.1"/>
    <x v="386"/>
    <n v="0"/>
    <x v="1"/>
    <x v="137"/>
    <x v="386"/>
  </r>
  <r>
    <x v="18"/>
    <s v="10.a.2.1.1"/>
    <x v="387"/>
    <n v="0"/>
    <x v="1"/>
    <x v="138"/>
    <x v="387"/>
  </r>
  <r>
    <x v="19"/>
    <s v="10.a.2.1.1"/>
    <x v="388"/>
    <n v="0"/>
    <x v="1"/>
    <x v="139"/>
    <x v="388"/>
  </r>
  <r>
    <x v="19"/>
    <s v="10.a.2.1.1"/>
    <x v="389"/>
    <n v="0"/>
    <x v="1"/>
    <x v="140"/>
    <x v="389"/>
  </r>
  <r>
    <x v="19"/>
    <s v="10.a.2.1.1"/>
    <x v="390"/>
    <n v="0"/>
    <x v="1"/>
    <x v="141"/>
    <x v="390"/>
  </r>
  <r>
    <x v="19"/>
    <s v="10.a.2.1.1"/>
    <x v="391"/>
    <n v="0"/>
    <x v="1"/>
    <x v="142"/>
    <x v="391"/>
  </r>
  <r>
    <x v="20"/>
    <s v="10.a.2.1.1"/>
    <x v="392"/>
    <n v="0"/>
    <x v="1"/>
    <x v="143"/>
    <x v="392"/>
  </r>
  <r>
    <x v="20"/>
    <s v="10.a.2.1.1"/>
    <x v="393"/>
    <n v="0"/>
    <x v="1"/>
    <x v="144"/>
    <x v="393"/>
  </r>
  <r>
    <x v="20"/>
    <s v="10.a.2.1.1"/>
    <x v="394"/>
    <n v="0"/>
    <x v="1"/>
    <x v="145"/>
    <x v="394"/>
  </r>
  <r>
    <x v="20"/>
    <s v="10.a.2.1.1"/>
    <x v="395"/>
    <n v="0"/>
    <x v="1"/>
    <x v="146"/>
    <x v="395"/>
  </r>
  <r>
    <x v="16"/>
    <s v="10.a.2.1.1"/>
    <x v="396"/>
    <n v="0"/>
    <x v="1"/>
    <x v="147"/>
    <x v="396"/>
  </r>
  <r>
    <x v="17"/>
    <s v="10.a.2.1.1"/>
    <x v="397"/>
    <n v="0"/>
    <x v="1"/>
    <x v="148"/>
    <x v="397"/>
  </r>
  <r>
    <x v="18"/>
    <s v="10.a.2.1.1"/>
    <x v="398"/>
    <n v="0"/>
    <x v="1"/>
    <x v="149"/>
    <x v="398"/>
  </r>
  <r>
    <x v="19"/>
    <s v="10.a.2.1.1"/>
    <x v="399"/>
    <n v="0"/>
    <x v="1"/>
    <x v="150"/>
    <x v="399"/>
  </r>
  <r>
    <x v="20"/>
    <s v="10.a.2.1.1"/>
    <x v="400"/>
    <n v="0"/>
    <x v="1"/>
    <x v="151"/>
    <x v="400"/>
  </r>
  <r>
    <x v="16"/>
    <s v="10.a.2.1.1"/>
    <x v="401"/>
    <n v="0"/>
    <x v="1"/>
    <x v="152"/>
    <x v="401"/>
  </r>
  <r>
    <x v="16"/>
    <s v="10.a.2.1.1"/>
    <x v="402"/>
    <n v="0"/>
    <x v="1"/>
    <x v="153"/>
    <x v="402"/>
  </r>
  <r>
    <x v="16"/>
    <s v="10.a.2.1.1"/>
    <x v="403"/>
    <n v="0"/>
    <x v="1"/>
    <x v="154"/>
    <x v="403"/>
  </r>
  <r>
    <x v="16"/>
    <s v="10.a.2.1.1"/>
    <x v="404"/>
    <n v="0"/>
    <x v="1"/>
    <x v="155"/>
    <x v="404"/>
  </r>
  <r>
    <x v="17"/>
    <s v="10.a.2.1.1"/>
    <x v="405"/>
    <n v="0"/>
    <x v="1"/>
    <x v="156"/>
    <x v="405"/>
  </r>
  <r>
    <x v="17"/>
    <s v="10.a.2.1.1"/>
    <x v="406"/>
    <n v="0"/>
    <x v="1"/>
    <x v="157"/>
    <x v="406"/>
  </r>
  <r>
    <x v="17"/>
    <s v="10.a.2.1.1"/>
    <x v="407"/>
    <n v="0"/>
    <x v="1"/>
    <x v="158"/>
    <x v="407"/>
  </r>
  <r>
    <x v="17"/>
    <s v="10.a.2.1.1"/>
    <x v="408"/>
    <n v="0"/>
    <x v="1"/>
    <x v="159"/>
    <x v="408"/>
  </r>
  <r>
    <x v="18"/>
    <s v="10.a.2.1.1"/>
    <x v="409"/>
    <n v="0"/>
    <x v="1"/>
    <x v="160"/>
    <x v="409"/>
  </r>
  <r>
    <x v="18"/>
    <s v="10.a.2.1.1"/>
    <x v="410"/>
    <n v="0"/>
    <x v="1"/>
    <x v="161"/>
    <x v="410"/>
  </r>
  <r>
    <x v="18"/>
    <s v="10.a.2.1.1"/>
    <x v="411"/>
    <n v="0"/>
    <x v="1"/>
    <x v="162"/>
    <x v="411"/>
  </r>
  <r>
    <x v="18"/>
    <s v="10.a.2.1.1"/>
    <x v="412"/>
    <n v="0"/>
    <x v="1"/>
    <x v="163"/>
    <x v="412"/>
  </r>
  <r>
    <x v="19"/>
    <s v="10.a.2.1.1"/>
    <x v="413"/>
    <n v="0"/>
    <x v="1"/>
    <x v="164"/>
    <x v="413"/>
  </r>
  <r>
    <x v="19"/>
    <s v="10.a.2.1.1"/>
    <x v="414"/>
    <n v="0"/>
    <x v="1"/>
    <x v="165"/>
    <x v="414"/>
  </r>
  <r>
    <x v="19"/>
    <s v="10.a.2.1.1"/>
    <x v="415"/>
    <n v="0"/>
    <x v="1"/>
    <x v="166"/>
    <x v="415"/>
  </r>
  <r>
    <x v="19"/>
    <s v="10.a.2.1.1"/>
    <x v="416"/>
    <n v="0"/>
    <x v="1"/>
    <x v="167"/>
    <x v="416"/>
  </r>
  <r>
    <x v="20"/>
    <s v="10.a.2.1.1"/>
    <x v="417"/>
    <n v="0"/>
    <x v="1"/>
    <x v="168"/>
    <x v="417"/>
  </r>
  <r>
    <x v="20"/>
    <s v="10.a.2.1.1"/>
    <x v="418"/>
    <n v="0"/>
    <x v="1"/>
    <x v="169"/>
    <x v="418"/>
  </r>
  <r>
    <x v="20"/>
    <s v="10.a.2.1.1"/>
    <x v="419"/>
    <n v="0"/>
    <x v="1"/>
    <x v="170"/>
    <x v="419"/>
  </r>
  <r>
    <x v="20"/>
    <s v="10.a.2.1.1"/>
    <x v="420"/>
    <n v="0"/>
    <x v="1"/>
    <x v="171"/>
    <x v="420"/>
  </r>
  <r>
    <x v="16"/>
    <s v="10.a.2.1.1"/>
    <x v="421"/>
    <n v="0"/>
    <x v="1"/>
    <x v="172"/>
    <x v="421"/>
  </r>
  <r>
    <x v="17"/>
    <s v="10.a.2.1.1"/>
    <x v="422"/>
    <n v="0"/>
    <x v="1"/>
    <x v="173"/>
    <x v="422"/>
  </r>
  <r>
    <x v="18"/>
    <s v="10.a.2.1.1"/>
    <x v="423"/>
    <n v="0"/>
    <x v="1"/>
    <x v="174"/>
    <x v="423"/>
  </r>
  <r>
    <x v="19"/>
    <s v="10.a.2.1.1"/>
    <x v="424"/>
    <n v="0"/>
    <x v="1"/>
    <x v="175"/>
    <x v="424"/>
  </r>
  <r>
    <x v="20"/>
    <s v="10.a.2.1.1"/>
    <x v="425"/>
    <n v="0"/>
    <x v="1"/>
    <x v="176"/>
    <x v="425"/>
  </r>
  <r>
    <x v="16"/>
    <s v="10.a.2.1.1"/>
    <x v="426"/>
    <n v="0"/>
    <x v="1"/>
    <x v="240"/>
    <x v="426"/>
  </r>
  <r>
    <x v="16"/>
    <s v="10.a.2.1.1"/>
    <x v="427"/>
    <n v="0"/>
    <x v="1"/>
    <x v="241"/>
    <x v="427"/>
  </r>
  <r>
    <x v="16"/>
    <s v="10.a.2.1.1"/>
    <x v="428"/>
    <n v="0"/>
    <x v="1"/>
    <x v="242"/>
    <x v="428"/>
  </r>
  <r>
    <x v="16"/>
    <s v="10.a.2.1.1"/>
    <x v="429"/>
    <n v="0"/>
    <x v="1"/>
    <x v="243"/>
    <x v="429"/>
  </r>
  <r>
    <x v="17"/>
    <s v="10.a.2.1.1"/>
    <x v="430"/>
    <n v="0"/>
    <x v="1"/>
    <x v="244"/>
    <x v="430"/>
  </r>
  <r>
    <x v="17"/>
    <s v="10.a.2.1.1"/>
    <x v="431"/>
    <n v="0"/>
    <x v="1"/>
    <x v="245"/>
    <x v="431"/>
  </r>
  <r>
    <x v="17"/>
    <s v="10.a.2.1.1"/>
    <x v="432"/>
    <n v="0"/>
    <x v="1"/>
    <x v="246"/>
    <x v="432"/>
  </r>
  <r>
    <x v="17"/>
    <s v="10.a.2.1.1"/>
    <x v="433"/>
    <n v="0"/>
    <x v="1"/>
    <x v="247"/>
    <x v="433"/>
  </r>
  <r>
    <x v="18"/>
    <s v="10.a.2.1.1"/>
    <x v="434"/>
    <n v="0"/>
    <x v="1"/>
    <x v="248"/>
    <x v="434"/>
  </r>
  <r>
    <x v="18"/>
    <s v="10.a.2.1.1"/>
    <x v="435"/>
    <n v="0"/>
    <x v="1"/>
    <x v="249"/>
    <x v="435"/>
  </r>
  <r>
    <x v="18"/>
    <s v="10.a.2.1.1"/>
    <x v="436"/>
    <n v="0"/>
    <x v="1"/>
    <x v="250"/>
    <x v="436"/>
  </r>
  <r>
    <x v="18"/>
    <s v="10.a.2.1.1"/>
    <x v="437"/>
    <n v="0"/>
    <x v="1"/>
    <x v="251"/>
    <x v="437"/>
  </r>
  <r>
    <x v="19"/>
    <s v="10.a.2.1.1"/>
    <x v="438"/>
    <n v="0"/>
    <x v="1"/>
    <x v="252"/>
    <x v="438"/>
  </r>
  <r>
    <x v="19"/>
    <s v="10.a.2.1.1"/>
    <x v="439"/>
    <n v="0"/>
    <x v="1"/>
    <x v="253"/>
    <x v="439"/>
  </r>
  <r>
    <x v="19"/>
    <s v="10.a.2.1.1"/>
    <x v="440"/>
    <n v="0"/>
    <x v="1"/>
    <x v="254"/>
    <x v="440"/>
  </r>
  <r>
    <x v="19"/>
    <s v="10.a.2.1.1"/>
    <x v="441"/>
    <n v="0"/>
    <x v="1"/>
    <x v="255"/>
    <x v="441"/>
  </r>
  <r>
    <x v="20"/>
    <s v="10.a.2.1.1"/>
    <x v="442"/>
    <n v="0"/>
    <x v="1"/>
    <x v="256"/>
    <x v="442"/>
  </r>
  <r>
    <x v="20"/>
    <s v="10.a.2.1.1"/>
    <x v="443"/>
    <n v="0"/>
    <x v="1"/>
    <x v="257"/>
    <x v="443"/>
  </r>
  <r>
    <x v="20"/>
    <s v="10.a.2.1.1"/>
    <x v="444"/>
    <n v="0"/>
    <x v="1"/>
    <x v="258"/>
    <x v="444"/>
  </r>
  <r>
    <x v="20"/>
    <s v="10.a.2.1.1"/>
    <x v="445"/>
    <n v="0"/>
    <x v="1"/>
    <x v="259"/>
    <x v="445"/>
  </r>
  <r>
    <x v="16"/>
    <s v="10.a.2.1.1"/>
    <x v="446"/>
    <n v="0"/>
    <x v="1"/>
    <x v="260"/>
    <x v="446"/>
  </r>
  <r>
    <x v="17"/>
    <s v="10.a.2.1.1"/>
    <x v="447"/>
    <n v="0"/>
    <x v="1"/>
    <x v="261"/>
    <x v="447"/>
  </r>
  <r>
    <x v="18"/>
    <s v="10.a.2.1.1"/>
    <x v="448"/>
    <n v="0"/>
    <x v="1"/>
    <x v="262"/>
    <x v="448"/>
  </r>
  <r>
    <x v="19"/>
    <s v="10.a.2.1.1"/>
    <x v="449"/>
    <n v="0"/>
    <x v="1"/>
    <x v="263"/>
    <x v="449"/>
  </r>
  <r>
    <x v="20"/>
    <s v="10.a.2.1.1"/>
    <x v="450"/>
    <n v="0"/>
    <x v="1"/>
    <x v="264"/>
    <x v="450"/>
  </r>
  <r>
    <x v="16"/>
    <s v="10.a.2.1.1"/>
    <x v="451"/>
    <n v="0"/>
    <x v="1"/>
    <x v="202"/>
    <x v="451"/>
  </r>
  <r>
    <x v="16"/>
    <s v="10.a.2.1.1"/>
    <x v="452"/>
    <n v="0"/>
    <x v="1"/>
    <x v="203"/>
    <x v="452"/>
  </r>
  <r>
    <x v="16"/>
    <s v="10.a.2.1.1"/>
    <x v="453"/>
    <n v="0"/>
    <x v="1"/>
    <x v="204"/>
    <x v="453"/>
  </r>
  <r>
    <x v="16"/>
    <s v="10.a.2.1.1"/>
    <x v="454"/>
    <n v="0"/>
    <x v="1"/>
    <x v="205"/>
    <x v="454"/>
  </r>
  <r>
    <x v="17"/>
    <s v="10.a.2.1.1"/>
    <x v="455"/>
    <n v="0"/>
    <x v="1"/>
    <x v="206"/>
    <x v="455"/>
  </r>
  <r>
    <x v="17"/>
    <s v="10.a.2.1.1"/>
    <x v="456"/>
    <n v="0"/>
    <x v="1"/>
    <x v="207"/>
    <x v="456"/>
  </r>
  <r>
    <x v="17"/>
    <s v="10.a.2.1.1"/>
    <x v="457"/>
    <n v="0"/>
    <x v="1"/>
    <x v="208"/>
    <x v="457"/>
  </r>
  <r>
    <x v="17"/>
    <s v="10.a.2.1.1"/>
    <x v="458"/>
    <n v="0"/>
    <x v="1"/>
    <x v="209"/>
    <x v="458"/>
  </r>
  <r>
    <x v="18"/>
    <s v="10.a.2.1.1"/>
    <x v="459"/>
    <n v="0"/>
    <x v="1"/>
    <x v="210"/>
    <x v="459"/>
  </r>
  <r>
    <x v="18"/>
    <s v="10.a.2.1.1"/>
    <x v="460"/>
    <n v="0"/>
    <x v="1"/>
    <x v="211"/>
    <x v="460"/>
  </r>
  <r>
    <x v="18"/>
    <s v="10.a.2.1.1"/>
    <x v="461"/>
    <n v="0"/>
    <x v="1"/>
    <x v="212"/>
    <x v="461"/>
  </r>
  <r>
    <x v="18"/>
    <s v="10.a.2.1.1"/>
    <x v="462"/>
    <n v="0"/>
    <x v="1"/>
    <x v="213"/>
    <x v="462"/>
  </r>
  <r>
    <x v="19"/>
    <s v="10.a.2.1.1"/>
    <x v="463"/>
    <n v="0"/>
    <x v="1"/>
    <x v="214"/>
    <x v="463"/>
  </r>
  <r>
    <x v="19"/>
    <s v="10.a.2.1.1"/>
    <x v="464"/>
    <n v="0"/>
    <x v="1"/>
    <x v="215"/>
    <x v="464"/>
  </r>
  <r>
    <x v="19"/>
    <s v="10.a.2.1.1"/>
    <x v="465"/>
    <n v="0"/>
    <x v="1"/>
    <x v="216"/>
    <x v="465"/>
  </r>
  <r>
    <x v="19"/>
    <s v="10.a.2.1.1"/>
    <x v="466"/>
    <n v="0"/>
    <x v="1"/>
    <x v="217"/>
    <x v="466"/>
  </r>
  <r>
    <x v="20"/>
    <s v="10.a.2.1.1"/>
    <x v="467"/>
    <n v="0"/>
    <x v="1"/>
    <x v="218"/>
    <x v="467"/>
  </r>
  <r>
    <x v="20"/>
    <s v="10.a.2.1.1"/>
    <x v="468"/>
    <n v="0"/>
    <x v="1"/>
    <x v="219"/>
    <x v="468"/>
  </r>
  <r>
    <x v="20"/>
    <s v="10.a.2.1.1"/>
    <x v="469"/>
    <n v="0"/>
    <x v="1"/>
    <x v="220"/>
    <x v="469"/>
  </r>
  <r>
    <x v="20"/>
    <s v="10.a.2.1.1"/>
    <x v="470"/>
    <n v="0"/>
    <x v="1"/>
    <x v="221"/>
    <x v="470"/>
  </r>
  <r>
    <x v="16"/>
    <s v="10.a.2.1.1"/>
    <x v="471"/>
    <n v="0"/>
    <x v="1"/>
    <x v="222"/>
    <x v="471"/>
  </r>
  <r>
    <x v="17"/>
    <s v="10.a.2.1.1"/>
    <x v="472"/>
    <n v="0"/>
    <x v="1"/>
    <x v="223"/>
    <x v="472"/>
  </r>
  <r>
    <x v="18"/>
    <s v="10.a.2.1.1"/>
    <x v="473"/>
    <n v="0"/>
    <x v="1"/>
    <x v="224"/>
    <x v="473"/>
  </r>
  <r>
    <x v="19"/>
    <s v="10.a.2.1.1"/>
    <x v="474"/>
    <n v="0"/>
    <x v="1"/>
    <x v="225"/>
    <x v="474"/>
  </r>
  <r>
    <x v="20"/>
    <s v="10.a.2.1.1"/>
    <x v="475"/>
    <n v="0"/>
    <x v="1"/>
    <x v="226"/>
    <x v="475"/>
  </r>
  <r>
    <x v="16"/>
    <s v="10.a.2.1.1"/>
    <x v="476"/>
    <n v="0"/>
    <x v="1"/>
    <x v="227"/>
    <x v="476"/>
  </r>
  <r>
    <x v="17"/>
    <s v="10.a.2.1.1"/>
    <x v="477"/>
    <n v="0"/>
    <x v="1"/>
    <x v="227"/>
    <x v="477"/>
  </r>
  <r>
    <x v="18"/>
    <s v="10.a.2.1.1"/>
    <x v="478"/>
    <n v="0"/>
    <x v="1"/>
    <x v="227"/>
    <x v="478"/>
  </r>
  <r>
    <x v="19"/>
    <s v="10.a.2.1.1"/>
    <x v="479"/>
    <n v="0"/>
    <x v="1"/>
    <x v="227"/>
    <x v="479"/>
  </r>
  <r>
    <x v="20"/>
    <s v="10.a.2.1.1"/>
    <x v="480"/>
    <n v="0"/>
    <x v="1"/>
    <x v="227"/>
    <x v="480"/>
  </r>
  <r>
    <x v="16"/>
    <s v="10.a.2.1.2"/>
    <x v="481"/>
    <n v="0"/>
    <x v="1"/>
    <x v="228"/>
    <x v="481"/>
  </r>
  <r>
    <x v="16"/>
    <s v="10.a.2.1.2"/>
    <x v="482"/>
    <n v="0"/>
    <x v="1"/>
    <x v="229"/>
    <x v="482"/>
  </r>
  <r>
    <x v="16"/>
    <s v="10.a.2.1.2"/>
    <x v="483"/>
    <n v="0"/>
    <x v="1"/>
    <x v="71"/>
    <x v="483"/>
  </r>
  <r>
    <x v="16"/>
    <s v="10.a.2.1.2"/>
    <x v="484"/>
    <n v="0"/>
    <x v="1"/>
    <x v="265"/>
    <x v="484"/>
  </r>
  <r>
    <x v="16"/>
    <s v="10.a.2.1.2"/>
    <x v="485"/>
    <n v="0"/>
    <x v="1"/>
    <x v="231"/>
    <x v="485"/>
  </r>
  <r>
    <x v="17"/>
    <s v="10.a.2.1.2"/>
    <x v="481"/>
    <n v="0"/>
    <x v="1"/>
    <x v="228"/>
    <x v="481"/>
  </r>
  <r>
    <x v="17"/>
    <s v="10.a.2.1.2"/>
    <x v="482"/>
    <n v="0"/>
    <x v="1"/>
    <x v="229"/>
    <x v="482"/>
  </r>
  <r>
    <x v="17"/>
    <s v="10.a.2.1.2"/>
    <x v="483"/>
    <n v="0"/>
    <x v="1"/>
    <x v="71"/>
    <x v="483"/>
  </r>
  <r>
    <x v="17"/>
    <s v="10.a.2.1.2"/>
    <x v="484"/>
    <n v="0"/>
    <x v="1"/>
    <x v="265"/>
    <x v="484"/>
  </r>
  <r>
    <x v="17"/>
    <s v="10.a.2.1.2"/>
    <x v="485"/>
    <n v="0"/>
    <x v="1"/>
    <x v="231"/>
    <x v="485"/>
  </r>
  <r>
    <x v="18"/>
    <s v="10.a.2.1.2"/>
    <x v="481"/>
    <n v="0"/>
    <x v="1"/>
    <x v="228"/>
    <x v="481"/>
  </r>
  <r>
    <x v="18"/>
    <s v="10.a.2.1.2"/>
    <x v="482"/>
    <n v="0"/>
    <x v="1"/>
    <x v="229"/>
    <x v="482"/>
  </r>
  <r>
    <x v="18"/>
    <s v="10.a.2.1.2"/>
    <x v="483"/>
    <n v="0"/>
    <x v="1"/>
    <x v="71"/>
    <x v="483"/>
  </r>
  <r>
    <x v="18"/>
    <s v="10.a.2.1.2"/>
    <x v="484"/>
    <n v="0"/>
    <x v="1"/>
    <x v="265"/>
    <x v="484"/>
  </r>
  <r>
    <x v="18"/>
    <s v="10.a.2.1.2"/>
    <x v="485"/>
    <n v="0"/>
    <x v="1"/>
    <x v="231"/>
    <x v="485"/>
  </r>
  <r>
    <x v="19"/>
    <s v="10.a.2.1.2"/>
    <x v="481"/>
    <n v="0"/>
    <x v="1"/>
    <x v="228"/>
    <x v="481"/>
  </r>
  <r>
    <x v="19"/>
    <s v="10.a.2.1.2"/>
    <x v="482"/>
    <n v="0"/>
    <x v="1"/>
    <x v="229"/>
    <x v="482"/>
  </r>
  <r>
    <x v="19"/>
    <s v="10.a.2.1.2"/>
    <x v="483"/>
    <n v="0"/>
    <x v="1"/>
    <x v="71"/>
    <x v="483"/>
  </r>
  <r>
    <x v="19"/>
    <s v="10.a.2.1.2"/>
    <x v="484"/>
    <n v="0"/>
    <x v="1"/>
    <x v="265"/>
    <x v="484"/>
  </r>
  <r>
    <x v="19"/>
    <s v="10.a.2.1.2"/>
    <x v="485"/>
    <n v="0"/>
    <x v="1"/>
    <x v="231"/>
    <x v="485"/>
  </r>
  <r>
    <x v="20"/>
    <s v="10.a.2.1.2"/>
    <x v="481"/>
    <n v="0"/>
    <x v="1"/>
    <x v="228"/>
    <x v="481"/>
  </r>
  <r>
    <x v="20"/>
    <s v="10.a.2.1.2"/>
    <x v="482"/>
    <n v="0"/>
    <x v="1"/>
    <x v="229"/>
    <x v="482"/>
  </r>
  <r>
    <x v="20"/>
    <s v="10.a.2.1.2"/>
    <x v="483"/>
    <n v="0"/>
    <x v="1"/>
    <x v="71"/>
    <x v="483"/>
  </r>
  <r>
    <x v="20"/>
    <s v="10.a.2.1.2"/>
    <x v="484"/>
    <n v="0"/>
    <x v="1"/>
    <x v="265"/>
    <x v="484"/>
  </r>
  <r>
    <x v="20"/>
    <s v="10.a.2.1.2"/>
    <x v="485"/>
    <n v="0"/>
    <x v="1"/>
    <x v="231"/>
    <x v="485"/>
  </r>
  <r>
    <x v="16"/>
    <s v="10.a.2.2"/>
    <x v="486"/>
    <n v="0"/>
    <x v="1"/>
    <x v="228"/>
    <x v="486"/>
  </r>
  <r>
    <x v="16"/>
    <s v="10.a.2.2"/>
    <x v="487"/>
    <n v="0"/>
    <x v="1"/>
    <x v="229"/>
    <x v="487"/>
  </r>
  <r>
    <x v="16"/>
    <s v="10.a.2.2"/>
    <x v="488"/>
    <n v="0"/>
    <x v="1"/>
    <x v="71"/>
    <x v="488"/>
  </r>
  <r>
    <x v="16"/>
    <s v="10.a.2.2"/>
    <x v="489"/>
    <n v="0"/>
    <x v="1"/>
    <x v="265"/>
    <x v="489"/>
  </r>
  <r>
    <x v="16"/>
    <s v="10.a.2.2"/>
    <x v="490"/>
    <n v="0"/>
    <x v="1"/>
    <x v="231"/>
    <x v="490"/>
  </r>
  <r>
    <x v="17"/>
    <s v="10.a.2.2"/>
    <x v="491"/>
    <n v="0"/>
    <x v="1"/>
    <x v="228"/>
    <x v="491"/>
  </r>
  <r>
    <x v="17"/>
    <s v="10.a.2.2"/>
    <x v="492"/>
    <n v="0"/>
    <x v="1"/>
    <x v="229"/>
    <x v="492"/>
  </r>
  <r>
    <x v="17"/>
    <s v="10.a.2.2"/>
    <x v="493"/>
    <n v="0"/>
    <x v="1"/>
    <x v="71"/>
    <x v="493"/>
  </r>
  <r>
    <x v="17"/>
    <s v="10.a.2.2"/>
    <x v="494"/>
    <n v="0"/>
    <x v="1"/>
    <x v="265"/>
    <x v="494"/>
  </r>
  <r>
    <x v="17"/>
    <s v="10.a.2.2"/>
    <x v="495"/>
    <n v="0"/>
    <x v="1"/>
    <x v="231"/>
    <x v="495"/>
  </r>
  <r>
    <x v="18"/>
    <s v="10.a.2.2"/>
    <x v="496"/>
    <n v="0"/>
    <x v="1"/>
    <x v="228"/>
    <x v="496"/>
  </r>
  <r>
    <x v="18"/>
    <s v="10.a.2.2"/>
    <x v="497"/>
    <n v="0"/>
    <x v="1"/>
    <x v="229"/>
    <x v="497"/>
  </r>
  <r>
    <x v="18"/>
    <s v="10.a.2.2"/>
    <x v="498"/>
    <n v="0"/>
    <x v="1"/>
    <x v="71"/>
    <x v="498"/>
  </r>
  <r>
    <x v="18"/>
    <s v="10.a.2.2"/>
    <x v="499"/>
    <n v="0"/>
    <x v="1"/>
    <x v="265"/>
    <x v="499"/>
  </r>
  <r>
    <x v="18"/>
    <s v="10.a.2.2"/>
    <x v="500"/>
    <n v="0"/>
    <x v="1"/>
    <x v="231"/>
    <x v="500"/>
  </r>
  <r>
    <x v="19"/>
    <s v="10.a.2.2"/>
    <x v="501"/>
    <n v="0"/>
    <x v="1"/>
    <x v="228"/>
    <x v="501"/>
  </r>
  <r>
    <x v="19"/>
    <s v="10.a.2.2"/>
    <x v="502"/>
    <n v="0"/>
    <x v="1"/>
    <x v="229"/>
    <x v="502"/>
  </r>
  <r>
    <x v="19"/>
    <s v="10.a.2.2"/>
    <x v="503"/>
    <n v="0"/>
    <x v="1"/>
    <x v="71"/>
    <x v="503"/>
  </r>
  <r>
    <x v="19"/>
    <s v="10.a.2.2"/>
    <x v="504"/>
    <n v="0"/>
    <x v="1"/>
    <x v="265"/>
    <x v="504"/>
  </r>
  <r>
    <x v="19"/>
    <s v="10.a.2.2"/>
    <x v="505"/>
    <n v="0"/>
    <x v="1"/>
    <x v="231"/>
    <x v="505"/>
  </r>
  <r>
    <x v="20"/>
    <s v="10.a.2.2"/>
    <x v="506"/>
    <n v="0"/>
    <x v="1"/>
    <x v="228"/>
    <x v="506"/>
  </r>
  <r>
    <x v="20"/>
    <s v="10.a.2.2"/>
    <x v="507"/>
    <n v="0"/>
    <x v="1"/>
    <x v="229"/>
    <x v="507"/>
  </r>
  <r>
    <x v="20"/>
    <s v="10.a.2.2"/>
    <x v="508"/>
    <n v="0"/>
    <x v="1"/>
    <x v="71"/>
    <x v="508"/>
  </r>
  <r>
    <x v="20"/>
    <s v="10.a.2.2"/>
    <x v="509"/>
    <n v="0"/>
    <x v="1"/>
    <x v="265"/>
    <x v="509"/>
  </r>
  <r>
    <x v="20"/>
    <s v="10.a.2.2"/>
    <x v="510"/>
    <n v="0"/>
    <x v="1"/>
    <x v="231"/>
    <x v="510"/>
  </r>
  <r>
    <x v="15"/>
    <s v="10.b"/>
    <x v="511"/>
    <n v="3"/>
    <x v="0"/>
    <x v="228"/>
    <x v="511"/>
  </r>
  <r>
    <x v="15"/>
    <s v="10.b"/>
    <x v="512"/>
    <n v="1"/>
    <x v="0"/>
    <x v="229"/>
    <x v="512"/>
  </r>
  <r>
    <x v="15"/>
    <s v="10.b"/>
    <x v="513"/>
    <n v="1"/>
    <x v="0"/>
    <x v="71"/>
    <x v="513"/>
  </r>
  <r>
    <x v="15"/>
    <s v="10.b"/>
    <x v="514"/>
    <n v="4"/>
    <x v="0"/>
    <x v="265"/>
    <x v="514"/>
  </r>
  <r>
    <x v="15"/>
    <s v="10.b"/>
    <x v="515"/>
    <n v="0"/>
    <x v="1"/>
    <x v="231"/>
    <x v="515"/>
  </r>
  <r>
    <x v="21"/>
    <s v="11"/>
    <x v="516"/>
    <n v="0"/>
    <x v="1"/>
    <x v="266"/>
    <x v="5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ED96F8-2615-4B1C-BDBE-9B60AD8A5A2A}"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6" firstHeaderRow="1" firstDataRow="1" firstDataCol="1" rowPageCount="1" colPageCount="1"/>
  <pivotFields count="7">
    <pivotField axis="axisRow" showAll="0">
      <items count="23">
        <item sd="0" x="11"/>
        <item sd="0" x="12"/>
        <item sd="0" x="13"/>
        <item sd="0" x="14"/>
        <item sd="0" x="15"/>
        <item sd="0" x="1"/>
        <item sd="0" x="5"/>
        <item sd="0" x="16"/>
        <item sd="0" x="17"/>
        <item sd="0" x="2"/>
        <item sd="0" x="18"/>
        <item sd="0" x="19"/>
        <item sd="0" x="20"/>
        <item sd="0" x="21"/>
        <item sd="0" x="3"/>
        <item sd="0" x="4"/>
        <item sd="0" x="6"/>
        <item sd="0" x="7"/>
        <item sd="0" x="8"/>
        <item sd="0" x="9"/>
        <item sd="0" x="10"/>
        <item sd="0" x="0"/>
        <item t="default" sd="0"/>
      </items>
    </pivotField>
    <pivotField showAll="0"/>
    <pivotField dataField="1" showAll="0">
      <items count="518">
        <item x="0"/>
        <item x="1"/>
        <item x="2"/>
        <item x="3"/>
        <item x="4"/>
        <item x="5"/>
        <item x="6"/>
        <item x="7"/>
        <item x="8"/>
        <item x="9"/>
        <item x="141"/>
        <item x="142"/>
        <item x="143"/>
        <item x="144"/>
        <item x="145"/>
        <item x="146"/>
        <item x="147"/>
        <item x="148"/>
        <item x="149"/>
        <item x="150"/>
        <item x="153"/>
        <item x="173"/>
        <item x="203"/>
        <item x="212"/>
        <item x="302"/>
        <item x="303"/>
        <item x="304"/>
        <item x="305"/>
        <item x="306"/>
        <item x="307"/>
        <item x="308"/>
        <item x="309"/>
        <item x="310"/>
        <item x="311"/>
        <item x="213"/>
        <item x="312"/>
        <item x="214"/>
        <item x="215"/>
        <item x="216"/>
        <item x="217"/>
        <item x="218"/>
        <item x="219"/>
        <item x="220"/>
        <item x="221"/>
        <item x="204"/>
        <item x="222"/>
        <item x="223"/>
        <item x="224"/>
        <item x="225"/>
        <item x="226"/>
        <item x="227"/>
        <item x="228"/>
        <item x="229"/>
        <item x="230"/>
        <item x="231"/>
        <item x="205"/>
        <item x="232"/>
        <item x="233"/>
        <item x="234"/>
        <item x="235"/>
        <item x="236"/>
        <item x="237"/>
        <item x="238"/>
        <item x="239"/>
        <item x="240"/>
        <item x="241"/>
        <item x="206"/>
        <item x="242"/>
        <item x="243"/>
        <item x="244"/>
        <item x="245"/>
        <item x="246"/>
        <item x="247"/>
        <item x="248"/>
        <item x="249"/>
        <item x="250"/>
        <item x="251"/>
        <item x="207"/>
        <item x="252"/>
        <item x="253"/>
        <item x="254"/>
        <item x="255"/>
        <item x="256"/>
        <item x="257"/>
        <item x="258"/>
        <item x="259"/>
        <item x="260"/>
        <item x="261"/>
        <item x="208"/>
        <item x="262"/>
        <item x="263"/>
        <item x="264"/>
        <item x="265"/>
        <item x="266"/>
        <item x="267"/>
        <item x="268"/>
        <item x="269"/>
        <item x="270"/>
        <item x="271"/>
        <item x="209"/>
        <item x="272"/>
        <item x="273"/>
        <item x="274"/>
        <item x="275"/>
        <item x="276"/>
        <item x="277"/>
        <item x="278"/>
        <item x="279"/>
        <item x="280"/>
        <item x="281"/>
        <item x="210"/>
        <item x="282"/>
        <item x="283"/>
        <item x="284"/>
        <item x="285"/>
        <item x="286"/>
        <item x="287"/>
        <item x="288"/>
        <item x="289"/>
        <item x="290"/>
        <item x="291"/>
        <item x="211"/>
        <item x="292"/>
        <item x="293"/>
        <item x="294"/>
        <item x="295"/>
        <item x="296"/>
        <item x="297"/>
        <item x="298"/>
        <item x="299"/>
        <item x="300"/>
        <item x="301"/>
        <item x="182"/>
        <item x="183"/>
        <item x="184"/>
        <item x="185"/>
        <item x="186"/>
        <item x="187"/>
        <item x="188"/>
        <item x="189"/>
        <item x="190"/>
        <item x="191"/>
        <item x="174"/>
        <item x="313"/>
        <item x="314"/>
        <item x="315"/>
        <item x="316"/>
        <item x="317"/>
        <item x="192"/>
        <item x="193"/>
        <item x="194"/>
        <item x="195"/>
        <item x="196"/>
        <item x="197"/>
        <item x="198"/>
        <item x="199"/>
        <item x="200"/>
        <item x="201"/>
        <item x="175"/>
        <item x="202"/>
        <item x="176"/>
        <item x="177"/>
        <item x="178"/>
        <item x="179"/>
        <item x="180"/>
        <item x="181"/>
        <item x="162"/>
        <item x="163"/>
        <item x="164"/>
        <item x="165"/>
        <item x="166"/>
        <item x="167"/>
        <item x="168"/>
        <item x="169"/>
        <item x="170"/>
        <item x="171"/>
        <item x="154"/>
        <item x="318"/>
        <item x="327"/>
        <item x="328"/>
        <item x="329"/>
        <item x="330"/>
        <item x="331"/>
        <item x="332"/>
        <item x="333"/>
        <item x="334"/>
        <item x="335"/>
        <item x="336"/>
        <item x="319"/>
        <item x="337"/>
        <item x="338"/>
        <item x="339"/>
        <item x="340"/>
        <item x="341"/>
        <item x="342"/>
        <item x="320"/>
        <item x="321"/>
        <item x="322"/>
        <item x="323"/>
        <item x="324"/>
        <item x="325"/>
        <item x="326"/>
        <item x="172"/>
        <item x="155"/>
        <item x="156"/>
        <item x="157"/>
        <item x="158"/>
        <item x="159"/>
        <item x="160"/>
        <item x="161"/>
        <item x="151"/>
        <item x="343"/>
        <item x="368"/>
        <item x="371"/>
        <item x="380"/>
        <item x="470"/>
        <item x="471"/>
        <item x="472"/>
        <item x="473"/>
        <item x="474"/>
        <item x="475"/>
        <item x="476"/>
        <item x="477"/>
        <item x="478"/>
        <item x="479"/>
        <item x="381"/>
        <item x="480"/>
        <item x="382"/>
        <item x="383"/>
        <item x="384"/>
        <item x="385"/>
        <item x="386"/>
        <item x="387"/>
        <item x="388"/>
        <item x="389"/>
        <item x="372"/>
        <item x="390"/>
        <item x="391"/>
        <item x="392"/>
        <item x="393"/>
        <item x="394"/>
        <item x="395"/>
        <item x="396"/>
        <item x="397"/>
        <item x="398"/>
        <item x="399"/>
        <item x="373"/>
        <item x="400"/>
        <item x="401"/>
        <item x="402"/>
        <item x="403"/>
        <item x="404"/>
        <item x="405"/>
        <item x="406"/>
        <item x="407"/>
        <item x="408"/>
        <item x="409"/>
        <item x="374"/>
        <item x="410"/>
        <item x="411"/>
        <item x="412"/>
        <item x="413"/>
        <item x="414"/>
        <item x="415"/>
        <item x="416"/>
        <item x="417"/>
        <item x="418"/>
        <item x="419"/>
        <item x="375"/>
        <item x="420"/>
        <item x="421"/>
        <item x="422"/>
        <item x="423"/>
        <item x="424"/>
        <item x="425"/>
        <item x="426"/>
        <item x="427"/>
        <item x="428"/>
        <item x="429"/>
        <item x="376"/>
        <item x="430"/>
        <item x="431"/>
        <item x="432"/>
        <item x="433"/>
        <item x="434"/>
        <item x="435"/>
        <item x="436"/>
        <item x="437"/>
        <item x="438"/>
        <item x="439"/>
        <item x="377"/>
        <item x="440"/>
        <item x="441"/>
        <item x="442"/>
        <item x="443"/>
        <item x="444"/>
        <item x="445"/>
        <item x="446"/>
        <item x="447"/>
        <item x="448"/>
        <item x="449"/>
        <item x="378"/>
        <item x="450"/>
        <item x="451"/>
        <item x="452"/>
        <item x="453"/>
        <item x="454"/>
        <item x="455"/>
        <item x="456"/>
        <item x="457"/>
        <item x="458"/>
        <item x="459"/>
        <item x="379"/>
        <item x="460"/>
        <item x="461"/>
        <item x="462"/>
        <item x="463"/>
        <item x="464"/>
        <item x="465"/>
        <item x="466"/>
        <item x="467"/>
        <item x="468"/>
        <item x="469"/>
        <item x="369"/>
        <item x="481"/>
        <item x="482"/>
        <item x="483"/>
        <item x="484"/>
        <item x="485"/>
        <item x="370"/>
        <item x="352"/>
        <item x="353"/>
        <item x="354"/>
        <item x="355"/>
        <item x="356"/>
        <item x="357"/>
        <item x="358"/>
        <item x="359"/>
        <item x="360"/>
        <item x="361"/>
        <item x="344"/>
        <item x="486"/>
        <item x="495"/>
        <item x="496"/>
        <item x="497"/>
        <item x="498"/>
        <item x="499"/>
        <item x="500"/>
        <item x="501"/>
        <item x="502"/>
        <item x="503"/>
        <item x="504"/>
        <item x="487"/>
        <item x="505"/>
        <item x="506"/>
        <item x="507"/>
        <item x="508"/>
        <item x="509"/>
        <item x="510"/>
        <item x="488"/>
        <item x="489"/>
        <item x="490"/>
        <item x="491"/>
        <item x="492"/>
        <item x="493"/>
        <item x="494"/>
        <item x="362"/>
        <item x="363"/>
        <item x="364"/>
        <item x="365"/>
        <item x="366"/>
        <item x="367"/>
        <item x="345"/>
        <item x="346"/>
        <item x="347"/>
        <item x="348"/>
        <item x="349"/>
        <item x="350"/>
        <item x="351"/>
        <item x="152"/>
        <item x="511"/>
        <item x="512"/>
        <item x="513"/>
        <item x="514"/>
        <item x="515"/>
        <item x="516"/>
        <item x="10"/>
        <item x="11"/>
        <item x="12"/>
        <item x="13"/>
        <item x="14"/>
        <item x="15"/>
        <item x="16"/>
        <item x="17"/>
        <item x="18"/>
        <item x="19"/>
        <item x="26"/>
        <item x="27"/>
        <item x="28"/>
        <item x="20"/>
        <item x="21"/>
        <item x="22"/>
        <item x="23"/>
        <item x="24"/>
        <item x="25"/>
        <item x="29"/>
        <item x="30"/>
        <item x="31"/>
        <item x="32"/>
        <item x="33"/>
        <item x="36"/>
        <item x="37"/>
        <item x="38"/>
        <item x="39"/>
        <item x="40"/>
        <item x="34"/>
        <item x="41"/>
        <item x="42"/>
        <item x="43"/>
        <item x="44"/>
        <item x="45"/>
        <item x="35"/>
        <item x="46"/>
        <item x="47"/>
        <item x="48"/>
        <item x="49"/>
        <item x="50"/>
        <item x="51"/>
        <item x="52"/>
        <item x="53"/>
        <item x="54"/>
        <item x="55"/>
        <item x="56"/>
        <item x="57"/>
        <item x="58"/>
        <item x="59"/>
        <item x="60"/>
        <item x="61"/>
        <item x="73"/>
        <item x="76"/>
        <item x="77"/>
        <item x="78"/>
        <item x="79"/>
        <item x="80"/>
        <item x="74"/>
        <item x="81"/>
        <item x="84"/>
        <item x="85"/>
        <item x="86"/>
        <item x="87"/>
        <item x="82"/>
        <item x="88"/>
        <item x="91"/>
        <item x="92"/>
        <item x="93"/>
        <item x="94"/>
        <item x="95"/>
        <item x="96"/>
        <item x="97"/>
        <item x="98"/>
        <item x="99"/>
        <item x="89"/>
        <item x="100"/>
        <item x="109"/>
        <item x="110"/>
        <item x="101"/>
        <item x="102"/>
        <item x="103"/>
        <item x="104"/>
        <item x="105"/>
        <item x="106"/>
        <item x="107"/>
        <item x="108"/>
        <item x="90"/>
        <item x="83"/>
        <item x="75"/>
        <item x="111"/>
        <item x="114"/>
        <item x="115"/>
        <item x="112"/>
        <item x="116"/>
        <item x="119"/>
        <item x="120"/>
        <item x="117"/>
        <item x="121"/>
        <item x="124"/>
        <item x="125"/>
        <item x="126"/>
        <item x="127"/>
        <item x="128"/>
        <item x="129"/>
        <item x="122"/>
        <item x="130"/>
        <item x="139"/>
        <item x="140"/>
        <item x="131"/>
        <item x="132"/>
        <item x="133"/>
        <item x="134"/>
        <item x="135"/>
        <item x="136"/>
        <item x="137"/>
        <item x="138"/>
        <item x="123"/>
        <item x="118"/>
        <item x="113"/>
        <item x="62"/>
        <item x="71"/>
        <item x="72"/>
        <item x="63"/>
        <item x="64"/>
        <item x="65"/>
        <item x="66"/>
        <item x="67"/>
        <item x="68"/>
        <item x="69"/>
        <item x="70"/>
        <item t="default"/>
      </items>
    </pivotField>
    <pivotField showAll="0"/>
    <pivotField axis="axisPage" showAll="0">
      <items count="3">
        <item x="0"/>
        <item x="1"/>
        <item t="default"/>
      </items>
    </pivotField>
    <pivotField showAll="0">
      <items count="268">
        <item x="83"/>
        <item x="84"/>
        <item x="85"/>
        <item x="86"/>
        <item x="87"/>
        <item x="28"/>
        <item x="30"/>
        <item x="29"/>
        <item x="40"/>
        <item x="106"/>
        <item x="27"/>
        <item x="14"/>
        <item x="11"/>
        <item x="229"/>
        <item x="79"/>
        <item x="73"/>
        <item x="93"/>
        <item x="227"/>
        <item x="58"/>
        <item x="88"/>
        <item x="74"/>
        <item x="89"/>
        <item x="120"/>
        <item x="4"/>
        <item x="5"/>
        <item x="6"/>
        <item x="20"/>
        <item x="123"/>
        <item x="236"/>
        <item x="25"/>
        <item x="13"/>
        <item x="44"/>
        <item x="26"/>
        <item x="16"/>
        <item x="122"/>
        <item x="233"/>
        <item x="117"/>
        <item x="33"/>
        <item x="104"/>
        <item x="113"/>
        <item x="237"/>
        <item x="54"/>
        <item x="80"/>
        <item x="90"/>
        <item x="94"/>
        <item x="51"/>
        <item x="48"/>
        <item x="76"/>
        <item x="121"/>
        <item x="232"/>
        <item x="116"/>
        <item x="19"/>
        <item x="1"/>
        <item x="8"/>
        <item x="9"/>
        <item x="10"/>
        <item x="105"/>
        <item x="126"/>
        <item x="71"/>
        <item x="72"/>
        <item x="15"/>
        <item x="228"/>
        <item x="7"/>
        <item x="231"/>
        <item x="189"/>
        <item x="252"/>
        <item x="190"/>
        <item x="253"/>
        <item x="191"/>
        <item x="254"/>
        <item x="192"/>
        <item x="255"/>
        <item x="200"/>
        <item x="263"/>
        <item x="139"/>
        <item x="140"/>
        <item x="141"/>
        <item x="142"/>
        <item x="150"/>
        <item x="214"/>
        <item x="215"/>
        <item x="216"/>
        <item x="217"/>
        <item x="225"/>
        <item x="164"/>
        <item x="165"/>
        <item x="166"/>
        <item x="167"/>
        <item x="175"/>
        <item x="185"/>
        <item x="248"/>
        <item x="186"/>
        <item x="249"/>
        <item x="187"/>
        <item x="250"/>
        <item x="188"/>
        <item x="251"/>
        <item x="199"/>
        <item x="262"/>
        <item x="135"/>
        <item x="136"/>
        <item x="137"/>
        <item x="138"/>
        <item x="149"/>
        <item x="210"/>
        <item x="211"/>
        <item x="212"/>
        <item x="213"/>
        <item x="224"/>
        <item x="160"/>
        <item x="161"/>
        <item x="162"/>
        <item x="163"/>
        <item x="174"/>
        <item x="177"/>
        <item x="240"/>
        <item x="178"/>
        <item x="241"/>
        <item x="179"/>
        <item x="242"/>
        <item x="180"/>
        <item x="243"/>
        <item x="197"/>
        <item x="260"/>
        <item x="127"/>
        <item x="128"/>
        <item x="129"/>
        <item x="130"/>
        <item x="147"/>
        <item x="202"/>
        <item x="203"/>
        <item x="204"/>
        <item x="205"/>
        <item x="222"/>
        <item x="152"/>
        <item x="153"/>
        <item x="154"/>
        <item x="155"/>
        <item x="172"/>
        <item x="193"/>
        <item x="256"/>
        <item x="194"/>
        <item x="257"/>
        <item x="195"/>
        <item x="258"/>
        <item x="196"/>
        <item x="259"/>
        <item x="201"/>
        <item x="264"/>
        <item x="143"/>
        <item x="144"/>
        <item x="145"/>
        <item x="146"/>
        <item x="151"/>
        <item x="218"/>
        <item x="219"/>
        <item x="220"/>
        <item x="221"/>
        <item x="226"/>
        <item x="168"/>
        <item x="169"/>
        <item x="170"/>
        <item x="171"/>
        <item x="176"/>
        <item x="181"/>
        <item x="244"/>
        <item x="182"/>
        <item x="245"/>
        <item x="183"/>
        <item x="246"/>
        <item x="184"/>
        <item x="247"/>
        <item x="198"/>
        <item x="261"/>
        <item x="131"/>
        <item x="132"/>
        <item x="133"/>
        <item x="134"/>
        <item x="148"/>
        <item x="206"/>
        <item x="207"/>
        <item x="208"/>
        <item x="209"/>
        <item x="223"/>
        <item x="156"/>
        <item x="157"/>
        <item x="158"/>
        <item x="159"/>
        <item x="173"/>
        <item x="230"/>
        <item x="265"/>
        <item x="0"/>
        <item x="36"/>
        <item x="37"/>
        <item x="41"/>
        <item x="42"/>
        <item x="38"/>
        <item x="59"/>
        <item x="60"/>
        <item x="99"/>
        <item x="61"/>
        <item x="62"/>
        <item x="100"/>
        <item x="63"/>
        <item x="64"/>
        <item x="101"/>
        <item x="65"/>
        <item x="66"/>
        <item x="102"/>
        <item x="67"/>
        <item x="68"/>
        <item x="103"/>
        <item x="2"/>
        <item x="3"/>
        <item x="47"/>
        <item x="39"/>
        <item x="43"/>
        <item x="125"/>
        <item x="119"/>
        <item x="239"/>
        <item x="235"/>
        <item x="118"/>
        <item x="234"/>
        <item x="124"/>
        <item x="238"/>
        <item x="18"/>
        <item x="17"/>
        <item x="57"/>
        <item x="55"/>
        <item x="114"/>
        <item x="81"/>
        <item x="97"/>
        <item x="56"/>
        <item x="34"/>
        <item x="112"/>
        <item x="91"/>
        <item x="95"/>
        <item x="31"/>
        <item x="45"/>
        <item x="49"/>
        <item x="52"/>
        <item x="69"/>
        <item x="77"/>
        <item x="35"/>
        <item x="92"/>
        <item x="96"/>
        <item x="46"/>
        <item x="50"/>
        <item x="53"/>
        <item x="70"/>
        <item x="78"/>
        <item x="32"/>
        <item x="115"/>
        <item x="82"/>
        <item x="98"/>
        <item x="21"/>
        <item x="24"/>
        <item x="22"/>
        <item x="23"/>
        <item x="108"/>
        <item x="111"/>
        <item x="110"/>
        <item x="109"/>
        <item x="107"/>
        <item x="12"/>
        <item x="75"/>
        <item x="266"/>
        <item t="default"/>
      </items>
    </pivotField>
    <pivotField axis="axisRow" showAll="0">
      <items count="518">
        <item x="0"/>
        <item x="1"/>
        <item x="2"/>
        <item x="3"/>
        <item x="4"/>
        <item x="5"/>
        <item x="6"/>
        <item x="7"/>
        <item x="8"/>
        <item x="9"/>
        <item x="141"/>
        <item x="142"/>
        <item x="143"/>
        <item x="144"/>
        <item x="145"/>
        <item x="146"/>
        <item x="147"/>
        <item x="148"/>
        <item x="149"/>
        <item x="150"/>
        <item x="153"/>
        <item x="173"/>
        <item x="203"/>
        <item x="212"/>
        <item x="302"/>
        <item x="303"/>
        <item x="304"/>
        <item x="305"/>
        <item x="306"/>
        <item x="307"/>
        <item x="308"/>
        <item x="309"/>
        <item x="310"/>
        <item x="311"/>
        <item x="213"/>
        <item x="312"/>
        <item x="214"/>
        <item x="215"/>
        <item x="216"/>
        <item x="217"/>
        <item x="218"/>
        <item x="219"/>
        <item x="220"/>
        <item x="221"/>
        <item x="204"/>
        <item x="222"/>
        <item x="223"/>
        <item x="224"/>
        <item x="225"/>
        <item x="226"/>
        <item x="227"/>
        <item x="228"/>
        <item x="229"/>
        <item x="230"/>
        <item x="231"/>
        <item x="205"/>
        <item x="232"/>
        <item x="233"/>
        <item x="234"/>
        <item x="235"/>
        <item x="236"/>
        <item x="237"/>
        <item x="238"/>
        <item x="239"/>
        <item x="240"/>
        <item x="241"/>
        <item x="206"/>
        <item x="242"/>
        <item x="243"/>
        <item x="244"/>
        <item x="245"/>
        <item x="246"/>
        <item x="247"/>
        <item x="248"/>
        <item x="249"/>
        <item x="250"/>
        <item x="251"/>
        <item x="207"/>
        <item x="252"/>
        <item x="253"/>
        <item x="254"/>
        <item x="255"/>
        <item x="256"/>
        <item x="257"/>
        <item x="258"/>
        <item x="259"/>
        <item x="260"/>
        <item x="261"/>
        <item x="208"/>
        <item x="262"/>
        <item x="263"/>
        <item x="264"/>
        <item x="265"/>
        <item x="266"/>
        <item x="267"/>
        <item x="268"/>
        <item x="269"/>
        <item x="270"/>
        <item x="271"/>
        <item x="209"/>
        <item x="272"/>
        <item x="273"/>
        <item x="274"/>
        <item x="275"/>
        <item x="276"/>
        <item x="277"/>
        <item x="278"/>
        <item x="279"/>
        <item x="280"/>
        <item x="281"/>
        <item x="210"/>
        <item x="282"/>
        <item x="283"/>
        <item x="284"/>
        <item x="285"/>
        <item x="286"/>
        <item x="287"/>
        <item x="288"/>
        <item x="289"/>
        <item x="290"/>
        <item x="291"/>
        <item x="211"/>
        <item x="292"/>
        <item x="293"/>
        <item x="294"/>
        <item x="295"/>
        <item x="296"/>
        <item x="297"/>
        <item x="298"/>
        <item x="299"/>
        <item x="300"/>
        <item x="301"/>
        <item x="182"/>
        <item x="183"/>
        <item x="184"/>
        <item x="185"/>
        <item x="186"/>
        <item x="187"/>
        <item x="188"/>
        <item x="189"/>
        <item x="190"/>
        <item x="191"/>
        <item x="174"/>
        <item x="313"/>
        <item x="314"/>
        <item x="315"/>
        <item x="316"/>
        <item x="317"/>
        <item x="192"/>
        <item x="193"/>
        <item x="194"/>
        <item x="195"/>
        <item x="196"/>
        <item x="197"/>
        <item x="198"/>
        <item x="199"/>
        <item x="200"/>
        <item x="201"/>
        <item x="175"/>
        <item x="202"/>
        <item x="176"/>
        <item x="177"/>
        <item x="178"/>
        <item x="179"/>
        <item x="180"/>
        <item x="181"/>
        <item x="162"/>
        <item x="163"/>
        <item x="164"/>
        <item x="165"/>
        <item x="166"/>
        <item x="167"/>
        <item x="168"/>
        <item x="169"/>
        <item x="170"/>
        <item x="171"/>
        <item x="154"/>
        <item x="318"/>
        <item x="327"/>
        <item x="328"/>
        <item x="329"/>
        <item x="330"/>
        <item x="331"/>
        <item x="332"/>
        <item x="333"/>
        <item x="334"/>
        <item x="335"/>
        <item x="336"/>
        <item x="319"/>
        <item x="337"/>
        <item x="338"/>
        <item x="339"/>
        <item x="340"/>
        <item x="341"/>
        <item x="342"/>
        <item x="320"/>
        <item x="321"/>
        <item x="322"/>
        <item x="323"/>
        <item x="324"/>
        <item x="325"/>
        <item x="326"/>
        <item x="172"/>
        <item x="155"/>
        <item x="156"/>
        <item x="157"/>
        <item x="158"/>
        <item x="159"/>
        <item x="160"/>
        <item x="161"/>
        <item x="151"/>
        <item x="343"/>
        <item x="368"/>
        <item x="371"/>
        <item x="380"/>
        <item x="470"/>
        <item x="471"/>
        <item x="472"/>
        <item x="473"/>
        <item x="474"/>
        <item x="475"/>
        <item x="476"/>
        <item x="477"/>
        <item x="478"/>
        <item x="479"/>
        <item x="381"/>
        <item x="480"/>
        <item x="382"/>
        <item x="383"/>
        <item x="384"/>
        <item x="385"/>
        <item x="386"/>
        <item x="387"/>
        <item x="388"/>
        <item x="389"/>
        <item x="372"/>
        <item x="390"/>
        <item x="391"/>
        <item x="392"/>
        <item x="393"/>
        <item x="394"/>
        <item x="395"/>
        <item x="396"/>
        <item x="397"/>
        <item x="398"/>
        <item x="399"/>
        <item x="373"/>
        <item x="400"/>
        <item x="401"/>
        <item x="402"/>
        <item x="403"/>
        <item x="404"/>
        <item x="405"/>
        <item x="406"/>
        <item x="407"/>
        <item x="408"/>
        <item x="409"/>
        <item x="374"/>
        <item x="410"/>
        <item x="411"/>
        <item x="412"/>
        <item x="413"/>
        <item x="414"/>
        <item x="415"/>
        <item x="416"/>
        <item x="417"/>
        <item x="418"/>
        <item x="419"/>
        <item x="375"/>
        <item x="420"/>
        <item x="421"/>
        <item x="422"/>
        <item x="423"/>
        <item x="424"/>
        <item x="425"/>
        <item x="426"/>
        <item x="427"/>
        <item x="428"/>
        <item x="429"/>
        <item x="376"/>
        <item x="430"/>
        <item x="431"/>
        <item x="432"/>
        <item x="433"/>
        <item x="434"/>
        <item x="435"/>
        <item x="436"/>
        <item x="437"/>
        <item x="438"/>
        <item x="439"/>
        <item x="377"/>
        <item x="440"/>
        <item x="441"/>
        <item x="442"/>
        <item x="443"/>
        <item x="444"/>
        <item x="445"/>
        <item x="446"/>
        <item x="447"/>
        <item x="448"/>
        <item x="449"/>
        <item x="378"/>
        <item x="450"/>
        <item x="451"/>
        <item x="452"/>
        <item x="453"/>
        <item x="454"/>
        <item x="455"/>
        <item x="456"/>
        <item x="457"/>
        <item x="458"/>
        <item x="459"/>
        <item x="379"/>
        <item x="460"/>
        <item x="461"/>
        <item x="462"/>
        <item x="463"/>
        <item x="464"/>
        <item x="465"/>
        <item x="466"/>
        <item x="467"/>
        <item x="468"/>
        <item x="469"/>
        <item x="369"/>
        <item x="481"/>
        <item x="482"/>
        <item x="483"/>
        <item x="484"/>
        <item x="485"/>
        <item x="370"/>
        <item x="352"/>
        <item x="353"/>
        <item x="354"/>
        <item x="355"/>
        <item x="356"/>
        <item x="357"/>
        <item x="358"/>
        <item x="359"/>
        <item x="360"/>
        <item x="361"/>
        <item x="344"/>
        <item x="486"/>
        <item x="495"/>
        <item x="496"/>
        <item x="497"/>
        <item x="498"/>
        <item x="499"/>
        <item x="500"/>
        <item x="501"/>
        <item x="502"/>
        <item x="503"/>
        <item x="504"/>
        <item x="487"/>
        <item x="505"/>
        <item x="506"/>
        <item x="507"/>
        <item x="508"/>
        <item x="509"/>
        <item x="510"/>
        <item x="488"/>
        <item x="489"/>
        <item x="490"/>
        <item x="491"/>
        <item x="492"/>
        <item x="493"/>
        <item x="494"/>
        <item x="362"/>
        <item x="363"/>
        <item x="364"/>
        <item x="365"/>
        <item x="366"/>
        <item x="367"/>
        <item x="345"/>
        <item x="346"/>
        <item x="347"/>
        <item x="348"/>
        <item x="349"/>
        <item x="350"/>
        <item x="351"/>
        <item x="152"/>
        <item x="511"/>
        <item x="512"/>
        <item x="513"/>
        <item x="514"/>
        <item x="515"/>
        <item x="516"/>
        <item x="10"/>
        <item x="11"/>
        <item x="12"/>
        <item x="13"/>
        <item x="14"/>
        <item x="15"/>
        <item x="16"/>
        <item x="17"/>
        <item x="18"/>
        <item x="19"/>
        <item x="26"/>
        <item x="27"/>
        <item x="28"/>
        <item x="20"/>
        <item x="21"/>
        <item x="22"/>
        <item x="23"/>
        <item x="24"/>
        <item x="25"/>
        <item x="29"/>
        <item x="30"/>
        <item x="31"/>
        <item x="32"/>
        <item x="33"/>
        <item x="36"/>
        <item x="37"/>
        <item x="38"/>
        <item x="39"/>
        <item x="40"/>
        <item x="34"/>
        <item x="41"/>
        <item x="42"/>
        <item x="43"/>
        <item x="44"/>
        <item x="45"/>
        <item x="35"/>
        <item x="46"/>
        <item x="47"/>
        <item x="48"/>
        <item x="49"/>
        <item x="50"/>
        <item x="51"/>
        <item x="52"/>
        <item x="53"/>
        <item x="54"/>
        <item x="55"/>
        <item x="56"/>
        <item x="57"/>
        <item x="58"/>
        <item x="59"/>
        <item x="60"/>
        <item x="61"/>
        <item x="73"/>
        <item x="76"/>
        <item x="77"/>
        <item x="78"/>
        <item x="79"/>
        <item x="80"/>
        <item x="74"/>
        <item x="81"/>
        <item x="84"/>
        <item x="85"/>
        <item x="86"/>
        <item x="87"/>
        <item x="82"/>
        <item x="88"/>
        <item x="91"/>
        <item x="92"/>
        <item x="93"/>
        <item x="94"/>
        <item x="95"/>
        <item x="96"/>
        <item x="97"/>
        <item x="98"/>
        <item x="99"/>
        <item x="89"/>
        <item x="100"/>
        <item x="109"/>
        <item x="110"/>
        <item x="101"/>
        <item x="102"/>
        <item x="103"/>
        <item x="104"/>
        <item x="105"/>
        <item x="106"/>
        <item x="107"/>
        <item x="108"/>
        <item x="90"/>
        <item x="83"/>
        <item x="75"/>
        <item x="111"/>
        <item x="114"/>
        <item x="115"/>
        <item x="112"/>
        <item x="116"/>
        <item x="119"/>
        <item x="120"/>
        <item x="117"/>
        <item x="121"/>
        <item x="124"/>
        <item x="125"/>
        <item x="126"/>
        <item x="127"/>
        <item x="128"/>
        <item x="129"/>
        <item x="122"/>
        <item x="130"/>
        <item x="139"/>
        <item x="140"/>
        <item x="131"/>
        <item x="132"/>
        <item x="133"/>
        <item x="134"/>
        <item x="135"/>
        <item x="136"/>
        <item x="137"/>
        <item x="138"/>
        <item x="123"/>
        <item x="118"/>
        <item x="113"/>
        <item x="62"/>
        <item x="71"/>
        <item x="72"/>
        <item x="63"/>
        <item x="64"/>
        <item x="65"/>
        <item x="66"/>
        <item x="67"/>
        <item x="68"/>
        <item x="69"/>
        <item x="70"/>
        <item t="default"/>
      </items>
    </pivotField>
  </pivotFields>
  <rowFields count="2">
    <field x="0"/>
    <field x="6"/>
  </rowFields>
  <rowItems count="23">
    <i>
      <x/>
    </i>
    <i>
      <x v="1"/>
    </i>
    <i>
      <x v="2"/>
    </i>
    <i>
      <x v="3"/>
    </i>
    <i>
      <x v="4"/>
    </i>
    <i>
      <x v="5"/>
    </i>
    <i>
      <x v="6"/>
    </i>
    <i>
      <x v="7"/>
    </i>
    <i>
      <x v="8"/>
    </i>
    <i>
      <x v="9"/>
    </i>
    <i>
      <x v="10"/>
    </i>
    <i>
      <x v="11"/>
    </i>
    <i>
      <x v="12"/>
    </i>
    <i>
      <x v="13"/>
    </i>
    <i>
      <x v="14"/>
    </i>
    <i>
      <x v="15"/>
    </i>
    <i>
      <x v="16"/>
    </i>
    <i>
      <x v="17"/>
    </i>
    <i>
      <x v="18"/>
    </i>
    <i>
      <x v="19"/>
    </i>
    <i>
      <x v="20"/>
    </i>
    <i>
      <x v="21"/>
    </i>
    <i t="grand">
      <x/>
    </i>
  </rowItems>
  <colItems count="1">
    <i/>
  </colItems>
  <pageFields count="1">
    <pageField fld="4" item="1" hier="-1"/>
  </pageFields>
  <dataFields count="1">
    <dataField name="Count of Krav #"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BBF04B-92CB-4878-87E2-A4365F638BBB}" name="Table1" displayName="Table1" ref="A1:F687" totalsRowShown="0" headerRowDxfId="10982">
  <autoFilter ref="A1:F687" xr:uid="{D621BEA5-0663-4ED0-822B-BB1F0EA76DA1}">
    <filterColumn colId="0">
      <filters>
        <filter val="Form 34"/>
      </filters>
    </filterColumn>
  </autoFilter>
  <sortState ref="A570:F585">
    <sortCondition ref="B1:B687"/>
  </sortState>
  <tableColumns count="6">
    <tableColumn id="1" xr3:uid="{34C7CAFC-4C11-4518-9146-08AAB0663B3F}" name="Form #"/>
    <tableColumn id="2" xr3:uid="{11516345-7957-4E53-90D9-8FEC4AF1D13E}" name="Spørgsmål " dataDxfId="10981"/>
    <tableColumn id="3" xr3:uid="{550BE85D-F9C5-45D2-99F7-39A8B6758E0F}" name="Krav #" dataDxfId="10980"/>
    <tableColumn id="4" xr3:uid="{38A55C13-9726-4B00-9B99-F004A0BD89DF}" name="Dækket i x testcases" dataDxfId="10979">
      <calculatedColumnFormula>COUNTIF('[1]FF - Test Design'!D:D,C2)</calculatedColumnFormula>
    </tableColumn>
    <tableColumn id="5" xr3:uid="{31D638F5-3AEC-40C7-828E-835DDB64FFEB}" name="Beskrivelse" dataDxfId="10978"/>
    <tableColumn id="7" xr3:uid="{67AED4FA-1A47-48A0-9E90-36ABB187BD68}" name="Krav # + Beskrivelse" dataDxfId="10977">
      <calculatedColumnFormula>[1]!Table1[[#This Row],[Krav '#]]&amp;" - "&amp;[1]!Table1[[#This Row],[Beskrivelse]]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AF786-A8D1-433A-B9B3-95D0957330E6}">
  <sheetPr codeName="Sheet7"/>
  <dimension ref="A1:B26"/>
  <sheetViews>
    <sheetView workbookViewId="0">
      <selection activeCell="E31" sqref="E31"/>
    </sheetView>
  </sheetViews>
  <sheetFormatPr defaultRowHeight="14.4" x14ac:dyDescent="0.3"/>
  <cols>
    <col min="1" max="1" width="13.109375" bestFit="1" customWidth="1"/>
    <col min="2" max="2" width="14.44140625" bestFit="1" customWidth="1"/>
    <col min="3" max="3" width="4.109375" bestFit="1" customWidth="1"/>
    <col min="4" max="4" width="11.33203125" bestFit="1" customWidth="1"/>
    <col min="5" max="5" width="25.33203125" bestFit="1" customWidth="1"/>
    <col min="6" max="6" width="19.44140625" bestFit="1" customWidth="1"/>
    <col min="7" max="7" width="30.44140625" bestFit="1" customWidth="1"/>
  </cols>
  <sheetData>
    <row r="1" spans="1:2" x14ac:dyDescent="0.3">
      <c r="A1" s="152" t="s">
        <v>1273</v>
      </c>
      <c r="B1" s="57" t="s">
        <v>166</v>
      </c>
    </row>
    <row r="3" spans="1:2" x14ac:dyDescent="0.3">
      <c r="A3" s="152" t="s">
        <v>1274</v>
      </c>
      <c r="B3" t="s">
        <v>1276</v>
      </c>
    </row>
    <row r="4" spans="1:2" x14ac:dyDescent="0.3">
      <c r="A4" s="153" t="s">
        <v>702</v>
      </c>
      <c r="B4" s="28">
        <v>1</v>
      </c>
    </row>
    <row r="5" spans="1:2" x14ac:dyDescent="0.3">
      <c r="A5" s="153" t="s">
        <v>714</v>
      </c>
      <c r="B5" s="28">
        <v>2</v>
      </c>
    </row>
    <row r="6" spans="1:2" x14ac:dyDescent="0.3">
      <c r="A6" s="153" t="s">
        <v>722</v>
      </c>
      <c r="B6" s="28">
        <v>1</v>
      </c>
    </row>
    <row r="7" spans="1:2" x14ac:dyDescent="0.3">
      <c r="A7" s="153" t="s">
        <v>727</v>
      </c>
      <c r="B7" s="28">
        <v>1</v>
      </c>
    </row>
    <row r="8" spans="1:2" x14ac:dyDescent="0.3">
      <c r="A8" s="153" t="s">
        <v>736</v>
      </c>
      <c r="B8" s="28">
        <v>4</v>
      </c>
    </row>
    <row r="9" spans="1:2" x14ac:dyDescent="0.3">
      <c r="A9" s="153" t="s">
        <v>44</v>
      </c>
      <c r="B9" s="28">
        <v>4</v>
      </c>
    </row>
    <row r="10" spans="1:2" x14ac:dyDescent="0.3">
      <c r="A10" s="153" t="s">
        <v>621</v>
      </c>
      <c r="B10" s="28">
        <v>13</v>
      </c>
    </row>
    <row r="11" spans="1:2" x14ac:dyDescent="0.3">
      <c r="A11" s="153" t="s">
        <v>749</v>
      </c>
      <c r="B11" s="28">
        <v>85</v>
      </c>
    </row>
    <row r="12" spans="1:2" x14ac:dyDescent="0.3">
      <c r="A12" s="153" t="s">
        <v>765</v>
      </c>
      <c r="B12" s="28">
        <v>82</v>
      </c>
    </row>
    <row r="13" spans="1:2" x14ac:dyDescent="0.3">
      <c r="A13" s="153" t="s">
        <v>67</v>
      </c>
      <c r="B13" s="28">
        <v>3</v>
      </c>
    </row>
    <row r="14" spans="1:2" x14ac:dyDescent="0.3">
      <c r="A14" s="153" t="s">
        <v>770</v>
      </c>
      <c r="B14" s="28">
        <v>82</v>
      </c>
    </row>
    <row r="15" spans="1:2" x14ac:dyDescent="0.3">
      <c r="A15" s="153" t="s">
        <v>775</v>
      </c>
      <c r="B15" s="28">
        <v>82</v>
      </c>
    </row>
    <row r="16" spans="1:2" x14ac:dyDescent="0.3">
      <c r="A16" s="153" t="s">
        <v>780</v>
      </c>
      <c r="B16" s="28">
        <v>82</v>
      </c>
    </row>
    <row r="17" spans="1:2" x14ac:dyDescent="0.3">
      <c r="A17" s="153" t="s">
        <v>1271</v>
      </c>
      <c r="B17" s="28">
        <v>1</v>
      </c>
    </row>
    <row r="18" spans="1:2" x14ac:dyDescent="0.3">
      <c r="A18" s="153" t="s">
        <v>78</v>
      </c>
      <c r="B18" s="28">
        <v>1</v>
      </c>
    </row>
    <row r="19" spans="1:2" x14ac:dyDescent="0.3">
      <c r="A19" s="153" t="s">
        <v>85</v>
      </c>
      <c r="B19" s="28">
        <v>2</v>
      </c>
    </row>
    <row r="20" spans="1:2" x14ac:dyDescent="0.3">
      <c r="A20" s="153" t="s">
        <v>648</v>
      </c>
      <c r="B20" s="28">
        <v>4</v>
      </c>
    </row>
    <row r="21" spans="1:2" x14ac:dyDescent="0.3">
      <c r="A21" s="153" t="s">
        <v>666</v>
      </c>
      <c r="B21" s="28">
        <v>1</v>
      </c>
    </row>
    <row r="22" spans="1:2" x14ac:dyDescent="0.3">
      <c r="A22" s="153" t="s">
        <v>684</v>
      </c>
      <c r="B22" s="28">
        <v>1</v>
      </c>
    </row>
    <row r="23" spans="1:2" x14ac:dyDescent="0.3">
      <c r="A23" s="153" t="s">
        <v>689</v>
      </c>
      <c r="B23" s="28">
        <v>1</v>
      </c>
    </row>
    <row r="24" spans="1:2" x14ac:dyDescent="0.3">
      <c r="A24" s="153" t="s">
        <v>696</v>
      </c>
      <c r="B24" s="28">
        <v>1</v>
      </c>
    </row>
    <row r="25" spans="1:2" x14ac:dyDescent="0.3">
      <c r="A25" s="153" t="s">
        <v>32</v>
      </c>
      <c r="B25" s="28">
        <v>5</v>
      </c>
    </row>
    <row r="26" spans="1:2" x14ac:dyDescent="0.3">
      <c r="A26" s="153" t="s">
        <v>1275</v>
      </c>
      <c r="B26" s="28">
        <v>459</v>
      </c>
    </row>
  </sheetData>
  <pageMargins left="0.7" right="0.7" top="0.75" bottom="0.75" header="0.3" footer="0.3"/>
  <pageSetup paperSize="9" orientation="portrait" verticalDpi="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1A0A3-BD13-4B2B-8602-B2513410DA77}">
  <sheetPr codeName="Sheet1"/>
  <dimension ref="A1:F687"/>
  <sheetViews>
    <sheetView workbookViewId="0">
      <selection activeCell="E691" sqref="E691"/>
    </sheetView>
  </sheetViews>
  <sheetFormatPr defaultRowHeight="14.4" x14ac:dyDescent="0.3"/>
  <cols>
    <col min="2" max="2" width="12.6640625" customWidth="1"/>
    <col min="3" max="3" width="12.88671875" bestFit="1" customWidth="1"/>
    <col min="4" max="4" width="21" style="6" customWidth="1"/>
    <col min="5" max="5" width="13.33203125" customWidth="1"/>
    <col min="6" max="6" width="255.6640625" bestFit="1" customWidth="1"/>
  </cols>
  <sheetData>
    <row r="1" spans="1:6" x14ac:dyDescent="0.3">
      <c r="A1" s="6" t="s">
        <v>29</v>
      </c>
      <c r="B1" s="7" t="s">
        <v>30</v>
      </c>
      <c r="C1" s="7" t="s">
        <v>22</v>
      </c>
      <c r="D1" s="7" t="s">
        <v>151</v>
      </c>
      <c r="E1" s="6" t="s">
        <v>31</v>
      </c>
      <c r="F1" s="7" t="s">
        <v>1277</v>
      </c>
    </row>
    <row r="2" spans="1:6" hidden="1" x14ac:dyDescent="0.3">
      <c r="A2" s="57" t="s">
        <v>32</v>
      </c>
      <c r="B2" s="7" t="s">
        <v>33</v>
      </c>
      <c r="C2" s="7" t="s">
        <v>34</v>
      </c>
      <c r="D2" s="28" t="e">
        <f>COUNTIF('[1]FF - Test Design'!D:D,C2)</f>
        <v>#VALUE!</v>
      </c>
      <c r="E2" s="57" t="s">
        <v>35</v>
      </c>
      <c r="F2" s="57" t="str">
        <f>[1]!Table1[[#This Row],[Krav '#]]&amp;" - "&amp;[1]!Table1[[#This Row],[Beskrivelse]]</f>
        <v>0.1 - Modtagelsesperioden: Vi vil ikke konfigurere fordringer, der er modtaget før den 1. september 2013</v>
      </c>
    </row>
    <row r="3" spans="1:6" hidden="1" x14ac:dyDescent="0.3">
      <c r="A3" s="57" t="s">
        <v>32</v>
      </c>
      <c r="B3" s="7" t="s">
        <v>33</v>
      </c>
      <c r="C3" s="7" t="s">
        <v>36</v>
      </c>
      <c r="D3" s="28" t="e">
        <f>COUNTIF('[1]FF - Test Design'!D:D,C3)</f>
        <v>#VALUE!</v>
      </c>
      <c r="E3" s="57" t="s">
        <v>37</v>
      </c>
      <c r="F3" s="57" t="str">
        <f>[1]!Table1[[#This Row],[Krav '#]]&amp;" - "&amp;[1]!Table1[[#This Row],[Beskrivelse]]</f>
        <v>0.2 - Fordringsart: Som udgangspunkt foretages der en konfiguration i forhold til både inddrivelses- og modregningsfordringer, og der spørges ikke ind til opkrævningsfordringer.</v>
      </c>
    </row>
    <row r="4" spans="1:6" hidden="1" x14ac:dyDescent="0.3">
      <c r="A4" s="57" t="s">
        <v>32</v>
      </c>
      <c r="B4" s="7" t="s">
        <v>33</v>
      </c>
      <c r="C4" s="7" t="s">
        <v>38</v>
      </c>
      <c r="D4" s="28" t="e">
        <f>COUNTIF('[1]FF - Test Design'!D:D,C4)</f>
        <v>#VALUE!</v>
      </c>
      <c r="E4" s="57" t="s">
        <v>39</v>
      </c>
      <c r="F4" s="57" t="str">
        <f>[1]!Table1[[#This Row],[Krav '#]]&amp;" - "&amp;[1]!Table1[[#This Row],[Beskrivelse]]</f>
        <v>0.3 - Som udgangspunkt skal Regel R0007 være deaktiveret</v>
      </c>
    </row>
    <row r="5" spans="1:6" hidden="1" x14ac:dyDescent="0.3">
      <c r="A5" s="57" t="s">
        <v>32</v>
      </c>
      <c r="B5" s="7" t="s">
        <v>33</v>
      </c>
      <c r="C5" s="7" t="s">
        <v>40</v>
      </c>
      <c r="D5" s="28" t="e">
        <f>COUNTIF('[1]FF - Test Design'!D:D,C5)</f>
        <v>#VALUE!</v>
      </c>
      <c r="E5" s="57" t="s">
        <v>41</v>
      </c>
      <c r="F5" s="57" t="str">
        <f>[1]!Table1[[#This Row],[Krav '#]]&amp;" - "&amp;[1]!Table1[[#This Row],[Beskrivelse]]</f>
        <v>0.4 - Som udgangspunkt skal Regel R0008 være deaktiveret</v>
      </c>
    </row>
    <row r="6" spans="1:6" hidden="1" x14ac:dyDescent="0.3">
      <c r="A6" s="57" t="s">
        <v>32</v>
      </c>
      <c r="B6" s="7" t="s">
        <v>33</v>
      </c>
      <c r="C6" s="7" t="s">
        <v>42</v>
      </c>
      <c r="D6" s="28" t="e">
        <f>COUNTIF('[1]FF - Test Design'!D:D,C6)</f>
        <v>#VALUE!</v>
      </c>
      <c r="E6" s="57" t="s">
        <v>43</v>
      </c>
      <c r="F6" s="57" t="str">
        <f>[1]!Table1[[#This Row],[Krav '#]]&amp;" - "&amp;[1]!Table1[[#This Row],[Beskrivelse]]</f>
        <v>0.5 - Der skal være angivet datoen 1. september 2013 som default i ”FordringensModtagelsesDatoFra”</v>
      </c>
    </row>
    <row r="7" spans="1:6" hidden="1" x14ac:dyDescent="0.3">
      <c r="A7" s="57" t="s">
        <v>32</v>
      </c>
      <c r="B7" s="7" t="s">
        <v>33</v>
      </c>
      <c r="C7" s="7" t="s">
        <v>610</v>
      </c>
      <c r="D7" s="28" t="e">
        <f>COUNTIF('[1]FF - Test Design'!D:D,C7)</f>
        <v>#VALUE!</v>
      </c>
      <c r="E7" s="8" t="s">
        <v>611</v>
      </c>
      <c r="F7" s="57" t="str">
        <f>[1]!Table1[[#This Row],[Krav '#]]&amp;" - "&amp;[1]!Table1[[#This Row],[Beskrivelse]]</f>
        <v xml:space="preserve">0.6 - Der skal være angivet et ”NEJ” i ”Stoler RIM på fordringshavers forældelsesdato” </v>
      </c>
    </row>
    <row r="8" spans="1:6" hidden="1" x14ac:dyDescent="0.3">
      <c r="A8" s="57" t="s">
        <v>32</v>
      </c>
      <c r="B8" s="7" t="s">
        <v>33</v>
      </c>
      <c r="C8" s="7" t="s">
        <v>612</v>
      </c>
      <c r="D8" s="28" t="e">
        <f>COUNTIF('[1]FF - Test Design'!D:D,C8)</f>
        <v>#VALUE!</v>
      </c>
      <c r="E8" s="8" t="s">
        <v>613</v>
      </c>
      <c r="F8" s="57" t="str">
        <f>[1]!Table1[[#This Row],[Krav '#]]&amp;" - "&amp;[1]!Table1[[#This Row],[Beskrivelse]]</f>
        <v>0.7 - Der skal være angivet et ”NEJ” i ”Vil RIM beregne en forældelsesdato”.</v>
      </c>
    </row>
    <row r="9" spans="1:6" hidden="1" x14ac:dyDescent="0.3">
      <c r="A9" s="57" t="s">
        <v>44</v>
      </c>
      <c r="B9" s="7">
        <v>1</v>
      </c>
      <c r="C9" s="7" t="s">
        <v>23</v>
      </c>
      <c r="D9" s="28" t="e">
        <f>COUNTIF('[1]FF - Test Design'!D:D,C9)</f>
        <v>#VALUE!</v>
      </c>
      <c r="E9" s="57" t="s">
        <v>45</v>
      </c>
      <c r="F9" s="57" t="str">
        <f>[1]!Table1[[#This Row],[Krav '#]]&amp;" - "&amp;[1]!Table1[[#This Row],[Beskrivelse]]</f>
        <v>1.1 - Hvis det angivne fordringshaverID er på færre end 4 cifre skal den numeriskeværdi foranstilles med nuller</v>
      </c>
    </row>
    <row r="10" spans="1:6" hidden="1" x14ac:dyDescent="0.3">
      <c r="A10" s="57" t="s">
        <v>44</v>
      </c>
      <c r="B10" s="7">
        <v>1</v>
      </c>
      <c r="C10" s="7" t="s">
        <v>46</v>
      </c>
      <c r="D10" s="28" t="e">
        <f>COUNTIF('[1]FF - Test Design'!D:D,C10)</f>
        <v>#VALUE!</v>
      </c>
      <c r="E10" s="57" t="s">
        <v>47</v>
      </c>
      <c r="F10" s="57" t="str">
        <f>[1]!Table1[[#This Row],[Krav '#]]&amp;" - "&amp;[1]!Table1[[#This Row],[Beskrivelse]]</f>
        <v>1.2 - FordringshaverID formatet skal være et tekstfelt eller dropdown menu</v>
      </c>
    </row>
    <row r="11" spans="1:6" hidden="1" x14ac:dyDescent="0.3">
      <c r="A11" s="57" t="s">
        <v>44</v>
      </c>
      <c r="B11" s="7">
        <v>1</v>
      </c>
      <c r="C11" s="7" t="s">
        <v>48</v>
      </c>
      <c r="D11" s="28" t="e">
        <f>COUNTIF('[1]FF - Test Design'!D:D,C11)</f>
        <v>#VALUE!</v>
      </c>
      <c r="E11" s="57" t="s">
        <v>49</v>
      </c>
      <c r="F11" s="57" t="str">
        <f>[1]!Table1[[#This Row],[Krav '#]]&amp;" - "&amp;[1]!Table1[[#This Row],[Beskrivelse]]</f>
        <v>1.3 - FordringshaverID'et skal gemmes i populationen</v>
      </c>
    </row>
    <row r="12" spans="1:6" hidden="1" x14ac:dyDescent="0.3">
      <c r="A12" s="57" t="s">
        <v>44</v>
      </c>
      <c r="B12" s="7">
        <v>2</v>
      </c>
      <c r="C12" s="7" t="s">
        <v>50</v>
      </c>
      <c r="D12" s="28" t="e">
        <f>COUNTIF('[1]FF - Test Design'!D:D,C12)</f>
        <v>#VALUE!</v>
      </c>
      <c r="E12" s="57" t="s">
        <v>51</v>
      </c>
      <c r="F12" s="57" t="str">
        <f>[1]!Table1[[#This Row],[Krav '#]]&amp;" - "&amp;[1]!Table1[[#This Row],[Beskrivelse]]</f>
        <v>2.1 - Fordringstyperne skal listes i en drop-down menu bestående af alle tilgængelige fordringstyper</v>
      </c>
    </row>
    <row r="13" spans="1:6" hidden="1" x14ac:dyDescent="0.3">
      <c r="A13" s="57" t="s">
        <v>44</v>
      </c>
      <c r="B13" s="7">
        <v>2</v>
      </c>
      <c r="C13" s="7" t="s">
        <v>52</v>
      </c>
      <c r="D13" s="28" t="e">
        <f>COUNTIF('[1]FF - Test Design'!D:D,C13)</f>
        <v>#VALUE!</v>
      </c>
      <c r="E13" s="57" t="s">
        <v>53</v>
      </c>
      <c r="F13" s="57" t="str">
        <f>[1]!Table1[[#This Row],[Krav '#]]&amp;" - "&amp;[1]!Table1[[#This Row],[Beskrivelse]]</f>
        <v>2.2 - Den valgte fordringstype skal gemmes i populationen</v>
      </c>
    </row>
    <row r="14" spans="1:6" hidden="1" x14ac:dyDescent="0.3">
      <c r="A14" s="57" t="s">
        <v>44</v>
      </c>
      <c r="B14" s="7">
        <v>3</v>
      </c>
      <c r="C14" s="7" t="s">
        <v>54</v>
      </c>
      <c r="D14" s="28" t="e">
        <f>COUNTIF('[1]FF - Test Design'!D:D,C14)</f>
        <v>#VALUE!</v>
      </c>
      <c r="E14" s="57" t="s">
        <v>55</v>
      </c>
      <c r="F14" s="57" t="str">
        <f>[1]!Table1[[#This Row],[Krav '#]]&amp;" - "&amp;[1]!Table1[[#This Row],[Beskrivelse]]</f>
        <v>3.1 - Såfremt den valgte modtagelsesdato ligger før d. 1 september 2013 skal der komme en advarsel</v>
      </c>
    </row>
    <row r="15" spans="1:6" hidden="1" x14ac:dyDescent="0.3">
      <c r="A15" s="57" t="s">
        <v>44</v>
      </c>
      <c r="B15" s="7">
        <v>3</v>
      </c>
      <c r="C15" s="7" t="s">
        <v>56</v>
      </c>
      <c r="D15" s="28" t="e">
        <f>COUNTIF('[1]FF - Test Design'!D:D,C15)</f>
        <v>#VALUE!</v>
      </c>
      <c r="E15" s="57" t="s">
        <v>57</v>
      </c>
      <c r="F15" s="57" t="str">
        <f>[1]!Table1[[#This Row],[Krav '#]]&amp;" - "&amp;[1]!Table1[[#This Row],[Beskrivelse]]</f>
        <v>3.2 - Det skal være muligt for brugeren at afgrænse en periode via to datofelter (fra og til)</v>
      </c>
    </row>
    <row r="16" spans="1:6" hidden="1" x14ac:dyDescent="0.3">
      <c r="A16" s="57" t="s">
        <v>44</v>
      </c>
      <c r="B16" s="7">
        <v>3</v>
      </c>
      <c r="C16" s="7" t="s">
        <v>58</v>
      </c>
      <c r="D16" s="28" t="e">
        <f>COUNTIF('[1]FF - Test Design'!D:D,C16)</f>
        <v>#VALUE!</v>
      </c>
      <c r="E16" s="57" t="s">
        <v>59</v>
      </c>
      <c r="F16" s="57" t="str">
        <f>[1]!Table1[[#This Row],[Krav '#]]&amp;" - "&amp;[1]!Table1[[#This Row],[Beskrivelse]]</f>
        <v>3.3 - Den valgte afgrænsningsperiode skal gemmes i populationen</v>
      </c>
    </row>
    <row r="17" spans="1:6" hidden="1" x14ac:dyDescent="0.3">
      <c r="A17" s="57" t="s">
        <v>44</v>
      </c>
      <c r="B17" s="7" t="s">
        <v>605</v>
      </c>
      <c r="C17" s="7" t="s">
        <v>614</v>
      </c>
      <c r="D17" s="28" t="e">
        <f>COUNTIF('[1]FF - Test Design'!D:D,C17)</f>
        <v>#VALUE!</v>
      </c>
      <c r="E17" s="8" t="s">
        <v>615</v>
      </c>
      <c r="F17" s="57" t="str">
        <f>[1]!Table1[[#This Row],[Krav '#]]&amp;" - "&amp;[1]!Table1[[#This Row],[Beskrivelse]]</f>
        <v>3.4 - Hvis der angives en afgræsningsperiode før d. 1/9-2013, skal der komme en advarselsboks op med to muligheder: 1) "Afgræns ny periode" eller 2) "Fortsæt med den valgte afgræsning".</v>
      </c>
    </row>
    <row r="18" spans="1:6" hidden="1" x14ac:dyDescent="0.3">
      <c r="A18" s="57" t="s">
        <v>44</v>
      </c>
      <c r="B18" s="7">
        <v>4</v>
      </c>
      <c r="C18" s="7" t="s">
        <v>60</v>
      </c>
      <c r="D18" s="28" t="e">
        <f>COUNTIF('[1]FF - Test Design'!D:D,C18)</f>
        <v>#VALUE!</v>
      </c>
      <c r="E18" s="57" t="s">
        <v>61</v>
      </c>
      <c r="F18" s="57" t="str">
        <f>[1]!Table1[[#This Row],[Krav '#]]&amp;" - "&amp;[1]!Table1[[#This Row],[Beskrivelse]]</f>
        <v xml:space="preserve">4.1 - Det skal være muligt for brugeren at markere hvorvidt en fordringshavers registreringspraksis har været det samme i hele den afgrænsede modtagelsesperiode. </v>
      </c>
    </row>
    <row r="19" spans="1:6" hidden="1" x14ac:dyDescent="0.3">
      <c r="A19" s="57" t="s">
        <v>44</v>
      </c>
      <c r="B19" s="7" t="s">
        <v>62</v>
      </c>
      <c r="C19" s="7" t="s">
        <v>63</v>
      </c>
      <c r="D19" s="28" t="e">
        <f>COUNTIF('[1]FF - Test Design'!D:D,C19)</f>
        <v>#VALUE!</v>
      </c>
      <c r="E19" s="57" t="s">
        <v>64</v>
      </c>
      <c r="F19" s="57" t="str">
        <f>[1]!Table1[[#This Row],[Krav '#]]&amp;" - "&amp;[1]!Table1[[#This Row],[Beskrivelse]]</f>
        <v>4.2 - Såfremt brugeren svarer nej til spørgsmålet skal brugeren ledes videre til spørgsmål 4.a</v>
      </c>
    </row>
    <row r="20" spans="1:6" hidden="1" x14ac:dyDescent="0.3">
      <c r="A20" s="57" t="s">
        <v>44</v>
      </c>
      <c r="B20" s="7" t="s">
        <v>62</v>
      </c>
      <c r="C20" s="7" t="s">
        <v>65</v>
      </c>
      <c r="D20" s="28" t="e">
        <f>COUNTIF('[1]FF - Test Design'!D:D,C20)</f>
        <v>#VALUE!</v>
      </c>
      <c r="E20" s="57" t="s">
        <v>66</v>
      </c>
      <c r="F20" s="57" t="str">
        <f>[1]!Table1[[#This Row],[Krav '#]]&amp;" - "&amp;[1]!Table1[[#This Row],[Beskrivelse]]</f>
        <v>4.3 - Såfremt brugeren svarer ja til spørgsmålet skal brugeren ledes videre til spørgsmål 5</v>
      </c>
    </row>
    <row r="21" spans="1:6" hidden="1" x14ac:dyDescent="0.3">
      <c r="A21" s="57" t="s">
        <v>67</v>
      </c>
      <c r="B21" s="7" t="s">
        <v>68</v>
      </c>
      <c r="C21" s="7" t="s">
        <v>69</v>
      </c>
      <c r="D21" s="28" t="e">
        <f>COUNTIF('[1]FF - Test Design'!D:D,C21)</f>
        <v>#VALUE!</v>
      </c>
      <c r="E21" s="57" t="s">
        <v>70</v>
      </c>
      <c r="F21" s="57" t="str">
        <f>[1]!Table1[[#This Row],[Krav '#]]&amp;" - "&amp;[1]!Table1[[#This Row],[Beskrivelse]]</f>
        <v>4.a.1 - Det skal være muligt for RIM at afgrænse en periode, hvor fordringshavers registreringspraksis har været den samme i hele den afgrænsede periode</v>
      </c>
    </row>
    <row r="22" spans="1:6" hidden="1" x14ac:dyDescent="0.3">
      <c r="A22" s="57" t="s">
        <v>67</v>
      </c>
      <c r="B22" s="7" t="s">
        <v>68</v>
      </c>
      <c r="C22" s="7" t="s">
        <v>71</v>
      </c>
      <c r="D22" s="28" t="e">
        <f>COUNTIF('[1]FF - Test Design'!D:D,C22)</f>
        <v>#VALUE!</v>
      </c>
      <c r="E22" s="8" t="s">
        <v>72</v>
      </c>
      <c r="F22" s="57" t="str">
        <f>[1]!Table1[[#This Row],[Krav '#]]&amp;" - "&amp;[1]!Table1[[#This Row],[Beskrivelse]]</f>
        <v>4.a.2 - Der skal være checkbokse med svarmulighederne:
1. ”at der enten foretages en tilpasning af den allerede afgrænsede modtagelses-periode”
2. ”at der foretages en perio-demæssig afgrænsning af den allerede afgrænsede modtagelsesperiode via ét eller flere af stamdatafel-terne”
3. ”NEJ/VED IKKE”</v>
      </c>
    </row>
    <row r="23" spans="1:6" hidden="1" x14ac:dyDescent="0.3">
      <c r="A23" s="57" t="s">
        <v>67</v>
      </c>
      <c r="B23" s="7" t="s">
        <v>68</v>
      </c>
      <c r="C23" s="7" t="s">
        <v>73</v>
      </c>
      <c r="D23" s="28" t="e">
        <f>COUNTIF('[1]FF - Test Design'!D:D,C23)</f>
        <v>#VALUE!</v>
      </c>
      <c r="E23" s="8" t="s">
        <v>74</v>
      </c>
      <c r="F23" s="57" t="str">
        <f>[1]!Table1[[#This Row],[Krav '#]]&amp;" - "&amp;[1]!Table1[[#This Row],[Beskrivelse]]</f>
        <v>4.a.3 - Såfremt brugeren vælger ”at der enten foretages en tilpasning af den allerede afgrænsede modtagelses-periode” skal brugeren ledes videre til spørgsmål 4.a.1</v>
      </c>
    </row>
    <row r="24" spans="1:6" hidden="1" x14ac:dyDescent="0.3">
      <c r="A24" s="57" t="s">
        <v>67</v>
      </c>
      <c r="B24" s="7" t="s">
        <v>68</v>
      </c>
      <c r="C24" s="7" t="s">
        <v>75</v>
      </c>
      <c r="D24" s="28" t="e">
        <f>COUNTIF('[1]FF - Test Design'!D:D,C24)</f>
        <v>#VALUE!</v>
      </c>
      <c r="E24" s="8" t="s">
        <v>161</v>
      </c>
      <c r="F24" s="57" t="str">
        <f>[1]!Table1[[#This Row],[Krav '#]]&amp;" - "&amp;[1]!Table1[[#This Row],[Beskrivelse]]</f>
        <v>4.a.4 - Såfremt brugeren vælger ”at der foretages en perio-demæssig afgrænsning af den allerede afgrænsede modtagelsesperiode via ét eller flere af stamdatafelterne” skal brugeren ledes videre til spørgsmål 4.a.2</v>
      </c>
    </row>
    <row r="25" spans="1:6" hidden="1" x14ac:dyDescent="0.3">
      <c r="A25" s="57" t="s">
        <v>67</v>
      </c>
      <c r="B25" s="7" t="s">
        <v>68</v>
      </c>
      <c r="C25" s="7" t="s">
        <v>76</v>
      </c>
      <c r="D25" s="28" t="e">
        <f>COUNTIF('[1]FF - Test Design'!D:D,C25)</f>
        <v>#VALUE!</v>
      </c>
      <c r="E25" s="8" t="s">
        <v>77</v>
      </c>
      <c r="F25" s="57" t="str">
        <f>[1]!Table1[[#This Row],[Krav '#]]&amp;" - "&amp;[1]!Table1[[#This Row],[Beskrivelse]]</f>
        <v>4.a.5 - Såfremt brugeren vælger ”NEJ/VED IKKE” skal brugeren ledes videre til spørgsmål 4.a.3</v>
      </c>
    </row>
    <row r="26" spans="1:6" hidden="1" x14ac:dyDescent="0.3">
      <c r="A26" s="57" t="s">
        <v>67</v>
      </c>
      <c r="B26" s="7" t="s">
        <v>68</v>
      </c>
      <c r="C26" s="7" t="s">
        <v>616</v>
      </c>
      <c r="D26" s="28" t="e">
        <f>COUNTIF('[1]FF - Test Design'!D:D,C26)</f>
        <v>#VALUE!</v>
      </c>
      <c r="E26" s="8" t="s">
        <v>617</v>
      </c>
      <c r="F26" s="57" t="str">
        <f>[1]!Table1[[#This Row],[Krav '#]]&amp;" - "&amp;[1]!Table1[[#This Row],[Beskrivelse]]</f>
        <v>4.a.6 - Såfremt brugeren vælger ”at der enten foretages en tilpasning af den allerede afgrænsede modtagelses-periode” skal modtagelsesstart datoen pr. default være sat til 1. september 2013.</v>
      </c>
    </row>
    <row r="27" spans="1:6" hidden="1" x14ac:dyDescent="0.3">
      <c r="A27" s="57" t="s">
        <v>67</v>
      </c>
      <c r="B27" s="7" t="s">
        <v>68</v>
      </c>
      <c r="C27" s="7" t="s">
        <v>618</v>
      </c>
      <c r="D27" s="28" t="e">
        <f>COUNTIF('[1]FF - Test Design'!D:D,C27)</f>
        <v>#VALUE!</v>
      </c>
      <c r="E27" s="8" t="s">
        <v>619</v>
      </c>
      <c r="F27" s="57" t="str">
        <f>[1]!Table1[[#This Row],[Krav '#]]&amp;" - "&amp;[1]!Table1[[#This Row],[Beskrivelse]]</f>
        <v xml:space="preserve">4.a.7 - Der skal være en infoboks med teksten: ”Hvis du vælger at afgrænse modtagelsesperioden via et eller flere af stamdatafelterne, da vil modtagelsesdato pr. default være sat til 1. september 2013. Formålet hermed er at undgå, at der utilsigtet medtages konverterede fordringer. Du har mulighed for at ændre default-datoen i det underliggende Excel ark.” </v>
      </c>
    </row>
    <row r="28" spans="1:6" hidden="1" x14ac:dyDescent="0.3">
      <c r="A28" s="57" t="s">
        <v>78</v>
      </c>
      <c r="B28" s="7" t="s">
        <v>69</v>
      </c>
      <c r="C28" s="7" t="s">
        <v>79</v>
      </c>
      <c r="D28" s="28" t="e">
        <f>COUNTIF('[1]FF - Test Design'!D:D,C28)</f>
        <v>#VALUE!</v>
      </c>
      <c r="E28" s="8" t="s">
        <v>80</v>
      </c>
      <c r="F28" s="57" t="str">
        <f>[1]!Table1[[#This Row],[Krav '#]]&amp;" - "&amp;[1]!Table1[[#This Row],[Beskrivelse]]</f>
        <v xml:space="preserve">4.a.1.1 - Det skal være muligt for brugeren at justere den allerede afgrænsede modtagelsesperiode </v>
      </c>
    </row>
    <row r="29" spans="1:6" hidden="1" x14ac:dyDescent="0.3">
      <c r="A29" s="57" t="s">
        <v>78</v>
      </c>
      <c r="B29" s="7" t="s">
        <v>69</v>
      </c>
      <c r="C29" s="7" t="s">
        <v>81</v>
      </c>
      <c r="D29" s="28" t="e">
        <f>COUNTIF('[1]FF - Test Design'!D:D,C29)</f>
        <v>#VALUE!</v>
      </c>
      <c r="E29" s="8" t="s">
        <v>82</v>
      </c>
      <c r="F29" s="57" t="str">
        <f>[1]!Table1[[#This Row],[Krav '#]]&amp;" - "&amp;[1]!Table1[[#This Row],[Beskrivelse]]</f>
        <v>4.a.1.2 - Den nye afgrænsede modtagelsesperiode skal gemmes i populationen</v>
      </c>
    </row>
    <row r="30" spans="1:6" hidden="1" x14ac:dyDescent="0.3">
      <c r="A30" s="57" t="s">
        <v>78</v>
      </c>
      <c r="B30" s="7" t="s">
        <v>69</v>
      </c>
      <c r="C30" s="7" t="s">
        <v>83</v>
      </c>
      <c r="D30" s="28" t="e">
        <f>COUNTIF('[1]FF - Test Design'!D:D,C30)</f>
        <v>#VALUE!</v>
      </c>
      <c r="E30" s="8" t="s">
        <v>84</v>
      </c>
      <c r="F30" s="57" t="str">
        <f>[1]!Table1[[#This Row],[Krav '#]]&amp;" - "&amp;[1]!Table1[[#This Row],[Beskrivelse]]</f>
        <v>4.a.1.3 - Brugeren ledes videre til spørgsmål 5</v>
      </c>
    </row>
    <row r="31" spans="1:6" hidden="1" x14ac:dyDescent="0.3">
      <c r="A31" s="57" t="s">
        <v>85</v>
      </c>
      <c r="B31" s="7" t="s">
        <v>86</v>
      </c>
      <c r="C31" s="7" t="s">
        <v>87</v>
      </c>
      <c r="D31" s="28" t="e">
        <f>COUNTIF('[1]FF - Test Design'!D:D,C31)</f>
        <v>#VALUE!</v>
      </c>
      <c r="E31" s="8" t="s">
        <v>88</v>
      </c>
      <c r="F31" s="57" t="str">
        <f>[1]!Table1[[#This Row],[Krav '#]]&amp;" - "&amp;[1]!Table1[[#This Row],[Beskrivelse]]</f>
        <v>5.1 - Brugeren skal kunne bekræfte, hvorvidt stamdata for inddrivelses- og modregningsfordringer i den afgrænsede population til hver tid er registreret efter samme praksis</v>
      </c>
    </row>
    <row r="32" spans="1:6" hidden="1" x14ac:dyDescent="0.3">
      <c r="A32" s="57" t="s">
        <v>85</v>
      </c>
      <c r="B32" s="7" t="s">
        <v>86</v>
      </c>
      <c r="C32" s="7" t="s">
        <v>89</v>
      </c>
      <c r="D32" s="28" t="e">
        <f>COUNTIF('[1]FF - Test Design'!D:D,C32)</f>
        <v>#VALUE!</v>
      </c>
      <c r="E32" s="8" t="s">
        <v>90</v>
      </c>
      <c r="F32" s="57" t="str">
        <f>[1]!Table1[[#This Row],[Krav '#]]&amp;" - "&amp;[1]!Table1[[#This Row],[Beskrivelse]]</f>
        <v>5.2 - Brugeren skal have mulighed for at bekræfte dette via Ja / Nej knapper</v>
      </c>
    </row>
    <row r="33" spans="1:6" hidden="1" x14ac:dyDescent="0.3">
      <c r="A33" s="57" t="s">
        <v>85</v>
      </c>
      <c r="B33" s="7" t="s">
        <v>86</v>
      </c>
      <c r="C33" s="7" t="s">
        <v>91</v>
      </c>
      <c r="D33" s="28" t="e">
        <f>COUNTIF('[1]FF - Test Design'!D:D,C33)</f>
        <v>#VALUE!</v>
      </c>
      <c r="E33" s="8" t="s">
        <v>92</v>
      </c>
      <c r="F33" s="57" t="str">
        <f>[1]!Table1[[#This Row],[Krav '#]]&amp;" - "&amp;[1]!Table1[[#This Row],[Beskrivelse]]</f>
        <v>5.3 - Såfremt brugeren vælger "Ja" skal brugeren ledes videre til spørgsmål 5.a</v>
      </c>
    </row>
    <row r="34" spans="1:6" hidden="1" x14ac:dyDescent="0.3">
      <c r="A34" s="57" t="s">
        <v>85</v>
      </c>
      <c r="B34" s="7" t="s">
        <v>86</v>
      </c>
      <c r="C34" s="7" t="s">
        <v>93</v>
      </c>
      <c r="D34" s="28" t="e">
        <f>COUNTIF('[1]FF - Test Design'!D:D,C34)</f>
        <v>#VALUE!</v>
      </c>
      <c r="E34" s="8" t="s">
        <v>620</v>
      </c>
      <c r="F34" s="57" t="str">
        <f>[1]!Table1[[#This Row],[Krav '#]]&amp;" - "&amp;[1]!Table1[[#This Row],[Beskrivelse]]</f>
        <v>5.4 - Såfremt brugeren vælger "Nej" skal spørgeskemaet ikke fortsætte.</v>
      </c>
    </row>
    <row r="35" spans="1:6" hidden="1" x14ac:dyDescent="0.3">
      <c r="A35" s="57" t="s">
        <v>621</v>
      </c>
      <c r="B35" s="7" t="s">
        <v>622</v>
      </c>
      <c r="C35" s="7" t="s">
        <v>623</v>
      </c>
      <c r="D35" s="28" t="e">
        <f>COUNTIF('[1]FF - Test Design'!D:D,C35)</f>
        <v>#VALUE!</v>
      </c>
      <c r="E35" s="361" t="s">
        <v>624</v>
      </c>
      <c r="F35" s="57" t="str">
        <f>[1]!Table1[[#This Row],[Krav '#]]&amp;" - "&amp;[1]!Table1[[#This Row],[Beskrivelse]]</f>
        <v xml:space="preserve">5.b.1 - Det skal være muligt for brugeren at vælge hvilken fordringsart der ønskes at lave en konfiguration for (inddrivelses eller modregningsfordring) </v>
      </c>
    </row>
    <row r="36" spans="1:6" hidden="1" x14ac:dyDescent="0.3">
      <c r="A36" s="57" t="s">
        <v>621</v>
      </c>
      <c r="B36" s="7" t="s">
        <v>622</v>
      </c>
      <c r="C36" s="7" t="s">
        <v>625</v>
      </c>
      <c r="D36" s="28" t="e">
        <f>COUNTIF('[1]FF - Test Design'!D:D,C36)</f>
        <v>#VALUE!</v>
      </c>
      <c r="E36" s="361" t="s">
        <v>626</v>
      </c>
      <c r="F36" s="57" t="str">
        <f>[1]!Table1[[#This Row],[Krav '#]]&amp;" - "&amp;[1]!Table1[[#This Row],[Beskrivelse]]</f>
        <v xml:space="preserve">5.b.2 - Såfremt brugeren vælger "inddrivelsesfordringer" skal brugeren ledes videre til spørgsmål 5.b.1 </v>
      </c>
    </row>
    <row r="37" spans="1:6" hidden="1" x14ac:dyDescent="0.3">
      <c r="A37" s="57" t="s">
        <v>621</v>
      </c>
      <c r="B37" s="7" t="s">
        <v>622</v>
      </c>
      <c r="C37" s="7" t="s">
        <v>627</v>
      </c>
      <c r="D37" s="28" t="e">
        <f>COUNTIF('[1]FF - Test Design'!D:D,C37)</f>
        <v>#VALUE!</v>
      </c>
      <c r="E37" s="361" t="s">
        <v>628</v>
      </c>
      <c r="F37" s="57" t="str">
        <f>[1]!Table1[[#This Row],[Krav '#]]&amp;" - "&amp;[1]!Table1[[#This Row],[Beskrivelse]]</f>
        <v xml:space="preserve">5.b.3 - Såfremt brugeren vælger "modregningsfordringer" skal brugeren ledes videre til spørgsmål 5.b.2 </v>
      </c>
    </row>
    <row r="38" spans="1:6" hidden="1" x14ac:dyDescent="0.3">
      <c r="A38" s="57" t="s">
        <v>621</v>
      </c>
      <c r="B38" s="7" t="s">
        <v>629</v>
      </c>
      <c r="C38" s="7" t="s">
        <v>630</v>
      </c>
      <c r="D38" s="28" t="e">
        <f>COUNTIF('[1]FF - Test Design'!D:D,C38)</f>
        <v>#VALUE!</v>
      </c>
      <c r="E38" s="361" t="s">
        <v>631</v>
      </c>
      <c r="F38" s="57" t="str">
        <f>[1]!Table1[[#This Row],[Krav '#]]&amp;" - "&amp;[1]!Table1[[#This Row],[Beskrivelse]]</f>
        <v>5.b.1.1 - R0006 skal aktiveres</v>
      </c>
    </row>
    <row r="39" spans="1:6" hidden="1" x14ac:dyDescent="0.3">
      <c r="A39" s="57" t="s">
        <v>621</v>
      </c>
      <c r="B39" s="7" t="s">
        <v>629</v>
      </c>
      <c r="C39" s="7" t="s">
        <v>632</v>
      </c>
      <c r="D39" s="28" t="e">
        <f>COUNTIF('[1]FF - Test Design'!D:D,C39)</f>
        <v>#VALUE!</v>
      </c>
      <c r="E39" s="361" t="s">
        <v>633</v>
      </c>
      <c r="F39" s="57" t="str">
        <f>[1]!Table1[[#This Row],[Krav '#]]&amp;" - "&amp;[1]!Table1[[#This Row],[Beskrivelse]]</f>
        <v>5.b.1.2 - R0007 skal aktiveres</v>
      </c>
    </row>
    <row r="40" spans="1:6" hidden="1" x14ac:dyDescent="0.3">
      <c r="A40" s="57" t="s">
        <v>621</v>
      </c>
      <c r="B40" s="7" t="s">
        <v>629</v>
      </c>
      <c r="C40" s="7" t="s">
        <v>634</v>
      </c>
      <c r="D40" s="28" t="e">
        <f>COUNTIF('[1]FF - Test Design'!D:D,C40)</f>
        <v>#VALUE!</v>
      </c>
      <c r="E40" s="361" t="s">
        <v>635</v>
      </c>
      <c r="F40" s="57" t="str">
        <f>[1]!Table1[[#This Row],[Krav '#]]&amp;" - "&amp;[1]!Table1[[#This Row],[Beskrivelse]]</f>
        <v>5.b.1.3 - R0008 skal deaktiveres</v>
      </c>
    </row>
    <row r="41" spans="1:6" hidden="1" x14ac:dyDescent="0.3">
      <c r="A41" s="57" t="s">
        <v>621</v>
      </c>
      <c r="B41" s="7" t="s">
        <v>629</v>
      </c>
      <c r="C41" s="7" t="s">
        <v>636</v>
      </c>
      <c r="D41" s="28" t="e">
        <f>COUNTIF('[1]FF - Test Design'!D:D,C41)</f>
        <v>#VALUE!</v>
      </c>
      <c r="E41" s="361" t="s">
        <v>637</v>
      </c>
      <c r="F41" s="57" t="str">
        <f>[1]!Table1[[#This Row],[Krav '#]]&amp;" - "&amp;[1]!Table1[[#This Row],[Beskrivelse]]</f>
        <v xml:space="preserve">5.b.1.4 - Såfremt 5.b.1 ruten tages skal spørgsmål 15 ikke stilles for denne konfiguration. </v>
      </c>
    </row>
    <row r="42" spans="1:6" hidden="1" x14ac:dyDescent="0.3">
      <c r="A42" s="57" t="s">
        <v>621</v>
      </c>
      <c r="B42" s="7" t="s">
        <v>629</v>
      </c>
      <c r="C42" s="7" t="s">
        <v>638</v>
      </c>
      <c r="D42" s="28" t="e">
        <f>COUNTIF('[1]FF - Test Design'!D:D,C42)</f>
        <v>#VALUE!</v>
      </c>
      <c r="E42" s="361" t="s">
        <v>639</v>
      </c>
      <c r="F42" s="57" t="str">
        <f>[1]!Table1[[#This Row],[Krav '#]]&amp;" - "&amp;[1]!Table1[[#This Row],[Beskrivelse]]</f>
        <v>5.b.1.5 - Brugeren skal ledes videre til spørgsmål 6</v>
      </c>
    </row>
    <row r="43" spans="1:6" hidden="1" x14ac:dyDescent="0.3">
      <c r="A43" s="57" t="s">
        <v>621</v>
      </c>
      <c r="B43" s="7" t="s">
        <v>625</v>
      </c>
      <c r="C43" s="7" t="s">
        <v>640</v>
      </c>
      <c r="D43" s="28" t="e">
        <f>COUNTIF('[1]FF - Test Design'!D:D,C43)</f>
        <v>#VALUE!</v>
      </c>
      <c r="E43" s="361" t="s">
        <v>631</v>
      </c>
      <c r="F43" s="57" t="str">
        <f>[1]!Table1[[#This Row],[Krav '#]]&amp;" - "&amp;[1]!Table1[[#This Row],[Beskrivelse]]</f>
        <v>5.b.2.1 - R0006 skal aktiveres</v>
      </c>
    </row>
    <row r="44" spans="1:6" hidden="1" x14ac:dyDescent="0.3">
      <c r="A44" s="57" t="s">
        <v>621</v>
      </c>
      <c r="B44" s="7" t="s">
        <v>625</v>
      </c>
      <c r="C44" s="7" t="s">
        <v>641</v>
      </c>
      <c r="D44" s="28" t="e">
        <f>COUNTIF('[1]FF - Test Design'!D:D,C44)</f>
        <v>#VALUE!</v>
      </c>
      <c r="E44" s="361" t="s">
        <v>642</v>
      </c>
      <c r="F44" s="57" t="str">
        <f>[1]!Table1[[#This Row],[Krav '#]]&amp;" - "&amp;[1]!Table1[[#This Row],[Beskrivelse]]</f>
        <v>5.b.2.2 - R0007 skal deaktiveres</v>
      </c>
    </row>
    <row r="45" spans="1:6" hidden="1" x14ac:dyDescent="0.3">
      <c r="A45" s="57" t="s">
        <v>621</v>
      </c>
      <c r="B45" s="7" t="s">
        <v>625</v>
      </c>
      <c r="C45" s="7" t="s">
        <v>643</v>
      </c>
      <c r="D45" s="28" t="e">
        <f>COUNTIF('[1]FF - Test Design'!D:D,C45)</f>
        <v>#VALUE!</v>
      </c>
      <c r="E45" s="361" t="s">
        <v>644</v>
      </c>
      <c r="F45" s="57" t="str">
        <f>[1]!Table1[[#This Row],[Krav '#]]&amp;" - "&amp;[1]!Table1[[#This Row],[Beskrivelse]]</f>
        <v>5.b.2.3 - R0008 skal aktiveres</v>
      </c>
    </row>
    <row r="46" spans="1:6" hidden="1" x14ac:dyDescent="0.3">
      <c r="A46" s="57" t="s">
        <v>621</v>
      </c>
      <c r="B46" s="7" t="s">
        <v>625</v>
      </c>
      <c r="C46" s="7" t="s">
        <v>645</v>
      </c>
      <c r="D46" s="28" t="e">
        <f>COUNTIF('[1]FF - Test Design'!D:D,C46)</f>
        <v>#VALUE!</v>
      </c>
      <c r="E46" s="361" t="s">
        <v>646</v>
      </c>
      <c r="F46" s="57" t="str">
        <f>[1]!Table1[[#This Row],[Krav '#]]&amp;" - "&amp;[1]!Table1[[#This Row],[Beskrivelse]]</f>
        <v xml:space="preserve">5.b.2.4 - Såfremt 5.b.2 ruten tages skal spørgsmål 14 ikke stilles for denne konfiguration. </v>
      </c>
    </row>
    <row r="47" spans="1:6" hidden="1" x14ac:dyDescent="0.3">
      <c r="A47" s="57" t="s">
        <v>621</v>
      </c>
      <c r="B47" s="7" t="s">
        <v>625</v>
      </c>
      <c r="C47" s="7" t="s">
        <v>647</v>
      </c>
      <c r="D47" s="28" t="e">
        <f>COUNTIF('[1]FF - Test Design'!D:D,C47)</f>
        <v>#VALUE!</v>
      </c>
      <c r="E47" s="361" t="s">
        <v>639</v>
      </c>
      <c r="F47" s="57" t="str">
        <f>[1]!Table1[[#This Row],[Krav '#]]&amp;" - "&amp;[1]!Table1[[#This Row],[Beskrivelse]]</f>
        <v>5.b.2.5 - Brugeren skal ledes videre til spørgsmål 6</v>
      </c>
    </row>
    <row r="48" spans="1:6" hidden="1" x14ac:dyDescent="0.3">
      <c r="A48" s="57" t="s">
        <v>648</v>
      </c>
      <c r="B48" s="7" t="s">
        <v>606</v>
      </c>
      <c r="C48" s="7" t="s">
        <v>649</v>
      </c>
      <c r="D48" s="28" t="e">
        <f>COUNTIF('[1]FF - Test Design'!D:D,C48)</f>
        <v>#VALUE!</v>
      </c>
      <c r="E48" s="361" t="s">
        <v>650</v>
      </c>
      <c r="F48" s="57" t="str">
        <f>[1]!Table1[[#This Row],[Krav '#]]&amp;" - "&amp;[1]!Table1[[#This Row],[Beskrivelse]]</f>
        <v>6.1 - Det skal være muligt for brugeren at bekræfte via Ja/Nej, hvorvidt et eller flere krav i den afgrænsede population er underlagt udenlandske forældelsesregler</v>
      </c>
    </row>
    <row r="49" spans="1:6" hidden="1" x14ac:dyDescent="0.3">
      <c r="A49" s="57" t="s">
        <v>648</v>
      </c>
      <c r="B49" s="7" t="s">
        <v>606</v>
      </c>
      <c r="C49" s="7" t="s">
        <v>651</v>
      </c>
      <c r="D49" s="28" t="e">
        <f>COUNTIF('[1]FF - Test Design'!D:D,C49)</f>
        <v>#VALUE!</v>
      </c>
      <c r="E49" s="361" t="s">
        <v>652</v>
      </c>
      <c r="F49" s="57" t="str">
        <f>[1]!Table1[[#This Row],[Krav '#]]&amp;" - "&amp;[1]!Table1[[#This Row],[Beskrivelse]]</f>
        <v>6.2 - Såfremt brugeren vælger "Ja" skal brugeres ledes til spørgsmål 6.a</v>
      </c>
    </row>
    <row r="50" spans="1:6" hidden="1" x14ac:dyDescent="0.3">
      <c r="A50" s="57" t="s">
        <v>648</v>
      </c>
      <c r="B50" s="7" t="s">
        <v>606</v>
      </c>
      <c r="C50" s="7" t="s">
        <v>283</v>
      </c>
      <c r="D50" s="28" t="e">
        <f>COUNTIF('[1]FF - Test Design'!D:D,C50)</f>
        <v>#VALUE!</v>
      </c>
      <c r="E50" s="361" t="s">
        <v>653</v>
      </c>
      <c r="F50" s="57" t="str">
        <f>[1]!Table1[[#This Row],[Krav '#]]&amp;" - "&amp;[1]!Table1[[#This Row],[Beskrivelse]]</f>
        <v>6.3 - Såfremt brugeren vælger "Nej" skal brugeres ledes til spørgsmål 7</v>
      </c>
    </row>
    <row r="51" spans="1:6" hidden="1" x14ac:dyDescent="0.3">
      <c r="A51" s="57" t="s">
        <v>648</v>
      </c>
      <c r="B51" s="7" t="s">
        <v>654</v>
      </c>
      <c r="C51" s="7" t="s">
        <v>270</v>
      </c>
      <c r="D51" s="28" t="e">
        <f>COUNTIF('[1]FF - Test Design'!D:D,C51)</f>
        <v>#VALUE!</v>
      </c>
      <c r="E51" s="361" t="s">
        <v>655</v>
      </c>
      <c r="F51" s="57" t="str">
        <f>[1]!Table1[[#This Row],[Krav '#]]&amp;" - "&amp;[1]!Table1[[#This Row],[Beskrivelse]]</f>
        <v xml:space="preserve">6.a.1 - Spørgeskemaet skal afsluttes da den valgte konfiguration ikke understøttes af spørgeskemaet. </v>
      </c>
    </row>
    <row r="52" spans="1:6" hidden="1" x14ac:dyDescent="0.3">
      <c r="A52" s="57" t="s">
        <v>648</v>
      </c>
      <c r="B52" s="7" t="s">
        <v>607</v>
      </c>
      <c r="C52" s="7" t="s">
        <v>656</v>
      </c>
      <c r="D52" s="28" t="e">
        <f>COUNTIF('[1]FF - Test Design'!D:D,C52)</f>
        <v>#VALUE!</v>
      </c>
      <c r="E52" s="361" t="s">
        <v>657</v>
      </c>
      <c r="F52" s="57" t="str">
        <f>[1]!Table1[[#This Row],[Krav '#]]&amp;" - "&amp;[1]!Table1[[#This Row],[Beskrivelse]]</f>
        <v>7.1 - Det skal være muligt for brugeren, via Ja/Nej, at svare på om der er registreret et eller flere krav id en afgrænsede population der er udtryk for rente eller lignende ydelse</v>
      </c>
    </row>
    <row r="53" spans="1:6" hidden="1" x14ac:dyDescent="0.3">
      <c r="A53" s="57" t="s">
        <v>648</v>
      </c>
      <c r="B53" s="7" t="s">
        <v>607</v>
      </c>
      <c r="C53" s="7" t="s">
        <v>278</v>
      </c>
      <c r="D53" s="28" t="e">
        <f>COUNTIF('[1]FF - Test Design'!D:D,C53)</f>
        <v>#VALUE!</v>
      </c>
      <c r="E53" s="361" t="s">
        <v>658</v>
      </c>
      <c r="F53" s="57" t="str">
        <f>[1]!Table1[[#This Row],[Krav '#]]&amp;" - "&amp;[1]!Table1[[#This Row],[Beskrivelse]]</f>
        <v>7.2 - Såfremt brugeren vælger "Ja" skal brugeres ledes til spørgsmål 7.a</v>
      </c>
    </row>
    <row r="54" spans="1:6" hidden="1" x14ac:dyDescent="0.3">
      <c r="A54" s="57" t="s">
        <v>648</v>
      </c>
      <c r="B54" s="7" t="s">
        <v>607</v>
      </c>
      <c r="C54" s="7" t="s">
        <v>285</v>
      </c>
      <c r="D54" s="28" t="e">
        <f>COUNTIF('[1]FF - Test Design'!D:D,C54)</f>
        <v>#VALUE!</v>
      </c>
      <c r="E54" s="361" t="s">
        <v>659</v>
      </c>
      <c r="F54" s="57" t="str">
        <f>[1]!Table1[[#This Row],[Krav '#]]&amp;" - "&amp;[1]!Table1[[#This Row],[Beskrivelse]]</f>
        <v>7.3 - Såfremt brugeren vælger "Nej" skal brugeres ledes til spørgsmål 8</v>
      </c>
    </row>
    <row r="55" spans="1:6" hidden="1" x14ac:dyDescent="0.3">
      <c r="A55" s="57" t="s">
        <v>648</v>
      </c>
      <c r="B55" s="7" t="s">
        <v>660</v>
      </c>
      <c r="C55" s="7" t="s">
        <v>276</v>
      </c>
      <c r="D55" s="28" t="e">
        <f>COUNTIF('[1]FF - Test Design'!D:D,C55)</f>
        <v>#VALUE!</v>
      </c>
      <c r="E55" s="361" t="s">
        <v>655</v>
      </c>
      <c r="F55" s="57" t="str">
        <f>[1]!Table1[[#This Row],[Krav '#]]&amp;" - "&amp;[1]!Table1[[#This Row],[Beskrivelse]]</f>
        <v xml:space="preserve">7.a.1 - Spørgeskemaet skal afsluttes da den valgte konfiguration ikke understøttes af spørgeskemaet. </v>
      </c>
    </row>
    <row r="56" spans="1:6" hidden="1" x14ac:dyDescent="0.3">
      <c r="A56" s="57" t="s">
        <v>648</v>
      </c>
      <c r="B56" s="7" t="s">
        <v>608</v>
      </c>
      <c r="C56" s="7" t="s">
        <v>661</v>
      </c>
      <c r="D56" s="28" t="e">
        <f>COUNTIF('[1]FF - Test Design'!D:D,C56)</f>
        <v>#VALUE!</v>
      </c>
      <c r="E56" s="361" t="s">
        <v>662</v>
      </c>
      <c r="F56" s="57" t="str">
        <f>[1]!Table1[[#This Row],[Krav '#]]&amp;" - "&amp;[1]!Table1[[#This Row],[Beskrivelse]]</f>
        <v>8.1 - Det skal være muligt for brugeren, via Ja/Nej, at svare på om der er registreret et eller flere krav i  den afgrænsede population der er udtryk for flere krav, men som er registeret som et samlet krav</v>
      </c>
    </row>
    <row r="57" spans="1:6" hidden="1" x14ac:dyDescent="0.3">
      <c r="A57" s="57" t="s">
        <v>648</v>
      </c>
      <c r="B57" s="7" t="s">
        <v>608</v>
      </c>
      <c r="C57" s="7" t="s">
        <v>280</v>
      </c>
      <c r="D57" s="28" t="e">
        <f>COUNTIF('[1]FF - Test Design'!D:D,C57)</f>
        <v>#VALUE!</v>
      </c>
      <c r="E57" s="361" t="s">
        <v>663</v>
      </c>
      <c r="F57" s="57" t="str">
        <f>[1]!Table1[[#This Row],[Krav '#]]&amp;" - "&amp;[1]!Table1[[#This Row],[Beskrivelse]]</f>
        <v>8.2 - Såfremt brugeren vælger "Ja" skal brugeres ledes til spørgsmål 8.a</v>
      </c>
    </row>
    <row r="58" spans="1:6" hidden="1" x14ac:dyDescent="0.3">
      <c r="A58" s="57" t="s">
        <v>648</v>
      </c>
      <c r="B58" s="7" t="s">
        <v>608</v>
      </c>
      <c r="C58" s="7" t="s">
        <v>286</v>
      </c>
      <c r="D58" s="28" t="e">
        <f>COUNTIF('[1]FF - Test Design'!D:D,C58)</f>
        <v>#VALUE!</v>
      </c>
      <c r="E58" s="361" t="s">
        <v>664</v>
      </c>
      <c r="F58" s="57" t="str">
        <f>[1]!Table1[[#This Row],[Krav '#]]&amp;" - "&amp;[1]!Table1[[#This Row],[Beskrivelse]]</f>
        <v>8.3 - Såfremt brugeren vælger "Nej" skal brugeres ledes til spørgsmål 9</v>
      </c>
    </row>
    <row r="59" spans="1:6" hidden="1" x14ac:dyDescent="0.3">
      <c r="A59" s="57" t="s">
        <v>648</v>
      </c>
      <c r="B59" s="7" t="s">
        <v>665</v>
      </c>
      <c r="C59" s="7" t="s">
        <v>282</v>
      </c>
      <c r="D59" s="28" t="e">
        <f>COUNTIF('[1]FF - Test Design'!D:D,C59)</f>
        <v>#VALUE!</v>
      </c>
      <c r="E59" s="361" t="s">
        <v>655</v>
      </c>
      <c r="F59" s="57" t="str">
        <f>[1]!Table1[[#This Row],[Krav '#]]&amp;" - "&amp;[1]!Table1[[#This Row],[Beskrivelse]]</f>
        <v xml:space="preserve">8.a.1 - Spørgeskemaet skal afsluttes da den valgte konfiguration ikke understøttes af spørgeskemaet. </v>
      </c>
    </row>
    <row r="60" spans="1:6" hidden="1" x14ac:dyDescent="0.3">
      <c r="A60" s="57" t="s">
        <v>666</v>
      </c>
      <c r="B60" s="7" t="s">
        <v>609</v>
      </c>
      <c r="C60" s="7" t="s">
        <v>667</v>
      </c>
      <c r="D60" s="28" t="e">
        <f>COUNTIF('[1]FF - Test Design'!D:D,C60)</f>
        <v>#VALUE!</v>
      </c>
      <c r="E60" s="361" t="s">
        <v>668</v>
      </c>
      <c r="F60" s="57" t="str">
        <f>[1]!Table1[[#This Row],[Krav '#]]&amp;" - "&amp;[1]!Table1[[#This Row],[Beskrivelse]]</f>
        <v>9.1 - Det skal være muligt for brugeren, via checkbokse, at svare på om der altid, i visse tilfælde eller aldrig er indsendt en FOKO for de fordringer, der er afsendt af den afgrænsede population</v>
      </c>
    </row>
    <row r="61" spans="1:6" hidden="1" x14ac:dyDescent="0.3">
      <c r="A61" s="57" t="s">
        <v>666</v>
      </c>
      <c r="B61" s="7" t="s">
        <v>609</v>
      </c>
      <c r="C61" s="7" t="s">
        <v>296</v>
      </c>
      <c r="D61" s="28" t="e">
        <f>COUNTIF('[1]FF - Test Design'!D:D,C61)</f>
        <v>#VALUE!</v>
      </c>
      <c r="E61" s="361" t="s">
        <v>669</v>
      </c>
      <c r="F61" s="57" t="str">
        <f>[1]!Table1[[#This Row],[Krav '#]]&amp;" - "&amp;[1]!Table1[[#This Row],[Beskrivelse]]</f>
        <v>9.2 - Såfremt brugeren vælger "Altid" skal brugeren ledes til spørgsmål 9.a</v>
      </c>
    </row>
    <row r="62" spans="1:6" hidden="1" x14ac:dyDescent="0.3">
      <c r="A62" s="57" t="s">
        <v>666</v>
      </c>
      <c r="B62" s="7" t="s">
        <v>609</v>
      </c>
      <c r="C62" s="7" t="s">
        <v>299</v>
      </c>
      <c r="D62" s="28" t="e">
        <f>COUNTIF('[1]FF - Test Design'!D:D,C62)</f>
        <v>#VALUE!</v>
      </c>
      <c r="E62" s="361" t="s">
        <v>670</v>
      </c>
      <c r="F62" s="57" t="str">
        <f>[1]!Table1[[#This Row],[Krav '#]]&amp;" - "&amp;[1]!Table1[[#This Row],[Beskrivelse]]</f>
        <v>9.3 - Såfremt brugeren vælger "I visse tilfælde" skal brugeren ledes til spørgsmål 9.b</v>
      </c>
    </row>
    <row r="63" spans="1:6" hidden="1" x14ac:dyDescent="0.3">
      <c r="A63" s="57" t="s">
        <v>666</v>
      </c>
      <c r="B63" s="7" t="s">
        <v>609</v>
      </c>
      <c r="C63" s="7" t="s">
        <v>302</v>
      </c>
      <c r="D63" s="28" t="e">
        <f>COUNTIF('[1]FF - Test Design'!D:D,C63)</f>
        <v>#VALUE!</v>
      </c>
      <c r="E63" s="361" t="s">
        <v>671</v>
      </c>
      <c r="F63" s="57" t="str">
        <f>[1]!Table1[[#This Row],[Krav '#]]&amp;" - "&amp;[1]!Table1[[#This Row],[Beskrivelse]]</f>
        <v>9.4 - Såfremt brugeren vælger "Aldrig" skal brugeren ledes til spørgsmål 9.c</v>
      </c>
    </row>
    <row r="64" spans="1:6" hidden="1" x14ac:dyDescent="0.3">
      <c r="A64" s="57" t="s">
        <v>666</v>
      </c>
      <c r="B64" s="7" t="s">
        <v>672</v>
      </c>
      <c r="C64" s="7" t="s">
        <v>306</v>
      </c>
      <c r="D64" s="28" t="e">
        <f>COUNTIF('[1]FF - Test Design'!D:D,C64)</f>
        <v>#VALUE!</v>
      </c>
      <c r="E64" s="361" t="s">
        <v>673</v>
      </c>
      <c r="F64" s="57" t="str">
        <f>[1]!Table1[[#This Row],[Krav '#]]&amp;" - "&amp;[1]!Table1[[#This Row],[Beskrivelse]]</f>
        <v xml:space="preserve">9.c.1 - Der angives et ”NEJ” i populationen under ”Stoler RIM på fordringshavers forældelsesdato” </v>
      </c>
    </row>
    <row r="65" spans="1:6" hidden="1" x14ac:dyDescent="0.3">
      <c r="A65" s="57" t="s">
        <v>666</v>
      </c>
      <c r="B65" s="7" t="s">
        <v>672</v>
      </c>
      <c r="C65" s="7" t="s">
        <v>309</v>
      </c>
      <c r="D65" s="28" t="e">
        <f>COUNTIF('[1]FF - Test Design'!D:D,C65)</f>
        <v>#VALUE!</v>
      </c>
      <c r="E65" s="361" t="s">
        <v>674</v>
      </c>
      <c r="F65" s="57" t="str">
        <f>[1]!Table1[[#This Row],[Krav '#]]&amp;" - "&amp;[1]!Table1[[#This Row],[Beskrivelse]]</f>
        <v>9.c.2 - Regel R0042 skal aktiveres</v>
      </c>
    </row>
    <row r="66" spans="1:6" hidden="1" x14ac:dyDescent="0.3">
      <c r="A66" s="57" t="s">
        <v>666</v>
      </c>
      <c r="B66" s="7" t="s">
        <v>672</v>
      </c>
      <c r="C66" s="7" t="s">
        <v>312</v>
      </c>
      <c r="D66" s="28" t="e">
        <f>COUNTIF('[1]FF - Test Design'!D:D,C66)</f>
        <v>#VALUE!</v>
      </c>
      <c r="E66" s="361" t="s">
        <v>675</v>
      </c>
      <c r="F66" s="57" t="str">
        <f>[1]!Table1[[#This Row],[Krav '#]]&amp;" - "&amp;[1]!Table1[[#This Row],[Beskrivelse]]</f>
        <v>9.c.3 - Regel R0042's Varighed X skal sættes til blank</v>
      </c>
    </row>
    <row r="67" spans="1:6" hidden="1" x14ac:dyDescent="0.3">
      <c r="A67" s="57" t="s">
        <v>666</v>
      </c>
      <c r="B67" s="7" t="s">
        <v>672</v>
      </c>
      <c r="C67" s="7" t="s">
        <v>316</v>
      </c>
      <c r="D67" s="28" t="e">
        <f>COUNTIF('[1]FF - Test Design'!D:D,C67)</f>
        <v>#VALUE!</v>
      </c>
      <c r="E67" s="361" t="s">
        <v>676</v>
      </c>
      <c r="F67" s="57" t="str">
        <f>[1]!Table1[[#This Row],[Krav '#]]&amp;" - "&amp;[1]!Table1[[#This Row],[Beskrivelse]]</f>
        <v>9.c.4 - Regel R0043 skal aktiveres</v>
      </c>
    </row>
    <row r="68" spans="1:6" hidden="1" x14ac:dyDescent="0.3">
      <c r="A68" s="57" t="s">
        <v>666</v>
      </c>
      <c r="B68" s="7" t="s">
        <v>672</v>
      </c>
      <c r="C68" s="7" t="s">
        <v>318</v>
      </c>
      <c r="D68" s="28" t="e">
        <f>COUNTIF('[1]FF - Test Design'!D:D,C68)</f>
        <v>#VALUE!</v>
      </c>
      <c r="E68" s="361" t="s">
        <v>677</v>
      </c>
      <c r="F68" s="57" t="str">
        <f>[1]!Table1[[#This Row],[Krav '#]]&amp;" - "&amp;[1]!Table1[[#This Row],[Beskrivelse]]</f>
        <v>9.c.5 - Regel R0043's Varighed X skal sættes til blank</v>
      </c>
    </row>
    <row r="69" spans="1:6" hidden="1" x14ac:dyDescent="0.3">
      <c r="A69" s="57" t="s">
        <v>666</v>
      </c>
      <c r="B69" s="7" t="s">
        <v>672</v>
      </c>
      <c r="C69" s="7" t="s">
        <v>319</v>
      </c>
      <c r="D69" s="28" t="e">
        <f>COUNTIF('[1]FF - Test Design'!D:D,C69)</f>
        <v>#VALUE!</v>
      </c>
      <c r="E69" s="361" t="s">
        <v>678</v>
      </c>
      <c r="F69" s="57" t="str">
        <f>[1]!Table1[[#This Row],[Krav '#]]&amp;" - "&amp;[1]!Table1[[#This Row],[Beskrivelse]]</f>
        <v>9.c.6 - Regel R0044 skal aktiveres</v>
      </c>
    </row>
    <row r="70" spans="1:6" hidden="1" x14ac:dyDescent="0.3">
      <c r="A70" s="57" t="s">
        <v>666</v>
      </c>
      <c r="B70" s="7" t="s">
        <v>672</v>
      </c>
      <c r="C70" s="7" t="s">
        <v>321</v>
      </c>
      <c r="D70" s="28" t="e">
        <f>COUNTIF('[1]FF - Test Design'!D:D,C70)</f>
        <v>#VALUE!</v>
      </c>
      <c r="E70" s="361" t="s">
        <v>679</v>
      </c>
      <c r="F70" s="57" t="str">
        <f>[1]!Table1[[#This Row],[Krav '#]]&amp;" - "&amp;[1]!Table1[[#This Row],[Beskrivelse]]</f>
        <v>9.c.7 - Regel R0044's Varighed X skal sættes til blank</v>
      </c>
    </row>
    <row r="71" spans="1:6" hidden="1" x14ac:dyDescent="0.3">
      <c r="A71" s="57" t="s">
        <v>666</v>
      </c>
      <c r="B71" s="7" t="s">
        <v>672</v>
      </c>
      <c r="C71" s="7" t="s">
        <v>322</v>
      </c>
      <c r="D71" s="28" t="e">
        <f>COUNTIF('[1]FF - Test Design'!D:D,C71)</f>
        <v>#VALUE!</v>
      </c>
      <c r="E71" s="361" t="s">
        <v>680</v>
      </c>
      <c r="F71" s="57" t="str">
        <f>[1]!Table1[[#This Row],[Krav '#]]&amp;" - "&amp;[1]!Table1[[#This Row],[Beskrivelse]]</f>
        <v>9.c.8 - Regel R0045 skal aktiveres</v>
      </c>
    </row>
    <row r="72" spans="1:6" hidden="1" x14ac:dyDescent="0.3">
      <c r="A72" s="57" t="s">
        <v>666</v>
      </c>
      <c r="B72" s="7" t="s">
        <v>672</v>
      </c>
      <c r="C72" s="7" t="s">
        <v>324</v>
      </c>
      <c r="D72" s="28" t="e">
        <f>COUNTIF('[1]FF - Test Design'!D:D,C72)</f>
        <v>#VALUE!</v>
      </c>
      <c r="E72" s="361" t="s">
        <v>681</v>
      </c>
      <c r="F72" s="57" t="str">
        <f>[1]!Table1[[#This Row],[Krav '#]]&amp;" - "&amp;[1]!Table1[[#This Row],[Beskrivelse]]</f>
        <v>9.c.9 - Regel R0045's Varighed X skal sættes til blank</v>
      </c>
    </row>
    <row r="73" spans="1:6" hidden="1" x14ac:dyDescent="0.3">
      <c r="A73" s="57" t="s">
        <v>666</v>
      </c>
      <c r="B73" s="7" t="s">
        <v>672</v>
      </c>
      <c r="C73" s="7" t="s">
        <v>325</v>
      </c>
      <c r="D73" s="28" t="e">
        <f>COUNTIF('[1]FF - Test Design'!D:D,C73)</f>
        <v>#VALUE!</v>
      </c>
      <c r="E73" s="361" t="s">
        <v>682</v>
      </c>
      <c r="F73" s="57" t="str">
        <f>[1]!Table1[[#This Row],[Krav '#]]&amp;" - "&amp;[1]!Table1[[#This Row],[Beskrivelse]]</f>
        <v>9.c.10 - Regel R0046 skal aktiveres</v>
      </c>
    </row>
    <row r="74" spans="1:6" hidden="1" x14ac:dyDescent="0.3">
      <c r="A74" s="57" t="s">
        <v>666</v>
      </c>
      <c r="B74" s="7" t="s">
        <v>672</v>
      </c>
      <c r="C74" s="7" t="s">
        <v>327</v>
      </c>
      <c r="D74" s="28" t="e">
        <f>COUNTIF('[1]FF - Test Design'!D:D,C74)</f>
        <v>#VALUE!</v>
      </c>
      <c r="E74" s="361" t="s">
        <v>683</v>
      </c>
      <c r="F74" s="57" t="str">
        <f>[1]!Table1[[#This Row],[Krav '#]]&amp;" - "&amp;[1]!Table1[[#This Row],[Beskrivelse]]</f>
        <v>9.c.11 - Regel R0046's Varighed X skal sættes til blank</v>
      </c>
    </row>
    <row r="75" spans="1:6" hidden="1" x14ac:dyDescent="0.3">
      <c r="A75" s="57" t="s">
        <v>684</v>
      </c>
      <c r="B75" s="7" t="s">
        <v>685</v>
      </c>
      <c r="C75" s="7" t="s">
        <v>686</v>
      </c>
      <c r="D75" s="28" t="e">
        <f>COUNTIF('[1]FF - Test Design'!D:D,C75)</f>
        <v>#VALUE!</v>
      </c>
      <c r="E75" s="361" t="s">
        <v>662</v>
      </c>
      <c r="F75" s="57" t="str">
        <f>[1]!Table1[[#This Row],[Krav '#]]&amp;" - "&amp;[1]!Table1[[#This Row],[Beskrivelse]]</f>
        <v>9.a.1 - Det skal være muligt for brugeren, via Ja/Nej, at svare på om der er registreret et eller flere krav i  den afgrænsede population der er udtryk for flere krav, men som er registeret som et samlet krav</v>
      </c>
    </row>
    <row r="76" spans="1:6" hidden="1" x14ac:dyDescent="0.3">
      <c r="A76" s="57" t="s">
        <v>684</v>
      </c>
      <c r="B76" s="7" t="s">
        <v>685</v>
      </c>
      <c r="C76" s="7" t="s">
        <v>336</v>
      </c>
      <c r="D76" s="28" t="e">
        <f>COUNTIF('[1]FF - Test Design'!D:D,C76)</f>
        <v>#VALUE!</v>
      </c>
      <c r="E76" s="361" t="s">
        <v>687</v>
      </c>
      <c r="F76" s="57" t="str">
        <f>[1]!Table1[[#This Row],[Krav '#]]&amp;" - "&amp;[1]!Table1[[#This Row],[Beskrivelse]]</f>
        <v>9.a.2 - Såfremt brugeren vælger "Ja" skal brugeres ledes til spørgsmål 9.a.1</v>
      </c>
    </row>
    <row r="77" spans="1:6" hidden="1" x14ac:dyDescent="0.3">
      <c r="A77" s="57" t="s">
        <v>684</v>
      </c>
      <c r="B77" s="7" t="s">
        <v>685</v>
      </c>
      <c r="C77" s="7" t="s">
        <v>338</v>
      </c>
      <c r="D77" s="28" t="e">
        <f>COUNTIF('[1]FF - Test Design'!D:D,C77)</f>
        <v>#VALUE!</v>
      </c>
      <c r="E77" s="361" t="s">
        <v>688</v>
      </c>
      <c r="F77" s="57" t="str">
        <f>[1]!Table1[[#This Row],[Krav '#]]&amp;" - "&amp;[1]!Table1[[#This Row],[Beskrivelse]]</f>
        <v>9.a.3 - Såfremt brugeren vælger "Nej" skal brugeres ledes til spørgsmål 9.a.2</v>
      </c>
    </row>
    <row r="78" spans="1:6" hidden="1" x14ac:dyDescent="0.3">
      <c r="A78" s="57" t="s">
        <v>689</v>
      </c>
      <c r="B78" s="7" t="s">
        <v>686</v>
      </c>
      <c r="C78" s="7" t="s">
        <v>341</v>
      </c>
      <c r="D78" s="28" t="e">
        <f>COUNTIF('[1]FF - Test Design'!D:D,C78)</f>
        <v>#VALUE!</v>
      </c>
      <c r="E78" s="361" t="s">
        <v>690</v>
      </c>
      <c r="F78" s="57" t="str">
        <f>[1]!Table1[[#This Row],[Krav '#]]&amp;" - "&amp;[1]!Table1[[#This Row],[Beskrivelse]]</f>
        <v>9.a.1.1 - Gruppe 1 deaktiveres</v>
      </c>
    </row>
    <row r="79" spans="1:6" hidden="1" x14ac:dyDescent="0.3">
      <c r="A79" s="57" t="s">
        <v>689</v>
      </c>
      <c r="B79" s="7" t="s">
        <v>686</v>
      </c>
      <c r="C79" s="7" t="s">
        <v>343</v>
      </c>
      <c r="D79" s="28" t="e">
        <f>COUNTIF('[1]FF - Test Design'!D:D,C79)</f>
        <v>#VALUE!</v>
      </c>
      <c r="E79" s="361" t="s">
        <v>691</v>
      </c>
      <c r="F79" s="57" t="str">
        <f>[1]!Table1[[#This Row],[Krav '#]]&amp;" - "&amp;[1]!Table1[[#This Row],[Beskrivelse]]</f>
        <v>9.a.1.2 - Gruppe 2 aktiveres</v>
      </c>
    </row>
    <row r="80" spans="1:6" hidden="1" x14ac:dyDescent="0.3">
      <c r="A80" s="57" t="s">
        <v>689</v>
      </c>
      <c r="B80" s="7" t="s">
        <v>686</v>
      </c>
      <c r="C80" s="7" t="s">
        <v>344</v>
      </c>
      <c r="D80" s="28" t="e">
        <f>COUNTIF('[1]FF - Test Design'!D:D,C80)</f>
        <v>#VALUE!</v>
      </c>
      <c r="E80" s="361" t="s">
        <v>692</v>
      </c>
      <c r="F80" s="57" t="str">
        <f>[1]!Table1[[#This Row],[Krav '#]]&amp;" - "&amp;[1]!Table1[[#This Row],[Beskrivelse]]</f>
        <v>9.a.1.3 - Der angives et ”JA” i populationen under ”Stoler RIM på fordringshaveres forældel-sesdato?”</v>
      </c>
    </row>
    <row r="81" spans="1:6" hidden="1" x14ac:dyDescent="0.3">
      <c r="A81" s="57" t="s">
        <v>689</v>
      </c>
      <c r="B81" s="7" t="s">
        <v>686</v>
      </c>
      <c r="C81" s="7" t="s">
        <v>346</v>
      </c>
      <c r="D81" s="28" t="e">
        <f>COUNTIF('[1]FF - Test Design'!D:D,C81)</f>
        <v>#VALUE!</v>
      </c>
      <c r="E81" s="361" t="s">
        <v>693</v>
      </c>
      <c r="F81" s="57" t="str">
        <f>[1]!Table1[[#This Row],[Krav '#]]&amp;" - "&amp;[1]!Table1[[#This Row],[Beskrivelse]]</f>
        <v>9.a.1.4 - Der angives et ”NEJ” i populationen under ”Vil RIM beregne en tidligst mulig forældel-sesdato?”</v>
      </c>
    </row>
    <row r="82" spans="1:6" hidden="1" x14ac:dyDescent="0.3">
      <c r="A82" s="57" t="s">
        <v>689</v>
      </c>
      <c r="B82" s="7" t="s">
        <v>686</v>
      </c>
      <c r="C82" s="7" t="s">
        <v>694</v>
      </c>
      <c r="D82" s="28" t="e">
        <f>COUNTIF('[1]FF - Test Design'!D:D,C82)</f>
        <v>#VALUE!</v>
      </c>
      <c r="E82" s="361" t="s">
        <v>695</v>
      </c>
      <c r="F82" s="57" t="str">
        <f>[1]!Table1[[#This Row],[Krav '#]]&amp;" - "&amp;[1]!Table1[[#This Row],[Beskrivelse]]</f>
        <v>9.a.1.5 - Videre til spørgsmål vedrørende frasortering (Spørgsmål 11)</v>
      </c>
    </row>
    <row r="83" spans="1:6" hidden="1" x14ac:dyDescent="0.3">
      <c r="A83" s="57" t="s">
        <v>696</v>
      </c>
      <c r="B83" s="7" t="s">
        <v>336</v>
      </c>
      <c r="C83" s="7" t="s">
        <v>697</v>
      </c>
      <c r="D83" s="28" t="e">
        <f>COUNTIF('[1]FF - Test Design'!D:D,C83)</f>
        <v>#VALUE!</v>
      </c>
      <c r="E83" s="361" t="s">
        <v>698</v>
      </c>
      <c r="F83" s="57" t="str">
        <f>[1]!Table1[[#This Row],[Krav '#]]&amp;" - "&amp;[1]!Table1[[#This Row],[Beskrivelse]]</f>
        <v xml:space="preserve">9.a.2.1 - Det skal være muligt for brugeren, via Ja/Nej, at svare på om fordringshavers forældelsesdato til en hver tid er registreret tidligere end den faktisk forældelsesdato? </v>
      </c>
    </row>
    <row r="84" spans="1:6" hidden="1" x14ac:dyDescent="0.3">
      <c r="A84" s="57" t="s">
        <v>696</v>
      </c>
      <c r="B84" s="7" t="s">
        <v>336</v>
      </c>
      <c r="C84" s="7" t="s">
        <v>354</v>
      </c>
      <c r="D84" s="28" t="e">
        <f>COUNTIF('[1]FF - Test Design'!D:D,C84)</f>
        <v>#VALUE!</v>
      </c>
      <c r="E84" s="361" t="s">
        <v>699</v>
      </c>
      <c r="F84" s="57" t="str">
        <f>[1]!Table1[[#This Row],[Krav '#]]&amp;" - "&amp;[1]!Table1[[#This Row],[Beskrivelse]]</f>
        <v>9.a.2.2 - Såfremt brugeren vælger "Ja" skal brugeres ledes til spørgsmål 9.a.2.1</v>
      </c>
    </row>
    <row r="85" spans="1:6" hidden="1" x14ac:dyDescent="0.3">
      <c r="A85" s="57" t="s">
        <v>696</v>
      </c>
      <c r="B85" s="7" t="s">
        <v>336</v>
      </c>
      <c r="C85" s="7" t="s">
        <v>355</v>
      </c>
      <c r="D85" s="28" t="e">
        <f>COUNTIF('[1]FF - Test Design'!D:D,C85)</f>
        <v>#VALUE!</v>
      </c>
      <c r="E85" s="361" t="s">
        <v>700</v>
      </c>
      <c r="F85" s="57" t="str">
        <f>[1]!Table1[[#This Row],[Krav '#]]&amp;" - "&amp;[1]!Table1[[#This Row],[Beskrivelse]]</f>
        <v>9.a.2.3 - Såfremt brugeren vælger "Nej" skal brugeres ledes til spørgsmål 9.a.2.2</v>
      </c>
    </row>
    <row r="86" spans="1:6" hidden="1" x14ac:dyDescent="0.3">
      <c r="A86" s="57" t="s">
        <v>696</v>
      </c>
      <c r="B86" s="7" t="s">
        <v>697</v>
      </c>
      <c r="C86" s="7" t="s">
        <v>357</v>
      </c>
      <c r="D86" s="28" t="e">
        <f>COUNTIF('[1]FF - Test Design'!D:D,C86)</f>
        <v>#VALUE!</v>
      </c>
      <c r="E86" s="361" t="s">
        <v>690</v>
      </c>
      <c r="F86" s="57" t="str">
        <f>[1]!Table1[[#This Row],[Krav '#]]&amp;" - "&amp;[1]!Table1[[#This Row],[Beskrivelse]]</f>
        <v>9.a.2.1.1 - Gruppe 1 deaktiveres</v>
      </c>
    </row>
    <row r="87" spans="1:6" hidden="1" x14ac:dyDescent="0.3">
      <c r="A87" s="57" t="s">
        <v>696</v>
      </c>
      <c r="B87" s="7" t="s">
        <v>697</v>
      </c>
      <c r="C87" s="7" t="s">
        <v>358</v>
      </c>
      <c r="D87" s="28" t="e">
        <f>COUNTIF('[1]FF - Test Design'!D:D,C87)</f>
        <v>#VALUE!</v>
      </c>
      <c r="E87" s="361" t="s">
        <v>691</v>
      </c>
      <c r="F87" s="57" t="str">
        <f>[1]!Table1[[#This Row],[Krav '#]]&amp;" - "&amp;[1]!Table1[[#This Row],[Beskrivelse]]</f>
        <v>9.a.2.1.2 - Gruppe 2 aktiveres</v>
      </c>
    </row>
    <row r="88" spans="1:6" hidden="1" x14ac:dyDescent="0.3">
      <c r="A88" s="57" t="s">
        <v>696</v>
      </c>
      <c r="B88" s="7" t="s">
        <v>697</v>
      </c>
      <c r="C88" s="7" t="s">
        <v>359</v>
      </c>
      <c r="D88" s="28" t="e">
        <f>COUNTIF('[1]FF - Test Design'!D:D,C88)</f>
        <v>#VALUE!</v>
      </c>
      <c r="E88" s="361" t="s">
        <v>701</v>
      </c>
      <c r="F88" s="57" t="str">
        <f>[1]!Table1[[#This Row],[Krav '#]]&amp;" - "&amp;[1]!Table1[[#This Row],[Beskrivelse]]</f>
        <v>9.a.2.1.3 - Der angives et ”JA” i populationen under ”Stoler RIM på fordringshaveres forældelsesdato?”</v>
      </c>
    </row>
    <row r="89" spans="1:6" hidden="1" x14ac:dyDescent="0.3">
      <c r="A89" s="57" t="s">
        <v>696</v>
      </c>
      <c r="B89" s="7" t="s">
        <v>697</v>
      </c>
      <c r="C89" s="7" t="s">
        <v>360</v>
      </c>
      <c r="D89" s="28" t="e">
        <f>COUNTIF('[1]FF - Test Design'!D:D,C89)</f>
        <v>#VALUE!</v>
      </c>
      <c r="E89" s="361" t="s">
        <v>693</v>
      </c>
      <c r="F89" s="57" t="str">
        <f>[1]!Table1[[#This Row],[Krav '#]]&amp;" - "&amp;[1]!Table1[[#This Row],[Beskrivelse]]</f>
        <v>9.a.2.1.4 - Der angives et ”NEJ” i populationen under ”Vil RIM beregne en tidligst mulig forældel-sesdato?”</v>
      </c>
    </row>
    <row r="90" spans="1:6" hidden="1" x14ac:dyDescent="0.3">
      <c r="A90" s="57" t="s">
        <v>702</v>
      </c>
      <c r="B90" s="7" t="s">
        <v>354</v>
      </c>
      <c r="C90" s="7" t="s">
        <v>703</v>
      </c>
      <c r="D90" s="28" t="e">
        <f>COUNTIF('[1]FF - Test Design'!D:D,C90)</f>
        <v>#VALUE!</v>
      </c>
      <c r="E90" s="361" t="s">
        <v>704</v>
      </c>
      <c r="F90" s="57" t="str">
        <f>[1]!Table1[[#This Row],[Krav '#]]&amp;" - "&amp;[1]!Table1[[#This Row],[Beskrivelse]]</f>
        <v>9.a.2.2.1 - Det skal være muligt for brugeren, via et tekstfelt med "Hvis antal dage kan angives" og mulighed for at svare "Ved ikke", på hvor mange dage efter den faktiske forældelsesdato foko senest vil være registreret?</v>
      </c>
    </row>
    <row r="91" spans="1:6" hidden="1" x14ac:dyDescent="0.3">
      <c r="A91" s="57" t="s">
        <v>702</v>
      </c>
      <c r="B91" s="7" t="s">
        <v>354</v>
      </c>
      <c r="C91" s="7" t="s">
        <v>372</v>
      </c>
      <c r="D91" s="28" t="e">
        <f>COUNTIF('[1]FF - Test Design'!D:D,C91)</f>
        <v>#VALUE!</v>
      </c>
      <c r="E91" s="361" t="s">
        <v>705</v>
      </c>
      <c r="F91" s="57" t="str">
        <f>[1]!Table1[[#This Row],[Krav '#]]&amp;" - "&amp;[1]!Table1[[#This Row],[Beskrivelse]]</f>
        <v>9.a.2.2.2 - Såfremt brugeren vælger "Hvis antal dage kan angives" skal brugeres ledes til spørgsmål 9.a.2.2.1</v>
      </c>
    </row>
    <row r="92" spans="1:6" hidden="1" x14ac:dyDescent="0.3">
      <c r="A92" s="57" t="s">
        <v>702</v>
      </c>
      <c r="B92" s="7" t="s">
        <v>354</v>
      </c>
      <c r="C92" s="7" t="s">
        <v>373</v>
      </c>
      <c r="D92" s="28" t="e">
        <f>COUNTIF('[1]FF - Test Design'!D:D,C92)</f>
        <v>#VALUE!</v>
      </c>
      <c r="E92" s="361" t="s">
        <v>706</v>
      </c>
      <c r="F92" s="57" t="str">
        <f>[1]!Table1[[#This Row],[Krav '#]]&amp;" - "&amp;[1]!Table1[[#This Row],[Beskrivelse]]</f>
        <v>9.a.2.2.3 - Såfremt brugeren vælger "Ved ikke" skal brugeres ledes til spørgsmål 9.a.2.2.2</v>
      </c>
    </row>
    <row r="93" spans="1:6" hidden="1" x14ac:dyDescent="0.3">
      <c r="A93" s="57" t="s">
        <v>702</v>
      </c>
      <c r="B93" s="7" t="s">
        <v>703</v>
      </c>
      <c r="C93" s="7" t="s">
        <v>374</v>
      </c>
      <c r="D93" s="28" t="e">
        <f>COUNTIF('[1]FF - Test Design'!D:D,C93)</f>
        <v>#VALUE!</v>
      </c>
      <c r="E93" s="361" t="s">
        <v>690</v>
      </c>
      <c r="F93" s="57" t="str">
        <f>[1]!Table1[[#This Row],[Krav '#]]&amp;" - "&amp;[1]!Table1[[#This Row],[Beskrivelse]]</f>
        <v>9.a.2.2.1.1 - Gruppe 1 deaktiveres</v>
      </c>
    </row>
    <row r="94" spans="1:6" hidden="1" x14ac:dyDescent="0.3">
      <c r="A94" s="57" t="s">
        <v>702</v>
      </c>
      <c r="B94" s="7" t="s">
        <v>703</v>
      </c>
      <c r="C94" s="7" t="s">
        <v>377</v>
      </c>
      <c r="D94" s="28" t="e">
        <f>COUNTIF('[1]FF - Test Design'!D:D,C94)</f>
        <v>#VALUE!</v>
      </c>
      <c r="E94" s="361" t="s">
        <v>707</v>
      </c>
      <c r="F94" s="57" t="str">
        <f>[1]!Table1[[#This Row],[Krav '#]]&amp;" - "&amp;[1]!Table1[[#This Row],[Beskrivelse]]</f>
        <v>9.a.2.2.1.2 - Antallet af dage indsættes i [Varighed_X] i R0042</v>
      </c>
    </row>
    <row r="95" spans="1:6" hidden="1" x14ac:dyDescent="0.3">
      <c r="A95" s="57" t="s">
        <v>702</v>
      </c>
      <c r="B95" s="7" t="s">
        <v>703</v>
      </c>
      <c r="C95" s="7" t="s">
        <v>379</v>
      </c>
      <c r="D95" s="28" t="e">
        <f>COUNTIF('[1]FF - Test Design'!D:D,C95)</f>
        <v>#VALUE!</v>
      </c>
      <c r="E95" s="361" t="s">
        <v>708</v>
      </c>
      <c r="F95" s="57" t="str">
        <f>[1]!Table1[[#This Row],[Krav '#]]&amp;" - "&amp;[1]!Table1[[#This Row],[Beskrivelse]]</f>
        <v>9.a.2.2.1.3 - Antallet af dage indsættes i [Varighed_X] i R0043</v>
      </c>
    </row>
    <row r="96" spans="1:6" hidden="1" x14ac:dyDescent="0.3">
      <c r="A96" s="57" t="s">
        <v>702</v>
      </c>
      <c r="B96" s="7" t="s">
        <v>703</v>
      </c>
      <c r="C96" s="7" t="s">
        <v>381</v>
      </c>
      <c r="D96" s="28" t="e">
        <f>COUNTIF('[1]FF - Test Design'!D:D,C96)</f>
        <v>#VALUE!</v>
      </c>
      <c r="E96" s="361" t="s">
        <v>709</v>
      </c>
      <c r="F96" s="57" t="str">
        <f>[1]!Table1[[#This Row],[Krav '#]]&amp;" - "&amp;[1]!Table1[[#This Row],[Beskrivelse]]</f>
        <v>9.a.2.2.1.4 - Antallet af dage indsættes i [Varighed_X] i R0044</v>
      </c>
    </row>
    <row r="97" spans="1:6" hidden="1" x14ac:dyDescent="0.3">
      <c r="A97" s="57" t="s">
        <v>702</v>
      </c>
      <c r="B97" s="7" t="s">
        <v>703</v>
      </c>
      <c r="C97" s="7" t="s">
        <v>383</v>
      </c>
      <c r="D97" s="28" t="e">
        <f>COUNTIF('[1]FF - Test Design'!D:D,C97)</f>
        <v>#VALUE!</v>
      </c>
      <c r="E97" s="361" t="s">
        <v>710</v>
      </c>
      <c r="F97" s="57" t="str">
        <f>[1]!Table1[[#This Row],[Krav '#]]&amp;" - "&amp;[1]!Table1[[#This Row],[Beskrivelse]]</f>
        <v>9.a.2.2.1.5 - Antallet af dage indsættes i [Varighed_X] i R0045</v>
      </c>
    </row>
    <row r="98" spans="1:6" hidden="1" x14ac:dyDescent="0.3">
      <c r="A98" s="57" t="s">
        <v>702</v>
      </c>
      <c r="B98" s="7" t="s">
        <v>703</v>
      </c>
      <c r="C98" s="7" t="s">
        <v>385</v>
      </c>
      <c r="D98" s="28" t="e">
        <f>COUNTIF('[1]FF - Test Design'!D:D,C98)</f>
        <v>#VALUE!</v>
      </c>
      <c r="E98" s="361" t="s">
        <v>711</v>
      </c>
      <c r="F98" s="57" t="str">
        <f>[1]!Table1[[#This Row],[Krav '#]]&amp;" - "&amp;[1]!Table1[[#This Row],[Beskrivelse]]</f>
        <v>9.a.2.2.1.6 - Antallet af dage indsættes i [Varighed_X] i R0046</v>
      </c>
    </row>
    <row r="99" spans="1:6" hidden="1" x14ac:dyDescent="0.3">
      <c r="A99" s="57" t="s">
        <v>702</v>
      </c>
      <c r="B99" s="7" t="s">
        <v>703</v>
      </c>
      <c r="C99" s="7" t="s">
        <v>387</v>
      </c>
      <c r="D99" s="28" t="e">
        <f>COUNTIF('[1]FF - Test Design'!D:D,C99)</f>
        <v>#VALUE!</v>
      </c>
      <c r="E99" s="361" t="s">
        <v>691</v>
      </c>
      <c r="F99" s="57" t="str">
        <f>[1]!Table1[[#This Row],[Krav '#]]&amp;" - "&amp;[1]!Table1[[#This Row],[Beskrivelse]]</f>
        <v>9.a.2.2.1.7 - Gruppe 2 aktiveres</v>
      </c>
    </row>
    <row r="100" spans="1:6" hidden="1" x14ac:dyDescent="0.3">
      <c r="A100" s="57" t="s">
        <v>702</v>
      </c>
      <c r="B100" s="7" t="s">
        <v>703</v>
      </c>
      <c r="C100" s="7" t="s">
        <v>389</v>
      </c>
      <c r="D100" s="28" t="e">
        <f>COUNTIF('[1]FF - Test Design'!D:D,C100)</f>
        <v>#VALUE!</v>
      </c>
      <c r="E100" s="361" t="s">
        <v>692</v>
      </c>
      <c r="F100" s="57" t="str">
        <f>[1]!Table1[[#This Row],[Krav '#]]&amp;" - "&amp;[1]!Table1[[#This Row],[Beskrivelse]]</f>
        <v>9.a.2.2.1.8 - Der angives et ”JA” i populationen under ”Stoler RIM på fordringshaveres forældel-sesdato?”</v>
      </c>
    </row>
    <row r="101" spans="1:6" hidden="1" x14ac:dyDescent="0.3">
      <c r="A101" s="57" t="s">
        <v>702</v>
      </c>
      <c r="B101" s="7" t="s">
        <v>703</v>
      </c>
      <c r="C101" s="7" t="s">
        <v>390</v>
      </c>
      <c r="D101" s="28" t="e">
        <f>COUNTIF('[1]FF - Test Design'!D:D,C101)</f>
        <v>#VALUE!</v>
      </c>
      <c r="E101" s="28" t="s">
        <v>712</v>
      </c>
      <c r="F101" s="57" t="str">
        <f>[1]!Table1[[#This Row],[Krav '#]]&amp;" - "&amp;[1]!Table1[[#This Row],[Beskrivelse]]</f>
        <v>9.a.2.2.1.9 - Der angives et ”NEJ” i populationen under ”Vil RIM beregne en tidligst mulig forældelsesdato?”</v>
      </c>
    </row>
    <row r="102" spans="1:6" hidden="1" x14ac:dyDescent="0.3">
      <c r="A102" s="57" t="s">
        <v>702</v>
      </c>
      <c r="B102" s="7" t="s">
        <v>372</v>
      </c>
      <c r="C102" s="7" t="s">
        <v>391</v>
      </c>
      <c r="D102" s="28" t="e">
        <f>COUNTIF('[1]FF - Test Design'!D:D,C102)</f>
        <v>#VALUE!</v>
      </c>
      <c r="E102" s="28" t="s">
        <v>713</v>
      </c>
      <c r="F102" s="57" t="str">
        <f>[1]!Table1[[#This Row],[Krav '#]]&amp;" - "&amp;[1]!Table1[[#This Row],[Beskrivelse]]</f>
        <v>9.a.2.2.2.1 - Der skal angives et ”NEJ” i ”Stoler RIM på fordringshavers forældelsesdato”  i regel arket</v>
      </c>
    </row>
    <row r="103" spans="1:6" hidden="1" x14ac:dyDescent="0.3">
      <c r="A103" s="57" t="s">
        <v>702</v>
      </c>
      <c r="B103" s="7" t="s">
        <v>372</v>
      </c>
      <c r="C103" s="7" t="s">
        <v>393</v>
      </c>
      <c r="D103" s="28" t="e">
        <f>COUNTIF('[1]FF - Test Design'!D:D,C103)</f>
        <v>#VALUE!</v>
      </c>
      <c r="E103" s="28" t="s">
        <v>674</v>
      </c>
      <c r="F103" s="57" t="str">
        <f>[1]!Table1[[#This Row],[Krav '#]]&amp;" - "&amp;[1]!Table1[[#This Row],[Beskrivelse]]</f>
        <v>9.a.2.2.2.2 - Regel R0042 skal aktiveres</v>
      </c>
    </row>
    <row r="104" spans="1:6" hidden="1" x14ac:dyDescent="0.3">
      <c r="A104" s="57" t="s">
        <v>702</v>
      </c>
      <c r="B104" s="7" t="s">
        <v>372</v>
      </c>
      <c r="C104" s="7" t="s">
        <v>394</v>
      </c>
      <c r="D104" s="28" t="e">
        <f>COUNTIF('[1]FF - Test Design'!D:D,C104)</f>
        <v>#VALUE!</v>
      </c>
      <c r="E104" s="28" t="s">
        <v>675</v>
      </c>
      <c r="F104" s="57" t="str">
        <f>[1]!Table1[[#This Row],[Krav '#]]&amp;" - "&amp;[1]!Table1[[#This Row],[Beskrivelse]]</f>
        <v>9.a.2.2.2.3 - Regel R0042's Varighed X skal sættes til blank</v>
      </c>
    </row>
    <row r="105" spans="1:6" hidden="1" x14ac:dyDescent="0.3">
      <c r="A105" s="57" t="s">
        <v>702</v>
      </c>
      <c r="B105" s="7" t="s">
        <v>372</v>
      </c>
      <c r="C105" s="7" t="s">
        <v>395</v>
      </c>
      <c r="D105" s="28" t="e">
        <f>COUNTIF('[1]FF - Test Design'!D:D,C105)</f>
        <v>#VALUE!</v>
      </c>
      <c r="E105" s="28" t="s">
        <v>676</v>
      </c>
      <c r="F105" s="57" t="str">
        <f>[1]!Table1[[#This Row],[Krav '#]]&amp;" - "&amp;[1]!Table1[[#This Row],[Beskrivelse]]</f>
        <v>9.a.2.2.2.4 - Regel R0043 skal aktiveres</v>
      </c>
    </row>
    <row r="106" spans="1:6" hidden="1" x14ac:dyDescent="0.3">
      <c r="A106" s="57" t="s">
        <v>702</v>
      </c>
      <c r="B106" s="7" t="s">
        <v>372</v>
      </c>
      <c r="C106" s="7" t="s">
        <v>396</v>
      </c>
      <c r="D106" s="28" t="e">
        <f>COUNTIF('[1]FF - Test Design'!D:D,C106)</f>
        <v>#VALUE!</v>
      </c>
      <c r="E106" s="28" t="s">
        <v>677</v>
      </c>
      <c r="F106" s="57" t="str">
        <f>[1]!Table1[[#This Row],[Krav '#]]&amp;" - "&amp;[1]!Table1[[#This Row],[Beskrivelse]]</f>
        <v>9.a.2.2.2.5 - Regel R0043's Varighed X skal sættes til blank</v>
      </c>
    </row>
    <row r="107" spans="1:6" hidden="1" x14ac:dyDescent="0.3">
      <c r="A107" s="57" t="s">
        <v>702</v>
      </c>
      <c r="B107" s="7" t="s">
        <v>372</v>
      </c>
      <c r="C107" s="7" t="s">
        <v>397</v>
      </c>
      <c r="D107" s="28" t="e">
        <f>COUNTIF('[1]FF - Test Design'!D:D,C107)</f>
        <v>#VALUE!</v>
      </c>
      <c r="E107" s="28" t="s">
        <v>678</v>
      </c>
      <c r="F107" s="57" t="str">
        <f>[1]!Table1[[#This Row],[Krav '#]]&amp;" - "&amp;[1]!Table1[[#This Row],[Beskrivelse]]</f>
        <v>9.a.2.2.2.6 - Regel R0044 skal aktiveres</v>
      </c>
    </row>
    <row r="108" spans="1:6" hidden="1" x14ac:dyDescent="0.3">
      <c r="A108" s="57" t="s">
        <v>702</v>
      </c>
      <c r="B108" s="7" t="s">
        <v>372</v>
      </c>
      <c r="C108" s="7" t="s">
        <v>398</v>
      </c>
      <c r="D108" s="28" t="e">
        <f>COUNTIF('[1]FF - Test Design'!D:D,C108)</f>
        <v>#VALUE!</v>
      </c>
      <c r="E108" s="28" t="s">
        <v>679</v>
      </c>
      <c r="F108" s="57" t="str">
        <f>[1]!Table1[[#This Row],[Krav '#]]&amp;" - "&amp;[1]!Table1[[#This Row],[Beskrivelse]]</f>
        <v>9.a.2.2.2.7 - Regel R0044's Varighed X skal sættes til blank</v>
      </c>
    </row>
    <row r="109" spans="1:6" hidden="1" x14ac:dyDescent="0.3">
      <c r="A109" s="57" t="s">
        <v>702</v>
      </c>
      <c r="B109" s="7" t="s">
        <v>372</v>
      </c>
      <c r="C109" s="7" t="s">
        <v>399</v>
      </c>
      <c r="D109" s="28" t="e">
        <f>COUNTIF('[1]FF - Test Design'!D:D,C109)</f>
        <v>#VALUE!</v>
      </c>
      <c r="E109" s="28" t="s">
        <v>680</v>
      </c>
      <c r="F109" s="57" t="str">
        <f>[1]!Table1[[#This Row],[Krav '#]]&amp;" - "&amp;[1]!Table1[[#This Row],[Beskrivelse]]</f>
        <v>9.a.2.2.2.8 - Regel R0045 skal aktiveres</v>
      </c>
    </row>
    <row r="110" spans="1:6" hidden="1" x14ac:dyDescent="0.3">
      <c r="A110" s="57" t="s">
        <v>702</v>
      </c>
      <c r="B110" s="7" t="s">
        <v>372</v>
      </c>
      <c r="C110" s="7" t="s">
        <v>400</v>
      </c>
      <c r="D110" s="28" t="e">
        <f>COUNTIF('[1]FF - Test Design'!D:D,C110)</f>
        <v>#VALUE!</v>
      </c>
      <c r="E110" s="28" t="s">
        <v>681</v>
      </c>
      <c r="F110" s="57" t="str">
        <f>[1]!Table1[[#This Row],[Krav '#]]&amp;" - "&amp;[1]!Table1[[#This Row],[Beskrivelse]]</f>
        <v>9.a.2.2.2.9 - Regel R0045's Varighed X skal sættes til blank</v>
      </c>
    </row>
    <row r="111" spans="1:6" hidden="1" x14ac:dyDescent="0.3">
      <c r="A111" s="57" t="s">
        <v>702</v>
      </c>
      <c r="B111" s="7" t="s">
        <v>372</v>
      </c>
      <c r="C111" s="7" t="s">
        <v>401</v>
      </c>
      <c r="D111" s="28" t="e">
        <f>COUNTIF('[1]FF - Test Design'!D:D,C111)</f>
        <v>#VALUE!</v>
      </c>
      <c r="E111" s="28" t="s">
        <v>682</v>
      </c>
      <c r="F111" s="57" t="str">
        <f>[1]!Table1[[#This Row],[Krav '#]]&amp;" - "&amp;[1]!Table1[[#This Row],[Beskrivelse]]</f>
        <v>9.a.2.2.2.10 - Regel R0046 skal aktiveres</v>
      </c>
    </row>
    <row r="112" spans="1:6" hidden="1" x14ac:dyDescent="0.3">
      <c r="A112" s="57" t="s">
        <v>702</v>
      </c>
      <c r="B112" s="7" t="s">
        <v>372</v>
      </c>
      <c r="C112" s="7" t="s">
        <v>402</v>
      </c>
      <c r="D112" s="28" t="e">
        <f>COUNTIF('[1]FF - Test Design'!D:D,C112)</f>
        <v>#VALUE!</v>
      </c>
      <c r="E112" s="28" t="s">
        <v>683</v>
      </c>
      <c r="F112" s="57" t="str">
        <f>[1]!Table1[[#This Row],[Krav '#]]&amp;" - "&amp;[1]!Table1[[#This Row],[Beskrivelse]]</f>
        <v>9.a.2.2.2.11 - Regel R0046's Varighed X skal sættes til blank</v>
      </c>
    </row>
    <row r="113" spans="1:6" hidden="1" x14ac:dyDescent="0.3">
      <c r="A113" s="57" t="s">
        <v>714</v>
      </c>
      <c r="B113" s="7" t="s">
        <v>715</v>
      </c>
      <c r="C113" s="7" t="s">
        <v>716</v>
      </c>
      <c r="D113" s="28" t="e">
        <f>COUNTIF('[1]FF - Test Design'!D:D,C113)</f>
        <v>#VALUE!</v>
      </c>
      <c r="E113" s="361" t="s">
        <v>717</v>
      </c>
      <c r="F113" s="57" t="str">
        <f>[1]!Table1[[#This Row],[Krav '#]]&amp;" - "&amp;[1]!Table1[[#This Row],[Beskrivelse]]</f>
        <v>9.b.1 - Det skal være muligt for brugeren, via Ja/Nej, at bekræfte om fordringhavers forældelsesdato til en hver tid er registreret korrekt.</v>
      </c>
    </row>
    <row r="114" spans="1:6" hidden="1" x14ac:dyDescent="0.3">
      <c r="A114" s="57" t="s">
        <v>714</v>
      </c>
      <c r="B114" s="7" t="s">
        <v>715</v>
      </c>
      <c r="C114" s="7" t="s">
        <v>472</v>
      </c>
      <c r="D114" s="28" t="e">
        <f>COUNTIF('[1]FF - Test Design'!D:D,C114)</f>
        <v>#VALUE!</v>
      </c>
      <c r="E114" s="361" t="s">
        <v>718</v>
      </c>
      <c r="F114" s="57" t="str">
        <f>[1]!Table1[[#This Row],[Krav '#]]&amp;" - "&amp;[1]!Table1[[#This Row],[Beskrivelse]]</f>
        <v>9.b.2 - Såfremt brugeren vælger "Ja" skal brugeren ledes til spørgsmål 9.b.1</v>
      </c>
    </row>
    <row r="115" spans="1:6" hidden="1" x14ac:dyDescent="0.3">
      <c r="A115" s="57" t="s">
        <v>714</v>
      </c>
      <c r="B115" s="7" t="s">
        <v>715</v>
      </c>
      <c r="C115" s="7" t="s">
        <v>473</v>
      </c>
      <c r="D115" s="28" t="e">
        <f>COUNTIF('[1]FF - Test Design'!D:D,C115)</f>
        <v>#VALUE!</v>
      </c>
      <c r="E115" s="361" t="s">
        <v>719</v>
      </c>
      <c r="F115" s="57" t="str">
        <f>[1]!Table1[[#This Row],[Krav '#]]&amp;" - "&amp;[1]!Table1[[#This Row],[Beskrivelse]]</f>
        <v>9.b.3 - Såfremt brugeren vælger "Nej" skal brugeren ledes til spørgsmål 9.b.2</v>
      </c>
    </row>
    <row r="116" spans="1:6" hidden="1" x14ac:dyDescent="0.3">
      <c r="A116" s="57" t="s">
        <v>714</v>
      </c>
      <c r="B116" s="7" t="s">
        <v>716</v>
      </c>
      <c r="C116" s="7" t="s">
        <v>476</v>
      </c>
      <c r="D116" s="28" t="e">
        <f>COUNTIF('[1]FF - Test Design'!D:D,C116)</f>
        <v>#VALUE!</v>
      </c>
      <c r="E116" s="361" t="s">
        <v>691</v>
      </c>
      <c r="F116" s="57" t="str">
        <f>[1]!Table1[[#This Row],[Krav '#]]&amp;" - "&amp;[1]!Table1[[#This Row],[Beskrivelse]]</f>
        <v>9.b.1.1 - Gruppe 2 aktiveres</v>
      </c>
    </row>
    <row r="117" spans="1:6" hidden="1" x14ac:dyDescent="0.3">
      <c r="A117" s="57" t="s">
        <v>714</v>
      </c>
      <c r="B117" s="7" t="s">
        <v>716</v>
      </c>
      <c r="C117" s="7" t="s">
        <v>720</v>
      </c>
      <c r="D117" s="28" t="e">
        <f>COUNTIF('[1]FF - Test Design'!D:D,C117)</f>
        <v>#VALUE!</v>
      </c>
      <c r="E117" s="361" t="s">
        <v>721</v>
      </c>
      <c r="F117" s="57" t="str">
        <f>[1]!Table1[[#This Row],[Krav '#]]&amp;" - "&amp;[1]!Table1[[#This Row],[Beskrivelse]]</f>
        <v>9.b.1.2 - Der angives et ”JA” i populationen under ”Stoler RIM på fordringshavers forældelsesdato?”</v>
      </c>
    </row>
    <row r="118" spans="1:6" hidden="1" x14ac:dyDescent="0.3">
      <c r="A118" s="57" t="s">
        <v>722</v>
      </c>
      <c r="B118" s="7" t="s">
        <v>472</v>
      </c>
      <c r="C118" s="7" t="s">
        <v>723</v>
      </c>
      <c r="D118" s="28" t="e">
        <f>COUNTIF('[1]FF - Test Design'!D:D,C118)</f>
        <v>#VALUE!</v>
      </c>
      <c r="E118" s="361" t="s">
        <v>724</v>
      </c>
      <c r="F118" s="57" t="str">
        <f>[1]!Table1[[#This Row],[Krav '#]]&amp;" - "&amp;[1]!Table1[[#This Row],[Beskrivelse]]</f>
        <v>9.b.2.1 - Det skal være muligt for brugeren, via Ja/Nej, at bekræfte om fordringhavers forældelsesdatotil til en hver tid er registreret tidligere end den faktiske forældelsesdato.</v>
      </c>
    </row>
    <row r="119" spans="1:6" hidden="1" x14ac:dyDescent="0.3">
      <c r="A119" s="57" t="s">
        <v>722</v>
      </c>
      <c r="B119" s="7" t="s">
        <v>472</v>
      </c>
      <c r="C119" s="7" t="s">
        <v>477</v>
      </c>
      <c r="D119" s="28" t="e">
        <f>COUNTIF('[1]FF - Test Design'!D:D,C119)</f>
        <v>#VALUE!</v>
      </c>
      <c r="E119" s="361" t="s">
        <v>725</v>
      </c>
      <c r="F119" s="57" t="str">
        <f>[1]!Table1[[#This Row],[Krav '#]]&amp;" - "&amp;[1]!Table1[[#This Row],[Beskrivelse]]</f>
        <v>9.b.2.2 - Såfremt brugeren vælger "Ja" skal brugeren ledes til spørgsmål 9.b.2.1</v>
      </c>
    </row>
    <row r="120" spans="1:6" hidden="1" x14ac:dyDescent="0.3">
      <c r="A120" s="57" t="s">
        <v>722</v>
      </c>
      <c r="B120" s="7" t="s">
        <v>472</v>
      </c>
      <c r="C120" s="7" t="s">
        <v>478</v>
      </c>
      <c r="D120" s="28" t="e">
        <f>COUNTIF('[1]FF - Test Design'!D:D,C120)</f>
        <v>#VALUE!</v>
      </c>
      <c r="E120" s="361" t="s">
        <v>726</v>
      </c>
      <c r="F120" s="57" t="str">
        <f>[1]!Table1[[#This Row],[Krav '#]]&amp;" - "&amp;[1]!Table1[[#This Row],[Beskrivelse]]</f>
        <v>9.b.2.3 - Såfremt brugeren vælger "Nej" skal brugeren ledes til spørgsmål 9.b.2.2</v>
      </c>
    </row>
    <row r="121" spans="1:6" hidden="1" x14ac:dyDescent="0.3">
      <c r="A121" s="57" t="s">
        <v>722</v>
      </c>
      <c r="B121" s="7" t="s">
        <v>723</v>
      </c>
      <c r="C121" s="7" t="s">
        <v>481</v>
      </c>
      <c r="D121" s="28" t="e">
        <f>COUNTIF('[1]FF - Test Design'!D:D,C121)</f>
        <v>#VALUE!</v>
      </c>
      <c r="E121" s="361" t="s">
        <v>691</v>
      </c>
      <c r="F121" s="57" t="str">
        <f>[1]!Table1[[#This Row],[Krav '#]]&amp;" - "&amp;[1]!Table1[[#This Row],[Beskrivelse]]</f>
        <v>9.b.2.1.1 - Gruppe 2 aktiveres</v>
      </c>
    </row>
    <row r="122" spans="1:6" hidden="1" x14ac:dyDescent="0.3">
      <c r="A122" s="57" t="s">
        <v>722</v>
      </c>
      <c r="B122" s="7" t="s">
        <v>723</v>
      </c>
      <c r="C122" s="7" t="s">
        <v>482</v>
      </c>
      <c r="D122" s="28" t="e">
        <f>COUNTIF('[1]FF - Test Design'!D:D,C122)</f>
        <v>#VALUE!</v>
      </c>
      <c r="E122" s="361" t="s">
        <v>721</v>
      </c>
      <c r="F122" s="57" t="str">
        <f>[1]!Table1[[#This Row],[Krav '#]]&amp;" - "&amp;[1]!Table1[[#This Row],[Beskrivelse]]</f>
        <v>9.b.2.1.2 - Der angives et ”JA” i populationen under ”Stoler RIM på fordringshavers forældelsesdato?”</v>
      </c>
    </row>
    <row r="123" spans="1:6" hidden="1" x14ac:dyDescent="0.3">
      <c r="A123" s="57" t="s">
        <v>727</v>
      </c>
      <c r="B123" s="7" t="s">
        <v>477</v>
      </c>
      <c r="C123" s="7" t="s">
        <v>728</v>
      </c>
      <c r="D123" s="28" t="e">
        <f>COUNTIF('[1]FF - Test Design'!D:D,C123)</f>
        <v>#VALUE!</v>
      </c>
      <c r="E123" s="361" t="s">
        <v>704</v>
      </c>
      <c r="F123" s="57" t="str">
        <f>[1]!Table1[[#This Row],[Krav '#]]&amp;" - "&amp;[1]!Table1[[#This Row],[Beskrivelse]]</f>
        <v>9.b.2.2.1 - Det skal være muligt for brugeren, via et tekstfelt med "Hvis antal dage kan angives" og mulighed for at svare "Ved ikke", på hvor mange dage efter den faktiske forældelsesdato foko senest vil være registreret?</v>
      </c>
    </row>
    <row r="124" spans="1:6" hidden="1" x14ac:dyDescent="0.3">
      <c r="A124" s="57" t="s">
        <v>727</v>
      </c>
      <c r="B124" s="7" t="s">
        <v>477</v>
      </c>
      <c r="C124" s="7" t="s">
        <v>483</v>
      </c>
      <c r="D124" s="28" t="e">
        <f>COUNTIF('[1]FF - Test Design'!D:D,C124)</f>
        <v>#VALUE!</v>
      </c>
      <c r="E124" s="361" t="s">
        <v>729</v>
      </c>
      <c r="F124" s="57" t="str">
        <f>[1]!Table1[[#This Row],[Krav '#]]&amp;" - "&amp;[1]!Table1[[#This Row],[Beskrivelse]]</f>
        <v>9.b.2.2.2 - Såfremt brugeren vælger "Hvis antal dage kan angives" skal brugeres ledes til spørgsmål 9.b.2.2.1</v>
      </c>
    </row>
    <row r="125" spans="1:6" hidden="1" x14ac:dyDescent="0.3">
      <c r="A125" s="57" t="s">
        <v>727</v>
      </c>
      <c r="B125" s="7" t="s">
        <v>477</v>
      </c>
      <c r="C125" s="7" t="s">
        <v>491</v>
      </c>
      <c r="D125" s="28" t="e">
        <f>COUNTIF('[1]FF - Test Design'!D:D,C125)</f>
        <v>#VALUE!</v>
      </c>
      <c r="E125" s="361" t="s">
        <v>730</v>
      </c>
      <c r="F125" s="57" t="str">
        <f>[1]!Table1[[#This Row],[Krav '#]]&amp;" - "&amp;[1]!Table1[[#This Row],[Beskrivelse]]</f>
        <v>9.b.2.2.3 - Såfremt brugeren vælger "Ved ikke" skal brugeres ledes til spørgsmål 9.b.2.2.2</v>
      </c>
    </row>
    <row r="126" spans="1:6" hidden="1" x14ac:dyDescent="0.3">
      <c r="A126" s="57" t="s">
        <v>727</v>
      </c>
      <c r="B126" s="7" t="s">
        <v>728</v>
      </c>
      <c r="C126" s="7" t="s">
        <v>728</v>
      </c>
      <c r="D126" s="28" t="e">
        <f>COUNTIF('[1]FF - Test Design'!D:D,C126)</f>
        <v>#VALUE!</v>
      </c>
      <c r="E126" s="361" t="s">
        <v>731</v>
      </c>
      <c r="F126" s="57" t="str">
        <f>[1]!Table1[[#This Row],[Krav '#]]&amp;" - "&amp;[1]!Table1[[#This Row],[Beskrivelse]]</f>
        <v>9.b.2.2.1 - Regel R0042's Varighed X skal sættes til det angivne fra 9.b.2.2</v>
      </c>
    </row>
    <row r="127" spans="1:6" hidden="1" x14ac:dyDescent="0.3">
      <c r="A127" s="57" t="s">
        <v>727</v>
      </c>
      <c r="B127" s="7" t="s">
        <v>728</v>
      </c>
      <c r="C127" s="7" t="s">
        <v>483</v>
      </c>
      <c r="D127" s="28" t="e">
        <f>COUNTIF('[1]FF - Test Design'!D:D,C127)</f>
        <v>#VALUE!</v>
      </c>
      <c r="E127" s="361" t="s">
        <v>732</v>
      </c>
      <c r="F127" s="57" t="str">
        <f>[1]!Table1[[#This Row],[Krav '#]]&amp;" - "&amp;[1]!Table1[[#This Row],[Beskrivelse]]</f>
        <v>9.b.2.2.2 - Regel R0043's Varighed X skal sættes til det angivne fra 9.b.2.2</v>
      </c>
    </row>
    <row r="128" spans="1:6" hidden="1" x14ac:dyDescent="0.3">
      <c r="A128" s="57" t="s">
        <v>727</v>
      </c>
      <c r="B128" s="7" t="s">
        <v>728</v>
      </c>
      <c r="C128" s="7" t="s">
        <v>491</v>
      </c>
      <c r="D128" s="28" t="e">
        <f>COUNTIF('[1]FF - Test Design'!D:D,C128)</f>
        <v>#VALUE!</v>
      </c>
      <c r="E128" s="361" t="s">
        <v>733</v>
      </c>
      <c r="F128" s="57" t="str">
        <f>[1]!Table1[[#This Row],[Krav '#]]&amp;" - "&amp;[1]!Table1[[#This Row],[Beskrivelse]]</f>
        <v>9.b.2.2.3 - Regel R0044's Varighed X skal sættes til det angivne fra 9.b.2.2</v>
      </c>
    </row>
    <row r="129" spans="1:6" hidden="1" x14ac:dyDescent="0.3">
      <c r="A129" s="57" t="s">
        <v>727</v>
      </c>
      <c r="B129" s="7" t="s">
        <v>728</v>
      </c>
      <c r="C129" s="7" t="s">
        <v>2108</v>
      </c>
      <c r="D129" s="28" t="e">
        <f>COUNTIF('[1]FF - Test Design'!D:D,C129)</f>
        <v>#VALUE!</v>
      </c>
      <c r="E129" s="361" t="s">
        <v>734</v>
      </c>
      <c r="F129" s="57" t="str">
        <f>[1]!Table1[[#This Row],[Krav '#]]&amp;" - "&amp;[1]!Table1[[#This Row],[Beskrivelse]]</f>
        <v>9.b.2.2.4 - Regel R0045's Varighed X skal sættes til det angivne fra 9.b.2.2</v>
      </c>
    </row>
    <row r="130" spans="1:6" hidden="1" x14ac:dyDescent="0.3">
      <c r="A130" s="57" t="s">
        <v>727</v>
      </c>
      <c r="B130" s="7" t="s">
        <v>728</v>
      </c>
      <c r="C130" s="7" t="s">
        <v>2109</v>
      </c>
      <c r="D130" s="28" t="e">
        <f>COUNTIF('[1]FF - Test Design'!D:D,C130)</f>
        <v>#VALUE!</v>
      </c>
      <c r="E130" s="361" t="s">
        <v>735</v>
      </c>
      <c r="F130" s="57" t="str">
        <f>[1]!Table1[[#This Row],[Krav '#]]&amp;" - "&amp;[1]!Table1[[#This Row],[Beskrivelse]]</f>
        <v>9.b.2.2.5 - Regel R0046's Varighed X skal sættes til det angivne fra 9.b.2.2</v>
      </c>
    </row>
    <row r="131" spans="1:6" hidden="1" x14ac:dyDescent="0.3">
      <c r="A131" s="57" t="s">
        <v>727</v>
      </c>
      <c r="B131" s="7" t="s">
        <v>728</v>
      </c>
      <c r="C131" s="7" t="s">
        <v>2110</v>
      </c>
      <c r="D131" s="28" t="e">
        <f>COUNTIF('[1]FF - Test Design'!D:D,C131)</f>
        <v>#VALUE!</v>
      </c>
      <c r="E131" s="361" t="s">
        <v>721</v>
      </c>
      <c r="F131" s="57" t="str">
        <f>[1]!Table1[[#This Row],[Krav '#]]&amp;" - "&amp;[1]!Table1[[#This Row],[Beskrivelse]]</f>
        <v>9.b.2.2.6 - Der angives et ”JA” i populationen under ”Stoler RIM på fordringshavers forældelsesdato?”</v>
      </c>
    </row>
    <row r="132" spans="1:6" hidden="1" x14ac:dyDescent="0.3">
      <c r="A132" s="57" t="s">
        <v>727</v>
      </c>
      <c r="B132" s="7" t="s">
        <v>483</v>
      </c>
      <c r="C132" s="7" t="s">
        <v>493</v>
      </c>
      <c r="D132" s="28" t="e">
        <f>COUNTIF('[1]FF - Test Design'!D:D,C132)</f>
        <v>#VALUE!</v>
      </c>
      <c r="E132" s="361" t="s">
        <v>673</v>
      </c>
      <c r="F132" s="57" t="str">
        <f>[1]!Table1[[#This Row],[Krav '#]]&amp;" - "&amp;[1]!Table1[[#This Row],[Beskrivelse]]</f>
        <v xml:space="preserve">9.b.2.2.2.1 - Der angives et ”NEJ” i populationen under ”Stoler RIM på fordringshavers forældelsesdato” </v>
      </c>
    </row>
    <row r="133" spans="1:6" hidden="1" x14ac:dyDescent="0.3">
      <c r="A133" s="57" t="s">
        <v>727</v>
      </c>
      <c r="B133" s="7" t="s">
        <v>483</v>
      </c>
      <c r="C133" s="7" t="s">
        <v>494</v>
      </c>
      <c r="D133" s="28" t="e">
        <f>COUNTIF('[1]FF - Test Design'!D:D,C133)</f>
        <v>#VALUE!</v>
      </c>
      <c r="E133" s="8" t="s">
        <v>674</v>
      </c>
      <c r="F133" s="57" t="str">
        <f>[1]!Table1[[#This Row],[Krav '#]]&amp;" - "&amp;[1]!Table1[[#This Row],[Beskrivelse]]</f>
        <v>9.b.2.2.2.2 - Regel R0042 skal aktiveres</v>
      </c>
    </row>
    <row r="134" spans="1:6" hidden="1" x14ac:dyDescent="0.3">
      <c r="A134" s="57" t="s">
        <v>727</v>
      </c>
      <c r="B134" s="7" t="s">
        <v>483</v>
      </c>
      <c r="C134" s="7" t="s">
        <v>495</v>
      </c>
      <c r="D134" s="28" t="e">
        <f>COUNTIF('[1]FF - Test Design'!D:D,C134)</f>
        <v>#VALUE!</v>
      </c>
      <c r="E134" s="8" t="s">
        <v>675</v>
      </c>
      <c r="F134" s="57" t="str">
        <f>[1]!Table1[[#This Row],[Krav '#]]&amp;" - "&amp;[1]!Table1[[#This Row],[Beskrivelse]]</f>
        <v>9.b.2.2.2.3 - Regel R0042's Varighed X skal sættes til blank</v>
      </c>
    </row>
    <row r="135" spans="1:6" hidden="1" x14ac:dyDescent="0.3">
      <c r="A135" s="57" t="s">
        <v>727</v>
      </c>
      <c r="B135" s="7" t="s">
        <v>483</v>
      </c>
      <c r="C135" s="7" t="s">
        <v>497</v>
      </c>
      <c r="D135" s="28" t="e">
        <f>COUNTIF('[1]FF - Test Design'!D:D,C135)</f>
        <v>#VALUE!</v>
      </c>
      <c r="E135" s="8" t="s">
        <v>676</v>
      </c>
      <c r="F135" s="57" t="str">
        <f>[1]!Table1[[#This Row],[Krav '#]]&amp;" - "&amp;[1]!Table1[[#This Row],[Beskrivelse]]</f>
        <v>9.b.2.2.2.4 - Regel R0043 skal aktiveres</v>
      </c>
    </row>
    <row r="136" spans="1:6" hidden="1" x14ac:dyDescent="0.3">
      <c r="A136" s="57" t="s">
        <v>727</v>
      </c>
      <c r="B136" s="7" t="s">
        <v>483</v>
      </c>
      <c r="C136" s="7" t="s">
        <v>498</v>
      </c>
      <c r="D136" s="28" t="e">
        <f>COUNTIF('[1]FF - Test Design'!D:D,C136)</f>
        <v>#VALUE!</v>
      </c>
      <c r="E136" s="8" t="s">
        <v>677</v>
      </c>
      <c r="F136" s="57" t="str">
        <f>[1]!Table1[[#This Row],[Krav '#]]&amp;" - "&amp;[1]!Table1[[#This Row],[Beskrivelse]]</f>
        <v>9.b.2.2.2.5 - Regel R0043's Varighed X skal sættes til blank</v>
      </c>
    </row>
    <row r="137" spans="1:6" hidden="1" x14ac:dyDescent="0.3">
      <c r="A137" s="57" t="s">
        <v>727</v>
      </c>
      <c r="B137" s="7" t="s">
        <v>483</v>
      </c>
      <c r="C137" s="7" t="s">
        <v>500</v>
      </c>
      <c r="D137" s="28" t="e">
        <f>COUNTIF('[1]FF - Test Design'!D:D,C137)</f>
        <v>#VALUE!</v>
      </c>
      <c r="E137" s="8" t="s">
        <v>678</v>
      </c>
      <c r="F137" s="57" t="str">
        <f>[1]!Table1[[#This Row],[Krav '#]]&amp;" - "&amp;[1]!Table1[[#This Row],[Beskrivelse]]</f>
        <v>9.b.2.2.2.6 - Regel R0044 skal aktiveres</v>
      </c>
    </row>
    <row r="138" spans="1:6" hidden="1" x14ac:dyDescent="0.3">
      <c r="A138" s="57" t="s">
        <v>727</v>
      </c>
      <c r="B138" s="7" t="s">
        <v>483</v>
      </c>
      <c r="C138" s="7" t="s">
        <v>501</v>
      </c>
      <c r="D138" s="28" t="e">
        <f>COUNTIF('[1]FF - Test Design'!D:D,C138)</f>
        <v>#VALUE!</v>
      </c>
      <c r="E138" s="8" t="s">
        <v>679</v>
      </c>
      <c r="F138" s="57" t="str">
        <f>[1]!Table1[[#This Row],[Krav '#]]&amp;" - "&amp;[1]!Table1[[#This Row],[Beskrivelse]]</f>
        <v>9.b.2.2.2.7 - Regel R0044's Varighed X skal sættes til blank</v>
      </c>
    </row>
    <row r="139" spans="1:6" hidden="1" x14ac:dyDescent="0.3">
      <c r="A139" s="57" t="s">
        <v>727</v>
      </c>
      <c r="B139" s="7" t="s">
        <v>483</v>
      </c>
      <c r="C139" s="7" t="s">
        <v>503</v>
      </c>
      <c r="D139" s="28" t="e">
        <f>COUNTIF('[1]FF - Test Design'!D:D,C139)</f>
        <v>#VALUE!</v>
      </c>
      <c r="E139" s="8" t="s">
        <v>680</v>
      </c>
      <c r="F139" s="57" t="str">
        <f>[1]!Table1[[#This Row],[Krav '#]]&amp;" - "&amp;[1]!Table1[[#This Row],[Beskrivelse]]</f>
        <v>9.b.2.2.2.8 - Regel R0045 skal aktiveres</v>
      </c>
    </row>
    <row r="140" spans="1:6" hidden="1" x14ac:dyDescent="0.3">
      <c r="A140" s="57" t="s">
        <v>727</v>
      </c>
      <c r="B140" s="7" t="s">
        <v>483</v>
      </c>
      <c r="C140" s="7" t="s">
        <v>504</v>
      </c>
      <c r="D140" s="28" t="e">
        <f>COUNTIF('[1]FF - Test Design'!D:D,C140)</f>
        <v>#VALUE!</v>
      </c>
      <c r="E140" s="8" t="s">
        <v>681</v>
      </c>
      <c r="F140" s="57" t="str">
        <f>[1]!Table1[[#This Row],[Krav '#]]&amp;" - "&amp;[1]!Table1[[#This Row],[Beskrivelse]]</f>
        <v>9.b.2.2.2.9 - Regel R0045's Varighed X skal sættes til blank</v>
      </c>
    </row>
    <row r="141" spans="1:6" hidden="1" x14ac:dyDescent="0.3">
      <c r="A141" s="57" t="s">
        <v>727</v>
      </c>
      <c r="B141" s="7" t="s">
        <v>483</v>
      </c>
      <c r="C141" s="7" t="s">
        <v>506</v>
      </c>
      <c r="D141" s="28" t="e">
        <f>COUNTIF('[1]FF - Test Design'!D:D,C141)</f>
        <v>#VALUE!</v>
      </c>
      <c r="E141" s="8" t="s">
        <v>682</v>
      </c>
      <c r="F141" s="57" t="str">
        <f>[1]!Table1[[#This Row],[Krav '#]]&amp;" - "&amp;[1]!Table1[[#This Row],[Beskrivelse]]</f>
        <v>9.b.2.2.2.10 - Regel R0046 skal aktiveres</v>
      </c>
    </row>
    <row r="142" spans="1:6" hidden="1" x14ac:dyDescent="0.3">
      <c r="A142" s="57" t="s">
        <v>727</v>
      </c>
      <c r="B142" s="7" t="s">
        <v>483</v>
      </c>
      <c r="C142" s="7" t="s">
        <v>507</v>
      </c>
      <c r="D142" s="28" t="e">
        <f>COUNTIF('[1]FF - Test Design'!D:D,C142)</f>
        <v>#VALUE!</v>
      </c>
      <c r="E142" s="8" t="s">
        <v>683</v>
      </c>
      <c r="F142" s="57" t="str">
        <f>[1]!Table1[[#This Row],[Krav '#]]&amp;" - "&amp;[1]!Table1[[#This Row],[Beskrivelse]]</f>
        <v>9.b.2.2.2.11 - Regel R0046's Varighed X skal sættes til blank</v>
      </c>
    </row>
    <row r="143" spans="1:6" hidden="1" x14ac:dyDescent="0.3">
      <c r="A143" s="57" t="s">
        <v>736</v>
      </c>
      <c r="B143" s="7" t="s">
        <v>376</v>
      </c>
      <c r="C143" s="7" t="s">
        <v>737</v>
      </c>
      <c r="D143" s="28" t="e">
        <f>COUNTIF('[1]FF - Test Design'!D:D,C143)</f>
        <v>#VALUE!</v>
      </c>
      <c r="E143" s="8" t="s">
        <v>738</v>
      </c>
      <c r="F143" s="57" t="str">
        <f>[1]!Table1[[#This Row],[Krav '#]]&amp;" - "&amp;[1]!Table1[[#This Row],[Beskrivelse]]</f>
        <v>10.1 - Det skal være muligt for brugeren at vælge minimum et stamdatafelt, før RIM kan beregne en tidligst mulig f orædelsesdato</v>
      </c>
    </row>
    <row r="144" spans="1:6" hidden="1" x14ac:dyDescent="0.3">
      <c r="A144" s="57" t="s">
        <v>736</v>
      </c>
      <c r="B144" s="7" t="s">
        <v>376</v>
      </c>
      <c r="C144" s="7" t="s">
        <v>739</v>
      </c>
      <c r="D144" s="28" t="e">
        <f>COUNTIF('[1]FF - Test Design'!D:D,C144)</f>
        <v>#VALUE!</v>
      </c>
      <c r="E144" s="8" t="s">
        <v>740</v>
      </c>
      <c r="F144" s="57" t="str">
        <f>[1]!Table1[[#This Row],[Krav '#]]&amp;" - "&amp;[1]!Table1[[#This Row],[Beskrivelse]]</f>
        <v>10.2 - Formen skal bestå af checkbokse med følgende muligheder : "Stiftelsesdato", "Forfaldsdato", "Sidste rettidige betalingsdato", "Periode start", Periode slut" og "Ingen".</v>
      </c>
    </row>
    <row r="145" spans="1:6" hidden="1" x14ac:dyDescent="0.3">
      <c r="A145" s="57" t="s">
        <v>736</v>
      </c>
      <c r="B145" s="7" t="s">
        <v>376</v>
      </c>
      <c r="C145" s="7" t="s">
        <v>741</v>
      </c>
      <c r="D145" s="28" t="e">
        <f>COUNTIF('[1]FF - Test Design'!D:D,C145)</f>
        <v>#VALUE!</v>
      </c>
      <c r="E145" s="8" t="s">
        <v>742</v>
      </c>
      <c r="F145" s="57" t="str">
        <f>[1]!Table1[[#This Row],[Krav '#]]&amp;" - "&amp;[1]!Table1[[#This Row],[Beskrivelse]]</f>
        <v>10.3 - Brugeren skal præsenteres for spørgsmålene fra 10.a, for hvert valgt stamdatafelt.</v>
      </c>
    </row>
    <row r="146" spans="1:6" hidden="1" x14ac:dyDescent="0.3">
      <c r="A146" s="57" t="s">
        <v>736</v>
      </c>
      <c r="B146" s="7" t="s">
        <v>376</v>
      </c>
      <c r="C146" s="7" t="s">
        <v>553</v>
      </c>
      <c r="D146" s="28" t="e">
        <f>COUNTIF('[1]FF - Test Design'!D:D,C146)</f>
        <v>#VALUE!</v>
      </c>
      <c r="E146" s="8" t="s">
        <v>743</v>
      </c>
      <c r="F146" s="57" t="str">
        <f>[1]!Table1[[#This Row],[Krav '#]]&amp;" - "&amp;[1]!Table1[[#This Row],[Beskrivelse]]</f>
        <v>10.4 - Såfremt brugeren vælger et eller flere af stamdatafelterne, hvor stiftelsesdato er i blandt, skal brugeren ledes til spørgsmål 10.a via form 29</v>
      </c>
    </row>
    <row r="147" spans="1:6" hidden="1" x14ac:dyDescent="0.3">
      <c r="A147" s="57" t="s">
        <v>736</v>
      </c>
      <c r="B147" s="7" t="s">
        <v>376</v>
      </c>
      <c r="C147" s="7" t="s">
        <v>532</v>
      </c>
      <c r="D147" s="28" t="e">
        <f>COUNTIF('[1]FF - Test Design'!D:D,C147)</f>
        <v>#VALUE!</v>
      </c>
      <c r="E147" s="8" t="s">
        <v>744</v>
      </c>
      <c r="F147" s="57" t="str">
        <f>[1]!Table1[[#This Row],[Krav '#]]&amp;" - "&amp;[1]!Table1[[#This Row],[Beskrivelse]]</f>
        <v>10.5 - Såfremt brugeren vælger et eller flere af stamdatafelterne, hvor forfaldsdato er i blandt, skal brugeren ledes til spørgsmål 10.a via form 28</v>
      </c>
    </row>
    <row r="148" spans="1:6" hidden="1" x14ac:dyDescent="0.3">
      <c r="A148" s="57" t="s">
        <v>736</v>
      </c>
      <c r="B148" s="7" t="s">
        <v>376</v>
      </c>
      <c r="C148" s="7" t="s">
        <v>547</v>
      </c>
      <c r="D148" s="28" t="e">
        <f>COUNTIF('[1]FF - Test Design'!D:D,C148)</f>
        <v>#VALUE!</v>
      </c>
      <c r="E148" s="8" t="s">
        <v>745</v>
      </c>
      <c r="F148" s="57" t="str">
        <f>[1]!Table1[[#This Row],[Krav '#]]&amp;" - "&amp;[1]!Table1[[#This Row],[Beskrivelse]]</f>
        <v>10.6 - Såfremt brugeren vælger et eller flere af stamdatafelterne, hvor sidste rettidige betalingsdato er i blandt, skal brugeren ledes til spørgsmål 10.a via form 32</v>
      </c>
    </row>
    <row r="149" spans="1:6" hidden="1" x14ac:dyDescent="0.3">
      <c r="A149" s="57" t="s">
        <v>736</v>
      </c>
      <c r="B149" s="7" t="s">
        <v>376</v>
      </c>
      <c r="C149" s="7" t="s">
        <v>558</v>
      </c>
      <c r="D149" s="28" t="e">
        <f>COUNTIF('[1]FF - Test Design'!D:D,C149)</f>
        <v>#VALUE!</v>
      </c>
      <c r="E149" s="8" t="s">
        <v>746</v>
      </c>
      <c r="F149" s="57" t="str">
        <f>[1]!Table1[[#This Row],[Krav '#]]&amp;" - "&amp;[1]!Table1[[#This Row],[Beskrivelse]]</f>
        <v>10.7 - Såfremt brugeren vælger et eller flere af stamdatafelterne, hvor periode start er i blandt, skal brugeren ledes til spørgsmål 10.a via form 30</v>
      </c>
    </row>
    <row r="150" spans="1:6" hidden="1" x14ac:dyDescent="0.3">
      <c r="A150" s="57" t="s">
        <v>736</v>
      </c>
      <c r="B150" s="7" t="s">
        <v>376</v>
      </c>
      <c r="C150" s="7" t="s">
        <v>563</v>
      </c>
      <c r="D150" s="28" t="e">
        <f>COUNTIF('[1]FF - Test Design'!D:D,C150)</f>
        <v>#VALUE!</v>
      </c>
      <c r="E150" s="8" t="s">
        <v>747</v>
      </c>
      <c r="F150" s="57" t="str">
        <f>[1]!Table1[[#This Row],[Krav '#]]&amp;" - "&amp;[1]!Table1[[#This Row],[Beskrivelse]]</f>
        <v>10.8 - Såfremt brugeren vælger et eller flere af stamdatafelterne, hvor periode slut er i blandt, skal brugeren ledes til spørgsmål 10.a via form 31</v>
      </c>
    </row>
    <row r="151" spans="1:6" hidden="1" x14ac:dyDescent="0.3">
      <c r="A151" s="57" t="s">
        <v>736</v>
      </c>
      <c r="B151" s="7" t="s">
        <v>376</v>
      </c>
      <c r="C151" s="7" t="s">
        <v>585</v>
      </c>
      <c r="D151" s="28" t="e">
        <f>COUNTIF('[1]FF - Test Design'!D:D,C151)</f>
        <v>#VALUE!</v>
      </c>
      <c r="E151" s="8" t="s">
        <v>748</v>
      </c>
      <c r="F151" s="57" t="str">
        <f>[1]!Table1[[#This Row],[Krav '#]]&amp;" - "&amp;[1]!Table1[[#This Row],[Beskrivelse]]</f>
        <v>10.9 - Såfremt brugeren vælger "Ingen" skal brugeren ledes til spørgsmål 10.b</v>
      </c>
    </row>
    <row r="152" spans="1:6" hidden="1" x14ac:dyDescent="0.3">
      <c r="A152" s="57" t="s">
        <v>749</v>
      </c>
      <c r="B152" s="7" t="s">
        <v>750</v>
      </c>
      <c r="C152" s="7" t="s">
        <v>751</v>
      </c>
      <c r="D152" s="28" t="e">
        <f>COUNTIF('[1]FF - Test Design'!D:D,C152)</f>
        <v>#VALUE!</v>
      </c>
      <c r="E152" s="8" t="s">
        <v>752</v>
      </c>
      <c r="F152" s="57" t="str">
        <f>[1]!Table1[[#This Row],[Krav '#]]&amp;" - "&amp;[1]!Table1[[#This Row],[Beskrivelse]]</f>
        <v xml:space="preserve">10.a.1 - Det skal være muligt for brugeren, med checkbokse, at vælge om begyndelsestidspunktet for forældelsesfristen altid beregnes "Før" eller "Samme dag eller senere" </v>
      </c>
    </row>
    <row r="153" spans="1:6" hidden="1" x14ac:dyDescent="0.3">
      <c r="A153" s="57" t="s">
        <v>749</v>
      </c>
      <c r="B153" s="7" t="s">
        <v>750</v>
      </c>
      <c r="C153" s="7" t="s">
        <v>753</v>
      </c>
      <c r="D153" s="28" t="e">
        <f>COUNTIF('[1]FF - Test Design'!D:D,C153)</f>
        <v>#VALUE!</v>
      </c>
      <c r="E153" s="8" t="s">
        <v>754</v>
      </c>
      <c r="F153" s="57" t="str">
        <f>[1]!Table1[[#This Row],[Krav '#]]&amp;" - "&amp;[1]!Table1[[#This Row],[Beskrivelse]]</f>
        <v xml:space="preserve">10.a.2 - Såfremt brugeren vælger "før", skal felterne fra spørgsmål 10.a.1 vises </v>
      </c>
    </row>
    <row r="154" spans="1:6" hidden="1" x14ac:dyDescent="0.3">
      <c r="A154" s="57" t="s">
        <v>749</v>
      </c>
      <c r="B154" s="7" t="s">
        <v>750</v>
      </c>
      <c r="C154" s="7" t="s">
        <v>755</v>
      </c>
      <c r="D154" s="28" t="e">
        <f>COUNTIF('[1]FF - Test Design'!D:D,C154)</f>
        <v>#VALUE!</v>
      </c>
      <c r="E154" s="8" t="s">
        <v>756</v>
      </c>
      <c r="F154" s="57" t="str">
        <f>[1]!Table1[[#This Row],[Krav '#]]&amp;" - "&amp;[1]!Table1[[#This Row],[Beskrivelse]]</f>
        <v>10.a.3 - Såfremt brugeren vælger "Samme dag eller senere", skal felterne fra spørgsmål 10.a.2</v>
      </c>
    </row>
    <row r="155" spans="1:6" hidden="1" x14ac:dyDescent="0.3">
      <c r="A155" s="57" t="s">
        <v>749</v>
      </c>
      <c r="B155" s="7" t="s">
        <v>751</v>
      </c>
      <c r="C155" s="7" t="s">
        <v>757</v>
      </c>
      <c r="D155" s="28" t="e">
        <f>COUNTIF('[1]FF - Test Design'!D:D,C155)</f>
        <v>#VALUE!</v>
      </c>
      <c r="E155" s="8" t="s">
        <v>758</v>
      </c>
      <c r="F155" s="57" t="str">
        <f>[1]!Table1[[#This Row],[Krav '#]]&amp;" - "&amp;[1]!Table1[[#This Row],[Beskrivelse]]</f>
        <v>10.a.1.1 - Det skal være muligt for brugeren, via tekstfelt, at udfylde det antal dage, for hvor lang tid før det [valgte stamdatafelt] kan begyndelsestidspunktet for forældelsesfristens beregning tidligst ligge for den afgrænsede population.</v>
      </c>
    </row>
    <row r="156" spans="1:6" hidden="1" x14ac:dyDescent="0.3">
      <c r="A156" s="57" t="s">
        <v>749</v>
      </c>
      <c r="B156" s="7" t="s">
        <v>751</v>
      </c>
      <c r="C156" s="7" t="s">
        <v>759</v>
      </c>
      <c r="D156" s="28" t="e">
        <f>COUNTIF('[1]FF - Test Design'!D:D,C156)</f>
        <v>#VALUE!</v>
      </c>
      <c r="E156" s="8" t="s">
        <v>760</v>
      </c>
      <c r="F156" s="57" t="str">
        <f>[1]!Table1[[#This Row],[Krav '#]]&amp;" - "&amp;[1]!Table1[[#This Row],[Beskrivelse]]</f>
        <v>10.a.1.2 - Det skal være muligt for brugeren at svare "ved ikke", såfremt at der ikke vides, hvor lang tid før det [valgte stamdatafelt] kan begyndelsestidspunktet for forældelsesfristens beregning tidligst ligge for den afgrænsede population.</v>
      </c>
    </row>
    <row r="157" spans="1:6" hidden="1" x14ac:dyDescent="0.3">
      <c r="A157" s="57" t="s">
        <v>749</v>
      </c>
      <c r="B157" s="7" t="s">
        <v>751</v>
      </c>
      <c r="C157" s="7" t="s">
        <v>761</v>
      </c>
      <c r="D157" s="28" t="e">
        <f>COUNTIF('[1]FF - Test Design'!D:D,C157)</f>
        <v>#VALUE!</v>
      </c>
      <c r="E157" s="8" t="s">
        <v>762</v>
      </c>
      <c r="F157" s="57" t="str">
        <f>[1]!Table1[[#This Row],[Krav '#]]&amp;" - "&amp;[1]!Table1[[#This Row],[Beskrivelse]]</f>
        <v>10.a.1.3 - Såfremt brugeren angiver antal dage skal brugeren ledes til spørgsmål 10.a.1.1</v>
      </c>
    </row>
    <row r="158" spans="1:6" hidden="1" x14ac:dyDescent="0.3">
      <c r="A158" s="57" t="s">
        <v>749</v>
      </c>
      <c r="B158" s="7" t="s">
        <v>751</v>
      </c>
      <c r="C158" s="7" t="s">
        <v>763</v>
      </c>
      <c r="D158" s="28" t="e">
        <f>COUNTIF('[1]FF - Test Design'!D:D,C158)</f>
        <v>#VALUE!</v>
      </c>
      <c r="E158" s="8" t="s">
        <v>764</v>
      </c>
      <c r="F158" s="57" t="str">
        <f>[1]!Table1[[#This Row],[Krav '#]]&amp;" - "&amp;[1]!Table1[[#This Row],[Beskrivelse]]</f>
        <v xml:space="preserve">10.a.1.4 - Såfremt brugeren angiver "ved ikke" skal brugeren ledes til 10.a.1.2 </v>
      </c>
    </row>
    <row r="159" spans="1:6" hidden="1" x14ac:dyDescent="0.3">
      <c r="A159" s="57" t="s">
        <v>765</v>
      </c>
      <c r="B159" s="7" t="s">
        <v>751</v>
      </c>
      <c r="C159" s="7" t="s">
        <v>766</v>
      </c>
      <c r="D159" s="28" t="e">
        <f>COUNTIF('[1]FF - Test Design'!D:D,C159)</f>
        <v>#VALUE!</v>
      </c>
      <c r="E159" s="8" t="s">
        <v>758</v>
      </c>
      <c r="F159" s="57" t="str">
        <f>[1]!Table1[[#This Row],[Krav '#]]&amp;" - "&amp;[1]!Table1[[#This Row],[Beskrivelse]]</f>
        <v>10.a.1.5 - Det skal være muligt for brugeren, via tekstfelt, at udfylde det antal dage, for hvor lang tid før det [valgte stamdatafelt] kan begyndelsestidspunktet for forældelsesfristens beregning tidligst ligge for den afgrænsede population.</v>
      </c>
    </row>
    <row r="160" spans="1:6" hidden="1" x14ac:dyDescent="0.3">
      <c r="A160" s="57" t="s">
        <v>765</v>
      </c>
      <c r="B160" s="7" t="s">
        <v>751</v>
      </c>
      <c r="C160" s="7" t="s">
        <v>767</v>
      </c>
      <c r="D160" s="28" t="e">
        <f>COUNTIF('[1]FF - Test Design'!D:D,C160)</f>
        <v>#VALUE!</v>
      </c>
      <c r="E160" s="8" t="s">
        <v>760</v>
      </c>
      <c r="F160" s="57" t="str">
        <f>[1]!Table1[[#This Row],[Krav '#]]&amp;" - "&amp;[1]!Table1[[#This Row],[Beskrivelse]]</f>
        <v>10.a.1.6 - Det skal være muligt for brugeren at svare "ved ikke", såfremt at der ikke vides, hvor lang tid før det [valgte stamdatafelt] kan begyndelsestidspunktet for forældelsesfristens beregning tidligst ligge for den afgrænsede population.</v>
      </c>
    </row>
    <row r="161" spans="1:6" hidden="1" x14ac:dyDescent="0.3">
      <c r="A161" s="57" t="s">
        <v>765</v>
      </c>
      <c r="B161" s="7" t="s">
        <v>751</v>
      </c>
      <c r="C161" s="7" t="s">
        <v>768</v>
      </c>
      <c r="D161" s="28" t="e">
        <f>COUNTIF('[1]FF - Test Design'!D:D,C161)</f>
        <v>#VALUE!</v>
      </c>
      <c r="E161" s="8" t="s">
        <v>762</v>
      </c>
      <c r="F161" s="57" t="str">
        <f>[1]!Table1[[#This Row],[Krav '#]]&amp;" - "&amp;[1]!Table1[[#This Row],[Beskrivelse]]</f>
        <v>10.a.1.7 - Såfremt brugeren angiver antal dage skal brugeren ledes til spørgsmål 10.a.1.1</v>
      </c>
    </row>
    <row r="162" spans="1:6" hidden="1" x14ac:dyDescent="0.3">
      <c r="A162" s="57" t="s">
        <v>765</v>
      </c>
      <c r="B162" s="7" t="s">
        <v>751</v>
      </c>
      <c r="C162" s="7" t="s">
        <v>769</v>
      </c>
      <c r="D162" s="28" t="e">
        <f>COUNTIF('[1]FF - Test Design'!D:D,C162)</f>
        <v>#VALUE!</v>
      </c>
      <c r="E162" s="8" t="s">
        <v>764</v>
      </c>
      <c r="F162" s="57" t="str">
        <f>[1]!Table1[[#This Row],[Krav '#]]&amp;" - "&amp;[1]!Table1[[#This Row],[Beskrivelse]]</f>
        <v xml:space="preserve">10.a.1.8 - Såfremt brugeren angiver "ved ikke" skal brugeren ledes til 10.a.1.2 </v>
      </c>
    </row>
    <row r="163" spans="1:6" hidden="1" x14ac:dyDescent="0.3">
      <c r="A163" s="57" t="s">
        <v>770</v>
      </c>
      <c r="B163" s="7" t="s">
        <v>751</v>
      </c>
      <c r="C163" s="7" t="s">
        <v>771</v>
      </c>
      <c r="D163" s="28" t="e">
        <f>COUNTIF('[1]FF - Test Design'!D:D,C163)</f>
        <v>#VALUE!</v>
      </c>
      <c r="E163" s="8" t="s">
        <v>758</v>
      </c>
      <c r="F163" s="57" t="str">
        <f>[1]!Table1[[#This Row],[Krav '#]]&amp;" - "&amp;[1]!Table1[[#This Row],[Beskrivelse]]</f>
        <v>10.a.1.9 - Det skal være muligt for brugeren, via tekstfelt, at udfylde det antal dage, for hvor lang tid før det [valgte stamdatafelt] kan begyndelsestidspunktet for forældelsesfristens beregning tidligst ligge for den afgrænsede population.</v>
      </c>
    </row>
    <row r="164" spans="1:6" hidden="1" x14ac:dyDescent="0.3">
      <c r="A164" s="57" t="s">
        <v>770</v>
      </c>
      <c r="B164" s="7" t="s">
        <v>751</v>
      </c>
      <c r="C164" s="7" t="s">
        <v>772</v>
      </c>
      <c r="D164" s="28" t="e">
        <f>COUNTIF('[1]FF - Test Design'!D:D,C164)</f>
        <v>#VALUE!</v>
      </c>
      <c r="E164" s="8" t="s">
        <v>760</v>
      </c>
      <c r="F164" s="57" t="str">
        <f>[1]!Table1[[#This Row],[Krav '#]]&amp;" - "&amp;[1]!Table1[[#This Row],[Beskrivelse]]</f>
        <v>10.a.1.10 - Det skal være muligt for brugeren at svare "ved ikke", såfremt at der ikke vides, hvor lang tid før det [valgte stamdatafelt] kan begyndelsestidspunktet for forældelsesfristens beregning tidligst ligge for den afgrænsede population.</v>
      </c>
    </row>
    <row r="165" spans="1:6" hidden="1" x14ac:dyDescent="0.3">
      <c r="A165" s="57" t="s">
        <v>770</v>
      </c>
      <c r="B165" s="7" t="s">
        <v>751</v>
      </c>
      <c r="C165" s="7" t="s">
        <v>773</v>
      </c>
      <c r="D165" s="28" t="e">
        <f>COUNTIF('[1]FF - Test Design'!D:D,C165)</f>
        <v>#VALUE!</v>
      </c>
      <c r="E165" s="8" t="s">
        <v>762</v>
      </c>
      <c r="F165" s="57" t="str">
        <f>[1]!Table1[[#This Row],[Krav '#]]&amp;" - "&amp;[1]!Table1[[#This Row],[Beskrivelse]]</f>
        <v>10.a.1.11 - Såfremt brugeren angiver antal dage skal brugeren ledes til spørgsmål 10.a.1.1</v>
      </c>
    </row>
    <row r="166" spans="1:6" hidden="1" x14ac:dyDescent="0.3">
      <c r="A166" s="57" t="s">
        <v>770</v>
      </c>
      <c r="B166" s="7" t="s">
        <v>751</v>
      </c>
      <c r="C166" s="7" t="s">
        <v>774</v>
      </c>
      <c r="D166" s="28" t="e">
        <f>COUNTIF('[1]FF - Test Design'!D:D,C166)</f>
        <v>#VALUE!</v>
      </c>
      <c r="E166" s="8" t="s">
        <v>764</v>
      </c>
      <c r="F166" s="57" t="str">
        <f>[1]!Table1[[#This Row],[Krav '#]]&amp;" - "&amp;[1]!Table1[[#This Row],[Beskrivelse]]</f>
        <v xml:space="preserve">10.a.1.12 - Såfremt brugeren angiver "ved ikke" skal brugeren ledes til 10.a.1.2 </v>
      </c>
    </row>
    <row r="167" spans="1:6" hidden="1" x14ac:dyDescent="0.3">
      <c r="A167" s="57" t="s">
        <v>775</v>
      </c>
      <c r="B167" s="7" t="s">
        <v>751</v>
      </c>
      <c r="C167" s="7" t="s">
        <v>776</v>
      </c>
      <c r="D167" s="28" t="e">
        <f>COUNTIF('[1]FF - Test Design'!D:D,C167)</f>
        <v>#VALUE!</v>
      </c>
      <c r="E167" s="8" t="s">
        <v>758</v>
      </c>
      <c r="F167" s="57" t="str">
        <f>[1]!Table1[[#This Row],[Krav '#]]&amp;" - "&amp;[1]!Table1[[#This Row],[Beskrivelse]]</f>
        <v>10.a.1.13 - Det skal være muligt for brugeren, via tekstfelt, at udfylde det antal dage, for hvor lang tid før det [valgte stamdatafelt] kan begyndelsestidspunktet for forældelsesfristens beregning tidligst ligge for den afgrænsede population.</v>
      </c>
    </row>
    <row r="168" spans="1:6" hidden="1" x14ac:dyDescent="0.3">
      <c r="A168" s="57" t="s">
        <v>775</v>
      </c>
      <c r="B168" s="7" t="s">
        <v>751</v>
      </c>
      <c r="C168" s="7" t="s">
        <v>777</v>
      </c>
      <c r="D168" s="28" t="e">
        <f>COUNTIF('[1]FF - Test Design'!D:D,C168)</f>
        <v>#VALUE!</v>
      </c>
      <c r="E168" s="8" t="s">
        <v>760</v>
      </c>
      <c r="F168" s="57" t="str">
        <f>[1]!Table1[[#This Row],[Krav '#]]&amp;" - "&amp;[1]!Table1[[#This Row],[Beskrivelse]]</f>
        <v>10.a.1.14 - Det skal være muligt for brugeren at svare "ved ikke", såfremt at der ikke vides, hvor lang tid før det [valgte stamdatafelt] kan begyndelsestidspunktet for forældelsesfristens beregning tidligst ligge for den afgrænsede population.</v>
      </c>
    </row>
    <row r="169" spans="1:6" hidden="1" x14ac:dyDescent="0.3">
      <c r="A169" s="57" t="s">
        <v>775</v>
      </c>
      <c r="B169" s="7" t="s">
        <v>751</v>
      </c>
      <c r="C169" s="7" t="s">
        <v>778</v>
      </c>
      <c r="D169" s="28" t="e">
        <f>COUNTIF('[1]FF - Test Design'!D:D,C169)</f>
        <v>#VALUE!</v>
      </c>
      <c r="E169" s="8" t="s">
        <v>762</v>
      </c>
      <c r="F169" s="57" t="str">
        <f>[1]!Table1[[#This Row],[Krav '#]]&amp;" - "&amp;[1]!Table1[[#This Row],[Beskrivelse]]</f>
        <v>10.a.1.15 - Såfremt brugeren angiver antal dage skal brugeren ledes til spørgsmål 10.a.1.1</v>
      </c>
    </row>
    <row r="170" spans="1:6" hidden="1" x14ac:dyDescent="0.3">
      <c r="A170" s="57" t="s">
        <v>775</v>
      </c>
      <c r="B170" s="7" t="s">
        <v>751</v>
      </c>
      <c r="C170" s="7" t="s">
        <v>779</v>
      </c>
      <c r="D170" s="28" t="e">
        <f>COUNTIF('[1]FF - Test Design'!D:D,C170)</f>
        <v>#VALUE!</v>
      </c>
      <c r="E170" s="8" t="s">
        <v>764</v>
      </c>
      <c r="F170" s="57" t="str">
        <f>[1]!Table1[[#This Row],[Krav '#]]&amp;" - "&amp;[1]!Table1[[#This Row],[Beskrivelse]]</f>
        <v xml:space="preserve">10.a.1.16 - Såfremt brugeren angiver "ved ikke" skal brugeren ledes til 10.a.1.2 </v>
      </c>
    </row>
    <row r="171" spans="1:6" hidden="1" x14ac:dyDescent="0.3">
      <c r="A171" s="57" t="s">
        <v>780</v>
      </c>
      <c r="B171" s="7" t="s">
        <v>751</v>
      </c>
      <c r="C171" s="7" t="s">
        <v>781</v>
      </c>
      <c r="D171" s="28" t="e">
        <f>COUNTIF('[1]FF - Test Design'!D:D,C171)</f>
        <v>#VALUE!</v>
      </c>
      <c r="E171" s="8" t="s">
        <v>758</v>
      </c>
      <c r="F171" s="57" t="str">
        <f>[1]!Table1[[#This Row],[Krav '#]]&amp;" - "&amp;[1]!Table1[[#This Row],[Beskrivelse]]</f>
        <v>10.a.1.17 - Det skal være muligt for brugeren, via tekstfelt, at udfylde det antal dage, for hvor lang tid før det [valgte stamdatafelt] kan begyndelsestidspunktet for forældelsesfristens beregning tidligst ligge for den afgrænsede population.</v>
      </c>
    </row>
    <row r="172" spans="1:6" hidden="1" x14ac:dyDescent="0.3">
      <c r="A172" s="57" t="s">
        <v>780</v>
      </c>
      <c r="B172" s="7" t="s">
        <v>751</v>
      </c>
      <c r="C172" s="7" t="s">
        <v>782</v>
      </c>
      <c r="D172" s="28" t="e">
        <f>COUNTIF('[1]FF - Test Design'!D:D,C172)</f>
        <v>#VALUE!</v>
      </c>
      <c r="E172" s="8" t="s">
        <v>760</v>
      </c>
      <c r="F172" s="57" t="str">
        <f>[1]!Table1[[#This Row],[Krav '#]]&amp;" - "&amp;[1]!Table1[[#This Row],[Beskrivelse]]</f>
        <v>10.a.1.18 - Det skal være muligt for brugeren at svare "ved ikke", såfremt at der ikke vides, hvor lang tid før det [valgte stamdatafelt] kan begyndelsestidspunktet for forældelsesfristens beregning tidligst ligge for den afgrænsede population.</v>
      </c>
    </row>
    <row r="173" spans="1:6" hidden="1" x14ac:dyDescent="0.3">
      <c r="A173" s="57" t="s">
        <v>780</v>
      </c>
      <c r="B173" s="7" t="s">
        <v>751</v>
      </c>
      <c r="C173" s="7" t="s">
        <v>783</v>
      </c>
      <c r="D173" s="28" t="e">
        <f>COUNTIF('[1]FF - Test Design'!D:D,C173)</f>
        <v>#VALUE!</v>
      </c>
      <c r="E173" s="8" t="s">
        <v>762</v>
      </c>
      <c r="F173" s="57" t="str">
        <f>[1]!Table1[[#This Row],[Krav '#]]&amp;" - "&amp;[1]!Table1[[#This Row],[Beskrivelse]]</f>
        <v>10.a.1.19 - Såfremt brugeren angiver antal dage skal brugeren ledes til spørgsmål 10.a.1.1</v>
      </c>
    </row>
    <row r="174" spans="1:6" hidden="1" x14ac:dyDescent="0.3">
      <c r="A174" s="57" t="s">
        <v>780</v>
      </c>
      <c r="B174" s="7" t="s">
        <v>751</v>
      </c>
      <c r="C174" s="7" t="s">
        <v>784</v>
      </c>
      <c r="D174" s="28" t="e">
        <f>COUNTIF('[1]FF - Test Design'!D:D,C174)</f>
        <v>#VALUE!</v>
      </c>
      <c r="E174" s="8" t="s">
        <v>764</v>
      </c>
      <c r="F174" s="57" t="str">
        <f>[1]!Table1[[#This Row],[Krav '#]]&amp;" - "&amp;[1]!Table1[[#This Row],[Beskrivelse]]</f>
        <v xml:space="preserve">10.a.1.20 - Såfremt brugeren angiver "ved ikke" skal brugeren ledes til 10.a.1.2 </v>
      </c>
    </row>
    <row r="175" spans="1:6" hidden="1" x14ac:dyDescent="0.3">
      <c r="A175" s="57" t="s">
        <v>749</v>
      </c>
      <c r="B175" s="7" t="s">
        <v>757</v>
      </c>
      <c r="C175" s="7" t="s">
        <v>785</v>
      </c>
      <c r="D175" s="28" t="e">
        <f>COUNTIF('[1]FF - Test Design'!D:D,C175)</f>
        <v>#VALUE!</v>
      </c>
      <c r="E175" s="8" t="s">
        <v>786</v>
      </c>
      <c r="F175" s="57" t="str">
        <f>[1]!Table1[[#This Row],[Krav '#]]&amp;" - "&amp;[1]!Table1[[#This Row],[Beskrivelse]]</f>
        <v>10.a.1.1.1 - Der skal fremgå en infoboks med teksten: ”Normalt” er fordringer undergivet en 3 års forældelsesfrist”.</v>
      </c>
    </row>
    <row r="176" spans="1:6" hidden="1" x14ac:dyDescent="0.3">
      <c r="A176" s="57" t="s">
        <v>749</v>
      </c>
      <c r="B176" s="7" t="s">
        <v>757</v>
      </c>
      <c r="C176" s="7" t="s">
        <v>787</v>
      </c>
      <c r="D176" s="28" t="e">
        <f>COUNTIF('[1]FF - Test Design'!D:D,C176)</f>
        <v>#VALUE!</v>
      </c>
      <c r="E176" s="8" t="s">
        <v>788</v>
      </c>
      <c r="F176" s="57" t="str">
        <f>[1]!Table1[[#This Row],[Krav '#]]&amp;" - "&amp;[1]!Table1[[#This Row],[Beskrivelse]]</f>
        <v>10.a.1.1.2 - Det skal være muligt for brugeren, via tekstfelt, at definere den korteste mulige fristlængde for forældelsesfristens beregning for krav omfattet af den afgrænsede population.</v>
      </c>
    </row>
    <row r="177" spans="1:6" hidden="1" x14ac:dyDescent="0.3">
      <c r="A177" s="57" t="s">
        <v>749</v>
      </c>
      <c r="B177" s="7" t="s">
        <v>757</v>
      </c>
      <c r="C177" s="7" t="s">
        <v>789</v>
      </c>
      <c r="D177" s="28" t="e">
        <f>COUNTIF('[1]FF - Test Design'!D:D,C177)</f>
        <v>#VALUE!</v>
      </c>
      <c r="E177" s="8" t="s">
        <v>790</v>
      </c>
      <c r="F177" s="57" t="str">
        <f>[1]!Table1[[#This Row],[Krav '#]]&amp;" - "&amp;[1]!Table1[[#This Row],[Beskrivelse]]</f>
        <v>10.a.1.1.3 - Det skal være muligt for brugeren at svare "ved ikke", såfremt at den korteste mulige fristlængde for forældelsesfristens beregning for krav omfattet af den afgrænsede population ikke vides.</v>
      </c>
    </row>
    <row r="178" spans="1:6" hidden="1" x14ac:dyDescent="0.3">
      <c r="A178" s="57" t="s">
        <v>749</v>
      </c>
      <c r="B178" s="7" t="s">
        <v>757</v>
      </c>
      <c r="C178" s="7" t="s">
        <v>791</v>
      </c>
      <c r="D178" s="28" t="e">
        <f>COUNTIF('[1]FF - Test Design'!D:D,C178)</f>
        <v>#VALUE!</v>
      </c>
      <c r="E178" s="8" t="s">
        <v>792</v>
      </c>
      <c r="F178" s="57" t="str">
        <f>[1]!Table1[[#This Row],[Krav '#]]&amp;" - "&amp;[1]!Table1[[#This Row],[Beskrivelse]]</f>
        <v>10.a.1.1.4 - Der skal være en boks, hvor man kan vælge "3 år" som den korteste mulige fristlængde for forældelsesfristens beregning.</v>
      </c>
    </row>
    <row r="179" spans="1:6" hidden="1" x14ac:dyDescent="0.3">
      <c r="A179" s="57" t="s">
        <v>749</v>
      </c>
      <c r="B179" s="7" t="s">
        <v>757</v>
      </c>
      <c r="C179" s="7" t="s">
        <v>793</v>
      </c>
      <c r="D179" s="28" t="e">
        <f>COUNTIF('[1]FF - Test Design'!D:D,C179)</f>
        <v>#VALUE!</v>
      </c>
      <c r="E179" s="8" t="s">
        <v>794</v>
      </c>
      <c r="F179" s="57" t="str">
        <f>[1]!Table1[[#This Row],[Krav '#]]&amp;" - "&amp;[1]!Table1[[#This Row],[Beskrivelse]]</f>
        <v>10.a.1.1.5 - Såfremt brugeren angiver en frist skal brugeren ledes til spørgsmål 10.a.1.1.1</v>
      </c>
    </row>
    <row r="180" spans="1:6" hidden="1" x14ac:dyDescent="0.3">
      <c r="A180" s="57" t="s">
        <v>749</v>
      </c>
      <c r="B180" s="7" t="s">
        <v>757</v>
      </c>
      <c r="C180" s="7" t="s">
        <v>795</v>
      </c>
      <c r="D180" s="28" t="e">
        <f>COUNTIF('[1]FF - Test Design'!D:D,C180)</f>
        <v>#VALUE!</v>
      </c>
      <c r="E180" s="8" t="s">
        <v>796</v>
      </c>
      <c r="F180" s="57" t="str">
        <f>[1]!Table1[[#This Row],[Krav '#]]&amp;" - "&amp;[1]!Table1[[#This Row],[Beskrivelse]]</f>
        <v>10.a.1.1.6 - Såfremt brugeren angiver "ved ikke" skal brugeren ledes til 10.a.1.1.2</v>
      </c>
    </row>
    <row r="181" spans="1:6" hidden="1" x14ac:dyDescent="0.3">
      <c r="A181" s="57" t="s">
        <v>765</v>
      </c>
      <c r="B181" s="7" t="s">
        <v>757</v>
      </c>
      <c r="C181" s="7" t="s">
        <v>797</v>
      </c>
      <c r="D181" s="28" t="e">
        <f>COUNTIF('[1]FF - Test Design'!D:D,C181)</f>
        <v>#VALUE!</v>
      </c>
      <c r="E181" s="8" t="s">
        <v>786</v>
      </c>
      <c r="F181" s="57" t="str">
        <f>[1]!Table1[[#This Row],[Krav '#]]&amp;" - "&amp;[1]!Table1[[#This Row],[Beskrivelse]]</f>
        <v>10.a.1.1.7 - Der skal fremgå en infoboks med teksten: ”Normalt” er fordringer undergivet en 3 års forældelsesfrist”.</v>
      </c>
    </row>
    <row r="182" spans="1:6" hidden="1" x14ac:dyDescent="0.3">
      <c r="A182" s="57" t="s">
        <v>765</v>
      </c>
      <c r="B182" s="7" t="s">
        <v>757</v>
      </c>
      <c r="C182" s="7" t="s">
        <v>798</v>
      </c>
      <c r="D182" s="28" t="e">
        <f>COUNTIF('[1]FF - Test Design'!D:D,C182)</f>
        <v>#VALUE!</v>
      </c>
      <c r="E182" s="8" t="s">
        <v>788</v>
      </c>
      <c r="F182" s="57" t="str">
        <f>[1]!Table1[[#This Row],[Krav '#]]&amp;" - "&amp;[1]!Table1[[#This Row],[Beskrivelse]]</f>
        <v>10.a.1.1.8 - Det skal være muligt for brugeren, via tekstfelt, at definere den korteste mulige fristlængde for forældelsesfristens beregning for krav omfattet af den afgrænsede population.</v>
      </c>
    </row>
    <row r="183" spans="1:6" hidden="1" x14ac:dyDescent="0.3">
      <c r="A183" s="57" t="s">
        <v>765</v>
      </c>
      <c r="B183" s="7" t="s">
        <v>757</v>
      </c>
      <c r="C183" s="7" t="s">
        <v>799</v>
      </c>
      <c r="D183" s="28" t="e">
        <f>COUNTIF('[1]FF - Test Design'!D:D,C183)</f>
        <v>#VALUE!</v>
      </c>
      <c r="E183" s="8" t="s">
        <v>790</v>
      </c>
      <c r="F183" s="57" t="str">
        <f>[1]!Table1[[#This Row],[Krav '#]]&amp;" - "&amp;[1]!Table1[[#This Row],[Beskrivelse]]</f>
        <v>10.a.1.1.9 - Det skal være muligt for brugeren at svare "ved ikke", såfremt at den korteste mulige fristlængde for forældelsesfristens beregning for krav omfattet af den afgrænsede population ikke vides.</v>
      </c>
    </row>
    <row r="184" spans="1:6" hidden="1" x14ac:dyDescent="0.3">
      <c r="A184" s="57" t="s">
        <v>765</v>
      </c>
      <c r="B184" s="7" t="s">
        <v>757</v>
      </c>
      <c r="C184" s="7" t="s">
        <v>800</v>
      </c>
      <c r="D184" s="28" t="e">
        <f>COUNTIF('[1]FF - Test Design'!D:D,C184)</f>
        <v>#VALUE!</v>
      </c>
      <c r="E184" s="8" t="s">
        <v>792</v>
      </c>
      <c r="F184" s="57" t="str">
        <f>[1]!Table1[[#This Row],[Krav '#]]&amp;" - "&amp;[1]!Table1[[#This Row],[Beskrivelse]]</f>
        <v>10.a.1.1.10 - Der skal være en boks, hvor man kan vælge "3 år" som den korteste mulige fristlængde for forældelsesfristens beregning.</v>
      </c>
    </row>
    <row r="185" spans="1:6" hidden="1" x14ac:dyDescent="0.3">
      <c r="A185" s="57" t="s">
        <v>765</v>
      </c>
      <c r="B185" s="7" t="s">
        <v>757</v>
      </c>
      <c r="C185" s="7" t="s">
        <v>801</v>
      </c>
      <c r="D185" s="28" t="e">
        <f>COUNTIF('[1]FF - Test Design'!D:D,C185)</f>
        <v>#VALUE!</v>
      </c>
      <c r="E185" s="8" t="s">
        <v>794</v>
      </c>
      <c r="F185" s="57" t="str">
        <f>[1]!Table1[[#This Row],[Krav '#]]&amp;" - "&amp;[1]!Table1[[#This Row],[Beskrivelse]]</f>
        <v>10.a.1.1.11 - Såfremt brugeren angiver en frist skal brugeren ledes til spørgsmål 10.a.1.1.1</v>
      </c>
    </row>
    <row r="186" spans="1:6" hidden="1" x14ac:dyDescent="0.3">
      <c r="A186" s="57" t="s">
        <v>765</v>
      </c>
      <c r="B186" s="7" t="s">
        <v>757</v>
      </c>
      <c r="C186" s="7" t="s">
        <v>802</v>
      </c>
      <c r="D186" s="28" t="e">
        <f>COUNTIF('[1]FF - Test Design'!D:D,C186)</f>
        <v>#VALUE!</v>
      </c>
      <c r="E186" s="8" t="s">
        <v>796</v>
      </c>
      <c r="F186" s="57" t="str">
        <f>[1]!Table1[[#This Row],[Krav '#]]&amp;" - "&amp;[1]!Table1[[#This Row],[Beskrivelse]]</f>
        <v>10.a.1.1.12 - Såfremt brugeren angiver "ved ikke" skal brugeren ledes til 10.a.1.1.2</v>
      </c>
    </row>
    <row r="187" spans="1:6" hidden="1" x14ac:dyDescent="0.3">
      <c r="A187" s="57" t="s">
        <v>770</v>
      </c>
      <c r="B187" s="7" t="s">
        <v>757</v>
      </c>
      <c r="C187" s="7" t="s">
        <v>803</v>
      </c>
      <c r="D187" s="28" t="e">
        <f>COUNTIF('[1]FF - Test Design'!D:D,C187)</f>
        <v>#VALUE!</v>
      </c>
      <c r="E187" s="8" t="s">
        <v>786</v>
      </c>
      <c r="F187" s="57" t="str">
        <f>[1]!Table1[[#This Row],[Krav '#]]&amp;" - "&amp;[1]!Table1[[#This Row],[Beskrivelse]]</f>
        <v>10.a.1.1.13 - Der skal fremgå en infoboks med teksten: ”Normalt” er fordringer undergivet en 3 års forældelsesfrist”.</v>
      </c>
    </row>
    <row r="188" spans="1:6" hidden="1" x14ac:dyDescent="0.3">
      <c r="A188" s="57" t="s">
        <v>770</v>
      </c>
      <c r="B188" s="7" t="s">
        <v>757</v>
      </c>
      <c r="C188" s="7" t="s">
        <v>804</v>
      </c>
      <c r="D188" s="28" t="e">
        <f>COUNTIF('[1]FF - Test Design'!D:D,C188)</f>
        <v>#VALUE!</v>
      </c>
      <c r="E188" s="8" t="s">
        <v>788</v>
      </c>
      <c r="F188" s="57" t="str">
        <f>[1]!Table1[[#This Row],[Krav '#]]&amp;" - "&amp;[1]!Table1[[#This Row],[Beskrivelse]]</f>
        <v>10.a.1.1.14 - Det skal være muligt for brugeren, via tekstfelt, at definere den korteste mulige fristlængde for forældelsesfristens beregning for krav omfattet af den afgrænsede population.</v>
      </c>
    </row>
    <row r="189" spans="1:6" hidden="1" x14ac:dyDescent="0.3">
      <c r="A189" s="57" t="s">
        <v>770</v>
      </c>
      <c r="B189" s="7" t="s">
        <v>757</v>
      </c>
      <c r="C189" s="7" t="s">
        <v>805</v>
      </c>
      <c r="D189" s="28" t="e">
        <f>COUNTIF('[1]FF - Test Design'!D:D,C189)</f>
        <v>#VALUE!</v>
      </c>
      <c r="E189" s="8" t="s">
        <v>790</v>
      </c>
      <c r="F189" s="57" t="str">
        <f>[1]!Table1[[#This Row],[Krav '#]]&amp;" - "&amp;[1]!Table1[[#This Row],[Beskrivelse]]</f>
        <v>10.a.1.1.15 - Det skal være muligt for brugeren at svare "ved ikke", såfremt at den korteste mulige fristlængde for forældelsesfristens beregning for krav omfattet af den afgrænsede population ikke vides.</v>
      </c>
    </row>
    <row r="190" spans="1:6" hidden="1" x14ac:dyDescent="0.3">
      <c r="A190" s="57" t="s">
        <v>770</v>
      </c>
      <c r="B190" s="7" t="s">
        <v>757</v>
      </c>
      <c r="C190" s="7" t="s">
        <v>806</v>
      </c>
      <c r="D190" s="28" t="e">
        <f>COUNTIF('[1]FF - Test Design'!D:D,C190)</f>
        <v>#VALUE!</v>
      </c>
      <c r="E190" s="8" t="s">
        <v>792</v>
      </c>
      <c r="F190" s="57" t="str">
        <f>[1]!Table1[[#This Row],[Krav '#]]&amp;" - "&amp;[1]!Table1[[#This Row],[Beskrivelse]]</f>
        <v>10.a.1.1.16 - Der skal være en boks, hvor man kan vælge "3 år" som den korteste mulige fristlængde for forældelsesfristens beregning.</v>
      </c>
    </row>
    <row r="191" spans="1:6" hidden="1" x14ac:dyDescent="0.3">
      <c r="A191" s="57" t="s">
        <v>770</v>
      </c>
      <c r="B191" s="7" t="s">
        <v>757</v>
      </c>
      <c r="C191" s="7" t="s">
        <v>807</v>
      </c>
      <c r="D191" s="28" t="e">
        <f>COUNTIF('[1]FF - Test Design'!D:D,C191)</f>
        <v>#VALUE!</v>
      </c>
      <c r="E191" s="8" t="s">
        <v>794</v>
      </c>
      <c r="F191" s="57" t="str">
        <f>[1]!Table1[[#This Row],[Krav '#]]&amp;" - "&amp;[1]!Table1[[#This Row],[Beskrivelse]]</f>
        <v>10.a.1.1.17 - Såfremt brugeren angiver en frist skal brugeren ledes til spørgsmål 10.a.1.1.1</v>
      </c>
    </row>
    <row r="192" spans="1:6" hidden="1" x14ac:dyDescent="0.3">
      <c r="A192" s="57" t="s">
        <v>770</v>
      </c>
      <c r="B192" s="7" t="s">
        <v>757</v>
      </c>
      <c r="C192" s="7" t="s">
        <v>808</v>
      </c>
      <c r="D192" s="28" t="e">
        <f>COUNTIF('[1]FF - Test Design'!D:D,C192)</f>
        <v>#VALUE!</v>
      </c>
      <c r="E192" s="8" t="s">
        <v>796</v>
      </c>
      <c r="F192" s="57" t="str">
        <f>[1]!Table1[[#This Row],[Krav '#]]&amp;" - "&amp;[1]!Table1[[#This Row],[Beskrivelse]]</f>
        <v>10.a.1.1.18 - Såfremt brugeren angiver "ved ikke" skal brugeren ledes til 10.a.1.1.2</v>
      </c>
    </row>
    <row r="193" spans="1:6" hidden="1" x14ac:dyDescent="0.3">
      <c r="A193" s="57" t="s">
        <v>775</v>
      </c>
      <c r="B193" s="7" t="s">
        <v>757</v>
      </c>
      <c r="C193" s="7" t="s">
        <v>809</v>
      </c>
      <c r="D193" s="28" t="e">
        <f>COUNTIF('[1]FF - Test Design'!D:D,C193)</f>
        <v>#VALUE!</v>
      </c>
      <c r="E193" s="8" t="s">
        <v>786</v>
      </c>
      <c r="F193" s="57" t="str">
        <f>[1]!Table1[[#This Row],[Krav '#]]&amp;" - "&amp;[1]!Table1[[#This Row],[Beskrivelse]]</f>
        <v>10.a.1.1.19 - Der skal fremgå en infoboks med teksten: ”Normalt” er fordringer undergivet en 3 års forældelsesfrist”.</v>
      </c>
    </row>
    <row r="194" spans="1:6" hidden="1" x14ac:dyDescent="0.3">
      <c r="A194" s="57" t="s">
        <v>775</v>
      </c>
      <c r="B194" s="7" t="s">
        <v>757</v>
      </c>
      <c r="C194" s="7" t="s">
        <v>810</v>
      </c>
      <c r="D194" s="28" t="e">
        <f>COUNTIF('[1]FF - Test Design'!D:D,C194)</f>
        <v>#VALUE!</v>
      </c>
      <c r="E194" s="8" t="s">
        <v>788</v>
      </c>
      <c r="F194" s="57" t="str">
        <f>[1]!Table1[[#This Row],[Krav '#]]&amp;" - "&amp;[1]!Table1[[#This Row],[Beskrivelse]]</f>
        <v>10.a.1.1.20 - Det skal være muligt for brugeren, via tekstfelt, at definere den korteste mulige fristlængde for forældelsesfristens beregning for krav omfattet af den afgrænsede population.</v>
      </c>
    </row>
    <row r="195" spans="1:6" hidden="1" x14ac:dyDescent="0.3">
      <c r="A195" s="57" t="s">
        <v>775</v>
      </c>
      <c r="B195" s="7" t="s">
        <v>757</v>
      </c>
      <c r="C195" s="7" t="s">
        <v>811</v>
      </c>
      <c r="D195" s="28" t="e">
        <f>COUNTIF('[1]FF - Test Design'!D:D,C195)</f>
        <v>#VALUE!</v>
      </c>
      <c r="E195" s="8" t="s">
        <v>790</v>
      </c>
      <c r="F195" s="57" t="str">
        <f>[1]!Table1[[#This Row],[Krav '#]]&amp;" - "&amp;[1]!Table1[[#This Row],[Beskrivelse]]</f>
        <v>10.a.1.1.21 - Det skal være muligt for brugeren at svare "ved ikke", såfremt at den korteste mulige fristlængde for forældelsesfristens beregning for krav omfattet af den afgrænsede population ikke vides.</v>
      </c>
    </row>
    <row r="196" spans="1:6" hidden="1" x14ac:dyDescent="0.3">
      <c r="A196" s="57" t="s">
        <v>775</v>
      </c>
      <c r="B196" s="7" t="s">
        <v>757</v>
      </c>
      <c r="C196" s="7" t="s">
        <v>812</v>
      </c>
      <c r="D196" s="28" t="e">
        <f>COUNTIF('[1]FF - Test Design'!D:D,C196)</f>
        <v>#VALUE!</v>
      </c>
      <c r="E196" s="8" t="s">
        <v>792</v>
      </c>
      <c r="F196" s="57" t="str">
        <f>[1]!Table1[[#This Row],[Krav '#]]&amp;" - "&amp;[1]!Table1[[#This Row],[Beskrivelse]]</f>
        <v>10.a.1.1.22 - Der skal være en boks, hvor man kan vælge "3 år" som den korteste mulige fristlængde for forældelsesfristens beregning.</v>
      </c>
    </row>
    <row r="197" spans="1:6" hidden="1" x14ac:dyDescent="0.3">
      <c r="A197" s="57" t="s">
        <v>775</v>
      </c>
      <c r="B197" s="7" t="s">
        <v>757</v>
      </c>
      <c r="C197" s="7" t="s">
        <v>813</v>
      </c>
      <c r="D197" s="28" t="e">
        <f>COUNTIF('[1]FF - Test Design'!D:D,C197)</f>
        <v>#VALUE!</v>
      </c>
      <c r="E197" s="8" t="s">
        <v>794</v>
      </c>
      <c r="F197" s="57" t="str">
        <f>[1]!Table1[[#This Row],[Krav '#]]&amp;" - "&amp;[1]!Table1[[#This Row],[Beskrivelse]]</f>
        <v>10.a.1.1.23 - Såfremt brugeren angiver en frist skal brugeren ledes til spørgsmål 10.a.1.1.1</v>
      </c>
    </row>
    <row r="198" spans="1:6" hidden="1" x14ac:dyDescent="0.3">
      <c r="A198" s="57" t="s">
        <v>775</v>
      </c>
      <c r="B198" s="7" t="s">
        <v>757</v>
      </c>
      <c r="C198" s="7" t="s">
        <v>814</v>
      </c>
      <c r="D198" s="28" t="e">
        <f>COUNTIF('[1]FF - Test Design'!D:D,C198)</f>
        <v>#VALUE!</v>
      </c>
      <c r="E198" s="8" t="s">
        <v>796</v>
      </c>
      <c r="F198" s="57" t="str">
        <f>[1]!Table1[[#This Row],[Krav '#]]&amp;" - "&amp;[1]!Table1[[#This Row],[Beskrivelse]]</f>
        <v>10.a.1.1.24 - Såfremt brugeren angiver "ved ikke" skal brugeren ledes til 10.a.1.1.2</v>
      </c>
    </row>
    <row r="199" spans="1:6" hidden="1" x14ac:dyDescent="0.3">
      <c r="A199" s="57" t="s">
        <v>780</v>
      </c>
      <c r="B199" s="7" t="s">
        <v>757</v>
      </c>
      <c r="C199" s="7" t="s">
        <v>815</v>
      </c>
      <c r="D199" s="28" t="e">
        <f>COUNTIF('[1]FF - Test Design'!D:D,C199)</f>
        <v>#VALUE!</v>
      </c>
      <c r="E199" s="8" t="s">
        <v>786</v>
      </c>
      <c r="F199" s="57" t="str">
        <f>[1]!Table1[[#This Row],[Krav '#]]&amp;" - "&amp;[1]!Table1[[#This Row],[Beskrivelse]]</f>
        <v>10.a.1.1.25 - Der skal fremgå en infoboks med teksten: ”Normalt” er fordringer undergivet en 3 års forældelsesfrist”.</v>
      </c>
    </row>
    <row r="200" spans="1:6" hidden="1" x14ac:dyDescent="0.3">
      <c r="A200" s="57" t="s">
        <v>780</v>
      </c>
      <c r="B200" s="7" t="s">
        <v>757</v>
      </c>
      <c r="C200" s="7" t="s">
        <v>816</v>
      </c>
      <c r="D200" s="28" t="e">
        <f>COUNTIF('[1]FF - Test Design'!D:D,C200)</f>
        <v>#VALUE!</v>
      </c>
      <c r="E200" s="8" t="s">
        <v>788</v>
      </c>
      <c r="F200" s="57" t="str">
        <f>[1]!Table1[[#This Row],[Krav '#]]&amp;" - "&amp;[1]!Table1[[#This Row],[Beskrivelse]]</f>
        <v>10.a.1.1.26 - Det skal være muligt for brugeren, via tekstfelt, at definere den korteste mulige fristlængde for forældelsesfristens beregning for krav omfattet af den afgrænsede population.</v>
      </c>
    </row>
    <row r="201" spans="1:6" hidden="1" x14ac:dyDescent="0.3">
      <c r="A201" s="57" t="s">
        <v>780</v>
      </c>
      <c r="B201" s="7" t="s">
        <v>757</v>
      </c>
      <c r="C201" s="7" t="s">
        <v>817</v>
      </c>
      <c r="D201" s="28" t="e">
        <f>COUNTIF('[1]FF - Test Design'!D:D,C201)</f>
        <v>#VALUE!</v>
      </c>
      <c r="E201" s="8" t="s">
        <v>790</v>
      </c>
      <c r="F201" s="57" t="str">
        <f>[1]!Table1[[#This Row],[Krav '#]]&amp;" - "&amp;[1]!Table1[[#This Row],[Beskrivelse]]</f>
        <v>10.a.1.1.27 - Det skal være muligt for brugeren at svare "ved ikke", såfremt at den korteste mulige fristlængde for forældelsesfristens beregning for krav omfattet af den afgrænsede population ikke vides.</v>
      </c>
    </row>
    <row r="202" spans="1:6" hidden="1" x14ac:dyDescent="0.3">
      <c r="A202" s="57" t="s">
        <v>780</v>
      </c>
      <c r="B202" s="7" t="s">
        <v>757</v>
      </c>
      <c r="C202" s="7" t="s">
        <v>818</v>
      </c>
      <c r="D202" s="28" t="e">
        <f>COUNTIF('[1]FF - Test Design'!D:D,C202)</f>
        <v>#VALUE!</v>
      </c>
      <c r="E202" s="8" t="s">
        <v>792</v>
      </c>
      <c r="F202" s="57" t="str">
        <f>[1]!Table1[[#This Row],[Krav '#]]&amp;" - "&amp;[1]!Table1[[#This Row],[Beskrivelse]]</f>
        <v>10.a.1.1.28 - Der skal være en boks, hvor man kan vælge "3 år" som den korteste mulige fristlængde for forældelsesfristens beregning.</v>
      </c>
    </row>
    <row r="203" spans="1:6" hidden="1" x14ac:dyDescent="0.3">
      <c r="A203" s="57" t="s">
        <v>780</v>
      </c>
      <c r="B203" s="7" t="s">
        <v>757</v>
      </c>
      <c r="C203" s="7" t="s">
        <v>819</v>
      </c>
      <c r="D203" s="28" t="e">
        <f>COUNTIF('[1]FF - Test Design'!D:D,C203)</f>
        <v>#VALUE!</v>
      </c>
      <c r="E203" s="8" t="s">
        <v>794</v>
      </c>
      <c r="F203" s="57" t="str">
        <f>[1]!Table1[[#This Row],[Krav '#]]&amp;" - "&amp;[1]!Table1[[#This Row],[Beskrivelse]]</f>
        <v>10.a.1.1.29 - Såfremt brugeren angiver en frist skal brugeren ledes til spørgsmål 10.a.1.1.1</v>
      </c>
    </row>
    <row r="204" spans="1:6" hidden="1" x14ac:dyDescent="0.3">
      <c r="A204" s="57" t="s">
        <v>780</v>
      </c>
      <c r="B204" s="7" t="s">
        <v>757</v>
      </c>
      <c r="C204" s="7" t="s">
        <v>820</v>
      </c>
      <c r="D204" s="28" t="e">
        <f>COUNTIF('[1]FF - Test Design'!D:D,C204)</f>
        <v>#VALUE!</v>
      </c>
      <c r="E204" s="8" t="s">
        <v>796</v>
      </c>
      <c r="F204" s="57" t="str">
        <f>[1]!Table1[[#This Row],[Krav '#]]&amp;" - "&amp;[1]!Table1[[#This Row],[Beskrivelse]]</f>
        <v>10.a.1.1.30 - Såfremt brugeren angiver "ved ikke" skal brugeren ledes til 10.a.1.1.2</v>
      </c>
    </row>
    <row r="205" spans="1:6" hidden="1" x14ac:dyDescent="0.3">
      <c r="A205" s="57" t="s">
        <v>749</v>
      </c>
      <c r="B205" s="7" t="s">
        <v>785</v>
      </c>
      <c r="C205" s="7" t="s">
        <v>821</v>
      </c>
      <c r="D205" s="28" t="e">
        <f>COUNTIF('[1]FF - Test Design'!D:D,C205)</f>
        <v>#VALUE!</v>
      </c>
      <c r="E205" s="8" t="s">
        <v>822</v>
      </c>
      <c r="F205" s="57" t="str">
        <f>[1]!Table1[[#This Row],[Krav '#]]&amp;" - "&amp;[1]!Table1[[#This Row],[Beskrivelse]]</f>
        <v>10.a.1.1.1.1 - Gruppe 1 aktiveres</v>
      </c>
    </row>
    <row r="206" spans="1:6" hidden="1" x14ac:dyDescent="0.3">
      <c r="A206" s="57" t="s">
        <v>765</v>
      </c>
      <c r="B206" s="7" t="s">
        <v>785</v>
      </c>
      <c r="C206" s="7" t="s">
        <v>823</v>
      </c>
      <c r="D206" s="28" t="e">
        <f>COUNTIF('[1]FF - Test Design'!D:D,C206)</f>
        <v>#VALUE!</v>
      </c>
      <c r="E206" s="8" t="s">
        <v>822</v>
      </c>
      <c r="F206" s="57" t="str">
        <f>[1]!Table1[[#This Row],[Krav '#]]&amp;" - "&amp;[1]!Table1[[#This Row],[Beskrivelse]]</f>
        <v>10.a.1.1.1.2 - Gruppe 1 aktiveres</v>
      </c>
    </row>
    <row r="207" spans="1:6" hidden="1" x14ac:dyDescent="0.3">
      <c r="A207" s="57" t="s">
        <v>770</v>
      </c>
      <c r="B207" s="7" t="s">
        <v>785</v>
      </c>
      <c r="C207" s="7" t="s">
        <v>824</v>
      </c>
      <c r="D207" s="28" t="e">
        <f>COUNTIF('[1]FF - Test Design'!D:D,C207)</f>
        <v>#VALUE!</v>
      </c>
      <c r="E207" s="8" t="s">
        <v>822</v>
      </c>
      <c r="F207" s="57" t="str">
        <f>[1]!Table1[[#This Row],[Krav '#]]&amp;" - "&amp;[1]!Table1[[#This Row],[Beskrivelse]]</f>
        <v>10.a.1.1.1.3 - Gruppe 1 aktiveres</v>
      </c>
    </row>
    <row r="208" spans="1:6" hidden="1" x14ac:dyDescent="0.3">
      <c r="A208" s="57" t="s">
        <v>775</v>
      </c>
      <c r="B208" s="7" t="s">
        <v>785</v>
      </c>
      <c r="C208" s="7" t="s">
        <v>825</v>
      </c>
      <c r="D208" s="28" t="e">
        <f>COUNTIF('[1]FF - Test Design'!D:D,C208)</f>
        <v>#VALUE!</v>
      </c>
      <c r="E208" s="8" t="s">
        <v>822</v>
      </c>
      <c r="F208" s="57" t="str">
        <f>[1]!Table1[[#This Row],[Krav '#]]&amp;" - "&amp;[1]!Table1[[#This Row],[Beskrivelse]]</f>
        <v>10.a.1.1.1.4 - Gruppe 1 aktiveres</v>
      </c>
    </row>
    <row r="209" spans="1:6" hidden="1" x14ac:dyDescent="0.3">
      <c r="A209" s="57" t="s">
        <v>780</v>
      </c>
      <c r="B209" s="7" t="s">
        <v>785</v>
      </c>
      <c r="C209" s="7" t="s">
        <v>826</v>
      </c>
      <c r="D209" s="28" t="e">
        <f>COUNTIF('[1]FF - Test Design'!D:D,C209)</f>
        <v>#VALUE!</v>
      </c>
      <c r="E209" s="8" t="s">
        <v>822</v>
      </c>
      <c r="F209" s="57" t="str">
        <f>[1]!Table1[[#This Row],[Krav '#]]&amp;" - "&amp;[1]!Table1[[#This Row],[Beskrivelse]]</f>
        <v>10.a.1.1.1.5 - Gruppe 1 aktiveres</v>
      </c>
    </row>
    <row r="210" spans="1:6" hidden="1" x14ac:dyDescent="0.3">
      <c r="A210" s="57" t="s">
        <v>749</v>
      </c>
      <c r="B210" s="7" t="s">
        <v>785</v>
      </c>
      <c r="C210" s="7" t="s">
        <v>827</v>
      </c>
      <c r="D210" s="28" t="e">
        <f>COUNTIF('[1]FF - Test Design'!D:D,C210)</f>
        <v>#VALUE!</v>
      </c>
      <c r="E210" s="8" t="s">
        <v>828</v>
      </c>
      <c r="F210" s="57" t="str">
        <f>[1]!Table1[[#This Row],[Krav '#]]&amp;" - "&amp;[1]!Table1[[#This Row],[Beskrivelse]]</f>
        <v>10.a.1.1.1.6 - Hvis forfaldsdato er valgt: Regel R0047 aktiveres</v>
      </c>
    </row>
    <row r="211" spans="1:6" hidden="1" x14ac:dyDescent="0.3">
      <c r="A211" s="57" t="s">
        <v>749</v>
      </c>
      <c r="B211" s="7" t="s">
        <v>785</v>
      </c>
      <c r="C211" s="7" t="s">
        <v>829</v>
      </c>
      <c r="D211" s="28" t="e">
        <f>COUNTIF('[1]FF - Test Design'!D:D,C211)</f>
        <v>#VALUE!</v>
      </c>
      <c r="E211" s="8" t="s">
        <v>830</v>
      </c>
      <c r="F211" s="57" t="str">
        <f>[1]!Table1[[#This Row],[Krav '#]]&amp;" - "&amp;[1]!Table1[[#This Row],[Beskrivelse]]</f>
        <v>10.a.1.1.1.7 - Hvis forfaldsdato er valgt: Regel R0048 aktiveres</v>
      </c>
    </row>
    <row r="212" spans="1:6" hidden="1" x14ac:dyDescent="0.3">
      <c r="A212" s="57" t="s">
        <v>749</v>
      </c>
      <c r="B212" s="7" t="s">
        <v>785</v>
      </c>
      <c r="C212" s="7" t="s">
        <v>831</v>
      </c>
      <c r="D212" s="28" t="e">
        <f>COUNTIF('[1]FF - Test Design'!D:D,C212)</f>
        <v>#VALUE!</v>
      </c>
      <c r="E212" s="8" t="s">
        <v>832</v>
      </c>
      <c r="F212" s="57" t="str">
        <f>[1]!Table1[[#This Row],[Krav '#]]&amp;" - "&amp;[1]!Table1[[#This Row],[Beskrivelse]]</f>
        <v>10.a.1.1.1.8 - Hvis forfaldsdato er valgt: Regel R0049 aktiveres</v>
      </c>
    </row>
    <row r="213" spans="1:6" hidden="1" x14ac:dyDescent="0.3">
      <c r="A213" s="57" t="s">
        <v>749</v>
      </c>
      <c r="B213" s="7" t="s">
        <v>785</v>
      </c>
      <c r="C213" s="7" t="s">
        <v>833</v>
      </c>
      <c r="D213" s="28" t="e">
        <f>COUNTIF('[1]FF - Test Design'!D:D,C213)</f>
        <v>#VALUE!</v>
      </c>
      <c r="E213" s="8" t="s">
        <v>834</v>
      </c>
      <c r="F213" s="57" t="str">
        <f>[1]!Table1[[#This Row],[Krav '#]]&amp;" - "&amp;[1]!Table1[[#This Row],[Beskrivelse]]</f>
        <v>10.a.1.1.1.9 - Hvis forfaldsdato er valgt: Regel R0050 aktiveres</v>
      </c>
    </row>
    <row r="214" spans="1:6" hidden="1" x14ac:dyDescent="0.3">
      <c r="A214" s="57" t="s">
        <v>765</v>
      </c>
      <c r="B214" s="7" t="s">
        <v>785</v>
      </c>
      <c r="C214" s="7" t="s">
        <v>835</v>
      </c>
      <c r="D214" s="28" t="e">
        <f>COUNTIF('[1]FF - Test Design'!D:D,C214)</f>
        <v>#VALUE!</v>
      </c>
      <c r="E214" s="8" t="s">
        <v>836</v>
      </c>
      <c r="F214" s="57" t="str">
        <f>[1]!Table1[[#This Row],[Krav '#]]&amp;" - "&amp;[1]!Table1[[#This Row],[Beskrivelse]]</f>
        <v>10.a.1.1.1.10 - Hvis stiftelsesdato er valgt: Regel R0051 aktiveres</v>
      </c>
    </row>
    <row r="215" spans="1:6" hidden="1" x14ac:dyDescent="0.3">
      <c r="A215" s="57" t="s">
        <v>765</v>
      </c>
      <c r="B215" s="7" t="s">
        <v>785</v>
      </c>
      <c r="C215" s="7" t="s">
        <v>837</v>
      </c>
      <c r="D215" s="28" t="e">
        <f>COUNTIF('[1]FF - Test Design'!D:D,C215)</f>
        <v>#VALUE!</v>
      </c>
      <c r="E215" s="8" t="s">
        <v>838</v>
      </c>
      <c r="F215" s="57" t="str">
        <f>[1]!Table1[[#This Row],[Krav '#]]&amp;" - "&amp;[1]!Table1[[#This Row],[Beskrivelse]]</f>
        <v>10.a.1.1.1.11 - Hvis stiftelsesdato er valgt: Regel R0052 aktiveres</v>
      </c>
    </row>
    <row r="216" spans="1:6" hidden="1" x14ac:dyDescent="0.3">
      <c r="A216" s="57" t="s">
        <v>765</v>
      </c>
      <c r="B216" s="7" t="s">
        <v>785</v>
      </c>
      <c r="C216" s="7" t="s">
        <v>839</v>
      </c>
      <c r="D216" s="28" t="e">
        <f>COUNTIF('[1]FF - Test Design'!D:D,C216)</f>
        <v>#VALUE!</v>
      </c>
      <c r="E216" s="8" t="s">
        <v>840</v>
      </c>
      <c r="F216" s="57" t="str">
        <f>[1]!Table1[[#This Row],[Krav '#]]&amp;" - "&amp;[1]!Table1[[#This Row],[Beskrivelse]]</f>
        <v>10.a.1.1.1.12 - Hvis stiftelsesdato er valgt: Regel R0053 aktiveres</v>
      </c>
    </row>
    <row r="217" spans="1:6" hidden="1" x14ac:dyDescent="0.3">
      <c r="A217" s="57" t="s">
        <v>765</v>
      </c>
      <c r="B217" s="7" t="s">
        <v>785</v>
      </c>
      <c r="C217" s="7" t="s">
        <v>841</v>
      </c>
      <c r="D217" s="28" t="e">
        <f>COUNTIF('[1]FF - Test Design'!D:D,C217)</f>
        <v>#VALUE!</v>
      </c>
      <c r="E217" s="8" t="s">
        <v>842</v>
      </c>
      <c r="F217" s="57" t="str">
        <f>[1]!Table1[[#This Row],[Krav '#]]&amp;" - "&amp;[1]!Table1[[#This Row],[Beskrivelse]]</f>
        <v>10.a.1.1.1.13 - Hvis stiftelsesdato er valgt: Regel R0054 aktiveres</v>
      </c>
    </row>
    <row r="218" spans="1:6" hidden="1" x14ac:dyDescent="0.3">
      <c r="A218" s="57" t="s">
        <v>770</v>
      </c>
      <c r="B218" s="7" t="s">
        <v>785</v>
      </c>
      <c r="C218" s="7" t="s">
        <v>843</v>
      </c>
      <c r="D218" s="28" t="e">
        <f>COUNTIF('[1]FF - Test Design'!D:D,C218)</f>
        <v>#VALUE!</v>
      </c>
      <c r="E218" s="8" t="s">
        <v>844</v>
      </c>
      <c r="F218" s="57" t="str">
        <f>[1]!Table1[[#This Row],[Krav '#]]&amp;" - "&amp;[1]!Table1[[#This Row],[Beskrivelse]]</f>
        <v>10.a.1.1.1.14 - Hvis FordringsStartDato er valgt: Regel R0055 aktiveres</v>
      </c>
    </row>
    <row r="219" spans="1:6" hidden="1" x14ac:dyDescent="0.3">
      <c r="A219" s="57" t="s">
        <v>770</v>
      </c>
      <c r="B219" s="7" t="s">
        <v>785</v>
      </c>
      <c r="C219" s="7" t="s">
        <v>845</v>
      </c>
      <c r="D219" s="28" t="e">
        <f>COUNTIF('[1]FF - Test Design'!D:D,C219)</f>
        <v>#VALUE!</v>
      </c>
      <c r="E219" s="8" t="s">
        <v>846</v>
      </c>
      <c r="F219" s="57" t="str">
        <f>[1]!Table1[[#This Row],[Krav '#]]&amp;" - "&amp;[1]!Table1[[#This Row],[Beskrivelse]]</f>
        <v>10.a.1.1.1.15 - Hvis FordringsStartDato er valgt: Regel R0056 aktiveres</v>
      </c>
    </row>
    <row r="220" spans="1:6" hidden="1" x14ac:dyDescent="0.3">
      <c r="A220" s="57" t="s">
        <v>770</v>
      </c>
      <c r="B220" s="7" t="s">
        <v>785</v>
      </c>
      <c r="C220" s="7" t="s">
        <v>847</v>
      </c>
      <c r="D220" s="28" t="e">
        <f>COUNTIF('[1]FF - Test Design'!D:D,C220)</f>
        <v>#VALUE!</v>
      </c>
      <c r="E220" s="8" t="s">
        <v>848</v>
      </c>
      <c r="F220" s="57" t="str">
        <f>[1]!Table1[[#This Row],[Krav '#]]&amp;" - "&amp;[1]!Table1[[#This Row],[Beskrivelse]]</f>
        <v>10.a.1.1.1.16 - Hvis FordringsStartDato er valgt: Regel R0057 aktiveres</v>
      </c>
    </row>
    <row r="221" spans="1:6" hidden="1" x14ac:dyDescent="0.3">
      <c r="A221" s="57" t="s">
        <v>770</v>
      </c>
      <c r="B221" s="7" t="s">
        <v>785</v>
      </c>
      <c r="C221" s="7" t="s">
        <v>849</v>
      </c>
      <c r="D221" s="28" t="e">
        <f>COUNTIF('[1]FF - Test Design'!D:D,C221)</f>
        <v>#VALUE!</v>
      </c>
      <c r="E221" s="8" t="s">
        <v>850</v>
      </c>
      <c r="F221" s="57" t="str">
        <f>[1]!Table1[[#This Row],[Krav '#]]&amp;" - "&amp;[1]!Table1[[#This Row],[Beskrivelse]]</f>
        <v>10.a.1.1.1.17 - Hvis FordringsStartDato er valgt: Regel R0058 aktiveres</v>
      </c>
    </row>
    <row r="222" spans="1:6" hidden="1" x14ac:dyDescent="0.3">
      <c r="A222" s="57" t="s">
        <v>775</v>
      </c>
      <c r="B222" s="7" t="s">
        <v>785</v>
      </c>
      <c r="C222" s="7" t="s">
        <v>851</v>
      </c>
      <c r="D222" s="28" t="e">
        <f>COUNTIF('[1]FF - Test Design'!D:D,C222)</f>
        <v>#VALUE!</v>
      </c>
      <c r="E222" s="8" t="s">
        <v>852</v>
      </c>
      <c r="F222" s="57" t="str">
        <f>[1]!Table1[[#This Row],[Krav '#]]&amp;" - "&amp;[1]!Table1[[#This Row],[Beskrivelse]]</f>
        <v>10.a.1.1.1.18 - Hvis FordringsSlutDato er valgt: Regel R0059 aktiveres</v>
      </c>
    </row>
    <row r="223" spans="1:6" hidden="1" x14ac:dyDescent="0.3">
      <c r="A223" s="57" t="s">
        <v>775</v>
      </c>
      <c r="B223" s="7" t="s">
        <v>785</v>
      </c>
      <c r="C223" s="7" t="s">
        <v>853</v>
      </c>
      <c r="D223" s="28" t="e">
        <f>COUNTIF('[1]FF - Test Design'!D:D,C223)</f>
        <v>#VALUE!</v>
      </c>
      <c r="E223" s="8" t="s">
        <v>854</v>
      </c>
      <c r="F223" s="57" t="str">
        <f>[1]!Table1[[#This Row],[Krav '#]]&amp;" - "&amp;[1]!Table1[[#This Row],[Beskrivelse]]</f>
        <v>10.a.1.1.1.19 - Hvis FordringsSlutDato er valgt: Regel R0060 aktiveres</v>
      </c>
    </row>
    <row r="224" spans="1:6" hidden="1" x14ac:dyDescent="0.3">
      <c r="A224" s="57" t="s">
        <v>775</v>
      </c>
      <c r="B224" s="7" t="s">
        <v>785</v>
      </c>
      <c r="C224" s="7" t="s">
        <v>855</v>
      </c>
      <c r="D224" s="28" t="e">
        <f>COUNTIF('[1]FF - Test Design'!D:D,C224)</f>
        <v>#VALUE!</v>
      </c>
      <c r="E224" s="8" t="s">
        <v>856</v>
      </c>
      <c r="F224" s="57" t="str">
        <f>[1]!Table1[[#This Row],[Krav '#]]&amp;" - "&amp;[1]!Table1[[#This Row],[Beskrivelse]]</f>
        <v>10.a.1.1.1.20 - Hvis FordringsSlutDato er valgt: Regel R0061 aktiveres</v>
      </c>
    </row>
    <row r="225" spans="1:6" hidden="1" x14ac:dyDescent="0.3">
      <c r="A225" s="57" t="s">
        <v>775</v>
      </c>
      <c r="B225" s="7" t="s">
        <v>785</v>
      </c>
      <c r="C225" s="7" t="s">
        <v>857</v>
      </c>
      <c r="D225" s="28" t="e">
        <f>COUNTIF('[1]FF - Test Design'!D:D,C225)</f>
        <v>#VALUE!</v>
      </c>
      <c r="E225" s="8" t="s">
        <v>858</v>
      </c>
      <c r="F225" s="57" t="str">
        <f>[1]!Table1[[#This Row],[Krav '#]]&amp;" - "&amp;[1]!Table1[[#This Row],[Beskrivelse]]</f>
        <v>10.a.1.1.1.21 - Hvis FordringsSlutDato er valgt: Regel R0062 aktiveres</v>
      </c>
    </row>
    <row r="226" spans="1:6" hidden="1" x14ac:dyDescent="0.3">
      <c r="A226" s="57" t="s">
        <v>780</v>
      </c>
      <c r="B226" s="7" t="s">
        <v>785</v>
      </c>
      <c r="C226" s="7" t="s">
        <v>859</v>
      </c>
      <c r="D226" s="28" t="e">
        <f>COUNTIF('[1]FF - Test Design'!D:D,C226)</f>
        <v>#VALUE!</v>
      </c>
      <c r="E226" s="8" t="s">
        <v>860</v>
      </c>
      <c r="F226" s="57" t="str">
        <f>[1]!Table1[[#This Row],[Krav '#]]&amp;" - "&amp;[1]!Table1[[#This Row],[Beskrivelse]]</f>
        <v>10.a.1.1.1.22 - Hvis SRBDato er valgt: Regel R0063 aktiveres</v>
      </c>
    </row>
    <row r="227" spans="1:6" hidden="1" x14ac:dyDescent="0.3">
      <c r="A227" s="57" t="s">
        <v>780</v>
      </c>
      <c r="B227" s="7" t="s">
        <v>785</v>
      </c>
      <c r="C227" s="7" t="s">
        <v>861</v>
      </c>
      <c r="D227" s="28" t="e">
        <f>COUNTIF('[1]FF - Test Design'!D:D,C227)</f>
        <v>#VALUE!</v>
      </c>
      <c r="E227" s="8" t="s">
        <v>862</v>
      </c>
      <c r="F227" s="57" t="str">
        <f>[1]!Table1[[#This Row],[Krav '#]]&amp;" - "&amp;[1]!Table1[[#This Row],[Beskrivelse]]</f>
        <v>10.a.1.1.1.23 - Hvis SRBDato er valgt: Regel R0064 aktiveres</v>
      </c>
    </row>
    <row r="228" spans="1:6" hidden="1" x14ac:dyDescent="0.3">
      <c r="A228" s="57" t="s">
        <v>780</v>
      </c>
      <c r="B228" s="7" t="s">
        <v>785</v>
      </c>
      <c r="C228" s="7" t="s">
        <v>863</v>
      </c>
      <c r="D228" s="28" t="e">
        <f>COUNTIF('[1]FF - Test Design'!D:D,C228)</f>
        <v>#VALUE!</v>
      </c>
      <c r="E228" s="8" t="s">
        <v>864</v>
      </c>
      <c r="F228" s="57" t="str">
        <f>[1]!Table1[[#This Row],[Krav '#]]&amp;" - "&amp;[1]!Table1[[#This Row],[Beskrivelse]]</f>
        <v>10.a.1.1.1.24 - Hvis SRBDato er valgt: Regel R0065 aktiveres</v>
      </c>
    </row>
    <row r="229" spans="1:6" hidden="1" x14ac:dyDescent="0.3">
      <c r="A229" s="57" t="s">
        <v>780</v>
      </c>
      <c r="B229" s="7" t="s">
        <v>785</v>
      </c>
      <c r="C229" s="7" t="s">
        <v>865</v>
      </c>
      <c r="D229" s="28" t="e">
        <f>COUNTIF('[1]FF - Test Design'!D:D,C229)</f>
        <v>#VALUE!</v>
      </c>
      <c r="E229" s="8" t="s">
        <v>866</v>
      </c>
      <c r="F229" s="57" t="str">
        <f>[1]!Table1[[#This Row],[Krav '#]]&amp;" - "&amp;[1]!Table1[[#This Row],[Beskrivelse]]</f>
        <v>10.a.1.1.1.25 - Hvis SRBDato er valgt: Regel R0066 aktiveres</v>
      </c>
    </row>
    <row r="230" spans="1:6" hidden="1" x14ac:dyDescent="0.3">
      <c r="A230" s="57" t="s">
        <v>749</v>
      </c>
      <c r="B230" s="7" t="s">
        <v>785</v>
      </c>
      <c r="C230" s="7" t="s">
        <v>867</v>
      </c>
      <c r="D230" s="28" t="e">
        <f>COUNTIF('[1]FF - Test Design'!D:D,C230)</f>
        <v>#VALUE!</v>
      </c>
      <c r="E230" s="8" t="s">
        <v>868</v>
      </c>
      <c r="F230" s="57" t="str">
        <f>[1]!Table1[[#This Row],[Krav '#]]&amp;" - "&amp;[1]!Table1[[#This Row],[Beskrivelse]]</f>
        <v>10.a.1.1.1.26 - Hvis ForfaldsDato er valgt: Regel R0067 aktiveres</v>
      </c>
    </row>
    <row r="231" spans="1:6" hidden="1" x14ac:dyDescent="0.3">
      <c r="A231" s="57" t="s">
        <v>765</v>
      </c>
      <c r="B231" s="7" t="s">
        <v>785</v>
      </c>
      <c r="C231" s="7" t="s">
        <v>869</v>
      </c>
      <c r="D231" s="28" t="e">
        <f>COUNTIF('[1]FF - Test Design'!D:D,C231)</f>
        <v>#VALUE!</v>
      </c>
      <c r="E231" s="8" t="s">
        <v>870</v>
      </c>
      <c r="F231" s="57" t="str">
        <f>[1]!Table1[[#This Row],[Krav '#]]&amp;" - "&amp;[1]!Table1[[#This Row],[Beskrivelse]]</f>
        <v>10.a.1.1.1.27 - Hvis StiftelsesDato er valgt: Regel R0068 aktiveres</v>
      </c>
    </row>
    <row r="232" spans="1:6" hidden="1" x14ac:dyDescent="0.3">
      <c r="A232" s="57" t="s">
        <v>770</v>
      </c>
      <c r="B232" s="7" t="s">
        <v>785</v>
      </c>
      <c r="C232" s="7" t="s">
        <v>871</v>
      </c>
      <c r="D232" s="28" t="e">
        <f>COUNTIF('[1]FF - Test Design'!D:D,C232)</f>
        <v>#VALUE!</v>
      </c>
      <c r="E232" s="8" t="s">
        <v>872</v>
      </c>
      <c r="F232" s="57" t="str">
        <f>[1]!Table1[[#This Row],[Krav '#]]&amp;" - "&amp;[1]!Table1[[#This Row],[Beskrivelse]]</f>
        <v>10.a.1.1.1.28 - Hvis FordringsStartDato er valgt: Regel R0069 aktiveres</v>
      </c>
    </row>
    <row r="233" spans="1:6" hidden="1" x14ac:dyDescent="0.3">
      <c r="A233" s="57" t="s">
        <v>775</v>
      </c>
      <c r="B233" s="7" t="s">
        <v>785</v>
      </c>
      <c r="C233" s="7" t="s">
        <v>873</v>
      </c>
      <c r="D233" s="28" t="e">
        <f>COUNTIF('[1]FF - Test Design'!D:D,C233)</f>
        <v>#VALUE!</v>
      </c>
      <c r="E233" s="8" t="s">
        <v>874</v>
      </c>
      <c r="F233" s="57" t="str">
        <f>[1]!Table1[[#This Row],[Krav '#]]&amp;" - "&amp;[1]!Table1[[#This Row],[Beskrivelse]]</f>
        <v>10.a.1.1.1.29 - Hvis FordringsSlutDato er valgt: Regel R0070 aktiveres</v>
      </c>
    </row>
    <row r="234" spans="1:6" hidden="1" x14ac:dyDescent="0.3">
      <c r="A234" s="57" t="s">
        <v>780</v>
      </c>
      <c r="B234" s="7" t="s">
        <v>785</v>
      </c>
      <c r="C234" s="7" t="s">
        <v>875</v>
      </c>
      <c r="D234" s="28" t="e">
        <f>COUNTIF('[1]FF - Test Design'!D:D,C234)</f>
        <v>#VALUE!</v>
      </c>
      <c r="E234" s="8" t="s">
        <v>876</v>
      </c>
      <c r="F234" s="57" t="str">
        <f>[1]!Table1[[#This Row],[Krav '#]]&amp;" - "&amp;[1]!Table1[[#This Row],[Beskrivelse]]</f>
        <v>10.a.1.1.1.30 - Hvis SRBDato er valgt: Regel R0071 aktiveres</v>
      </c>
    </row>
    <row r="235" spans="1:6" hidden="1" x14ac:dyDescent="0.3">
      <c r="A235" s="57" t="s">
        <v>749</v>
      </c>
      <c r="B235" s="7" t="s">
        <v>785</v>
      </c>
      <c r="C235" s="7" t="s">
        <v>877</v>
      </c>
      <c r="D235" s="28" t="e">
        <f>COUNTIF('[1]FF - Test Design'!D:D,C235)</f>
        <v>#VALUE!</v>
      </c>
      <c r="E235" s="8" t="s">
        <v>878</v>
      </c>
      <c r="F235" s="57" t="str">
        <f>[1]!Table1[[#This Row],[Krav '#]]&amp;" - "&amp;[1]!Table1[[#This Row],[Beskrivelse]]</f>
        <v>10.a.1.1.1.31 - Hvis forfaldsdato ikke er valgt: Regel R0047 deaktiveres</v>
      </c>
    </row>
    <row r="236" spans="1:6" hidden="1" x14ac:dyDescent="0.3">
      <c r="A236" s="57" t="s">
        <v>749</v>
      </c>
      <c r="B236" s="7" t="s">
        <v>785</v>
      </c>
      <c r="C236" s="7" t="s">
        <v>879</v>
      </c>
      <c r="D236" s="28" t="e">
        <f>COUNTIF('[1]FF - Test Design'!D:D,C236)</f>
        <v>#VALUE!</v>
      </c>
      <c r="E236" s="8" t="s">
        <v>880</v>
      </c>
      <c r="F236" s="57" t="str">
        <f>[1]!Table1[[#This Row],[Krav '#]]&amp;" - "&amp;[1]!Table1[[#This Row],[Beskrivelse]]</f>
        <v>10.a.1.1.1.32 - Hvis forfaldsdato ikke er valgt: Regel R0048 deaktiveres</v>
      </c>
    </row>
    <row r="237" spans="1:6" hidden="1" x14ac:dyDescent="0.3">
      <c r="A237" s="57" t="s">
        <v>749</v>
      </c>
      <c r="B237" s="7" t="s">
        <v>785</v>
      </c>
      <c r="C237" s="7" t="s">
        <v>881</v>
      </c>
      <c r="D237" s="28" t="e">
        <f>COUNTIF('[1]FF - Test Design'!D:D,C237)</f>
        <v>#VALUE!</v>
      </c>
      <c r="E237" s="8" t="s">
        <v>882</v>
      </c>
      <c r="F237" s="57" t="str">
        <f>[1]!Table1[[#This Row],[Krav '#]]&amp;" - "&amp;[1]!Table1[[#This Row],[Beskrivelse]]</f>
        <v>10.a.1.1.1.33 - Hvis forfaldsdato ikke er valgt: Regel R0049 deaktiveres</v>
      </c>
    </row>
    <row r="238" spans="1:6" hidden="1" x14ac:dyDescent="0.3">
      <c r="A238" s="57" t="s">
        <v>749</v>
      </c>
      <c r="B238" s="7" t="s">
        <v>785</v>
      </c>
      <c r="C238" s="7" t="s">
        <v>883</v>
      </c>
      <c r="D238" s="28" t="e">
        <f>COUNTIF('[1]FF - Test Design'!D:D,C238)</f>
        <v>#VALUE!</v>
      </c>
      <c r="E238" s="8" t="s">
        <v>884</v>
      </c>
      <c r="F238" s="57" t="str">
        <f>[1]!Table1[[#This Row],[Krav '#]]&amp;" - "&amp;[1]!Table1[[#This Row],[Beskrivelse]]</f>
        <v>10.a.1.1.1.34 - Hvis forfaldsdato ikke er valgt: Regel R0050 deaktiveres</v>
      </c>
    </row>
    <row r="239" spans="1:6" hidden="1" x14ac:dyDescent="0.3">
      <c r="A239" s="57" t="s">
        <v>765</v>
      </c>
      <c r="B239" s="7" t="s">
        <v>785</v>
      </c>
      <c r="C239" s="7" t="s">
        <v>885</v>
      </c>
      <c r="D239" s="28" t="e">
        <f>COUNTIF('[1]FF - Test Design'!D:D,C239)</f>
        <v>#VALUE!</v>
      </c>
      <c r="E239" s="8" t="s">
        <v>886</v>
      </c>
      <c r="F239" s="57" t="str">
        <f>[1]!Table1[[#This Row],[Krav '#]]&amp;" - "&amp;[1]!Table1[[#This Row],[Beskrivelse]]</f>
        <v>10.a.1.1.1.35 - Hvis stiftelsesdato ikke er valgt: Regel R0051 deaktiveres</v>
      </c>
    </row>
    <row r="240" spans="1:6" hidden="1" x14ac:dyDescent="0.3">
      <c r="A240" s="57" t="s">
        <v>765</v>
      </c>
      <c r="B240" s="7" t="s">
        <v>785</v>
      </c>
      <c r="C240" s="7" t="s">
        <v>887</v>
      </c>
      <c r="D240" s="28" t="e">
        <f>COUNTIF('[1]FF - Test Design'!D:D,C240)</f>
        <v>#VALUE!</v>
      </c>
      <c r="E240" s="8" t="s">
        <v>888</v>
      </c>
      <c r="F240" s="57" t="str">
        <f>[1]!Table1[[#This Row],[Krav '#]]&amp;" - "&amp;[1]!Table1[[#This Row],[Beskrivelse]]</f>
        <v>10.a.1.1.1.36 - Hvis stiftelsesdato ikke er valgt: Regel R0052 deaktiveres</v>
      </c>
    </row>
    <row r="241" spans="1:6" hidden="1" x14ac:dyDescent="0.3">
      <c r="A241" s="57" t="s">
        <v>765</v>
      </c>
      <c r="B241" s="7" t="s">
        <v>785</v>
      </c>
      <c r="C241" s="7" t="s">
        <v>889</v>
      </c>
      <c r="D241" s="28" t="e">
        <f>COUNTIF('[1]FF - Test Design'!D:D,C241)</f>
        <v>#VALUE!</v>
      </c>
      <c r="E241" s="8" t="s">
        <v>890</v>
      </c>
      <c r="F241" s="57" t="str">
        <f>[1]!Table1[[#This Row],[Krav '#]]&amp;" - "&amp;[1]!Table1[[#This Row],[Beskrivelse]]</f>
        <v>10.a.1.1.1.37 - Hvis stiftelsesdato ikke er valgt: Regel R0053 deaktiveres</v>
      </c>
    </row>
    <row r="242" spans="1:6" hidden="1" x14ac:dyDescent="0.3">
      <c r="A242" s="57" t="s">
        <v>765</v>
      </c>
      <c r="B242" s="7" t="s">
        <v>785</v>
      </c>
      <c r="C242" s="7" t="s">
        <v>891</v>
      </c>
      <c r="D242" s="28" t="e">
        <f>COUNTIF('[1]FF - Test Design'!D:D,C242)</f>
        <v>#VALUE!</v>
      </c>
      <c r="E242" s="8" t="s">
        <v>892</v>
      </c>
      <c r="F242" s="57" t="str">
        <f>[1]!Table1[[#This Row],[Krav '#]]&amp;" - "&amp;[1]!Table1[[#This Row],[Beskrivelse]]</f>
        <v>10.a.1.1.1.38 - Hvis stiftelsesdato ikke er valgt: Regel R0054 deaktiveres</v>
      </c>
    </row>
    <row r="243" spans="1:6" hidden="1" x14ac:dyDescent="0.3">
      <c r="A243" s="57" t="s">
        <v>770</v>
      </c>
      <c r="B243" s="7" t="s">
        <v>785</v>
      </c>
      <c r="C243" s="7" t="s">
        <v>893</v>
      </c>
      <c r="D243" s="28" t="e">
        <f>COUNTIF('[1]FF - Test Design'!D:D,C243)</f>
        <v>#VALUE!</v>
      </c>
      <c r="E243" s="8" t="s">
        <v>894</v>
      </c>
      <c r="F243" s="57" t="str">
        <f>[1]!Table1[[#This Row],[Krav '#]]&amp;" - "&amp;[1]!Table1[[#This Row],[Beskrivelse]]</f>
        <v>10.a.1.1.1.39 - Hvis FordringsStartDato ikke er valgt: Regel R0055 deaktiveres</v>
      </c>
    </row>
    <row r="244" spans="1:6" hidden="1" x14ac:dyDescent="0.3">
      <c r="A244" s="57" t="s">
        <v>770</v>
      </c>
      <c r="B244" s="7" t="s">
        <v>785</v>
      </c>
      <c r="C244" s="7" t="s">
        <v>895</v>
      </c>
      <c r="D244" s="28" t="e">
        <f>COUNTIF('[1]FF - Test Design'!D:D,C244)</f>
        <v>#VALUE!</v>
      </c>
      <c r="E244" s="8" t="s">
        <v>896</v>
      </c>
      <c r="F244" s="57" t="str">
        <f>[1]!Table1[[#This Row],[Krav '#]]&amp;" - "&amp;[1]!Table1[[#This Row],[Beskrivelse]]</f>
        <v>10.a.1.1.1.40 - Hvis FordringsStartDato ikke er valgt: Regel R0056 deaktiveres</v>
      </c>
    </row>
    <row r="245" spans="1:6" hidden="1" x14ac:dyDescent="0.3">
      <c r="A245" s="57" t="s">
        <v>770</v>
      </c>
      <c r="B245" s="7" t="s">
        <v>785</v>
      </c>
      <c r="C245" s="7" t="s">
        <v>897</v>
      </c>
      <c r="D245" s="28" t="e">
        <f>COUNTIF('[1]FF - Test Design'!D:D,C245)</f>
        <v>#VALUE!</v>
      </c>
      <c r="E245" s="8" t="s">
        <v>898</v>
      </c>
      <c r="F245" s="57" t="str">
        <f>[1]!Table1[[#This Row],[Krav '#]]&amp;" - "&amp;[1]!Table1[[#This Row],[Beskrivelse]]</f>
        <v>10.a.1.1.1.41 - Hvis FordringsStartDato ikke er valgt: Regel R0057 deaktiveres</v>
      </c>
    </row>
    <row r="246" spans="1:6" hidden="1" x14ac:dyDescent="0.3">
      <c r="A246" s="57" t="s">
        <v>770</v>
      </c>
      <c r="B246" s="7" t="s">
        <v>785</v>
      </c>
      <c r="C246" s="7" t="s">
        <v>899</v>
      </c>
      <c r="D246" s="28" t="e">
        <f>COUNTIF('[1]FF - Test Design'!D:D,C246)</f>
        <v>#VALUE!</v>
      </c>
      <c r="E246" s="8" t="s">
        <v>900</v>
      </c>
      <c r="F246" s="57" t="str">
        <f>[1]!Table1[[#This Row],[Krav '#]]&amp;" - "&amp;[1]!Table1[[#This Row],[Beskrivelse]]</f>
        <v>10.a.1.1.1.42 - Hvis FordringsStartDato ikke er valgt: Regel R0058 deaktiveres</v>
      </c>
    </row>
    <row r="247" spans="1:6" hidden="1" x14ac:dyDescent="0.3">
      <c r="A247" s="57" t="s">
        <v>775</v>
      </c>
      <c r="B247" s="7" t="s">
        <v>785</v>
      </c>
      <c r="C247" s="7" t="s">
        <v>901</v>
      </c>
      <c r="D247" s="28" t="e">
        <f>COUNTIF('[1]FF - Test Design'!D:D,C247)</f>
        <v>#VALUE!</v>
      </c>
      <c r="E247" s="8" t="s">
        <v>902</v>
      </c>
      <c r="F247" s="57" t="str">
        <f>[1]!Table1[[#This Row],[Krav '#]]&amp;" - "&amp;[1]!Table1[[#This Row],[Beskrivelse]]</f>
        <v>10.a.1.1.1.43 - Hvis FordringsSlutDato ikke er valgt: Regel R0059 deaktiveres</v>
      </c>
    </row>
    <row r="248" spans="1:6" hidden="1" x14ac:dyDescent="0.3">
      <c r="A248" s="57" t="s">
        <v>775</v>
      </c>
      <c r="B248" s="7" t="s">
        <v>785</v>
      </c>
      <c r="C248" s="7" t="s">
        <v>903</v>
      </c>
      <c r="D248" s="28" t="e">
        <f>COUNTIF('[1]FF - Test Design'!D:D,C248)</f>
        <v>#VALUE!</v>
      </c>
      <c r="E248" s="8" t="s">
        <v>904</v>
      </c>
      <c r="F248" s="57" t="str">
        <f>[1]!Table1[[#This Row],[Krav '#]]&amp;" - "&amp;[1]!Table1[[#This Row],[Beskrivelse]]</f>
        <v>10.a.1.1.1.44 - Hvis FordringsSlutDato ikke er valgt: Regel R0060 deaktiveres</v>
      </c>
    </row>
    <row r="249" spans="1:6" hidden="1" x14ac:dyDescent="0.3">
      <c r="A249" s="57" t="s">
        <v>775</v>
      </c>
      <c r="B249" s="7" t="s">
        <v>785</v>
      </c>
      <c r="C249" s="7" t="s">
        <v>905</v>
      </c>
      <c r="D249" s="28" t="e">
        <f>COUNTIF('[1]FF - Test Design'!D:D,C249)</f>
        <v>#VALUE!</v>
      </c>
      <c r="E249" s="8" t="s">
        <v>906</v>
      </c>
      <c r="F249" s="57" t="str">
        <f>[1]!Table1[[#This Row],[Krav '#]]&amp;" - "&amp;[1]!Table1[[#This Row],[Beskrivelse]]</f>
        <v>10.a.1.1.1.45 - Hvis FordringsSlutDato ikke er valgt: Regel R0061 deaktiveres</v>
      </c>
    </row>
    <row r="250" spans="1:6" hidden="1" x14ac:dyDescent="0.3">
      <c r="A250" s="57" t="s">
        <v>775</v>
      </c>
      <c r="B250" s="7" t="s">
        <v>785</v>
      </c>
      <c r="C250" s="7" t="s">
        <v>907</v>
      </c>
      <c r="D250" s="28" t="e">
        <f>COUNTIF('[1]FF - Test Design'!D:D,C250)</f>
        <v>#VALUE!</v>
      </c>
      <c r="E250" s="8" t="s">
        <v>908</v>
      </c>
      <c r="F250" s="57" t="str">
        <f>[1]!Table1[[#This Row],[Krav '#]]&amp;" - "&amp;[1]!Table1[[#This Row],[Beskrivelse]]</f>
        <v>10.a.1.1.1.46 - Hvis FordringsSlutDato ikke er valgt: Regel R0062 deaktiveres</v>
      </c>
    </row>
    <row r="251" spans="1:6" hidden="1" x14ac:dyDescent="0.3">
      <c r="A251" s="57" t="s">
        <v>780</v>
      </c>
      <c r="B251" s="7" t="s">
        <v>785</v>
      </c>
      <c r="C251" s="7" t="s">
        <v>909</v>
      </c>
      <c r="D251" s="28" t="e">
        <f>COUNTIF('[1]FF - Test Design'!D:D,C251)</f>
        <v>#VALUE!</v>
      </c>
      <c r="E251" s="8" t="s">
        <v>910</v>
      </c>
      <c r="F251" s="57" t="str">
        <f>[1]!Table1[[#This Row],[Krav '#]]&amp;" - "&amp;[1]!Table1[[#This Row],[Beskrivelse]]</f>
        <v>10.a.1.1.1.47 - Hvis SRBDato ikke er valgt: Regel R0063 deaktiveres</v>
      </c>
    </row>
    <row r="252" spans="1:6" hidden="1" x14ac:dyDescent="0.3">
      <c r="A252" s="57" t="s">
        <v>780</v>
      </c>
      <c r="B252" s="7" t="s">
        <v>785</v>
      </c>
      <c r="C252" s="7" t="s">
        <v>911</v>
      </c>
      <c r="D252" s="28" t="e">
        <f>COUNTIF('[1]FF - Test Design'!D:D,C252)</f>
        <v>#VALUE!</v>
      </c>
      <c r="E252" s="8" t="s">
        <v>912</v>
      </c>
      <c r="F252" s="57" t="str">
        <f>[1]!Table1[[#This Row],[Krav '#]]&amp;" - "&amp;[1]!Table1[[#This Row],[Beskrivelse]]</f>
        <v>10.a.1.1.1.48 - Hvis SRBDato ikke er valgt: Regel R0064 deaktiveres</v>
      </c>
    </row>
    <row r="253" spans="1:6" hidden="1" x14ac:dyDescent="0.3">
      <c r="A253" s="57" t="s">
        <v>780</v>
      </c>
      <c r="B253" s="7" t="s">
        <v>785</v>
      </c>
      <c r="C253" s="7" t="s">
        <v>913</v>
      </c>
      <c r="D253" s="28" t="e">
        <f>COUNTIF('[1]FF - Test Design'!D:D,C253)</f>
        <v>#VALUE!</v>
      </c>
      <c r="E253" s="8" t="s">
        <v>914</v>
      </c>
      <c r="F253" s="57" t="str">
        <f>[1]!Table1[[#This Row],[Krav '#]]&amp;" - "&amp;[1]!Table1[[#This Row],[Beskrivelse]]</f>
        <v>10.a.1.1.1.49 - Hvis SRBDato ikke er valgt: Regel R0065 deaktiveres</v>
      </c>
    </row>
    <row r="254" spans="1:6" hidden="1" x14ac:dyDescent="0.3">
      <c r="A254" s="57" t="s">
        <v>780</v>
      </c>
      <c r="B254" s="7" t="s">
        <v>785</v>
      </c>
      <c r="C254" s="7" t="s">
        <v>915</v>
      </c>
      <c r="D254" s="28" t="e">
        <f>COUNTIF('[1]FF - Test Design'!D:D,C254)</f>
        <v>#VALUE!</v>
      </c>
      <c r="E254" s="8" t="s">
        <v>916</v>
      </c>
      <c r="F254" s="57" t="str">
        <f>[1]!Table1[[#This Row],[Krav '#]]&amp;" - "&amp;[1]!Table1[[#This Row],[Beskrivelse]]</f>
        <v>10.a.1.1.1.50 - Hvis SRBDato ikke er valgt: Regel R0066 deaktiveres</v>
      </c>
    </row>
    <row r="255" spans="1:6" hidden="1" x14ac:dyDescent="0.3">
      <c r="A255" s="57" t="s">
        <v>749</v>
      </c>
      <c r="B255" s="7" t="s">
        <v>785</v>
      </c>
      <c r="C255" s="7" t="s">
        <v>917</v>
      </c>
      <c r="D255" s="28" t="e">
        <f>COUNTIF('[1]FF - Test Design'!D:D,C255)</f>
        <v>#VALUE!</v>
      </c>
      <c r="E255" s="8" t="s">
        <v>918</v>
      </c>
      <c r="F255" s="57" t="str">
        <f>[1]!Table1[[#This Row],[Krav '#]]&amp;" - "&amp;[1]!Table1[[#This Row],[Beskrivelse]]</f>
        <v>10.a.1.1.1.51 - Hvis ForfaldsDato ikke er valgt: Regel R0067 deaktiveres</v>
      </c>
    </row>
    <row r="256" spans="1:6" hidden="1" x14ac:dyDescent="0.3">
      <c r="A256" s="57" t="s">
        <v>765</v>
      </c>
      <c r="B256" s="7" t="s">
        <v>785</v>
      </c>
      <c r="C256" s="7" t="s">
        <v>919</v>
      </c>
      <c r="D256" s="28" t="e">
        <f>COUNTIF('[1]FF - Test Design'!D:D,C256)</f>
        <v>#VALUE!</v>
      </c>
      <c r="E256" s="8" t="s">
        <v>920</v>
      </c>
      <c r="F256" s="57" t="str">
        <f>[1]!Table1[[#This Row],[Krav '#]]&amp;" - "&amp;[1]!Table1[[#This Row],[Beskrivelse]]</f>
        <v>10.a.1.1.1.52 - Hvis StiftelsesDato ikke er valgt: Regel R0068 deaktiveres</v>
      </c>
    </row>
    <row r="257" spans="1:6" hidden="1" x14ac:dyDescent="0.3">
      <c r="A257" s="57" t="s">
        <v>770</v>
      </c>
      <c r="B257" s="7" t="s">
        <v>785</v>
      </c>
      <c r="C257" s="7" t="s">
        <v>921</v>
      </c>
      <c r="D257" s="28" t="e">
        <f>COUNTIF('[1]FF - Test Design'!D:D,C257)</f>
        <v>#VALUE!</v>
      </c>
      <c r="E257" s="8" t="s">
        <v>922</v>
      </c>
      <c r="F257" s="57" t="str">
        <f>[1]!Table1[[#This Row],[Krav '#]]&amp;" - "&amp;[1]!Table1[[#This Row],[Beskrivelse]]</f>
        <v>10.a.1.1.1.53 - Hvis FordringsStartDato ikke er valgt: Regel R0069 deaktiveres</v>
      </c>
    </row>
    <row r="258" spans="1:6" hidden="1" x14ac:dyDescent="0.3">
      <c r="A258" s="57" t="s">
        <v>775</v>
      </c>
      <c r="B258" s="7" t="s">
        <v>785</v>
      </c>
      <c r="C258" s="7" t="s">
        <v>923</v>
      </c>
      <c r="D258" s="28" t="e">
        <f>COUNTIF('[1]FF - Test Design'!D:D,C258)</f>
        <v>#VALUE!</v>
      </c>
      <c r="E258" s="8" t="s">
        <v>924</v>
      </c>
      <c r="F258" s="57" t="str">
        <f>[1]!Table1[[#This Row],[Krav '#]]&amp;" - "&amp;[1]!Table1[[#This Row],[Beskrivelse]]</f>
        <v>10.a.1.1.1.54 - Hvis FordringsSlutDato ikke er valgt: Regel R0070 deaktiveres</v>
      </c>
    </row>
    <row r="259" spans="1:6" hidden="1" x14ac:dyDescent="0.3">
      <c r="A259" s="57" t="s">
        <v>780</v>
      </c>
      <c r="B259" s="7" t="s">
        <v>785</v>
      </c>
      <c r="C259" s="7" t="s">
        <v>925</v>
      </c>
      <c r="D259" s="28" t="e">
        <f>COUNTIF('[1]FF - Test Design'!D:D,C259)</f>
        <v>#VALUE!</v>
      </c>
      <c r="E259" s="8" t="s">
        <v>926</v>
      </c>
      <c r="F259" s="57" t="str">
        <f>[1]!Table1[[#This Row],[Krav '#]]&amp;" - "&amp;[1]!Table1[[#This Row],[Beskrivelse]]</f>
        <v>10.a.1.1.1.55 - Hvis SRBDato ikke er valgt: Regel R0071 deaktiveres</v>
      </c>
    </row>
    <row r="260" spans="1:6" hidden="1" x14ac:dyDescent="0.3">
      <c r="A260" s="57" t="s">
        <v>749</v>
      </c>
      <c r="B260" s="7" t="s">
        <v>785</v>
      </c>
      <c r="C260" s="7" t="s">
        <v>927</v>
      </c>
      <c r="D260" s="28" t="e">
        <f>COUNTIF('[1]FF - Test Design'!D:D,C260)</f>
        <v>#VALUE!</v>
      </c>
      <c r="E260" s="8" t="s">
        <v>928</v>
      </c>
      <c r="F260" s="57" t="str">
        <f>[1]!Table1[[#This Row],[Krav '#]]&amp;" - "&amp;[1]!Table1[[#This Row],[Beskrivelse]]</f>
        <v>10.a.1.1.1.56 - Hvis ForfaldsDato er valgt: Fristlængden indsættes i Regel R0047 - fristlængden beregnes ved at fratrække værdien fra spm. 10.a.1 med værdien fra 10.a.1.1</v>
      </c>
    </row>
    <row r="261" spans="1:6" hidden="1" x14ac:dyDescent="0.3">
      <c r="A261" s="57" t="s">
        <v>749</v>
      </c>
      <c r="B261" s="7" t="s">
        <v>785</v>
      </c>
      <c r="C261" s="7" t="s">
        <v>929</v>
      </c>
      <c r="D261" s="28" t="e">
        <f>COUNTIF('[1]FF - Test Design'!D:D,C261)</f>
        <v>#VALUE!</v>
      </c>
      <c r="E261" s="8" t="s">
        <v>930</v>
      </c>
      <c r="F261" s="57" t="str">
        <f>[1]!Table1[[#This Row],[Krav '#]]&amp;" - "&amp;[1]!Table1[[#This Row],[Beskrivelse]]</f>
        <v>10.a.1.1.1.57 - Hvis ForfaldsDato er valgt: Fristlængden indsættes i Regel R0048 - fristlængden beregnes ved at fratrække værdien fra spm. 10.a.1 med værdien fra 10.a.1.1</v>
      </c>
    </row>
    <row r="262" spans="1:6" hidden="1" x14ac:dyDescent="0.3">
      <c r="A262" s="57" t="s">
        <v>749</v>
      </c>
      <c r="B262" s="7" t="s">
        <v>785</v>
      </c>
      <c r="C262" s="7" t="s">
        <v>931</v>
      </c>
      <c r="D262" s="28" t="e">
        <f>COUNTIF('[1]FF - Test Design'!D:D,C262)</f>
        <v>#VALUE!</v>
      </c>
      <c r="E262" s="8" t="s">
        <v>932</v>
      </c>
      <c r="F262" s="57" t="str">
        <f>[1]!Table1[[#This Row],[Krav '#]]&amp;" - "&amp;[1]!Table1[[#This Row],[Beskrivelse]]</f>
        <v>10.a.1.1.1.58 - Hvis ForfaldsDato er valgt: Fristlængden indsættes i Regel R0049 - fristlængden beregnes ved at fratrække værdien fra spm. 10.a.1 med værdien fra 10.a.1.1</v>
      </c>
    </row>
    <row r="263" spans="1:6" hidden="1" x14ac:dyDescent="0.3">
      <c r="A263" s="57" t="s">
        <v>749</v>
      </c>
      <c r="B263" s="7" t="s">
        <v>785</v>
      </c>
      <c r="C263" s="7" t="s">
        <v>933</v>
      </c>
      <c r="D263" s="28" t="e">
        <f>COUNTIF('[1]FF - Test Design'!D:D,C263)</f>
        <v>#VALUE!</v>
      </c>
      <c r="E263" s="8" t="s">
        <v>934</v>
      </c>
      <c r="F263" s="57" t="str">
        <f>[1]!Table1[[#This Row],[Krav '#]]&amp;" - "&amp;[1]!Table1[[#This Row],[Beskrivelse]]</f>
        <v>10.a.1.1.1.59 - Hvis ForfaldsDato er valgt: Fristlængden indsættes i Regel R0050 - fristlængden beregnes ved at fratrække værdien fra spm. 10.a.1 med værdien fra 10.a.1.1</v>
      </c>
    </row>
    <row r="264" spans="1:6" hidden="1" x14ac:dyDescent="0.3">
      <c r="A264" s="57" t="s">
        <v>765</v>
      </c>
      <c r="B264" s="7" t="s">
        <v>785</v>
      </c>
      <c r="C264" s="7" t="s">
        <v>935</v>
      </c>
      <c r="D264" s="28" t="e">
        <f>COUNTIF('[1]FF - Test Design'!D:D,C264)</f>
        <v>#VALUE!</v>
      </c>
      <c r="E264" s="8" t="s">
        <v>936</v>
      </c>
      <c r="F264" s="57" t="str">
        <f>[1]!Table1[[#This Row],[Krav '#]]&amp;" - "&amp;[1]!Table1[[#This Row],[Beskrivelse]]</f>
        <v>10.a.1.1.1.60 - Hvis StiftelsesDato er valgt: Fristlængden indsættes i Regel R0051 - fristlængden beregnes ved at fratrække værdien fra spm. 10.a.1 med værdien fra 10.a.1.1</v>
      </c>
    </row>
    <row r="265" spans="1:6" hidden="1" x14ac:dyDescent="0.3">
      <c r="A265" s="57" t="s">
        <v>765</v>
      </c>
      <c r="B265" s="7" t="s">
        <v>785</v>
      </c>
      <c r="C265" s="7" t="s">
        <v>937</v>
      </c>
      <c r="D265" s="28" t="e">
        <f>COUNTIF('[1]FF - Test Design'!D:D,C265)</f>
        <v>#VALUE!</v>
      </c>
      <c r="E265" s="8" t="s">
        <v>938</v>
      </c>
      <c r="F265" s="57" t="str">
        <f>[1]!Table1[[#This Row],[Krav '#]]&amp;" - "&amp;[1]!Table1[[#This Row],[Beskrivelse]]</f>
        <v>10.a.1.1.1.61 - Hvis StiftelsesDato er valgt: Fristlængden indsættes i Regel R0052 - fristlængden beregnes ved at fratrække værdien fra spm. 10.a.1 med værdien fra 10.a.1.1</v>
      </c>
    </row>
    <row r="266" spans="1:6" hidden="1" x14ac:dyDescent="0.3">
      <c r="A266" s="57" t="s">
        <v>765</v>
      </c>
      <c r="B266" s="7" t="s">
        <v>785</v>
      </c>
      <c r="C266" s="7" t="s">
        <v>939</v>
      </c>
      <c r="D266" s="28" t="e">
        <f>COUNTIF('[1]FF - Test Design'!D:D,C266)</f>
        <v>#VALUE!</v>
      </c>
      <c r="E266" s="8" t="s">
        <v>940</v>
      </c>
      <c r="F266" s="57" t="str">
        <f>[1]!Table1[[#This Row],[Krav '#]]&amp;" - "&amp;[1]!Table1[[#This Row],[Beskrivelse]]</f>
        <v>10.a.1.1.1.62 - Hvis StiftelsesDato er valgt: Fristlængden indsættes i Regel R0053 - fristlængden beregnes ved at fratrække værdien fra spm. 10.a.1 med værdien fra 10.a.1.1</v>
      </c>
    </row>
    <row r="267" spans="1:6" hidden="1" x14ac:dyDescent="0.3">
      <c r="A267" s="57" t="s">
        <v>765</v>
      </c>
      <c r="B267" s="7" t="s">
        <v>785</v>
      </c>
      <c r="C267" s="7" t="s">
        <v>941</v>
      </c>
      <c r="D267" s="28" t="e">
        <f>COUNTIF('[1]FF - Test Design'!D:D,C267)</f>
        <v>#VALUE!</v>
      </c>
      <c r="E267" s="8" t="s">
        <v>942</v>
      </c>
      <c r="F267" s="57" t="str">
        <f>[1]!Table1[[#This Row],[Krav '#]]&amp;" - "&amp;[1]!Table1[[#This Row],[Beskrivelse]]</f>
        <v>10.a.1.1.1.63 - Hvis StiftelsesDato er valgt: Fristlængden indsættes i Regel R0054 - fristlængden beregnes ved at fratrække værdien fra spm. 10.a.1 med værdien fra 10.a.1.1</v>
      </c>
    </row>
    <row r="268" spans="1:6" hidden="1" x14ac:dyDescent="0.3">
      <c r="A268" s="57" t="s">
        <v>770</v>
      </c>
      <c r="B268" s="7" t="s">
        <v>785</v>
      </c>
      <c r="C268" s="7" t="s">
        <v>943</v>
      </c>
      <c r="D268" s="28" t="e">
        <f>COUNTIF('[1]FF - Test Design'!D:D,C268)</f>
        <v>#VALUE!</v>
      </c>
      <c r="E268" s="8" t="s">
        <v>944</v>
      </c>
      <c r="F268" s="57" t="str">
        <f>[1]!Table1[[#This Row],[Krav '#]]&amp;" - "&amp;[1]!Table1[[#This Row],[Beskrivelse]]</f>
        <v>10.a.1.1.1.64 - Hvis FordringsStartDato er valgt: Fristlængden indsættes i Regel R0055 - fristlængden beregnes ved at fratrække værdien fra spm. 10.a.1 med værdien fra 10.a.1.1</v>
      </c>
    </row>
    <row r="269" spans="1:6" hidden="1" x14ac:dyDescent="0.3">
      <c r="A269" s="57" t="s">
        <v>770</v>
      </c>
      <c r="B269" s="7" t="s">
        <v>785</v>
      </c>
      <c r="C269" s="7" t="s">
        <v>945</v>
      </c>
      <c r="D269" s="28" t="e">
        <f>COUNTIF('[1]FF - Test Design'!D:D,C269)</f>
        <v>#VALUE!</v>
      </c>
      <c r="E269" s="8" t="s">
        <v>946</v>
      </c>
      <c r="F269" s="57" t="str">
        <f>[1]!Table1[[#This Row],[Krav '#]]&amp;" - "&amp;[1]!Table1[[#This Row],[Beskrivelse]]</f>
        <v>10.a.1.1.1.65 - Hvis FordringsStartDato er valgt: Fristlængden indsættes i Regel R0056 - fristlængden beregnes ved at fratrække værdien fra spm. 10.a.1 med værdien fra 10.a.1.1</v>
      </c>
    </row>
    <row r="270" spans="1:6" hidden="1" x14ac:dyDescent="0.3">
      <c r="A270" s="57" t="s">
        <v>770</v>
      </c>
      <c r="B270" s="7" t="s">
        <v>785</v>
      </c>
      <c r="C270" s="7" t="s">
        <v>947</v>
      </c>
      <c r="D270" s="28" t="e">
        <f>COUNTIF('[1]FF - Test Design'!D:D,C270)</f>
        <v>#VALUE!</v>
      </c>
      <c r="E270" s="8" t="s">
        <v>948</v>
      </c>
      <c r="F270" s="57" t="str">
        <f>[1]!Table1[[#This Row],[Krav '#]]&amp;" - "&amp;[1]!Table1[[#This Row],[Beskrivelse]]</f>
        <v>10.a.1.1.1.66 - Hvis FordringsStartDato er valgt: Fristlængden indsættes i Regel R0057 - fristlængden beregnes ved at fratrække værdien fra spm. 10.a.1 med værdien fra 10.a.1.1</v>
      </c>
    </row>
    <row r="271" spans="1:6" hidden="1" x14ac:dyDescent="0.3">
      <c r="A271" s="57" t="s">
        <v>770</v>
      </c>
      <c r="B271" s="7" t="s">
        <v>785</v>
      </c>
      <c r="C271" s="7" t="s">
        <v>949</v>
      </c>
      <c r="D271" s="28" t="e">
        <f>COUNTIF('[1]FF - Test Design'!D:D,C271)</f>
        <v>#VALUE!</v>
      </c>
      <c r="E271" s="8" t="s">
        <v>950</v>
      </c>
      <c r="F271" s="57" t="str">
        <f>[1]!Table1[[#This Row],[Krav '#]]&amp;" - "&amp;[1]!Table1[[#This Row],[Beskrivelse]]</f>
        <v>10.a.1.1.1.67 - Hvis FordringsStartDato er valgt: Fristlængden indsættes i Regel R0058 - fristlængden beregnes ved at fratrække værdien fra spm. 10.a.1 med værdien fra 10.a.1.1</v>
      </c>
    </row>
    <row r="272" spans="1:6" hidden="1" x14ac:dyDescent="0.3">
      <c r="A272" s="57" t="s">
        <v>775</v>
      </c>
      <c r="B272" s="7" t="s">
        <v>785</v>
      </c>
      <c r="C272" s="7" t="s">
        <v>951</v>
      </c>
      <c r="D272" s="28" t="e">
        <f>COUNTIF('[1]FF - Test Design'!D:D,C272)</f>
        <v>#VALUE!</v>
      </c>
      <c r="E272" s="8" t="s">
        <v>952</v>
      </c>
      <c r="F272" s="57" t="str">
        <f>[1]!Table1[[#This Row],[Krav '#]]&amp;" - "&amp;[1]!Table1[[#This Row],[Beskrivelse]]</f>
        <v>10.a.1.1.1.68 - Hvis FordringsSlutDato er valgt: Fristlængden indsættes i Regel R0059 - fristlængden beregnes ved at fratrække værdien fra spm. 10.a.1 med værdien fra 10.a.1.1</v>
      </c>
    </row>
    <row r="273" spans="1:6" hidden="1" x14ac:dyDescent="0.3">
      <c r="A273" s="57" t="s">
        <v>775</v>
      </c>
      <c r="B273" s="7" t="s">
        <v>785</v>
      </c>
      <c r="C273" s="7" t="s">
        <v>953</v>
      </c>
      <c r="D273" s="28" t="e">
        <f>COUNTIF('[1]FF - Test Design'!D:D,C273)</f>
        <v>#VALUE!</v>
      </c>
      <c r="E273" s="8" t="s">
        <v>954</v>
      </c>
      <c r="F273" s="57" t="str">
        <f>[1]!Table1[[#This Row],[Krav '#]]&amp;" - "&amp;[1]!Table1[[#This Row],[Beskrivelse]]</f>
        <v>10.a.1.1.1.69 - Hvis FordringsSlutDato er valgt: Fristlængden indsættes i Regel R0060 - fristlængden beregnes ved at fratrække værdien fra spm. 10.a.1 med værdien fra 10.a.1.1</v>
      </c>
    </row>
    <row r="274" spans="1:6" hidden="1" x14ac:dyDescent="0.3">
      <c r="A274" s="57" t="s">
        <v>775</v>
      </c>
      <c r="B274" s="7" t="s">
        <v>785</v>
      </c>
      <c r="C274" s="7" t="s">
        <v>955</v>
      </c>
      <c r="D274" s="28" t="e">
        <f>COUNTIF('[1]FF - Test Design'!D:D,C274)</f>
        <v>#VALUE!</v>
      </c>
      <c r="E274" s="8" t="s">
        <v>956</v>
      </c>
      <c r="F274" s="57" t="str">
        <f>[1]!Table1[[#This Row],[Krav '#]]&amp;" - "&amp;[1]!Table1[[#This Row],[Beskrivelse]]</f>
        <v>10.a.1.1.1.70 - Hvis FordringsSlutDato er valgt: Fristlængden indsættes i Regel R0061 - fristlængden beregnes ved at fratrække værdien fra spm. 10.a.1 med værdien fra 10.a.1.1</v>
      </c>
    </row>
    <row r="275" spans="1:6" hidden="1" x14ac:dyDescent="0.3">
      <c r="A275" s="57" t="s">
        <v>775</v>
      </c>
      <c r="B275" s="7" t="s">
        <v>785</v>
      </c>
      <c r="C275" s="7" t="s">
        <v>957</v>
      </c>
      <c r="D275" s="28" t="e">
        <f>COUNTIF('[1]FF - Test Design'!D:D,C275)</f>
        <v>#VALUE!</v>
      </c>
      <c r="E275" s="8" t="s">
        <v>958</v>
      </c>
      <c r="F275" s="57" t="str">
        <f>[1]!Table1[[#This Row],[Krav '#]]&amp;" - "&amp;[1]!Table1[[#This Row],[Beskrivelse]]</f>
        <v>10.a.1.1.1.71 - Hvis FordringsSlutDato er valgt: Fristlængden indsættes i Regel R0062 - fristlængden beregnes ved at fratrække værdien fra spm. 10.a.1 med værdien fra 10.a.1.1</v>
      </c>
    </row>
    <row r="276" spans="1:6" hidden="1" x14ac:dyDescent="0.3">
      <c r="A276" s="57" t="s">
        <v>780</v>
      </c>
      <c r="B276" s="7" t="s">
        <v>785</v>
      </c>
      <c r="C276" s="7" t="s">
        <v>959</v>
      </c>
      <c r="D276" s="28" t="e">
        <f>COUNTIF('[1]FF - Test Design'!D:D,C276)</f>
        <v>#VALUE!</v>
      </c>
      <c r="E276" s="8" t="s">
        <v>960</v>
      </c>
      <c r="F276" s="57" t="str">
        <f>[1]!Table1[[#This Row],[Krav '#]]&amp;" - "&amp;[1]!Table1[[#This Row],[Beskrivelse]]</f>
        <v>10.a.1.1.1.72 - Hvis SRBDato er valgt: Fristlængden indsættes i Regel R0063 - fristlængden beregnes ved at fratrække værdien fra spm. 10.a.1 med værdien fra 10.a.1.1</v>
      </c>
    </row>
    <row r="277" spans="1:6" hidden="1" x14ac:dyDescent="0.3">
      <c r="A277" s="57" t="s">
        <v>780</v>
      </c>
      <c r="B277" s="7" t="s">
        <v>785</v>
      </c>
      <c r="C277" s="7" t="s">
        <v>961</v>
      </c>
      <c r="D277" s="28" t="e">
        <f>COUNTIF('[1]FF - Test Design'!D:D,C277)</f>
        <v>#VALUE!</v>
      </c>
      <c r="E277" s="8" t="s">
        <v>962</v>
      </c>
      <c r="F277" s="57" t="str">
        <f>[1]!Table1[[#This Row],[Krav '#]]&amp;" - "&amp;[1]!Table1[[#This Row],[Beskrivelse]]</f>
        <v>10.a.1.1.1.73 - Hvis SRBDato er valgt: Fristlængden indsættes i Regel R0064 - fristlængden beregnes ved at fratrække værdien fra spm. 10.a.1 med værdien fra 10.a.1.1</v>
      </c>
    </row>
    <row r="278" spans="1:6" hidden="1" x14ac:dyDescent="0.3">
      <c r="A278" s="57" t="s">
        <v>780</v>
      </c>
      <c r="B278" s="7" t="s">
        <v>785</v>
      </c>
      <c r="C278" s="7" t="s">
        <v>963</v>
      </c>
      <c r="D278" s="28" t="e">
        <f>COUNTIF('[1]FF - Test Design'!D:D,C278)</f>
        <v>#VALUE!</v>
      </c>
      <c r="E278" s="8" t="s">
        <v>964</v>
      </c>
      <c r="F278" s="57" t="str">
        <f>[1]!Table1[[#This Row],[Krav '#]]&amp;" - "&amp;[1]!Table1[[#This Row],[Beskrivelse]]</f>
        <v>10.a.1.1.1.74 - Hvis SRBDato er valgt: Fristlængden indsættes i Regel R0065 - fristlængden beregnes ved at fratrække værdien fra spm. 10.a.1 med værdien fra 10.a.1.1</v>
      </c>
    </row>
    <row r="279" spans="1:6" hidden="1" x14ac:dyDescent="0.3">
      <c r="A279" s="57" t="s">
        <v>780</v>
      </c>
      <c r="B279" s="7" t="s">
        <v>785</v>
      </c>
      <c r="C279" s="7" t="s">
        <v>965</v>
      </c>
      <c r="D279" s="28" t="e">
        <f>COUNTIF('[1]FF - Test Design'!D:D,C279)</f>
        <v>#VALUE!</v>
      </c>
      <c r="E279" s="8" t="s">
        <v>966</v>
      </c>
      <c r="F279" s="57" t="str">
        <f>[1]!Table1[[#This Row],[Krav '#]]&amp;" - "&amp;[1]!Table1[[#This Row],[Beskrivelse]]</f>
        <v>10.a.1.1.1.75 - Hvis SRBDato er valgt: Fristlængden indsættes i Regel R0066 - fristlængden beregnes ved at fratrække værdien fra spm. 10.a.1 med værdien fra 10.a.1.1</v>
      </c>
    </row>
    <row r="280" spans="1:6" hidden="1" x14ac:dyDescent="0.3">
      <c r="A280" s="57" t="s">
        <v>749</v>
      </c>
      <c r="B280" s="7" t="s">
        <v>785</v>
      </c>
      <c r="C280" s="7" t="s">
        <v>967</v>
      </c>
      <c r="D280" s="28" t="e">
        <f>COUNTIF('[1]FF - Test Design'!D:D,C280)</f>
        <v>#VALUE!</v>
      </c>
      <c r="E280" s="8" t="s">
        <v>968</v>
      </c>
      <c r="F280" s="57" t="str">
        <f>[1]!Table1[[#This Row],[Krav '#]]&amp;" - "&amp;[1]!Table1[[#This Row],[Beskrivelse]]</f>
        <v>10.a.1.1.1.76 - Hvis ForfaldsDato er valgt: Fristlængden indsættes i Regel R0067 - fristlængden beregnes ved at fratrække værdien fra spm. 10.a.1 med værdien fra 10.a.1.1</v>
      </c>
    </row>
    <row r="281" spans="1:6" hidden="1" x14ac:dyDescent="0.3">
      <c r="A281" s="57" t="s">
        <v>765</v>
      </c>
      <c r="B281" s="7" t="s">
        <v>785</v>
      </c>
      <c r="C281" s="7" t="s">
        <v>969</v>
      </c>
      <c r="D281" s="28" t="e">
        <f>COUNTIF('[1]FF - Test Design'!D:D,C281)</f>
        <v>#VALUE!</v>
      </c>
      <c r="E281" s="8" t="s">
        <v>970</v>
      </c>
      <c r="F281" s="57" t="str">
        <f>[1]!Table1[[#This Row],[Krav '#]]&amp;" - "&amp;[1]!Table1[[#This Row],[Beskrivelse]]</f>
        <v>10.a.1.1.1.77 - Hvis StiftelsesDato er valgt: Fristlængden indsættes i Regel R0068 - fristlængden beregnes ved at fratrække værdien fra spm. 10.a.1 med værdien fra 10.a.1.1</v>
      </c>
    </row>
    <row r="282" spans="1:6" hidden="1" x14ac:dyDescent="0.3">
      <c r="A282" s="57" t="s">
        <v>770</v>
      </c>
      <c r="B282" s="7" t="s">
        <v>785</v>
      </c>
      <c r="C282" s="7" t="s">
        <v>971</v>
      </c>
      <c r="D282" s="28" t="e">
        <f>COUNTIF('[1]FF - Test Design'!D:D,C282)</f>
        <v>#VALUE!</v>
      </c>
      <c r="E282" s="8" t="s">
        <v>972</v>
      </c>
      <c r="F282" s="57" t="str">
        <f>[1]!Table1[[#This Row],[Krav '#]]&amp;" - "&amp;[1]!Table1[[#This Row],[Beskrivelse]]</f>
        <v>10.a.1.1.1.78 - Hvis FordringsStartDato er valgt: Fristlængden indsættes i Regel R0069 - fristlængden beregnes ved at fratrække værdien fra spm. 10.a.1 med værdien fra 10.a.1.1</v>
      </c>
    </row>
    <row r="283" spans="1:6" hidden="1" x14ac:dyDescent="0.3">
      <c r="A283" s="57" t="s">
        <v>775</v>
      </c>
      <c r="B283" s="7" t="s">
        <v>785</v>
      </c>
      <c r="C283" s="7" t="s">
        <v>973</v>
      </c>
      <c r="D283" s="28" t="e">
        <f>COUNTIF('[1]FF - Test Design'!D:D,C283)</f>
        <v>#VALUE!</v>
      </c>
      <c r="E283" s="8" t="s">
        <v>974</v>
      </c>
      <c r="F283" s="57" t="str">
        <f>[1]!Table1[[#This Row],[Krav '#]]&amp;" - "&amp;[1]!Table1[[#This Row],[Beskrivelse]]</f>
        <v>10.a.1.1.1.79 - Hvis FordringsSlutDato er valgt: Fristlængden indsættes i Regel R0070 - fristlængden beregnes ved at fratrække værdien fra spm. 10.a.1 med værdien fra 10.a.1.1</v>
      </c>
    </row>
    <row r="284" spans="1:6" hidden="1" x14ac:dyDescent="0.3">
      <c r="A284" s="57" t="s">
        <v>780</v>
      </c>
      <c r="B284" s="7" t="s">
        <v>785</v>
      </c>
      <c r="C284" s="7" t="s">
        <v>975</v>
      </c>
      <c r="D284" s="28" t="e">
        <f>COUNTIF('[1]FF - Test Design'!D:D,C284)</f>
        <v>#VALUE!</v>
      </c>
      <c r="E284" s="8" t="s">
        <v>976</v>
      </c>
      <c r="F284" s="57" t="str">
        <f>[1]!Table1[[#This Row],[Krav '#]]&amp;" - "&amp;[1]!Table1[[#This Row],[Beskrivelse]]</f>
        <v>10.a.1.1.1.80 - Hvis SRBDato er valgt: Fristlængden indsættes i Regel R0071 - fristlængden beregnes ved at fratrække værdien fra spm. 10.a.1 med værdien fra 10.a.1.1</v>
      </c>
    </row>
    <row r="285" spans="1:6" hidden="1" x14ac:dyDescent="0.3">
      <c r="A285" s="57" t="s">
        <v>749</v>
      </c>
      <c r="B285" s="7" t="s">
        <v>785</v>
      </c>
      <c r="C285" s="7" t="s">
        <v>977</v>
      </c>
      <c r="D285" s="28" t="e">
        <f>COUNTIF('[1]FF - Test Design'!D:D,C285)</f>
        <v>#VALUE!</v>
      </c>
      <c r="E285" s="8" t="s">
        <v>978</v>
      </c>
      <c r="F285" s="57" t="str">
        <f>[1]!Table1[[#This Row],[Krav '#]]&amp;" - "&amp;[1]!Table1[[#This Row],[Beskrivelse]]</f>
        <v>10.a.1.1.1.81 - Hvis ForfaldsDato ikke er valgt: Fristlængden indsættes ikke for Regel R0047</v>
      </c>
    </row>
    <row r="286" spans="1:6" hidden="1" x14ac:dyDescent="0.3">
      <c r="A286" s="57" t="s">
        <v>749</v>
      </c>
      <c r="B286" s="7" t="s">
        <v>785</v>
      </c>
      <c r="C286" s="7" t="s">
        <v>979</v>
      </c>
      <c r="D286" s="28" t="e">
        <f>COUNTIF('[1]FF - Test Design'!D:D,C286)</f>
        <v>#VALUE!</v>
      </c>
      <c r="E286" s="8" t="s">
        <v>980</v>
      </c>
      <c r="F286" s="57" t="str">
        <f>[1]!Table1[[#This Row],[Krav '#]]&amp;" - "&amp;[1]!Table1[[#This Row],[Beskrivelse]]</f>
        <v>10.a.1.1.1.82 - Hvis ForfaldsDato ikke er valgt: Fristlængden indsættes ikke for Regel R0048</v>
      </c>
    </row>
    <row r="287" spans="1:6" hidden="1" x14ac:dyDescent="0.3">
      <c r="A287" s="57" t="s">
        <v>749</v>
      </c>
      <c r="B287" s="7" t="s">
        <v>785</v>
      </c>
      <c r="C287" s="7" t="s">
        <v>981</v>
      </c>
      <c r="D287" s="28" t="e">
        <f>COUNTIF('[1]FF - Test Design'!D:D,C287)</f>
        <v>#VALUE!</v>
      </c>
      <c r="E287" s="8" t="s">
        <v>982</v>
      </c>
      <c r="F287" s="57" t="str">
        <f>[1]!Table1[[#This Row],[Krav '#]]&amp;" - "&amp;[1]!Table1[[#This Row],[Beskrivelse]]</f>
        <v>10.a.1.1.1.83 - Hvis ForfaldsDato ikke er valgt: Fristlængden indsættes ikke for Regel R0049</v>
      </c>
    </row>
    <row r="288" spans="1:6" hidden="1" x14ac:dyDescent="0.3">
      <c r="A288" s="57" t="s">
        <v>749</v>
      </c>
      <c r="B288" s="7" t="s">
        <v>785</v>
      </c>
      <c r="C288" s="7" t="s">
        <v>983</v>
      </c>
      <c r="D288" s="28" t="e">
        <f>COUNTIF('[1]FF - Test Design'!D:D,C288)</f>
        <v>#VALUE!</v>
      </c>
      <c r="E288" s="8" t="s">
        <v>984</v>
      </c>
      <c r="F288" s="57" t="str">
        <f>[1]!Table1[[#This Row],[Krav '#]]&amp;" - "&amp;[1]!Table1[[#This Row],[Beskrivelse]]</f>
        <v>10.a.1.1.1.84 - Hvis ForfaldsDato ikke er valgt: Fristlængden indsættes ikke for Regel R0050</v>
      </c>
    </row>
    <row r="289" spans="1:6" hidden="1" x14ac:dyDescent="0.3">
      <c r="A289" s="57" t="s">
        <v>765</v>
      </c>
      <c r="B289" s="7" t="s">
        <v>785</v>
      </c>
      <c r="C289" s="7" t="s">
        <v>985</v>
      </c>
      <c r="D289" s="28" t="e">
        <f>COUNTIF('[1]FF - Test Design'!D:D,C289)</f>
        <v>#VALUE!</v>
      </c>
      <c r="E289" s="8" t="s">
        <v>986</v>
      </c>
      <c r="F289" s="57" t="str">
        <f>[1]!Table1[[#This Row],[Krav '#]]&amp;" - "&amp;[1]!Table1[[#This Row],[Beskrivelse]]</f>
        <v>10.a.1.1.1.85 - Hvis StiftelsesDato ikke er valgt: Fristlængden indsættes ikke for Regel R0051</v>
      </c>
    </row>
    <row r="290" spans="1:6" hidden="1" x14ac:dyDescent="0.3">
      <c r="A290" s="57" t="s">
        <v>765</v>
      </c>
      <c r="B290" s="7" t="s">
        <v>785</v>
      </c>
      <c r="C290" s="7" t="s">
        <v>987</v>
      </c>
      <c r="D290" s="28" t="e">
        <f>COUNTIF('[1]FF - Test Design'!D:D,C290)</f>
        <v>#VALUE!</v>
      </c>
      <c r="E290" s="8" t="s">
        <v>988</v>
      </c>
      <c r="F290" s="57" t="str">
        <f>[1]!Table1[[#This Row],[Krav '#]]&amp;" - "&amp;[1]!Table1[[#This Row],[Beskrivelse]]</f>
        <v>10.a.1.1.1.86 - Hvis StiftelsesDato ikke er valgt: Fristlængden indsættes ikke for Regel R0052</v>
      </c>
    </row>
    <row r="291" spans="1:6" hidden="1" x14ac:dyDescent="0.3">
      <c r="A291" s="57" t="s">
        <v>765</v>
      </c>
      <c r="B291" s="7" t="s">
        <v>785</v>
      </c>
      <c r="C291" s="7" t="s">
        <v>989</v>
      </c>
      <c r="D291" s="28" t="e">
        <f>COUNTIF('[1]FF - Test Design'!D:D,C291)</f>
        <v>#VALUE!</v>
      </c>
      <c r="E291" s="8" t="s">
        <v>990</v>
      </c>
      <c r="F291" s="57" t="str">
        <f>[1]!Table1[[#This Row],[Krav '#]]&amp;" - "&amp;[1]!Table1[[#This Row],[Beskrivelse]]</f>
        <v>10.a.1.1.1.87 - Hvis StiftelsesDato ikke er valgt: Fristlængden indsættes ikke for Regel R0053</v>
      </c>
    </row>
    <row r="292" spans="1:6" hidden="1" x14ac:dyDescent="0.3">
      <c r="A292" s="57" t="s">
        <v>765</v>
      </c>
      <c r="B292" s="7" t="s">
        <v>785</v>
      </c>
      <c r="C292" s="7" t="s">
        <v>991</v>
      </c>
      <c r="D292" s="28" t="e">
        <f>COUNTIF('[1]FF - Test Design'!D:D,C292)</f>
        <v>#VALUE!</v>
      </c>
      <c r="E292" s="8" t="s">
        <v>992</v>
      </c>
      <c r="F292" s="57" t="str">
        <f>[1]!Table1[[#This Row],[Krav '#]]&amp;" - "&amp;[1]!Table1[[#This Row],[Beskrivelse]]</f>
        <v>10.a.1.1.1.88 - Hvis StiftelsesDato ikke er valgt: Fristlængden indsættes ikke for Regel R0054</v>
      </c>
    </row>
    <row r="293" spans="1:6" hidden="1" x14ac:dyDescent="0.3">
      <c r="A293" s="57" t="s">
        <v>770</v>
      </c>
      <c r="B293" s="7" t="s">
        <v>785</v>
      </c>
      <c r="C293" s="7" t="s">
        <v>993</v>
      </c>
      <c r="D293" s="28" t="e">
        <f>COUNTIF('[1]FF - Test Design'!D:D,C293)</f>
        <v>#VALUE!</v>
      </c>
      <c r="E293" s="8" t="s">
        <v>994</v>
      </c>
      <c r="F293" s="57" t="str">
        <f>[1]!Table1[[#This Row],[Krav '#]]&amp;" - "&amp;[1]!Table1[[#This Row],[Beskrivelse]]</f>
        <v>10.a.1.1.1.89 - Hvis FordringsStartDato ikke er valgt: Fristlængden indsættes ikke for Regel R0055</v>
      </c>
    </row>
    <row r="294" spans="1:6" hidden="1" x14ac:dyDescent="0.3">
      <c r="A294" s="57" t="s">
        <v>770</v>
      </c>
      <c r="B294" s="7" t="s">
        <v>785</v>
      </c>
      <c r="C294" s="7" t="s">
        <v>995</v>
      </c>
      <c r="D294" s="28" t="e">
        <f>COUNTIF('[1]FF - Test Design'!D:D,C294)</f>
        <v>#VALUE!</v>
      </c>
      <c r="E294" s="8" t="s">
        <v>996</v>
      </c>
      <c r="F294" s="57" t="str">
        <f>[1]!Table1[[#This Row],[Krav '#]]&amp;" - "&amp;[1]!Table1[[#This Row],[Beskrivelse]]</f>
        <v>10.a.1.1.1.90 - Hvis FordringsStartDato ikke er valgt: Fristlængden indsættes ikke for Regel R0056</v>
      </c>
    </row>
    <row r="295" spans="1:6" hidden="1" x14ac:dyDescent="0.3">
      <c r="A295" s="57" t="s">
        <v>770</v>
      </c>
      <c r="B295" s="7" t="s">
        <v>785</v>
      </c>
      <c r="C295" s="7" t="s">
        <v>997</v>
      </c>
      <c r="D295" s="28" t="e">
        <f>COUNTIF('[1]FF - Test Design'!D:D,C295)</f>
        <v>#VALUE!</v>
      </c>
      <c r="E295" s="8" t="s">
        <v>998</v>
      </c>
      <c r="F295" s="57" t="str">
        <f>[1]!Table1[[#This Row],[Krav '#]]&amp;" - "&amp;[1]!Table1[[#This Row],[Beskrivelse]]</f>
        <v>10.a.1.1.1.91 - Hvis FordringsStartDato ikke er valgt: Fristlængden indsættes ikke for Regel R0057</v>
      </c>
    </row>
    <row r="296" spans="1:6" hidden="1" x14ac:dyDescent="0.3">
      <c r="A296" s="57" t="s">
        <v>770</v>
      </c>
      <c r="B296" s="7" t="s">
        <v>785</v>
      </c>
      <c r="C296" s="7" t="s">
        <v>999</v>
      </c>
      <c r="D296" s="28" t="e">
        <f>COUNTIF('[1]FF - Test Design'!D:D,C296)</f>
        <v>#VALUE!</v>
      </c>
      <c r="E296" s="8" t="s">
        <v>1000</v>
      </c>
      <c r="F296" s="57" t="str">
        <f>[1]!Table1[[#This Row],[Krav '#]]&amp;" - "&amp;[1]!Table1[[#This Row],[Beskrivelse]]</f>
        <v>10.a.1.1.1.92 - Hvis FordringsStartDato ikke er valgt: Fristlængden indsættes ikke for Regel R0058</v>
      </c>
    </row>
    <row r="297" spans="1:6" hidden="1" x14ac:dyDescent="0.3">
      <c r="A297" s="57" t="s">
        <v>775</v>
      </c>
      <c r="B297" s="7" t="s">
        <v>785</v>
      </c>
      <c r="C297" s="7" t="s">
        <v>1001</v>
      </c>
      <c r="D297" s="28" t="e">
        <f>COUNTIF('[1]FF - Test Design'!D:D,C297)</f>
        <v>#VALUE!</v>
      </c>
      <c r="E297" s="8" t="s">
        <v>1002</v>
      </c>
      <c r="F297" s="57" t="str">
        <f>[1]!Table1[[#This Row],[Krav '#]]&amp;" - "&amp;[1]!Table1[[#This Row],[Beskrivelse]]</f>
        <v>10.a.1.1.1.93 - Hvis FordringsSlutDato ikke er valgt: Fristlængden indsættes ikke for Regel R0059</v>
      </c>
    </row>
    <row r="298" spans="1:6" hidden="1" x14ac:dyDescent="0.3">
      <c r="A298" s="57" t="s">
        <v>775</v>
      </c>
      <c r="B298" s="7" t="s">
        <v>785</v>
      </c>
      <c r="C298" s="7" t="s">
        <v>1003</v>
      </c>
      <c r="D298" s="28" t="e">
        <f>COUNTIF('[1]FF - Test Design'!D:D,C298)</f>
        <v>#VALUE!</v>
      </c>
      <c r="E298" s="8" t="s">
        <v>1004</v>
      </c>
      <c r="F298" s="57" t="str">
        <f>[1]!Table1[[#This Row],[Krav '#]]&amp;" - "&amp;[1]!Table1[[#This Row],[Beskrivelse]]</f>
        <v>10.a.1.1.1.94 - Hvis FordringsSlutDato ikke er valgt: Fristlængden indsættes ikke for Regel R0060</v>
      </c>
    </row>
    <row r="299" spans="1:6" hidden="1" x14ac:dyDescent="0.3">
      <c r="A299" s="57" t="s">
        <v>775</v>
      </c>
      <c r="B299" s="7" t="s">
        <v>785</v>
      </c>
      <c r="C299" s="7" t="s">
        <v>1005</v>
      </c>
      <c r="D299" s="28" t="e">
        <f>COUNTIF('[1]FF - Test Design'!D:D,C299)</f>
        <v>#VALUE!</v>
      </c>
      <c r="E299" s="8" t="s">
        <v>1006</v>
      </c>
      <c r="F299" s="57" t="str">
        <f>[1]!Table1[[#This Row],[Krav '#]]&amp;" - "&amp;[1]!Table1[[#This Row],[Beskrivelse]]</f>
        <v>10.a.1.1.1.95 - Hvis FordringsSlutDato ikke er valgt: Fristlængden indsættes ikke for Regel R0061</v>
      </c>
    </row>
    <row r="300" spans="1:6" hidden="1" x14ac:dyDescent="0.3">
      <c r="A300" s="57" t="s">
        <v>775</v>
      </c>
      <c r="B300" s="7" t="s">
        <v>785</v>
      </c>
      <c r="C300" s="7" t="s">
        <v>1007</v>
      </c>
      <c r="D300" s="28" t="e">
        <f>COUNTIF('[1]FF - Test Design'!D:D,C300)</f>
        <v>#VALUE!</v>
      </c>
      <c r="E300" s="8" t="s">
        <v>1008</v>
      </c>
      <c r="F300" s="57" t="str">
        <f>[1]!Table1[[#This Row],[Krav '#]]&amp;" - "&amp;[1]!Table1[[#This Row],[Beskrivelse]]</f>
        <v>10.a.1.1.1.96 - Hvis FordringsSlutDato ikke er valgt: Fristlængden indsættes ikke for Regel R0062</v>
      </c>
    </row>
    <row r="301" spans="1:6" hidden="1" x14ac:dyDescent="0.3">
      <c r="A301" s="57" t="s">
        <v>780</v>
      </c>
      <c r="B301" s="7" t="s">
        <v>785</v>
      </c>
      <c r="C301" s="7" t="s">
        <v>1009</v>
      </c>
      <c r="D301" s="28" t="e">
        <f>COUNTIF('[1]FF - Test Design'!D:D,C301)</f>
        <v>#VALUE!</v>
      </c>
      <c r="E301" s="8" t="s">
        <v>1010</v>
      </c>
      <c r="F301" s="57" t="str">
        <f>[1]!Table1[[#This Row],[Krav '#]]&amp;" - "&amp;[1]!Table1[[#This Row],[Beskrivelse]]</f>
        <v>10.a.1.1.1.97 - Hvis SRBDato ikke er valgt: Fristlængden indsættes ikke for Regel R0063</v>
      </c>
    </row>
    <row r="302" spans="1:6" hidden="1" x14ac:dyDescent="0.3">
      <c r="A302" s="57" t="s">
        <v>780</v>
      </c>
      <c r="B302" s="7" t="s">
        <v>785</v>
      </c>
      <c r="C302" s="7" t="s">
        <v>1011</v>
      </c>
      <c r="D302" s="28" t="e">
        <f>COUNTIF('[1]FF - Test Design'!D:D,C302)</f>
        <v>#VALUE!</v>
      </c>
      <c r="E302" s="8" t="s">
        <v>1012</v>
      </c>
      <c r="F302" s="57" t="str">
        <f>[1]!Table1[[#This Row],[Krav '#]]&amp;" - "&amp;[1]!Table1[[#This Row],[Beskrivelse]]</f>
        <v>10.a.1.1.1.98 - Hvis SRBDato ikke er valgt: Fristlængden indsættes ikke for Regel R0064</v>
      </c>
    </row>
    <row r="303" spans="1:6" hidden="1" x14ac:dyDescent="0.3">
      <c r="A303" s="57" t="s">
        <v>780</v>
      </c>
      <c r="B303" s="7" t="s">
        <v>785</v>
      </c>
      <c r="C303" s="7" t="s">
        <v>1013</v>
      </c>
      <c r="D303" s="28" t="e">
        <f>COUNTIF('[1]FF - Test Design'!D:D,C303)</f>
        <v>#VALUE!</v>
      </c>
      <c r="E303" s="8" t="s">
        <v>1014</v>
      </c>
      <c r="F303" s="57" t="str">
        <f>[1]!Table1[[#This Row],[Krav '#]]&amp;" - "&amp;[1]!Table1[[#This Row],[Beskrivelse]]</f>
        <v>10.a.1.1.1.99 - Hvis SRBDato ikke er valgt: Fristlængden indsættes ikke for Regel R0065</v>
      </c>
    </row>
    <row r="304" spans="1:6" hidden="1" x14ac:dyDescent="0.3">
      <c r="A304" s="57" t="s">
        <v>780</v>
      </c>
      <c r="B304" s="7" t="s">
        <v>785</v>
      </c>
      <c r="C304" s="7" t="s">
        <v>1015</v>
      </c>
      <c r="D304" s="28" t="e">
        <f>COUNTIF('[1]FF - Test Design'!D:D,C304)</f>
        <v>#VALUE!</v>
      </c>
      <c r="E304" s="8" t="s">
        <v>1016</v>
      </c>
      <c r="F304" s="57" t="str">
        <f>[1]!Table1[[#This Row],[Krav '#]]&amp;" - "&amp;[1]!Table1[[#This Row],[Beskrivelse]]</f>
        <v>10.a.1.1.1.100 - Hvis SRBDato ikke er valgt: Fristlængden indsættes ikke for Regel R0066</v>
      </c>
    </row>
    <row r="305" spans="1:6" hidden="1" x14ac:dyDescent="0.3">
      <c r="A305" s="57" t="s">
        <v>749</v>
      </c>
      <c r="B305" s="7" t="s">
        <v>785</v>
      </c>
      <c r="C305" s="7" t="s">
        <v>1017</v>
      </c>
      <c r="D305" s="28" t="e">
        <f>COUNTIF('[1]FF - Test Design'!D:D,C305)</f>
        <v>#VALUE!</v>
      </c>
      <c r="E305" s="8" t="s">
        <v>1018</v>
      </c>
      <c r="F305" s="57" t="str">
        <f>[1]!Table1[[#This Row],[Krav '#]]&amp;" - "&amp;[1]!Table1[[#This Row],[Beskrivelse]]</f>
        <v>10.a.1.1.1.101 - Hvis ForfaldsDato ikke er valgt: Fristlængden indsættes ikke for Regel R0067</v>
      </c>
    </row>
    <row r="306" spans="1:6" hidden="1" x14ac:dyDescent="0.3">
      <c r="A306" s="57" t="s">
        <v>765</v>
      </c>
      <c r="B306" s="7" t="s">
        <v>785</v>
      </c>
      <c r="C306" s="7" t="s">
        <v>1019</v>
      </c>
      <c r="D306" s="28" t="e">
        <f>COUNTIF('[1]FF - Test Design'!D:D,C306)</f>
        <v>#VALUE!</v>
      </c>
      <c r="E306" s="8" t="s">
        <v>1020</v>
      </c>
      <c r="F306" s="57" t="str">
        <f>[1]!Table1[[#This Row],[Krav '#]]&amp;" - "&amp;[1]!Table1[[#This Row],[Beskrivelse]]</f>
        <v>10.a.1.1.1.102 - Hvis StiftelsesDato ikke er valgt: Fristlængden indsættes ikke for Regel R0068</v>
      </c>
    </row>
    <row r="307" spans="1:6" hidden="1" x14ac:dyDescent="0.3">
      <c r="A307" s="57" t="s">
        <v>770</v>
      </c>
      <c r="B307" s="7" t="s">
        <v>785</v>
      </c>
      <c r="C307" s="7" t="s">
        <v>1021</v>
      </c>
      <c r="D307" s="28" t="e">
        <f>COUNTIF('[1]FF - Test Design'!D:D,C307)</f>
        <v>#VALUE!</v>
      </c>
      <c r="E307" s="8" t="s">
        <v>1022</v>
      </c>
      <c r="F307" s="57" t="str">
        <f>[1]!Table1[[#This Row],[Krav '#]]&amp;" - "&amp;[1]!Table1[[#This Row],[Beskrivelse]]</f>
        <v>10.a.1.1.1.103 - Hvis FordringsStartDato ikke er valgt: Fristlængden indsættes ikke for Regel R0069</v>
      </c>
    </row>
    <row r="308" spans="1:6" hidden="1" x14ac:dyDescent="0.3">
      <c r="A308" s="57" t="s">
        <v>775</v>
      </c>
      <c r="B308" s="7" t="s">
        <v>785</v>
      </c>
      <c r="C308" s="7" t="s">
        <v>1023</v>
      </c>
      <c r="D308" s="28" t="e">
        <f>COUNTIF('[1]FF - Test Design'!D:D,C308)</f>
        <v>#VALUE!</v>
      </c>
      <c r="E308" s="8" t="s">
        <v>1024</v>
      </c>
      <c r="F308" s="57" t="str">
        <f>[1]!Table1[[#This Row],[Krav '#]]&amp;" - "&amp;[1]!Table1[[#This Row],[Beskrivelse]]</f>
        <v>10.a.1.1.1.104 - Hvis FordringsSlutDato ikke er valgt: Fristlængden indsættes ikke for Regel R0070</v>
      </c>
    </row>
    <row r="309" spans="1:6" hidden="1" x14ac:dyDescent="0.3">
      <c r="A309" s="57" t="s">
        <v>780</v>
      </c>
      <c r="B309" s="7" t="s">
        <v>785</v>
      </c>
      <c r="C309" s="7" t="s">
        <v>1025</v>
      </c>
      <c r="D309" s="28" t="e">
        <f>COUNTIF('[1]FF - Test Design'!D:D,C309)</f>
        <v>#VALUE!</v>
      </c>
      <c r="E309" s="8" t="s">
        <v>1026</v>
      </c>
      <c r="F309" s="57" t="str">
        <f>[1]!Table1[[#This Row],[Krav '#]]&amp;" - "&amp;[1]!Table1[[#This Row],[Beskrivelse]]</f>
        <v>10.a.1.1.1.105 - Hvis SRBDato ikke er valgt: Fristlængden indsættes ikke for Regel R0071</v>
      </c>
    </row>
    <row r="310" spans="1:6" hidden="1" x14ac:dyDescent="0.3">
      <c r="A310" s="57" t="s">
        <v>749</v>
      </c>
      <c r="B310" s="7" t="s">
        <v>785</v>
      </c>
      <c r="C310" s="7" t="s">
        <v>1027</v>
      </c>
      <c r="D310" s="28" t="e">
        <f>COUNTIF('[1]FF - Test Design'!D:D,C310)</f>
        <v>#VALUE!</v>
      </c>
      <c r="E310" s="8" t="s">
        <v>1028</v>
      </c>
      <c r="F310" s="57" t="str">
        <f>[1]!Table1[[#This Row],[Krav '#]]&amp;" - "&amp;[1]!Table1[[#This Row],[Beskrivelse]]</f>
        <v>10.a.1.1.1.106 - Der angives et ”JA” i populationen under ”Vil RIM beregne en tidligst mulig forældelsesdato?”</v>
      </c>
    </row>
    <row r="311" spans="1:6" hidden="1" x14ac:dyDescent="0.3">
      <c r="A311" s="57" t="s">
        <v>765</v>
      </c>
      <c r="B311" s="7" t="s">
        <v>785</v>
      </c>
      <c r="C311" s="7" t="s">
        <v>1029</v>
      </c>
      <c r="D311" s="28" t="e">
        <f>COUNTIF('[1]FF - Test Design'!D:D,C311)</f>
        <v>#VALUE!</v>
      </c>
      <c r="E311" s="8" t="s">
        <v>1028</v>
      </c>
      <c r="F311" s="57" t="str">
        <f>[1]!Table1[[#This Row],[Krav '#]]&amp;" - "&amp;[1]!Table1[[#This Row],[Beskrivelse]]</f>
        <v>10.a.1.1.1.107 - Der angives et ”JA” i populationen under ”Vil RIM beregne en tidligst mulig forældelsesdato?”</v>
      </c>
    </row>
    <row r="312" spans="1:6" hidden="1" x14ac:dyDescent="0.3">
      <c r="A312" s="57" t="s">
        <v>770</v>
      </c>
      <c r="B312" s="7" t="s">
        <v>785</v>
      </c>
      <c r="C312" s="7" t="s">
        <v>1030</v>
      </c>
      <c r="D312" s="28" t="e">
        <f>COUNTIF('[1]FF - Test Design'!D:D,C312)</f>
        <v>#VALUE!</v>
      </c>
      <c r="E312" s="8" t="s">
        <v>1028</v>
      </c>
      <c r="F312" s="57" t="str">
        <f>[1]!Table1[[#This Row],[Krav '#]]&amp;" - "&amp;[1]!Table1[[#This Row],[Beskrivelse]]</f>
        <v>10.a.1.1.1.108 - Der angives et ”JA” i populationen under ”Vil RIM beregne en tidligst mulig forældelsesdato?”</v>
      </c>
    </row>
    <row r="313" spans="1:6" hidden="1" x14ac:dyDescent="0.3">
      <c r="A313" s="57" t="s">
        <v>775</v>
      </c>
      <c r="B313" s="7" t="s">
        <v>785</v>
      </c>
      <c r="C313" s="7" t="s">
        <v>1031</v>
      </c>
      <c r="D313" s="28" t="e">
        <f>COUNTIF('[1]FF - Test Design'!D:D,C313)</f>
        <v>#VALUE!</v>
      </c>
      <c r="E313" s="8" t="s">
        <v>1028</v>
      </c>
      <c r="F313" s="57" t="str">
        <f>[1]!Table1[[#This Row],[Krav '#]]&amp;" - "&amp;[1]!Table1[[#This Row],[Beskrivelse]]</f>
        <v>10.a.1.1.1.109 - Der angives et ”JA” i populationen under ”Vil RIM beregne en tidligst mulig forældelsesdato?”</v>
      </c>
    </row>
    <row r="314" spans="1:6" hidden="1" x14ac:dyDescent="0.3">
      <c r="A314" s="57" t="s">
        <v>780</v>
      </c>
      <c r="B314" s="7" t="s">
        <v>785</v>
      </c>
      <c r="C314" s="7" t="s">
        <v>1032</v>
      </c>
      <c r="D314" s="28" t="e">
        <f>COUNTIF('[1]FF - Test Design'!D:D,C314)</f>
        <v>#VALUE!</v>
      </c>
      <c r="E314" s="8" t="s">
        <v>1028</v>
      </c>
      <c r="F314" s="57" t="str">
        <f>[1]!Table1[[#This Row],[Krav '#]]&amp;" - "&amp;[1]!Table1[[#This Row],[Beskrivelse]]</f>
        <v>10.a.1.1.1.110 - Der angives et ”JA” i populationen under ”Vil RIM beregne en tidligst mulig forældelsesdato?”</v>
      </c>
    </row>
    <row r="315" spans="1:6" hidden="1" x14ac:dyDescent="0.3">
      <c r="A315" s="57" t="s">
        <v>749</v>
      </c>
      <c r="B315" s="7" t="s">
        <v>787</v>
      </c>
      <c r="C315" s="7" t="s">
        <v>1033</v>
      </c>
      <c r="D315" s="28" t="e">
        <f>COUNTIF('[1]FF - Test Design'!D:D,C315)</f>
        <v>#VALUE!</v>
      </c>
      <c r="E315" s="8" t="s">
        <v>1034</v>
      </c>
      <c r="F315" s="57" t="str">
        <f>[1]!Table1[[#This Row],[Krav '#]]&amp;" - "&amp;[1]!Table1[[#This Row],[Beskrivelse]]</f>
        <v>10.a.1.1.2.1 - Hvis der er svaret "I visse tilfælde" i spørgsmål 9 og hvis der er svaret "Ja" i enten 9.b.1, 9.b.2.1 eller 9.b.2.2.1 skal brugeren ledes til spørgsmål 11</v>
      </c>
    </row>
    <row r="316" spans="1:6" hidden="1" x14ac:dyDescent="0.3">
      <c r="A316" s="57" t="s">
        <v>749</v>
      </c>
      <c r="B316" s="7" t="s">
        <v>787</v>
      </c>
      <c r="C316" s="7" t="s">
        <v>1035</v>
      </c>
      <c r="D316" s="28" t="e">
        <f>COUNTIF('[1]FF - Test Design'!D:D,C316)</f>
        <v>#VALUE!</v>
      </c>
      <c r="E316" s="8" t="s">
        <v>1036</v>
      </c>
      <c r="F316" s="57" t="str">
        <f>[1]!Table1[[#This Row],[Krav '#]]&amp;" - "&amp;[1]!Table1[[#This Row],[Beskrivelse]]</f>
        <v>10.a.1.1.2.2 - Der angives et "NEJ" i i populationen under ”vil RIM beregne en tidligst mulig forældelsesdato?"</v>
      </c>
    </row>
    <row r="317" spans="1:6" hidden="1" x14ac:dyDescent="0.3">
      <c r="A317" s="57" t="s">
        <v>749</v>
      </c>
      <c r="B317" s="7" t="s">
        <v>787</v>
      </c>
      <c r="C317" s="7" t="s">
        <v>1037</v>
      </c>
      <c r="D317" s="28" t="e">
        <f>COUNTIF('[1]FF - Test Design'!D:D,C317)</f>
        <v>#VALUE!</v>
      </c>
      <c r="E317" s="8" t="s">
        <v>690</v>
      </c>
      <c r="F317" s="57" t="str">
        <f>[1]!Table1[[#This Row],[Krav '#]]&amp;" - "&amp;[1]!Table1[[#This Row],[Beskrivelse]]</f>
        <v>10.a.1.1.2.3 - Gruppe 1 deaktiveres</v>
      </c>
    </row>
    <row r="318" spans="1:6" hidden="1" x14ac:dyDescent="0.3">
      <c r="A318" s="57" t="s">
        <v>749</v>
      </c>
      <c r="B318" s="7" t="s">
        <v>787</v>
      </c>
      <c r="C318" s="7" t="s">
        <v>1038</v>
      </c>
      <c r="D318" s="28" t="e">
        <f>COUNTIF('[1]FF - Test Design'!D:D,C318)</f>
        <v>#VALUE!</v>
      </c>
      <c r="E318" s="8" t="s">
        <v>1039</v>
      </c>
      <c r="F318" s="57" t="str">
        <f>[1]!Table1[[#This Row],[Krav '#]]&amp;" - "&amp;[1]!Table1[[#This Row],[Beskrivelse]]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19" spans="1:6" hidden="1" x14ac:dyDescent="0.3">
      <c r="A319" s="57" t="s">
        <v>749</v>
      </c>
      <c r="B319" s="7" t="s">
        <v>787</v>
      </c>
      <c r="C319" s="7" t="s">
        <v>1040</v>
      </c>
      <c r="D319" s="28" t="e">
        <f>COUNTIF('[1]FF - Test Design'!D:D,C319)</f>
        <v>#VALUE!</v>
      </c>
      <c r="E319" s="8" t="s">
        <v>1041</v>
      </c>
      <c r="F319" s="57" t="str">
        <f>[1]!Table1[[#This Row],[Krav '#]]&amp;" - "&amp;[1]!Table1[[#This Row],[Beskrivelse]]</f>
        <v xml:space="preserve">10.a.1.1.2.5 - Hvis fordringshaver har svaret ”aldrig” i spm. 9, kan der ikke opsættes en FLEX-filter konfiguration for populationen. </v>
      </c>
    </row>
    <row r="320" spans="1:6" hidden="1" x14ac:dyDescent="0.3">
      <c r="A320" s="57" t="s">
        <v>765</v>
      </c>
      <c r="B320" s="7" t="s">
        <v>787</v>
      </c>
      <c r="C320" s="7" t="s">
        <v>1033</v>
      </c>
      <c r="D320" s="28" t="e">
        <f>COUNTIF('[1]FF - Test Design'!D:D,C320)</f>
        <v>#VALUE!</v>
      </c>
      <c r="E320" s="8" t="s">
        <v>1034</v>
      </c>
      <c r="F320" s="57" t="str">
        <f>[1]!Table1[[#This Row],[Krav '#]]&amp;" - "&amp;[1]!Table1[[#This Row],[Beskrivelse]]</f>
        <v>10.a.1.1.2.1 - Hvis der er svaret "I visse tilfælde" i spørgsmål 9 og hvis der er svaret "Ja" i enten 9.b.1, 9.b.2.1 eller 9.b.2.2.1 skal brugeren ledes til spørgsmål 11</v>
      </c>
    </row>
    <row r="321" spans="1:6" hidden="1" x14ac:dyDescent="0.3">
      <c r="A321" s="57" t="s">
        <v>765</v>
      </c>
      <c r="B321" s="7" t="s">
        <v>787</v>
      </c>
      <c r="C321" s="7" t="s">
        <v>1035</v>
      </c>
      <c r="D321" s="28" t="e">
        <f>COUNTIF('[1]FF - Test Design'!D:D,C321)</f>
        <v>#VALUE!</v>
      </c>
      <c r="E321" s="8" t="s">
        <v>1036</v>
      </c>
      <c r="F321" s="57" t="str">
        <f>[1]!Table1[[#This Row],[Krav '#]]&amp;" - "&amp;[1]!Table1[[#This Row],[Beskrivelse]]</f>
        <v>10.a.1.1.2.2 - Der angives et "NEJ" i i populationen under ”vil RIM beregne en tidligst mulig forældelsesdato?"</v>
      </c>
    </row>
    <row r="322" spans="1:6" hidden="1" x14ac:dyDescent="0.3">
      <c r="A322" s="57" t="s">
        <v>765</v>
      </c>
      <c r="B322" s="7" t="s">
        <v>787</v>
      </c>
      <c r="C322" s="7" t="s">
        <v>1037</v>
      </c>
      <c r="D322" s="28" t="e">
        <f>COUNTIF('[1]FF - Test Design'!D:D,C322)</f>
        <v>#VALUE!</v>
      </c>
      <c r="E322" s="8" t="s">
        <v>690</v>
      </c>
      <c r="F322" s="57" t="str">
        <f>[1]!Table1[[#This Row],[Krav '#]]&amp;" - "&amp;[1]!Table1[[#This Row],[Beskrivelse]]</f>
        <v>10.a.1.1.2.3 - Gruppe 1 deaktiveres</v>
      </c>
    </row>
    <row r="323" spans="1:6" hidden="1" x14ac:dyDescent="0.3">
      <c r="A323" s="57" t="s">
        <v>765</v>
      </c>
      <c r="B323" s="7" t="s">
        <v>787</v>
      </c>
      <c r="C323" s="7" t="s">
        <v>1038</v>
      </c>
      <c r="D323" s="28" t="e">
        <f>COUNTIF('[1]FF - Test Design'!D:D,C323)</f>
        <v>#VALUE!</v>
      </c>
      <c r="E323" s="8" t="s">
        <v>1039</v>
      </c>
      <c r="F323" s="57" t="str">
        <f>[1]!Table1[[#This Row],[Krav '#]]&amp;" - "&amp;[1]!Table1[[#This Row],[Beskrivelse]]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24" spans="1:6" hidden="1" x14ac:dyDescent="0.3">
      <c r="A324" s="57" t="s">
        <v>765</v>
      </c>
      <c r="B324" s="7" t="s">
        <v>787</v>
      </c>
      <c r="C324" s="7" t="s">
        <v>1040</v>
      </c>
      <c r="D324" s="28" t="e">
        <f>COUNTIF('[1]FF - Test Design'!D:D,C324)</f>
        <v>#VALUE!</v>
      </c>
      <c r="E324" s="8" t="s">
        <v>1041</v>
      </c>
      <c r="F324" s="57" t="str">
        <f>[1]!Table1[[#This Row],[Krav '#]]&amp;" - "&amp;[1]!Table1[[#This Row],[Beskrivelse]]</f>
        <v xml:space="preserve">10.a.1.1.2.5 - Hvis fordringshaver har svaret ”aldrig” i spm. 9, kan der ikke opsættes en FLEX-filter konfiguration for populationen. </v>
      </c>
    </row>
    <row r="325" spans="1:6" hidden="1" x14ac:dyDescent="0.3">
      <c r="A325" s="57" t="s">
        <v>770</v>
      </c>
      <c r="B325" s="7" t="s">
        <v>787</v>
      </c>
      <c r="C325" s="7" t="s">
        <v>1033</v>
      </c>
      <c r="D325" s="28" t="e">
        <f>COUNTIF('[1]FF - Test Design'!D:D,C325)</f>
        <v>#VALUE!</v>
      </c>
      <c r="E325" s="8" t="s">
        <v>1034</v>
      </c>
      <c r="F325" s="57" t="str">
        <f>[1]!Table1[[#This Row],[Krav '#]]&amp;" - "&amp;[1]!Table1[[#This Row],[Beskrivelse]]</f>
        <v>10.a.1.1.2.1 - Hvis der er svaret "I visse tilfælde" i spørgsmål 9 og hvis der er svaret "Ja" i enten 9.b.1, 9.b.2.1 eller 9.b.2.2.1 skal brugeren ledes til spørgsmål 11</v>
      </c>
    </row>
    <row r="326" spans="1:6" hidden="1" x14ac:dyDescent="0.3">
      <c r="A326" s="57" t="s">
        <v>770</v>
      </c>
      <c r="B326" s="7" t="s">
        <v>787</v>
      </c>
      <c r="C326" s="7" t="s">
        <v>1035</v>
      </c>
      <c r="D326" s="28" t="e">
        <f>COUNTIF('[1]FF - Test Design'!D:D,C326)</f>
        <v>#VALUE!</v>
      </c>
      <c r="E326" s="8" t="s">
        <v>1036</v>
      </c>
      <c r="F326" s="57" t="str">
        <f>[1]!Table1[[#This Row],[Krav '#]]&amp;" - "&amp;[1]!Table1[[#This Row],[Beskrivelse]]</f>
        <v>10.a.1.1.2.2 - Der angives et "NEJ" i i populationen under ”vil RIM beregne en tidligst mulig forældelsesdato?"</v>
      </c>
    </row>
    <row r="327" spans="1:6" hidden="1" x14ac:dyDescent="0.3">
      <c r="A327" s="57" t="s">
        <v>770</v>
      </c>
      <c r="B327" s="7" t="s">
        <v>787</v>
      </c>
      <c r="C327" s="7" t="s">
        <v>1037</v>
      </c>
      <c r="D327" s="28" t="e">
        <f>COUNTIF('[1]FF - Test Design'!D:D,C327)</f>
        <v>#VALUE!</v>
      </c>
      <c r="E327" s="8" t="s">
        <v>690</v>
      </c>
      <c r="F327" s="57" t="str">
        <f>[1]!Table1[[#This Row],[Krav '#]]&amp;" - "&amp;[1]!Table1[[#This Row],[Beskrivelse]]</f>
        <v>10.a.1.1.2.3 - Gruppe 1 deaktiveres</v>
      </c>
    </row>
    <row r="328" spans="1:6" hidden="1" x14ac:dyDescent="0.3">
      <c r="A328" s="57" t="s">
        <v>770</v>
      </c>
      <c r="B328" s="7" t="s">
        <v>787</v>
      </c>
      <c r="C328" s="7" t="s">
        <v>1038</v>
      </c>
      <c r="D328" s="28" t="e">
        <f>COUNTIF('[1]FF - Test Design'!D:D,C328)</f>
        <v>#VALUE!</v>
      </c>
      <c r="E328" s="8" t="s">
        <v>1039</v>
      </c>
      <c r="F328" s="57" t="str">
        <f>[1]!Table1[[#This Row],[Krav '#]]&amp;" - "&amp;[1]!Table1[[#This Row],[Beskrivelse]]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29" spans="1:6" hidden="1" x14ac:dyDescent="0.3">
      <c r="A329" s="57" t="s">
        <v>770</v>
      </c>
      <c r="B329" s="7" t="s">
        <v>787</v>
      </c>
      <c r="C329" s="7" t="s">
        <v>1040</v>
      </c>
      <c r="D329" s="28" t="e">
        <f>COUNTIF('[1]FF - Test Design'!D:D,C329)</f>
        <v>#VALUE!</v>
      </c>
      <c r="E329" s="8" t="s">
        <v>1041</v>
      </c>
      <c r="F329" s="57" t="str">
        <f>[1]!Table1[[#This Row],[Krav '#]]&amp;" - "&amp;[1]!Table1[[#This Row],[Beskrivelse]]</f>
        <v xml:space="preserve">10.a.1.1.2.5 - Hvis fordringshaver har svaret ”aldrig” i spm. 9, kan der ikke opsættes en FLEX-filter konfiguration for populationen. </v>
      </c>
    </row>
    <row r="330" spans="1:6" hidden="1" x14ac:dyDescent="0.3">
      <c r="A330" s="57" t="s">
        <v>775</v>
      </c>
      <c r="B330" s="7" t="s">
        <v>787</v>
      </c>
      <c r="C330" s="7" t="s">
        <v>1033</v>
      </c>
      <c r="D330" s="28" t="e">
        <f>COUNTIF('[1]FF - Test Design'!D:D,C330)</f>
        <v>#VALUE!</v>
      </c>
      <c r="E330" s="8" t="s">
        <v>1034</v>
      </c>
      <c r="F330" s="57" t="str">
        <f>[1]!Table1[[#This Row],[Krav '#]]&amp;" - "&amp;[1]!Table1[[#This Row],[Beskrivelse]]</f>
        <v>10.a.1.1.2.1 - Hvis der er svaret "I visse tilfælde" i spørgsmål 9 og hvis der er svaret "Ja" i enten 9.b.1, 9.b.2.1 eller 9.b.2.2.1 skal brugeren ledes til spørgsmål 11</v>
      </c>
    </row>
    <row r="331" spans="1:6" hidden="1" x14ac:dyDescent="0.3">
      <c r="A331" s="57" t="s">
        <v>775</v>
      </c>
      <c r="B331" s="7" t="s">
        <v>787</v>
      </c>
      <c r="C331" s="7" t="s">
        <v>1035</v>
      </c>
      <c r="D331" s="28" t="e">
        <f>COUNTIF('[1]FF - Test Design'!D:D,C331)</f>
        <v>#VALUE!</v>
      </c>
      <c r="E331" s="8" t="s">
        <v>1036</v>
      </c>
      <c r="F331" s="57" t="str">
        <f>[1]!Table1[[#This Row],[Krav '#]]&amp;" - "&amp;[1]!Table1[[#This Row],[Beskrivelse]]</f>
        <v>10.a.1.1.2.2 - Der angives et "NEJ" i i populationen under ”vil RIM beregne en tidligst mulig forældelsesdato?"</v>
      </c>
    </row>
    <row r="332" spans="1:6" hidden="1" x14ac:dyDescent="0.3">
      <c r="A332" s="57" t="s">
        <v>775</v>
      </c>
      <c r="B332" s="7" t="s">
        <v>787</v>
      </c>
      <c r="C332" s="7" t="s">
        <v>1037</v>
      </c>
      <c r="D332" s="28" t="e">
        <f>COUNTIF('[1]FF - Test Design'!D:D,C332)</f>
        <v>#VALUE!</v>
      </c>
      <c r="E332" s="8" t="s">
        <v>690</v>
      </c>
      <c r="F332" s="57" t="str">
        <f>[1]!Table1[[#This Row],[Krav '#]]&amp;" - "&amp;[1]!Table1[[#This Row],[Beskrivelse]]</f>
        <v>10.a.1.1.2.3 - Gruppe 1 deaktiveres</v>
      </c>
    </row>
    <row r="333" spans="1:6" hidden="1" x14ac:dyDescent="0.3">
      <c r="A333" s="57" t="s">
        <v>775</v>
      </c>
      <c r="B333" s="7" t="s">
        <v>787</v>
      </c>
      <c r="C333" s="7" t="s">
        <v>1038</v>
      </c>
      <c r="D333" s="28" t="e">
        <f>COUNTIF('[1]FF - Test Design'!D:D,C333)</f>
        <v>#VALUE!</v>
      </c>
      <c r="E333" s="8" t="s">
        <v>1039</v>
      </c>
      <c r="F333" s="57" t="str">
        <f>[1]!Table1[[#This Row],[Krav '#]]&amp;" - "&amp;[1]!Table1[[#This Row],[Beskrivelse]]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34" spans="1:6" hidden="1" x14ac:dyDescent="0.3">
      <c r="A334" s="57" t="s">
        <v>775</v>
      </c>
      <c r="B334" s="7" t="s">
        <v>787</v>
      </c>
      <c r="C334" s="7" t="s">
        <v>1040</v>
      </c>
      <c r="D334" s="28" t="e">
        <f>COUNTIF('[1]FF - Test Design'!D:D,C334)</f>
        <v>#VALUE!</v>
      </c>
      <c r="E334" s="8" t="s">
        <v>1041</v>
      </c>
      <c r="F334" s="57" t="str">
        <f>[1]!Table1[[#This Row],[Krav '#]]&amp;" - "&amp;[1]!Table1[[#This Row],[Beskrivelse]]</f>
        <v xml:space="preserve">10.a.1.1.2.5 - Hvis fordringshaver har svaret ”aldrig” i spm. 9, kan der ikke opsættes en FLEX-filter konfiguration for populationen. </v>
      </c>
    </row>
    <row r="335" spans="1:6" hidden="1" x14ac:dyDescent="0.3">
      <c r="A335" s="57" t="s">
        <v>780</v>
      </c>
      <c r="B335" s="7" t="s">
        <v>787</v>
      </c>
      <c r="C335" s="7" t="s">
        <v>1033</v>
      </c>
      <c r="D335" s="28" t="e">
        <f>COUNTIF('[1]FF - Test Design'!D:D,C335)</f>
        <v>#VALUE!</v>
      </c>
      <c r="E335" s="8" t="s">
        <v>1034</v>
      </c>
      <c r="F335" s="57" t="str">
        <f>[1]!Table1[[#This Row],[Krav '#]]&amp;" - "&amp;[1]!Table1[[#This Row],[Beskrivelse]]</f>
        <v>10.a.1.1.2.1 - Hvis der er svaret "I visse tilfælde" i spørgsmål 9 og hvis der er svaret "Ja" i enten 9.b.1, 9.b.2.1 eller 9.b.2.2.1 skal brugeren ledes til spørgsmål 11</v>
      </c>
    </row>
    <row r="336" spans="1:6" hidden="1" x14ac:dyDescent="0.3">
      <c r="A336" s="57" t="s">
        <v>780</v>
      </c>
      <c r="B336" s="7" t="s">
        <v>787</v>
      </c>
      <c r="C336" s="7" t="s">
        <v>1035</v>
      </c>
      <c r="D336" s="28" t="e">
        <f>COUNTIF('[1]FF - Test Design'!D:D,C336)</f>
        <v>#VALUE!</v>
      </c>
      <c r="E336" s="8" t="s">
        <v>1036</v>
      </c>
      <c r="F336" s="57" t="str">
        <f>[1]!Table1[[#This Row],[Krav '#]]&amp;" - "&amp;[1]!Table1[[#This Row],[Beskrivelse]]</f>
        <v>10.a.1.1.2.2 - Der angives et "NEJ" i i populationen under ”vil RIM beregne en tidligst mulig forældelsesdato?"</v>
      </c>
    </row>
    <row r="337" spans="1:6" hidden="1" x14ac:dyDescent="0.3">
      <c r="A337" s="57" t="s">
        <v>780</v>
      </c>
      <c r="B337" s="7" t="s">
        <v>787</v>
      </c>
      <c r="C337" s="7" t="s">
        <v>1037</v>
      </c>
      <c r="D337" s="28" t="e">
        <f>COUNTIF('[1]FF - Test Design'!D:D,C337)</f>
        <v>#VALUE!</v>
      </c>
      <c r="E337" s="8" t="s">
        <v>690</v>
      </c>
      <c r="F337" s="57" t="str">
        <f>[1]!Table1[[#This Row],[Krav '#]]&amp;" - "&amp;[1]!Table1[[#This Row],[Beskrivelse]]</f>
        <v>10.a.1.1.2.3 - Gruppe 1 deaktiveres</v>
      </c>
    </row>
    <row r="338" spans="1:6" hidden="1" x14ac:dyDescent="0.3">
      <c r="A338" s="57" t="s">
        <v>780</v>
      </c>
      <c r="B338" s="7" t="s">
        <v>787</v>
      </c>
      <c r="C338" s="7" t="s">
        <v>1038</v>
      </c>
      <c r="D338" s="28" t="e">
        <f>COUNTIF('[1]FF - Test Design'!D:D,C338)</f>
        <v>#VALUE!</v>
      </c>
      <c r="E338" s="8" t="s">
        <v>1039</v>
      </c>
      <c r="F338" s="57" t="str">
        <f>[1]!Table1[[#This Row],[Krav '#]]&amp;" - "&amp;[1]!Table1[[#This Row],[Beskrivelse]]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39" spans="1:6" hidden="1" x14ac:dyDescent="0.3">
      <c r="A339" s="57" t="s">
        <v>780</v>
      </c>
      <c r="B339" s="7" t="s">
        <v>787</v>
      </c>
      <c r="C339" s="7" t="s">
        <v>1040</v>
      </c>
      <c r="D339" s="28" t="e">
        <f>COUNTIF('[1]FF - Test Design'!D:D,C339)</f>
        <v>#VALUE!</v>
      </c>
      <c r="E339" s="8" t="s">
        <v>1041</v>
      </c>
      <c r="F339" s="57" t="str">
        <f>[1]!Table1[[#This Row],[Krav '#]]&amp;" - "&amp;[1]!Table1[[#This Row],[Beskrivelse]]</f>
        <v xml:space="preserve">10.a.1.1.2.5 - Hvis fordringshaver har svaret ”aldrig” i spm. 9, kan der ikke opsættes en FLEX-filter konfiguration for populationen. </v>
      </c>
    </row>
    <row r="340" spans="1:6" hidden="1" x14ac:dyDescent="0.3">
      <c r="A340" s="57" t="s">
        <v>749</v>
      </c>
      <c r="B340" s="7" t="s">
        <v>759</v>
      </c>
      <c r="C340" s="7" t="s">
        <v>1042</v>
      </c>
      <c r="D340" s="28" t="e">
        <f>COUNTIF('[1]FF - Test Design'!D:D,C340)</f>
        <v>#VALUE!</v>
      </c>
      <c r="E340" s="8" t="s">
        <v>1034</v>
      </c>
      <c r="F340" s="57" t="str">
        <f>[1]!Table1[[#This Row],[Krav '#]]&amp;" - "&amp;[1]!Table1[[#This Row],[Beskrivelse]]</f>
        <v>10.a.1.2.1 - Hvis der er svaret "I visse tilfælde" i spørgsmål 9 og hvis der er svaret "Ja" i enten 9.b.1, 9.b.2.1 eller 9.b.2.2.1 skal brugeren ledes til spørgsmål 11</v>
      </c>
    </row>
    <row r="341" spans="1:6" hidden="1" x14ac:dyDescent="0.3">
      <c r="A341" s="57" t="s">
        <v>749</v>
      </c>
      <c r="B341" s="7" t="s">
        <v>759</v>
      </c>
      <c r="C341" s="7" t="s">
        <v>1043</v>
      </c>
      <c r="D341" s="28" t="e">
        <f>COUNTIF('[1]FF - Test Design'!D:D,C341)</f>
        <v>#VALUE!</v>
      </c>
      <c r="E341" s="8" t="s">
        <v>1036</v>
      </c>
      <c r="F341" s="57" t="str">
        <f>[1]!Table1[[#This Row],[Krav '#]]&amp;" - "&amp;[1]!Table1[[#This Row],[Beskrivelse]]</f>
        <v>10.a.1.2.2 - Der angives et "NEJ" i i populationen under ”vil RIM beregne en tidligst mulig forældelsesdato?"</v>
      </c>
    </row>
    <row r="342" spans="1:6" hidden="1" x14ac:dyDescent="0.3">
      <c r="A342" s="57" t="s">
        <v>749</v>
      </c>
      <c r="B342" s="7" t="s">
        <v>759</v>
      </c>
      <c r="C342" s="7" t="s">
        <v>1044</v>
      </c>
      <c r="D342" s="28" t="e">
        <f>COUNTIF('[1]FF - Test Design'!D:D,C342)</f>
        <v>#VALUE!</v>
      </c>
      <c r="E342" s="8" t="s">
        <v>690</v>
      </c>
      <c r="F342" s="57" t="str">
        <f>[1]!Table1[[#This Row],[Krav '#]]&amp;" - "&amp;[1]!Table1[[#This Row],[Beskrivelse]]</f>
        <v>10.a.1.2.3 - Gruppe 1 deaktiveres</v>
      </c>
    </row>
    <row r="343" spans="1:6" hidden="1" x14ac:dyDescent="0.3">
      <c r="A343" s="57" t="s">
        <v>749</v>
      </c>
      <c r="B343" s="7" t="s">
        <v>759</v>
      </c>
      <c r="C343" s="7" t="s">
        <v>1045</v>
      </c>
      <c r="D343" s="28" t="e">
        <f>COUNTIF('[1]FF - Test Design'!D:D,C343)</f>
        <v>#VALUE!</v>
      </c>
      <c r="E343" s="8" t="s">
        <v>1039</v>
      </c>
      <c r="F343" s="57" t="str">
        <f>[1]!Table1[[#This Row],[Krav '#]]&amp;" - "&amp;[1]!Table1[[#This Row],[Beskrivelse]]</f>
        <v>10.a.1.2.4 -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44" spans="1:6" hidden="1" x14ac:dyDescent="0.3">
      <c r="A344" s="57" t="s">
        <v>749</v>
      </c>
      <c r="B344" s="7" t="s">
        <v>759</v>
      </c>
      <c r="C344" s="7" t="s">
        <v>1046</v>
      </c>
      <c r="D344" s="28" t="e">
        <f>COUNTIF('[1]FF - Test Design'!D:D,C344)</f>
        <v>#VALUE!</v>
      </c>
      <c r="E344" s="8" t="s">
        <v>1041</v>
      </c>
      <c r="F344" s="57" t="str">
        <f>[1]!Table1[[#This Row],[Krav '#]]&amp;" - "&amp;[1]!Table1[[#This Row],[Beskrivelse]]</f>
        <v xml:space="preserve">10.a.1.2.5 - Hvis fordringshaver har svaret ”aldrig” i spm. 9, kan der ikke opsættes en FLEX-filter konfiguration for populationen. </v>
      </c>
    </row>
    <row r="345" spans="1:6" hidden="1" x14ac:dyDescent="0.3">
      <c r="A345" s="57" t="s">
        <v>765</v>
      </c>
      <c r="B345" s="7" t="s">
        <v>759</v>
      </c>
      <c r="C345" s="7" t="s">
        <v>1047</v>
      </c>
      <c r="D345" s="28" t="e">
        <f>COUNTIF('[1]FF - Test Design'!D:D,C345)</f>
        <v>#VALUE!</v>
      </c>
      <c r="E345" s="8" t="s">
        <v>1034</v>
      </c>
      <c r="F345" s="57" t="str">
        <f>[1]!Table1[[#This Row],[Krav '#]]&amp;" - "&amp;[1]!Table1[[#This Row],[Beskrivelse]]</f>
        <v>10.a.1.2.6 - Hvis der er svaret "I visse tilfælde" i spørgsmål 9 og hvis der er svaret "Ja" i enten 9.b.1, 9.b.2.1 eller 9.b.2.2.1 skal brugeren ledes til spørgsmål 11</v>
      </c>
    </row>
    <row r="346" spans="1:6" hidden="1" x14ac:dyDescent="0.3">
      <c r="A346" s="57" t="s">
        <v>765</v>
      </c>
      <c r="B346" s="7" t="s">
        <v>759</v>
      </c>
      <c r="C346" s="7" t="s">
        <v>1048</v>
      </c>
      <c r="D346" s="28" t="e">
        <f>COUNTIF('[1]FF - Test Design'!D:D,C346)</f>
        <v>#VALUE!</v>
      </c>
      <c r="E346" s="8" t="s">
        <v>1036</v>
      </c>
      <c r="F346" s="57" t="str">
        <f>[1]!Table1[[#This Row],[Krav '#]]&amp;" - "&amp;[1]!Table1[[#This Row],[Beskrivelse]]</f>
        <v>10.a.1.2.7 - Der angives et "NEJ" i i populationen under ”vil RIM beregne en tidligst mulig forældelsesdato?"</v>
      </c>
    </row>
    <row r="347" spans="1:6" hidden="1" x14ac:dyDescent="0.3">
      <c r="A347" s="57" t="s">
        <v>765</v>
      </c>
      <c r="B347" s="7" t="s">
        <v>759</v>
      </c>
      <c r="C347" s="7" t="s">
        <v>1049</v>
      </c>
      <c r="D347" s="28" t="e">
        <f>COUNTIF('[1]FF - Test Design'!D:D,C347)</f>
        <v>#VALUE!</v>
      </c>
      <c r="E347" s="8" t="s">
        <v>690</v>
      </c>
      <c r="F347" s="57" t="str">
        <f>[1]!Table1[[#This Row],[Krav '#]]&amp;" - "&amp;[1]!Table1[[#This Row],[Beskrivelse]]</f>
        <v>10.a.1.2.8 - Gruppe 1 deaktiveres</v>
      </c>
    </row>
    <row r="348" spans="1:6" hidden="1" x14ac:dyDescent="0.3">
      <c r="A348" s="57" t="s">
        <v>765</v>
      </c>
      <c r="B348" s="7" t="s">
        <v>759</v>
      </c>
      <c r="C348" s="7" t="s">
        <v>1050</v>
      </c>
      <c r="D348" s="28" t="e">
        <f>COUNTIF('[1]FF - Test Design'!D:D,C348)</f>
        <v>#VALUE!</v>
      </c>
      <c r="E348" s="8" t="s">
        <v>1039</v>
      </c>
      <c r="F348" s="57" t="str">
        <f>[1]!Table1[[#This Row],[Krav '#]]&amp;" - "&amp;[1]!Table1[[#This Row],[Beskrivelse]]</f>
        <v>10.a.1.2.9 -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49" spans="1:6" hidden="1" x14ac:dyDescent="0.3">
      <c r="A349" s="57" t="s">
        <v>765</v>
      </c>
      <c r="B349" s="7" t="s">
        <v>759</v>
      </c>
      <c r="C349" s="7" t="s">
        <v>1051</v>
      </c>
      <c r="D349" s="28" t="e">
        <f>COUNTIF('[1]FF - Test Design'!D:D,C349)</f>
        <v>#VALUE!</v>
      </c>
      <c r="E349" s="8" t="s">
        <v>1041</v>
      </c>
      <c r="F349" s="57" t="str">
        <f>[1]!Table1[[#This Row],[Krav '#]]&amp;" - "&amp;[1]!Table1[[#This Row],[Beskrivelse]]</f>
        <v xml:space="preserve">10.a.1.2.10 - Hvis fordringshaver har svaret ”aldrig” i spm. 9, kan der ikke opsættes en FLEX-filter konfiguration for populationen. </v>
      </c>
    </row>
    <row r="350" spans="1:6" hidden="1" x14ac:dyDescent="0.3">
      <c r="A350" s="57" t="s">
        <v>770</v>
      </c>
      <c r="B350" s="7" t="s">
        <v>759</v>
      </c>
      <c r="C350" s="7" t="s">
        <v>1052</v>
      </c>
      <c r="D350" s="28" t="e">
        <f>COUNTIF('[1]FF - Test Design'!D:D,C350)</f>
        <v>#VALUE!</v>
      </c>
      <c r="E350" s="8" t="s">
        <v>1034</v>
      </c>
      <c r="F350" s="57" t="str">
        <f>[1]!Table1[[#This Row],[Krav '#]]&amp;" - "&amp;[1]!Table1[[#This Row],[Beskrivelse]]</f>
        <v>10.a.1.2.11 - Hvis der er svaret "I visse tilfælde" i spørgsmål 9 og hvis der er svaret "Ja" i enten 9.b.1, 9.b.2.1 eller 9.b.2.2.1 skal brugeren ledes til spørgsmål 11</v>
      </c>
    </row>
    <row r="351" spans="1:6" hidden="1" x14ac:dyDescent="0.3">
      <c r="A351" s="57" t="s">
        <v>770</v>
      </c>
      <c r="B351" s="7" t="s">
        <v>759</v>
      </c>
      <c r="C351" s="7" t="s">
        <v>1053</v>
      </c>
      <c r="D351" s="28" t="e">
        <f>COUNTIF('[1]FF - Test Design'!D:D,C351)</f>
        <v>#VALUE!</v>
      </c>
      <c r="E351" s="8" t="s">
        <v>1036</v>
      </c>
      <c r="F351" s="57" t="str">
        <f>[1]!Table1[[#This Row],[Krav '#]]&amp;" - "&amp;[1]!Table1[[#This Row],[Beskrivelse]]</f>
        <v>10.a.1.2.12 - Der angives et "NEJ" i i populationen under ”vil RIM beregne en tidligst mulig forældelsesdato?"</v>
      </c>
    </row>
    <row r="352" spans="1:6" hidden="1" x14ac:dyDescent="0.3">
      <c r="A352" s="57" t="s">
        <v>770</v>
      </c>
      <c r="B352" s="7" t="s">
        <v>759</v>
      </c>
      <c r="C352" s="7" t="s">
        <v>1054</v>
      </c>
      <c r="D352" s="28" t="e">
        <f>COUNTIF('[1]FF - Test Design'!D:D,C352)</f>
        <v>#VALUE!</v>
      </c>
      <c r="E352" s="8" t="s">
        <v>690</v>
      </c>
      <c r="F352" s="57" t="str">
        <f>[1]!Table1[[#This Row],[Krav '#]]&amp;" - "&amp;[1]!Table1[[#This Row],[Beskrivelse]]</f>
        <v>10.a.1.2.13 - Gruppe 1 deaktiveres</v>
      </c>
    </row>
    <row r="353" spans="1:6" hidden="1" x14ac:dyDescent="0.3">
      <c r="A353" s="57" t="s">
        <v>770</v>
      </c>
      <c r="B353" s="7" t="s">
        <v>759</v>
      </c>
      <c r="C353" s="7" t="s">
        <v>1055</v>
      </c>
      <c r="D353" s="28" t="e">
        <f>COUNTIF('[1]FF - Test Design'!D:D,C353)</f>
        <v>#VALUE!</v>
      </c>
      <c r="E353" s="8" t="s">
        <v>1039</v>
      </c>
      <c r="F353" s="57" t="str">
        <f>[1]!Table1[[#This Row],[Krav '#]]&amp;" - "&amp;[1]!Table1[[#This Row],[Beskrivelse]]</f>
        <v>10.a.1.2.14 -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54" spans="1:6" hidden="1" x14ac:dyDescent="0.3">
      <c r="A354" s="57" t="s">
        <v>770</v>
      </c>
      <c r="B354" s="7" t="s">
        <v>759</v>
      </c>
      <c r="C354" s="7" t="s">
        <v>1056</v>
      </c>
      <c r="D354" s="28" t="e">
        <f>COUNTIF('[1]FF - Test Design'!D:D,C354)</f>
        <v>#VALUE!</v>
      </c>
      <c r="E354" s="8" t="s">
        <v>1041</v>
      </c>
      <c r="F354" s="57" t="str">
        <f>[1]!Table1[[#This Row],[Krav '#]]&amp;" - "&amp;[1]!Table1[[#This Row],[Beskrivelse]]</f>
        <v xml:space="preserve">10.a.1.2.15 - Hvis fordringshaver har svaret ”aldrig” i spm. 9, kan der ikke opsættes en FLEX-filter konfiguration for populationen. </v>
      </c>
    </row>
    <row r="355" spans="1:6" hidden="1" x14ac:dyDescent="0.3">
      <c r="A355" s="57" t="s">
        <v>775</v>
      </c>
      <c r="B355" s="7" t="s">
        <v>759</v>
      </c>
      <c r="C355" s="7" t="s">
        <v>1057</v>
      </c>
      <c r="D355" s="28" t="e">
        <f>COUNTIF('[1]FF - Test Design'!D:D,C355)</f>
        <v>#VALUE!</v>
      </c>
      <c r="E355" s="8" t="s">
        <v>1034</v>
      </c>
      <c r="F355" s="57" t="str">
        <f>[1]!Table1[[#This Row],[Krav '#]]&amp;" - "&amp;[1]!Table1[[#This Row],[Beskrivelse]]</f>
        <v>10.a.1.2.16 - Hvis der er svaret "I visse tilfælde" i spørgsmål 9 og hvis der er svaret "Ja" i enten 9.b.1, 9.b.2.1 eller 9.b.2.2.1 skal brugeren ledes til spørgsmål 11</v>
      </c>
    </row>
    <row r="356" spans="1:6" hidden="1" x14ac:dyDescent="0.3">
      <c r="A356" s="57" t="s">
        <v>775</v>
      </c>
      <c r="B356" s="7" t="s">
        <v>759</v>
      </c>
      <c r="C356" s="7" t="s">
        <v>1058</v>
      </c>
      <c r="D356" s="28" t="e">
        <f>COUNTIF('[1]FF - Test Design'!D:D,C356)</f>
        <v>#VALUE!</v>
      </c>
      <c r="E356" s="8" t="s">
        <v>1036</v>
      </c>
      <c r="F356" s="57" t="str">
        <f>[1]!Table1[[#This Row],[Krav '#]]&amp;" - "&amp;[1]!Table1[[#This Row],[Beskrivelse]]</f>
        <v>10.a.1.2.17 - Der angives et "NEJ" i i populationen under ”vil RIM beregne en tidligst mulig forældelsesdato?"</v>
      </c>
    </row>
    <row r="357" spans="1:6" hidden="1" x14ac:dyDescent="0.3">
      <c r="A357" s="57" t="s">
        <v>775</v>
      </c>
      <c r="B357" s="7" t="s">
        <v>759</v>
      </c>
      <c r="C357" s="7" t="s">
        <v>1059</v>
      </c>
      <c r="D357" s="28" t="e">
        <f>COUNTIF('[1]FF - Test Design'!D:D,C357)</f>
        <v>#VALUE!</v>
      </c>
      <c r="E357" s="8" t="s">
        <v>690</v>
      </c>
      <c r="F357" s="57" t="str">
        <f>[1]!Table1[[#This Row],[Krav '#]]&amp;" - "&amp;[1]!Table1[[#This Row],[Beskrivelse]]</f>
        <v>10.a.1.2.18 - Gruppe 1 deaktiveres</v>
      </c>
    </row>
    <row r="358" spans="1:6" hidden="1" x14ac:dyDescent="0.3">
      <c r="A358" s="57" t="s">
        <v>775</v>
      </c>
      <c r="B358" s="7" t="s">
        <v>759</v>
      </c>
      <c r="C358" s="7" t="s">
        <v>1060</v>
      </c>
      <c r="D358" s="28" t="e">
        <f>COUNTIF('[1]FF - Test Design'!D:D,C358)</f>
        <v>#VALUE!</v>
      </c>
      <c r="E358" s="8" t="s">
        <v>1039</v>
      </c>
      <c r="F358" s="57" t="str">
        <f>[1]!Table1[[#This Row],[Krav '#]]&amp;" - "&amp;[1]!Table1[[#This Row],[Beskrivelse]]</f>
        <v>10.a.1.2.19 -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59" spans="1:6" hidden="1" x14ac:dyDescent="0.3">
      <c r="A359" s="57" t="s">
        <v>775</v>
      </c>
      <c r="B359" s="7" t="s">
        <v>759</v>
      </c>
      <c r="C359" s="7" t="s">
        <v>1061</v>
      </c>
      <c r="D359" s="28" t="e">
        <f>COUNTIF('[1]FF - Test Design'!D:D,C359)</f>
        <v>#VALUE!</v>
      </c>
      <c r="E359" s="8" t="s">
        <v>1041</v>
      </c>
      <c r="F359" s="57" t="str">
        <f>[1]!Table1[[#This Row],[Krav '#]]&amp;" - "&amp;[1]!Table1[[#This Row],[Beskrivelse]]</f>
        <v xml:space="preserve">10.a.1.2.20 - Hvis fordringshaver har svaret ”aldrig” i spm. 9, kan der ikke opsættes en FLEX-filter konfiguration for populationen. </v>
      </c>
    </row>
    <row r="360" spans="1:6" hidden="1" x14ac:dyDescent="0.3">
      <c r="A360" s="57" t="s">
        <v>780</v>
      </c>
      <c r="B360" s="7" t="s">
        <v>759</v>
      </c>
      <c r="C360" s="7" t="s">
        <v>1062</v>
      </c>
      <c r="D360" s="28" t="e">
        <f>COUNTIF('[1]FF - Test Design'!D:D,C360)</f>
        <v>#VALUE!</v>
      </c>
      <c r="E360" s="8" t="s">
        <v>1034</v>
      </c>
      <c r="F360" s="57" t="str">
        <f>[1]!Table1[[#This Row],[Krav '#]]&amp;" - "&amp;[1]!Table1[[#This Row],[Beskrivelse]]</f>
        <v>10.a.1.2.21 - Hvis der er svaret "I visse tilfælde" i spørgsmål 9 og hvis der er svaret "Ja" i enten 9.b.1, 9.b.2.1 eller 9.b.2.2.1 skal brugeren ledes til spørgsmål 11</v>
      </c>
    </row>
    <row r="361" spans="1:6" hidden="1" x14ac:dyDescent="0.3">
      <c r="A361" s="57" t="s">
        <v>780</v>
      </c>
      <c r="B361" s="7" t="s">
        <v>759</v>
      </c>
      <c r="C361" s="7" t="s">
        <v>1063</v>
      </c>
      <c r="D361" s="28" t="e">
        <f>COUNTIF('[1]FF - Test Design'!D:D,C361)</f>
        <v>#VALUE!</v>
      </c>
      <c r="E361" s="8" t="s">
        <v>1036</v>
      </c>
      <c r="F361" s="57" t="str">
        <f>[1]!Table1[[#This Row],[Krav '#]]&amp;" - "&amp;[1]!Table1[[#This Row],[Beskrivelse]]</f>
        <v>10.a.1.2.22 - Der angives et "NEJ" i i populationen under ”vil RIM beregne en tidligst mulig forældelsesdato?"</v>
      </c>
    </row>
    <row r="362" spans="1:6" hidden="1" x14ac:dyDescent="0.3">
      <c r="A362" s="57" t="s">
        <v>780</v>
      </c>
      <c r="B362" s="7" t="s">
        <v>759</v>
      </c>
      <c r="C362" s="7" t="s">
        <v>1064</v>
      </c>
      <c r="D362" s="28" t="e">
        <f>COUNTIF('[1]FF - Test Design'!D:D,C362)</f>
        <v>#VALUE!</v>
      </c>
      <c r="E362" s="8" t="s">
        <v>690</v>
      </c>
      <c r="F362" s="57" t="str">
        <f>[1]!Table1[[#This Row],[Krav '#]]&amp;" - "&amp;[1]!Table1[[#This Row],[Beskrivelse]]</f>
        <v>10.a.1.2.23 - Gruppe 1 deaktiveres</v>
      </c>
    </row>
    <row r="363" spans="1:6" hidden="1" x14ac:dyDescent="0.3">
      <c r="A363" s="57" t="s">
        <v>780</v>
      </c>
      <c r="B363" s="7" t="s">
        <v>759</v>
      </c>
      <c r="C363" s="7" t="s">
        <v>1065</v>
      </c>
      <c r="D363" s="28" t="e">
        <f>COUNTIF('[1]FF - Test Design'!D:D,C363)</f>
        <v>#VALUE!</v>
      </c>
      <c r="E363" s="8" t="s">
        <v>1039</v>
      </c>
      <c r="F363" s="57" t="str">
        <f>[1]!Table1[[#This Row],[Krav '#]]&amp;" - "&amp;[1]!Table1[[#This Row],[Beskrivelse]]</f>
        <v>10.a.1.2.24 -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364" spans="1:6" hidden="1" x14ac:dyDescent="0.3">
      <c r="A364" s="57" t="s">
        <v>780</v>
      </c>
      <c r="B364" s="7" t="s">
        <v>759</v>
      </c>
      <c r="C364" s="7" t="s">
        <v>1066</v>
      </c>
      <c r="D364" s="28" t="e">
        <f>COUNTIF('[1]FF - Test Design'!D:D,C364)</f>
        <v>#VALUE!</v>
      </c>
      <c r="E364" s="8" t="s">
        <v>1041</v>
      </c>
      <c r="F364" s="57" t="str">
        <f>[1]!Table1[[#This Row],[Krav '#]]&amp;" - "&amp;[1]!Table1[[#This Row],[Beskrivelse]]</f>
        <v xml:space="preserve">10.a.1.2.25 - Hvis fordringshaver har svaret ”aldrig” i spm. 9, kan der ikke opsættes en FLEX-filter konfiguration for populationen. </v>
      </c>
    </row>
    <row r="365" spans="1:6" hidden="1" x14ac:dyDescent="0.3">
      <c r="A365" s="57" t="s">
        <v>749</v>
      </c>
      <c r="B365" s="7" t="s">
        <v>753</v>
      </c>
      <c r="C365" s="7" t="s">
        <v>1067</v>
      </c>
      <c r="D365" s="28" t="e">
        <f>COUNTIF('[1]FF - Test Design'!D:D,C365)</f>
        <v>#VALUE!</v>
      </c>
      <c r="E365" s="8" t="s">
        <v>1068</v>
      </c>
      <c r="F365" s="57" t="str">
        <f>[1]!Table1[[#This Row],[Krav '#]]&amp;" - "&amp;[1]!Table1[[#This Row],[Beskrivelse]]</f>
        <v>10.a.2.1 - Det skal være muligt for brugeren, via tekstfelt, at udfylde det antal dage, for hvor lang tid efter det [valgte stamdatafelt] kan begyndelsestidspunktet for forældelsesfristens beregning tidligst ligge for den afgrænsede population.</v>
      </c>
    </row>
    <row r="366" spans="1:6" hidden="1" x14ac:dyDescent="0.3">
      <c r="A366" s="57" t="s">
        <v>749</v>
      </c>
      <c r="B366" s="7" t="s">
        <v>753</v>
      </c>
      <c r="C366" s="7" t="s">
        <v>1069</v>
      </c>
      <c r="D366" s="28" t="e">
        <f>COUNTIF('[1]FF - Test Design'!D:D,C366)</f>
        <v>#VALUE!</v>
      </c>
      <c r="E366" s="8" t="s">
        <v>1070</v>
      </c>
      <c r="F366" s="57" t="str">
        <f>[1]!Table1[[#This Row],[Krav '#]]&amp;" - "&amp;[1]!Table1[[#This Row],[Beskrivelse]]</f>
        <v>10.a.2.2 - Det skal være muligt for brugeren at svare "ved ikke", såfremt at der ikke vides, hvor lang tid efter det [valgte stamdatafelt] kan begyndelsestidspunktet for forældelsesfristens beregning tidligst ligge for den afgrænsede population.</v>
      </c>
    </row>
    <row r="367" spans="1:6" hidden="1" x14ac:dyDescent="0.3">
      <c r="A367" s="57" t="s">
        <v>749</v>
      </c>
      <c r="B367" s="7" t="s">
        <v>753</v>
      </c>
      <c r="C367" s="7" t="s">
        <v>1071</v>
      </c>
      <c r="D367" s="28" t="e">
        <f>COUNTIF('[1]FF - Test Design'!D:D,C367)</f>
        <v>#VALUE!</v>
      </c>
      <c r="E367" s="8" t="s">
        <v>1072</v>
      </c>
      <c r="F367" s="57" t="str">
        <f>[1]!Table1[[#This Row],[Krav '#]]&amp;" - "&amp;[1]!Table1[[#This Row],[Beskrivelse]]</f>
        <v>10.a.2.3 - Såfremt brugeren angiver antal dage skal brugeren ledes til spørgsmål 10.a.2.1</v>
      </c>
    </row>
    <row r="368" spans="1:6" hidden="1" x14ac:dyDescent="0.3">
      <c r="A368" s="57" t="s">
        <v>749</v>
      </c>
      <c r="B368" s="7" t="s">
        <v>753</v>
      </c>
      <c r="C368" s="7" t="s">
        <v>1073</v>
      </c>
      <c r="D368" s="28" t="e">
        <f>COUNTIF('[1]FF - Test Design'!D:D,C368)</f>
        <v>#VALUE!</v>
      </c>
      <c r="E368" s="8" t="s">
        <v>1074</v>
      </c>
      <c r="F368" s="57" t="str">
        <f>[1]!Table1[[#This Row],[Krav '#]]&amp;" - "&amp;[1]!Table1[[#This Row],[Beskrivelse]]</f>
        <v>10.a.2.4 - Såfremt brugeren angiver "ved ikke" skal brugeren ledes til 10.a.2.2</v>
      </c>
    </row>
    <row r="369" spans="1:6" hidden="1" x14ac:dyDescent="0.3">
      <c r="A369" s="57" t="s">
        <v>749</v>
      </c>
      <c r="B369" s="7" t="s">
        <v>753</v>
      </c>
      <c r="C369" s="7" t="s">
        <v>1075</v>
      </c>
      <c r="D369" s="28" t="e">
        <f>COUNTIF('[1]FF - Test Design'!D:D,C369)</f>
        <v>#VALUE!</v>
      </c>
      <c r="E369" s="8" t="s">
        <v>1076</v>
      </c>
      <c r="F369" s="57" t="str">
        <f>[1]!Table1[[#This Row],[Krav '#]]&amp;" - "&amp;[1]!Table1[[#This Row],[Beskrivelse]]</f>
        <v>10.a.2.5 - Der skal være en infoboks med teksten: "Hvis begyndelsestidspunktet kan ligge samme dag som indholdet af stamdatafeltet svares 0 dage."</v>
      </c>
    </row>
    <row r="370" spans="1:6" hidden="1" x14ac:dyDescent="0.3">
      <c r="A370" s="57" t="s">
        <v>765</v>
      </c>
      <c r="B370" s="7" t="s">
        <v>753</v>
      </c>
      <c r="C370" s="7" t="s">
        <v>1077</v>
      </c>
      <c r="D370" s="28" t="e">
        <f>COUNTIF('[1]FF - Test Design'!D:D,C370)</f>
        <v>#VALUE!</v>
      </c>
      <c r="E370" s="8" t="s">
        <v>1068</v>
      </c>
      <c r="F370" s="57" t="str">
        <f>[1]!Table1[[#This Row],[Krav '#]]&amp;" - "&amp;[1]!Table1[[#This Row],[Beskrivelse]]</f>
        <v>10.a.2.6 - Det skal være muligt for brugeren, via tekstfelt, at udfylde det antal dage, for hvor lang tid efter det [valgte stamdatafelt] kan begyndelsestidspunktet for forældelsesfristens beregning tidligst ligge for den afgrænsede population.</v>
      </c>
    </row>
    <row r="371" spans="1:6" hidden="1" x14ac:dyDescent="0.3">
      <c r="A371" s="57" t="s">
        <v>765</v>
      </c>
      <c r="B371" s="7" t="s">
        <v>753</v>
      </c>
      <c r="C371" s="7" t="s">
        <v>1078</v>
      </c>
      <c r="D371" s="28" t="e">
        <f>COUNTIF('[1]FF - Test Design'!D:D,C371)</f>
        <v>#VALUE!</v>
      </c>
      <c r="E371" s="8" t="s">
        <v>1070</v>
      </c>
      <c r="F371" s="57" t="str">
        <f>[1]!Table1[[#This Row],[Krav '#]]&amp;" - "&amp;[1]!Table1[[#This Row],[Beskrivelse]]</f>
        <v>10.a.2.7 - Det skal være muligt for brugeren at svare "ved ikke", såfremt at der ikke vides, hvor lang tid efter det [valgte stamdatafelt] kan begyndelsestidspunktet for forældelsesfristens beregning tidligst ligge for den afgrænsede population.</v>
      </c>
    </row>
    <row r="372" spans="1:6" hidden="1" x14ac:dyDescent="0.3">
      <c r="A372" s="57" t="s">
        <v>765</v>
      </c>
      <c r="B372" s="7" t="s">
        <v>753</v>
      </c>
      <c r="C372" s="7" t="s">
        <v>1079</v>
      </c>
      <c r="D372" s="28" t="e">
        <f>COUNTIF('[1]FF - Test Design'!D:D,C372)</f>
        <v>#VALUE!</v>
      </c>
      <c r="E372" s="8" t="s">
        <v>1072</v>
      </c>
      <c r="F372" s="57" t="str">
        <f>[1]!Table1[[#This Row],[Krav '#]]&amp;" - "&amp;[1]!Table1[[#This Row],[Beskrivelse]]</f>
        <v>10.a.2.8 - Såfremt brugeren angiver antal dage skal brugeren ledes til spørgsmål 10.a.2.1</v>
      </c>
    </row>
    <row r="373" spans="1:6" hidden="1" x14ac:dyDescent="0.3">
      <c r="A373" s="57" t="s">
        <v>765</v>
      </c>
      <c r="B373" s="7" t="s">
        <v>753</v>
      </c>
      <c r="C373" s="7" t="s">
        <v>1080</v>
      </c>
      <c r="D373" s="28" t="e">
        <f>COUNTIF('[1]FF - Test Design'!D:D,C373)</f>
        <v>#VALUE!</v>
      </c>
      <c r="E373" s="8" t="s">
        <v>1074</v>
      </c>
      <c r="F373" s="57" t="str">
        <f>[1]!Table1[[#This Row],[Krav '#]]&amp;" - "&amp;[1]!Table1[[#This Row],[Beskrivelse]]</f>
        <v>10.a.2.9 - Såfremt brugeren angiver "ved ikke" skal brugeren ledes til 10.a.2.2</v>
      </c>
    </row>
    <row r="374" spans="1:6" hidden="1" x14ac:dyDescent="0.3">
      <c r="A374" s="57" t="s">
        <v>765</v>
      </c>
      <c r="B374" s="7" t="s">
        <v>753</v>
      </c>
      <c r="C374" s="7" t="s">
        <v>1081</v>
      </c>
      <c r="D374" s="28" t="e">
        <f>COUNTIF('[1]FF - Test Design'!D:D,C374)</f>
        <v>#VALUE!</v>
      </c>
      <c r="E374" s="8" t="s">
        <v>1076</v>
      </c>
      <c r="F374" s="57" t="str">
        <f>[1]!Table1[[#This Row],[Krav '#]]&amp;" - "&amp;[1]!Table1[[#This Row],[Beskrivelse]]</f>
        <v>10.a.2.10 - Der skal være en infoboks med teksten: "Hvis begyndelsestidspunktet kan ligge samme dag som indholdet af stamdatafeltet svares 0 dage."</v>
      </c>
    </row>
    <row r="375" spans="1:6" hidden="1" x14ac:dyDescent="0.3">
      <c r="A375" s="57" t="s">
        <v>770</v>
      </c>
      <c r="B375" s="7" t="s">
        <v>753</v>
      </c>
      <c r="C375" s="7" t="s">
        <v>1082</v>
      </c>
      <c r="D375" s="28" t="e">
        <f>COUNTIF('[1]FF - Test Design'!D:D,C375)</f>
        <v>#VALUE!</v>
      </c>
      <c r="E375" s="8" t="s">
        <v>1068</v>
      </c>
      <c r="F375" s="57" t="str">
        <f>[1]!Table1[[#This Row],[Krav '#]]&amp;" - "&amp;[1]!Table1[[#This Row],[Beskrivelse]]</f>
        <v>10.a.2.11 - Det skal være muligt for brugeren, via tekstfelt, at udfylde det antal dage, for hvor lang tid efter det [valgte stamdatafelt] kan begyndelsestidspunktet for forældelsesfristens beregning tidligst ligge for den afgrænsede population.</v>
      </c>
    </row>
    <row r="376" spans="1:6" hidden="1" x14ac:dyDescent="0.3">
      <c r="A376" s="57" t="s">
        <v>770</v>
      </c>
      <c r="B376" s="7" t="s">
        <v>753</v>
      </c>
      <c r="C376" s="7" t="s">
        <v>1083</v>
      </c>
      <c r="D376" s="28" t="e">
        <f>COUNTIF('[1]FF - Test Design'!D:D,C376)</f>
        <v>#VALUE!</v>
      </c>
      <c r="E376" s="8" t="s">
        <v>1070</v>
      </c>
      <c r="F376" s="57" t="str">
        <f>[1]!Table1[[#This Row],[Krav '#]]&amp;" - "&amp;[1]!Table1[[#This Row],[Beskrivelse]]</f>
        <v>10.a.2.12 - Det skal være muligt for brugeren at svare "ved ikke", såfremt at der ikke vides, hvor lang tid efter det [valgte stamdatafelt] kan begyndelsestidspunktet for forældelsesfristens beregning tidligst ligge for den afgrænsede population.</v>
      </c>
    </row>
    <row r="377" spans="1:6" hidden="1" x14ac:dyDescent="0.3">
      <c r="A377" s="57" t="s">
        <v>770</v>
      </c>
      <c r="B377" s="7" t="s">
        <v>753</v>
      </c>
      <c r="C377" s="7" t="s">
        <v>1084</v>
      </c>
      <c r="D377" s="28" t="e">
        <f>COUNTIF('[1]FF - Test Design'!D:D,C377)</f>
        <v>#VALUE!</v>
      </c>
      <c r="E377" s="8" t="s">
        <v>1072</v>
      </c>
      <c r="F377" s="57" t="str">
        <f>[1]!Table1[[#This Row],[Krav '#]]&amp;" - "&amp;[1]!Table1[[#This Row],[Beskrivelse]]</f>
        <v>10.a.2.13 - Såfremt brugeren angiver antal dage skal brugeren ledes til spørgsmål 10.a.2.1</v>
      </c>
    </row>
    <row r="378" spans="1:6" hidden="1" x14ac:dyDescent="0.3">
      <c r="A378" s="57" t="s">
        <v>770</v>
      </c>
      <c r="B378" s="7" t="s">
        <v>753</v>
      </c>
      <c r="C378" s="7" t="s">
        <v>1085</v>
      </c>
      <c r="D378" s="28" t="e">
        <f>COUNTIF('[1]FF - Test Design'!D:D,C378)</f>
        <v>#VALUE!</v>
      </c>
      <c r="E378" s="8" t="s">
        <v>1074</v>
      </c>
      <c r="F378" s="57" t="str">
        <f>[1]!Table1[[#This Row],[Krav '#]]&amp;" - "&amp;[1]!Table1[[#This Row],[Beskrivelse]]</f>
        <v>10.a.2.14 - Såfremt brugeren angiver "ved ikke" skal brugeren ledes til 10.a.2.2</v>
      </c>
    </row>
    <row r="379" spans="1:6" hidden="1" x14ac:dyDescent="0.3">
      <c r="A379" s="57" t="s">
        <v>770</v>
      </c>
      <c r="B379" s="7" t="s">
        <v>753</v>
      </c>
      <c r="C379" s="7" t="s">
        <v>1086</v>
      </c>
      <c r="D379" s="28" t="e">
        <f>COUNTIF('[1]FF - Test Design'!D:D,C379)</f>
        <v>#VALUE!</v>
      </c>
      <c r="E379" s="8" t="s">
        <v>1076</v>
      </c>
      <c r="F379" s="57" t="str">
        <f>[1]!Table1[[#This Row],[Krav '#]]&amp;" - "&amp;[1]!Table1[[#This Row],[Beskrivelse]]</f>
        <v>10.a.2.15 - Der skal være en infoboks med teksten: "Hvis begyndelsestidspunktet kan ligge samme dag som indholdet af stamdatafeltet svares 0 dage."</v>
      </c>
    </row>
    <row r="380" spans="1:6" hidden="1" x14ac:dyDescent="0.3">
      <c r="A380" s="57" t="s">
        <v>775</v>
      </c>
      <c r="B380" s="7" t="s">
        <v>753</v>
      </c>
      <c r="C380" s="7" t="s">
        <v>1087</v>
      </c>
      <c r="D380" s="28" t="e">
        <f>COUNTIF('[1]FF - Test Design'!D:D,C380)</f>
        <v>#VALUE!</v>
      </c>
      <c r="E380" s="8" t="s">
        <v>1068</v>
      </c>
      <c r="F380" s="57" t="str">
        <f>[1]!Table1[[#This Row],[Krav '#]]&amp;" - "&amp;[1]!Table1[[#This Row],[Beskrivelse]]</f>
        <v>10.a.2.16 - Det skal være muligt for brugeren, via tekstfelt, at udfylde det antal dage, for hvor lang tid efter det [valgte stamdatafelt] kan begyndelsestidspunktet for forældelsesfristens beregning tidligst ligge for den afgrænsede population.</v>
      </c>
    </row>
    <row r="381" spans="1:6" hidden="1" x14ac:dyDescent="0.3">
      <c r="A381" s="57" t="s">
        <v>775</v>
      </c>
      <c r="B381" s="7" t="s">
        <v>753</v>
      </c>
      <c r="C381" s="7" t="s">
        <v>1088</v>
      </c>
      <c r="D381" s="28" t="e">
        <f>COUNTIF('[1]FF - Test Design'!D:D,C381)</f>
        <v>#VALUE!</v>
      </c>
      <c r="E381" s="8" t="s">
        <v>1070</v>
      </c>
      <c r="F381" s="57" t="str">
        <f>[1]!Table1[[#This Row],[Krav '#]]&amp;" - "&amp;[1]!Table1[[#This Row],[Beskrivelse]]</f>
        <v>10.a.2.17 - Det skal være muligt for brugeren at svare "ved ikke", såfremt at der ikke vides, hvor lang tid efter det [valgte stamdatafelt] kan begyndelsestidspunktet for forældelsesfristens beregning tidligst ligge for den afgrænsede population.</v>
      </c>
    </row>
    <row r="382" spans="1:6" hidden="1" x14ac:dyDescent="0.3">
      <c r="A382" s="57" t="s">
        <v>775</v>
      </c>
      <c r="B382" s="7" t="s">
        <v>753</v>
      </c>
      <c r="C382" s="7" t="s">
        <v>1089</v>
      </c>
      <c r="D382" s="28" t="e">
        <f>COUNTIF('[1]FF - Test Design'!D:D,C382)</f>
        <v>#VALUE!</v>
      </c>
      <c r="E382" s="8" t="s">
        <v>1072</v>
      </c>
      <c r="F382" s="57" t="str">
        <f>[1]!Table1[[#This Row],[Krav '#]]&amp;" - "&amp;[1]!Table1[[#This Row],[Beskrivelse]]</f>
        <v>10.a.2.18 - Såfremt brugeren angiver antal dage skal brugeren ledes til spørgsmål 10.a.2.1</v>
      </c>
    </row>
    <row r="383" spans="1:6" hidden="1" x14ac:dyDescent="0.3">
      <c r="A383" s="57" t="s">
        <v>775</v>
      </c>
      <c r="B383" s="7" t="s">
        <v>753</v>
      </c>
      <c r="C383" s="7" t="s">
        <v>1090</v>
      </c>
      <c r="D383" s="28" t="e">
        <f>COUNTIF('[1]FF - Test Design'!D:D,C383)</f>
        <v>#VALUE!</v>
      </c>
      <c r="E383" s="8" t="s">
        <v>1074</v>
      </c>
      <c r="F383" s="57" t="str">
        <f>[1]!Table1[[#This Row],[Krav '#]]&amp;" - "&amp;[1]!Table1[[#This Row],[Beskrivelse]]</f>
        <v>10.a.2.19 - Såfremt brugeren angiver "ved ikke" skal brugeren ledes til 10.a.2.2</v>
      </c>
    </row>
    <row r="384" spans="1:6" hidden="1" x14ac:dyDescent="0.3">
      <c r="A384" s="57" t="s">
        <v>775</v>
      </c>
      <c r="B384" s="7" t="s">
        <v>753</v>
      </c>
      <c r="C384" s="7" t="s">
        <v>1091</v>
      </c>
      <c r="D384" s="28" t="e">
        <f>COUNTIF('[1]FF - Test Design'!D:D,C384)</f>
        <v>#VALUE!</v>
      </c>
      <c r="E384" s="8" t="s">
        <v>1076</v>
      </c>
      <c r="F384" s="57" t="str">
        <f>[1]!Table1[[#This Row],[Krav '#]]&amp;" - "&amp;[1]!Table1[[#This Row],[Beskrivelse]]</f>
        <v>10.a.2.20 - Der skal være en infoboks med teksten: "Hvis begyndelsestidspunktet kan ligge samme dag som indholdet af stamdatafeltet svares 0 dage."</v>
      </c>
    </row>
    <row r="385" spans="1:6" hidden="1" x14ac:dyDescent="0.3">
      <c r="A385" s="57" t="s">
        <v>780</v>
      </c>
      <c r="B385" s="7" t="s">
        <v>753</v>
      </c>
      <c r="C385" s="7" t="s">
        <v>1092</v>
      </c>
      <c r="D385" s="28" t="e">
        <f>COUNTIF('[1]FF - Test Design'!D:D,C385)</f>
        <v>#VALUE!</v>
      </c>
      <c r="E385" s="8" t="s">
        <v>1068</v>
      </c>
      <c r="F385" s="57" t="str">
        <f>[1]!Table1[[#This Row],[Krav '#]]&amp;" - "&amp;[1]!Table1[[#This Row],[Beskrivelse]]</f>
        <v>10.a.2.21 - Det skal være muligt for brugeren, via tekstfelt, at udfylde det antal dage, for hvor lang tid efter det [valgte stamdatafelt] kan begyndelsestidspunktet for forældelsesfristens beregning tidligst ligge for den afgrænsede population.</v>
      </c>
    </row>
    <row r="386" spans="1:6" hidden="1" x14ac:dyDescent="0.3">
      <c r="A386" s="57" t="s">
        <v>780</v>
      </c>
      <c r="B386" s="7" t="s">
        <v>753</v>
      </c>
      <c r="C386" s="7" t="s">
        <v>1093</v>
      </c>
      <c r="D386" s="28" t="e">
        <f>COUNTIF('[1]FF - Test Design'!D:D,C386)</f>
        <v>#VALUE!</v>
      </c>
      <c r="E386" s="8" t="s">
        <v>1070</v>
      </c>
      <c r="F386" s="57" t="str">
        <f>[1]!Table1[[#This Row],[Krav '#]]&amp;" - "&amp;[1]!Table1[[#This Row],[Beskrivelse]]</f>
        <v>10.a.2.22 - Det skal være muligt for brugeren at svare "ved ikke", såfremt at der ikke vides, hvor lang tid efter det [valgte stamdatafelt] kan begyndelsestidspunktet for forældelsesfristens beregning tidligst ligge for den afgrænsede population.</v>
      </c>
    </row>
    <row r="387" spans="1:6" hidden="1" x14ac:dyDescent="0.3">
      <c r="A387" s="57" t="s">
        <v>780</v>
      </c>
      <c r="B387" s="7" t="s">
        <v>753</v>
      </c>
      <c r="C387" s="7" t="s">
        <v>1094</v>
      </c>
      <c r="D387" s="28" t="e">
        <f>COUNTIF('[1]FF - Test Design'!D:D,C387)</f>
        <v>#VALUE!</v>
      </c>
      <c r="E387" s="8" t="s">
        <v>1072</v>
      </c>
      <c r="F387" s="57" t="str">
        <f>[1]!Table1[[#This Row],[Krav '#]]&amp;" - "&amp;[1]!Table1[[#This Row],[Beskrivelse]]</f>
        <v>10.a.2.23 - Såfremt brugeren angiver antal dage skal brugeren ledes til spørgsmål 10.a.2.1</v>
      </c>
    </row>
    <row r="388" spans="1:6" hidden="1" x14ac:dyDescent="0.3">
      <c r="A388" s="57" t="s">
        <v>780</v>
      </c>
      <c r="B388" s="7" t="s">
        <v>753</v>
      </c>
      <c r="C388" s="7" t="s">
        <v>1095</v>
      </c>
      <c r="D388" s="28" t="e">
        <f>COUNTIF('[1]FF - Test Design'!D:D,C388)</f>
        <v>#VALUE!</v>
      </c>
      <c r="E388" s="8" t="s">
        <v>1074</v>
      </c>
      <c r="F388" s="57" t="str">
        <f>[1]!Table1[[#This Row],[Krav '#]]&amp;" - "&amp;[1]!Table1[[#This Row],[Beskrivelse]]</f>
        <v>10.a.2.24 - Såfremt brugeren angiver "ved ikke" skal brugeren ledes til 10.a.2.2</v>
      </c>
    </row>
    <row r="389" spans="1:6" hidden="1" x14ac:dyDescent="0.3">
      <c r="A389" s="57" t="s">
        <v>780</v>
      </c>
      <c r="B389" s="7" t="s">
        <v>753</v>
      </c>
      <c r="C389" s="7" t="s">
        <v>1096</v>
      </c>
      <c r="D389" s="28" t="e">
        <f>COUNTIF('[1]FF - Test Design'!D:D,C389)</f>
        <v>#VALUE!</v>
      </c>
      <c r="E389" s="8" t="s">
        <v>1076</v>
      </c>
      <c r="F389" s="57" t="str">
        <f>[1]!Table1[[#This Row],[Krav '#]]&amp;" - "&amp;[1]!Table1[[#This Row],[Beskrivelse]]</f>
        <v>10.a.2.25 - Der skal være en infoboks med teksten: "Hvis begyndelsestidspunktet kan ligge samme dag som indholdet af stamdatafeltet svares 0 dage."</v>
      </c>
    </row>
    <row r="390" spans="1:6" hidden="1" x14ac:dyDescent="0.3">
      <c r="A390" s="57" t="s">
        <v>749</v>
      </c>
      <c r="B390" s="7" t="s">
        <v>1067</v>
      </c>
      <c r="C390" s="7" t="s">
        <v>1097</v>
      </c>
      <c r="D390" s="28" t="e">
        <f>COUNTIF('[1]FF - Test Design'!D:D,C390)</f>
        <v>#VALUE!</v>
      </c>
      <c r="E390" s="8" t="s">
        <v>1098</v>
      </c>
      <c r="F390" s="57" t="str">
        <f>[1]!Table1[[#This Row],[Krav '#]]&amp;" - "&amp;[1]!Table1[[#This Row],[Beskrivelse]]</f>
        <v>10.a.2.1.1 - Det skal være muligt for brugeren, ved at angive en frist eller ved at svare "ved ikke", at kortlægge den kortest mulige fristlængde for forældelsesfristens beregning for krav omfattet af den afgrænsede population</v>
      </c>
    </row>
    <row r="391" spans="1:6" hidden="1" x14ac:dyDescent="0.3">
      <c r="A391" s="57" t="s">
        <v>749</v>
      </c>
      <c r="B391" s="7" t="s">
        <v>1067</v>
      </c>
      <c r="C391" s="7" t="s">
        <v>1099</v>
      </c>
      <c r="D391" s="28" t="e">
        <f>COUNTIF('[1]FF - Test Design'!D:D,C391)</f>
        <v>#VALUE!</v>
      </c>
      <c r="E391" s="8" t="s">
        <v>1100</v>
      </c>
      <c r="F391" s="57" t="str">
        <f>[1]!Table1[[#This Row],[Krav '#]]&amp;" - "&amp;[1]!Table1[[#This Row],[Beskrivelse]]</f>
        <v>10.a.2.1.2 - Såfremt brugeren angiver en frist skal brugeren ledes til spørgsmål 10.a.2.1.1</v>
      </c>
    </row>
    <row r="392" spans="1:6" hidden="1" x14ac:dyDescent="0.3">
      <c r="A392" s="57" t="s">
        <v>749</v>
      </c>
      <c r="B392" s="7" t="s">
        <v>1067</v>
      </c>
      <c r="C392" s="7" t="s">
        <v>1101</v>
      </c>
      <c r="D392" s="28" t="e">
        <f>COUNTIF('[1]FF - Test Design'!D:D,C392)</f>
        <v>#VALUE!</v>
      </c>
      <c r="E392" s="8" t="s">
        <v>1102</v>
      </c>
      <c r="F392" s="57" t="str">
        <f>[1]!Table1[[#This Row],[Krav '#]]&amp;" - "&amp;[1]!Table1[[#This Row],[Beskrivelse]]</f>
        <v>10.a.2.1.3 - Såfremt brugeren angiver "ved ikke" skal brugeren ledes til 10.a.2.1.2</v>
      </c>
    </row>
    <row r="393" spans="1:6" hidden="1" x14ac:dyDescent="0.3">
      <c r="A393" s="57" t="s">
        <v>765</v>
      </c>
      <c r="B393" s="7" t="s">
        <v>1067</v>
      </c>
      <c r="C393" s="7" t="s">
        <v>1097</v>
      </c>
      <c r="D393" s="28" t="e">
        <f>COUNTIF('[1]FF - Test Design'!D:D,C393)</f>
        <v>#VALUE!</v>
      </c>
      <c r="E393" s="8" t="s">
        <v>1098</v>
      </c>
      <c r="F393" s="57" t="str">
        <f>[1]!Table1[[#This Row],[Krav '#]]&amp;" - "&amp;[1]!Table1[[#This Row],[Beskrivelse]]</f>
        <v>10.a.2.1.1 - Det skal være muligt for brugeren, ved at angive en frist eller ved at svare "ved ikke", at kortlægge den kortest mulige fristlængde for forældelsesfristens beregning for krav omfattet af den afgrænsede population</v>
      </c>
    </row>
    <row r="394" spans="1:6" hidden="1" x14ac:dyDescent="0.3">
      <c r="A394" s="57" t="s">
        <v>765</v>
      </c>
      <c r="B394" s="7" t="s">
        <v>1067</v>
      </c>
      <c r="C394" s="7" t="s">
        <v>1099</v>
      </c>
      <c r="D394" s="28" t="e">
        <f>COUNTIF('[1]FF - Test Design'!D:D,C394)</f>
        <v>#VALUE!</v>
      </c>
      <c r="E394" s="8" t="s">
        <v>1100</v>
      </c>
      <c r="F394" s="57" t="str">
        <f>[1]!Table1[[#This Row],[Krav '#]]&amp;" - "&amp;[1]!Table1[[#This Row],[Beskrivelse]]</f>
        <v>10.a.2.1.2 - Såfremt brugeren angiver en frist skal brugeren ledes til spørgsmål 10.a.2.1.1</v>
      </c>
    </row>
    <row r="395" spans="1:6" hidden="1" x14ac:dyDescent="0.3">
      <c r="A395" s="57" t="s">
        <v>765</v>
      </c>
      <c r="B395" s="7" t="s">
        <v>1067</v>
      </c>
      <c r="C395" s="7" t="s">
        <v>1101</v>
      </c>
      <c r="D395" s="28" t="e">
        <f>COUNTIF('[1]FF - Test Design'!D:D,C395)</f>
        <v>#VALUE!</v>
      </c>
      <c r="E395" s="8" t="s">
        <v>1102</v>
      </c>
      <c r="F395" s="57" t="str">
        <f>[1]!Table1[[#This Row],[Krav '#]]&amp;" - "&amp;[1]!Table1[[#This Row],[Beskrivelse]]</f>
        <v>10.a.2.1.3 - Såfremt brugeren angiver "ved ikke" skal brugeren ledes til 10.a.2.1.2</v>
      </c>
    </row>
    <row r="396" spans="1:6" hidden="1" x14ac:dyDescent="0.3">
      <c r="A396" s="57" t="s">
        <v>770</v>
      </c>
      <c r="B396" s="7" t="s">
        <v>1067</v>
      </c>
      <c r="C396" s="7" t="s">
        <v>1097</v>
      </c>
      <c r="D396" s="28" t="e">
        <f>COUNTIF('[1]FF - Test Design'!D:D,C396)</f>
        <v>#VALUE!</v>
      </c>
      <c r="E396" s="8" t="s">
        <v>1098</v>
      </c>
      <c r="F396" s="57" t="str">
        <f>[1]!Table1[[#This Row],[Krav '#]]&amp;" - "&amp;[1]!Table1[[#This Row],[Beskrivelse]]</f>
        <v>10.a.2.1.1 - Det skal være muligt for brugeren, ved at angive en frist eller ved at svare "ved ikke", at kortlægge den kortest mulige fristlængde for forældelsesfristens beregning for krav omfattet af den afgrænsede population</v>
      </c>
    </row>
    <row r="397" spans="1:6" hidden="1" x14ac:dyDescent="0.3">
      <c r="A397" s="57" t="s">
        <v>770</v>
      </c>
      <c r="B397" s="7" t="s">
        <v>1067</v>
      </c>
      <c r="C397" s="7" t="s">
        <v>1099</v>
      </c>
      <c r="D397" s="28" t="e">
        <f>COUNTIF('[1]FF - Test Design'!D:D,C397)</f>
        <v>#VALUE!</v>
      </c>
      <c r="E397" s="8" t="s">
        <v>1100</v>
      </c>
      <c r="F397" s="57" t="str">
        <f>[1]!Table1[[#This Row],[Krav '#]]&amp;" - "&amp;[1]!Table1[[#This Row],[Beskrivelse]]</f>
        <v>10.a.2.1.2 - Såfremt brugeren angiver en frist skal brugeren ledes til spørgsmål 10.a.2.1.1</v>
      </c>
    </row>
    <row r="398" spans="1:6" hidden="1" x14ac:dyDescent="0.3">
      <c r="A398" s="57" t="s">
        <v>770</v>
      </c>
      <c r="B398" s="7" t="s">
        <v>1067</v>
      </c>
      <c r="C398" s="7" t="s">
        <v>1101</v>
      </c>
      <c r="D398" s="28" t="e">
        <f>COUNTIF('[1]FF - Test Design'!D:D,C398)</f>
        <v>#VALUE!</v>
      </c>
      <c r="E398" s="8" t="s">
        <v>1102</v>
      </c>
      <c r="F398" s="57" t="str">
        <f>[1]!Table1[[#This Row],[Krav '#]]&amp;" - "&amp;[1]!Table1[[#This Row],[Beskrivelse]]</f>
        <v>10.a.2.1.3 - Såfremt brugeren angiver "ved ikke" skal brugeren ledes til 10.a.2.1.2</v>
      </c>
    </row>
    <row r="399" spans="1:6" hidden="1" x14ac:dyDescent="0.3">
      <c r="A399" s="57" t="s">
        <v>775</v>
      </c>
      <c r="B399" s="7" t="s">
        <v>1067</v>
      </c>
      <c r="C399" s="7" t="s">
        <v>1097</v>
      </c>
      <c r="D399" s="28" t="e">
        <f>COUNTIF('[1]FF - Test Design'!D:D,C399)</f>
        <v>#VALUE!</v>
      </c>
      <c r="E399" s="8" t="s">
        <v>1098</v>
      </c>
      <c r="F399" s="57" t="str">
        <f>[1]!Table1[[#This Row],[Krav '#]]&amp;" - "&amp;[1]!Table1[[#This Row],[Beskrivelse]]</f>
        <v>10.a.2.1.1 - Det skal være muligt for brugeren, ved at angive en frist eller ved at svare "ved ikke", at kortlægge den kortest mulige fristlængde for forældelsesfristens beregning for krav omfattet af den afgrænsede population</v>
      </c>
    </row>
    <row r="400" spans="1:6" hidden="1" x14ac:dyDescent="0.3">
      <c r="A400" s="57" t="s">
        <v>775</v>
      </c>
      <c r="B400" s="7" t="s">
        <v>1067</v>
      </c>
      <c r="C400" s="7" t="s">
        <v>1099</v>
      </c>
      <c r="D400" s="28" t="e">
        <f>COUNTIF('[1]FF - Test Design'!D:D,C400)</f>
        <v>#VALUE!</v>
      </c>
      <c r="E400" s="8" t="s">
        <v>1100</v>
      </c>
      <c r="F400" s="57" t="str">
        <f>[1]!Table1[[#This Row],[Krav '#]]&amp;" - "&amp;[1]!Table1[[#This Row],[Beskrivelse]]</f>
        <v>10.a.2.1.2 - Såfremt brugeren angiver en frist skal brugeren ledes til spørgsmål 10.a.2.1.1</v>
      </c>
    </row>
    <row r="401" spans="1:6" hidden="1" x14ac:dyDescent="0.3">
      <c r="A401" s="57" t="s">
        <v>775</v>
      </c>
      <c r="B401" s="7" t="s">
        <v>1067</v>
      </c>
      <c r="C401" s="7" t="s">
        <v>1101</v>
      </c>
      <c r="D401" s="28" t="e">
        <f>COUNTIF('[1]FF - Test Design'!D:D,C401)</f>
        <v>#VALUE!</v>
      </c>
      <c r="E401" s="8" t="s">
        <v>1102</v>
      </c>
      <c r="F401" s="57" t="str">
        <f>[1]!Table1[[#This Row],[Krav '#]]&amp;" - "&amp;[1]!Table1[[#This Row],[Beskrivelse]]</f>
        <v>10.a.2.1.3 - Såfremt brugeren angiver "ved ikke" skal brugeren ledes til 10.a.2.1.2</v>
      </c>
    </row>
    <row r="402" spans="1:6" hidden="1" x14ac:dyDescent="0.3">
      <c r="A402" s="57" t="s">
        <v>780</v>
      </c>
      <c r="B402" s="7" t="s">
        <v>1067</v>
      </c>
      <c r="C402" s="7" t="s">
        <v>1097</v>
      </c>
      <c r="D402" s="28" t="e">
        <f>COUNTIF('[1]FF - Test Design'!D:D,C402)</f>
        <v>#VALUE!</v>
      </c>
      <c r="E402" s="8" t="s">
        <v>1098</v>
      </c>
      <c r="F402" s="57" t="str">
        <f>[1]!Table1[[#This Row],[Krav '#]]&amp;" - "&amp;[1]!Table1[[#This Row],[Beskrivelse]]</f>
        <v>10.a.2.1.1 - Det skal være muligt for brugeren, ved at angive en frist eller ved at svare "ved ikke", at kortlægge den kortest mulige fristlængde for forældelsesfristens beregning for krav omfattet af den afgrænsede population</v>
      </c>
    </row>
    <row r="403" spans="1:6" hidden="1" x14ac:dyDescent="0.3">
      <c r="A403" s="57" t="s">
        <v>780</v>
      </c>
      <c r="B403" s="7" t="s">
        <v>1067</v>
      </c>
      <c r="C403" s="7" t="s">
        <v>1099</v>
      </c>
      <c r="D403" s="28" t="e">
        <f>COUNTIF('[1]FF - Test Design'!D:D,C403)</f>
        <v>#VALUE!</v>
      </c>
      <c r="E403" s="8" t="s">
        <v>1100</v>
      </c>
      <c r="F403" s="57" t="str">
        <f>[1]!Table1[[#This Row],[Krav '#]]&amp;" - "&amp;[1]!Table1[[#This Row],[Beskrivelse]]</f>
        <v>10.a.2.1.2 - Såfremt brugeren angiver en frist skal brugeren ledes til spørgsmål 10.a.2.1.1</v>
      </c>
    </row>
    <row r="404" spans="1:6" hidden="1" x14ac:dyDescent="0.3">
      <c r="A404" s="57" t="s">
        <v>780</v>
      </c>
      <c r="B404" s="7" t="s">
        <v>1067</v>
      </c>
      <c r="C404" s="7" t="s">
        <v>1101</v>
      </c>
      <c r="D404" s="28" t="e">
        <f>COUNTIF('[1]FF - Test Design'!D:D,C404)</f>
        <v>#VALUE!</v>
      </c>
      <c r="E404" s="8" t="s">
        <v>1102</v>
      </c>
      <c r="F404" s="57" t="str">
        <f>[1]!Table1[[#This Row],[Krav '#]]&amp;" - "&amp;[1]!Table1[[#This Row],[Beskrivelse]]</f>
        <v>10.a.2.1.3 - Såfremt brugeren angiver "ved ikke" skal brugeren ledes til 10.a.2.1.2</v>
      </c>
    </row>
    <row r="405" spans="1:6" hidden="1" x14ac:dyDescent="0.3">
      <c r="A405" s="57" t="s">
        <v>749</v>
      </c>
      <c r="B405" s="7" t="s">
        <v>1097</v>
      </c>
      <c r="C405" s="7" t="s">
        <v>1103</v>
      </c>
      <c r="D405" s="28" t="e">
        <f>COUNTIF('[1]FF - Test Design'!D:D,C405)</f>
        <v>#VALUE!</v>
      </c>
      <c r="E405" s="8" t="s">
        <v>822</v>
      </c>
      <c r="F405" s="57" t="str">
        <f>[1]!Table1[[#This Row],[Krav '#]]&amp;" - "&amp;[1]!Table1[[#This Row],[Beskrivelse]]</f>
        <v>10.a.2.1.1.1 - Gruppe 1 aktiveres</v>
      </c>
    </row>
    <row r="406" spans="1:6" hidden="1" x14ac:dyDescent="0.3">
      <c r="A406" s="57" t="s">
        <v>765</v>
      </c>
      <c r="B406" s="7" t="s">
        <v>1097</v>
      </c>
      <c r="C406" s="7" t="s">
        <v>1104</v>
      </c>
      <c r="D406" s="28" t="e">
        <f>COUNTIF('[1]FF - Test Design'!D:D,C406)</f>
        <v>#VALUE!</v>
      </c>
      <c r="E406" s="8" t="s">
        <v>822</v>
      </c>
      <c r="F406" s="57" t="str">
        <f>[1]!Table1[[#This Row],[Krav '#]]&amp;" - "&amp;[1]!Table1[[#This Row],[Beskrivelse]]</f>
        <v>10.a.2.1.1.2 - Gruppe 1 aktiveres</v>
      </c>
    </row>
    <row r="407" spans="1:6" hidden="1" x14ac:dyDescent="0.3">
      <c r="A407" s="57" t="s">
        <v>770</v>
      </c>
      <c r="B407" s="7" t="s">
        <v>1097</v>
      </c>
      <c r="C407" s="7" t="s">
        <v>1105</v>
      </c>
      <c r="D407" s="28" t="e">
        <f>COUNTIF('[1]FF - Test Design'!D:D,C407)</f>
        <v>#VALUE!</v>
      </c>
      <c r="E407" s="8" t="s">
        <v>822</v>
      </c>
      <c r="F407" s="57" t="str">
        <f>[1]!Table1[[#This Row],[Krav '#]]&amp;" - "&amp;[1]!Table1[[#This Row],[Beskrivelse]]</f>
        <v>10.a.2.1.1.3 - Gruppe 1 aktiveres</v>
      </c>
    </row>
    <row r="408" spans="1:6" hidden="1" x14ac:dyDescent="0.3">
      <c r="A408" s="57" t="s">
        <v>775</v>
      </c>
      <c r="B408" s="7" t="s">
        <v>1097</v>
      </c>
      <c r="C408" s="7" t="s">
        <v>1106</v>
      </c>
      <c r="D408" s="28" t="e">
        <f>COUNTIF('[1]FF - Test Design'!D:D,C408)</f>
        <v>#VALUE!</v>
      </c>
      <c r="E408" s="8" t="s">
        <v>822</v>
      </c>
      <c r="F408" s="57" t="str">
        <f>[1]!Table1[[#This Row],[Krav '#]]&amp;" - "&amp;[1]!Table1[[#This Row],[Beskrivelse]]</f>
        <v>10.a.2.1.1.4 - Gruppe 1 aktiveres</v>
      </c>
    </row>
    <row r="409" spans="1:6" hidden="1" x14ac:dyDescent="0.3">
      <c r="A409" s="57" t="s">
        <v>780</v>
      </c>
      <c r="B409" s="7" t="s">
        <v>1097</v>
      </c>
      <c r="C409" s="7" t="s">
        <v>1107</v>
      </c>
      <c r="D409" s="28" t="e">
        <f>COUNTIF('[1]FF - Test Design'!D:D,C409)</f>
        <v>#VALUE!</v>
      </c>
      <c r="E409" s="8" t="s">
        <v>822</v>
      </c>
      <c r="F409" s="57" t="str">
        <f>[1]!Table1[[#This Row],[Krav '#]]&amp;" - "&amp;[1]!Table1[[#This Row],[Beskrivelse]]</f>
        <v>10.a.2.1.1.5 - Gruppe 1 aktiveres</v>
      </c>
    </row>
    <row r="410" spans="1:6" hidden="1" x14ac:dyDescent="0.3">
      <c r="A410" s="57" t="s">
        <v>749</v>
      </c>
      <c r="B410" s="7" t="s">
        <v>1097</v>
      </c>
      <c r="C410" s="7" t="s">
        <v>1108</v>
      </c>
      <c r="D410" s="28" t="e">
        <f>COUNTIF('[1]FF - Test Design'!D:D,C410)</f>
        <v>#VALUE!</v>
      </c>
      <c r="E410" s="8" t="s">
        <v>828</v>
      </c>
      <c r="F410" s="57" t="str">
        <f>[1]!Table1[[#This Row],[Krav '#]]&amp;" - "&amp;[1]!Table1[[#This Row],[Beskrivelse]]</f>
        <v>10.a.2.1.1.6 - Hvis forfaldsdato er valgt: Regel R0047 aktiveres</v>
      </c>
    </row>
    <row r="411" spans="1:6" hidden="1" x14ac:dyDescent="0.3">
      <c r="A411" s="57" t="s">
        <v>749</v>
      </c>
      <c r="B411" s="7" t="s">
        <v>1097</v>
      </c>
      <c r="C411" s="7" t="s">
        <v>1109</v>
      </c>
      <c r="D411" s="28" t="e">
        <f>COUNTIF('[1]FF - Test Design'!D:D,C411)</f>
        <v>#VALUE!</v>
      </c>
      <c r="E411" s="8" t="s">
        <v>830</v>
      </c>
      <c r="F411" s="57" t="str">
        <f>[1]!Table1[[#This Row],[Krav '#]]&amp;" - "&amp;[1]!Table1[[#This Row],[Beskrivelse]]</f>
        <v>10.a.2.1.1.7 - Hvis forfaldsdato er valgt: Regel R0048 aktiveres</v>
      </c>
    </row>
    <row r="412" spans="1:6" hidden="1" x14ac:dyDescent="0.3">
      <c r="A412" s="57" t="s">
        <v>749</v>
      </c>
      <c r="B412" s="7" t="s">
        <v>1097</v>
      </c>
      <c r="C412" s="7" t="s">
        <v>1110</v>
      </c>
      <c r="D412" s="28" t="e">
        <f>COUNTIF('[1]FF - Test Design'!D:D,C412)</f>
        <v>#VALUE!</v>
      </c>
      <c r="E412" s="8" t="s">
        <v>832</v>
      </c>
      <c r="F412" s="57" t="str">
        <f>[1]!Table1[[#This Row],[Krav '#]]&amp;" - "&amp;[1]!Table1[[#This Row],[Beskrivelse]]</f>
        <v>10.a.2.1.1.8 - Hvis forfaldsdato er valgt: Regel R0049 aktiveres</v>
      </c>
    </row>
    <row r="413" spans="1:6" hidden="1" x14ac:dyDescent="0.3">
      <c r="A413" s="57" t="s">
        <v>749</v>
      </c>
      <c r="B413" s="7" t="s">
        <v>1097</v>
      </c>
      <c r="C413" s="7" t="s">
        <v>1111</v>
      </c>
      <c r="D413" s="28" t="e">
        <f>COUNTIF('[1]FF - Test Design'!D:D,C413)</f>
        <v>#VALUE!</v>
      </c>
      <c r="E413" s="8" t="s">
        <v>834</v>
      </c>
      <c r="F413" s="57" t="str">
        <f>[1]!Table1[[#This Row],[Krav '#]]&amp;" - "&amp;[1]!Table1[[#This Row],[Beskrivelse]]</f>
        <v>10.a.2.1.1.9 - Hvis forfaldsdato er valgt: Regel R0050 aktiveres</v>
      </c>
    </row>
    <row r="414" spans="1:6" hidden="1" x14ac:dyDescent="0.3">
      <c r="A414" s="57" t="s">
        <v>765</v>
      </c>
      <c r="B414" s="7" t="s">
        <v>1097</v>
      </c>
      <c r="C414" s="7" t="s">
        <v>1112</v>
      </c>
      <c r="D414" s="28" t="e">
        <f>COUNTIF('[1]FF - Test Design'!D:D,C414)</f>
        <v>#VALUE!</v>
      </c>
      <c r="E414" s="8" t="s">
        <v>836</v>
      </c>
      <c r="F414" s="57" t="str">
        <f>[1]!Table1[[#This Row],[Krav '#]]&amp;" - "&amp;[1]!Table1[[#This Row],[Beskrivelse]]</f>
        <v>10.a.2.1.1.10 - Hvis stiftelsesdato er valgt: Regel R0051 aktiveres</v>
      </c>
    </row>
    <row r="415" spans="1:6" hidden="1" x14ac:dyDescent="0.3">
      <c r="A415" s="57" t="s">
        <v>765</v>
      </c>
      <c r="B415" s="7" t="s">
        <v>1097</v>
      </c>
      <c r="C415" s="7" t="s">
        <v>1113</v>
      </c>
      <c r="D415" s="28" t="e">
        <f>COUNTIF('[1]FF - Test Design'!D:D,C415)</f>
        <v>#VALUE!</v>
      </c>
      <c r="E415" s="8" t="s">
        <v>838</v>
      </c>
      <c r="F415" s="57" t="str">
        <f>[1]!Table1[[#This Row],[Krav '#]]&amp;" - "&amp;[1]!Table1[[#This Row],[Beskrivelse]]</f>
        <v>10.a.2.1.1.11 - Hvis stiftelsesdato er valgt: Regel R0052 aktiveres</v>
      </c>
    </row>
    <row r="416" spans="1:6" hidden="1" x14ac:dyDescent="0.3">
      <c r="A416" s="57" t="s">
        <v>765</v>
      </c>
      <c r="B416" s="7" t="s">
        <v>1097</v>
      </c>
      <c r="C416" s="7" t="s">
        <v>1114</v>
      </c>
      <c r="D416" s="28" t="e">
        <f>COUNTIF('[1]FF - Test Design'!D:D,C416)</f>
        <v>#VALUE!</v>
      </c>
      <c r="E416" s="8" t="s">
        <v>840</v>
      </c>
      <c r="F416" s="57" t="str">
        <f>[1]!Table1[[#This Row],[Krav '#]]&amp;" - "&amp;[1]!Table1[[#This Row],[Beskrivelse]]</f>
        <v>10.a.2.1.1.12 - Hvis stiftelsesdato er valgt: Regel R0053 aktiveres</v>
      </c>
    </row>
    <row r="417" spans="1:6" hidden="1" x14ac:dyDescent="0.3">
      <c r="A417" s="57" t="s">
        <v>765</v>
      </c>
      <c r="B417" s="7" t="s">
        <v>1097</v>
      </c>
      <c r="C417" s="7" t="s">
        <v>1115</v>
      </c>
      <c r="D417" s="28" t="e">
        <f>COUNTIF('[1]FF - Test Design'!D:D,C417)</f>
        <v>#VALUE!</v>
      </c>
      <c r="E417" s="8" t="s">
        <v>842</v>
      </c>
      <c r="F417" s="57" t="str">
        <f>[1]!Table1[[#This Row],[Krav '#]]&amp;" - "&amp;[1]!Table1[[#This Row],[Beskrivelse]]</f>
        <v>10.a.2.1.1.13 - Hvis stiftelsesdato er valgt: Regel R0054 aktiveres</v>
      </c>
    </row>
    <row r="418" spans="1:6" hidden="1" x14ac:dyDescent="0.3">
      <c r="A418" s="57" t="s">
        <v>770</v>
      </c>
      <c r="B418" s="7" t="s">
        <v>1097</v>
      </c>
      <c r="C418" s="7" t="s">
        <v>1116</v>
      </c>
      <c r="D418" s="28" t="e">
        <f>COUNTIF('[1]FF - Test Design'!D:D,C418)</f>
        <v>#VALUE!</v>
      </c>
      <c r="E418" s="8" t="s">
        <v>844</v>
      </c>
      <c r="F418" s="57" t="str">
        <f>[1]!Table1[[#This Row],[Krav '#]]&amp;" - "&amp;[1]!Table1[[#This Row],[Beskrivelse]]</f>
        <v>10.a.2.1.1.14 - Hvis FordringsStartDato er valgt: Regel R0055 aktiveres</v>
      </c>
    </row>
    <row r="419" spans="1:6" hidden="1" x14ac:dyDescent="0.3">
      <c r="A419" s="57" t="s">
        <v>770</v>
      </c>
      <c r="B419" s="7" t="s">
        <v>1097</v>
      </c>
      <c r="C419" s="7" t="s">
        <v>1117</v>
      </c>
      <c r="D419" s="28" t="e">
        <f>COUNTIF('[1]FF - Test Design'!D:D,C419)</f>
        <v>#VALUE!</v>
      </c>
      <c r="E419" s="8" t="s">
        <v>846</v>
      </c>
      <c r="F419" s="57" t="str">
        <f>[1]!Table1[[#This Row],[Krav '#]]&amp;" - "&amp;[1]!Table1[[#This Row],[Beskrivelse]]</f>
        <v>10.a.2.1.1.15 - Hvis FordringsStartDato er valgt: Regel R0056 aktiveres</v>
      </c>
    </row>
    <row r="420" spans="1:6" hidden="1" x14ac:dyDescent="0.3">
      <c r="A420" s="57" t="s">
        <v>770</v>
      </c>
      <c r="B420" s="7" t="s">
        <v>1097</v>
      </c>
      <c r="C420" s="7" t="s">
        <v>1118</v>
      </c>
      <c r="D420" s="28" t="e">
        <f>COUNTIF('[1]FF - Test Design'!D:D,C420)</f>
        <v>#VALUE!</v>
      </c>
      <c r="E420" s="8" t="s">
        <v>848</v>
      </c>
      <c r="F420" s="57" t="str">
        <f>[1]!Table1[[#This Row],[Krav '#]]&amp;" - "&amp;[1]!Table1[[#This Row],[Beskrivelse]]</f>
        <v>10.a.2.1.1.16 - Hvis FordringsStartDato er valgt: Regel R0057 aktiveres</v>
      </c>
    </row>
    <row r="421" spans="1:6" hidden="1" x14ac:dyDescent="0.3">
      <c r="A421" s="57" t="s">
        <v>770</v>
      </c>
      <c r="B421" s="7" t="s">
        <v>1097</v>
      </c>
      <c r="C421" s="7" t="s">
        <v>1119</v>
      </c>
      <c r="D421" s="28" t="e">
        <f>COUNTIF('[1]FF - Test Design'!D:D,C421)</f>
        <v>#VALUE!</v>
      </c>
      <c r="E421" s="8" t="s">
        <v>850</v>
      </c>
      <c r="F421" s="57" t="str">
        <f>[1]!Table1[[#This Row],[Krav '#]]&amp;" - "&amp;[1]!Table1[[#This Row],[Beskrivelse]]</f>
        <v>10.a.2.1.1.17 - Hvis FordringsStartDato er valgt: Regel R0058 aktiveres</v>
      </c>
    </row>
    <row r="422" spans="1:6" hidden="1" x14ac:dyDescent="0.3">
      <c r="A422" s="57" t="s">
        <v>775</v>
      </c>
      <c r="B422" s="7" t="s">
        <v>1097</v>
      </c>
      <c r="C422" s="7" t="s">
        <v>1120</v>
      </c>
      <c r="D422" s="28" t="e">
        <f>COUNTIF('[1]FF - Test Design'!D:D,C422)</f>
        <v>#VALUE!</v>
      </c>
      <c r="E422" s="8" t="s">
        <v>852</v>
      </c>
      <c r="F422" s="57" t="str">
        <f>[1]!Table1[[#This Row],[Krav '#]]&amp;" - "&amp;[1]!Table1[[#This Row],[Beskrivelse]]</f>
        <v>10.a.2.1.1.18 - Hvis FordringsSlutDato er valgt: Regel R0059 aktiveres</v>
      </c>
    </row>
    <row r="423" spans="1:6" hidden="1" x14ac:dyDescent="0.3">
      <c r="A423" s="57" t="s">
        <v>775</v>
      </c>
      <c r="B423" s="7" t="s">
        <v>1097</v>
      </c>
      <c r="C423" s="7" t="s">
        <v>1121</v>
      </c>
      <c r="D423" s="28" t="e">
        <f>COUNTIF('[1]FF - Test Design'!D:D,C423)</f>
        <v>#VALUE!</v>
      </c>
      <c r="E423" s="8" t="s">
        <v>854</v>
      </c>
      <c r="F423" s="57" t="str">
        <f>[1]!Table1[[#This Row],[Krav '#]]&amp;" - "&amp;[1]!Table1[[#This Row],[Beskrivelse]]</f>
        <v>10.a.2.1.1.19 - Hvis FordringsSlutDato er valgt: Regel R0060 aktiveres</v>
      </c>
    </row>
    <row r="424" spans="1:6" hidden="1" x14ac:dyDescent="0.3">
      <c r="A424" s="57" t="s">
        <v>775</v>
      </c>
      <c r="B424" s="7" t="s">
        <v>1097</v>
      </c>
      <c r="C424" s="7" t="s">
        <v>1122</v>
      </c>
      <c r="D424" s="28" t="e">
        <f>COUNTIF('[1]FF - Test Design'!D:D,C424)</f>
        <v>#VALUE!</v>
      </c>
      <c r="E424" s="8" t="s">
        <v>856</v>
      </c>
      <c r="F424" s="57" t="str">
        <f>[1]!Table1[[#This Row],[Krav '#]]&amp;" - "&amp;[1]!Table1[[#This Row],[Beskrivelse]]</f>
        <v>10.a.2.1.1.20 - Hvis FordringsSlutDato er valgt: Regel R0061 aktiveres</v>
      </c>
    </row>
    <row r="425" spans="1:6" hidden="1" x14ac:dyDescent="0.3">
      <c r="A425" s="57" t="s">
        <v>775</v>
      </c>
      <c r="B425" s="7" t="s">
        <v>1097</v>
      </c>
      <c r="C425" s="7" t="s">
        <v>1123</v>
      </c>
      <c r="D425" s="28" t="e">
        <f>COUNTIF('[1]FF - Test Design'!D:D,C425)</f>
        <v>#VALUE!</v>
      </c>
      <c r="E425" s="8" t="s">
        <v>858</v>
      </c>
      <c r="F425" s="57" t="str">
        <f>[1]!Table1[[#This Row],[Krav '#]]&amp;" - "&amp;[1]!Table1[[#This Row],[Beskrivelse]]</f>
        <v>10.a.2.1.1.21 - Hvis FordringsSlutDato er valgt: Regel R0062 aktiveres</v>
      </c>
    </row>
    <row r="426" spans="1:6" hidden="1" x14ac:dyDescent="0.3">
      <c r="A426" s="57" t="s">
        <v>780</v>
      </c>
      <c r="B426" s="7" t="s">
        <v>1097</v>
      </c>
      <c r="C426" s="7" t="s">
        <v>1124</v>
      </c>
      <c r="D426" s="28" t="e">
        <f>COUNTIF('[1]FF - Test Design'!D:D,C426)</f>
        <v>#VALUE!</v>
      </c>
      <c r="E426" s="8" t="s">
        <v>860</v>
      </c>
      <c r="F426" s="57" t="str">
        <f>[1]!Table1[[#This Row],[Krav '#]]&amp;" - "&amp;[1]!Table1[[#This Row],[Beskrivelse]]</f>
        <v>10.a.2.1.1.22 - Hvis SRBDato er valgt: Regel R0063 aktiveres</v>
      </c>
    </row>
    <row r="427" spans="1:6" hidden="1" x14ac:dyDescent="0.3">
      <c r="A427" s="57" t="s">
        <v>780</v>
      </c>
      <c r="B427" s="7" t="s">
        <v>1097</v>
      </c>
      <c r="C427" s="7" t="s">
        <v>1125</v>
      </c>
      <c r="D427" s="28" t="e">
        <f>COUNTIF('[1]FF - Test Design'!D:D,C427)</f>
        <v>#VALUE!</v>
      </c>
      <c r="E427" s="8" t="s">
        <v>862</v>
      </c>
      <c r="F427" s="57" t="str">
        <f>[1]!Table1[[#This Row],[Krav '#]]&amp;" - "&amp;[1]!Table1[[#This Row],[Beskrivelse]]</f>
        <v>10.a.2.1.1.23 - Hvis SRBDato er valgt: Regel R0064 aktiveres</v>
      </c>
    </row>
    <row r="428" spans="1:6" hidden="1" x14ac:dyDescent="0.3">
      <c r="A428" s="57" t="s">
        <v>780</v>
      </c>
      <c r="B428" s="7" t="s">
        <v>1097</v>
      </c>
      <c r="C428" s="7" t="s">
        <v>1126</v>
      </c>
      <c r="D428" s="28" t="e">
        <f>COUNTIF('[1]FF - Test Design'!D:D,C428)</f>
        <v>#VALUE!</v>
      </c>
      <c r="E428" s="8" t="s">
        <v>864</v>
      </c>
      <c r="F428" s="57" t="str">
        <f>[1]!Table1[[#This Row],[Krav '#]]&amp;" - "&amp;[1]!Table1[[#This Row],[Beskrivelse]]</f>
        <v>10.a.2.1.1.24 - Hvis SRBDato er valgt: Regel R0065 aktiveres</v>
      </c>
    </row>
    <row r="429" spans="1:6" hidden="1" x14ac:dyDescent="0.3">
      <c r="A429" s="57" t="s">
        <v>780</v>
      </c>
      <c r="B429" s="7" t="s">
        <v>1097</v>
      </c>
      <c r="C429" s="7" t="s">
        <v>1127</v>
      </c>
      <c r="D429" s="28" t="e">
        <f>COUNTIF('[1]FF - Test Design'!D:D,C429)</f>
        <v>#VALUE!</v>
      </c>
      <c r="E429" s="8" t="s">
        <v>866</v>
      </c>
      <c r="F429" s="57" t="str">
        <f>[1]!Table1[[#This Row],[Krav '#]]&amp;" - "&amp;[1]!Table1[[#This Row],[Beskrivelse]]</f>
        <v>10.a.2.1.1.25 - Hvis SRBDato er valgt: Regel R0066 aktiveres</v>
      </c>
    </row>
    <row r="430" spans="1:6" hidden="1" x14ac:dyDescent="0.3">
      <c r="A430" s="57" t="s">
        <v>749</v>
      </c>
      <c r="B430" s="7" t="s">
        <v>1097</v>
      </c>
      <c r="C430" s="7" t="s">
        <v>1128</v>
      </c>
      <c r="D430" s="28" t="e">
        <f>COUNTIF('[1]FF - Test Design'!D:D,C430)</f>
        <v>#VALUE!</v>
      </c>
      <c r="E430" s="8" t="s">
        <v>868</v>
      </c>
      <c r="F430" s="57" t="str">
        <f>[1]!Table1[[#This Row],[Krav '#]]&amp;" - "&amp;[1]!Table1[[#This Row],[Beskrivelse]]</f>
        <v>10.a.2.1.1.26 - Hvis ForfaldsDato er valgt: Regel R0067 aktiveres</v>
      </c>
    </row>
    <row r="431" spans="1:6" hidden="1" x14ac:dyDescent="0.3">
      <c r="A431" s="57" t="s">
        <v>765</v>
      </c>
      <c r="B431" s="7" t="s">
        <v>1097</v>
      </c>
      <c r="C431" s="7" t="s">
        <v>1129</v>
      </c>
      <c r="D431" s="28" t="e">
        <f>COUNTIF('[1]FF - Test Design'!D:D,C431)</f>
        <v>#VALUE!</v>
      </c>
      <c r="E431" s="8" t="s">
        <v>870</v>
      </c>
      <c r="F431" s="57" t="str">
        <f>[1]!Table1[[#This Row],[Krav '#]]&amp;" - "&amp;[1]!Table1[[#This Row],[Beskrivelse]]</f>
        <v>10.a.2.1.1.27 - Hvis StiftelsesDato er valgt: Regel R0068 aktiveres</v>
      </c>
    </row>
    <row r="432" spans="1:6" hidden="1" x14ac:dyDescent="0.3">
      <c r="A432" s="57" t="s">
        <v>770</v>
      </c>
      <c r="B432" s="7" t="s">
        <v>1097</v>
      </c>
      <c r="C432" s="7" t="s">
        <v>1130</v>
      </c>
      <c r="D432" s="28" t="e">
        <f>COUNTIF('[1]FF - Test Design'!D:D,C432)</f>
        <v>#VALUE!</v>
      </c>
      <c r="E432" s="8" t="s">
        <v>872</v>
      </c>
      <c r="F432" s="57" t="str">
        <f>[1]!Table1[[#This Row],[Krav '#]]&amp;" - "&amp;[1]!Table1[[#This Row],[Beskrivelse]]</f>
        <v>10.a.2.1.1.28 - Hvis FordringsStartDato er valgt: Regel R0069 aktiveres</v>
      </c>
    </row>
    <row r="433" spans="1:6" hidden="1" x14ac:dyDescent="0.3">
      <c r="A433" s="57" t="s">
        <v>775</v>
      </c>
      <c r="B433" s="7" t="s">
        <v>1097</v>
      </c>
      <c r="C433" s="7" t="s">
        <v>1131</v>
      </c>
      <c r="D433" s="28" t="e">
        <f>COUNTIF('[1]FF - Test Design'!D:D,C433)</f>
        <v>#VALUE!</v>
      </c>
      <c r="E433" s="8" t="s">
        <v>874</v>
      </c>
      <c r="F433" s="57" t="str">
        <f>[1]!Table1[[#This Row],[Krav '#]]&amp;" - "&amp;[1]!Table1[[#This Row],[Beskrivelse]]</f>
        <v>10.a.2.1.1.29 - Hvis FordringsSlutDato er valgt: Regel R0070 aktiveres</v>
      </c>
    </row>
    <row r="434" spans="1:6" hidden="1" x14ac:dyDescent="0.3">
      <c r="A434" s="57" t="s">
        <v>780</v>
      </c>
      <c r="B434" s="7" t="s">
        <v>1097</v>
      </c>
      <c r="C434" s="7" t="s">
        <v>1132</v>
      </c>
      <c r="D434" s="28" t="e">
        <f>COUNTIF('[1]FF - Test Design'!D:D,C434)</f>
        <v>#VALUE!</v>
      </c>
      <c r="E434" s="8" t="s">
        <v>876</v>
      </c>
      <c r="F434" s="57" t="str">
        <f>[1]!Table1[[#This Row],[Krav '#]]&amp;" - "&amp;[1]!Table1[[#This Row],[Beskrivelse]]</f>
        <v>10.a.2.1.1.30 - Hvis SRBDato er valgt: Regel R0071 aktiveres</v>
      </c>
    </row>
    <row r="435" spans="1:6" hidden="1" x14ac:dyDescent="0.3">
      <c r="A435" s="57" t="s">
        <v>749</v>
      </c>
      <c r="B435" s="7" t="s">
        <v>1097</v>
      </c>
      <c r="C435" s="7" t="s">
        <v>1133</v>
      </c>
      <c r="D435" s="28" t="e">
        <f>COUNTIF('[1]FF - Test Design'!D:D,C435)</f>
        <v>#VALUE!</v>
      </c>
      <c r="E435" s="8" t="s">
        <v>878</v>
      </c>
      <c r="F435" s="57" t="str">
        <f>[1]!Table1[[#This Row],[Krav '#]]&amp;" - "&amp;[1]!Table1[[#This Row],[Beskrivelse]]</f>
        <v>10.a.2.1.1.31 - Hvis forfaldsdato ikke er valgt: Regel R0047 deaktiveres</v>
      </c>
    </row>
    <row r="436" spans="1:6" hidden="1" x14ac:dyDescent="0.3">
      <c r="A436" s="57" t="s">
        <v>749</v>
      </c>
      <c r="B436" s="7" t="s">
        <v>1097</v>
      </c>
      <c r="C436" s="7" t="s">
        <v>1134</v>
      </c>
      <c r="D436" s="28" t="e">
        <f>COUNTIF('[1]FF - Test Design'!D:D,C436)</f>
        <v>#VALUE!</v>
      </c>
      <c r="E436" s="8" t="s">
        <v>880</v>
      </c>
      <c r="F436" s="57" t="str">
        <f>[1]!Table1[[#This Row],[Krav '#]]&amp;" - "&amp;[1]!Table1[[#This Row],[Beskrivelse]]</f>
        <v>10.a.2.1.1.32 - Hvis forfaldsdato ikke er valgt: Regel R0048 deaktiveres</v>
      </c>
    </row>
    <row r="437" spans="1:6" hidden="1" x14ac:dyDescent="0.3">
      <c r="A437" s="57" t="s">
        <v>749</v>
      </c>
      <c r="B437" s="7" t="s">
        <v>1097</v>
      </c>
      <c r="C437" s="7" t="s">
        <v>1135</v>
      </c>
      <c r="D437" s="28" t="e">
        <f>COUNTIF('[1]FF - Test Design'!D:D,C437)</f>
        <v>#VALUE!</v>
      </c>
      <c r="E437" s="8" t="s">
        <v>882</v>
      </c>
      <c r="F437" s="57" t="str">
        <f>[1]!Table1[[#This Row],[Krav '#]]&amp;" - "&amp;[1]!Table1[[#This Row],[Beskrivelse]]</f>
        <v>10.a.2.1.1.33 - Hvis forfaldsdato ikke er valgt: Regel R0049 deaktiveres</v>
      </c>
    </row>
    <row r="438" spans="1:6" hidden="1" x14ac:dyDescent="0.3">
      <c r="A438" s="57" t="s">
        <v>749</v>
      </c>
      <c r="B438" s="7" t="s">
        <v>1097</v>
      </c>
      <c r="C438" s="7" t="s">
        <v>1136</v>
      </c>
      <c r="D438" s="28" t="e">
        <f>COUNTIF('[1]FF - Test Design'!D:D,C438)</f>
        <v>#VALUE!</v>
      </c>
      <c r="E438" s="8" t="s">
        <v>884</v>
      </c>
      <c r="F438" s="57" t="str">
        <f>[1]!Table1[[#This Row],[Krav '#]]&amp;" - "&amp;[1]!Table1[[#This Row],[Beskrivelse]]</f>
        <v>10.a.2.1.1.34 - Hvis forfaldsdato ikke er valgt: Regel R0050 deaktiveres</v>
      </c>
    </row>
    <row r="439" spans="1:6" hidden="1" x14ac:dyDescent="0.3">
      <c r="A439" s="57" t="s">
        <v>765</v>
      </c>
      <c r="B439" s="7" t="s">
        <v>1097</v>
      </c>
      <c r="C439" s="7" t="s">
        <v>1137</v>
      </c>
      <c r="D439" s="28" t="e">
        <f>COUNTIF('[1]FF - Test Design'!D:D,C439)</f>
        <v>#VALUE!</v>
      </c>
      <c r="E439" s="8" t="s">
        <v>886</v>
      </c>
      <c r="F439" s="57" t="str">
        <f>[1]!Table1[[#This Row],[Krav '#]]&amp;" - "&amp;[1]!Table1[[#This Row],[Beskrivelse]]</f>
        <v>10.a.2.1.1.35 - Hvis stiftelsesdato ikke er valgt: Regel R0051 deaktiveres</v>
      </c>
    </row>
    <row r="440" spans="1:6" hidden="1" x14ac:dyDescent="0.3">
      <c r="A440" s="57" t="s">
        <v>765</v>
      </c>
      <c r="B440" s="7" t="s">
        <v>1097</v>
      </c>
      <c r="C440" s="7" t="s">
        <v>1138</v>
      </c>
      <c r="D440" s="28" t="e">
        <f>COUNTIF('[1]FF - Test Design'!D:D,C440)</f>
        <v>#VALUE!</v>
      </c>
      <c r="E440" s="8" t="s">
        <v>888</v>
      </c>
      <c r="F440" s="57" t="str">
        <f>[1]!Table1[[#This Row],[Krav '#]]&amp;" - "&amp;[1]!Table1[[#This Row],[Beskrivelse]]</f>
        <v>10.a.2.1.1.36 - Hvis stiftelsesdato ikke er valgt: Regel R0052 deaktiveres</v>
      </c>
    </row>
    <row r="441" spans="1:6" hidden="1" x14ac:dyDescent="0.3">
      <c r="A441" s="57" t="s">
        <v>765</v>
      </c>
      <c r="B441" s="7" t="s">
        <v>1097</v>
      </c>
      <c r="C441" s="7" t="s">
        <v>1139</v>
      </c>
      <c r="D441" s="28" t="e">
        <f>COUNTIF('[1]FF - Test Design'!D:D,C441)</f>
        <v>#VALUE!</v>
      </c>
      <c r="E441" s="8" t="s">
        <v>890</v>
      </c>
      <c r="F441" s="57" t="str">
        <f>[1]!Table1[[#This Row],[Krav '#]]&amp;" - "&amp;[1]!Table1[[#This Row],[Beskrivelse]]</f>
        <v>10.a.2.1.1.37 - Hvis stiftelsesdato ikke er valgt: Regel R0053 deaktiveres</v>
      </c>
    </row>
    <row r="442" spans="1:6" hidden="1" x14ac:dyDescent="0.3">
      <c r="A442" s="57" t="s">
        <v>765</v>
      </c>
      <c r="B442" s="7" t="s">
        <v>1097</v>
      </c>
      <c r="C442" s="7" t="s">
        <v>1140</v>
      </c>
      <c r="D442" s="28" t="e">
        <f>COUNTIF('[1]FF - Test Design'!D:D,C442)</f>
        <v>#VALUE!</v>
      </c>
      <c r="E442" s="8" t="s">
        <v>892</v>
      </c>
      <c r="F442" s="57" t="str">
        <f>[1]!Table1[[#This Row],[Krav '#]]&amp;" - "&amp;[1]!Table1[[#This Row],[Beskrivelse]]</f>
        <v>10.a.2.1.1.38 - Hvis stiftelsesdato ikke er valgt: Regel R0054 deaktiveres</v>
      </c>
    </row>
    <row r="443" spans="1:6" hidden="1" x14ac:dyDescent="0.3">
      <c r="A443" s="57" t="s">
        <v>770</v>
      </c>
      <c r="B443" s="7" t="s">
        <v>1097</v>
      </c>
      <c r="C443" s="7" t="s">
        <v>1141</v>
      </c>
      <c r="D443" s="28" t="e">
        <f>COUNTIF('[1]FF - Test Design'!D:D,C443)</f>
        <v>#VALUE!</v>
      </c>
      <c r="E443" s="8" t="s">
        <v>894</v>
      </c>
      <c r="F443" s="57" t="str">
        <f>[1]!Table1[[#This Row],[Krav '#]]&amp;" - "&amp;[1]!Table1[[#This Row],[Beskrivelse]]</f>
        <v>10.a.2.1.1.39 - Hvis FordringsStartDato ikke er valgt: Regel R0055 deaktiveres</v>
      </c>
    </row>
    <row r="444" spans="1:6" hidden="1" x14ac:dyDescent="0.3">
      <c r="A444" s="57" t="s">
        <v>770</v>
      </c>
      <c r="B444" s="7" t="s">
        <v>1097</v>
      </c>
      <c r="C444" s="7" t="s">
        <v>1142</v>
      </c>
      <c r="D444" s="28" t="e">
        <f>COUNTIF('[1]FF - Test Design'!D:D,C444)</f>
        <v>#VALUE!</v>
      </c>
      <c r="E444" s="8" t="s">
        <v>896</v>
      </c>
      <c r="F444" s="57" t="str">
        <f>[1]!Table1[[#This Row],[Krav '#]]&amp;" - "&amp;[1]!Table1[[#This Row],[Beskrivelse]]</f>
        <v>10.a.2.1.1.40 - Hvis FordringsStartDato ikke er valgt: Regel R0056 deaktiveres</v>
      </c>
    </row>
    <row r="445" spans="1:6" hidden="1" x14ac:dyDescent="0.3">
      <c r="A445" s="57" t="s">
        <v>770</v>
      </c>
      <c r="B445" s="7" t="s">
        <v>1097</v>
      </c>
      <c r="C445" s="7" t="s">
        <v>1143</v>
      </c>
      <c r="D445" s="28" t="e">
        <f>COUNTIF('[1]FF - Test Design'!D:D,C445)</f>
        <v>#VALUE!</v>
      </c>
      <c r="E445" s="8" t="s">
        <v>898</v>
      </c>
      <c r="F445" s="57" t="str">
        <f>[1]!Table1[[#This Row],[Krav '#]]&amp;" - "&amp;[1]!Table1[[#This Row],[Beskrivelse]]</f>
        <v>10.a.2.1.1.41 - Hvis FordringsStartDato ikke er valgt: Regel R0057 deaktiveres</v>
      </c>
    </row>
    <row r="446" spans="1:6" hidden="1" x14ac:dyDescent="0.3">
      <c r="A446" s="57" t="s">
        <v>770</v>
      </c>
      <c r="B446" s="7" t="s">
        <v>1097</v>
      </c>
      <c r="C446" s="7" t="s">
        <v>1144</v>
      </c>
      <c r="D446" s="28" t="e">
        <f>COUNTIF('[1]FF - Test Design'!D:D,C446)</f>
        <v>#VALUE!</v>
      </c>
      <c r="E446" s="8" t="s">
        <v>900</v>
      </c>
      <c r="F446" s="57" t="str">
        <f>[1]!Table1[[#This Row],[Krav '#]]&amp;" - "&amp;[1]!Table1[[#This Row],[Beskrivelse]]</f>
        <v>10.a.2.1.1.42 - Hvis FordringsStartDato ikke er valgt: Regel R0058 deaktiveres</v>
      </c>
    </row>
    <row r="447" spans="1:6" hidden="1" x14ac:dyDescent="0.3">
      <c r="A447" s="57" t="s">
        <v>775</v>
      </c>
      <c r="B447" s="7" t="s">
        <v>1097</v>
      </c>
      <c r="C447" s="7" t="s">
        <v>1145</v>
      </c>
      <c r="D447" s="28" t="e">
        <f>COUNTIF('[1]FF - Test Design'!D:D,C447)</f>
        <v>#VALUE!</v>
      </c>
      <c r="E447" s="8" t="s">
        <v>902</v>
      </c>
      <c r="F447" s="57" t="str">
        <f>[1]!Table1[[#This Row],[Krav '#]]&amp;" - "&amp;[1]!Table1[[#This Row],[Beskrivelse]]</f>
        <v>10.a.2.1.1.43 - Hvis FordringsSlutDato ikke er valgt: Regel R0059 deaktiveres</v>
      </c>
    </row>
    <row r="448" spans="1:6" hidden="1" x14ac:dyDescent="0.3">
      <c r="A448" s="57" t="s">
        <v>775</v>
      </c>
      <c r="B448" s="7" t="s">
        <v>1097</v>
      </c>
      <c r="C448" s="7" t="s">
        <v>1146</v>
      </c>
      <c r="D448" s="28" t="e">
        <f>COUNTIF('[1]FF - Test Design'!D:D,C448)</f>
        <v>#VALUE!</v>
      </c>
      <c r="E448" s="8" t="s">
        <v>904</v>
      </c>
      <c r="F448" s="57" t="str">
        <f>[1]!Table1[[#This Row],[Krav '#]]&amp;" - "&amp;[1]!Table1[[#This Row],[Beskrivelse]]</f>
        <v>10.a.2.1.1.44 - Hvis FordringsSlutDato ikke er valgt: Regel R0060 deaktiveres</v>
      </c>
    </row>
    <row r="449" spans="1:6" hidden="1" x14ac:dyDescent="0.3">
      <c r="A449" s="57" t="s">
        <v>775</v>
      </c>
      <c r="B449" s="7" t="s">
        <v>1097</v>
      </c>
      <c r="C449" s="7" t="s">
        <v>1147</v>
      </c>
      <c r="D449" s="28" t="e">
        <f>COUNTIF('[1]FF - Test Design'!D:D,C449)</f>
        <v>#VALUE!</v>
      </c>
      <c r="E449" s="8" t="s">
        <v>906</v>
      </c>
      <c r="F449" s="57" t="str">
        <f>[1]!Table1[[#This Row],[Krav '#]]&amp;" - "&amp;[1]!Table1[[#This Row],[Beskrivelse]]</f>
        <v>10.a.2.1.1.45 - Hvis FordringsSlutDato ikke er valgt: Regel R0061 deaktiveres</v>
      </c>
    </row>
    <row r="450" spans="1:6" hidden="1" x14ac:dyDescent="0.3">
      <c r="A450" s="57" t="s">
        <v>775</v>
      </c>
      <c r="B450" s="7" t="s">
        <v>1097</v>
      </c>
      <c r="C450" s="7" t="s">
        <v>1148</v>
      </c>
      <c r="D450" s="28" t="e">
        <f>COUNTIF('[1]FF - Test Design'!D:D,C450)</f>
        <v>#VALUE!</v>
      </c>
      <c r="E450" s="8" t="s">
        <v>908</v>
      </c>
      <c r="F450" s="57" t="str">
        <f>[1]!Table1[[#This Row],[Krav '#]]&amp;" - "&amp;[1]!Table1[[#This Row],[Beskrivelse]]</f>
        <v>10.a.2.1.1.46 - Hvis FordringsSlutDato ikke er valgt: Regel R0062 deaktiveres</v>
      </c>
    </row>
    <row r="451" spans="1:6" hidden="1" x14ac:dyDescent="0.3">
      <c r="A451" s="57" t="s">
        <v>780</v>
      </c>
      <c r="B451" s="7" t="s">
        <v>1097</v>
      </c>
      <c r="C451" s="7" t="s">
        <v>1149</v>
      </c>
      <c r="D451" s="28" t="e">
        <f>COUNTIF('[1]FF - Test Design'!D:D,C451)</f>
        <v>#VALUE!</v>
      </c>
      <c r="E451" s="8" t="s">
        <v>910</v>
      </c>
      <c r="F451" s="57" t="str">
        <f>[1]!Table1[[#This Row],[Krav '#]]&amp;" - "&amp;[1]!Table1[[#This Row],[Beskrivelse]]</f>
        <v>10.a.2.1.1.47 - Hvis SRBDato ikke er valgt: Regel R0063 deaktiveres</v>
      </c>
    </row>
    <row r="452" spans="1:6" hidden="1" x14ac:dyDescent="0.3">
      <c r="A452" s="57" t="s">
        <v>780</v>
      </c>
      <c r="B452" s="7" t="s">
        <v>1097</v>
      </c>
      <c r="C452" s="7" t="s">
        <v>1150</v>
      </c>
      <c r="D452" s="28" t="e">
        <f>COUNTIF('[1]FF - Test Design'!D:D,C452)</f>
        <v>#VALUE!</v>
      </c>
      <c r="E452" s="8" t="s">
        <v>912</v>
      </c>
      <c r="F452" s="57" t="str">
        <f>[1]!Table1[[#This Row],[Krav '#]]&amp;" - "&amp;[1]!Table1[[#This Row],[Beskrivelse]]</f>
        <v>10.a.2.1.1.48 - Hvis SRBDato ikke er valgt: Regel R0064 deaktiveres</v>
      </c>
    </row>
    <row r="453" spans="1:6" hidden="1" x14ac:dyDescent="0.3">
      <c r="A453" s="57" t="s">
        <v>780</v>
      </c>
      <c r="B453" s="7" t="s">
        <v>1097</v>
      </c>
      <c r="C453" s="7" t="s">
        <v>1151</v>
      </c>
      <c r="D453" s="28" t="e">
        <f>COUNTIF('[1]FF - Test Design'!D:D,C453)</f>
        <v>#VALUE!</v>
      </c>
      <c r="E453" s="8" t="s">
        <v>914</v>
      </c>
      <c r="F453" s="57" t="str">
        <f>[1]!Table1[[#This Row],[Krav '#]]&amp;" - "&amp;[1]!Table1[[#This Row],[Beskrivelse]]</f>
        <v>10.a.2.1.1.49 - Hvis SRBDato ikke er valgt: Regel R0065 deaktiveres</v>
      </c>
    </row>
    <row r="454" spans="1:6" hidden="1" x14ac:dyDescent="0.3">
      <c r="A454" s="57" t="s">
        <v>780</v>
      </c>
      <c r="B454" s="7" t="s">
        <v>1097</v>
      </c>
      <c r="C454" s="7" t="s">
        <v>1152</v>
      </c>
      <c r="D454" s="28" t="e">
        <f>COUNTIF('[1]FF - Test Design'!D:D,C454)</f>
        <v>#VALUE!</v>
      </c>
      <c r="E454" s="8" t="s">
        <v>916</v>
      </c>
      <c r="F454" s="57" t="str">
        <f>[1]!Table1[[#This Row],[Krav '#]]&amp;" - "&amp;[1]!Table1[[#This Row],[Beskrivelse]]</f>
        <v>10.a.2.1.1.50 - Hvis SRBDato ikke er valgt: Regel R0066 deaktiveres</v>
      </c>
    </row>
    <row r="455" spans="1:6" hidden="1" x14ac:dyDescent="0.3">
      <c r="A455" s="57" t="s">
        <v>749</v>
      </c>
      <c r="B455" s="7" t="s">
        <v>1097</v>
      </c>
      <c r="C455" s="7" t="s">
        <v>1153</v>
      </c>
      <c r="D455" s="28" t="e">
        <f>COUNTIF('[1]FF - Test Design'!D:D,C455)</f>
        <v>#VALUE!</v>
      </c>
      <c r="E455" s="8" t="s">
        <v>918</v>
      </c>
      <c r="F455" s="57" t="str">
        <f>[1]!Table1[[#This Row],[Krav '#]]&amp;" - "&amp;[1]!Table1[[#This Row],[Beskrivelse]]</f>
        <v>10.a.2.1.1.51 - Hvis ForfaldsDato ikke er valgt: Regel R0067 deaktiveres</v>
      </c>
    </row>
    <row r="456" spans="1:6" hidden="1" x14ac:dyDescent="0.3">
      <c r="A456" s="57" t="s">
        <v>765</v>
      </c>
      <c r="B456" s="7" t="s">
        <v>1097</v>
      </c>
      <c r="C456" s="7" t="s">
        <v>1154</v>
      </c>
      <c r="D456" s="28" t="e">
        <f>COUNTIF('[1]FF - Test Design'!D:D,C456)</f>
        <v>#VALUE!</v>
      </c>
      <c r="E456" s="8" t="s">
        <v>920</v>
      </c>
      <c r="F456" s="57" t="str">
        <f>[1]!Table1[[#This Row],[Krav '#]]&amp;" - "&amp;[1]!Table1[[#This Row],[Beskrivelse]]</f>
        <v>10.a.2.1.1.52 - Hvis StiftelsesDato ikke er valgt: Regel R0068 deaktiveres</v>
      </c>
    </row>
    <row r="457" spans="1:6" hidden="1" x14ac:dyDescent="0.3">
      <c r="A457" s="57" t="s">
        <v>770</v>
      </c>
      <c r="B457" s="7" t="s">
        <v>1097</v>
      </c>
      <c r="C457" s="7" t="s">
        <v>1155</v>
      </c>
      <c r="D457" s="28" t="e">
        <f>COUNTIF('[1]FF - Test Design'!D:D,C457)</f>
        <v>#VALUE!</v>
      </c>
      <c r="E457" s="8" t="s">
        <v>922</v>
      </c>
      <c r="F457" s="57" t="str">
        <f>[1]!Table1[[#This Row],[Krav '#]]&amp;" - "&amp;[1]!Table1[[#This Row],[Beskrivelse]]</f>
        <v>10.a.2.1.1.53 - Hvis FordringsStartDato ikke er valgt: Regel R0069 deaktiveres</v>
      </c>
    </row>
    <row r="458" spans="1:6" hidden="1" x14ac:dyDescent="0.3">
      <c r="A458" s="57" t="s">
        <v>775</v>
      </c>
      <c r="B458" s="7" t="s">
        <v>1097</v>
      </c>
      <c r="C458" s="7" t="s">
        <v>1156</v>
      </c>
      <c r="D458" s="28" t="e">
        <f>COUNTIF('[1]FF - Test Design'!D:D,C458)</f>
        <v>#VALUE!</v>
      </c>
      <c r="E458" s="8" t="s">
        <v>924</v>
      </c>
      <c r="F458" s="57" t="str">
        <f>[1]!Table1[[#This Row],[Krav '#]]&amp;" - "&amp;[1]!Table1[[#This Row],[Beskrivelse]]</f>
        <v>10.a.2.1.1.54 - Hvis FordringsSlutDato ikke er valgt: Regel R0070 deaktiveres</v>
      </c>
    </row>
    <row r="459" spans="1:6" hidden="1" x14ac:dyDescent="0.3">
      <c r="A459" s="57" t="s">
        <v>780</v>
      </c>
      <c r="B459" s="7" t="s">
        <v>1097</v>
      </c>
      <c r="C459" s="7" t="s">
        <v>1157</v>
      </c>
      <c r="D459" s="28" t="e">
        <f>COUNTIF('[1]FF - Test Design'!D:D,C459)</f>
        <v>#VALUE!</v>
      </c>
      <c r="E459" s="8" t="s">
        <v>926</v>
      </c>
      <c r="F459" s="57" t="str">
        <f>[1]!Table1[[#This Row],[Krav '#]]&amp;" - "&amp;[1]!Table1[[#This Row],[Beskrivelse]]</f>
        <v>10.a.2.1.1.55 - Hvis SRBDato ikke er valgt: Regel R0071 deaktiveres</v>
      </c>
    </row>
    <row r="460" spans="1:6" hidden="1" x14ac:dyDescent="0.3">
      <c r="A460" s="57" t="s">
        <v>749</v>
      </c>
      <c r="B460" s="7" t="s">
        <v>1097</v>
      </c>
      <c r="C460" s="7" t="s">
        <v>1158</v>
      </c>
      <c r="D460" s="28" t="e">
        <f>COUNTIF('[1]FF - Test Design'!D:D,C460)</f>
        <v>#VALUE!</v>
      </c>
      <c r="E460" s="8" t="s">
        <v>1159</v>
      </c>
      <c r="F460" s="57" t="str">
        <f>[1]!Table1[[#This Row],[Krav '#]]&amp;" - "&amp;[1]!Table1[[#This Row],[Beskrivelse]]</f>
        <v>10.a.2.1.1.56 - Hvis ForfaldsDato er valgt: Fristlængden indsættes i Regel R0047 - fristlængden beregnes ved at fratrække værdien fra spm. 10.a.2 med værdien fra 10.a.2.1</v>
      </c>
    </row>
    <row r="461" spans="1:6" hidden="1" x14ac:dyDescent="0.3">
      <c r="A461" s="57" t="s">
        <v>749</v>
      </c>
      <c r="B461" s="7" t="s">
        <v>1097</v>
      </c>
      <c r="C461" s="7" t="s">
        <v>1160</v>
      </c>
      <c r="D461" s="28" t="e">
        <f>COUNTIF('[1]FF - Test Design'!D:D,C461)</f>
        <v>#VALUE!</v>
      </c>
      <c r="E461" s="8" t="s">
        <v>1161</v>
      </c>
      <c r="F461" s="57" t="str">
        <f>[1]!Table1[[#This Row],[Krav '#]]&amp;" - "&amp;[1]!Table1[[#This Row],[Beskrivelse]]</f>
        <v>10.a.2.1.1.57 - Hvis ForfaldsDato er valgt: Fristlængden indsættes i Regel R0048 - fristlængden beregnes ved at fratrække værdien fra spm. 10.a.2 med værdien fra 10.a.2.1</v>
      </c>
    </row>
    <row r="462" spans="1:6" hidden="1" x14ac:dyDescent="0.3">
      <c r="A462" s="57" t="s">
        <v>749</v>
      </c>
      <c r="B462" s="7" t="s">
        <v>1097</v>
      </c>
      <c r="C462" s="7" t="s">
        <v>1162</v>
      </c>
      <c r="D462" s="28" t="e">
        <f>COUNTIF('[1]FF - Test Design'!D:D,C462)</f>
        <v>#VALUE!</v>
      </c>
      <c r="E462" s="8" t="s">
        <v>1163</v>
      </c>
      <c r="F462" s="57" t="str">
        <f>[1]!Table1[[#This Row],[Krav '#]]&amp;" - "&amp;[1]!Table1[[#This Row],[Beskrivelse]]</f>
        <v>10.a.2.1.1.58 - Hvis ForfaldsDato er valgt: Fristlængden indsættes i Regel R0049 - fristlængden beregnes ved at fratrække værdien fra spm. 10.a.2 med værdien fra 10.a.2.1</v>
      </c>
    </row>
    <row r="463" spans="1:6" hidden="1" x14ac:dyDescent="0.3">
      <c r="A463" s="57" t="s">
        <v>749</v>
      </c>
      <c r="B463" s="7" t="s">
        <v>1097</v>
      </c>
      <c r="C463" s="7" t="s">
        <v>1164</v>
      </c>
      <c r="D463" s="28" t="e">
        <f>COUNTIF('[1]FF - Test Design'!D:D,C463)</f>
        <v>#VALUE!</v>
      </c>
      <c r="E463" s="8" t="s">
        <v>1165</v>
      </c>
      <c r="F463" s="57" t="str">
        <f>[1]!Table1[[#This Row],[Krav '#]]&amp;" - "&amp;[1]!Table1[[#This Row],[Beskrivelse]]</f>
        <v>10.a.2.1.1.59 - Hvis ForfaldsDato er valgt: Fristlængden indsættes i Regel R0050 - fristlængden beregnes ved at fratrække værdien fra spm. 10.a.2 med værdien fra 10.a.2.1</v>
      </c>
    </row>
    <row r="464" spans="1:6" hidden="1" x14ac:dyDescent="0.3">
      <c r="A464" s="57" t="s">
        <v>765</v>
      </c>
      <c r="B464" s="7" t="s">
        <v>1097</v>
      </c>
      <c r="C464" s="7" t="s">
        <v>1166</v>
      </c>
      <c r="D464" s="28" t="e">
        <f>COUNTIF('[1]FF - Test Design'!D:D,C464)</f>
        <v>#VALUE!</v>
      </c>
      <c r="E464" s="8" t="s">
        <v>1167</v>
      </c>
      <c r="F464" s="57" t="str">
        <f>[1]!Table1[[#This Row],[Krav '#]]&amp;" - "&amp;[1]!Table1[[#This Row],[Beskrivelse]]</f>
        <v>10.a.2.1.1.60 - Hvis StiftelsesDato er valgt: Fristlængden indsættes i Regel R0051 - fristlængden beregnes ved at fratrække værdien fra spm. 10.a.2 med værdien fra 10.a.2.1</v>
      </c>
    </row>
    <row r="465" spans="1:6" hidden="1" x14ac:dyDescent="0.3">
      <c r="A465" s="57" t="s">
        <v>765</v>
      </c>
      <c r="B465" s="7" t="s">
        <v>1097</v>
      </c>
      <c r="C465" s="7" t="s">
        <v>1168</v>
      </c>
      <c r="D465" s="28" t="e">
        <f>COUNTIF('[1]FF - Test Design'!D:D,C465)</f>
        <v>#VALUE!</v>
      </c>
      <c r="E465" s="8" t="s">
        <v>1169</v>
      </c>
      <c r="F465" s="57" t="str">
        <f>[1]!Table1[[#This Row],[Krav '#]]&amp;" - "&amp;[1]!Table1[[#This Row],[Beskrivelse]]</f>
        <v>10.a.2.1.1.61 - Hvis StiftelsesDato er valgt: Fristlængden indsættes i Regel R0052 - fristlængden beregnes ved at fratrække værdien fra spm. 10.a.2 med værdien fra 10.a.2.1</v>
      </c>
    </row>
    <row r="466" spans="1:6" hidden="1" x14ac:dyDescent="0.3">
      <c r="A466" s="57" t="s">
        <v>765</v>
      </c>
      <c r="B466" s="7" t="s">
        <v>1097</v>
      </c>
      <c r="C466" s="7" t="s">
        <v>1170</v>
      </c>
      <c r="D466" s="28" t="e">
        <f>COUNTIF('[1]FF - Test Design'!D:D,C466)</f>
        <v>#VALUE!</v>
      </c>
      <c r="E466" s="8" t="s">
        <v>1171</v>
      </c>
      <c r="F466" s="57" t="str">
        <f>[1]!Table1[[#This Row],[Krav '#]]&amp;" - "&amp;[1]!Table1[[#This Row],[Beskrivelse]]</f>
        <v>10.a.2.1.1.62 - Hvis StiftelsesDato er valgt: Fristlængden indsættes i Regel R0053 - fristlængden beregnes ved at fratrække værdien fra spm. 10.a.2 med værdien fra 10.a.2.1</v>
      </c>
    </row>
    <row r="467" spans="1:6" hidden="1" x14ac:dyDescent="0.3">
      <c r="A467" s="57" t="s">
        <v>765</v>
      </c>
      <c r="B467" s="7" t="s">
        <v>1097</v>
      </c>
      <c r="C467" s="7" t="s">
        <v>1172</v>
      </c>
      <c r="D467" s="28" t="e">
        <f>COUNTIF('[1]FF - Test Design'!D:D,C467)</f>
        <v>#VALUE!</v>
      </c>
      <c r="E467" s="8" t="s">
        <v>1173</v>
      </c>
      <c r="F467" s="57" t="str">
        <f>[1]!Table1[[#This Row],[Krav '#]]&amp;" - "&amp;[1]!Table1[[#This Row],[Beskrivelse]]</f>
        <v>10.a.2.1.1.63 - Hvis StiftelsesDato er valgt: Fristlængden indsættes i Regel R0054 - fristlængden beregnes ved at fratrække værdien fra spm. 10.a.2 med værdien fra 10.a.2.1</v>
      </c>
    </row>
    <row r="468" spans="1:6" hidden="1" x14ac:dyDescent="0.3">
      <c r="A468" s="57" t="s">
        <v>770</v>
      </c>
      <c r="B468" s="7" t="s">
        <v>1097</v>
      </c>
      <c r="C468" s="7" t="s">
        <v>1174</v>
      </c>
      <c r="D468" s="28" t="e">
        <f>COUNTIF('[1]FF - Test Design'!D:D,C468)</f>
        <v>#VALUE!</v>
      </c>
      <c r="E468" s="8" t="s">
        <v>1175</v>
      </c>
      <c r="F468" s="57" t="str">
        <f>[1]!Table1[[#This Row],[Krav '#]]&amp;" - "&amp;[1]!Table1[[#This Row],[Beskrivelse]]</f>
        <v>10.a.2.1.1.64 - Hvis FordringsStartDato er valgt: Fristlængden indsættes i Regel R0055 - fristlængden beregnes ved at fratrække værdien fra spm. 10.a.2 med værdien fra 10.a.2.1</v>
      </c>
    </row>
    <row r="469" spans="1:6" hidden="1" x14ac:dyDescent="0.3">
      <c r="A469" s="57" t="s">
        <v>770</v>
      </c>
      <c r="B469" s="7" t="s">
        <v>1097</v>
      </c>
      <c r="C469" s="7" t="s">
        <v>1176</v>
      </c>
      <c r="D469" s="28" t="e">
        <f>COUNTIF('[1]FF - Test Design'!D:D,C469)</f>
        <v>#VALUE!</v>
      </c>
      <c r="E469" s="8" t="s">
        <v>1177</v>
      </c>
      <c r="F469" s="57" t="str">
        <f>[1]!Table1[[#This Row],[Krav '#]]&amp;" - "&amp;[1]!Table1[[#This Row],[Beskrivelse]]</f>
        <v>10.a.2.1.1.65 - Hvis FordringsStartDato er valgt: Fristlængden indsættes i Regel R0056 - fristlængden beregnes ved at fratrække værdien fra spm. 10.a.2 med værdien fra 10.a.2.1</v>
      </c>
    </row>
    <row r="470" spans="1:6" hidden="1" x14ac:dyDescent="0.3">
      <c r="A470" s="57" t="s">
        <v>770</v>
      </c>
      <c r="B470" s="7" t="s">
        <v>1097</v>
      </c>
      <c r="C470" s="7" t="s">
        <v>1178</v>
      </c>
      <c r="D470" s="28" t="e">
        <f>COUNTIF('[1]FF - Test Design'!D:D,C470)</f>
        <v>#VALUE!</v>
      </c>
      <c r="E470" s="8" t="s">
        <v>1179</v>
      </c>
      <c r="F470" s="57" t="str">
        <f>[1]!Table1[[#This Row],[Krav '#]]&amp;" - "&amp;[1]!Table1[[#This Row],[Beskrivelse]]</f>
        <v>10.a.2.1.1.66 - Hvis FordringsStartDato er valgt: Fristlængden indsættes i Regel R0057 - fristlængden beregnes ved at fratrække værdien fra spm. 10.a.2 med værdien fra 10.a.2.1</v>
      </c>
    </row>
    <row r="471" spans="1:6" hidden="1" x14ac:dyDescent="0.3">
      <c r="A471" s="57" t="s">
        <v>770</v>
      </c>
      <c r="B471" s="7" t="s">
        <v>1097</v>
      </c>
      <c r="C471" s="7" t="s">
        <v>1180</v>
      </c>
      <c r="D471" s="28" t="e">
        <f>COUNTIF('[1]FF - Test Design'!D:D,C471)</f>
        <v>#VALUE!</v>
      </c>
      <c r="E471" s="8" t="s">
        <v>1181</v>
      </c>
      <c r="F471" s="57" t="str">
        <f>[1]!Table1[[#This Row],[Krav '#]]&amp;" - "&amp;[1]!Table1[[#This Row],[Beskrivelse]]</f>
        <v>10.a.2.1.1.67 - Hvis FordringsStartDato er valgt: Fristlængden indsættes i Regel R0058 - fristlængden beregnes ved at fratrække værdien fra spm. 10.a.2 med værdien fra 10.a.2.1</v>
      </c>
    </row>
    <row r="472" spans="1:6" hidden="1" x14ac:dyDescent="0.3">
      <c r="A472" s="57" t="s">
        <v>775</v>
      </c>
      <c r="B472" s="7" t="s">
        <v>1097</v>
      </c>
      <c r="C472" s="7" t="s">
        <v>1182</v>
      </c>
      <c r="D472" s="28" t="e">
        <f>COUNTIF('[1]FF - Test Design'!D:D,C472)</f>
        <v>#VALUE!</v>
      </c>
      <c r="E472" s="8" t="s">
        <v>1183</v>
      </c>
      <c r="F472" s="57" t="str">
        <f>[1]!Table1[[#This Row],[Krav '#]]&amp;" - "&amp;[1]!Table1[[#This Row],[Beskrivelse]]</f>
        <v>10.a.2.1.1.68 - Hvis FordringsSlutDato er valgt: Fristlængden indsættes i Regel R0059 - fristlængden beregnes ved at fratrække værdien fra spm. 10.a.2 med værdien fra 10.a.2.1</v>
      </c>
    </row>
    <row r="473" spans="1:6" hidden="1" x14ac:dyDescent="0.3">
      <c r="A473" s="57" t="s">
        <v>775</v>
      </c>
      <c r="B473" s="7" t="s">
        <v>1097</v>
      </c>
      <c r="C473" s="7" t="s">
        <v>1184</v>
      </c>
      <c r="D473" s="28" t="e">
        <f>COUNTIF('[1]FF - Test Design'!D:D,C473)</f>
        <v>#VALUE!</v>
      </c>
      <c r="E473" s="8" t="s">
        <v>1185</v>
      </c>
      <c r="F473" s="57" t="str">
        <f>[1]!Table1[[#This Row],[Krav '#]]&amp;" - "&amp;[1]!Table1[[#This Row],[Beskrivelse]]</f>
        <v>10.a.2.1.1.69 - Hvis FordringsSlutDato er valgt: Fristlængden indsættes i Regel R0060 - fristlængden beregnes ved at fratrække værdien fra spm. 10.a.2 med værdien fra 10.a.2.1</v>
      </c>
    </row>
    <row r="474" spans="1:6" hidden="1" x14ac:dyDescent="0.3">
      <c r="A474" s="57" t="s">
        <v>775</v>
      </c>
      <c r="B474" s="7" t="s">
        <v>1097</v>
      </c>
      <c r="C474" s="7" t="s">
        <v>1186</v>
      </c>
      <c r="D474" s="28" t="e">
        <f>COUNTIF('[1]FF - Test Design'!D:D,C474)</f>
        <v>#VALUE!</v>
      </c>
      <c r="E474" s="8" t="s">
        <v>1187</v>
      </c>
      <c r="F474" s="57" t="str">
        <f>[1]!Table1[[#This Row],[Krav '#]]&amp;" - "&amp;[1]!Table1[[#This Row],[Beskrivelse]]</f>
        <v>10.a.2.1.1.70 - Hvis FordringsSlutDato er valgt: Fristlængden indsættes i Regel R0061 - fristlængden beregnes ved at fratrække værdien fra spm. 10.a.2 med værdien fra 10.a.2.1</v>
      </c>
    </row>
    <row r="475" spans="1:6" hidden="1" x14ac:dyDescent="0.3">
      <c r="A475" s="57" t="s">
        <v>775</v>
      </c>
      <c r="B475" s="7" t="s">
        <v>1097</v>
      </c>
      <c r="C475" s="7" t="s">
        <v>1188</v>
      </c>
      <c r="D475" s="28" t="e">
        <f>COUNTIF('[1]FF - Test Design'!D:D,C475)</f>
        <v>#VALUE!</v>
      </c>
      <c r="E475" s="8" t="s">
        <v>1189</v>
      </c>
      <c r="F475" s="57" t="str">
        <f>[1]!Table1[[#This Row],[Krav '#]]&amp;" - "&amp;[1]!Table1[[#This Row],[Beskrivelse]]</f>
        <v>10.a.2.1.1.71 - Hvis FordringsSlutDato er valgt: Fristlængden indsættes i Regel R0062 - fristlængden beregnes ved at fratrække værdien fra spm. 10.a.2 med værdien fra 10.a.2.1</v>
      </c>
    </row>
    <row r="476" spans="1:6" hidden="1" x14ac:dyDescent="0.3">
      <c r="A476" s="57" t="s">
        <v>780</v>
      </c>
      <c r="B476" s="7" t="s">
        <v>1097</v>
      </c>
      <c r="C476" s="7" t="s">
        <v>1190</v>
      </c>
      <c r="D476" s="28" t="e">
        <f>COUNTIF('[1]FF - Test Design'!D:D,C476)</f>
        <v>#VALUE!</v>
      </c>
      <c r="E476" s="8" t="s">
        <v>1191</v>
      </c>
      <c r="F476" s="57" t="str">
        <f>[1]!Table1[[#This Row],[Krav '#]]&amp;" - "&amp;[1]!Table1[[#This Row],[Beskrivelse]]</f>
        <v>10.a.2.1.1.72 - Hvis SRBDato er valgt: Fristlængden indsættes i Regel R0063 - fristlængden beregnes ved at fratrække værdien fra spm. 10.a.2 med værdien fra 10.a.2.1</v>
      </c>
    </row>
    <row r="477" spans="1:6" hidden="1" x14ac:dyDescent="0.3">
      <c r="A477" s="57" t="s">
        <v>780</v>
      </c>
      <c r="B477" s="7" t="s">
        <v>1097</v>
      </c>
      <c r="C477" s="7" t="s">
        <v>1192</v>
      </c>
      <c r="D477" s="28" t="e">
        <f>COUNTIF('[1]FF - Test Design'!D:D,C477)</f>
        <v>#VALUE!</v>
      </c>
      <c r="E477" s="8" t="s">
        <v>1193</v>
      </c>
      <c r="F477" s="57" t="str">
        <f>[1]!Table1[[#This Row],[Krav '#]]&amp;" - "&amp;[1]!Table1[[#This Row],[Beskrivelse]]</f>
        <v>10.a.2.1.1.73 - Hvis SRBDato er valgt: Fristlængden indsættes i Regel R0064 - fristlængden beregnes ved at fratrække værdien fra spm. 10.a.2 med værdien fra 10.a.2.1</v>
      </c>
    </row>
    <row r="478" spans="1:6" hidden="1" x14ac:dyDescent="0.3">
      <c r="A478" s="57" t="s">
        <v>780</v>
      </c>
      <c r="B478" s="7" t="s">
        <v>1097</v>
      </c>
      <c r="C478" s="7" t="s">
        <v>1194</v>
      </c>
      <c r="D478" s="28" t="e">
        <f>COUNTIF('[1]FF - Test Design'!D:D,C478)</f>
        <v>#VALUE!</v>
      </c>
      <c r="E478" s="8" t="s">
        <v>1195</v>
      </c>
      <c r="F478" s="57" t="str">
        <f>[1]!Table1[[#This Row],[Krav '#]]&amp;" - "&amp;[1]!Table1[[#This Row],[Beskrivelse]]</f>
        <v>10.a.2.1.1.74 - Hvis SRBDato er valgt: Fristlængden indsættes i Regel R0065 - fristlængden beregnes ved at fratrække værdien fra spm. 10.a.2 med værdien fra 10.a.2.1</v>
      </c>
    </row>
    <row r="479" spans="1:6" hidden="1" x14ac:dyDescent="0.3">
      <c r="A479" s="57" t="s">
        <v>780</v>
      </c>
      <c r="B479" s="7" t="s">
        <v>1097</v>
      </c>
      <c r="C479" s="7" t="s">
        <v>1196</v>
      </c>
      <c r="D479" s="28" t="e">
        <f>COUNTIF('[1]FF - Test Design'!D:D,C479)</f>
        <v>#VALUE!</v>
      </c>
      <c r="E479" s="8" t="s">
        <v>1197</v>
      </c>
      <c r="F479" s="57" t="str">
        <f>[1]!Table1[[#This Row],[Krav '#]]&amp;" - "&amp;[1]!Table1[[#This Row],[Beskrivelse]]</f>
        <v>10.a.2.1.1.75 - Hvis SRBDato er valgt: Fristlængden indsættes i Regel R0066 - fristlængden beregnes ved at fratrække værdien fra spm. 10.a.2 med værdien fra 10.a.2.1</v>
      </c>
    </row>
    <row r="480" spans="1:6" hidden="1" x14ac:dyDescent="0.3">
      <c r="A480" s="57" t="s">
        <v>749</v>
      </c>
      <c r="B480" s="7" t="s">
        <v>1097</v>
      </c>
      <c r="C480" s="7" t="s">
        <v>1198</v>
      </c>
      <c r="D480" s="28" t="e">
        <f>COUNTIF('[1]FF - Test Design'!D:D,C480)</f>
        <v>#VALUE!</v>
      </c>
      <c r="E480" s="8" t="s">
        <v>1199</v>
      </c>
      <c r="F480" s="57" t="str">
        <f>[1]!Table1[[#This Row],[Krav '#]]&amp;" - "&amp;[1]!Table1[[#This Row],[Beskrivelse]]</f>
        <v>10.a.2.1.1.76 - Hvis ForfaldsDato er valgt: Fristlængden indsættes i Regel R0067 - fristlængden beregnes ved at fratrække værdien fra spm. 10.a.2 med værdien fra 10.a.2.1</v>
      </c>
    </row>
    <row r="481" spans="1:6" hidden="1" x14ac:dyDescent="0.3">
      <c r="A481" s="57" t="s">
        <v>765</v>
      </c>
      <c r="B481" s="7" t="s">
        <v>1097</v>
      </c>
      <c r="C481" s="7" t="s">
        <v>1200</v>
      </c>
      <c r="D481" s="28" t="e">
        <f>COUNTIF('[1]FF - Test Design'!D:D,C481)</f>
        <v>#VALUE!</v>
      </c>
      <c r="E481" s="8" t="s">
        <v>1201</v>
      </c>
      <c r="F481" s="57" t="str">
        <f>[1]!Table1[[#This Row],[Krav '#]]&amp;" - "&amp;[1]!Table1[[#This Row],[Beskrivelse]]</f>
        <v>10.a.2.1.1.77 - Hvis StiftelsesDato er valgt: Fristlængden indsættes i Regel R0068 - fristlængden beregnes ved at fratrække værdien fra spm. 10.a.2 med værdien fra 10.a.2.1</v>
      </c>
    </row>
    <row r="482" spans="1:6" hidden="1" x14ac:dyDescent="0.3">
      <c r="A482" s="57" t="s">
        <v>770</v>
      </c>
      <c r="B482" s="7" t="s">
        <v>1097</v>
      </c>
      <c r="C482" s="7" t="s">
        <v>1202</v>
      </c>
      <c r="D482" s="28" t="e">
        <f>COUNTIF('[1]FF - Test Design'!D:D,C482)</f>
        <v>#VALUE!</v>
      </c>
      <c r="E482" s="8" t="s">
        <v>1203</v>
      </c>
      <c r="F482" s="57" t="str">
        <f>[1]!Table1[[#This Row],[Krav '#]]&amp;" - "&amp;[1]!Table1[[#This Row],[Beskrivelse]]</f>
        <v>10.a.2.1.1.78 - Hvis FordringsStartDato er valgt: Fristlængden indsættes i Regel R0069 - fristlængden beregnes ved at fratrække værdien fra spm. 10.a.2 med værdien fra 10.a.2.1</v>
      </c>
    </row>
    <row r="483" spans="1:6" hidden="1" x14ac:dyDescent="0.3">
      <c r="A483" s="57" t="s">
        <v>775</v>
      </c>
      <c r="B483" s="7" t="s">
        <v>1097</v>
      </c>
      <c r="C483" s="7" t="s">
        <v>1204</v>
      </c>
      <c r="D483" s="28" t="e">
        <f>COUNTIF('[1]FF - Test Design'!D:D,C483)</f>
        <v>#VALUE!</v>
      </c>
      <c r="E483" s="8" t="s">
        <v>1205</v>
      </c>
      <c r="F483" s="57" t="str">
        <f>[1]!Table1[[#This Row],[Krav '#]]&amp;" - "&amp;[1]!Table1[[#This Row],[Beskrivelse]]</f>
        <v>10.a.2.1.1.79 - Hvis FordringsSlutDato er valgt: Fristlængden indsættes i Regel R0070 - fristlængden beregnes ved at fratrække værdien fra spm. 10.a.2 med værdien fra 10.a.2.1</v>
      </c>
    </row>
    <row r="484" spans="1:6" hidden="1" x14ac:dyDescent="0.3">
      <c r="A484" s="57" t="s">
        <v>780</v>
      </c>
      <c r="B484" s="7" t="s">
        <v>1097</v>
      </c>
      <c r="C484" s="7" t="s">
        <v>1206</v>
      </c>
      <c r="D484" s="28" t="e">
        <f>COUNTIF('[1]FF - Test Design'!D:D,C484)</f>
        <v>#VALUE!</v>
      </c>
      <c r="E484" s="8" t="s">
        <v>1207</v>
      </c>
      <c r="F484" s="57" t="str">
        <f>[1]!Table1[[#This Row],[Krav '#]]&amp;" - "&amp;[1]!Table1[[#This Row],[Beskrivelse]]</f>
        <v>10.a.2.1.1.80 - Hvis SRBDato er valgt: Fristlængden indsættes i Regel R0071 - fristlængden beregnes ved at fratrække værdien fra spm. 10.a.2 med værdien fra 10.a.2.1</v>
      </c>
    </row>
    <row r="485" spans="1:6" hidden="1" x14ac:dyDescent="0.3">
      <c r="A485" s="57" t="s">
        <v>749</v>
      </c>
      <c r="B485" s="7" t="s">
        <v>1097</v>
      </c>
      <c r="C485" s="7" t="s">
        <v>1208</v>
      </c>
      <c r="D485" s="28" t="e">
        <f>COUNTIF('[1]FF - Test Design'!D:D,C485)</f>
        <v>#VALUE!</v>
      </c>
      <c r="E485" s="8" t="s">
        <v>978</v>
      </c>
      <c r="F485" s="57" t="str">
        <f>[1]!Table1[[#This Row],[Krav '#]]&amp;" - "&amp;[1]!Table1[[#This Row],[Beskrivelse]]</f>
        <v>10.a.2.1.1.81 - Hvis ForfaldsDato ikke er valgt: Fristlængden indsættes ikke for Regel R0047</v>
      </c>
    </row>
    <row r="486" spans="1:6" hidden="1" x14ac:dyDescent="0.3">
      <c r="A486" s="57" t="s">
        <v>749</v>
      </c>
      <c r="B486" s="7" t="s">
        <v>1097</v>
      </c>
      <c r="C486" s="7" t="s">
        <v>1209</v>
      </c>
      <c r="D486" s="28" t="e">
        <f>COUNTIF('[1]FF - Test Design'!D:D,C486)</f>
        <v>#VALUE!</v>
      </c>
      <c r="E486" s="8" t="s">
        <v>980</v>
      </c>
      <c r="F486" s="57" t="str">
        <f>[1]!Table1[[#This Row],[Krav '#]]&amp;" - "&amp;[1]!Table1[[#This Row],[Beskrivelse]]</f>
        <v>10.a.2.1.1.82 - Hvis ForfaldsDato ikke er valgt: Fristlængden indsættes ikke for Regel R0048</v>
      </c>
    </row>
    <row r="487" spans="1:6" hidden="1" x14ac:dyDescent="0.3">
      <c r="A487" s="57" t="s">
        <v>749</v>
      </c>
      <c r="B487" s="7" t="s">
        <v>1097</v>
      </c>
      <c r="C487" s="7" t="s">
        <v>1210</v>
      </c>
      <c r="D487" s="28" t="e">
        <f>COUNTIF('[1]FF - Test Design'!D:D,C487)</f>
        <v>#VALUE!</v>
      </c>
      <c r="E487" s="8" t="s">
        <v>982</v>
      </c>
      <c r="F487" s="57" t="str">
        <f>[1]!Table1[[#This Row],[Krav '#]]&amp;" - "&amp;[1]!Table1[[#This Row],[Beskrivelse]]</f>
        <v>10.a.2.1.1.83 - Hvis ForfaldsDato ikke er valgt: Fristlængden indsættes ikke for Regel R0049</v>
      </c>
    </row>
    <row r="488" spans="1:6" hidden="1" x14ac:dyDescent="0.3">
      <c r="A488" s="57" t="s">
        <v>749</v>
      </c>
      <c r="B488" s="7" t="s">
        <v>1097</v>
      </c>
      <c r="C488" s="7" t="s">
        <v>1211</v>
      </c>
      <c r="D488" s="28" t="e">
        <f>COUNTIF('[1]FF - Test Design'!D:D,C488)</f>
        <v>#VALUE!</v>
      </c>
      <c r="E488" s="8" t="s">
        <v>984</v>
      </c>
      <c r="F488" s="57" t="str">
        <f>[1]!Table1[[#This Row],[Krav '#]]&amp;" - "&amp;[1]!Table1[[#This Row],[Beskrivelse]]</f>
        <v>10.a.2.1.1.84 - Hvis ForfaldsDato ikke er valgt: Fristlængden indsættes ikke for Regel R0050</v>
      </c>
    </row>
    <row r="489" spans="1:6" hidden="1" x14ac:dyDescent="0.3">
      <c r="A489" s="57" t="s">
        <v>765</v>
      </c>
      <c r="B489" s="7" t="s">
        <v>1097</v>
      </c>
      <c r="C489" s="7" t="s">
        <v>1212</v>
      </c>
      <c r="D489" s="28" t="e">
        <f>COUNTIF('[1]FF - Test Design'!D:D,C489)</f>
        <v>#VALUE!</v>
      </c>
      <c r="E489" s="8" t="s">
        <v>986</v>
      </c>
      <c r="F489" s="57" t="str">
        <f>[1]!Table1[[#This Row],[Krav '#]]&amp;" - "&amp;[1]!Table1[[#This Row],[Beskrivelse]]</f>
        <v>10.a.2.1.1.85 - Hvis StiftelsesDato ikke er valgt: Fristlængden indsættes ikke for Regel R0051</v>
      </c>
    </row>
    <row r="490" spans="1:6" hidden="1" x14ac:dyDescent="0.3">
      <c r="A490" s="57" t="s">
        <v>765</v>
      </c>
      <c r="B490" s="7" t="s">
        <v>1097</v>
      </c>
      <c r="C490" s="7" t="s">
        <v>1213</v>
      </c>
      <c r="D490" s="28" t="e">
        <f>COUNTIF('[1]FF - Test Design'!D:D,C490)</f>
        <v>#VALUE!</v>
      </c>
      <c r="E490" s="8" t="s">
        <v>988</v>
      </c>
      <c r="F490" s="57" t="str">
        <f>[1]!Table1[[#This Row],[Krav '#]]&amp;" - "&amp;[1]!Table1[[#This Row],[Beskrivelse]]</f>
        <v>10.a.2.1.1.86 - Hvis StiftelsesDato ikke er valgt: Fristlængden indsættes ikke for Regel R0052</v>
      </c>
    </row>
    <row r="491" spans="1:6" hidden="1" x14ac:dyDescent="0.3">
      <c r="A491" s="57" t="s">
        <v>765</v>
      </c>
      <c r="B491" s="7" t="s">
        <v>1097</v>
      </c>
      <c r="C491" s="7" t="s">
        <v>1214</v>
      </c>
      <c r="D491" s="28" t="e">
        <f>COUNTIF('[1]FF - Test Design'!D:D,C491)</f>
        <v>#VALUE!</v>
      </c>
      <c r="E491" s="8" t="s">
        <v>990</v>
      </c>
      <c r="F491" s="57" t="str">
        <f>[1]!Table1[[#This Row],[Krav '#]]&amp;" - "&amp;[1]!Table1[[#This Row],[Beskrivelse]]</f>
        <v>10.a.2.1.1.87 - Hvis StiftelsesDato ikke er valgt: Fristlængden indsættes ikke for Regel R0053</v>
      </c>
    </row>
    <row r="492" spans="1:6" hidden="1" x14ac:dyDescent="0.3">
      <c r="A492" s="57" t="s">
        <v>765</v>
      </c>
      <c r="B492" s="7" t="s">
        <v>1097</v>
      </c>
      <c r="C492" s="7" t="s">
        <v>1215</v>
      </c>
      <c r="D492" s="28" t="e">
        <f>COUNTIF('[1]FF - Test Design'!D:D,C492)</f>
        <v>#VALUE!</v>
      </c>
      <c r="E492" s="8" t="s">
        <v>992</v>
      </c>
      <c r="F492" s="57" t="str">
        <f>[1]!Table1[[#This Row],[Krav '#]]&amp;" - "&amp;[1]!Table1[[#This Row],[Beskrivelse]]</f>
        <v>10.a.2.1.1.88 - Hvis StiftelsesDato ikke er valgt: Fristlængden indsættes ikke for Regel R0054</v>
      </c>
    </row>
    <row r="493" spans="1:6" hidden="1" x14ac:dyDescent="0.3">
      <c r="A493" s="57" t="s">
        <v>770</v>
      </c>
      <c r="B493" s="7" t="s">
        <v>1097</v>
      </c>
      <c r="C493" s="7" t="s">
        <v>1216</v>
      </c>
      <c r="D493" s="28" t="e">
        <f>COUNTIF('[1]FF - Test Design'!D:D,C493)</f>
        <v>#VALUE!</v>
      </c>
      <c r="E493" s="8" t="s">
        <v>994</v>
      </c>
      <c r="F493" s="57" t="str">
        <f>[1]!Table1[[#This Row],[Krav '#]]&amp;" - "&amp;[1]!Table1[[#This Row],[Beskrivelse]]</f>
        <v>10.a.2.1.1.89 - Hvis FordringsStartDato ikke er valgt: Fristlængden indsættes ikke for Regel R0055</v>
      </c>
    </row>
    <row r="494" spans="1:6" hidden="1" x14ac:dyDescent="0.3">
      <c r="A494" s="57" t="s">
        <v>770</v>
      </c>
      <c r="B494" s="7" t="s">
        <v>1097</v>
      </c>
      <c r="C494" s="7" t="s">
        <v>1217</v>
      </c>
      <c r="D494" s="28" t="e">
        <f>COUNTIF('[1]FF - Test Design'!D:D,C494)</f>
        <v>#VALUE!</v>
      </c>
      <c r="E494" s="8" t="s">
        <v>996</v>
      </c>
      <c r="F494" s="57" t="str">
        <f>[1]!Table1[[#This Row],[Krav '#]]&amp;" - "&amp;[1]!Table1[[#This Row],[Beskrivelse]]</f>
        <v>10.a.2.1.1.90 - Hvis FordringsStartDato ikke er valgt: Fristlængden indsættes ikke for Regel R0056</v>
      </c>
    </row>
    <row r="495" spans="1:6" hidden="1" x14ac:dyDescent="0.3">
      <c r="A495" s="57" t="s">
        <v>770</v>
      </c>
      <c r="B495" s="7" t="s">
        <v>1097</v>
      </c>
      <c r="C495" s="7" t="s">
        <v>1218</v>
      </c>
      <c r="D495" s="28" t="e">
        <f>COUNTIF('[1]FF - Test Design'!D:D,C495)</f>
        <v>#VALUE!</v>
      </c>
      <c r="E495" s="8" t="s">
        <v>998</v>
      </c>
      <c r="F495" s="57" t="str">
        <f>[1]!Table1[[#This Row],[Krav '#]]&amp;" - "&amp;[1]!Table1[[#This Row],[Beskrivelse]]</f>
        <v>10.a.2.1.1.91 - Hvis FordringsStartDato ikke er valgt: Fristlængden indsættes ikke for Regel R0057</v>
      </c>
    </row>
    <row r="496" spans="1:6" hidden="1" x14ac:dyDescent="0.3">
      <c r="A496" s="57" t="s">
        <v>770</v>
      </c>
      <c r="B496" s="7" t="s">
        <v>1097</v>
      </c>
      <c r="C496" s="7" t="s">
        <v>1219</v>
      </c>
      <c r="D496" s="28" t="e">
        <f>COUNTIF('[1]FF - Test Design'!D:D,C496)</f>
        <v>#VALUE!</v>
      </c>
      <c r="E496" s="8" t="s">
        <v>1000</v>
      </c>
      <c r="F496" s="57" t="str">
        <f>[1]!Table1[[#This Row],[Krav '#]]&amp;" - "&amp;[1]!Table1[[#This Row],[Beskrivelse]]</f>
        <v>10.a.2.1.1.92 - Hvis FordringsStartDato ikke er valgt: Fristlængden indsættes ikke for Regel R0058</v>
      </c>
    </row>
    <row r="497" spans="1:6" hidden="1" x14ac:dyDescent="0.3">
      <c r="A497" s="57" t="s">
        <v>775</v>
      </c>
      <c r="B497" s="7" t="s">
        <v>1097</v>
      </c>
      <c r="C497" s="7" t="s">
        <v>1220</v>
      </c>
      <c r="D497" s="28" t="e">
        <f>COUNTIF('[1]FF - Test Design'!D:D,C497)</f>
        <v>#VALUE!</v>
      </c>
      <c r="E497" s="8" t="s">
        <v>1002</v>
      </c>
      <c r="F497" s="57" t="str">
        <f>[1]!Table1[[#This Row],[Krav '#]]&amp;" - "&amp;[1]!Table1[[#This Row],[Beskrivelse]]</f>
        <v>10.a.2.1.1.93 - Hvis FordringsSlutDato ikke er valgt: Fristlængden indsættes ikke for Regel R0059</v>
      </c>
    </row>
    <row r="498" spans="1:6" hidden="1" x14ac:dyDescent="0.3">
      <c r="A498" s="57" t="s">
        <v>775</v>
      </c>
      <c r="B498" s="7" t="s">
        <v>1097</v>
      </c>
      <c r="C498" s="7" t="s">
        <v>1221</v>
      </c>
      <c r="D498" s="28" t="e">
        <f>COUNTIF('[1]FF - Test Design'!D:D,C498)</f>
        <v>#VALUE!</v>
      </c>
      <c r="E498" s="8" t="s">
        <v>1004</v>
      </c>
      <c r="F498" s="57" t="str">
        <f>[1]!Table1[[#This Row],[Krav '#]]&amp;" - "&amp;[1]!Table1[[#This Row],[Beskrivelse]]</f>
        <v>10.a.2.1.1.94 - Hvis FordringsSlutDato ikke er valgt: Fristlængden indsættes ikke for Regel R0060</v>
      </c>
    </row>
    <row r="499" spans="1:6" hidden="1" x14ac:dyDescent="0.3">
      <c r="A499" s="57" t="s">
        <v>775</v>
      </c>
      <c r="B499" s="7" t="s">
        <v>1097</v>
      </c>
      <c r="C499" s="7" t="s">
        <v>1222</v>
      </c>
      <c r="D499" s="28" t="e">
        <f>COUNTIF('[1]FF - Test Design'!D:D,C499)</f>
        <v>#VALUE!</v>
      </c>
      <c r="E499" s="8" t="s">
        <v>1006</v>
      </c>
      <c r="F499" s="57" t="str">
        <f>[1]!Table1[[#This Row],[Krav '#]]&amp;" - "&amp;[1]!Table1[[#This Row],[Beskrivelse]]</f>
        <v>10.a.2.1.1.95 - Hvis FordringsSlutDato ikke er valgt: Fristlængden indsættes ikke for Regel R0061</v>
      </c>
    </row>
    <row r="500" spans="1:6" hidden="1" x14ac:dyDescent="0.3">
      <c r="A500" s="57" t="s">
        <v>775</v>
      </c>
      <c r="B500" s="7" t="s">
        <v>1097</v>
      </c>
      <c r="C500" s="7" t="s">
        <v>1223</v>
      </c>
      <c r="D500" s="28" t="e">
        <f>COUNTIF('[1]FF - Test Design'!D:D,C500)</f>
        <v>#VALUE!</v>
      </c>
      <c r="E500" s="8" t="s">
        <v>1008</v>
      </c>
      <c r="F500" s="57" t="str">
        <f>[1]!Table1[[#This Row],[Krav '#]]&amp;" - "&amp;[1]!Table1[[#This Row],[Beskrivelse]]</f>
        <v>10.a.2.1.1.96 - Hvis FordringsSlutDato ikke er valgt: Fristlængden indsættes ikke for Regel R0062</v>
      </c>
    </row>
    <row r="501" spans="1:6" hidden="1" x14ac:dyDescent="0.3">
      <c r="A501" s="57" t="s">
        <v>780</v>
      </c>
      <c r="B501" s="7" t="s">
        <v>1097</v>
      </c>
      <c r="C501" s="7" t="s">
        <v>1224</v>
      </c>
      <c r="D501" s="28" t="e">
        <f>COUNTIF('[1]FF - Test Design'!D:D,C501)</f>
        <v>#VALUE!</v>
      </c>
      <c r="E501" s="8" t="s">
        <v>1010</v>
      </c>
      <c r="F501" s="57" t="str">
        <f>[1]!Table1[[#This Row],[Krav '#]]&amp;" - "&amp;[1]!Table1[[#This Row],[Beskrivelse]]</f>
        <v>10.a.2.1.1.97 - Hvis SRBDato ikke er valgt: Fristlængden indsættes ikke for Regel R0063</v>
      </c>
    </row>
    <row r="502" spans="1:6" hidden="1" x14ac:dyDescent="0.3">
      <c r="A502" s="57" t="s">
        <v>780</v>
      </c>
      <c r="B502" s="7" t="s">
        <v>1097</v>
      </c>
      <c r="C502" s="7" t="s">
        <v>1225</v>
      </c>
      <c r="D502" s="28" t="e">
        <f>COUNTIF('[1]FF - Test Design'!D:D,C502)</f>
        <v>#VALUE!</v>
      </c>
      <c r="E502" s="8" t="s">
        <v>1012</v>
      </c>
      <c r="F502" s="57" t="str">
        <f>[1]!Table1[[#This Row],[Krav '#]]&amp;" - "&amp;[1]!Table1[[#This Row],[Beskrivelse]]</f>
        <v>10.a.2.1.1.98 - Hvis SRBDato ikke er valgt: Fristlængden indsættes ikke for Regel R0064</v>
      </c>
    </row>
    <row r="503" spans="1:6" hidden="1" x14ac:dyDescent="0.3">
      <c r="A503" s="57" t="s">
        <v>780</v>
      </c>
      <c r="B503" s="7" t="s">
        <v>1097</v>
      </c>
      <c r="C503" s="7" t="s">
        <v>1226</v>
      </c>
      <c r="D503" s="28" t="e">
        <f>COUNTIF('[1]FF - Test Design'!D:D,C503)</f>
        <v>#VALUE!</v>
      </c>
      <c r="E503" s="8" t="s">
        <v>1014</v>
      </c>
      <c r="F503" s="57" t="str">
        <f>[1]!Table1[[#This Row],[Krav '#]]&amp;" - "&amp;[1]!Table1[[#This Row],[Beskrivelse]]</f>
        <v>10.a.2.1.1.99 - Hvis SRBDato ikke er valgt: Fristlængden indsættes ikke for Regel R0065</v>
      </c>
    </row>
    <row r="504" spans="1:6" hidden="1" x14ac:dyDescent="0.3">
      <c r="A504" s="57" t="s">
        <v>780</v>
      </c>
      <c r="B504" s="7" t="s">
        <v>1097</v>
      </c>
      <c r="C504" s="7" t="s">
        <v>1227</v>
      </c>
      <c r="D504" s="28" t="e">
        <f>COUNTIF('[1]FF - Test Design'!D:D,C504)</f>
        <v>#VALUE!</v>
      </c>
      <c r="E504" s="8" t="s">
        <v>1016</v>
      </c>
      <c r="F504" s="57" t="str">
        <f>[1]!Table1[[#This Row],[Krav '#]]&amp;" - "&amp;[1]!Table1[[#This Row],[Beskrivelse]]</f>
        <v>10.a.2.1.1.100 - Hvis SRBDato ikke er valgt: Fristlængden indsættes ikke for Regel R0066</v>
      </c>
    </row>
    <row r="505" spans="1:6" hidden="1" x14ac:dyDescent="0.3">
      <c r="A505" s="57" t="s">
        <v>749</v>
      </c>
      <c r="B505" s="7" t="s">
        <v>1097</v>
      </c>
      <c r="C505" s="7" t="s">
        <v>1228</v>
      </c>
      <c r="D505" s="28" t="e">
        <f>COUNTIF('[1]FF - Test Design'!D:D,C505)</f>
        <v>#VALUE!</v>
      </c>
      <c r="E505" s="8" t="s">
        <v>1018</v>
      </c>
      <c r="F505" s="57" t="str">
        <f>[1]!Table1[[#This Row],[Krav '#]]&amp;" - "&amp;[1]!Table1[[#This Row],[Beskrivelse]]</f>
        <v>10.a.2.1.1.101 - Hvis ForfaldsDato ikke er valgt: Fristlængden indsættes ikke for Regel R0067</v>
      </c>
    </row>
    <row r="506" spans="1:6" hidden="1" x14ac:dyDescent="0.3">
      <c r="A506" s="57" t="s">
        <v>765</v>
      </c>
      <c r="B506" s="7" t="s">
        <v>1097</v>
      </c>
      <c r="C506" s="7" t="s">
        <v>1229</v>
      </c>
      <c r="D506" s="28" t="e">
        <f>COUNTIF('[1]FF - Test Design'!D:D,C506)</f>
        <v>#VALUE!</v>
      </c>
      <c r="E506" s="8" t="s">
        <v>1020</v>
      </c>
      <c r="F506" s="57" t="str">
        <f>[1]!Table1[[#This Row],[Krav '#]]&amp;" - "&amp;[1]!Table1[[#This Row],[Beskrivelse]]</f>
        <v>10.a.2.1.1.102 - Hvis StiftelsesDato ikke er valgt: Fristlængden indsættes ikke for Regel R0068</v>
      </c>
    </row>
    <row r="507" spans="1:6" hidden="1" x14ac:dyDescent="0.3">
      <c r="A507" s="57" t="s">
        <v>770</v>
      </c>
      <c r="B507" s="7" t="s">
        <v>1097</v>
      </c>
      <c r="C507" s="7" t="s">
        <v>1230</v>
      </c>
      <c r="D507" s="28" t="e">
        <f>COUNTIF('[1]FF - Test Design'!D:D,C507)</f>
        <v>#VALUE!</v>
      </c>
      <c r="E507" s="8" t="s">
        <v>1022</v>
      </c>
      <c r="F507" s="57" t="str">
        <f>[1]!Table1[[#This Row],[Krav '#]]&amp;" - "&amp;[1]!Table1[[#This Row],[Beskrivelse]]</f>
        <v>10.a.2.1.1.103 - Hvis FordringsStartDato ikke er valgt: Fristlængden indsættes ikke for Regel R0069</v>
      </c>
    </row>
    <row r="508" spans="1:6" hidden="1" x14ac:dyDescent="0.3">
      <c r="A508" s="57" t="s">
        <v>775</v>
      </c>
      <c r="B508" s="7" t="s">
        <v>1097</v>
      </c>
      <c r="C508" s="7" t="s">
        <v>1231</v>
      </c>
      <c r="D508" s="28" t="e">
        <f>COUNTIF('[1]FF - Test Design'!D:D,C508)</f>
        <v>#VALUE!</v>
      </c>
      <c r="E508" s="8" t="s">
        <v>1024</v>
      </c>
      <c r="F508" s="57" t="str">
        <f>[1]!Table1[[#This Row],[Krav '#]]&amp;" - "&amp;[1]!Table1[[#This Row],[Beskrivelse]]</f>
        <v>10.a.2.1.1.104 - Hvis FordringsSlutDato ikke er valgt: Fristlængden indsættes ikke for Regel R0070</v>
      </c>
    </row>
    <row r="509" spans="1:6" hidden="1" x14ac:dyDescent="0.3">
      <c r="A509" s="57" t="s">
        <v>780</v>
      </c>
      <c r="B509" s="7" t="s">
        <v>1097</v>
      </c>
      <c r="C509" s="7" t="s">
        <v>1232</v>
      </c>
      <c r="D509" s="28" t="e">
        <f>COUNTIF('[1]FF - Test Design'!D:D,C509)</f>
        <v>#VALUE!</v>
      </c>
      <c r="E509" s="8" t="s">
        <v>1026</v>
      </c>
      <c r="F509" s="57" t="str">
        <f>[1]!Table1[[#This Row],[Krav '#]]&amp;" - "&amp;[1]!Table1[[#This Row],[Beskrivelse]]</f>
        <v>10.a.2.1.1.105 - Hvis SRBDato ikke er valgt: Fristlængden indsættes ikke for Regel R0071</v>
      </c>
    </row>
    <row r="510" spans="1:6" hidden="1" x14ac:dyDescent="0.3">
      <c r="A510" s="57" t="s">
        <v>749</v>
      </c>
      <c r="B510" s="7" t="s">
        <v>1097</v>
      </c>
      <c r="C510" s="7" t="s">
        <v>1233</v>
      </c>
      <c r="D510" s="28" t="e">
        <f>COUNTIF('[1]FF - Test Design'!D:D,C510)</f>
        <v>#VALUE!</v>
      </c>
      <c r="E510" s="8" t="s">
        <v>1028</v>
      </c>
      <c r="F510" s="57" t="str">
        <f>[1]!Table1[[#This Row],[Krav '#]]&amp;" - "&amp;[1]!Table1[[#This Row],[Beskrivelse]]</f>
        <v>10.a.2.1.1.106 - Der angives et ”JA” i populationen under ”Vil RIM beregne en tidligst mulig forældelsesdato?”</v>
      </c>
    </row>
    <row r="511" spans="1:6" hidden="1" x14ac:dyDescent="0.3">
      <c r="A511" s="57" t="s">
        <v>765</v>
      </c>
      <c r="B511" s="7" t="s">
        <v>1097</v>
      </c>
      <c r="C511" s="7" t="s">
        <v>1234</v>
      </c>
      <c r="D511" s="28" t="e">
        <f>COUNTIF('[1]FF - Test Design'!D:D,C511)</f>
        <v>#VALUE!</v>
      </c>
      <c r="E511" s="8" t="s">
        <v>1028</v>
      </c>
      <c r="F511" s="57" t="str">
        <f>[1]!Table1[[#This Row],[Krav '#]]&amp;" - "&amp;[1]!Table1[[#This Row],[Beskrivelse]]</f>
        <v>10.a.2.1.1.107 - Der angives et ”JA” i populationen under ”Vil RIM beregne en tidligst mulig forældelsesdato?”</v>
      </c>
    </row>
    <row r="512" spans="1:6" hidden="1" x14ac:dyDescent="0.3">
      <c r="A512" s="57" t="s">
        <v>770</v>
      </c>
      <c r="B512" s="7" t="s">
        <v>1097</v>
      </c>
      <c r="C512" s="7" t="s">
        <v>1235</v>
      </c>
      <c r="D512" s="28" t="e">
        <f>COUNTIF('[1]FF - Test Design'!D:D,C512)</f>
        <v>#VALUE!</v>
      </c>
      <c r="E512" s="8" t="s">
        <v>1028</v>
      </c>
      <c r="F512" s="57" t="str">
        <f>[1]!Table1[[#This Row],[Krav '#]]&amp;" - "&amp;[1]!Table1[[#This Row],[Beskrivelse]]</f>
        <v>10.a.2.1.1.108 - Der angives et ”JA” i populationen under ”Vil RIM beregne en tidligst mulig forældelsesdato?”</v>
      </c>
    </row>
    <row r="513" spans="1:6" hidden="1" x14ac:dyDescent="0.3">
      <c r="A513" s="57" t="s">
        <v>775</v>
      </c>
      <c r="B513" s="7" t="s">
        <v>1097</v>
      </c>
      <c r="C513" s="7" t="s">
        <v>1236</v>
      </c>
      <c r="D513" s="28" t="e">
        <f>COUNTIF('[1]FF - Test Design'!D:D,C513)</f>
        <v>#VALUE!</v>
      </c>
      <c r="E513" s="8" t="s">
        <v>1028</v>
      </c>
      <c r="F513" s="57" t="str">
        <f>[1]!Table1[[#This Row],[Krav '#]]&amp;" - "&amp;[1]!Table1[[#This Row],[Beskrivelse]]</f>
        <v>10.a.2.1.1.109 - Der angives et ”JA” i populationen under ”Vil RIM beregne en tidligst mulig forældelsesdato?”</v>
      </c>
    </row>
    <row r="514" spans="1:6" hidden="1" x14ac:dyDescent="0.3">
      <c r="A514" s="57" t="s">
        <v>780</v>
      </c>
      <c r="B514" s="7" t="s">
        <v>1097</v>
      </c>
      <c r="C514" s="7" t="s">
        <v>1237</v>
      </c>
      <c r="D514" s="28" t="e">
        <f>COUNTIF('[1]FF - Test Design'!D:D,C514)</f>
        <v>#VALUE!</v>
      </c>
      <c r="E514" s="8" t="s">
        <v>1028</v>
      </c>
      <c r="F514" s="57" t="str">
        <f>[1]!Table1[[#This Row],[Krav '#]]&amp;" - "&amp;[1]!Table1[[#This Row],[Beskrivelse]]</f>
        <v>10.a.2.1.1.110 - Der angives et ”JA” i populationen under ”Vil RIM beregne en tidligst mulig forældelsesdato?”</v>
      </c>
    </row>
    <row r="515" spans="1:6" hidden="1" x14ac:dyDescent="0.3">
      <c r="A515" s="57" t="s">
        <v>749</v>
      </c>
      <c r="B515" s="7" t="s">
        <v>1099</v>
      </c>
      <c r="C515" s="7" t="s">
        <v>1238</v>
      </c>
      <c r="D515" s="28" t="e">
        <f>COUNTIF('[1]FF - Test Design'!D:D,C515)</f>
        <v>#VALUE!</v>
      </c>
      <c r="E515" s="8" t="s">
        <v>1034</v>
      </c>
      <c r="F515" s="57" t="str">
        <f>[1]!Table1[[#This Row],[Krav '#]]&amp;" - "&amp;[1]!Table1[[#This Row],[Beskrivelse]]</f>
        <v>10.a.2.1.2.1 - Hvis der er svaret "I visse tilfælde" i spørgsmål 9 og hvis der er svaret "Ja" i enten 9.b.1, 9.b.2.1 eller 9.b.2.2.1 skal brugeren ledes til spørgsmål 11</v>
      </c>
    </row>
    <row r="516" spans="1:6" hidden="1" x14ac:dyDescent="0.3">
      <c r="A516" s="57" t="s">
        <v>749</v>
      </c>
      <c r="B516" s="7" t="s">
        <v>1099</v>
      </c>
      <c r="C516" s="7" t="s">
        <v>1239</v>
      </c>
      <c r="D516" s="28" t="e">
        <f>COUNTIF('[1]FF - Test Design'!D:D,C516)</f>
        <v>#VALUE!</v>
      </c>
      <c r="E516" s="8" t="s">
        <v>1036</v>
      </c>
      <c r="F516" s="57" t="str">
        <f>[1]!Table1[[#This Row],[Krav '#]]&amp;" - "&amp;[1]!Table1[[#This Row],[Beskrivelse]]</f>
        <v>10.a.2.1.2.2 - Der angives et "NEJ" i i populationen under ”vil RIM beregne en tidligst mulig forældelsesdato?"</v>
      </c>
    </row>
    <row r="517" spans="1:6" hidden="1" x14ac:dyDescent="0.3">
      <c r="A517" s="57" t="s">
        <v>749</v>
      </c>
      <c r="B517" s="7" t="s">
        <v>1099</v>
      </c>
      <c r="C517" s="7" t="s">
        <v>1240</v>
      </c>
      <c r="D517" s="28" t="e">
        <f>COUNTIF('[1]FF - Test Design'!D:D,C517)</f>
        <v>#VALUE!</v>
      </c>
      <c r="E517" s="8" t="s">
        <v>690</v>
      </c>
      <c r="F517" s="57" t="str">
        <f>[1]!Table1[[#This Row],[Krav '#]]&amp;" - "&amp;[1]!Table1[[#This Row],[Beskrivelse]]</f>
        <v>10.a.2.1.2.3 - Gruppe 1 deaktiveres</v>
      </c>
    </row>
    <row r="518" spans="1:6" hidden="1" x14ac:dyDescent="0.3">
      <c r="A518" s="57" t="s">
        <v>749</v>
      </c>
      <c r="B518" s="7" t="s">
        <v>1099</v>
      </c>
      <c r="C518" s="7" t="s">
        <v>1241</v>
      </c>
      <c r="D518" s="28" t="e">
        <f>COUNTIF('[1]FF - Test Design'!D:D,C518)</f>
        <v>#VALUE!</v>
      </c>
      <c r="E518" s="8" t="s">
        <v>1242</v>
      </c>
      <c r="F518" s="57" t="str">
        <f>[1]!Table1[[#This Row],[Krav '#]]&amp;" - "&amp;[1]!Table1[[#This Row],[Beskrivelse]]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19" spans="1:6" hidden="1" x14ac:dyDescent="0.3">
      <c r="A519" s="57" t="s">
        <v>749</v>
      </c>
      <c r="B519" s="7" t="s">
        <v>1099</v>
      </c>
      <c r="C519" s="7" t="s">
        <v>1243</v>
      </c>
      <c r="D519" s="28" t="e">
        <f>COUNTIF('[1]FF - Test Design'!D:D,C519)</f>
        <v>#VALUE!</v>
      </c>
      <c r="E519" s="8" t="s">
        <v>1041</v>
      </c>
      <c r="F519" s="57" t="str">
        <f>[1]!Table1[[#This Row],[Krav '#]]&amp;" - "&amp;[1]!Table1[[#This Row],[Beskrivelse]]</f>
        <v xml:space="preserve">10.a.2.1.2.5 - Hvis fordringshaver har svaret ”aldrig” i spm. 9, kan der ikke opsættes en FLEX-filter konfiguration for populationen. </v>
      </c>
    </row>
    <row r="520" spans="1:6" hidden="1" x14ac:dyDescent="0.3">
      <c r="A520" s="57" t="s">
        <v>765</v>
      </c>
      <c r="B520" s="7" t="s">
        <v>1099</v>
      </c>
      <c r="C520" s="7" t="s">
        <v>1238</v>
      </c>
      <c r="D520" s="28" t="e">
        <f>COUNTIF('[1]FF - Test Design'!D:D,C520)</f>
        <v>#VALUE!</v>
      </c>
      <c r="E520" s="8" t="s">
        <v>1034</v>
      </c>
      <c r="F520" s="57" t="str">
        <f>[1]!Table1[[#This Row],[Krav '#]]&amp;" - "&amp;[1]!Table1[[#This Row],[Beskrivelse]]</f>
        <v>10.a.2.1.2.1 - Hvis der er svaret "I visse tilfælde" i spørgsmål 9 og hvis der er svaret "Ja" i enten 9.b.1, 9.b.2.1 eller 9.b.2.2.1 skal brugeren ledes til spørgsmål 11</v>
      </c>
    </row>
    <row r="521" spans="1:6" hidden="1" x14ac:dyDescent="0.3">
      <c r="A521" s="57" t="s">
        <v>765</v>
      </c>
      <c r="B521" s="7" t="s">
        <v>1099</v>
      </c>
      <c r="C521" s="7" t="s">
        <v>1239</v>
      </c>
      <c r="D521" s="28" t="e">
        <f>COUNTIF('[1]FF - Test Design'!D:D,C521)</f>
        <v>#VALUE!</v>
      </c>
      <c r="E521" s="8" t="s">
        <v>1036</v>
      </c>
      <c r="F521" s="57" t="str">
        <f>[1]!Table1[[#This Row],[Krav '#]]&amp;" - "&amp;[1]!Table1[[#This Row],[Beskrivelse]]</f>
        <v>10.a.2.1.2.2 - Der angives et "NEJ" i i populationen under ”vil RIM beregne en tidligst mulig forældelsesdato?"</v>
      </c>
    </row>
    <row r="522" spans="1:6" hidden="1" x14ac:dyDescent="0.3">
      <c r="A522" s="57" t="s">
        <v>765</v>
      </c>
      <c r="B522" s="7" t="s">
        <v>1099</v>
      </c>
      <c r="C522" s="7" t="s">
        <v>1240</v>
      </c>
      <c r="D522" s="28" t="e">
        <f>COUNTIF('[1]FF - Test Design'!D:D,C522)</f>
        <v>#VALUE!</v>
      </c>
      <c r="E522" s="8" t="s">
        <v>690</v>
      </c>
      <c r="F522" s="57" t="str">
        <f>[1]!Table1[[#This Row],[Krav '#]]&amp;" - "&amp;[1]!Table1[[#This Row],[Beskrivelse]]</f>
        <v>10.a.2.1.2.3 - Gruppe 1 deaktiveres</v>
      </c>
    </row>
    <row r="523" spans="1:6" hidden="1" x14ac:dyDescent="0.3">
      <c r="A523" s="57" t="s">
        <v>765</v>
      </c>
      <c r="B523" s="7" t="s">
        <v>1099</v>
      </c>
      <c r="C523" s="7" t="s">
        <v>1241</v>
      </c>
      <c r="D523" s="28" t="e">
        <f>COUNTIF('[1]FF - Test Design'!D:D,C523)</f>
        <v>#VALUE!</v>
      </c>
      <c r="E523" s="8" t="s">
        <v>1242</v>
      </c>
      <c r="F523" s="57" t="str">
        <f>[1]!Table1[[#This Row],[Krav '#]]&amp;" - "&amp;[1]!Table1[[#This Row],[Beskrivelse]]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24" spans="1:6" hidden="1" x14ac:dyDescent="0.3">
      <c r="A524" s="57" t="s">
        <v>765</v>
      </c>
      <c r="B524" s="7" t="s">
        <v>1099</v>
      </c>
      <c r="C524" s="7" t="s">
        <v>1243</v>
      </c>
      <c r="D524" s="28" t="e">
        <f>COUNTIF('[1]FF - Test Design'!D:D,C524)</f>
        <v>#VALUE!</v>
      </c>
      <c r="E524" s="8" t="s">
        <v>1041</v>
      </c>
      <c r="F524" s="57" t="str">
        <f>[1]!Table1[[#This Row],[Krav '#]]&amp;" - "&amp;[1]!Table1[[#This Row],[Beskrivelse]]</f>
        <v xml:space="preserve">10.a.2.1.2.5 - Hvis fordringshaver har svaret ”aldrig” i spm. 9, kan der ikke opsættes en FLEX-filter konfiguration for populationen. </v>
      </c>
    </row>
    <row r="525" spans="1:6" hidden="1" x14ac:dyDescent="0.3">
      <c r="A525" s="57" t="s">
        <v>770</v>
      </c>
      <c r="B525" s="7" t="s">
        <v>1099</v>
      </c>
      <c r="C525" s="7" t="s">
        <v>1238</v>
      </c>
      <c r="D525" s="28" t="e">
        <f>COUNTIF('[1]FF - Test Design'!D:D,C525)</f>
        <v>#VALUE!</v>
      </c>
      <c r="E525" s="8" t="s">
        <v>1034</v>
      </c>
      <c r="F525" s="57" t="str">
        <f>[1]!Table1[[#This Row],[Krav '#]]&amp;" - "&amp;[1]!Table1[[#This Row],[Beskrivelse]]</f>
        <v>10.a.2.1.2.1 - Hvis der er svaret "I visse tilfælde" i spørgsmål 9 og hvis der er svaret "Ja" i enten 9.b.1, 9.b.2.1 eller 9.b.2.2.1 skal brugeren ledes til spørgsmål 11</v>
      </c>
    </row>
    <row r="526" spans="1:6" hidden="1" x14ac:dyDescent="0.3">
      <c r="A526" s="57" t="s">
        <v>770</v>
      </c>
      <c r="B526" s="7" t="s">
        <v>1099</v>
      </c>
      <c r="C526" s="7" t="s">
        <v>1239</v>
      </c>
      <c r="D526" s="28" t="e">
        <f>COUNTIF('[1]FF - Test Design'!D:D,C526)</f>
        <v>#VALUE!</v>
      </c>
      <c r="E526" s="8" t="s">
        <v>1036</v>
      </c>
      <c r="F526" s="57" t="str">
        <f>[1]!Table1[[#This Row],[Krav '#]]&amp;" - "&amp;[1]!Table1[[#This Row],[Beskrivelse]]</f>
        <v>10.a.2.1.2.2 - Der angives et "NEJ" i i populationen under ”vil RIM beregne en tidligst mulig forældelsesdato?"</v>
      </c>
    </row>
    <row r="527" spans="1:6" hidden="1" x14ac:dyDescent="0.3">
      <c r="A527" s="57" t="s">
        <v>770</v>
      </c>
      <c r="B527" s="7" t="s">
        <v>1099</v>
      </c>
      <c r="C527" s="7" t="s">
        <v>1240</v>
      </c>
      <c r="D527" s="28" t="e">
        <f>COUNTIF('[1]FF - Test Design'!D:D,C527)</f>
        <v>#VALUE!</v>
      </c>
      <c r="E527" s="8" t="s">
        <v>690</v>
      </c>
      <c r="F527" s="57" t="str">
        <f>[1]!Table1[[#This Row],[Krav '#]]&amp;" - "&amp;[1]!Table1[[#This Row],[Beskrivelse]]</f>
        <v>10.a.2.1.2.3 - Gruppe 1 deaktiveres</v>
      </c>
    </row>
    <row r="528" spans="1:6" hidden="1" x14ac:dyDescent="0.3">
      <c r="A528" s="57" t="s">
        <v>770</v>
      </c>
      <c r="B528" s="7" t="s">
        <v>1099</v>
      </c>
      <c r="C528" s="7" t="s">
        <v>1241</v>
      </c>
      <c r="D528" s="28" t="e">
        <f>COUNTIF('[1]FF - Test Design'!D:D,C528)</f>
        <v>#VALUE!</v>
      </c>
      <c r="E528" s="8" t="s">
        <v>1242</v>
      </c>
      <c r="F528" s="57" t="str">
        <f>[1]!Table1[[#This Row],[Krav '#]]&amp;" - "&amp;[1]!Table1[[#This Row],[Beskrivelse]]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29" spans="1:6" hidden="1" x14ac:dyDescent="0.3">
      <c r="A529" s="57" t="s">
        <v>770</v>
      </c>
      <c r="B529" s="7" t="s">
        <v>1099</v>
      </c>
      <c r="C529" s="7" t="s">
        <v>1243</v>
      </c>
      <c r="D529" s="28" t="e">
        <f>COUNTIF('[1]FF - Test Design'!D:D,C529)</f>
        <v>#VALUE!</v>
      </c>
      <c r="E529" s="8" t="s">
        <v>1041</v>
      </c>
      <c r="F529" s="57" t="str">
        <f>[1]!Table1[[#This Row],[Krav '#]]&amp;" - "&amp;[1]!Table1[[#This Row],[Beskrivelse]]</f>
        <v xml:space="preserve">10.a.2.1.2.5 - Hvis fordringshaver har svaret ”aldrig” i spm. 9, kan der ikke opsættes en FLEX-filter konfiguration for populationen. </v>
      </c>
    </row>
    <row r="530" spans="1:6" hidden="1" x14ac:dyDescent="0.3">
      <c r="A530" s="57" t="s">
        <v>775</v>
      </c>
      <c r="B530" s="7" t="s">
        <v>1099</v>
      </c>
      <c r="C530" s="7" t="s">
        <v>1238</v>
      </c>
      <c r="D530" s="28" t="e">
        <f>COUNTIF('[1]FF - Test Design'!D:D,C530)</f>
        <v>#VALUE!</v>
      </c>
      <c r="E530" s="8" t="s">
        <v>1034</v>
      </c>
      <c r="F530" s="57" t="str">
        <f>[1]!Table1[[#This Row],[Krav '#]]&amp;" - "&amp;[1]!Table1[[#This Row],[Beskrivelse]]</f>
        <v>10.a.2.1.2.1 - Hvis der er svaret "I visse tilfælde" i spørgsmål 9 og hvis der er svaret "Ja" i enten 9.b.1, 9.b.2.1 eller 9.b.2.2.1 skal brugeren ledes til spørgsmål 11</v>
      </c>
    </row>
    <row r="531" spans="1:6" hidden="1" x14ac:dyDescent="0.3">
      <c r="A531" s="57" t="s">
        <v>775</v>
      </c>
      <c r="B531" s="7" t="s">
        <v>1099</v>
      </c>
      <c r="C531" s="7" t="s">
        <v>1239</v>
      </c>
      <c r="D531" s="28" t="e">
        <f>COUNTIF('[1]FF - Test Design'!D:D,C531)</f>
        <v>#VALUE!</v>
      </c>
      <c r="E531" s="8" t="s">
        <v>1036</v>
      </c>
      <c r="F531" s="57" t="str">
        <f>[1]!Table1[[#This Row],[Krav '#]]&amp;" - "&amp;[1]!Table1[[#This Row],[Beskrivelse]]</f>
        <v>10.a.2.1.2.2 - Der angives et "NEJ" i i populationen under ”vil RIM beregne en tidligst mulig forældelsesdato?"</v>
      </c>
    </row>
    <row r="532" spans="1:6" hidden="1" x14ac:dyDescent="0.3">
      <c r="A532" s="57" t="s">
        <v>775</v>
      </c>
      <c r="B532" s="7" t="s">
        <v>1099</v>
      </c>
      <c r="C532" s="7" t="s">
        <v>1240</v>
      </c>
      <c r="D532" s="28" t="e">
        <f>COUNTIF('[1]FF - Test Design'!D:D,C532)</f>
        <v>#VALUE!</v>
      </c>
      <c r="E532" s="8" t="s">
        <v>690</v>
      </c>
      <c r="F532" s="57" t="str">
        <f>[1]!Table1[[#This Row],[Krav '#]]&amp;" - "&amp;[1]!Table1[[#This Row],[Beskrivelse]]</f>
        <v>10.a.2.1.2.3 - Gruppe 1 deaktiveres</v>
      </c>
    </row>
    <row r="533" spans="1:6" hidden="1" x14ac:dyDescent="0.3">
      <c r="A533" s="57" t="s">
        <v>775</v>
      </c>
      <c r="B533" s="7" t="s">
        <v>1099</v>
      </c>
      <c r="C533" s="7" t="s">
        <v>1241</v>
      </c>
      <c r="D533" s="28" t="e">
        <f>COUNTIF('[1]FF - Test Design'!D:D,C533)</f>
        <v>#VALUE!</v>
      </c>
      <c r="E533" s="8" t="s">
        <v>1242</v>
      </c>
      <c r="F533" s="57" t="str">
        <f>[1]!Table1[[#This Row],[Krav '#]]&amp;" - "&amp;[1]!Table1[[#This Row],[Beskrivelse]]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34" spans="1:6" hidden="1" x14ac:dyDescent="0.3">
      <c r="A534" s="57" t="s">
        <v>775</v>
      </c>
      <c r="B534" s="7" t="s">
        <v>1099</v>
      </c>
      <c r="C534" s="7" t="s">
        <v>1243</v>
      </c>
      <c r="D534" s="28" t="e">
        <f>COUNTIF('[1]FF - Test Design'!D:D,C534)</f>
        <v>#VALUE!</v>
      </c>
      <c r="E534" s="8" t="s">
        <v>1041</v>
      </c>
      <c r="F534" s="57" t="str">
        <f>[1]!Table1[[#This Row],[Krav '#]]&amp;" - "&amp;[1]!Table1[[#This Row],[Beskrivelse]]</f>
        <v xml:space="preserve">10.a.2.1.2.5 - Hvis fordringshaver har svaret ”aldrig” i spm. 9, kan der ikke opsættes en FLEX-filter konfiguration for populationen. </v>
      </c>
    </row>
    <row r="535" spans="1:6" hidden="1" x14ac:dyDescent="0.3">
      <c r="A535" s="57" t="s">
        <v>780</v>
      </c>
      <c r="B535" s="7" t="s">
        <v>1099</v>
      </c>
      <c r="C535" s="7" t="s">
        <v>1238</v>
      </c>
      <c r="D535" s="28" t="e">
        <f>COUNTIF('[1]FF - Test Design'!D:D,C535)</f>
        <v>#VALUE!</v>
      </c>
      <c r="E535" s="8" t="s">
        <v>1034</v>
      </c>
      <c r="F535" s="57" t="str">
        <f>[1]!Table1[[#This Row],[Krav '#]]&amp;" - "&amp;[1]!Table1[[#This Row],[Beskrivelse]]</f>
        <v>10.a.2.1.2.1 - Hvis der er svaret "I visse tilfælde" i spørgsmål 9 og hvis der er svaret "Ja" i enten 9.b.1, 9.b.2.1 eller 9.b.2.2.1 skal brugeren ledes til spørgsmål 11</v>
      </c>
    </row>
    <row r="536" spans="1:6" hidden="1" x14ac:dyDescent="0.3">
      <c r="A536" s="57" t="s">
        <v>780</v>
      </c>
      <c r="B536" s="7" t="s">
        <v>1099</v>
      </c>
      <c r="C536" s="7" t="s">
        <v>1239</v>
      </c>
      <c r="D536" s="28" t="e">
        <f>COUNTIF('[1]FF - Test Design'!D:D,C536)</f>
        <v>#VALUE!</v>
      </c>
      <c r="E536" s="8" t="s">
        <v>1036</v>
      </c>
      <c r="F536" s="57" t="str">
        <f>[1]!Table1[[#This Row],[Krav '#]]&amp;" - "&amp;[1]!Table1[[#This Row],[Beskrivelse]]</f>
        <v>10.a.2.1.2.2 - Der angives et "NEJ" i i populationen under ”vil RIM beregne en tidligst mulig forældelsesdato?"</v>
      </c>
    </row>
    <row r="537" spans="1:6" hidden="1" x14ac:dyDescent="0.3">
      <c r="A537" s="57" t="s">
        <v>780</v>
      </c>
      <c r="B537" s="7" t="s">
        <v>1099</v>
      </c>
      <c r="C537" s="7" t="s">
        <v>1240</v>
      </c>
      <c r="D537" s="28" t="e">
        <f>COUNTIF('[1]FF - Test Design'!D:D,C537)</f>
        <v>#VALUE!</v>
      </c>
      <c r="E537" s="8" t="s">
        <v>690</v>
      </c>
      <c r="F537" s="57" t="str">
        <f>[1]!Table1[[#This Row],[Krav '#]]&amp;" - "&amp;[1]!Table1[[#This Row],[Beskrivelse]]</f>
        <v>10.a.2.1.2.3 - Gruppe 1 deaktiveres</v>
      </c>
    </row>
    <row r="538" spans="1:6" hidden="1" x14ac:dyDescent="0.3">
      <c r="A538" s="57" t="s">
        <v>780</v>
      </c>
      <c r="B538" s="7" t="s">
        <v>1099</v>
      </c>
      <c r="C538" s="7" t="s">
        <v>1241</v>
      </c>
      <c r="D538" s="28" t="e">
        <f>COUNTIF('[1]FF - Test Design'!D:D,C538)</f>
        <v>#VALUE!</v>
      </c>
      <c r="E538" s="8" t="s">
        <v>1242</v>
      </c>
      <c r="F538" s="57" t="str">
        <f>[1]!Table1[[#This Row],[Krav '#]]&amp;" - "&amp;[1]!Table1[[#This Row],[Beskrivelse]]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39" spans="1:6" hidden="1" x14ac:dyDescent="0.3">
      <c r="A539" s="57" t="s">
        <v>780</v>
      </c>
      <c r="B539" s="7" t="s">
        <v>1099</v>
      </c>
      <c r="C539" s="7" t="s">
        <v>1243</v>
      </c>
      <c r="D539" s="28" t="e">
        <f>COUNTIF('[1]FF - Test Design'!D:D,C539)</f>
        <v>#VALUE!</v>
      </c>
      <c r="E539" s="8" t="s">
        <v>1041</v>
      </c>
      <c r="F539" s="57" t="str">
        <f>[1]!Table1[[#This Row],[Krav '#]]&amp;" - "&amp;[1]!Table1[[#This Row],[Beskrivelse]]</f>
        <v xml:space="preserve">10.a.2.1.2.5 - Hvis fordringshaver har svaret ”aldrig” i spm. 9, kan der ikke opsættes en FLEX-filter konfiguration for populationen. </v>
      </c>
    </row>
    <row r="540" spans="1:6" hidden="1" x14ac:dyDescent="0.3">
      <c r="A540" s="57" t="s">
        <v>749</v>
      </c>
      <c r="B540" s="7" t="s">
        <v>1069</v>
      </c>
      <c r="C540" s="7" t="s">
        <v>1244</v>
      </c>
      <c r="D540" s="28" t="e">
        <f>COUNTIF('[1]FF - Test Design'!D:D,C540)</f>
        <v>#VALUE!</v>
      </c>
      <c r="E540" s="8" t="s">
        <v>1034</v>
      </c>
      <c r="F540" s="57" t="str">
        <f>[1]!Table1[[#This Row],[Krav '#]]&amp;" - "&amp;[1]!Table1[[#This Row],[Beskrivelse]]</f>
        <v>10.a.2.2.1 - Hvis der er svaret "I visse tilfælde" i spørgsmål 9 og hvis der er svaret "Ja" i enten 9.b.1, 9.b.2.1 eller 9.b.2.2.1 skal brugeren ledes til spørgsmål 11</v>
      </c>
    </row>
    <row r="541" spans="1:6" hidden="1" x14ac:dyDescent="0.3">
      <c r="A541" s="57" t="s">
        <v>749</v>
      </c>
      <c r="B541" s="7" t="s">
        <v>1069</v>
      </c>
      <c r="C541" s="7" t="s">
        <v>1245</v>
      </c>
      <c r="D541" s="28" t="e">
        <f>COUNTIF('[1]FF - Test Design'!D:D,C541)</f>
        <v>#VALUE!</v>
      </c>
      <c r="E541" s="8" t="s">
        <v>1036</v>
      </c>
      <c r="F541" s="57" t="str">
        <f>[1]!Table1[[#This Row],[Krav '#]]&amp;" - "&amp;[1]!Table1[[#This Row],[Beskrivelse]]</f>
        <v>10.a.2.2.2 - Der angives et "NEJ" i i populationen under ”vil RIM beregne en tidligst mulig forældelsesdato?"</v>
      </c>
    </row>
    <row r="542" spans="1:6" hidden="1" x14ac:dyDescent="0.3">
      <c r="A542" s="57" t="s">
        <v>749</v>
      </c>
      <c r="B542" s="7" t="s">
        <v>1069</v>
      </c>
      <c r="C542" s="7" t="s">
        <v>1246</v>
      </c>
      <c r="D542" s="28" t="e">
        <f>COUNTIF('[1]FF - Test Design'!D:D,C542)</f>
        <v>#VALUE!</v>
      </c>
      <c r="E542" s="8" t="s">
        <v>690</v>
      </c>
      <c r="F542" s="57" t="str">
        <f>[1]!Table1[[#This Row],[Krav '#]]&amp;" - "&amp;[1]!Table1[[#This Row],[Beskrivelse]]</f>
        <v>10.a.2.2.3 - Gruppe 1 deaktiveres</v>
      </c>
    </row>
    <row r="543" spans="1:6" hidden="1" x14ac:dyDescent="0.3">
      <c r="A543" s="57" t="s">
        <v>749</v>
      </c>
      <c r="B543" s="7" t="s">
        <v>1069</v>
      </c>
      <c r="C543" s="7" t="s">
        <v>1247</v>
      </c>
      <c r="D543" s="28" t="e">
        <f>COUNTIF('[1]FF - Test Design'!D:D,C543)</f>
        <v>#VALUE!</v>
      </c>
      <c r="E543" s="8" t="s">
        <v>1242</v>
      </c>
      <c r="F543" s="57" t="str">
        <f>[1]!Table1[[#This Row],[Krav '#]]&amp;" - "&amp;[1]!Table1[[#This Row],[Beskrivelse]]</f>
        <v>10.a.2.2.4 -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44" spans="1:6" hidden="1" x14ac:dyDescent="0.3">
      <c r="A544" s="57" t="s">
        <v>749</v>
      </c>
      <c r="B544" s="7" t="s">
        <v>1069</v>
      </c>
      <c r="C544" s="7" t="s">
        <v>1248</v>
      </c>
      <c r="D544" s="28" t="e">
        <f>COUNTIF('[1]FF - Test Design'!D:D,C544)</f>
        <v>#VALUE!</v>
      </c>
      <c r="E544" s="8" t="s">
        <v>1041</v>
      </c>
      <c r="F544" s="57" t="str">
        <f>[1]!Table1[[#This Row],[Krav '#]]&amp;" - "&amp;[1]!Table1[[#This Row],[Beskrivelse]]</f>
        <v xml:space="preserve">10.a.2.2.5 - Hvis fordringshaver har svaret ”aldrig” i spm. 9, kan der ikke opsættes en FLEX-filter konfiguration for populationen. </v>
      </c>
    </row>
    <row r="545" spans="1:6" hidden="1" x14ac:dyDescent="0.3">
      <c r="A545" s="57" t="s">
        <v>765</v>
      </c>
      <c r="B545" s="7" t="s">
        <v>1069</v>
      </c>
      <c r="C545" s="7" t="s">
        <v>1249</v>
      </c>
      <c r="D545" s="28" t="e">
        <f>COUNTIF('[1]FF - Test Design'!D:D,C545)</f>
        <v>#VALUE!</v>
      </c>
      <c r="E545" s="8" t="s">
        <v>1034</v>
      </c>
      <c r="F545" s="57" t="str">
        <f>[1]!Table1[[#This Row],[Krav '#]]&amp;" - "&amp;[1]!Table1[[#This Row],[Beskrivelse]]</f>
        <v>10.a.2.2.6 - Hvis der er svaret "I visse tilfælde" i spørgsmål 9 og hvis der er svaret "Ja" i enten 9.b.1, 9.b.2.1 eller 9.b.2.2.1 skal brugeren ledes til spørgsmål 11</v>
      </c>
    </row>
    <row r="546" spans="1:6" hidden="1" x14ac:dyDescent="0.3">
      <c r="A546" s="57" t="s">
        <v>765</v>
      </c>
      <c r="B546" s="7" t="s">
        <v>1069</v>
      </c>
      <c r="C546" s="7" t="s">
        <v>1250</v>
      </c>
      <c r="D546" s="28" t="e">
        <f>COUNTIF('[1]FF - Test Design'!D:D,C546)</f>
        <v>#VALUE!</v>
      </c>
      <c r="E546" s="8" t="s">
        <v>1036</v>
      </c>
      <c r="F546" s="57" t="str">
        <f>[1]!Table1[[#This Row],[Krav '#]]&amp;" - "&amp;[1]!Table1[[#This Row],[Beskrivelse]]</f>
        <v>10.a.2.2.7 - Der angives et "NEJ" i i populationen under ”vil RIM beregne en tidligst mulig forældelsesdato?"</v>
      </c>
    </row>
    <row r="547" spans="1:6" hidden="1" x14ac:dyDescent="0.3">
      <c r="A547" s="57" t="s">
        <v>765</v>
      </c>
      <c r="B547" s="7" t="s">
        <v>1069</v>
      </c>
      <c r="C547" s="7" t="s">
        <v>1251</v>
      </c>
      <c r="D547" s="28" t="e">
        <f>COUNTIF('[1]FF - Test Design'!D:D,C547)</f>
        <v>#VALUE!</v>
      </c>
      <c r="E547" s="8" t="s">
        <v>690</v>
      </c>
      <c r="F547" s="57" t="str">
        <f>[1]!Table1[[#This Row],[Krav '#]]&amp;" - "&amp;[1]!Table1[[#This Row],[Beskrivelse]]</f>
        <v>10.a.2.2.8 - Gruppe 1 deaktiveres</v>
      </c>
    </row>
    <row r="548" spans="1:6" hidden="1" x14ac:dyDescent="0.3">
      <c r="A548" s="57" t="s">
        <v>765</v>
      </c>
      <c r="B548" s="7" t="s">
        <v>1069</v>
      </c>
      <c r="C548" s="7" t="s">
        <v>1252</v>
      </c>
      <c r="D548" s="28" t="e">
        <f>COUNTIF('[1]FF - Test Design'!D:D,C548)</f>
        <v>#VALUE!</v>
      </c>
      <c r="E548" s="8" t="s">
        <v>1242</v>
      </c>
      <c r="F548" s="57" t="str">
        <f>[1]!Table1[[#This Row],[Krav '#]]&amp;" - "&amp;[1]!Table1[[#This Row],[Beskrivelse]]</f>
        <v>10.a.2.2.9 -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49" spans="1:6" hidden="1" x14ac:dyDescent="0.3">
      <c r="A549" s="57" t="s">
        <v>765</v>
      </c>
      <c r="B549" s="7" t="s">
        <v>1069</v>
      </c>
      <c r="C549" s="7" t="s">
        <v>1253</v>
      </c>
      <c r="D549" s="28" t="e">
        <f>COUNTIF('[1]FF - Test Design'!D:D,C549)</f>
        <v>#VALUE!</v>
      </c>
      <c r="E549" s="8" t="s">
        <v>1041</v>
      </c>
      <c r="F549" s="57" t="str">
        <f>[1]!Table1[[#This Row],[Krav '#]]&amp;" - "&amp;[1]!Table1[[#This Row],[Beskrivelse]]</f>
        <v xml:space="preserve">10.a.2.2.10 - Hvis fordringshaver har svaret ”aldrig” i spm. 9, kan der ikke opsættes en FLEX-filter konfiguration for populationen. </v>
      </c>
    </row>
    <row r="550" spans="1:6" hidden="1" x14ac:dyDescent="0.3">
      <c r="A550" s="57" t="s">
        <v>770</v>
      </c>
      <c r="B550" s="7" t="s">
        <v>1069</v>
      </c>
      <c r="C550" s="7" t="s">
        <v>1254</v>
      </c>
      <c r="D550" s="28" t="e">
        <f>COUNTIF('[1]FF - Test Design'!D:D,C550)</f>
        <v>#VALUE!</v>
      </c>
      <c r="E550" s="8" t="s">
        <v>1034</v>
      </c>
      <c r="F550" s="57" t="str">
        <f>[1]!Table1[[#This Row],[Krav '#]]&amp;" - "&amp;[1]!Table1[[#This Row],[Beskrivelse]]</f>
        <v>10.a.2.2.11 - Hvis der er svaret "I visse tilfælde" i spørgsmål 9 og hvis der er svaret "Ja" i enten 9.b.1, 9.b.2.1 eller 9.b.2.2.1 skal brugeren ledes til spørgsmål 11</v>
      </c>
    </row>
    <row r="551" spans="1:6" hidden="1" x14ac:dyDescent="0.3">
      <c r="A551" s="57" t="s">
        <v>770</v>
      </c>
      <c r="B551" s="7" t="s">
        <v>1069</v>
      </c>
      <c r="C551" s="7" t="s">
        <v>1255</v>
      </c>
      <c r="D551" s="28" t="e">
        <f>COUNTIF('[1]FF - Test Design'!D:D,C551)</f>
        <v>#VALUE!</v>
      </c>
      <c r="E551" s="8" t="s">
        <v>1036</v>
      </c>
      <c r="F551" s="57" t="str">
        <f>[1]!Table1[[#This Row],[Krav '#]]&amp;" - "&amp;[1]!Table1[[#This Row],[Beskrivelse]]</f>
        <v>10.a.2.2.12 - Der angives et "NEJ" i i populationen under ”vil RIM beregne en tidligst mulig forældelsesdato?"</v>
      </c>
    </row>
    <row r="552" spans="1:6" hidden="1" x14ac:dyDescent="0.3">
      <c r="A552" s="57" t="s">
        <v>770</v>
      </c>
      <c r="B552" s="7" t="s">
        <v>1069</v>
      </c>
      <c r="C552" s="7" t="s">
        <v>1256</v>
      </c>
      <c r="D552" s="28" t="e">
        <f>COUNTIF('[1]FF - Test Design'!D:D,C552)</f>
        <v>#VALUE!</v>
      </c>
      <c r="E552" s="8" t="s">
        <v>690</v>
      </c>
      <c r="F552" s="57" t="str">
        <f>[1]!Table1[[#This Row],[Krav '#]]&amp;" - "&amp;[1]!Table1[[#This Row],[Beskrivelse]]</f>
        <v>10.a.2.2.13 - Gruppe 1 deaktiveres</v>
      </c>
    </row>
    <row r="553" spans="1:6" hidden="1" x14ac:dyDescent="0.3">
      <c r="A553" s="57" t="s">
        <v>770</v>
      </c>
      <c r="B553" s="7" t="s">
        <v>1069</v>
      </c>
      <c r="C553" s="7" t="s">
        <v>1257</v>
      </c>
      <c r="D553" s="28" t="e">
        <f>COUNTIF('[1]FF - Test Design'!D:D,C553)</f>
        <v>#VALUE!</v>
      </c>
      <c r="E553" s="8" t="s">
        <v>1242</v>
      </c>
      <c r="F553" s="57" t="str">
        <f>[1]!Table1[[#This Row],[Krav '#]]&amp;" - "&amp;[1]!Table1[[#This Row],[Beskrivelse]]</f>
        <v>10.a.2.2.14 -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54" spans="1:6" hidden="1" x14ac:dyDescent="0.3">
      <c r="A554" s="57" t="s">
        <v>770</v>
      </c>
      <c r="B554" s="7" t="s">
        <v>1069</v>
      </c>
      <c r="C554" s="7" t="s">
        <v>1258</v>
      </c>
      <c r="D554" s="28" t="e">
        <f>COUNTIF('[1]FF - Test Design'!D:D,C554)</f>
        <v>#VALUE!</v>
      </c>
      <c r="E554" s="8" t="s">
        <v>1041</v>
      </c>
      <c r="F554" s="57" t="str">
        <f>[1]!Table1[[#This Row],[Krav '#]]&amp;" - "&amp;[1]!Table1[[#This Row],[Beskrivelse]]</f>
        <v xml:space="preserve">10.a.2.2.15 - Hvis fordringshaver har svaret ”aldrig” i spm. 9, kan der ikke opsættes en FLEX-filter konfiguration for populationen. </v>
      </c>
    </row>
    <row r="555" spans="1:6" hidden="1" x14ac:dyDescent="0.3">
      <c r="A555" s="57" t="s">
        <v>775</v>
      </c>
      <c r="B555" s="7" t="s">
        <v>1069</v>
      </c>
      <c r="C555" s="7" t="s">
        <v>1259</v>
      </c>
      <c r="D555" s="28" t="e">
        <f>COUNTIF('[1]FF - Test Design'!D:D,C555)</f>
        <v>#VALUE!</v>
      </c>
      <c r="E555" s="8" t="s">
        <v>1034</v>
      </c>
      <c r="F555" s="57" t="str">
        <f>[1]!Table1[[#This Row],[Krav '#]]&amp;" - "&amp;[1]!Table1[[#This Row],[Beskrivelse]]</f>
        <v>10.a.2.2.16 - Hvis der er svaret "I visse tilfælde" i spørgsmål 9 og hvis der er svaret "Ja" i enten 9.b.1, 9.b.2.1 eller 9.b.2.2.1 skal brugeren ledes til spørgsmål 11</v>
      </c>
    </row>
    <row r="556" spans="1:6" hidden="1" x14ac:dyDescent="0.3">
      <c r="A556" s="57" t="s">
        <v>775</v>
      </c>
      <c r="B556" s="7" t="s">
        <v>1069</v>
      </c>
      <c r="C556" s="7" t="s">
        <v>1260</v>
      </c>
      <c r="D556" s="28" t="e">
        <f>COUNTIF('[1]FF - Test Design'!D:D,C556)</f>
        <v>#VALUE!</v>
      </c>
      <c r="E556" s="8" t="s">
        <v>1036</v>
      </c>
      <c r="F556" s="57" t="str">
        <f>[1]!Table1[[#This Row],[Krav '#]]&amp;" - "&amp;[1]!Table1[[#This Row],[Beskrivelse]]</f>
        <v>10.a.2.2.17 - Der angives et "NEJ" i i populationen under ”vil RIM beregne en tidligst mulig forældelsesdato?"</v>
      </c>
    </row>
    <row r="557" spans="1:6" hidden="1" x14ac:dyDescent="0.3">
      <c r="A557" s="57" t="s">
        <v>775</v>
      </c>
      <c r="B557" s="7" t="s">
        <v>1069</v>
      </c>
      <c r="C557" s="7" t="s">
        <v>1261</v>
      </c>
      <c r="D557" s="28" t="e">
        <f>COUNTIF('[1]FF - Test Design'!D:D,C557)</f>
        <v>#VALUE!</v>
      </c>
      <c r="E557" s="8" t="s">
        <v>690</v>
      </c>
      <c r="F557" s="57" t="str">
        <f>[1]!Table1[[#This Row],[Krav '#]]&amp;" - "&amp;[1]!Table1[[#This Row],[Beskrivelse]]</f>
        <v>10.a.2.2.18 - Gruppe 1 deaktiveres</v>
      </c>
    </row>
    <row r="558" spans="1:6" hidden="1" x14ac:dyDescent="0.3">
      <c r="A558" s="57" t="s">
        <v>775</v>
      </c>
      <c r="B558" s="7" t="s">
        <v>1069</v>
      </c>
      <c r="C558" s="7" t="s">
        <v>1262</v>
      </c>
      <c r="D558" s="28" t="e">
        <f>COUNTIF('[1]FF - Test Design'!D:D,C558)</f>
        <v>#VALUE!</v>
      </c>
      <c r="E558" s="8" t="s">
        <v>1242</v>
      </c>
      <c r="F558" s="57" t="str">
        <f>[1]!Table1[[#This Row],[Krav '#]]&amp;" - "&amp;[1]!Table1[[#This Row],[Beskrivelse]]</f>
        <v>10.a.2.2.19 -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59" spans="1:6" hidden="1" x14ac:dyDescent="0.3">
      <c r="A559" s="57" t="s">
        <v>775</v>
      </c>
      <c r="B559" s="7" t="s">
        <v>1069</v>
      </c>
      <c r="C559" s="7" t="s">
        <v>1263</v>
      </c>
      <c r="D559" s="28" t="e">
        <f>COUNTIF('[1]FF - Test Design'!D:D,C559)</f>
        <v>#VALUE!</v>
      </c>
      <c r="E559" s="8" t="s">
        <v>1041</v>
      </c>
      <c r="F559" s="57" t="str">
        <f>[1]!Table1[[#This Row],[Krav '#]]&amp;" - "&amp;[1]!Table1[[#This Row],[Beskrivelse]]</f>
        <v xml:space="preserve">10.a.2.2.20 - Hvis fordringshaver har svaret ”aldrig” i spm. 9, kan der ikke opsættes en FLEX-filter konfiguration for populationen. </v>
      </c>
    </row>
    <row r="560" spans="1:6" hidden="1" x14ac:dyDescent="0.3">
      <c r="A560" s="57" t="s">
        <v>780</v>
      </c>
      <c r="B560" s="7" t="s">
        <v>1069</v>
      </c>
      <c r="C560" s="7" t="s">
        <v>1264</v>
      </c>
      <c r="D560" s="28" t="e">
        <f>COUNTIF('[1]FF - Test Design'!D:D,C560)</f>
        <v>#VALUE!</v>
      </c>
      <c r="E560" s="8" t="s">
        <v>1034</v>
      </c>
      <c r="F560" s="57" t="str">
        <f>[1]!Table1[[#This Row],[Krav '#]]&amp;" - "&amp;[1]!Table1[[#This Row],[Beskrivelse]]</f>
        <v>10.a.2.2.21 - Hvis der er svaret "I visse tilfælde" i spørgsmål 9 og hvis der er svaret "Ja" i enten 9.b.1, 9.b.2.1 eller 9.b.2.2.1 skal brugeren ledes til spørgsmål 11</v>
      </c>
    </row>
    <row r="561" spans="1:6" hidden="1" x14ac:dyDescent="0.3">
      <c r="A561" s="57" t="s">
        <v>780</v>
      </c>
      <c r="B561" s="7" t="s">
        <v>1069</v>
      </c>
      <c r="C561" s="7" t="s">
        <v>1265</v>
      </c>
      <c r="D561" s="28" t="e">
        <f>COUNTIF('[1]FF - Test Design'!D:D,C561)</f>
        <v>#VALUE!</v>
      </c>
      <c r="E561" s="8" t="s">
        <v>1036</v>
      </c>
      <c r="F561" s="57" t="str">
        <f>[1]!Table1[[#This Row],[Krav '#]]&amp;" - "&amp;[1]!Table1[[#This Row],[Beskrivelse]]</f>
        <v>10.a.2.2.22 - Der angives et "NEJ" i i populationen under ”vil RIM beregne en tidligst mulig forældelsesdato?"</v>
      </c>
    </row>
    <row r="562" spans="1:6" hidden="1" x14ac:dyDescent="0.3">
      <c r="A562" s="57" t="s">
        <v>780</v>
      </c>
      <c r="B562" s="7" t="s">
        <v>1069</v>
      </c>
      <c r="C562" s="7" t="s">
        <v>1266</v>
      </c>
      <c r="D562" s="28" t="e">
        <f>COUNTIF('[1]FF - Test Design'!D:D,C562)</f>
        <v>#VALUE!</v>
      </c>
      <c r="E562" s="8" t="s">
        <v>690</v>
      </c>
      <c r="F562" s="57" t="str">
        <f>[1]!Table1[[#This Row],[Krav '#]]&amp;" - "&amp;[1]!Table1[[#This Row],[Beskrivelse]]</f>
        <v>10.a.2.2.23 - Gruppe 1 deaktiveres</v>
      </c>
    </row>
    <row r="563" spans="1:6" hidden="1" x14ac:dyDescent="0.3">
      <c r="A563" s="57" t="s">
        <v>780</v>
      </c>
      <c r="B563" s="7" t="s">
        <v>1069</v>
      </c>
      <c r="C563" s="7" t="s">
        <v>1267</v>
      </c>
      <c r="D563" s="28" t="e">
        <f>COUNTIF('[1]FF - Test Design'!D:D,C563)</f>
        <v>#VALUE!</v>
      </c>
      <c r="E563" s="8" t="s">
        <v>1242</v>
      </c>
      <c r="F563" s="57" t="str">
        <f>[1]!Table1[[#This Row],[Krav '#]]&amp;" - "&amp;[1]!Table1[[#This Row],[Beskrivelse]]</f>
        <v>10.a.2.2.24 -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64" spans="1:6" hidden="1" x14ac:dyDescent="0.3">
      <c r="A564" s="57" t="s">
        <v>780</v>
      </c>
      <c r="B564" s="7" t="s">
        <v>1069</v>
      </c>
      <c r="C564" s="7" t="s">
        <v>1268</v>
      </c>
      <c r="D564" s="28" t="e">
        <f>COUNTIF('[1]FF - Test Design'!D:D,C564)</f>
        <v>#VALUE!</v>
      </c>
      <c r="E564" s="8" t="s">
        <v>1041</v>
      </c>
      <c r="F564" s="57" t="str">
        <f>[1]!Table1[[#This Row],[Krav '#]]&amp;" - "&amp;[1]!Table1[[#This Row],[Beskrivelse]]</f>
        <v xml:space="preserve">10.a.2.2.25 - Hvis fordringshaver har svaret ”aldrig” i spm. 9, kan der ikke opsættes en FLEX-filter konfiguration for populationen. </v>
      </c>
    </row>
    <row r="565" spans="1:6" hidden="1" x14ac:dyDescent="0.3">
      <c r="A565" s="57" t="s">
        <v>736</v>
      </c>
      <c r="B565" s="7" t="s">
        <v>1269</v>
      </c>
      <c r="C565" s="7" t="s">
        <v>575</v>
      </c>
      <c r="D565" s="28" t="e">
        <f>COUNTIF('[1]FF - Test Design'!D:D,C565)</f>
        <v>#VALUE!</v>
      </c>
      <c r="E565" s="8" t="s">
        <v>1034</v>
      </c>
      <c r="F565" s="57" t="str">
        <f>[1]!Table1[[#This Row],[Krav '#]]&amp;" - "&amp;[1]!Table1[[#This Row],[Beskrivelse]]</f>
        <v>10.b.1 - Hvis der er svaret "I visse tilfælde" i spørgsmål 9 og hvis der er svaret "Ja" i enten 9.b.1, 9.b.2.1 eller 9.b.2.2.1 skal brugeren ledes til spørgsmål 11</v>
      </c>
    </row>
    <row r="566" spans="1:6" hidden="1" x14ac:dyDescent="0.3">
      <c r="A566" s="57" t="s">
        <v>736</v>
      </c>
      <c r="B566" s="7" t="s">
        <v>1269</v>
      </c>
      <c r="C566" s="7" t="s">
        <v>589</v>
      </c>
      <c r="D566" s="28" t="e">
        <f>COUNTIF('[1]FF - Test Design'!D:D,C566)</f>
        <v>#VALUE!</v>
      </c>
      <c r="E566" s="8" t="s">
        <v>1036</v>
      </c>
      <c r="F566" s="57" t="str">
        <f>[1]!Table1[[#This Row],[Krav '#]]&amp;" - "&amp;[1]!Table1[[#This Row],[Beskrivelse]]</f>
        <v>10.b.2 - Der angives et "NEJ" i i populationen under ”vil RIM beregne en tidligst mulig forældelsesdato?"</v>
      </c>
    </row>
    <row r="567" spans="1:6" hidden="1" x14ac:dyDescent="0.3">
      <c r="A567" s="57" t="s">
        <v>736</v>
      </c>
      <c r="B567" s="7" t="s">
        <v>1269</v>
      </c>
      <c r="C567" s="7" t="s">
        <v>590</v>
      </c>
      <c r="D567" s="28" t="e">
        <f>COUNTIF('[1]FF - Test Design'!D:D,C567)</f>
        <v>#VALUE!</v>
      </c>
      <c r="E567" s="8" t="s">
        <v>690</v>
      </c>
      <c r="F567" s="57" t="str">
        <f>[1]!Table1[[#This Row],[Krav '#]]&amp;" - "&amp;[1]!Table1[[#This Row],[Beskrivelse]]</f>
        <v>10.b.3 - Gruppe 1 deaktiveres</v>
      </c>
    </row>
    <row r="568" spans="1:6" hidden="1" x14ac:dyDescent="0.3">
      <c r="A568" s="57" t="s">
        <v>736</v>
      </c>
      <c r="B568" s="7" t="s">
        <v>1269</v>
      </c>
      <c r="C568" s="7" t="s">
        <v>572</v>
      </c>
      <c r="D568" s="28" t="e">
        <f>COUNTIF('[1]FF - Test Design'!D:D,C568)</f>
        <v>#VALUE!</v>
      </c>
      <c r="E568" s="8" t="s">
        <v>1242</v>
      </c>
      <c r="F568" s="57" t="str">
        <f>[1]!Table1[[#This Row],[Krav '#]]&amp;" - "&amp;[1]!Table1[[#This Row],[Beskrivelse]]</f>
        <v>10.b.4 -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row>
    <row r="569" spans="1:6" hidden="1" x14ac:dyDescent="0.3">
      <c r="A569" s="57" t="s">
        <v>736</v>
      </c>
      <c r="B569" s="7" t="s">
        <v>1269</v>
      </c>
      <c r="C569" s="7" t="s">
        <v>1270</v>
      </c>
      <c r="D569" s="28" t="e">
        <f>COUNTIF('[1]FF - Test Design'!D:D,C569)</f>
        <v>#VALUE!</v>
      </c>
      <c r="E569" s="8" t="s">
        <v>1041</v>
      </c>
      <c r="F569" s="57" t="str">
        <f>[1]!Table1[[#This Row],[Krav '#]]&amp;" - "&amp;[1]!Table1[[#This Row],[Beskrivelse]]</f>
        <v xml:space="preserve">10.b.5 - Hvis fordringshaver har svaret ”aldrig” i spm. 9, kan der ikke opsættes en FLEX-filter konfiguration for populationen. </v>
      </c>
    </row>
    <row r="570" spans="1:6" hidden="1" x14ac:dyDescent="0.3">
      <c r="A570" s="57" t="s">
        <v>2111</v>
      </c>
      <c r="B570" s="7" t="s">
        <v>71</v>
      </c>
      <c r="C570" s="7" t="s">
        <v>2112</v>
      </c>
      <c r="D570" s="28" t="e">
        <f>COUNTIF('[1]FF - Test Design'!D:D,C570)</f>
        <v>#VALUE!</v>
      </c>
      <c r="E570" s="8" t="s">
        <v>2113</v>
      </c>
      <c r="F570" s="57" t="str">
        <f>[1]!Table1[[#This Row],[Krav '#]]&amp;" - "&amp;[1]!Table1[[#This Row],[Beskrivelse]]</f>
        <v>4.a.2.1 - Der skal være checkbokse med de fem stamdatafelter: "stiftelsesdato”, ”forfaldsda-to”, ”sidste rettidige beta-lingsdato”, ”periode start” og ”periode slut”</v>
      </c>
    </row>
    <row r="571" spans="1:6" hidden="1" x14ac:dyDescent="0.3">
      <c r="A571" s="57" t="s">
        <v>2111</v>
      </c>
      <c r="B571" s="7" t="s">
        <v>71</v>
      </c>
      <c r="C571" s="7" t="s">
        <v>2114</v>
      </c>
      <c r="D571" s="28" t="e">
        <f>COUNTIF('[1]FF - Test Design'!D:D,C571)</f>
        <v>#VALUE!</v>
      </c>
      <c r="E571" s="8" t="s">
        <v>2115</v>
      </c>
      <c r="F571" s="57" t="str">
        <f>[1]!Table1[[#This Row],[Krav '#]]&amp;" - "&amp;[1]!Table1[[#This Row],[Beskrivelse]]</f>
        <v xml:space="preserve">4.a.2.2 - Der skal vælges minimum et stamdatafelt. Flere stamdatafelter kan vælges. </v>
      </c>
    </row>
    <row r="572" spans="1:6" hidden="1" x14ac:dyDescent="0.3">
      <c r="A572" s="57" t="s">
        <v>2111</v>
      </c>
      <c r="B572" s="7" t="s">
        <v>71</v>
      </c>
      <c r="C572" s="7" t="s">
        <v>2116</v>
      </c>
      <c r="D572" s="28" t="e">
        <f>COUNTIF('[1]FF - Test Design'!D:D,C572)</f>
        <v>#VALUE!</v>
      </c>
      <c r="E572" s="8" t="s">
        <v>2117</v>
      </c>
      <c r="F572" s="57" t="str">
        <f>[1]!Table1[[#This Row],[Krav '#]]&amp;" - "&amp;[1]!Table1[[#This Row],[Beskrivelse]]</f>
        <v>4.a.2.3 - Efter valg af stamdatafelt(er), skal brugeren ledes til spørgsmål 4.a.2.1</v>
      </c>
    </row>
    <row r="573" spans="1:6" hidden="1" x14ac:dyDescent="0.3">
      <c r="A573" s="57" t="s">
        <v>2111</v>
      </c>
      <c r="B573" s="7" t="s">
        <v>2112</v>
      </c>
      <c r="C573" s="7" t="s">
        <v>2118</v>
      </c>
      <c r="D573" s="28" t="e">
        <f>COUNTIF('[1]FF - Test Design'!D:D,C573)</f>
        <v>#VALUE!</v>
      </c>
      <c r="E573" s="8" t="s">
        <v>2119</v>
      </c>
      <c r="F573" s="57" t="str">
        <f>[1]!Table1[[#This Row],[Krav '#]]&amp;" - "&amp;[1]!Table1[[#This Row],[Beskrivelse]]</f>
        <v>4.a.2.1.1 - Der skal være to datofelter, hvor periode fra/til for hvert valgt stamdatafelt i 4.a.2 kan angives.</v>
      </c>
    </row>
    <row r="574" spans="1:6" hidden="1" x14ac:dyDescent="0.3">
      <c r="A574" s="57" t="s">
        <v>2111</v>
      </c>
      <c r="B574" s="7" t="s">
        <v>2112</v>
      </c>
      <c r="C574" s="7" t="s">
        <v>1512</v>
      </c>
      <c r="D574" s="28" t="e">
        <f>COUNTIF('[1]FF - Test Design'!D:D,C574)</f>
        <v>#VALUE!</v>
      </c>
      <c r="E574" s="57" t="s">
        <v>2120</v>
      </c>
      <c r="F574" s="57" t="str">
        <f>[1]!Table1[[#This Row],[Krav '#]]&amp;" - "&amp;[1]!Table1[[#This Row],[Beskrivelse]]</f>
        <v>4.a.2.1.2 - Når brugeren klikker på Videre skal denne ledes til spørgsmål 5</v>
      </c>
    </row>
    <row r="575" spans="1:6" hidden="1" x14ac:dyDescent="0.3">
      <c r="A575" s="57" t="s">
        <v>2111</v>
      </c>
      <c r="B575" s="7" t="s">
        <v>2112</v>
      </c>
      <c r="C575" s="7" t="s">
        <v>1487</v>
      </c>
      <c r="D575" s="28" t="e">
        <f>COUNTIF('[1]FF - Test Design'!D:D,C575)</f>
        <v>#VALUE!</v>
      </c>
      <c r="E575" s="8" t="s">
        <v>2121</v>
      </c>
      <c r="F575" s="57" t="str">
        <f>[1]!Table1[[#This Row],[Krav '#]]&amp;" - "&amp;[1]!Table1[[#This Row],[Beskrivelse]]</f>
        <v>4.a.2.1.3 - Den indtastede "fra" periode for stiftelsesdato skal gemmes i populationsarket</v>
      </c>
    </row>
    <row r="576" spans="1:6" hidden="1" x14ac:dyDescent="0.3">
      <c r="A576" s="57" t="s">
        <v>2111</v>
      </c>
      <c r="B576" s="7" t="s">
        <v>2112</v>
      </c>
      <c r="C576" s="7" t="s">
        <v>2122</v>
      </c>
      <c r="D576" s="28" t="e">
        <f>COUNTIF('[1]FF - Test Design'!D:D,C576)</f>
        <v>#VALUE!</v>
      </c>
      <c r="E576" s="8" t="s">
        <v>2121</v>
      </c>
      <c r="F576" s="57" t="str">
        <f>[1]!Table1[[#This Row],[Krav '#]]&amp;" - "&amp;[1]!Table1[[#This Row],[Beskrivelse]]</f>
        <v>4.a.2.1.4 - Den indtastede "fra" periode for stiftelsesdato skal gemmes i populationsarket</v>
      </c>
    </row>
    <row r="577" spans="1:6" hidden="1" x14ac:dyDescent="0.3">
      <c r="A577" s="57" t="s">
        <v>2111</v>
      </c>
      <c r="B577" s="7" t="s">
        <v>2112</v>
      </c>
      <c r="C577" s="7" t="s">
        <v>1489</v>
      </c>
      <c r="D577" s="28" t="e">
        <f>COUNTIF('[1]FF - Test Design'!D:D,C577)</f>
        <v>#VALUE!</v>
      </c>
      <c r="E577" s="8" t="s">
        <v>2123</v>
      </c>
      <c r="F577" s="57" t="str">
        <f>[1]!Table1[[#This Row],[Krav '#]]&amp;" - "&amp;[1]!Table1[[#This Row],[Beskrivelse]]</f>
        <v>4.a.2.1.5 - Den indtastede "til" periode for stiftelsesdato skal gemmes i populationsarket</v>
      </c>
    </row>
    <row r="578" spans="1:6" hidden="1" x14ac:dyDescent="0.3">
      <c r="A578" s="57" t="s">
        <v>2111</v>
      </c>
      <c r="B578" s="7" t="s">
        <v>2112</v>
      </c>
      <c r="C578" s="7" t="s">
        <v>1479</v>
      </c>
      <c r="D578" s="28" t="e">
        <f>COUNTIF('[1]FF - Test Design'!D:D,C578)</f>
        <v>#VALUE!</v>
      </c>
      <c r="E578" s="8" t="s">
        <v>2124</v>
      </c>
      <c r="F578" s="57" t="str">
        <f>[1]!Table1[[#This Row],[Krav '#]]&amp;" - "&amp;[1]!Table1[[#This Row],[Beskrivelse]]</f>
        <v>4.a.2.1.6 - Den indtastede "fra" periode for forfaldsdato skal gemmes i populationsarket</v>
      </c>
    </row>
    <row r="579" spans="1:6" hidden="1" x14ac:dyDescent="0.3">
      <c r="A579" s="57" t="s">
        <v>2111</v>
      </c>
      <c r="B579" s="7" t="s">
        <v>2112</v>
      </c>
      <c r="C579" s="7" t="s">
        <v>1483</v>
      </c>
      <c r="D579" s="28" t="e">
        <f>COUNTIF('[1]FF - Test Design'!D:D,C579)</f>
        <v>#VALUE!</v>
      </c>
      <c r="E579" s="8" t="s">
        <v>2125</v>
      </c>
      <c r="F579" s="57" t="str">
        <f>[1]!Table1[[#This Row],[Krav '#]]&amp;" - "&amp;[1]!Table1[[#This Row],[Beskrivelse]]</f>
        <v>4.a.2.1.7 - Den indtastede "til" periode for forfaldsdato skal gemmes i populationsarket</v>
      </c>
    </row>
    <row r="580" spans="1:6" hidden="1" x14ac:dyDescent="0.3">
      <c r="A580" s="57" t="s">
        <v>2111</v>
      </c>
      <c r="B580" s="7" t="s">
        <v>2112</v>
      </c>
      <c r="C580" s="7" t="s">
        <v>1484</v>
      </c>
      <c r="D580" s="28" t="e">
        <f>COUNTIF('[1]FF - Test Design'!D:D,C580)</f>
        <v>#VALUE!</v>
      </c>
      <c r="E580" s="8" t="s">
        <v>2126</v>
      </c>
      <c r="F580" s="57" t="str">
        <f>[1]!Table1[[#This Row],[Krav '#]]&amp;" - "&amp;[1]!Table1[[#This Row],[Beskrivelse]]</f>
        <v>4.a.2.1.8 - Den indtastede "fra" periode for sidste rettidige betalingsdato skal gemmes i populationsarket</v>
      </c>
    </row>
    <row r="581" spans="1:6" hidden="1" x14ac:dyDescent="0.3">
      <c r="A581" s="57" t="s">
        <v>2111</v>
      </c>
      <c r="B581" s="7" t="s">
        <v>2112</v>
      </c>
      <c r="C581" s="7" t="s">
        <v>1486</v>
      </c>
      <c r="D581" s="28" t="e">
        <f>COUNTIF('[1]FF - Test Design'!D:D,C581)</f>
        <v>#VALUE!</v>
      </c>
      <c r="E581" s="8" t="s">
        <v>2127</v>
      </c>
      <c r="F581" s="57" t="str">
        <f>[1]!Table1[[#This Row],[Krav '#]]&amp;" - "&amp;[1]!Table1[[#This Row],[Beskrivelse]]</f>
        <v>4.a.2.1.9 - Den indtastede "til" periode for sidste rettidige betalingsdato skal gemmes i populationsarket</v>
      </c>
    </row>
    <row r="582" spans="1:6" hidden="1" x14ac:dyDescent="0.3">
      <c r="A582" s="57" t="s">
        <v>2111</v>
      </c>
      <c r="B582" s="7" t="s">
        <v>2112</v>
      </c>
      <c r="C582" s="7" t="s">
        <v>1490</v>
      </c>
      <c r="D582" s="28" t="e">
        <f>COUNTIF('[1]FF - Test Design'!D:D,C582)</f>
        <v>#VALUE!</v>
      </c>
      <c r="E582" s="8" t="s">
        <v>2128</v>
      </c>
      <c r="F582" s="57" t="str">
        <f>[1]!Table1[[#This Row],[Krav '#]]&amp;" - "&amp;[1]!Table1[[#This Row],[Beskrivelse]]</f>
        <v>4.a.2.1.10 - Den indtastede "fra" periode for periode start skal gemmes i populationsarket</v>
      </c>
    </row>
    <row r="583" spans="1:6" hidden="1" x14ac:dyDescent="0.3">
      <c r="A583" s="57" t="s">
        <v>2111</v>
      </c>
      <c r="B583" s="7" t="s">
        <v>2112</v>
      </c>
      <c r="C583" s="7" t="s">
        <v>1492</v>
      </c>
      <c r="D583" s="28" t="e">
        <f>COUNTIF('[1]FF - Test Design'!D:D,C583)</f>
        <v>#VALUE!</v>
      </c>
      <c r="E583" s="8" t="s">
        <v>2129</v>
      </c>
      <c r="F583" s="57" t="str">
        <f>[1]!Table1[[#This Row],[Krav '#]]&amp;" - "&amp;[1]!Table1[[#This Row],[Beskrivelse]]</f>
        <v>4.a.2.1.11 - Den indtastede "til" periode for periode start skal gemmes i populationsarket</v>
      </c>
    </row>
    <row r="584" spans="1:6" hidden="1" x14ac:dyDescent="0.3">
      <c r="A584" s="57" t="s">
        <v>2111</v>
      </c>
      <c r="B584" s="7" t="s">
        <v>2112</v>
      </c>
      <c r="C584" s="7" t="s">
        <v>1493</v>
      </c>
      <c r="D584" s="28" t="e">
        <f>COUNTIF('[1]FF - Test Design'!D:D,C584)</f>
        <v>#VALUE!</v>
      </c>
      <c r="E584" s="8" t="s">
        <v>2130</v>
      </c>
      <c r="F584" s="57" t="str">
        <f>[1]!Table1[[#This Row],[Krav '#]]&amp;" - "&amp;[1]!Table1[[#This Row],[Beskrivelse]]</f>
        <v>4.a.2.1.12 - Den indtastede "fra" periode for periode slut skal gemmes i populationsarket</v>
      </c>
    </row>
    <row r="585" spans="1:6" hidden="1" x14ac:dyDescent="0.3">
      <c r="A585" s="57" t="s">
        <v>2111</v>
      </c>
      <c r="B585" s="7" t="s">
        <v>2112</v>
      </c>
      <c r="C585" s="7" t="s">
        <v>1495</v>
      </c>
      <c r="D585" s="28" t="e">
        <f>COUNTIF('[1]FF - Test Design'!D:D,C585)</f>
        <v>#VALUE!</v>
      </c>
      <c r="E585" s="8" t="s">
        <v>2131</v>
      </c>
      <c r="F585" s="57" t="str">
        <f>[1]!Table1[[#This Row],[Krav '#]]&amp;" - "&amp;[1]!Table1[[#This Row],[Beskrivelse]]</f>
        <v>4.a.2.1.13 - Den indtastede "til" periode for periode slut skal gemmes i populationsarket</v>
      </c>
    </row>
    <row r="586" spans="1:6" hidden="1" x14ac:dyDescent="0.3">
      <c r="A586" s="57" t="s">
        <v>1271</v>
      </c>
      <c r="B586" s="7" t="s">
        <v>600</v>
      </c>
      <c r="C586" s="7" t="s">
        <v>1272</v>
      </c>
      <c r="D586" s="28" t="e">
        <f>COUNTIF('[1]FF - Test Design'!D:D,C586)</f>
        <v>#VALUE!</v>
      </c>
      <c r="E586" s="8" t="s">
        <v>2132</v>
      </c>
      <c r="F586" s="57" t="str">
        <f>[1]!Table1[[#This Row],[Krav '#]]&amp;" - "&amp;[1]!Table1[[#This Row],[Beskrivelse]]</f>
        <v>11.1 - I formen skal der være en checkboks med: "relationen mellem "Stiftelsesdato", og "Periode start" og "relationen mellem "Stiftelsesdato" og "Periode slut"</v>
      </c>
    </row>
    <row r="587" spans="1:6" hidden="1" x14ac:dyDescent="0.3">
      <c r="A587" s="57" t="s">
        <v>1271</v>
      </c>
      <c r="B587" s="7" t="s">
        <v>600</v>
      </c>
      <c r="C587" s="7" t="s">
        <v>2133</v>
      </c>
      <c r="D587" s="28" t="e">
        <f>COUNTIF('[1]FF - Test Design'!D:D,C587)</f>
        <v>#VALUE!</v>
      </c>
      <c r="E587" s="8" t="s">
        <v>2134</v>
      </c>
      <c r="F587" s="57" t="str">
        <f>[1]!Table1[[#This Row],[Krav '#]]&amp;" - "&amp;[1]!Table1[[#This Row],[Beskrivelse]]</f>
        <v>11.2 - Brugeren skal altid opsætte regler for relationen mellem: 
• ”forfaldsdato” og ”sidste rettidige betalingsdato”,
• ”forfaldsdato” og ”stiftelsesdato”, 
• ”periode start” og ”periode slut” 
samt en af relationerne:
• ”stiftelsesdato” og ”periode start”, eller 
• ”stiftelsesdato” og ”periode slut”</v>
      </c>
    </row>
    <row r="588" spans="1:6" hidden="1" x14ac:dyDescent="0.3">
      <c r="A588" s="57" t="s">
        <v>1271</v>
      </c>
      <c r="B588" s="7" t="s">
        <v>600</v>
      </c>
      <c r="C588" s="7" t="s">
        <v>2135</v>
      </c>
      <c r="D588" s="28" t="e">
        <f>COUNTIF('[1]FF - Test Design'!D:D,C588)</f>
        <v>#VALUE!</v>
      </c>
      <c r="E588" s="8" t="s">
        <v>2136</v>
      </c>
      <c r="F588" s="57" t="str">
        <f>[1]!Table1[[#This Row],[Krav '#]]&amp;" - "&amp;[1]!Table1[[#This Row],[Beskrivelse]]</f>
        <v>11.3 - Relationen mellem forfaldsdato og sidste rettidige betalingsdato skal altid angives</v>
      </c>
    </row>
    <row r="589" spans="1:6" hidden="1" x14ac:dyDescent="0.3">
      <c r="A589" s="57" t="s">
        <v>1271</v>
      </c>
      <c r="B589" s="7" t="s">
        <v>600</v>
      </c>
      <c r="C589" s="7" t="s">
        <v>2137</v>
      </c>
      <c r="D589" s="28" t="e">
        <f>COUNTIF('[1]FF - Test Design'!D:D,C589)</f>
        <v>#VALUE!</v>
      </c>
      <c r="E589" s="8" t="s">
        <v>2138</v>
      </c>
      <c r="F589" s="57" t="str">
        <f>[1]!Table1[[#This Row],[Krav '#]]&amp;" - "&amp;[1]!Table1[[#This Row],[Beskrivelse]]</f>
        <v>11.4 - Relationen mellem forfaldsdato og stiftelsesdato skal altid angives</v>
      </c>
    </row>
    <row r="590" spans="1:6" hidden="1" x14ac:dyDescent="0.3">
      <c r="A590" s="57" t="s">
        <v>1271</v>
      </c>
      <c r="B590" s="7" t="s">
        <v>600</v>
      </c>
      <c r="C590" s="7" t="s">
        <v>2139</v>
      </c>
      <c r="D590" s="28" t="e">
        <f>COUNTIF('[1]FF - Test Design'!D:D,C590)</f>
        <v>#VALUE!</v>
      </c>
      <c r="E590" s="8" t="s">
        <v>2140</v>
      </c>
      <c r="F590" s="57" t="str">
        <f>[1]!Table1[[#This Row],[Krav '#]]&amp;" - "&amp;[1]!Table1[[#This Row],[Beskrivelse]]</f>
        <v>11.5 - Relationen mellem periode start og periode slut skal altid angives</v>
      </c>
    </row>
    <row r="591" spans="1:6" hidden="1" x14ac:dyDescent="0.3">
      <c r="A591" s="57" t="s">
        <v>1271</v>
      </c>
      <c r="B591" s="7" t="s">
        <v>600</v>
      </c>
      <c r="C591" s="7" t="s">
        <v>1580</v>
      </c>
      <c r="D591" s="28" t="e">
        <f>COUNTIF('[1]FF - Test Design'!D:D,C591)</f>
        <v>#VALUE!</v>
      </c>
      <c r="E591" s="8" t="s">
        <v>2141</v>
      </c>
      <c r="F591" s="57" t="str">
        <f>[1]!Table1[[#This Row],[Krav '#]]&amp;" - "&amp;[1]!Table1[[#This Row],[Beskrivelse]]</f>
        <v xml:space="preserve">11.6 - Såfremt relationen imellem "stiftelsesdato" og "periode slut" angives skal brugeren ledes til spørgsmål 11.b </v>
      </c>
    </row>
    <row r="592" spans="1:6" hidden="1" x14ac:dyDescent="0.3">
      <c r="A592" s="57" t="s">
        <v>1271</v>
      </c>
      <c r="B592" s="7" t="s">
        <v>600</v>
      </c>
      <c r="C592" s="7" t="s">
        <v>1577</v>
      </c>
      <c r="D592" s="28" t="e">
        <f>COUNTIF('[1]FF - Test Design'!D:D,C592)</f>
        <v>#VALUE!</v>
      </c>
      <c r="E592" s="8" t="s">
        <v>2142</v>
      </c>
      <c r="F592" s="57" t="str">
        <f>[1]!Table1[[#This Row],[Krav '#]]&amp;" - "&amp;[1]!Table1[[#This Row],[Beskrivelse]]</f>
        <v>11.7 - Såfremt relationen imellem "stiftelsesdato" og "periode start" angives skal brugeren ledes til spørgsmål 11.a</v>
      </c>
    </row>
    <row r="593" spans="1:6" hidden="1" x14ac:dyDescent="0.3">
      <c r="A593" s="57" t="s">
        <v>2143</v>
      </c>
      <c r="B593" s="7" t="s">
        <v>2144</v>
      </c>
      <c r="C593" s="7" t="s">
        <v>2145</v>
      </c>
      <c r="D593" s="28" t="e">
        <f>COUNTIF('[1]FF - Test Design'!D:D,C593)</f>
        <v>#VALUE!</v>
      </c>
      <c r="E593" s="8" t="s">
        <v>2146</v>
      </c>
      <c r="F593" s="57" t="str">
        <f>[1]!Table1[[#This Row],[Krav '#]]&amp;" - "&amp;[1]!Table1[[#This Row],[Beskrivelse]]</f>
        <v>11.a.1 - Der skal komme en advarsel om det ikke er "normalt" hvis fordringshaver svarer at stiftelsesdatoen kan ligge før periode start</v>
      </c>
    </row>
    <row r="594" spans="1:6" x14ac:dyDescent="0.3">
      <c r="A594" s="57" t="s">
        <v>2147</v>
      </c>
      <c r="B594" s="7" t="s">
        <v>2144</v>
      </c>
      <c r="C594" s="7" t="s">
        <v>2148</v>
      </c>
      <c r="D594" s="28" t="e">
        <f>COUNTIF('[1]FF - Test Design'!D:D,C594)</f>
        <v>#VALUE!</v>
      </c>
      <c r="E594" s="8" t="s">
        <v>2149</v>
      </c>
      <c r="F594" s="57" t="str">
        <f>[1]!Table1[[#This Row],[Krav '#]]&amp;" - "&amp;[1]!Table1[[#This Row],[Beskrivelse]]</f>
        <v>11.a.2 - Der skal komme en advarsel om det ikke er "normalt" hvis fordringshaver svarer at sidste rettidige betalingsdato kan ligge før forfaldsdatoen</v>
      </c>
    </row>
    <row r="595" spans="1:6" hidden="1" x14ac:dyDescent="0.3">
      <c r="A595" s="57" t="s">
        <v>2150</v>
      </c>
      <c r="B595" s="7" t="s">
        <v>2144</v>
      </c>
      <c r="C595" s="7" t="s">
        <v>2151</v>
      </c>
      <c r="D595" s="28" t="e">
        <f>COUNTIF('[1]FF - Test Design'!D:D,C595)</f>
        <v>#VALUE!</v>
      </c>
      <c r="E595" s="8" t="s">
        <v>2152</v>
      </c>
      <c r="F595" s="57" t="str">
        <f>[1]!Table1[[#This Row],[Krav '#]]&amp;" - "&amp;[1]!Table1[[#This Row],[Beskrivelse]]</f>
        <v>11.a.3 - Der skal komme en advarsel om det ikke er "normalt" hvis fordringshaver svarer at stiftelsesdatoen kan ligge efter forfaldsdatoen</v>
      </c>
    </row>
    <row r="596" spans="1:6" hidden="1" x14ac:dyDescent="0.3">
      <c r="A596" s="57" t="s">
        <v>2153</v>
      </c>
      <c r="B596" s="7" t="s">
        <v>2144</v>
      </c>
      <c r="C596" s="7" t="s">
        <v>2154</v>
      </c>
      <c r="D596" s="28" t="e">
        <f>COUNTIF('[1]FF - Test Design'!D:D,C596)</f>
        <v>#VALUE!</v>
      </c>
      <c r="E596" s="8" t="s">
        <v>2155</v>
      </c>
      <c r="F596" s="57" t="str">
        <f>[1]!Table1[[#This Row],[Krav '#]]&amp;" - "&amp;[1]!Table1[[#This Row],[Beskrivelse]]</f>
        <v>11.a.4 - Der skal komme en advarsel om det ikke er "normalt" hvis fordringshaver svarer at periode slut kan ligge før periode start</v>
      </c>
    </row>
    <row r="597" spans="1:6" hidden="1" x14ac:dyDescent="0.3">
      <c r="A597" s="57" t="s">
        <v>2143</v>
      </c>
      <c r="B597" s="7" t="s">
        <v>2144</v>
      </c>
      <c r="C597" s="7" t="s">
        <v>2156</v>
      </c>
      <c r="D597" s="28" t="e">
        <f>COUNTIF('[1]FF - Test Design'!D:D,C597)</f>
        <v>#VALUE!</v>
      </c>
      <c r="E597" s="8" t="s">
        <v>2157</v>
      </c>
      <c r="F597" s="57" t="str">
        <f>[1]!Table1[[#This Row],[Krav '#]]&amp;" - "&amp;[1]!Table1[[#This Row],[Beskrivelse]]</f>
        <v>11.a.5 - ”stiftelsesdato” kan ligge samme dag som eller op til 365 dage efter ”periode start”.</v>
      </c>
    </row>
    <row r="598" spans="1:6" hidden="1" x14ac:dyDescent="0.3">
      <c r="A598" s="57" t="s">
        <v>2143</v>
      </c>
      <c r="B598" s="7" t="s">
        <v>2144</v>
      </c>
      <c r="C598" s="7" t="s">
        <v>2158</v>
      </c>
      <c r="D598" s="28" t="e">
        <f>COUNTIF('[1]FF - Test Design'!D:D,C598)</f>
        <v>#VALUE!</v>
      </c>
      <c r="E598" s="8" t="s">
        <v>2159</v>
      </c>
      <c r="F598" s="57" t="str">
        <f>[1]!Table1[[#This Row],[Krav '#]]&amp;" - "&amp;[1]!Table1[[#This Row],[Beskrivelse]]</f>
        <v xml:space="preserve">11.a.6 - Hvis fordringshaver svarer, at ”stiftelsesdato” kan ligge før ”periode start”, da skal følgende advar-selstekst dukke op: ”Fordringshaver har svaret, at ”stiftelsesdato” kan ligge før ”periode start”. I retracer er det normal-billedet, at stiftelsesdato kan ligge samme dag som eller efter periode start.
Det skal derfor undersøges med fordringshaver, hvorfor ”stiftelsesdato” kan være registreret med en dato før ”periode start”. 
Det er vigtigt, at fordringshavers svar sammen-holdes med data.”
</v>
      </c>
    </row>
    <row r="599" spans="1:6" x14ac:dyDescent="0.3">
      <c r="A599" s="57" t="s">
        <v>2147</v>
      </c>
      <c r="B599" s="7" t="s">
        <v>2144</v>
      </c>
      <c r="C599" s="7" t="s">
        <v>2160</v>
      </c>
      <c r="D599" s="28" t="e">
        <f>COUNTIF('[1]FF - Test Design'!D:D,C599)</f>
        <v>#VALUE!</v>
      </c>
      <c r="E599" s="8" t="s">
        <v>2161</v>
      </c>
      <c r="F599" s="57" t="e">
        <f>[1]!Table1[[#This Row],[Krav '#]]&amp;" - "&amp;[1]!Table1[[#This Row],[Beskrivelse]]</f>
        <v>#REF!</v>
      </c>
    </row>
    <row r="600" spans="1:6" x14ac:dyDescent="0.3">
      <c r="A600" s="57" t="s">
        <v>2147</v>
      </c>
      <c r="B600" s="7" t="s">
        <v>2144</v>
      </c>
      <c r="C600" s="7" t="s">
        <v>2162</v>
      </c>
      <c r="D600" s="28" t="e">
        <f>COUNTIF('[1]FF - Test Design'!D:D,C600)</f>
        <v>#VALUE!</v>
      </c>
      <c r="E600" s="8" t="s">
        <v>2163</v>
      </c>
      <c r="F600" s="57" t="str">
        <f>[1]!Table1[[#This Row],[Krav '#]]&amp;" - "&amp;[1]!Table1[[#This Row],[Beskrivelse]]</f>
        <v xml:space="preserve">11.a.8 - Hvis fordringshaver svarer, at ”sidste rettidige betalingsdato” kan ligge før ”forfaldsdato”, da skal følgende advarselstekst dukke op:
”Fordringshaver har svaret, at ”sidste rettidige betalingsdato” kan ligge før ”forfaldsdato”, hvilket som udgangspunkt ikke er juridisk muligt.
Det skal derfor undersøges med fordringshaver, hvorfor ”sidste rettidige betalingsdato” kan være registreret med en dato før ”forfaldsdato”. 
Det er vigtigt, at fordringshavers svar sammenholdes med data.”
</v>
      </c>
    </row>
    <row r="601" spans="1:6" hidden="1" x14ac:dyDescent="0.3">
      <c r="A601" s="57" t="s">
        <v>2150</v>
      </c>
      <c r="B601" s="7" t="s">
        <v>2144</v>
      </c>
      <c r="C601" s="7" t="s">
        <v>2164</v>
      </c>
      <c r="D601" s="28" t="e">
        <f>COUNTIF('[1]FF - Test Design'!D:D,C601)</f>
        <v>#VALUE!</v>
      </c>
      <c r="E601" s="8" t="s">
        <v>2165</v>
      </c>
      <c r="F601" s="57" t="str">
        <f>[1]!Table1[[#This Row],[Krav '#]]&amp;" - "&amp;[1]!Table1[[#This Row],[Beskrivelse]]</f>
        <v>11.a.9 - ”forfaldsdato” kan ligge samme dag som eller op til 365 dage efter ”stiftelsesdato”.</v>
      </c>
    </row>
    <row r="602" spans="1:6" hidden="1" x14ac:dyDescent="0.3">
      <c r="A602" s="57" t="s">
        <v>2150</v>
      </c>
      <c r="B602" s="7" t="s">
        <v>2144</v>
      </c>
      <c r="C602" s="7" t="s">
        <v>2166</v>
      </c>
      <c r="D602" s="28" t="e">
        <f>COUNTIF('[1]FF - Test Design'!D:D,C602)</f>
        <v>#VALUE!</v>
      </c>
      <c r="E602" s="8" t="s">
        <v>2167</v>
      </c>
      <c r="F602" s="57" t="str">
        <f>[1]!Table1[[#This Row],[Krav '#]]&amp;" - "&amp;[1]!Table1[[#This Row],[Beskrivelse]]</f>
        <v xml:space="preserve">11.a.10 - Hvis fordringshaver svarer, at ”stiftelsesdato” kan ligge efter ”forfaldsdato”, da skal følgende advar-selstekst dukke op:
”Fordringshaver har svaret, at ”stiftelsesdato” kan ligge efter ”forfaldsdato”, hvilket som udgangs-punkt ikke er juridisk muligt.
Det skal derfor undersøges med fordringshaver, hvorfor ”stiftelsesdato” kan være registreret med en dato efter ”forfaldsdato”.
Det er vigtigt, at fordringshavers svar sammen-holdes med data.”
</v>
      </c>
    </row>
    <row r="603" spans="1:6" hidden="1" x14ac:dyDescent="0.3">
      <c r="A603" s="57" t="s">
        <v>2153</v>
      </c>
      <c r="B603" s="7" t="s">
        <v>2144</v>
      </c>
      <c r="C603" s="7" t="s">
        <v>2168</v>
      </c>
      <c r="D603" s="28" t="e">
        <f>COUNTIF('[1]FF - Test Design'!D:D,C603)</f>
        <v>#VALUE!</v>
      </c>
      <c r="E603" s="8" t="s">
        <v>2169</v>
      </c>
      <c r="F603" s="57" t="str">
        <f>[1]!Table1[[#This Row],[Krav '#]]&amp;" - "&amp;[1]!Table1[[#This Row],[Beskrivelse]]</f>
        <v>11.a.11 - ”periode slut” kan ligge samme dag som eller op til 732 dage efter ”periode start”.</v>
      </c>
    </row>
    <row r="604" spans="1:6" hidden="1" x14ac:dyDescent="0.3">
      <c r="A604" s="57" t="s">
        <v>2153</v>
      </c>
      <c r="B604" s="7" t="s">
        <v>2144</v>
      </c>
      <c r="C604" s="7" t="s">
        <v>2170</v>
      </c>
      <c r="D604" s="28" t="e">
        <f>COUNTIF('[1]FF - Test Design'!D:D,C604)</f>
        <v>#VALUE!</v>
      </c>
      <c r="E604" s="8" t="s">
        <v>2171</v>
      </c>
      <c r="F604" s="57" t="str">
        <f>[1]!Table1[[#This Row],[Krav '#]]&amp;" - "&amp;[1]!Table1[[#This Row],[Beskrivelse]]</f>
        <v xml:space="preserve">11.a.12 - Hvis fordringshaver svarer, at ”periode slut” kan ligge før ”periode start”, da skal følgende advar-selstekst dukke op:
”Fordringshaver har svaret, at ”periode slut” kan ligge før ”periode start”, hvilket ikke er muligt.
Det skal derfor undersøges med fordringshaver, hvorfor ”periode slut” er registreret med en dato før ”periode start”.
Det er vigtigt, at fordringshavers svar sammen-holdes med data.”
</v>
      </c>
    </row>
    <row r="605" spans="1:6" x14ac:dyDescent="0.3">
      <c r="A605" s="57" t="s">
        <v>2147</v>
      </c>
      <c r="B605" s="7" t="s">
        <v>2144</v>
      </c>
      <c r="C605" s="7" t="s">
        <v>2172</v>
      </c>
      <c r="D605" s="28" t="e">
        <f>COUNTIF('[1]FF - Test Design'!D:D,C605)</f>
        <v>#VALUE!</v>
      </c>
      <c r="E605" s="8" t="s">
        <v>2173</v>
      </c>
      <c r="F605" s="57" t="str">
        <f>[1]!Table1[[#This Row],[Krav '#]]&amp;" - "&amp;[1]!Table1[[#This Row],[Beskrivelse]]</f>
        <v>11.a.13 - Brugeren ledes videre til spørgsmål 12</v>
      </c>
    </row>
    <row r="606" spans="1:6" hidden="1" x14ac:dyDescent="0.3">
      <c r="A606" s="57" t="s">
        <v>2150</v>
      </c>
      <c r="B606" s="7" t="s">
        <v>2144</v>
      </c>
      <c r="C606" s="7" t="s">
        <v>2174</v>
      </c>
      <c r="D606" s="28" t="e">
        <f>COUNTIF('[1]FF - Test Design'!D:D,C606)</f>
        <v>#VALUE!</v>
      </c>
      <c r="E606" s="8" t="s">
        <v>2173</v>
      </c>
      <c r="F606" s="57" t="str">
        <f>[1]!Table1[[#This Row],[Krav '#]]&amp;" - "&amp;[1]!Table1[[#This Row],[Beskrivelse]]</f>
        <v>11.a.14 - Brugeren ledes videre til spørgsmål 12</v>
      </c>
    </row>
    <row r="607" spans="1:6" hidden="1" x14ac:dyDescent="0.3">
      <c r="A607" s="57" t="s">
        <v>2153</v>
      </c>
      <c r="B607" s="7" t="s">
        <v>2144</v>
      </c>
      <c r="C607" s="7" t="s">
        <v>2175</v>
      </c>
      <c r="D607" s="28" t="e">
        <f>COUNTIF('[1]FF - Test Design'!D:D,C607)</f>
        <v>#VALUE!</v>
      </c>
      <c r="E607" s="8" t="s">
        <v>2173</v>
      </c>
      <c r="F607" s="57" t="str">
        <f>[1]!Table1[[#This Row],[Krav '#]]&amp;" - "&amp;[1]!Table1[[#This Row],[Beskrivelse]]</f>
        <v>11.a.15 - Brugeren ledes videre til spørgsmål 12</v>
      </c>
    </row>
    <row r="608" spans="1:6" hidden="1" x14ac:dyDescent="0.3">
      <c r="A608" s="57" t="s">
        <v>2143</v>
      </c>
      <c r="B608" s="7" t="s">
        <v>2144</v>
      </c>
      <c r="C608" s="7" t="s">
        <v>2176</v>
      </c>
      <c r="D608" s="28" t="e">
        <f>COUNTIF('[1]FF - Test Design'!D:D,C608)</f>
        <v>#VALUE!</v>
      </c>
      <c r="E608" s="8" t="s">
        <v>2173</v>
      </c>
      <c r="F608" s="57" t="str">
        <f>[1]!Table1[[#This Row],[Krav '#]]&amp;" - "&amp;[1]!Table1[[#This Row],[Beskrivelse]]</f>
        <v>11.a.16 - Brugeren ledes videre til spørgsmål 12</v>
      </c>
    </row>
    <row r="609" spans="1:6" hidden="1" x14ac:dyDescent="0.3">
      <c r="A609" s="57" t="s">
        <v>2177</v>
      </c>
      <c r="B609" s="7" t="s">
        <v>2178</v>
      </c>
      <c r="C609" s="7" t="s">
        <v>2179</v>
      </c>
      <c r="D609" s="28" t="e">
        <f>COUNTIF('[1]FF - Test Design'!D:D,C609)</f>
        <v>#VALUE!</v>
      </c>
      <c r="E609" s="8" t="s">
        <v>2180</v>
      </c>
      <c r="F609" s="57" t="str">
        <f>[1]!Table1[[#This Row],[Krav '#]]&amp;" - "&amp;[1]!Table1[[#This Row],[Beskrivelse]]</f>
        <v>11.b.1 - Der skal laves forskellige advarselsbokse, alt efter hvilken stamdatarelation fordringshaver vælger, og hvordan fordringshaver udfylder den.</v>
      </c>
    </row>
    <row r="610" spans="1:6" hidden="1" x14ac:dyDescent="0.3">
      <c r="A610" s="57" t="s">
        <v>2177</v>
      </c>
      <c r="B610" s="7" t="s">
        <v>2178</v>
      </c>
      <c r="C610" s="7" t="s">
        <v>2181</v>
      </c>
      <c r="D610" s="28" t="e">
        <f>COUNTIF('[1]FF - Test Design'!D:D,C610)</f>
        <v>#VALUE!</v>
      </c>
      <c r="E610" s="8" t="s">
        <v>2182</v>
      </c>
      <c r="F610" s="57" t="str">
        <f>[1]!Table1[[#This Row],[Krav '#]]&amp;" - "&amp;[1]!Table1[[#This Row],[Beskrivelse]]</f>
        <v xml:space="preserve">11.b.2 - ”Stiftelsesdato” og ”periode slut”
Der er ingen generelle frasorteringsregler for denne relation. Der er dog nogle fordringstype-specifikke frasorteringsregler, hvor ”stiftelsesda-to” kan ligge fra 10 dage før til 1081 dage efter ”periode slut”.
</v>
      </c>
    </row>
    <row r="611" spans="1:6" x14ac:dyDescent="0.3">
      <c r="A611" s="57" t="s">
        <v>2147</v>
      </c>
      <c r="B611" s="7" t="s">
        <v>2178</v>
      </c>
      <c r="C611" s="7" t="s">
        <v>2183</v>
      </c>
      <c r="D611" s="28" t="e">
        <f>COUNTIF('[1]FF - Test Design'!D:D,C611)</f>
        <v>#VALUE!</v>
      </c>
      <c r="E611" s="8" t="s">
        <v>2184</v>
      </c>
      <c r="F611" s="57" t="e">
        <f>[1]!Table1[[#This Row],[Krav '#]]&amp;" - "&amp;[1]!Table1[[#This Row],[Beskrivelse]]</f>
        <v>#REF!</v>
      </c>
    </row>
    <row r="612" spans="1:6" x14ac:dyDescent="0.3">
      <c r="A612" s="57" t="s">
        <v>2147</v>
      </c>
      <c r="B612" s="7" t="s">
        <v>2178</v>
      </c>
      <c r="C612" s="7" t="s">
        <v>2185</v>
      </c>
      <c r="D612" s="28" t="e">
        <f>COUNTIF('[1]FF - Test Design'!D:D,C612)</f>
        <v>#VALUE!</v>
      </c>
      <c r="E612" s="8" t="s">
        <v>2186</v>
      </c>
      <c r="F612" s="57" t="str">
        <f>[1]!Table1[[#This Row],[Krav '#]]&amp;" - "&amp;[1]!Table1[[#This Row],[Beskrivelse]]</f>
        <v xml:space="preserve">11.b.4 - Hvis fordringshaver svarer, at ”sidste rettidige betalingsdato” kan ligge før ”forfaldsdato”, da skal følgende advarselstekst dukke op:
”Fordringshaver har svaret, at ”sidste rettidige betalingsdato” kan ligge før ”forfaldsdato”, hvilket som udgangspunkt ikke er juridisk muligt.
Det skal derfor undersøges med fordringshaver, hvorfor ”sidste rettidige betalingsdato” kan være registreret med en dato før ”forfaldsdato”. 
Det er vigtigt, at fordringshavers svar sammen-holdes med data.”
</v>
      </c>
    </row>
    <row r="613" spans="1:6" hidden="1" x14ac:dyDescent="0.3">
      <c r="A613" s="57" t="s">
        <v>2150</v>
      </c>
      <c r="B613" s="7" t="s">
        <v>2178</v>
      </c>
      <c r="C613" s="7" t="s">
        <v>2187</v>
      </c>
      <c r="D613" s="28" t="e">
        <f>COUNTIF('[1]FF - Test Design'!D:D,C613)</f>
        <v>#VALUE!</v>
      </c>
      <c r="E613" s="8" t="s">
        <v>2188</v>
      </c>
      <c r="F613" s="57" t="str">
        <f>[1]!Table1[[#This Row],[Krav '#]]&amp;" - "&amp;[1]!Table1[[#This Row],[Beskrivelse]]</f>
        <v>11.b.5 - ”Stiftelsesdato” og ”forfaldsdato”
”forfaldsdato” kan ligge samme dag som eller op til 365 dage efter ”stiftelsesdato”.</v>
      </c>
    </row>
    <row r="614" spans="1:6" hidden="1" x14ac:dyDescent="0.3">
      <c r="A614" s="57" t="s">
        <v>2150</v>
      </c>
      <c r="B614" s="7" t="s">
        <v>2178</v>
      </c>
      <c r="C614" s="7" t="s">
        <v>2189</v>
      </c>
      <c r="D614" s="28" t="e">
        <f>COUNTIF('[1]FF - Test Design'!D:D,C614)</f>
        <v>#VALUE!</v>
      </c>
      <c r="E614" s="8" t="s">
        <v>2190</v>
      </c>
      <c r="F614" s="57" t="str">
        <f>[1]!Table1[[#This Row],[Krav '#]]&amp;" - "&amp;[1]!Table1[[#This Row],[Beskrivelse]]</f>
        <v>11.b.6 - Hvis fordringshaver svarer, at ”stiftelsesdato” kan ligge efter ”forfaldsdato”, da skal følgende advar-selstekst dukke op:
”Fordringshaver har svaret, at ”stiftelsesdato” kan ligge efter ”forfaldsdato”, hvilket som udgangs-punkt ikke er juridisk muligt.
Det skal derfor undersøges med fordringshaver, hvorfor ”stiftelsesdato” kan være registreret med en dato efter ”forfaldsdato”.
Det er vigtigt, at fordringshavers svar sammen-holdes med data.”</v>
      </c>
    </row>
    <row r="615" spans="1:6" hidden="1" x14ac:dyDescent="0.3">
      <c r="A615" s="57" t="s">
        <v>2153</v>
      </c>
      <c r="B615" s="7" t="s">
        <v>2178</v>
      </c>
      <c r="C615" s="7" t="s">
        <v>2191</v>
      </c>
      <c r="D615" s="28" t="e">
        <f>COUNTIF('[1]FF - Test Design'!D:D,C615)</f>
        <v>#VALUE!</v>
      </c>
      <c r="E615" s="8" t="s">
        <v>2192</v>
      </c>
      <c r="F615" s="57" t="str">
        <f>[1]!Table1[[#This Row],[Krav '#]]&amp;" - "&amp;[1]!Table1[[#This Row],[Beskrivelse]]</f>
        <v>11.b.7 - ”Periode start” og ”periode slut”
”periode slut” kan ligge samme dag som eller op til 732 dage efter ”periode start”.</v>
      </c>
    </row>
    <row r="616" spans="1:6" hidden="1" x14ac:dyDescent="0.3">
      <c r="A616" s="57" t="s">
        <v>2153</v>
      </c>
      <c r="B616" s="7" t="s">
        <v>2178</v>
      </c>
      <c r="C616" s="7" t="s">
        <v>2193</v>
      </c>
      <c r="D616" s="28" t="e">
        <f>COUNTIF('[1]FF - Test Design'!D:D,C616)</f>
        <v>#VALUE!</v>
      </c>
      <c r="E616" s="8" t="s">
        <v>2194</v>
      </c>
      <c r="F616" s="57" t="str">
        <f>[1]!Table1[[#This Row],[Krav '#]]&amp;" - "&amp;[1]!Table1[[#This Row],[Beskrivelse]]</f>
        <v>11.b.8 - Hvis fordringshaver svarer, at ”periode slut” kan ligge før ”periode start”, da skal følgende advar-selstekst dukke op:
”Fordringshaver har svaret, at ”periode slut” kan ligge før ”periode start”, hvilket ikke er muligt.
Det skal derfor undersøges med fordringshaver, hvorfor ”periode slut” er registreret med en dato før ”periode start”.
Det er vigtigt, at fordringshavers svar sammen-holdes med data.”</v>
      </c>
    </row>
    <row r="617" spans="1:6" x14ac:dyDescent="0.3">
      <c r="A617" s="57" t="s">
        <v>2147</v>
      </c>
      <c r="B617" s="7" t="s">
        <v>2178</v>
      </c>
      <c r="C617" s="7" t="s">
        <v>2195</v>
      </c>
      <c r="D617" s="28" t="e">
        <f>COUNTIF('[1]FF - Test Design'!D:D,C617)</f>
        <v>#VALUE!</v>
      </c>
      <c r="E617" s="8" t="s">
        <v>2173</v>
      </c>
      <c r="F617" s="57" t="str">
        <f>[1]!Table1[[#This Row],[Krav '#]]&amp;" - "&amp;[1]!Table1[[#This Row],[Beskrivelse]]</f>
        <v>11.b.9 - Brugeren ledes videre til spørgsmål 12</v>
      </c>
    </row>
    <row r="618" spans="1:6" hidden="1" x14ac:dyDescent="0.3">
      <c r="A618" s="57" t="s">
        <v>2150</v>
      </c>
      <c r="B618" s="7" t="s">
        <v>2178</v>
      </c>
      <c r="C618" s="7" t="s">
        <v>2196</v>
      </c>
      <c r="D618" s="28" t="e">
        <f>COUNTIF('[1]FF - Test Design'!D:D,C618)</f>
        <v>#VALUE!</v>
      </c>
      <c r="E618" s="8" t="s">
        <v>2173</v>
      </c>
      <c r="F618" s="57" t="str">
        <f>[1]!Table1[[#This Row],[Krav '#]]&amp;" - "&amp;[1]!Table1[[#This Row],[Beskrivelse]]</f>
        <v>11.b.10 - Brugeren ledes videre til spørgsmål 12</v>
      </c>
    </row>
    <row r="619" spans="1:6" hidden="1" x14ac:dyDescent="0.3">
      <c r="A619" s="57" t="s">
        <v>2153</v>
      </c>
      <c r="B619" s="7" t="s">
        <v>2178</v>
      </c>
      <c r="C619" s="7" t="s">
        <v>2197</v>
      </c>
      <c r="D619" s="28" t="e">
        <f>COUNTIF('[1]FF - Test Design'!D:D,C619)</f>
        <v>#VALUE!</v>
      </c>
      <c r="E619" s="8" t="s">
        <v>2173</v>
      </c>
      <c r="F619" s="57" t="str">
        <f>[1]!Table1[[#This Row],[Krav '#]]&amp;" - "&amp;[1]!Table1[[#This Row],[Beskrivelse]]</f>
        <v>11.b.11 - Brugeren ledes videre til spørgsmål 12</v>
      </c>
    </row>
    <row r="620" spans="1:6" hidden="1" x14ac:dyDescent="0.3">
      <c r="A620" s="57" t="s">
        <v>2177</v>
      </c>
      <c r="B620" s="7" t="s">
        <v>2178</v>
      </c>
      <c r="C620" s="7" t="s">
        <v>2198</v>
      </c>
      <c r="D620" s="28" t="e">
        <f>COUNTIF('[1]FF - Test Design'!D:D,C620)</f>
        <v>#VALUE!</v>
      </c>
      <c r="E620" s="8" t="s">
        <v>2173</v>
      </c>
      <c r="F620" s="57" t="str">
        <f>[1]!Table1[[#This Row],[Krav '#]]&amp;" - "&amp;[1]!Table1[[#This Row],[Beskrivelse]]</f>
        <v>11.b.12 - Brugeren ledes videre til spørgsmål 12</v>
      </c>
    </row>
    <row r="621" spans="1:6" hidden="1" x14ac:dyDescent="0.3">
      <c r="A621" s="57" t="s">
        <v>2199</v>
      </c>
      <c r="B621" s="7" t="s">
        <v>2200</v>
      </c>
      <c r="C621" s="7" t="s">
        <v>2201</v>
      </c>
      <c r="D621" s="28" t="e">
        <f>COUNTIF('[1]FF - Test Design'!D:D,C621)</f>
        <v>#VALUE!</v>
      </c>
      <c r="E621" s="8" t="s">
        <v>2202</v>
      </c>
      <c r="F621" s="57" t="str">
        <f>[1]!Table1[[#This Row],[Krav '#]]&amp;" - "&amp;[1]!Table1[[#This Row],[Beskrivelse]]</f>
        <v>12.1 - Det skal være muligt for brugeren, via et tekstfelt, at angive et beløb eller muligheden for at svare "ved ikke"</v>
      </c>
    </row>
    <row r="622" spans="1:6" hidden="1" x14ac:dyDescent="0.3">
      <c r="A622" s="57" t="s">
        <v>2199</v>
      </c>
      <c r="B622" s="7" t="s">
        <v>2200</v>
      </c>
      <c r="C622" s="7" t="s">
        <v>2203</v>
      </c>
      <c r="D622" s="28" t="e">
        <f>COUNTIF('[1]FF - Test Design'!D:D,C622)</f>
        <v>#VALUE!</v>
      </c>
      <c r="E622" s="8" t="s">
        <v>2204</v>
      </c>
      <c r="F622" s="57" t="str">
        <f>[1]!Table1[[#This Row],[Krav '#]]&amp;" - "&amp;[1]!Table1[[#This Row],[Beskrivelse]]</f>
        <v>12.2 - Hvis beløb angives skal brugeren ledes til spørgsmål 12.a</v>
      </c>
    </row>
    <row r="623" spans="1:6" hidden="1" x14ac:dyDescent="0.3">
      <c r="A623" s="57" t="s">
        <v>2199</v>
      </c>
      <c r="B623" s="7" t="s">
        <v>2200</v>
      </c>
      <c r="C623" s="7" t="s">
        <v>2205</v>
      </c>
      <c r="D623" s="28" t="e">
        <f>COUNTIF('[1]FF - Test Design'!D:D,C623)</f>
        <v>#VALUE!</v>
      </c>
      <c r="E623" s="8" t="s">
        <v>2206</v>
      </c>
      <c r="F623" s="57" t="str">
        <f>[1]!Table1[[#This Row],[Krav '#]]&amp;" - "&amp;[1]!Table1[[#This Row],[Beskrivelse]]</f>
        <v>12.3 - Hvis brugeren svarer "ved ikke" skal brugeren ledes til spørgsmål 12.b</v>
      </c>
    </row>
    <row r="624" spans="1:6" hidden="1" x14ac:dyDescent="0.3">
      <c r="A624" s="57" t="s">
        <v>2199</v>
      </c>
      <c r="B624" s="7" t="s">
        <v>2207</v>
      </c>
      <c r="C624" s="7" t="s">
        <v>2090</v>
      </c>
      <c r="D624" s="28" t="e">
        <f>COUNTIF('[1]FF - Test Design'!D:D,C624)</f>
        <v>#VALUE!</v>
      </c>
      <c r="E624" s="8" t="s">
        <v>2017</v>
      </c>
      <c r="F624" s="57" t="str">
        <f>[1]!Table1[[#This Row],[Krav '#]]&amp;" - "&amp;[1]!Table1[[#This Row],[Beskrivelse]]</f>
        <v>12.a.1 - Det angivne beløb fra spørgsmål 12 indsættes i regel R0072</v>
      </c>
    </row>
    <row r="625" spans="1:6" hidden="1" x14ac:dyDescent="0.3">
      <c r="A625" s="57" t="s">
        <v>2199</v>
      </c>
      <c r="B625" s="7" t="s">
        <v>2207</v>
      </c>
      <c r="C625" s="7" t="s">
        <v>2091</v>
      </c>
      <c r="D625" s="28" t="e">
        <f>COUNTIF('[1]FF - Test Design'!D:D,C625)</f>
        <v>#VALUE!</v>
      </c>
      <c r="E625" s="8" t="s">
        <v>2020</v>
      </c>
      <c r="F625" s="57" t="str">
        <f>[1]!Table1[[#This Row],[Krav '#]]&amp;" - "&amp;[1]!Table1[[#This Row],[Beskrivelse]]</f>
        <v>12.a.2 - Det angivne beløb fra spørgsmål 12 indsættes i regel R0073</v>
      </c>
    </row>
    <row r="626" spans="1:6" hidden="1" x14ac:dyDescent="0.3">
      <c r="A626" s="57" t="s">
        <v>2199</v>
      </c>
      <c r="B626" s="7" t="s">
        <v>2207</v>
      </c>
      <c r="C626" s="7" t="s">
        <v>2092</v>
      </c>
      <c r="D626" s="28" t="e">
        <f>COUNTIF('[1]FF - Test Design'!D:D,C626)</f>
        <v>#VALUE!</v>
      </c>
      <c r="E626" s="8" t="s">
        <v>2023</v>
      </c>
      <c r="F626" s="57" t="str">
        <f>[1]!Table1[[#This Row],[Krav '#]]&amp;" - "&amp;[1]!Table1[[#This Row],[Beskrivelse]]</f>
        <v>12.a.3 - Regel R0072 aktiveres</v>
      </c>
    </row>
    <row r="627" spans="1:6" hidden="1" x14ac:dyDescent="0.3">
      <c r="A627" s="57" t="s">
        <v>2199</v>
      </c>
      <c r="B627" s="7" t="s">
        <v>2207</v>
      </c>
      <c r="C627" s="7" t="s">
        <v>2093</v>
      </c>
      <c r="D627" s="28" t="e">
        <f>COUNTIF('[1]FF - Test Design'!D:D,C627)</f>
        <v>#VALUE!</v>
      </c>
      <c r="E627" s="8" t="s">
        <v>2025</v>
      </c>
      <c r="F627" s="57" t="str">
        <f>[1]!Table1[[#This Row],[Krav '#]]&amp;" - "&amp;[1]!Table1[[#This Row],[Beskrivelse]]</f>
        <v>12.a.4 - Regel R0073 aktiveres</v>
      </c>
    </row>
    <row r="628" spans="1:6" hidden="1" x14ac:dyDescent="0.3">
      <c r="A628" s="57" t="s">
        <v>2199</v>
      </c>
      <c r="B628" s="7" t="s">
        <v>2207</v>
      </c>
      <c r="C628" s="7" t="s">
        <v>2094</v>
      </c>
      <c r="D628" s="28" t="e">
        <f>COUNTIF('[1]FF - Test Design'!D:D,C628)</f>
        <v>#VALUE!</v>
      </c>
      <c r="E628" s="8" t="s">
        <v>2027</v>
      </c>
      <c r="F628" s="57" t="str">
        <f>[1]!Table1[[#This Row],[Krav '#]]&amp;" - "&amp;[1]!Table1[[#This Row],[Beskrivelse]]</f>
        <v>12.a.5 - Gruppe 5 aktiveres</v>
      </c>
    </row>
    <row r="629" spans="1:6" hidden="1" x14ac:dyDescent="0.3">
      <c r="A629" s="57" t="s">
        <v>2199</v>
      </c>
      <c r="B629" s="7" t="s">
        <v>2207</v>
      </c>
      <c r="C629" s="7" t="s">
        <v>2095</v>
      </c>
      <c r="D629" s="28" t="e">
        <f>COUNTIF('[1]FF - Test Design'!D:D,C629)</f>
        <v>#VALUE!</v>
      </c>
      <c r="E629" s="8" t="s">
        <v>2030</v>
      </c>
      <c r="F629" s="57" t="str">
        <f>[1]!Table1[[#This Row],[Krav '#]]&amp;" - "&amp;[1]!Table1[[#This Row],[Beskrivelse]]</f>
        <v>12.a.6 - Regel R0074 deaktiveres</v>
      </c>
    </row>
    <row r="630" spans="1:6" hidden="1" x14ac:dyDescent="0.3">
      <c r="A630" s="57" t="s">
        <v>2199</v>
      </c>
      <c r="B630" s="7" t="s">
        <v>2207</v>
      </c>
      <c r="C630" s="7" t="s">
        <v>2096</v>
      </c>
      <c r="D630" s="28" t="e">
        <f>COUNTIF('[1]FF - Test Design'!D:D,C630)</f>
        <v>#VALUE!</v>
      </c>
      <c r="E630" s="8" t="s">
        <v>2033</v>
      </c>
      <c r="F630" s="57" t="str">
        <f>[1]!Table1[[#This Row],[Krav '#]]&amp;" - "&amp;[1]!Table1[[#This Row],[Beskrivelse]]</f>
        <v>12.a.7 - Regel R0103 deaktiveres</v>
      </c>
    </row>
    <row r="631" spans="1:6" hidden="1" x14ac:dyDescent="0.3">
      <c r="A631" s="57" t="s">
        <v>2199</v>
      </c>
      <c r="B631" s="7" t="s">
        <v>2207</v>
      </c>
      <c r="C631" s="7" t="s">
        <v>2097</v>
      </c>
      <c r="D631" s="28" t="e">
        <f>COUNTIF('[1]FF - Test Design'!D:D,C631)</f>
        <v>#VALUE!</v>
      </c>
      <c r="E631" s="8" t="s">
        <v>2036</v>
      </c>
      <c r="F631" s="57" t="str">
        <f>[1]!Table1[[#This Row],[Krav '#]]&amp;" - "&amp;[1]!Table1[[#This Row],[Beskrivelse]]</f>
        <v>12.a.8 - Gruppe 6 deaktiveres</v>
      </c>
    </row>
    <row r="632" spans="1:6" hidden="1" x14ac:dyDescent="0.3">
      <c r="A632" s="57" t="s">
        <v>2199</v>
      </c>
      <c r="B632" s="7" t="s">
        <v>2207</v>
      </c>
      <c r="C632" s="7" t="s">
        <v>2105</v>
      </c>
      <c r="D632" s="28" t="e">
        <f>COUNTIF('[1]FF - Test Design'!D:D,C632)</f>
        <v>#VALUE!</v>
      </c>
      <c r="E632" s="8" t="s">
        <v>2048</v>
      </c>
      <c r="F632" s="57" t="str">
        <f>[1]!Table1[[#This Row],[Krav '#]]&amp;" - "&amp;[1]!Table1[[#This Row],[Beskrivelse]]</f>
        <v>12.a.9 - Brugeren ledes videre til spørgsmål 13</v>
      </c>
    </row>
    <row r="633" spans="1:6" hidden="1" x14ac:dyDescent="0.3">
      <c r="A633" s="57" t="s">
        <v>2199</v>
      </c>
      <c r="B633" s="7" t="s">
        <v>2208</v>
      </c>
      <c r="C633" s="7" t="s">
        <v>2099</v>
      </c>
      <c r="D633" s="28" t="e">
        <f>COUNTIF('[1]FF - Test Design'!D:D,C633)</f>
        <v>#VALUE!</v>
      </c>
      <c r="E633" s="8" t="s">
        <v>2040</v>
      </c>
      <c r="F633" s="57" t="str">
        <f>[1]!Table1[[#This Row],[Krav '#]]&amp;" - "&amp;[1]!Table1[[#This Row],[Beskrivelse]]</f>
        <v>12.b.1 - Gruppe 5 deaktiveres</v>
      </c>
    </row>
    <row r="634" spans="1:6" hidden="1" x14ac:dyDescent="0.3">
      <c r="A634" s="57" t="s">
        <v>2199</v>
      </c>
      <c r="B634" s="7" t="s">
        <v>2208</v>
      </c>
      <c r="C634" s="7" t="s">
        <v>2100</v>
      </c>
      <c r="D634" s="28" t="e">
        <f>COUNTIF('[1]FF - Test Design'!D:D,C634)</f>
        <v>#VALUE!</v>
      </c>
      <c r="E634" s="8" t="s">
        <v>2042</v>
      </c>
      <c r="F634" s="57" t="str">
        <f>[1]!Table1[[#This Row],[Krav '#]]&amp;" - "&amp;[1]!Table1[[#This Row],[Beskrivelse]]</f>
        <v>12.b.2 - Regel R0072 deaktiveres</v>
      </c>
    </row>
    <row r="635" spans="1:6" hidden="1" x14ac:dyDescent="0.3">
      <c r="A635" s="57" t="s">
        <v>2199</v>
      </c>
      <c r="B635" s="7" t="s">
        <v>2208</v>
      </c>
      <c r="C635" s="7" t="s">
        <v>2101</v>
      </c>
      <c r="D635" s="28" t="e">
        <f>COUNTIF('[1]FF - Test Design'!D:D,C635)</f>
        <v>#VALUE!</v>
      </c>
      <c r="E635" s="8" t="s">
        <v>2036</v>
      </c>
      <c r="F635" s="57" t="str">
        <f>[1]!Table1[[#This Row],[Krav '#]]&amp;" - "&amp;[1]!Table1[[#This Row],[Beskrivelse]]</f>
        <v>12.b.3 - Gruppe 6 deaktiveres</v>
      </c>
    </row>
    <row r="636" spans="1:6" hidden="1" x14ac:dyDescent="0.3">
      <c r="A636" s="57" t="s">
        <v>2199</v>
      </c>
      <c r="B636" s="7" t="s">
        <v>2208</v>
      </c>
      <c r="C636" s="7" t="s">
        <v>2102</v>
      </c>
      <c r="D636" s="28" t="e">
        <f>COUNTIF('[1]FF - Test Design'!D:D,C636)</f>
        <v>#VALUE!</v>
      </c>
      <c r="E636" s="8" t="s">
        <v>2030</v>
      </c>
      <c r="F636" s="57" t="str">
        <f>[1]!Table1[[#This Row],[Krav '#]]&amp;" - "&amp;[1]!Table1[[#This Row],[Beskrivelse]]</f>
        <v>12.b.4 - Regel R0074 deaktiveres</v>
      </c>
    </row>
    <row r="637" spans="1:6" hidden="1" x14ac:dyDescent="0.3">
      <c r="A637" s="57" t="s">
        <v>2199</v>
      </c>
      <c r="B637" s="7" t="s">
        <v>2208</v>
      </c>
      <c r="C637" s="7" t="s">
        <v>2103</v>
      </c>
      <c r="D637" s="28" t="e">
        <f>COUNTIF('[1]FF - Test Design'!D:D,C637)</f>
        <v>#VALUE!</v>
      </c>
      <c r="E637" s="8" t="s">
        <v>2044</v>
      </c>
      <c r="F637" s="57" t="str">
        <f>[1]!Table1[[#This Row],[Krav '#]]&amp;" - "&amp;[1]!Table1[[#This Row],[Beskrivelse]]</f>
        <v>12.b.5 - Regel R0073 deaktiveres</v>
      </c>
    </row>
    <row r="638" spans="1:6" hidden="1" x14ac:dyDescent="0.3">
      <c r="A638" s="57" t="s">
        <v>2199</v>
      </c>
      <c r="B638" s="7" t="s">
        <v>2208</v>
      </c>
      <c r="C638" s="7" t="s">
        <v>2104</v>
      </c>
      <c r="D638" s="28" t="e">
        <f>COUNTIF('[1]FF - Test Design'!D:D,C638)</f>
        <v>#VALUE!</v>
      </c>
      <c r="E638" s="8" t="s">
        <v>2033</v>
      </c>
      <c r="F638" s="57" t="str">
        <f>[1]!Table1[[#This Row],[Krav '#]]&amp;" - "&amp;[1]!Table1[[#This Row],[Beskrivelse]]</f>
        <v>12.b.6 - Regel R0103 deaktiveres</v>
      </c>
    </row>
    <row r="639" spans="1:6" hidden="1" x14ac:dyDescent="0.3">
      <c r="A639" s="57" t="s">
        <v>2199</v>
      </c>
      <c r="B639" s="7" t="s">
        <v>2208</v>
      </c>
      <c r="C639" s="7" t="s">
        <v>2106</v>
      </c>
      <c r="D639" s="28" t="e">
        <f>COUNTIF('[1]FF - Test Design'!D:D,C639)</f>
        <v>#VALUE!</v>
      </c>
      <c r="E639" s="8" t="s">
        <v>2048</v>
      </c>
      <c r="F639" s="57" t="str">
        <f>[1]!Table1[[#This Row],[Krav '#]]&amp;" - "&amp;[1]!Table1[[#This Row],[Beskrivelse]]</f>
        <v>12.b.7 - Brugeren ledes videre til spørgsmål 13</v>
      </c>
    </row>
    <row r="640" spans="1:6" hidden="1" x14ac:dyDescent="0.3">
      <c r="A640" s="57" t="s">
        <v>2209</v>
      </c>
      <c r="B640" s="7" t="s">
        <v>1281</v>
      </c>
      <c r="C640" s="7" t="s">
        <v>2210</v>
      </c>
      <c r="D640" s="28" t="e">
        <f>COUNTIF('[1]FF - Test Design'!D:D,C640)</f>
        <v>#VALUE!</v>
      </c>
      <c r="E640" s="8" t="s">
        <v>2211</v>
      </c>
      <c r="F640" s="57" t="str">
        <f>[1]!Table1[[#This Row],[Krav '#]]&amp;" - "&amp;[1]!Table1[[#This Row],[Beskrivelse]]</f>
        <v>13.1 - Det skal være muligt for brugeren, via mulighederne "Ja" og "Nej/Ved ikke", at svare på om fordringshaver altid registrerer én eller flere af datoerne i felterne ”forfaldsdato”, ”sidste rettidige betalingsdato”, ”stiftelsesdato”, ”periode start” og ”periode slut” som de(n) samme dag(e) i måneden eller som de(n) samme måned(er) i året?</v>
      </c>
    </row>
    <row r="641" spans="1:6" hidden="1" x14ac:dyDescent="0.3">
      <c r="A641" s="57" t="s">
        <v>2209</v>
      </c>
      <c r="B641" s="7" t="s">
        <v>1281</v>
      </c>
      <c r="C641" s="7" t="s">
        <v>2212</v>
      </c>
      <c r="D641" s="28" t="e">
        <f>COUNTIF('[1]FF - Test Design'!D:D,C641)</f>
        <v>#VALUE!</v>
      </c>
      <c r="E641" s="8" t="s">
        <v>2213</v>
      </c>
      <c r="F641" s="57" t="str">
        <f>[1]!Table1[[#This Row],[Krav '#]]&amp;" - "&amp;[1]!Table1[[#This Row],[Beskrivelse]]</f>
        <v>13.2 - Såfremt brugeren svarer Ja til spørgsmålet skal brugeren ledes videre til spørgsmål 13.a</v>
      </c>
    </row>
    <row r="642" spans="1:6" hidden="1" x14ac:dyDescent="0.3">
      <c r="A642" s="57" t="s">
        <v>2209</v>
      </c>
      <c r="B642" s="7" t="s">
        <v>1281</v>
      </c>
      <c r="C642" s="7" t="s">
        <v>2214</v>
      </c>
      <c r="D642" s="28" t="e">
        <f>COUNTIF('[1]FF - Test Design'!D:D,C642)</f>
        <v>#VALUE!</v>
      </c>
      <c r="E642" s="8" t="s">
        <v>2215</v>
      </c>
      <c r="F642" s="57" t="str">
        <f>[1]!Table1[[#This Row],[Krav '#]]&amp;" - "&amp;[1]!Table1[[#This Row],[Beskrivelse]]</f>
        <v>13.3 - Såfremt brugeren svarer Ja til spørgsmålet skal brugeren ledes videre til spørgsmål 13.b</v>
      </c>
    </row>
    <row r="643" spans="1:6" hidden="1" x14ac:dyDescent="0.3">
      <c r="A643" s="57" t="s">
        <v>2209</v>
      </c>
      <c r="B643" s="7" t="s">
        <v>1281</v>
      </c>
      <c r="C643" s="7" t="s">
        <v>2216</v>
      </c>
      <c r="D643" s="28" t="e">
        <f>COUNTIF('[1]FF - Test Design'!D:D,C643)</f>
        <v>#VALUE!</v>
      </c>
      <c r="E643" s="8" t="s">
        <v>2217</v>
      </c>
      <c r="F643" s="57" t="str">
        <f>[1]!Table1[[#This Row],[Krav '#]]&amp;" - "&amp;[1]!Table1[[#This Row],[Beskrivelse]]</f>
        <v>13.4 - Såfremt brugeren svarer Nej/Ved ikke til spørgsmålet skal brugeren ledes videre til spørgsmål 13.c</v>
      </c>
    </row>
    <row r="644" spans="1:6" hidden="1" x14ac:dyDescent="0.3">
      <c r="A644" s="57" t="s">
        <v>2209</v>
      </c>
      <c r="B644" s="7" t="s">
        <v>2218</v>
      </c>
      <c r="C644" s="7" t="s">
        <v>2219</v>
      </c>
      <c r="D644" s="28" t="e">
        <f>COUNTIF('[1]FF - Test Design'!D:D,C644)</f>
        <v>#VALUE!</v>
      </c>
      <c r="E644" s="8" t="s">
        <v>2220</v>
      </c>
      <c r="F644" s="57" t="str">
        <f>[1]!Table1[[#This Row],[Krav '#]]&amp;" - "&amp;[1]!Table1[[#This Row],[Beskrivelse]]</f>
        <v xml:space="preserve">13.a.1 - Der skal være checkbokse med svarmulighederne: ”forfaldsdato”, ”sidste retti-dige betalingsdato”, ”stiftel-sesdato”, ”periode start” og ”periode slut” </v>
      </c>
    </row>
    <row r="645" spans="1:6" hidden="1" x14ac:dyDescent="0.3">
      <c r="A645" s="57" t="s">
        <v>2209</v>
      </c>
      <c r="B645" s="7" t="s">
        <v>2218</v>
      </c>
      <c r="C645" s="7" t="s">
        <v>2221</v>
      </c>
      <c r="D645" s="28" t="e">
        <f>COUNTIF('[1]FF - Test Design'!D:D,C645)</f>
        <v>#VALUE!</v>
      </c>
      <c r="E645" s="8" t="s">
        <v>2222</v>
      </c>
      <c r="F645" s="57" t="str">
        <f>[1]!Table1[[#This Row],[Krav '#]]&amp;" - "&amp;[1]!Table1[[#This Row],[Beskrivelse]]</f>
        <v>13.a.2 - Der skal være tekstbokse tilknyttet checkboksene til indtastning af dag, eller mulighed for indtast-ning af sidste dag i måneden (EOM).</v>
      </c>
    </row>
    <row r="646" spans="1:6" hidden="1" x14ac:dyDescent="0.3">
      <c r="A646" s="57" t="s">
        <v>2209</v>
      </c>
      <c r="B646" s="7" t="s">
        <v>2218</v>
      </c>
      <c r="C646" s="7" t="s">
        <v>2223</v>
      </c>
      <c r="D646" s="28" t="e">
        <f>COUNTIF('[1]FF - Test Design'!D:D,C646)</f>
        <v>#VALUE!</v>
      </c>
      <c r="E646" s="8" t="s">
        <v>2224</v>
      </c>
      <c r="F646" s="57" t="str">
        <f>[1]!Table1[[#This Row],[Krav '#]]&amp;" - "&amp;[1]!Table1[[#This Row],[Beskrivelse]]</f>
        <v>13.a.3 - Det skal kun være muligt for brugeren at vælge maksimalt to dage</v>
      </c>
    </row>
    <row r="647" spans="1:6" hidden="1" x14ac:dyDescent="0.3">
      <c r="A647" s="57" t="s">
        <v>2209</v>
      </c>
      <c r="B647" s="7" t="s">
        <v>2225</v>
      </c>
      <c r="C647" s="7" t="s">
        <v>2226</v>
      </c>
      <c r="D647" s="28" t="e">
        <f>COUNTIF('[1]FF - Test Design'!D:D,C647)</f>
        <v>#VALUE!</v>
      </c>
      <c r="E647" s="8" t="s">
        <v>2220</v>
      </c>
      <c r="F647" s="57" t="str">
        <f>[1]!Table1[[#This Row],[Krav '#]]&amp;" - "&amp;[1]!Table1[[#This Row],[Beskrivelse]]</f>
        <v xml:space="preserve">13.b.1 - Der skal være checkbokse med svarmulighederne: ”forfaldsdato”, ”sidste retti-dige betalingsdato”, ”stiftel-sesdato”, ”periode start” og ”periode slut” </v>
      </c>
    </row>
    <row r="648" spans="1:6" hidden="1" x14ac:dyDescent="0.3">
      <c r="A648" s="57" t="s">
        <v>2209</v>
      </c>
      <c r="B648" s="7" t="s">
        <v>2225</v>
      </c>
      <c r="C648" s="7" t="s">
        <v>2227</v>
      </c>
      <c r="D648" s="28" t="e">
        <f>COUNTIF('[1]FF - Test Design'!D:D,C648)</f>
        <v>#VALUE!</v>
      </c>
      <c r="E648" s="8" t="s">
        <v>2228</v>
      </c>
      <c r="F648" s="57" t="str">
        <f>[1]!Table1[[#This Row],[Krav '#]]&amp;" - "&amp;[1]!Table1[[#This Row],[Beskrivelse]]</f>
        <v>13.b.2 - Der skal være tekstbokse tilknyttet checkboksene til indtastning af måned.</v>
      </c>
    </row>
    <row r="649" spans="1:6" hidden="1" x14ac:dyDescent="0.3">
      <c r="A649" s="57" t="s">
        <v>2209</v>
      </c>
      <c r="B649" s="7" t="s">
        <v>2225</v>
      </c>
      <c r="C649" s="7" t="s">
        <v>2229</v>
      </c>
      <c r="D649" s="28" t="e">
        <f>COUNTIF('[1]FF - Test Design'!D:D,C649)</f>
        <v>#VALUE!</v>
      </c>
      <c r="E649" s="8" t="s">
        <v>2230</v>
      </c>
      <c r="F649" s="57" t="str">
        <f>[1]!Table1[[#This Row],[Krav '#]]&amp;" - "&amp;[1]!Table1[[#This Row],[Beskrivelse]]</f>
        <v>13.b.3 - Det skal kun være muligt for brugeren at vælge maksimalt to måneder</v>
      </c>
    </row>
    <row r="650" spans="1:6" hidden="1" x14ac:dyDescent="0.3">
      <c r="A650" s="57" t="s">
        <v>2209</v>
      </c>
      <c r="B650" s="7" t="s">
        <v>2225</v>
      </c>
      <c r="C650" s="7" t="s">
        <v>2229</v>
      </c>
      <c r="D650" s="28" t="e">
        <f>COUNTIF('[1]FF - Test Design'!D:D,C650)</f>
        <v>#VALUE!</v>
      </c>
      <c r="E650" s="8" t="s">
        <v>2231</v>
      </c>
      <c r="F650" s="57" t="str">
        <f>[1]!Table1[[#This Row],[Krav '#]]&amp;" - "&amp;[1]!Table1[[#This Row],[Beskrivelse]]</f>
        <v>13.b.3 - Brugeren ledes videre til spørgsmål 14</v>
      </c>
    </row>
    <row r="651" spans="1:6" hidden="1" x14ac:dyDescent="0.3">
      <c r="A651" s="57" t="s">
        <v>2209</v>
      </c>
      <c r="B651" s="7" t="s">
        <v>2232</v>
      </c>
      <c r="C651" s="7" t="s">
        <v>2233</v>
      </c>
      <c r="D651" s="28" t="e">
        <f>COUNTIF('[1]FF - Test Design'!D:D,C651)</f>
        <v>#VALUE!</v>
      </c>
      <c r="E651" s="8" t="s">
        <v>2234</v>
      </c>
      <c r="F651" s="57" t="str">
        <f>[1]!Table1[[#This Row],[Krav '#]]&amp;" - "&amp;[1]!Table1[[#This Row],[Beskrivelse]]</f>
        <v>13.c.1 - Regel R0075 deaktiveres</v>
      </c>
    </row>
    <row r="652" spans="1:6" hidden="1" x14ac:dyDescent="0.3">
      <c r="A652" s="57" t="s">
        <v>2209</v>
      </c>
      <c r="B652" s="7" t="s">
        <v>2232</v>
      </c>
      <c r="C652" s="7" t="s">
        <v>2235</v>
      </c>
      <c r="D652" s="28" t="e">
        <f>COUNTIF('[1]FF - Test Design'!D:D,C652)</f>
        <v>#VALUE!</v>
      </c>
      <c r="E652" s="8" t="s">
        <v>2236</v>
      </c>
      <c r="F652" s="57" t="str">
        <f>[1]!Table1[[#This Row],[Krav '#]]&amp;" - "&amp;[1]!Table1[[#This Row],[Beskrivelse]]</f>
        <v>13.c.2 - Regel R0076 deaktiveres</v>
      </c>
    </row>
    <row r="653" spans="1:6" hidden="1" x14ac:dyDescent="0.3">
      <c r="A653" s="57" t="s">
        <v>2209</v>
      </c>
      <c r="B653" s="7" t="s">
        <v>2232</v>
      </c>
      <c r="C653" s="7" t="s">
        <v>2237</v>
      </c>
      <c r="D653" s="28" t="e">
        <f>COUNTIF('[1]FF - Test Design'!D:D,C653)</f>
        <v>#VALUE!</v>
      </c>
      <c r="E653" s="8" t="s">
        <v>2238</v>
      </c>
      <c r="F653" s="57" t="str">
        <f>[1]!Table1[[#This Row],[Krav '#]]&amp;" - "&amp;[1]!Table1[[#This Row],[Beskrivelse]]</f>
        <v>13.c.3 - Regel R0077 deaktiveres</v>
      </c>
    </row>
    <row r="654" spans="1:6" hidden="1" x14ac:dyDescent="0.3">
      <c r="A654" s="57" t="s">
        <v>2209</v>
      </c>
      <c r="B654" s="7" t="s">
        <v>2232</v>
      </c>
      <c r="C654" s="7" t="s">
        <v>2239</v>
      </c>
      <c r="D654" s="28" t="e">
        <f>COUNTIF('[1]FF - Test Design'!D:D,C654)</f>
        <v>#VALUE!</v>
      </c>
      <c r="E654" s="8" t="s">
        <v>2240</v>
      </c>
      <c r="F654" s="57" t="str">
        <f>[1]!Table1[[#This Row],[Krav '#]]&amp;" - "&amp;[1]!Table1[[#This Row],[Beskrivelse]]</f>
        <v>13.c.4 - Regel R0078 deaktiveres</v>
      </c>
    </row>
    <row r="655" spans="1:6" hidden="1" x14ac:dyDescent="0.3">
      <c r="A655" s="57" t="s">
        <v>2209</v>
      </c>
      <c r="B655" s="7" t="s">
        <v>2232</v>
      </c>
      <c r="C655" s="7" t="s">
        <v>2241</v>
      </c>
      <c r="D655" s="28" t="e">
        <f>COUNTIF('[1]FF - Test Design'!D:D,C655)</f>
        <v>#VALUE!</v>
      </c>
      <c r="E655" s="8" t="s">
        <v>2242</v>
      </c>
      <c r="F655" s="57" t="str">
        <f>[1]!Table1[[#This Row],[Krav '#]]&amp;" - "&amp;[1]!Table1[[#This Row],[Beskrivelse]]</f>
        <v>13.c.5 - Regel R0079 deaktiveres</v>
      </c>
    </row>
    <row r="656" spans="1:6" hidden="1" x14ac:dyDescent="0.3">
      <c r="A656" s="57" t="s">
        <v>2209</v>
      </c>
      <c r="B656" s="7" t="s">
        <v>2232</v>
      </c>
      <c r="C656" s="7" t="s">
        <v>2243</v>
      </c>
      <c r="D656" s="28" t="e">
        <f>COUNTIF('[1]FF - Test Design'!D:D,C656)</f>
        <v>#VALUE!</v>
      </c>
      <c r="E656" s="8" t="s">
        <v>2244</v>
      </c>
      <c r="F656" s="57" t="str">
        <f>[1]!Table1[[#This Row],[Krav '#]]&amp;" - "&amp;[1]!Table1[[#This Row],[Beskrivelse]]</f>
        <v>13.c.6 - Regel R0080 deaktiveres</v>
      </c>
    </row>
    <row r="657" spans="1:6" hidden="1" x14ac:dyDescent="0.3">
      <c r="A657" s="57" t="s">
        <v>2209</v>
      </c>
      <c r="B657" s="7" t="s">
        <v>2232</v>
      </c>
      <c r="C657" s="7" t="s">
        <v>2245</v>
      </c>
      <c r="D657" s="28" t="e">
        <f>COUNTIF('[1]FF - Test Design'!D:D,C657)</f>
        <v>#VALUE!</v>
      </c>
      <c r="E657" s="8" t="s">
        <v>2246</v>
      </c>
      <c r="F657" s="57" t="str">
        <f>[1]!Table1[[#This Row],[Krav '#]]&amp;" - "&amp;[1]!Table1[[#This Row],[Beskrivelse]]</f>
        <v>13.c.7 - Regel R0081 deaktiveres</v>
      </c>
    </row>
    <row r="658" spans="1:6" hidden="1" x14ac:dyDescent="0.3">
      <c r="A658" s="57" t="s">
        <v>2209</v>
      </c>
      <c r="B658" s="7" t="s">
        <v>2232</v>
      </c>
      <c r="C658" s="7" t="s">
        <v>2247</v>
      </c>
      <c r="D658" s="28" t="e">
        <f>COUNTIF('[1]FF - Test Design'!D:D,C658)</f>
        <v>#VALUE!</v>
      </c>
      <c r="E658" s="8" t="s">
        <v>2248</v>
      </c>
      <c r="F658" s="57" t="str">
        <f>[1]!Table1[[#This Row],[Krav '#]]&amp;" - "&amp;[1]!Table1[[#This Row],[Beskrivelse]]</f>
        <v>13.c.8 - Regel R0082 deaktiveres</v>
      </c>
    </row>
    <row r="659" spans="1:6" hidden="1" x14ac:dyDescent="0.3">
      <c r="A659" s="57" t="s">
        <v>2209</v>
      </c>
      <c r="B659" s="7" t="s">
        <v>2232</v>
      </c>
      <c r="C659" s="7" t="s">
        <v>2249</v>
      </c>
      <c r="D659" s="28" t="e">
        <f>COUNTIF('[1]FF - Test Design'!D:D,C659)</f>
        <v>#VALUE!</v>
      </c>
      <c r="E659" s="8" t="s">
        <v>2250</v>
      </c>
      <c r="F659" s="57" t="str">
        <f>[1]!Table1[[#This Row],[Krav '#]]&amp;" - "&amp;[1]!Table1[[#This Row],[Beskrivelse]]</f>
        <v>13.c.9 - Regel R0083 deaktiveres</v>
      </c>
    </row>
    <row r="660" spans="1:6" hidden="1" x14ac:dyDescent="0.3">
      <c r="A660" s="57" t="s">
        <v>2209</v>
      </c>
      <c r="B660" s="7" t="s">
        <v>2232</v>
      </c>
      <c r="C660" s="7" t="s">
        <v>2251</v>
      </c>
      <c r="D660" s="28" t="e">
        <f>COUNTIF('[1]FF - Test Design'!D:D,C660)</f>
        <v>#VALUE!</v>
      </c>
      <c r="E660" s="8" t="s">
        <v>2252</v>
      </c>
      <c r="F660" s="57" t="str">
        <f>[1]!Table1[[#This Row],[Krav '#]]&amp;" - "&amp;[1]!Table1[[#This Row],[Beskrivelse]]</f>
        <v>13.c.10 - Regel R0084 deaktiveres</v>
      </c>
    </row>
    <row r="661" spans="1:6" hidden="1" x14ac:dyDescent="0.3">
      <c r="A661" s="57" t="s">
        <v>2209</v>
      </c>
      <c r="B661" s="7" t="s">
        <v>2232</v>
      </c>
      <c r="C661" s="7" t="s">
        <v>2253</v>
      </c>
      <c r="D661" s="28" t="e">
        <f>COUNTIF('[1]FF - Test Design'!D:D,C661)</f>
        <v>#VALUE!</v>
      </c>
      <c r="E661" s="8" t="s">
        <v>2254</v>
      </c>
      <c r="F661" s="57" t="str">
        <f>[1]!Table1[[#This Row],[Krav '#]]&amp;" - "&amp;[1]!Table1[[#This Row],[Beskrivelse]]</f>
        <v>13.c.11 - Regel R0085 deaktiveres</v>
      </c>
    </row>
    <row r="662" spans="1:6" hidden="1" x14ac:dyDescent="0.3">
      <c r="A662" s="57" t="s">
        <v>2209</v>
      </c>
      <c r="B662" s="7" t="s">
        <v>2232</v>
      </c>
      <c r="C662" s="7" t="s">
        <v>2255</v>
      </c>
      <c r="D662" s="28" t="e">
        <f>COUNTIF('[1]FF - Test Design'!D:D,C662)</f>
        <v>#VALUE!</v>
      </c>
      <c r="E662" s="8" t="s">
        <v>2256</v>
      </c>
      <c r="F662" s="57" t="str">
        <f>[1]!Table1[[#This Row],[Krav '#]]&amp;" - "&amp;[1]!Table1[[#This Row],[Beskrivelse]]</f>
        <v>13.c.12 - Regel R0086 deaktiveres</v>
      </c>
    </row>
    <row r="663" spans="1:6" hidden="1" x14ac:dyDescent="0.3">
      <c r="A663" s="57" t="s">
        <v>2209</v>
      </c>
      <c r="B663" s="7" t="s">
        <v>2232</v>
      </c>
      <c r="C663" s="7" t="s">
        <v>2257</v>
      </c>
      <c r="D663" s="28" t="e">
        <f>COUNTIF('[1]FF - Test Design'!D:D,C663)</f>
        <v>#VALUE!</v>
      </c>
      <c r="E663" s="8" t="s">
        <v>2258</v>
      </c>
      <c r="F663" s="57" t="str">
        <f>[1]!Table1[[#This Row],[Krav '#]]&amp;" - "&amp;[1]!Table1[[#This Row],[Beskrivelse]]</f>
        <v>13.c.13 - Regel R0087 deaktiveres</v>
      </c>
    </row>
    <row r="664" spans="1:6" hidden="1" x14ac:dyDescent="0.3">
      <c r="A664" s="57" t="s">
        <v>2209</v>
      </c>
      <c r="B664" s="7" t="s">
        <v>2232</v>
      </c>
      <c r="C664" s="7" t="s">
        <v>2259</v>
      </c>
      <c r="D664" s="28" t="e">
        <f>COUNTIF('[1]FF - Test Design'!D:D,C664)</f>
        <v>#VALUE!</v>
      </c>
      <c r="E664" s="8" t="s">
        <v>2260</v>
      </c>
      <c r="F664" s="57" t="str">
        <f>[1]!Table1[[#This Row],[Krav '#]]&amp;" - "&amp;[1]!Table1[[#This Row],[Beskrivelse]]</f>
        <v>13.c.14 - Regel R0088 deaktiveres</v>
      </c>
    </row>
    <row r="665" spans="1:6" hidden="1" x14ac:dyDescent="0.3">
      <c r="A665" s="57" t="s">
        <v>2209</v>
      </c>
      <c r="B665" s="7" t="s">
        <v>2232</v>
      </c>
      <c r="C665" s="7" t="s">
        <v>2261</v>
      </c>
      <c r="D665" s="28" t="e">
        <f>COUNTIF('[1]FF - Test Design'!D:D,C665)</f>
        <v>#VALUE!</v>
      </c>
      <c r="E665" s="8" t="s">
        <v>2262</v>
      </c>
      <c r="F665" s="57" t="str">
        <f>[1]!Table1[[#This Row],[Krav '#]]&amp;" - "&amp;[1]!Table1[[#This Row],[Beskrivelse]]</f>
        <v>13.c.15 - Regel R0089 deaktiveres</v>
      </c>
    </row>
    <row r="666" spans="1:6" hidden="1" x14ac:dyDescent="0.3">
      <c r="A666" s="57" t="s">
        <v>2209</v>
      </c>
      <c r="B666" s="7" t="s">
        <v>2232</v>
      </c>
      <c r="C666" s="7" t="s">
        <v>2263</v>
      </c>
      <c r="D666" s="28" t="e">
        <f>COUNTIF('[1]FF - Test Design'!D:D,C666)</f>
        <v>#VALUE!</v>
      </c>
      <c r="E666" s="8" t="s">
        <v>2264</v>
      </c>
      <c r="F666" s="57" t="str">
        <f>[1]!Table1[[#This Row],[Krav '#]]&amp;" - "&amp;[1]!Table1[[#This Row],[Beskrivelse]]</f>
        <v>13.c.16 - Regel R0090 deaktiveres</v>
      </c>
    </row>
    <row r="667" spans="1:6" hidden="1" x14ac:dyDescent="0.3">
      <c r="A667" s="57" t="s">
        <v>2209</v>
      </c>
      <c r="B667" s="7" t="s">
        <v>2232</v>
      </c>
      <c r="C667" s="7" t="s">
        <v>2265</v>
      </c>
      <c r="D667" s="28" t="e">
        <f>COUNTIF('[1]FF - Test Design'!D:D,C667)</f>
        <v>#VALUE!</v>
      </c>
      <c r="E667" s="8" t="s">
        <v>2266</v>
      </c>
      <c r="F667" s="57" t="str">
        <f>[1]!Table1[[#This Row],[Krav '#]]&amp;" - "&amp;[1]!Table1[[#This Row],[Beskrivelse]]</f>
        <v>13.c.17 - Regel R0091 deaktiveres</v>
      </c>
    </row>
    <row r="668" spans="1:6" hidden="1" x14ac:dyDescent="0.3">
      <c r="A668" s="57" t="s">
        <v>2209</v>
      </c>
      <c r="B668" s="7" t="s">
        <v>2232</v>
      </c>
      <c r="C668" s="7" t="s">
        <v>2267</v>
      </c>
      <c r="D668" s="28" t="e">
        <f>COUNTIF('[1]FF - Test Design'!D:D,C668)</f>
        <v>#VALUE!</v>
      </c>
      <c r="E668" s="8" t="s">
        <v>2268</v>
      </c>
      <c r="F668" s="57" t="str">
        <f>[1]!Table1[[#This Row],[Krav '#]]&amp;" - "&amp;[1]!Table1[[#This Row],[Beskrivelse]]</f>
        <v>13.c.18 - Regel R0092 deaktiveres</v>
      </c>
    </row>
    <row r="669" spans="1:6" hidden="1" x14ac:dyDescent="0.3">
      <c r="A669" s="57" t="s">
        <v>2209</v>
      </c>
      <c r="B669" s="7" t="s">
        <v>2232</v>
      </c>
      <c r="C669" s="7" t="s">
        <v>2269</v>
      </c>
      <c r="D669" s="28" t="e">
        <f>COUNTIF('[1]FF - Test Design'!D:D,C669)</f>
        <v>#VALUE!</v>
      </c>
      <c r="E669" s="8" t="s">
        <v>2270</v>
      </c>
      <c r="F669" s="57" t="str">
        <f>[1]!Table1[[#This Row],[Krav '#]]&amp;" - "&amp;[1]!Table1[[#This Row],[Beskrivelse]]</f>
        <v>13.c.19 - Regel R0093 deaktiveres</v>
      </c>
    </row>
    <row r="670" spans="1:6" hidden="1" x14ac:dyDescent="0.3">
      <c r="A670" s="57" t="s">
        <v>2209</v>
      </c>
      <c r="B670" s="7" t="s">
        <v>2232</v>
      </c>
      <c r="C670" s="7" t="s">
        <v>2271</v>
      </c>
      <c r="D670" s="28" t="e">
        <f>COUNTIF('[1]FF - Test Design'!D:D,C670)</f>
        <v>#VALUE!</v>
      </c>
      <c r="E670" s="8" t="s">
        <v>2272</v>
      </c>
      <c r="F670" s="57" t="str">
        <f>[1]!Table1[[#This Row],[Krav '#]]&amp;" - "&amp;[1]!Table1[[#This Row],[Beskrivelse]]</f>
        <v>13.c.20 - Regel R0094 deaktiveres</v>
      </c>
    </row>
    <row r="671" spans="1:6" hidden="1" x14ac:dyDescent="0.3">
      <c r="A671" s="57" t="s">
        <v>2209</v>
      </c>
      <c r="B671" s="7" t="s">
        <v>2232</v>
      </c>
      <c r="C671" s="7" t="s">
        <v>2273</v>
      </c>
      <c r="D671" s="28" t="e">
        <f>COUNTIF('[1]FF - Test Design'!D:D,C671)</f>
        <v>#VALUE!</v>
      </c>
      <c r="E671" s="8" t="s">
        <v>2231</v>
      </c>
      <c r="F671" s="57" t="str">
        <f>[1]!Table1[[#This Row],[Krav '#]]&amp;" - "&amp;[1]!Table1[[#This Row],[Beskrivelse]]</f>
        <v>13.c.21 - Brugeren ledes videre til spørgsmål 14</v>
      </c>
    </row>
    <row r="672" spans="1:6" hidden="1" x14ac:dyDescent="0.3">
      <c r="A672" s="57" t="s">
        <v>2274</v>
      </c>
      <c r="B672" s="7" t="s">
        <v>601</v>
      </c>
      <c r="C672" s="7" t="s">
        <v>2275</v>
      </c>
      <c r="D672" s="28" t="e">
        <f>COUNTIF('[1]FF - Test Design'!D:D,C672)</f>
        <v>#VALUE!</v>
      </c>
      <c r="E672" s="8" t="s">
        <v>2276</v>
      </c>
      <c r="F672" s="57" t="str">
        <f>[1]!Table1[[#This Row],[Krav '#]]&amp;" - "&amp;[1]!Table1[[#This Row],[Beskrivelse]]</f>
        <v xml:space="preserve">14.1 - Det skal være muligt for brugeren, via "Ja/Nej" at svare på om fordringshaver sender fordringer omfattet af den afgrænsede population til inddrivelse før eller samtidig med udløbet af én eller flere af de registrerede datoer i datafelterne ”forfaldsdato”, ”sidste rettidige betalingsda-to”, ”stiftelsesdato”, ”periode start”, og ”periode slut”? </v>
      </c>
    </row>
    <row r="673" spans="1:6" hidden="1" x14ac:dyDescent="0.3">
      <c r="A673" s="57" t="s">
        <v>2274</v>
      </c>
      <c r="B673" s="7" t="s">
        <v>601</v>
      </c>
      <c r="C673" s="7" t="s">
        <v>2277</v>
      </c>
      <c r="D673" s="28" t="e">
        <f>COUNTIF('[1]FF - Test Design'!D:D,C673)</f>
        <v>#VALUE!</v>
      </c>
      <c r="E673" s="8" t="s">
        <v>2278</v>
      </c>
      <c r="F673" s="57" t="str">
        <f>[1]!Table1[[#This Row],[Krav '#]]&amp;" - "&amp;[1]!Table1[[#This Row],[Beskrivelse]]</f>
        <v>14.2 - Såfremt brugeren svarer nej skal brugeren ledes til spørgsmål 14.a</v>
      </c>
    </row>
    <row r="674" spans="1:6" hidden="1" x14ac:dyDescent="0.3">
      <c r="A674" s="57" t="s">
        <v>2274</v>
      </c>
      <c r="B674" s="7" t="s">
        <v>601</v>
      </c>
      <c r="C674" s="7" t="s">
        <v>2279</v>
      </c>
      <c r="D674" s="28" t="e">
        <f>COUNTIF('[1]FF - Test Design'!D:D,C674)</f>
        <v>#VALUE!</v>
      </c>
      <c r="E674" s="8" t="s">
        <v>2280</v>
      </c>
      <c r="F674" s="57" t="str">
        <f>[1]!Table1[[#This Row],[Krav '#]]&amp;" - "&amp;[1]!Table1[[#This Row],[Beskrivelse]]</f>
        <v>14.3 - Såfremt brugeren svarer ja skal brugeren ledes til spørgsmål 14.b</v>
      </c>
    </row>
    <row r="675" spans="1:6" hidden="1" x14ac:dyDescent="0.3">
      <c r="A675" s="57" t="s">
        <v>2274</v>
      </c>
      <c r="B675" s="7" t="s">
        <v>2281</v>
      </c>
      <c r="C675" s="7" t="s">
        <v>2282</v>
      </c>
      <c r="D675" s="28" t="e">
        <f>COUNTIF('[1]FF - Test Design'!D:D,C675)</f>
        <v>#VALUE!</v>
      </c>
      <c r="E675" s="8" t="s">
        <v>2283</v>
      </c>
      <c r="F675" s="57" t="str">
        <f>[1]!Table1[[#This Row],[Krav '#]]&amp;" - "&amp;[1]!Table1[[#This Row],[Beskrivelse]]</f>
        <v xml:space="preserve">14.a.1 - Regel R0023 opsættes således, at datoerne i datafelterne forfaldsdato, sidste rettidige betalingsdato, periode start, periode slut og stiftelsesdato skal ligge før modtagelsesdatoen. </v>
      </c>
    </row>
    <row r="676" spans="1:6" hidden="1" x14ac:dyDescent="0.3">
      <c r="A676" s="57" t="s">
        <v>2274</v>
      </c>
      <c r="B676" s="7" t="s">
        <v>2281</v>
      </c>
      <c r="C676" s="7" t="s">
        <v>2284</v>
      </c>
      <c r="D676" s="28" t="e">
        <f>COUNTIF('[1]FF - Test Design'!D:D,C676)</f>
        <v>#VALUE!</v>
      </c>
      <c r="E676" s="8" t="s">
        <v>2285</v>
      </c>
      <c r="F676" s="57" t="str">
        <f>[1]!Table1[[#This Row],[Krav '#]]&amp;" - "&amp;[1]!Table1[[#This Row],[Beskrivelse]]</f>
        <v xml:space="preserve">14.a.2 - Regel R0024 opsættes således, at datoerne i datafelterne forfaldsdato, sidste rettidige betalingsdato, periode start, periode slut og stiftelsesdato skal ligge før modtagelsesdatoen. </v>
      </c>
    </row>
    <row r="677" spans="1:6" hidden="1" x14ac:dyDescent="0.3">
      <c r="A677" s="57" t="s">
        <v>2274</v>
      </c>
      <c r="B677" s="7" t="s">
        <v>2281</v>
      </c>
      <c r="C677" s="7" t="s">
        <v>2286</v>
      </c>
      <c r="D677" s="28" t="e">
        <f>COUNTIF('[1]FF - Test Design'!D:D,C677)</f>
        <v>#VALUE!</v>
      </c>
      <c r="E677" s="8" t="s">
        <v>2287</v>
      </c>
      <c r="F677" s="57" t="str">
        <f>[1]!Table1[[#This Row],[Krav '#]]&amp;" - "&amp;[1]!Table1[[#This Row],[Beskrivelse]]</f>
        <v xml:space="preserve">14.a.3 - Regel R0025 opsættes således, at datoerne i datafelterne forfaldsdato, sidste rettidige betalingsdato, periode start, periode slut og stiftelsesdato skal ligge før modtagelsesdatoen. </v>
      </c>
    </row>
    <row r="678" spans="1:6" hidden="1" x14ac:dyDescent="0.3">
      <c r="A678" s="57" t="s">
        <v>2274</v>
      </c>
      <c r="B678" s="7" t="s">
        <v>2281</v>
      </c>
      <c r="C678" s="7" t="s">
        <v>2288</v>
      </c>
      <c r="D678" s="28" t="e">
        <f>COUNTIF('[1]FF - Test Design'!D:D,C678)</f>
        <v>#VALUE!</v>
      </c>
      <c r="E678" s="8" t="s">
        <v>2289</v>
      </c>
      <c r="F678" s="57" t="str">
        <f>[1]!Table1[[#This Row],[Krav '#]]&amp;" - "&amp;[1]!Table1[[#This Row],[Beskrivelse]]</f>
        <v xml:space="preserve">14.a.4 - Regel R0026 opsættes således, at datoerne i datafelterne forfaldsdato, sidste rettidige betalingsdato, periode start, periode slut og stiftelsesdato skal ligge før modtagelsesdatoen. </v>
      </c>
    </row>
    <row r="679" spans="1:6" hidden="1" x14ac:dyDescent="0.3">
      <c r="A679" s="57" t="s">
        <v>2274</v>
      </c>
      <c r="B679" s="7" t="s">
        <v>2281</v>
      </c>
      <c r="C679" s="7" t="s">
        <v>2290</v>
      </c>
      <c r="D679" s="28" t="e">
        <f>COUNTIF('[1]FF - Test Design'!D:D,C679)</f>
        <v>#VALUE!</v>
      </c>
      <c r="E679" s="8" t="s">
        <v>2291</v>
      </c>
      <c r="F679" s="57" t="str">
        <f>[1]!Table1[[#This Row],[Krav '#]]&amp;" - "&amp;[1]!Table1[[#This Row],[Beskrivelse]]</f>
        <v xml:space="preserve">14.a.5 - Regel R0027 opsættes således, at datoerne i datafelterne forfaldsdato, sidste rettidige betalingsdato, periode start, periode slut og stiftelsesdato skal ligge før modtagelsesdatoen. </v>
      </c>
    </row>
    <row r="680" spans="1:6" hidden="1" x14ac:dyDescent="0.3">
      <c r="A680" s="57" t="s">
        <v>2292</v>
      </c>
      <c r="B680" s="7" t="s">
        <v>2293</v>
      </c>
      <c r="C680" s="7" t="s">
        <v>2294</v>
      </c>
      <c r="D680" s="28" t="e">
        <f>COUNTIF('[1]FF - Test Design'!D:D,C680)</f>
        <v>#VALUE!</v>
      </c>
      <c r="E680" s="8" t="s">
        <v>2220</v>
      </c>
      <c r="F680" s="57" t="str">
        <f>[1]!Table1[[#This Row],[Krav '#]]&amp;" - "&amp;[1]!Table1[[#This Row],[Beskrivelse]]</f>
        <v xml:space="preserve">14.b.1 - Der skal være checkbokse med svarmulighederne: ”forfaldsdato”, ”sidste retti-dige betalingsdato”, ”stiftel-sesdato”, ”periode start” og ”periode slut” </v>
      </c>
    </row>
    <row r="681" spans="1:6" hidden="1" x14ac:dyDescent="0.3">
      <c r="A681" s="57" t="s">
        <v>2292</v>
      </c>
      <c r="B681" s="7" t="s">
        <v>2293</v>
      </c>
      <c r="C681" s="7" t="s">
        <v>2295</v>
      </c>
      <c r="D681" s="28" t="e">
        <f>COUNTIF('[1]FF - Test Design'!D:D,C681)</f>
        <v>#VALUE!</v>
      </c>
      <c r="E681" s="8" t="s">
        <v>2296</v>
      </c>
      <c r="F681" s="57" t="str">
        <f>[1]!Table1[[#This Row],[Krav '#]]&amp;" - "&amp;[1]!Table1[[#This Row],[Beskrivelse]]</f>
        <v>14.b.2 - Der skal indsættes en oplysningsboks ved siden af spørgsmålet med følgende indhold:
”Det fremgår af gældsinddrivelseslovens § 2, stk. 3, 1. pkt., at fordringer overdrages til RIM, når betalingsfristen er overskredet og sædvanlig ryk-kerprocedure forgæves er gennemført. Det be-tyder, at ”sidste rettidige betalingsdato” skal væ-re udløbet, før fordringen oversendes til inddri-velse. Det er i den forbindelse det juridiske ud-gangspunkt, at ”stiftelsesdato” og ”forfaldsdato” skal være udløbet før eller samtidig med ”sidste rettidige betalingsdato”.</v>
      </c>
    </row>
    <row r="682" spans="1:6" hidden="1" x14ac:dyDescent="0.3">
      <c r="A682" s="57" t="s">
        <v>2292</v>
      </c>
      <c r="B682" s="7" t="s">
        <v>2293</v>
      </c>
      <c r="C682" s="7" t="s">
        <v>2297</v>
      </c>
      <c r="D682" s="28" t="e">
        <f>COUNTIF('[1]FF - Test Design'!D:D,C682)</f>
        <v>#VALUE!</v>
      </c>
      <c r="E682" s="8" t="s">
        <v>2298</v>
      </c>
      <c r="F682" s="57" t="str">
        <f>[1]!Table1[[#This Row],[Krav '#]]&amp;" - "&amp;[1]!Table1[[#This Row],[Beskrivelse]]</f>
        <v>14.b.3 - Hvis brugeren vælger periode slut skal brugeren ledes til 14.b.1</v>
      </c>
    </row>
    <row r="683" spans="1:6" hidden="1" x14ac:dyDescent="0.3">
      <c r="A683" s="57" t="s">
        <v>2292</v>
      </c>
      <c r="B683" s="7" t="s">
        <v>2293</v>
      </c>
      <c r="C683" s="7" t="s">
        <v>2299</v>
      </c>
      <c r="D683" s="28" t="e">
        <f>COUNTIF('[1]FF - Test Design'!D:D,C683)</f>
        <v>#VALUE!</v>
      </c>
      <c r="E683" s="8" t="s">
        <v>2300</v>
      </c>
      <c r="F683" s="57" t="str">
        <f>[1]!Table1[[#This Row],[Krav '#]]&amp;" - "&amp;[1]!Table1[[#This Row],[Beskrivelse]]</f>
        <v>14.b.4 - Hvis brugeren vælger forfaldsdato skal brugeren ledes til 14.b.2</v>
      </c>
    </row>
    <row r="684" spans="1:6" hidden="1" x14ac:dyDescent="0.3">
      <c r="A684" s="57" t="s">
        <v>2292</v>
      </c>
      <c r="B684" s="7" t="s">
        <v>2293</v>
      </c>
      <c r="C684" s="7" t="s">
        <v>2301</v>
      </c>
      <c r="D684" s="28" t="e">
        <f>COUNTIF('[1]FF - Test Design'!D:D,C684)</f>
        <v>#VALUE!</v>
      </c>
      <c r="E684" s="8" t="s">
        <v>2302</v>
      </c>
      <c r="F684" s="57" t="str">
        <f>[1]!Table1[[#This Row],[Krav '#]]&amp;" - "&amp;[1]!Table1[[#This Row],[Beskrivelse]]</f>
        <v>14.b.5 - Hvis brugeren vælger sidste rettidige betalingsdato skal brugeren ledes til 14.b.2</v>
      </c>
    </row>
    <row r="685" spans="1:6" hidden="1" x14ac:dyDescent="0.3">
      <c r="A685" s="57" t="s">
        <v>2292</v>
      </c>
      <c r="B685" s="7" t="s">
        <v>2293</v>
      </c>
      <c r="C685" s="7" t="s">
        <v>2303</v>
      </c>
      <c r="D685" s="28" t="e">
        <f>COUNTIF('[1]FF - Test Design'!D:D,C685)</f>
        <v>#VALUE!</v>
      </c>
      <c r="E685" s="8" t="s">
        <v>2304</v>
      </c>
      <c r="F685" s="57" t="str">
        <f>[1]!Table1[[#This Row],[Krav '#]]&amp;" - "&amp;[1]!Table1[[#This Row],[Beskrivelse]]</f>
        <v>14.b.6 - Hvis brugeren vælger stiftelsesdato skal brugeren ledes til 14.b.2</v>
      </c>
    </row>
    <row r="686" spans="1:6" hidden="1" x14ac:dyDescent="0.3">
      <c r="A686" s="57" t="s">
        <v>2292</v>
      </c>
      <c r="B686" s="7" t="s">
        <v>2293</v>
      </c>
      <c r="C686" s="7" t="s">
        <v>2305</v>
      </c>
      <c r="D686" s="28" t="e">
        <f>COUNTIF('[1]FF - Test Design'!D:D,C686)</f>
        <v>#VALUE!</v>
      </c>
      <c r="E686" s="8" t="s">
        <v>2306</v>
      </c>
      <c r="F686" s="57" t="str">
        <f>[1]!Table1[[#This Row],[Krav '#]]&amp;" - "&amp;[1]!Table1[[#This Row],[Beskrivelse]]</f>
        <v>14.b.7 - Hvis brugeren vælger periode start skal brugeren ledes til 14.b.2</v>
      </c>
    </row>
    <row r="687" spans="1:6" hidden="1" x14ac:dyDescent="0.3">
      <c r="A687" s="57" t="s">
        <v>2307</v>
      </c>
      <c r="B687" s="7" t="s">
        <v>2308</v>
      </c>
      <c r="C687" s="7" t="s">
        <v>2309</v>
      </c>
      <c r="D687" s="28" t="e">
        <f>COUNTIF('[1]FF - Test Design'!D:D,C687)</f>
        <v>#VALUE!</v>
      </c>
      <c r="E687" s="8"/>
      <c r="F687" s="57" t="str">
        <f>[1]!Table1[[#This Row],[Krav '#]]&amp;" - "&amp;[1]!Table1[[#This Row],[Beskrivelse]]</f>
        <v xml:space="preserve">15.1 - </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9CA4-48B4-4303-A566-C452836C1F64}">
  <sheetPr codeName="Sheet8"/>
  <dimension ref="A1:A34"/>
  <sheetViews>
    <sheetView workbookViewId="0">
      <selection sqref="A1:XFD6"/>
    </sheetView>
  </sheetViews>
  <sheetFormatPr defaultRowHeight="14.4" x14ac:dyDescent="0.3"/>
  <sheetData>
    <row r="1" spans="1:1" x14ac:dyDescent="0.3">
      <c r="A1" t="s">
        <v>2310</v>
      </c>
    </row>
    <row r="2" spans="1:1" x14ac:dyDescent="0.3">
      <c r="A2" t="s">
        <v>2311</v>
      </c>
    </row>
    <row r="3" spans="1:1" x14ac:dyDescent="0.3">
      <c r="A3" t="s">
        <v>2312</v>
      </c>
    </row>
    <row r="4" spans="1:1" x14ac:dyDescent="0.3">
      <c r="A4" t="s">
        <v>2313</v>
      </c>
    </row>
    <row r="5" spans="1:1" x14ac:dyDescent="0.3">
      <c r="A5" t="s">
        <v>2314</v>
      </c>
    </row>
    <row r="6" spans="1:1" x14ac:dyDescent="0.3">
      <c r="A6" t="s">
        <v>2315</v>
      </c>
    </row>
    <row r="7" spans="1:1" x14ac:dyDescent="0.3">
      <c r="A7" t="s">
        <v>2316</v>
      </c>
    </row>
    <row r="8" spans="1:1" x14ac:dyDescent="0.3">
      <c r="A8" t="s">
        <v>2317</v>
      </c>
    </row>
    <row r="9" spans="1:1" x14ac:dyDescent="0.3">
      <c r="A9" t="s">
        <v>2318</v>
      </c>
    </row>
    <row r="10" spans="1:1" x14ac:dyDescent="0.3">
      <c r="A10" t="s">
        <v>2319</v>
      </c>
    </row>
    <row r="11" spans="1:1" x14ac:dyDescent="0.3">
      <c r="A11" t="s">
        <v>2320</v>
      </c>
    </row>
    <row r="12" spans="1:1" x14ac:dyDescent="0.3">
      <c r="A12" t="s">
        <v>2321</v>
      </c>
    </row>
    <row r="13" spans="1:1" x14ac:dyDescent="0.3">
      <c r="A13" t="s">
        <v>2322</v>
      </c>
    </row>
    <row r="14" spans="1:1" x14ac:dyDescent="0.3">
      <c r="A14" t="s">
        <v>2323</v>
      </c>
    </row>
    <row r="15" spans="1:1" x14ac:dyDescent="0.3">
      <c r="A15" t="s">
        <v>2324</v>
      </c>
    </row>
    <row r="16" spans="1:1" x14ac:dyDescent="0.3">
      <c r="A16" t="s">
        <v>2325</v>
      </c>
    </row>
    <row r="17" spans="1:1" x14ac:dyDescent="0.3">
      <c r="A17" t="s">
        <v>2326</v>
      </c>
    </row>
    <row r="18" spans="1:1" x14ac:dyDescent="0.3">
      <c r="A18" t="s">
        <v>2327</v>
      </c>
    </row>
    <row r="19" spans="1:1" x14ac:dyDescent="0.3">
      <c r="A19" t="s">
        <v>2328</v>
      </c>
    </row>
    <row r="20" spans="1:1" x14ac:dyDescent="0.3">
      <c r="A20" t="s">
        <v>2329</v>
      </c>
    </row>
    <row r="21" spans="1:1" x14ac:dyDescent="0.3">
      <c r="A21" t="s">
        <v>2330</v>
      </c>
    </row>
    <row r="22" spans="1:1" x14ac:dyDescent="0.3">
      <c r="A22" t="s">
        <v>2331</v>
      </c>
    </row>
    <row r="23" spans="1:1" x14ac:dyDescent="0.3">
      <c r="A23" t="s">
        <v>2332</v>
      </c>
    </row>
    <row r="24" spans="1:1" x14ac:dyDescent="0.3">
      <c r="A24" t="s">
        <v>2333</v>
      </c>
    </row>
    <row r="25" spans="1:1" x14ac:dyDescent="0.3">
      <c r="A25" t="s">
        <v>2334</v>
      </c>
    </row>
    <row r="26" spans="1:1" x14ac:dyDescent="0.3">
      <c r="A26" t="s">
        <v>2335</v>
      </c>
    </row>
    <row r="27" spans="1:1" x14ac:dyDescent="0.3">
      <c r="A27" t="s">
        <v>2336</v>
      </c>
    </row>
    <row r="28" spans="1:1" x14ac:dyDescent="0.3">
      <c r="A28" t="s">
        <v>2337</v>
      </c>
    </row>
    <row r="29" spans="1:1" x14ac:dyDescent="0.3">
      <c r="A29" t="s">
        <v>2338</v>
      </c>
    </row>
    <row r="30" spans="1:1" x14ac:dyDescent="0.3">
      <c r="A30" t="s">
        <v>2397</v>
      </c>
    </row>
    <row r="31" spans="1:1" x14ac:dyDescent="0.3">
      <c r="A31" t="s">
        <v>2398</v>
      </c>
    </row>
    <row r="32" spans="1:1" x14ac:dyDescent="0.3">
      <c r="A32" t="s">
        <v>2399</v>
      </c>
    </row>
    <row r="33" spans="1:1" x14ac:dyDescent="0.3">
      <c r="A33" t="s">
        <v>2400</v>
      </c>
    </row>
    <row r="34" spans="1:1" x14ac:dyDescent="0.3">
      <c r="A34" t="s">
        <v>2401</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626F9-685B-4197-9FDA-B8F38305D49B}">
  <sheetPr codeName="Sheet2"/>
  <dimension ref="A1:AL2634"/>
  <sheetViews>
    <sheetView tabSelected="1" topLeftCell="A14" zoomScale="80" zoomScaleNormal="80" workbookViewId="0">
      <selection activeCell="J19" sqref="J19"/>
    </sheetView>
  </sheetViews>
  <sheetFormatPr defaultRowHeight="16.5" customHeight="1" x14ac:dyDescent="0.3"/>
  <cols>
    <col min="2" max="2" width="13.109375" customWidth="1"/>
    <col min="4" max="4" width="15.88671875" customWidth="1"/>
    <col min="5" max="5" width="50.33203125" style="5" customWidth="1"/>
    <col min="6" max="6" width="25.109375" style="5" bestFit="1" customWidth="1"/>
    <col min="7" max="7" width="19.6640625" customWidth="1"/>
    <col min="8" max="8" width="50.6640625" style="5" customWidth="1"/>
    <col min="9" max="9" width="27.109375" customWidth="1"/>
    <col min="10" max="11" width="17.88671875" style="6" customWidth="1"/>
    <col min="12" max="12" width="10.88671875" customWidth="1"/>
    <col min="13" max="13" width="17.5546875" bestFit="1" customWidth="1"/>
    <col min="14" max="14" width="17.109375" customWidth="1"/>
    <col min="15" max="15" width="27.109375" customWidth="1"/>
    <col min="16" max="16" width="22.33203125" bestFit="1" customWidth="1"/>
    <col min="17" max="17" width="35.6640625" bestFit="1" customWidth="1"/>
    <col min="18" max="18" width="37" bestFit="1" customWidth="1"/>
    <col min="19" max="19" width="16.88671875" customWidth="1"/>
    <col min="20" max="20" width="13.33203125" bestFit="1" customWidth="1"/>
    <col min="21" max="21" width="16.44140625" customWidth="1"/>
    <col min="22" max="22" width="40" customWidth="1"/>
    <col min="23" max="23" width="22.44140625" customWidth="1"/>
    <col min="24" max="24" width="27.6640625" customWidth="1"/>
    <col min="31" max="31" width="29" customWidth="1"/>
  </cols>
  <sheetData>
    <row r="1" spans="1:25" s="57" customFormat="1" ht="16.5" customHeight="1" x14ac:dyDescent="0.3">
      <c r="E1" s="5"/>
      <c r="F1" s="5"/>
      <c r="H1" s="5"/>
      <c r="N1" s="58" t="s">
        <v>199</v>
      </c>
      <c r="O1" s="58" t="s">
        <v>200</v>
      </c>
      <c r="P1" s="58" t="s">
        <v>8</v>
      </c>
      <c r="Q1" s="58" t="s">
        <v>8</v>
      </c>
      <c r="R1" s="58" t="s">
        <v>8</v>
      </c>
      <c r="S1" s="58" t="s">
        <v>8</v>
      </c>
      <c r="T1" s="58" t="s">
        <v>8</v>
      </c>
      <c r="U1" s="58" t="s">
        <v>8</v>
      </c>
      <c r="V1" s="58" t="s">
        <v>8</v>
      </c>
      <c r="W1" s="58" t="s">
        <v>8</v>
      </c>
    </row>
    <row r="2" spans="1:25" s="57" customFormat="1" ht="16.5" customHeight="1" x14ac:dyDescent="0.3">
      <c r="E2" s="5"/>
      <c r="F2" s="5"/>
      <c r="H2" s="5"/>
      <c r="N2" s="58" t="s">
        <v>19</v>
      </c>
      <c r="O2" s="58" t="s">
        <v>19</v>
      </c>
      <c r="P2" s="58" t="s">
        <v>11</v>
      </c>
      <c r="Q2" s="58" t="s">
        <v>11</v>
      </c>
      <c r="R2" s="58" t="s">
        <v>11</v>
      </c>
      <c r="S2" s="58" t="s">
        <v>11</v>
      </c>
      <c r="T2" s="58" t="s">
        <v>11</v>
      </c>
      <c r="U2" s="58" t="s">
        <v>11</v>
      </c>
      <c r="V2" s="58" t="s">
        <v>11</v>
      </c>
      <c r="W2" s="58" t="s">
        <v>11</v>
      </c>
    </row>
    <row r="3" spans="1:25" s="57" customFormat="1" ht="14.4" x14ac:dyDescent="0.3">
      <c r="A3" s="50" t="s">
        <v>6</v>
      </c>
      <c r="B3" s="51" t="s">
        <v>7</v>
      </c>
      <c r="C3" s="31" t="s">
        <v>0</v>
      </c>
      <c r="D3" s="31" t="s">
        <v>22</v>
      </c>
      <c r="E3" s="52" t="s">
        <v>99</v>
      </c>
      <c r="F3" s="52" t="s">
        <v>216</v>
      </c>
      <c r="G3" s="31" t="s">
        <v>217</v>
      </c>
      <c r="H3" s="52" t="s">
        <v>28</v>
      </c>
      <c r="I3" s="31" t="s">
        <v>218</v>
      </c>
      <c r="J3" s="31" t="s">
        <v>219</v>
      </c>
      <c r="K3" s="31" t="s">
        <v>220</v>
      </c>
      <c r="L3" s="31" t="s">
        <v>1</v>
      </c>
      <c r="M3" s="55" t="s">
        <v>233</v>
      </c>
      <c r="N3" s="62" t="s">
        <v>201</v>
      </c>
      <c r="O3" s="62" t="s">
        <v>202</v>
      </c>
      <c r="P3" s="26" t="s">
        <v>9</v>
      </c>
      <c r="Q3" s="26" t="s">
        <v>9</v>
      </c>
      <c r="R3" s="26" t="s">
        <v>9</v>
      </c>
      <c r="S3" s="26" t="s">
        <v>9</v>
      </c>
      <c r="T3" s="26" t="s">
        <v>9</v>
      </c>
      <c r="U3" s="26" t="s">
        <v>9</v>
      </c>
      <c r="V3" s="26" t="s">
        <v>9</v>
      </c>
      <c r="W3" s="26" t="s">
        <v>108</v>
      </c>
    </row>
    <row r="4" spans="1:25" s="1" customFormat="1" ht="33" customHeight="1" x14ac:dyDescent="0.3">
      <c r="A4" s="16">
        <v>1</v>
      </c>
      <c r="B4" s="16">
        <v>1</v>
      </c>
      <c r="C4" s="17" t="str">
        <f t="shared" ref="C4:C14" si="0">IF(B4&lt;10,_xlfn.CONCAT(A4,".0",B4),_xlfn.CONCAT(A4,".",B4))</f>
        <v>1.01</v>
      </c>
      <c r="D4" s="18"/>
      <c r="E4" s="64" t="str">
        <f>IF(ISBLANK(D4)=TRUE,"",VLOOKUP(D4,Krav!$C:$F,4,FALSE))</f>
        <v/>
      </c>
      <c r="F4" s="53" t="s">
        <v>225</v>
      </c>
      <c r="G4" s="19" t="s">
        <v>211</v>
      </c>
      <c r="H4" s="64" t="s">
        <v>203</v>
      </c>
      <c r="I4" s="67" t="s">
        <v>129</v>
      </c>
      <c r="J4" s="67" t="s">
        <v>222</v>
      </c>
      <c r="K4" s="123" t="s">
        <v>222</v>
      </c>
      <c r="L4" s="20" t="s">
        <v>3</v>
      </c>
      <c r="M4" s="56">
        <v>1</v>
      </c>
      <c r="N4" s="60" t="s">
        <v>27</v>
      </c>
      <c r="O4" s="22"/>
      <c r="P4" s="22"/>
      <c r="Q4" s="60"/>
      <c r="R4" s="60"/>
      <c r="S4" s="60"/>
      <c r="T4" s="60"/>
      <c r="U4" s="60"/>
      <c r="V4" s="60"/>
      <c r="W4" s="60"/>
      <c r="Y4" s="33"/>
    </row>
    <row r="5" spans="1:25" s="1" customFormat="1" ht="33" customHeight="1" x14ac:dyDescent="0.3">
      <c r="A5" s="16">
        <v>1</v>
      </c>
      <c r="B5" s="16">
        <v>2</v>
      </c>
      <c r="C5" s="17" t="str">
        <f t="shared" si="0"/>
        <v>1.02</v>
      </c>
      <c r="D5" s="18"/>
      <c r="E5" s="64" t="str">
        <f>IF(ISBLANK(D5)=TRUE,"",VLOOKUP(D5,Krav!$C:$F,4,FALSE))</f>
        <v/>
      </c>
      <c r="F5" s="53" t="s">
        <v>221</v>
      </c>
      <c r="G5" s="19" t="s">
        <v>211</v>
      </c>
      <c r="H5" s="64" t="s">
        <v>204</v>
      </c>
      <c r="I5" s="67" t="s">
        <v>129</v>
      </c>
      <c r="J5" s="67" t="s">
        <v>222</v>
      </c>
      <c r="K5" s="123" t="s">
        <v>222</v>
      </c>
      <c r="L5" s="20" t="s">
        <v>3</v>
      </c>
      <c r="M5" s="56">
        <v>1</v>
      </c>
      <c r="N5" s="60" t="s">
        <v>27</v>
      </c>
      <c r="O5" s="22"/>
      <c r="P5" s="22"/>
      <c r="Q5" s="60"/>
      <c r="R5" s="60"/>
      <c r="S5" s="60"/>
      <c r="T5" s="60"/>
      <c r="U5" s="60"/>
      <c r="V5" s="60"/>
      <c r="W5" s="60"/>
      <c r="Y5" s="33"/>
    </row>
    <row r="6" spans="1:25" s="1" customFormat="1" ht="33" customHeight="1" x14ac:dyDescent="0.3">
      <c r="A6" s="16">
        <v>1</v>
      </c>
      <c r="B6" s="16">
        <v>3</v>
      </c>
      <c r="C6" s="158" t="str">
        <f t="shared" si="0"/>
        <v>1.03</v>
      </c>
      <c r="D6" s="18"/>
      <c r="E6" s="64" t="str">
        <f>IF(ISBLANK(D6)=TRUE,"",VLOOKUP(D6,Krav!$C:$F,4,FALSE))</f>
        <v/>
      </c>
      <c r="F6" s="53" t="s">
        <v>226</v>
      </c>
      <c r="G6" s="19" t="s">
        <v>211</v>
      </c>
      <c r="H6" s="64" t="s">
        <v>205</v>
      </c>
      <c r="I6" s="67" t="s">
        <v>129</v>
      </c>
      <c r="J6" s="67" t="s">
        <v>222</v>
      </c>
      <c r="K6" s="123" t="s">
        <v>222</v>
      </c>
      <c r="L6" s="20" t="s">
        <v>3</v>
      </c>
      <c r="M6" s="56">
        <v>1</v>
      </c>
      <c r="N6" s="60" t="s">
        <v>27</v>
      </c>
      <c r="O6" s="22"/>
      <c r="P6" s="22"/>
      <c r="Q6" s="60"/>
      <c r="R6" s="60"/>
      <c r="S6" s="60"/>
      <c r="T6" s="60"/>
      <c r="U6" s="60"/>
      <c r="V6" s="60"/>
      <c r="W6" s="60"/>
      <c r="Y6" s="33"/>
    </row>
    <row r="7" spans="1:25" s="1" customFormat="1" ht="33" customHeight="1" x14ac:dyDescent="0.3">
      <c r="A7" s="16">
        <v>1</v>
      </c>
      <c r="B7" s="16">
        <v>4</v>
      </c>
      <c r="C7" s="158" t="str">
        <f t="shared" si="0"/>
        <v>1.04</v>
      </c>
      <c r="D7" s="18"/>
      <c r="E7" s="64" t="str">
        <f>IF(ISBLANK(D7)=TRUE,"",VLOOKUP(D7,Krav!$C:$F,4,FALSE))</f>
        <v/>
      </c>
      <c r="F7" s="53" t="s">
        <v>227</v>
      </c>
      <c r="G7" s="19" t="s">
        <v>211</v>
      </c>
      <c r="H7" s="64" t="s">
        <v>206</v>
      </c>
      <c r="I7" s="67" t="s">
        <v>129</v>
      </c>
      <c r="J7" s="67" t="s">
        <v>222</v>
      </c>
      <c r="K7" s="123" t="s">
        <v>222</v>
      </c>
      <c r="L7" s="20" t="s">
        <v>3</v>
      </c>
      <c r="M7" s="56">
        <v>1</v>
      </c>
      <c r="N7" s="60" t="s">
        <v>27</v>
      </c>
      <c r="O7" s="22"/>
      <c r="P7" s="22"/>
      <c r="Q7" s="60"/>
      <c r="R7" s="60"/>
      <c r="S7" s="60"/>
      <c r="T7" s="60"/>
      <c r="U7" s="60"/>
      <c r="V7" s="60"/>
      <c r="W7" s="60"/>
      <c r="Y7" s="33"/>
    </row>
    <row r="8" spans="1:25" s="1" customFormat="1" ht="33" customHeight="1" x14ac:dyDescent="0.3">
      <c r="A8" s="16">
        <v>1</v>
      </c>
      <c r="B8" s="16">
        <v>5</v>
      </c>
      <c r="C8" s="17" t="str">
        <f t="shared" si="0"/>
        <v>1.05</v>
      </c>
      <c r="D8" s="18"/>
      <c r="E8" s="64" t="str">
        <f>IF(ISBLANK(D8)=TRUE,"",VLOOKUP(D8,Krav!$C:$F,4,FALSE))</f>
        <v/>
      </c>
      <c r="F8" s="54" t="s">
        <v>185</v>
      </c>
      <c r="G8" s="19"/>
      <c r="H8" s="64" t="s">
        <v>207</v>
      </c>
      <c r="I8" s="66" t="s">
        <v>160</v>
      </c>
      <c r="J8" s="67" t="s">
        <v>222</v>
      </c>
      <c r="K8" s="123" t="s">
        <v>222</v>
      </c>
      <c r="L8" s="20" t="s">
        <v>3</v>
      </c>
      <c r="M8" s="56">
        <v>1</v>
      </c>
      <c r="N8" s="60" t="s">
        <v>27</v>
      </c>
      <c r="O8" s="22"/>
      <c r="P8" s="22"/>
      <c r="Q8" s="60"/>
      <c r="R8" s="60"/>
      <c r="S8" s="60"/>
      <c r="T8" s="60"/>
      <c r="U8" s="60"/>
      <c r="V8" s="60"/>
      <c r="W8" s="60"/>
      <c r="Y8" s="33"/>
    </row>
    <row r="9" spans="1:25" s="1" customFormat="1" ht="33" customHeight="1" x14ac:dyDescent="0.3">
      <c r="A9" s="16">
        <v>1</v>
      </c>
      <c r="B9" s="16">
        <v>6</v>
      </c>
      <c r="C9" s="17" t="str">
        <f t="shared" si="0"/>
        <v>1.06</v>
      </c>
      <c r="D9" s="18"/>
      <c r="E9" s="64" t="str">
        <f>IF(ISBLANK(D9)=TRUE,"",VLOOKUP(D9,Krav!$C:$F,4,FALSE))</f>
        <v/>
      </c>
      <c r="F9" s="19" t="s">
        <v>174</v>
      </c>
      <c r="G9" s="19"/>
      <c r="H9" s="64" t="s">
        <v>208</v>
      </c>
      <c r="I9" s="30" t="s">
        <v>175</v>
      </c>
      <c r="J9" s="67" t="s">
        <v>222</v>
      </c>
      <c r="K9" s="123" t="s">
        <v>222</v>
      </c>
      <c r="L9" s="20" t="s">
        <v>3</v>
      </c>
      <c r="M9" s="56">
        <v>1</v>
      </c>
      <c r="N9" s="60" t="s">
        <v>27</v>
      </c>
      <c r="O9" s="22"/>
      <c r="P9" s="22"/>
      <c r="Q9" s="60"/>
      <c r="R9" s="60"/>
      <c r="S9" s="60"/>
      <c r="T9" s="60"/>
      <c r="U9" s="60"/>
      <c r="V9" s="60"/>
      <c r="W9" s="60"/>
      <c r="Y9" s="33"/>
    </row>
    <row r="10" spans="1:25" s="1" customFormat="1" ht="33" customHeight="1" x14ac:dyDescent="0.3">
      <c r="A10" s="16">
        <v>1</v>
      </c>
      <c r="B10" s="16">
        <v>7</v>
      </c>
      <c r="C10" s="17" t="str">
        <f t="shared" si="0"/>
        <v>1.07</v>
      </c>
      <c r="D10" s="18"/>
      <c r="E10" s="64" t="str">
        <f>IF(ISBLANK(D10)=TRUE,"",VLOOKUP(D10,Krav!$C:$F,4,FALSE))</f>
        <v/>
      </c>
      <c r="F10" s="19" t="s">
        <v>143</v>
      </c>
      <c r="G10" s="19"/>
      <c r="H10" s="64" t="s">
        <v>209</v>
      </c>
      <c r="I10" s="66" t="s">
        <v>160</v>
      </c>
      <c r="J10" s="67" t="s">
        <v>222</v>
      </c>
      <c r="K10" s="123" t="s">
        <v>222</v>
      </c>
      <c r="L10" s="20" t="s">
        <v>3</v>
      </c>
      <c r="M10" s="56">
        <v>1</v>
      </c>
      <c r="N10" s="60"/>
      <c r="O10" s="22" t="s">
        <v>27</v>
      </c>
      <c r="P10" s="22"/>
      <c r="Q10" s="60"/>
      <c r="R10" s="60"/>
      <c r="S10" s="60"/>
      <c r="T10" s="60"/>
      <c r="U10" s="60"/>
      <c r="V10" s="60"/>
      <c r="W10" s="60"/>
      <c r="Y10" s="33"/>
    </row>
    <row r="11" spans="1:25" s="1" customFormat="1" ht="33" customHeight="1" x14ac:dyDescent="0.3">
      <c r="A11" s="16">
        <v>1</v>
      </c>
      <c r="B11" s="16">
        <v>8</v>
      </c>
      <c r="C11" s="17" t="str">
        <f t="shared" si="0"/>
        <v>1.08</v>
      </c>
      <c r="D11" s="18"/>
      <c r="E11" s="64" t="str">
        <f>IF(ISBLANK(D11)=TRUE,"",VLOOKUP(D11,Krav!$C:$F,4,FALSE))</f>
        <v/>
      </c>
      <c r="F11" s="53" t="s">
        <v>225</v>
      </c>
      <c r="G11" s="19" t="s">
        <v>210</v>
      </c>
      <c r="H11" s="64" t="s">
        <v>212</v>
      </c>
      <c r="I11" s="66" t="s">
        <v>129</v>
      </c>
      <c r="J11" s="67" t="s">
        <v>222</v>
      </c>
      <c r="K11" s="123" t="s">
        <v>222</v>
      </c>
      <c r="L11" s="20" t="s">
        <v>3</v>
      </c>
      <c r="M11" s="56">
        <v>1</v>
      </c>
      <c r="N11" s="60"/>
      <c r="O11" s="60" t="s">
        <v>27</v>
      </c>
      <c r="P11" s="22"/>
      <c r="Q11" s="60"/>
      <c r="R11" s="60"/>
      <c r="S11" s="60"/>
      <c r="T11" s="60"/>
      <c r="U11" s="60"/>
      <c r="V11" s="60"/>
      <c r="W11" s="60"/>
      <c r="Y11" s="33"/>
    </row>
    <row r="12" spans="1:25" s="1" customFormat="1" ht="33" customHeight="1" x14ac:dyDescent="0.3">
      <c r="A12" s="16">
        <v>1</v>
      </c>
      <c r="B12" s="16">
        <v>9</v>
      </c>
      <c r="C12" s="158" t="str">
        <f t="shared" si="0"/>
        <v>1.09</v>
      </c>
      <c r="D12" s="18"/>
      <c r="E12" s="64" t="str">
        <f>IF(ISBLANK(D12)=TRUE,"",VLOOKUP(D12,Krav!$C:$F,4,FALSE))</f>
        <v/>
      </c>
      <c r="F12" s="53" t="s">
        <v>221</v>
      </c>
      <c r="G12" s="19" t="s">
        <v>210</v>
      </c>
      <c r="H12" s="64" t="s">
        <v>213</v>
      </c>
      <c r="I12" s="66" t="s">
        <v>129</v>
      </c>
      <c r="J12" s="67" t="s">
        <v>222</v>
      </c>
      <c r="K12" s="123" t="s">
        <v>222</v>
      </c>
      <c r="L12" s="20" t="s">
        <v>3</v>
      </c>
      <c r="M12" s="56">
        <v>1</v>
      </c>
      <c r="N12" s="60"/>
      <c r="O12" s="60" t="s">
        <v>27</v>
      </c>
      <c r="P12" s="22"/>
      <c r="Q12" s="60"/>
      <c r="R12" s="60"/>
      <c r="S12" s="60"/>
      <c r="T12" s="60"/>
      <c r="U12" s="60"/>
      <c r="V12" s="60"/>
      <c r="W12" s="60"/>
      <c r="Y12" s="33"/>
    </row>
    <row r="13" spans="1:25" s="1" customFormat="1" ht="33" customHeight="1" x14ac:dyDescent="0.3">
      <c r="A13" s="16">
        <v>1</v>
      </c>
      <c r="B13" s="16">
        <v>10</v>
      </c>
      <c r="C13" s="17" t="str">
        <f t="shared" si="0"/>
        <v>1.10</v>
      </c>
      <c r="D13" s="18"/>
      <c r="E13" s="64" t="str">
        <f>IF(ISBLANK(D13)=TRUE,"",VLOOKUP(D13,Krav!$C:$F,4,FALSE))</f>
        <v/>
      </c>
      <c r="F13" s="53" t="s">
        <v>226</v>
      </c>
      <c r="G13" s="19" t="s">
        <v>210</v>
      </c>
      <c r="H13" s="64" t="s">
        <v>214</v>
      </c>
      <c r="I13" s="66" t="s">
        <v>129</v>
      </c>
      <c r="J13" s="67" t="s">
        <v>222</v>
      </c>
      <c r="K13" s="123" t="s">
        <v>222</v>
      </c>
      <c r="L13" s="20" t="s">
        <v>3</v>
      </c>
      <c r="M13" s="56">
        <v>1</v>
      </c>
      <c r="N13" s="60"/>
      <c r="O13" s="60" t="s">
        <v>27</v>
      </c>
      <c r="P13" s="22"/>
      <c r="Q13" s="60"/>
      <c r="R13" s="60"/>
      <c r="S13" s="60"/>
      <c r="T13" s="60"/>
      <c r="U13" s="60"/>
      <c r="V13" s="60"/>
      <c r="W13" s="60"/>
      <c r="Y13" s="33"/>
    </row>
    <row r="14" spans="1:25" s="1" customFormat="1" ht="33" customHeight="1" x14ac:dyDescent="0.3">
      <c r="A14" s="16">
        <v>1</v>
      </c>
      <c r="B14" s="16">
        <v>11</v>
      </c>
      <c r="C14" s="17" t="str">
        <f t="shared" si="0"/>
        <v>1.11</v>
      </c>
      <c r="D14" s="18"/>
      <c r="E14" s="64" t="str">
        <f>IF(ISBLANK(D14)=TRUE,"",VLOOKUP(D14,Krav!$C:$F,4,FALSE))</f>
        <v/>
      </c>
      <c r="F14" s="53" t="s">
        <v>227</v>
      </c>
      <c r="G14" s="19" t="s">
        <v>210</v>
      </c>
      <c r="H14" s="64" t="s">
        <v>215</v>
      </c>
      <c r="I14" s="66" t="s">
        <v>129</v>
      </c>
      <c r="J14" s="67" t="s">
        <v>222</v>
      </c>
      <c r="K14" s="123" t="s">
        <v>222</v>
      </c>
      <c r="L14" s="20" t="s">
        <v>3</v>
      </c>
      <c r="M14" s="56">
        <v>1</v>
      </c>
      <c r="N14" s="60"/>
      <c r="O14" s="60" t="s">
        <v>27</v>
      </c>
      <c r="P14" s="22"/>
      <c r="Q14" s="60"/>
      <c r="R14" s="60"/>
      <c r="S14" s="60"/>
      <c r="T14" s="60"/>
      <c r="U14" s="60"/>
      <c r="V14" s="60"/>
      <c r="W14" s="60"/>
      <c r="Y14" s="33"/>
    </row>
    <row r="15" spans="1:25" s="48" customFormat="1" ht="33" customHeight="1" x14ac:dyDescent="0.3">
      <c r="A15" s="40"/>
      <c r="B15" s="40"/>
      <c r="C15" s="41"/>
      <c r="D15" s="42"/>
      <c r="E15" s="43"/>
      <c r="F15" s="43"/>
      <c r="G15" s="42"/>
      <c r="H15" s="43"/>
      <c r="I15" s="44"/>
      <c r="J15" s="44" t="s">
        <v>222</v>
      </c>
      <c r="K15" s="44" t="s">
        <v>222</v>
      </c>
      <c r="L15" s="45"/>
      <c r="M15" s="46"/>
      <c r="N15" s="47"/>
      <c r="O15" s="47"/>
      <c r="P15" s="46"/>
      <c r="Q15" s="46"/>
      <c r="R15" s="46"/>
      <c r="S15" s="46"/>
      <c r="T15" s="46"/>
      <c r="U15" s="46"/>
      <c r="V15" s="46"/>
      <c r="X15" s="49"/>
    </row>
    <row r="16" spans="1:25" s="57" customFormat="1" ht="16.5" customHeight="1" x14ac:dyDescent="0.3">
      <c r="E16" s="5"/>
      <c r="F16" s="5"/>
      <c r="H16" s="5"/>
      <c r="M16" s="58" t="s">
        <v>10</v>
      </c>
      <c r="N16" s="58" t="s">
        <v>13</v>
      </c>
      <c r="O16" s="58" t="s">
        <v>14</v>
      </c>
      <c r="P16" s="58" t="s">
        <v>15</v>
      </c>
      <c r="Q16" s="58" t="s">
        <v>128</v>
      </c>
      <c r="R16" s="58" t="s">
        <v>130</v>
      </c>
      <c r="T16"/>
      <c r="U16"/>
    </row>
    <row r="17" spans="1:24" s="57" customFormat="1" ht="16.5" customHeight="1" x14ac:dyDescent="0.3">
      <c r="E17" s="5"/>
      <c r="F17" s="5"/>
      <c r="H17" s="5"/>
      <c r="M17" s="58" t="s">
        <v>12</v>
      </c>
      <c r="N17" s="58" t="s">
        <v>12</v>
      </c>
      <c r="O17" s="58" t="s">
        <v>12</v>
      </c>
      <c r="P17" s="58" t="s">
        <v>12</v>
      </c>
      <c r="Q17" s="58" t="s">
        <v>21</v>
      </c>
      <c r="R17" s="58" t="s">
        <v>21</v>
      </c>
      <c r="T17"/>
      <c r="U17"/>
    </row>
    <row r="18" spans="1:24" s="57" customFormat="1" ht="14.4" x14ac:dyDescent="0.3">
      <c r="A18" s="131" t="s">
        <v>6</v>
      </c>
      <c r="B18" s="132" t="s">
        <v>7</v>
      </c>
      <c r="C18" s="133" t="s">
        <v>0</v>
      </c>
      <c r="D18" s="133" t="s">
        <v>22</v>
      </c>
      <c r="E18" s="134" t="s">
        <v>99</v>
      </c>
      <c r="F18" s="134" t="s">
        <v>216</v>
      </c>
      <c r="G18" s="133" t="s">
        <v>217</v>
      </c>
      <c r="H18" s="134" t="s">
        <v>28</v>
      </c>
      <c r="I18" s="133" t="s">
        <v>218</v>
      </c>
      <c r="J18" s="133" t="s">
        <v>219</v>
      </c>
      <c r="K18" s="133" t="s">
        <v>220</v>
      </c>
      <c r="L18" s="133" t="s">
        <v>1</v>
      </c>
      <c r="M18" s="135" t="s">
        <v>173</v>
      </c>
      <c r="N18" s="135" t="s">
        <v>177</v>
      </c>
      <c r="O18" s="135" t="s">
        <v>179</v>
      </c>
      <c r="P18" s="135" t="s">
        <v>180</v>
      </c>
      <c r="Q18" s="135" t="s">
        <v>127</v>
      </c>
      <c r="R18" s="135" t="s">
        <v>16</v>
      </c>
      <c r="S18" s="136" t="s">
        <v>233</v>
      </c>
      <c r="T18" s="389" t="s">
        <v>2057</v>
      </c>
      <c r="U18"/>
      <c r="V18" s="389"/>
    </row>
    <row r="19" spans="1:24" s="1" customFormat="1" ht="33" customHeight="1" x14ac:dyDescent="0.3">
      <c r="A19" s="137">
        <v>2</v>
      </c>
      <c r="B19" s="137">
        <v>1</v>
      </c>
      <c r="C19" s="159" t="str">
        <f>IF(B19&lt;10,_xlfn.CONCAT(A19,".0",B19),_xlfn.CONCAT(A19,".",B19))</f>
        <v>2.01</v>
      </c>
      <c r="D19" s="139" t="s">
        <v>23</v>
      </c>
      <c r="E19" s="64" t="str">
        <f>IF(ISBLANK(D19)=TRUE,"",VLOOKUP(D19,Krav!$C:$F,4,FALSE))</f>
        <v>1.1 - Hvis det angivne fordringshaverID er på færre end 4 cifre skal den numeriskeværdi foranstilles med nuller</v>
      </c>
      <c r="F19" s="76" t="s">
        <v>221</v>
      </c>
      <c r="G19" s="139" t="s">
        <v>173</v>
      </c>
      <c r="H19" s="76" t="s">
        <v>242</v>
      </c>
      <c r="I19" s="140" t="s">
        <v>461</v>
      </c>
      <c r="J19" s="154" t="s">
        <v>222</v>
      </c>
      <c r="K19" s="155" t="s">
        <v>222</v>
      </c>
      <c r="L19" s="141" t="s">
        <v>3</v>
      </c>
      <c r="M19" s="142" t="s">
        <v>462</v>
      </c>
      <c r="N19" s="142" t="s">
        <v>2402</v>
      </c>
      <c r="O19" s="142" t="s">
        <v>24</v>
      </c>
      <c r="P19" s="142" t="s">
        <v>25</v>
      </c>
      <c r="Q19" s="142" t="s">
        <v>129</v>
      </c>
      <c r="R19" s="142" t="s">
        <v>131</v>
      </c>
      <c r="S19" s="59" t="s">
        <v>5</v>
      </c>
      <c r="T19"/>
      <c r="U19"/>
      <c r="V19" s="57"/>
      <c r="X19" s="33"/>
    </row>
    <row r="20" spans="1:24" s="1" customFormat="1" ht="33" customHeight="1" x14ac:dyDescent="0.3">
      <c r="A20" s="137">
        <v>2</v>
      </c>
      <c r="B20" s="137">
        <f>B19+1</f>
        <v>2</v>
      </c>
      <c r="C20" s="159" t="str">
        <f>IF(B20&lt;10,_xlfn.CONCAT(A20,".0",B20),_xlfn.CONCAT(A20,".",B20))</f>
        <v>2.02</v>
      </c>
      <c r="D20" s="139" t="s">
        <v>23</v>
      </c>
      <c r="E20" s="64" t="str">
        <f>IF(ISBLANK(D20)=TRUE,"",VLOOKUP(D20,Krav!$C:$F,4,FALSE))</f>
        <v>1.1 - Hvis det angivne fordringshaverID er på færre end 4 cifre skal den numeriskeværdi foranstilles med nuller</v>
      </c>
      <c r="F20" s="76" t="s">
        <v>225</v>
      </c>
      <c r="G20" s="139" t="s">
        <v>173</v>
      </c>
      <c r="H20" s="76" t="s">
        <v>243</v>
      </c>
      <c r="I20" s="140" t="s">
        <v>461</v>
      </c>
      <c r="J20" s="154" t="s">
        <v>222</v>
      </c>
      <c r="K20" s="155" t="s">
        <v>222</v>
      </c>
      <c r="L20" s="141" t="s">
        <v>3</v>
      </c>
      <c r="M20" s="142" t="s">
        <v>462</v>
      </c>
      <c r="N20" s="142" t="s">
        <v>460</v>
      </c>
      <c r="O20" s="142" t="s">
        <v>24</v>
      </c>
      <c r="P20" s="142" t="s">
        <v>25</v>
      </c>
      <c r="Q20" s="142" t="s">
        <v>129</v>
      </c>
      <c r="R20" s="142" t="s">
        <v>131</v>
      </c>
      <c r="S20" s="59" t="s">
        <v>5</v>
      </c>
      <c r="T20"/>
      <c r="U20"/>
      <c r="V20" s="57"/>
      <c r="X20" s="32"/>
    </row>
    <row r="21" spans="1:24" s="1" customFormat="1" ht="33" customHeight="1" x14ac:dyDescent="0.3">
      <c r="A21" s="137">
        <v>2</v>
      </c>
      <c r="B21" s="137">
        <f t="shared" ref="B21:B84" si="1">B20+1</f>
        <v>3</v>
      </c>
      <c r="C21" s="159" t="str">
        <f t="shared" ref="C21:C84" si="2">IF(B21&lt;10,_xlfn.CONCAT(A21,".0",B21),_xlfn.CONCAT(A21,".",B21))</f>
        <v>2.03</v>
      </c>
      <c r="D21" s="139" t="s">
        <v>23</v>
      </c>
      <c r="E21" s="64" t="str">
        <f>IF(ISBLANK(D21)=TRUE,"",VLOOKUP(D21,Krav!$C:$F,4,FALSE))</f>
        <v>1.1 - Hvis det angivne fordringshaverID er på færre end 4 cifre skal den numeriskeværdi foranstilles med nuller</v>
      </c>
      <c r="F21" s="76" t="s">
        <v>221</v>
      </c>
      <c r="G21" s="139" t="s">
        <v>173</v>
      </c>
      <c r="H21" s="76" t="s">
        <v>242</v>
      </c>
      <c r="I21" s="140" t="s">
        <v>463</v>
      </c>
      <c r="J21" s="154" t="s">
        <v>222</v>
      </c>
      <c r="K21" s="155" t="s">
        <v>222</v>
      </c>
      <c r="L21" s="141" t="s">
        <v>3</v>
      </c>
      <c r="M21" s="142" t="s">
        <v>2403</v>
      </c>
      <c r="N21" s="142" t="s">
        <v>2404</v>
      </c>
      <c r="O21" s="142" t="s">
        <v>24</v>
      </c>
      <c r="P21" s="142" t="s">
        <v>25</v>
      </c>
      <c r="Q21" s="142" t="s">
        <v>129</v>
      </c>
      <c r="R21" s="142" t="s">
        <v>131</v>
      </c>
      <c r="S21" s="59" t="s">
        <v>5</v>
      </c>
      <c r="T21"/>
      <c r="U21"/>
      <c r="V21" s="57"/>
      <c r="X21" s="34"/>
    </row>
    <row r="22" spans="1:24" s="1" customFormat="1" ht="33" customHeight="1" x14ac:dyDescent="0.3">
      <c r="A22" s="137">
        <v>2</v>
      </c>
      <c r="B22" s="137">
        <f t="shared" si="1"/>
        <v>4</v>
      </c>
      <c r="C22" s="159" t="str">
        <f t="shared" si="2"/>
        <v>2.04</v>
      </c>
      <c r="D22" s="139" t="s">
        <v>23</v>
      </c>
      <c r="E22" s="64" t="str">
        <f>IF(ISBLANK(D22)=TRUE,"",VLOOKUP(D22,Krav!$C:$F,4,FALSE))</f>
        <v>1.1 - Hvis det angivne fordringshaverID er på færre end 4 cifre skal den numeriskeværdi foranstilles med nuller</v>
      </c>
      <c r="F22" s="76" t="s">
        <v>225</v>
      </c>
      <c r="G22" s="139" t="s">
        <v>173</v>
      </c>
      <c r="H22" s="76" t="s">
        <v>243</v>
      </c>
      <c r="I22" s="140" t="s">
        <v>463</v>
      </c>
      <c r="J22" s="154" t="s">
        <v>222</v>
      </c>
      <c r="K22" s="155" t="s">
        <v>222</v>
      </c>
      <c r="L22" s="141" t="s">
        <v>3</v>
      </c>
      <c r="M22" s="142" t="s">
        <v>2403</v>
      </c>
      <c r="N22" s="142" t="s">
        <v>2404</v>
      </c>
      <c r="O22" s="142" t="s">
        <v>24</v>
      </c>
      <c r="P22" s="142" t="s">
        <v>25</v>
      </c>
      <c r="Q22" s="142" t="s">
        <v>129</v>
      </c>
      <c r="R22" s="142" t="s">
        <v>131</v>
      </c>
      <c r="S22" s="59" t="s">
        <v>5</v>
      </c>
      <c r="T22"/>
      <c r="U22"/>
      <c r="V22" s="57"/>
      <c r="X22" s="35"/>
    </row>
    <row r="23" spans="1:24" s="1" customFormat="1" ht="33" customHeight="1" x14ac:dyDescent="0.3">
      <c r="A23" s="137">
        <v>2</v>
      </c>
      <c r="B23" s="137">
        <f t="shared" si="1"/>
        <v>5</v>
      </c>
      <c r="C23" s="138" t="str">
        <f>IF(B23&lt;10,_xlfn.CONCAT(A23,".0",B23),_xlfn.CONCAT(A23,".",B23))</f>
        <v>2.05</v>
      </c>
      <c r="D23" s="139" t="s">
        <v>23</v>
      </c>
      <c r="E23" s="64" t="str">
        <f>IF(ISBLANK(D23)=TRUE,"",VLOOKUP(D23,Krav!$C:$F,4,FALSE))</f>
        <v>1.1 - Hvis det angivne fordringshaverID er på færre end 4 cifre skal den numeriskeværdi foranstilles med nuller</v>
      </c>
      <c r="F23" s="139" t="s">
        <v>174</v>
      </c>
      <c r="G23" s="139"/>
      <c r="H23" s="76" t="s">
        <v>465</v>
      </c>
      <c r="I23" s="140" t="s">
        <v>467</v>
      </c>
      <c r="J23" s="154" t="s">
        <v>222</v>
      </c>
      <c r="K23" s="155" t="s">
        <v>222</v>
      </c>
      <c r="L23" s="141" t="s">
        <v>4</v>
      </c>
      <c r="M23" s="143" t="s">
        <v>462</v>
      </c>
      <c r="N23" s="143" t="s">
        <v>2</v>
      </c>
      <c r="O23" s="142" t="s">
        <v>24</v>
      </c>
      <c r="P23" s="142" t="s">
        <v>25</v>
      </c>
      <c r="Q23" s="142" t="s">
        <v>129</v>
      </c>
      <c r="R23" s="142" t="s">
        <v>131</v>
      </c>
      <c r="S23" s="59" t="s">
        <v>5</v>
      </c>
      <c r="T23"/>
      <c r="U23"/>
      <c r="V23" s="57"/>
    </row>
    <row r="24" spans="1:24" s="1" customFormat="1" ht="33" customHeight="1" x14ac:dyDescent="0.3">
      <c r="A24" s="137">
        <v>2</v>
      </c>
      <c r="B24" s="137">
        <f t="shared" si="1"/>
        <v>6</v>
      </c>
      <c r="C24" s="138" t="str">
        <f>IF(B24&lt;10,_xlfn.CONCAT(A24,".0",B24),_xlfn.CONCAT(A24,".",B24))</f>
        <v>2.06</v>
      </c>
      <c r="D24" s="139" t="s">
        <v>23</v>
      </c>
      <c r="E24" s="64" t="str">
        <f>IF(ISBLANK(D24)=TRUE,"",VLOOKUP(D24,Krav!$C:$F,4,FALSE))</f>
        <v>1.1 - Hvis det angivne fordringshaverID er på færre end 4 cifre skal den numeriskeværdi foranstilles med nuller</v>
      </c>
      <c r="F24" s="144" t="s">
        <v>418</v>
      </c>
      <c r="G24" s="144" t="s">
        <v>419</v>
      </c>
      <c r="H24" s="145" t="s">
        <v>466</v>
      </c>
      <c r="I24" s="146" t="s">
        <v>129</v>
      </c>
      <c r="J24" s="154" t="s">
        <v>222</v>
      </c>
      <c r="K24" s="155" t="s">
        <v>222</v>
      </c>
      <c r="L24" s="141" t="s">
        <v>4</v>
      </c>
      <c r="M24" s="143" t="s">
        <v>462</v>
      </c>
      <c r="N24" s="143" t="s">
        <v>2</v>
      </c>
      <c r="O24" s="142" t="s">
        <v>24</v>
      </c>
      <c r="P24" s="142" t="s">
        <v>25</v>
      </c>
      <c r="Q24" s="142" t="s">
        <v>129</v>
      </c>
      <c r="R24" s="142" t="s">
        <v>131</v>
      </c>
      <c r="S24" s="59" t="s">
        <v>5</v>
      </c>
      <c r="T24"/>
      <c r="U24"/>
      <c r="V24" s="57"/>
    </row>
    <row r="25" spans="1:24" s="1" customFormat="1" ht="33" customHeight="1" x14ac:dyDescent="0.3">
      <c r="A25" s="137">
        <v>2</v>
      </c>
      <c r="B25" s="137">
        <f t="shared" si="1"/>
        <v>7</v>
      </c>
      <c r="C25" s="138" t="str">
        <f t="shared" si="2"/>
        <v>2.07</v>
      </c>
      <c r="D25" s="139" t="s">
        <v>23</v>
      </c>
      <c r="E25" s="64" t="str">
        <f>IF(ISBLANK(D25)=TRUE,"",VLOOKUP(D25,Krav!$C:$F,4,FALSE))</f>
        <v>1.1 - Hvis det angivne fordringshaverID er på færre end 4 cifre skal den numeriskeværdi foranstilles med nuller</v>
      </c>
      <c r="F25" s="139" t="s">
        <v>174</v>
      </c>
      <c r="G25" s="139"/>
      <c r="H25" s="76" t="s">
        <v>465</v>
      </c>
      <c r="I25" s="140" t="s">
        <v>467</v>
      </c>
      <c r="J25" s="154" t="s">
        <v>222</v>
      </c>
      <c r="K25" s="155" t="s">
        <v>222</v>
      </c>
      <c r="L25" s="141" t="s">
        <v>4</v>
      </c>
      <c r="M25" s="143" t="s">
        <v>98</v>
      </c>
      <c r="N25" s="143" t="s">
        <v>464</v>
      </c>
      <c r="O25" s="142" t="s">
        <v>24</v>
      </c>
      <c r="P25" s="142" t="s">
        <v>25</v>
      </c>
      <c r="Q25" s="142" t="s">
        <v>129</v>
      </c>
      <c r="R25" s="142" t="s">
        <v>131</v>
      </c>
      <c r="S25" s="59" t="s">
        <v>5</v>
      </c>
      <c r="T25"/>
      <c r="U25"/>
      <c r="V25" s="57"/>
    </row>
    <row r="26" spans="1:24" s="1" customFormat="1" ht="33" customHeight="1" x14ac:dyDescent="0.3">
      <c r="A26" s="137">
        <v>2</v>
      </c>
      <c r="B26" s="137">
        <f t="shared" si="1"/>
        <v>8</v>
      </c>
      <c r="C26" s="138" t="str">
        <f t="shared" si="2"/>
        <v>2.08</v>
      </c>
      <c r="D26" s="139" t="s">
        <v>23</v>
      </c>
      <c r="E26" s="64" t="str">
        <f>IF(ISBLANK(D26)=TRUE,"",VLOOKUP(D26,Krav!$C:$F,4,FALSE))</f>
        <v>1.1 - Hvis det angivne fordringshaverID er på færre end 4 cifre skal den numeriskeværdi foranstilles med nuller</v>
      </c>
      <c r="F26" s="144" t="s">
        <v>418</v>
      </c>
      <c r="G26" s="144" t="s">
        <v>419</v>
      </c>
      <c r="H26" s="145" t="s">
        <v>466</v>
      </c>
      <c r="I26" s="146" t="s">
        <v>129</v>
      </c>
      <c r="J26" s="154" t="s">
        <v>222</v>
      </c>
      <c r="K26" s="155" t="s">
        <v>222</v>
      </c>
      <c r="L26" s="141" t="s">
        <v>4</v>
      </c>
      <c r="M26" s="143" t="s">
        <v>98</v>
      </c>
      <c r="N26" s="143" t="s">
        <v>464</v>
      </c>
      <c r="O26" s="142" t="s">
        <v>24</v>
      </c>
      <c r="P26" s="142" t="s">
        <v>25</v>
      </c>
      <c r="Q26" s="142" t="s">
        <v>129</v>
      </c>
      <c r="R26" s="142" t="s">
        <v>131</v>
      </c>
      <c r="S26" s="59" t="s">
        <v>5</v>
      </c>
      <c r="T26"/>
      <c r="U26"/>
      <c r="V26" s="57"/>
    </row>
    <row r="27" spans="1:24" s="1" customFormat="1" ht="33" customHeight="1" x14ac:dyDescent="0.3">
      <c r="A27" s="137">
        <v>2</v>
      </c>
      <c r="B27" s="137">
        <f t="shared" si="1"/>
        <v>9</v>
      </c>
      <c r="C27" s="138" t="str">
        <f t="shared" si="2"/>
        <v>2.09</v>
      </c>
      <c r="D27" s="139" t="s">
        <v>48</v>
      </c>
      <c r="E27" s="64" t="str">
        <f>IF(ISBLANK(D27)=TRUE,"",VLOOKUP(D27,Krav!$C:$F,4,FALSE))</f>
        <v>1.3 - FordringshaverID'et skal gemmes i populationen</v>
      </c>
      <c r="F27" s="76" t="s">
        <v>221</v>
      </c>
      <c r="G27" s="139" t="s">
        <v>173</v>
      </c>
      <c r="H27" s="76" t="s">
        <v>94</v>
      </c>
      <c r="I27" s="140" t="s">
        <v>98</v>
      </c>
      <c r="J27" s="154" t="s">
        <v>222</v>
      </c>
      <c r="K27" s="155" t="s">
        <v>222</v>
      </c>
      <c r="L27" s="141" t="s">
        <v>3</v>
      </c>
      <c r="M27" s="142" t="s">
        <v>98</v>
      </c>
      <c r="N27" s="142" t="s">
        <v>2</v>
      </c>
      <c r="O27" s="142" t="s">
        <v>24</v>
      </c>
      <c r="P27" s="142" t="s">
        <v>25</v>
      </c>
      <c r="Q27" s="142" t="s">
        <v>129</v>
      </c>
      <c r="R27" s="142" t="s">
        <v>131</v>
      </c>
      <c r="S27" s="59" t="s">
        <v>5</v>
      </c>
      <c r="T27"/>
      <c r="U27"/>
      <c r="V27" s="57"/>
    </row>
    <row r="28" spans="1:24" s="1" customFormat="1" ht="33" customHeight="1" x14ac:dyDescent="0.3">
      <c r="A28" s="137">
        <v>2</v>
      </c>
      <c r="B28" s="137">
        <f t="shared" si="1"/>
        <v>10</v>
      </c>
      <c r="C28" s="138" t="str">
        <f t="shared" si="2"/>
        <v>2.10</v>
      </c>
      <c r="D28" s="139" t="s">
        <v>48</v>
      </c>
      <c r="E28" s="64" t="str">
        <f>IF(ISBLANK(D28)=TRUE,"",VLOOKUP(D28,Krav!$C:$F,4,FALSE))</f>
        <v>1.3 - FordringshaverID'et skal gemmes i populationen</v>
      </c>
      <c r="F28" s="76" t="s">
        <v>225</v>
      </c>
      <c r="G28" s="139" t="s">
        <v>173</v>
      </c>
      <c r="H28" s="76" t="s">
        <v>95</v>
      </c>
      <c r="I28" s="140" t="s">
        <v>98</v>
      </c>
      <c r="J28" s="154" t="s">
        <v>222</v>
      </c>
      <c r="K28" s="155" t="s">
        <v>222</v>
      </c>
      <c r="L28" s="141" t="s">
        <v>3</v>
      </c>
      <c r="M28" s="142" t="s">
        <v>98</v>
      </c>
      <c r="N28" s="142" t="s">
        <v>2</v>
      </c>
      <c r="O28" s="142" t="s">
        <v>24</v>
      </c>
      <c r="P28" s="142" t="s">
        <v>25</v>
      </c>
      <c r="Q28" s="142" t="s">
        <v>129</v>
      </c>
      <c r="R28" s="142" t="s">
        <v>131</v>
      </c>
      <c r="S28" s="59" t="s">
        <v>5</v>
      </c>
      <c r="T28"/>
      <c r="U28"/>
      <c r="V28" s="57"/>
    </row>
    <row r="29" spans="1:24" s="1" customFormat="1" ht="33" customHeight="1" x14ac:dyDescent="0.3">
      <c r="A29" s="137">
        <v>2</v>
      </c>
      <c r="B29" s="137">
        <f t="shared" si="1"/>
        <v>11</v>
      </c>
      <c r="C29" s="138" t="str">
        <f t="shared" si="2"/>
        <v>2.11</v>
      </c>
      <c r="D29" s="139"/>
      <c r="E29" s="64" t="str">
        <f>IF(ISBLANK(D29)=TRUE,"",VLOOKUP(D29,Krav!$C:$F,4,FALSE))</f>
        <v/>
      </c>
      <c r="F29" s="139" t="s">
        <v>174</v>
      </c>
      <c r="G29" s="139"/>
      <c r="H29" s="76" t="s">
        <v>132</v>
      </c>
      <c r="I29" s="140" t="s">
        <v>175</v>
      </c>
      <c r="J29" s="154" t="s">
        <v>222</v>
      </c>
      <c r="K29" s="155" t="s">
        <v>222</v>
      </c>
      <c r="L29" s="141" t="s">
        <v>4</v>
      </c>
      <c r="M29" s="143" t="s">
        <v>107</v>
      </c>
      <c r="N29" s="142" t="s">
        <v>2</v>
      </c>
      <c r="O29" s="142" t="s">
        <v>24</v>
      </c>
      <c r="P29" s="142" t="s">
        <v>25</v>
      </c>
      <c r="Q29" s="142" t="s">
        <v>129</v>
      </c>
      <c r="R29" s="142" t="s">
        <v>131</v>
      </c>
      <c r="S29" s="59" t="s">
        <v>5</v>
      </c>
      <c r="T29"/>
      <c r="U29"/>
      <c r="V29" s="57"/>
    </row>
    <row r="30" spans="1:24" s="1" customFormat="1" ht="33" customHeight="1" x14ac:dyDescent="0.3">
      <c r="A30" s="137">
        <v>2</v>
      </c>
      <c r="B30" s="137">
        <f t="shared" si="1"/>
        <v>12</v>
      </c>
      <c r="C30" s="138" t="str">
        <f t="shared" si="2"/>
        <v>2.12</v>
      </c>
      <c r="D30" s="139"/>
      <c r="E30" s="64" t="str">
        <f>IF(ISBLANK(D30)=TRUE,"",VLOOKUP(D30,Krav!$C:$F,4,FALSE))</f>
        <v/>
      </c>
      <c r="F30" s="144" t="s">
        <v>418</v>
      </c>
      <c r="G30" s="144" t="s">
        <v>419</v>
      </c>
      <c r="H30" s="145" t="s">
        <v>420</v>
      </c>
      <c r="I30" s="146" t="s">
        <v>129</v>
      </c>
      <c r="J30" s="154" t="s">
        <v>222</v>
      </c>
      <c r="K30" s="155" t="s">
        <v>222</v>
      </c>
      <c r="L30" s="141" t="s">
        <v>4</v>
      </c>
      <c r="M30" s="143" t="s">
        <v>107</v>
      </c>
      <c r="N30" s="142" t="s">
        <v>2</v>
      </c>
      <c r="O30" s="142" t="s">
        <v>24</v>
      </c>
      <c r="P30" s="142" t="s">
        <v>25</v>
      </c>
      <c r="Q30" s="142" t="s">
        <v>129</v>
      </c>
      <c r="R30" s="142" t="s">
        <v>131</v>
      </c>
      <c r="S30" s="59" t="s">
        <v>5</v>
      </c>
      <c r="T30"/>
      <c r="U30"/>
      <c r="V30" s="57"/>
    </row>
    <row r="31" spans="1:24" s="1" customFormat="1" ht="33" customHeight="1" x14ac:dyDescent="0.3">
      <c r="A31" s="137">
        <v>2</v>
      </c>
      <c r="B31" s="137">
        <f t="shared" si="1"/>
        <v>13</v>
      </c>
      <c r="C31" s="138" t="str">
        <f t="shared" si="2"/>
        <v>2.13</v>
      </c>
      <c r="D31" s="139"/>
      <c r="E31" s="64" t="str">
        <f>IF(ISBLANK(D31)=TRUE,"",VLOOKUP(D31,Krav!$C:$F,4,FALSE))</f>
        <v/>
      </c>
      <c r="F31" s="139" t="s">
        <v>174</v>
      </c>
      <c r="G31" s="139"/>
      <c r="H31" s="76" t="s">
        <v>134</v>
      </c>
      <c r="I31" s="154" t="s">
        <v>1358</v>
      </c>
      <c r="J31" s="154" t="s">
        <v>222</v>
      </c>
      <c r="K31" s="155" t="s">
        <v>222</v>
      </c>
      <c r="L31" s="141" t="s">
        <v>4</v>
      </c>
      <c r="M31" s="143" t="s">
        <v>97</v>
      </c>
      <c r="N31" s="142" t="s">
        <v>2</v>
      </c>
      <c r="O31" s="142" t="s">
        <v>24</v>
      </c>
      <c r="P31" s="142" t="s">
        <v>25</v>
      </c>
      <c r="Q31" s="142" t="s">
        <v>129</v>
      </c>
      <c r="R31" s="142" t="s">
        <v>131</v>
      </c>
      <c r="S31" s="59" t="s">
        <v>5</v>
      </c>
      <c r="T31"/>
      <c r="U31"/>
      <c r="V31" s="57"/>
    </row>
    <row r="32" spans="1:24" s="1" customFormat="1" ht="33" customHeight="1" x14ac:dyDescent="0.3">
      <c r="A32" s="137">
        <v>2</v>
      </c>
      <c r="B32" s="137">
        <f t="shared" si="1"/>
        <v>14</v>
      </c>
      <c r="C32" s="138" t="str">
        <f t="shared" si="2"/>
        <v>2.14</v>
      </c>
      <c r="D32" s="139"/>
      <c r="E32" s="64" t="str">
        <f>IF(ISBLANK(D32)=TRUE,"",VLOOKUP(D32,Krav!$C:$F,4,FALSE))</f>
        <v/>
      </c>
      <c r="F32" s="144" t="s">
        <v>418</v>
      </c>
      <c r="G32" s="144" t="s">
        <v>419</v>
      </c>
      <c r="H32" s="145" t="s">
        <v>421</v>
      </c>
      <c r="I32" s="146" t="s">
        <v>129</v>
      </c>
      <c r="J32" s="154" t="s">
        <v>222</v>
      </c>
      <c r="K32" s="155" t="s">
        <v>222</v>
      </c>
      <c r="L32" s="141" t="s">
        <v>4</v>
      </c>
      <c r="M32" s="143" t="s">
        <v>97</v>
      </c>
      <c r="N32" s="142" t="s">
        <v>2</v>
      </c>
      <c r="O32" s="142" t="s">
        <v>24</v>
      </c>
      <c r="P32" s="142" t="s">
        <v>25</v>
      </c>
      <c r="Q32" s="142" t="s">
        <v>129</v>
      </c>
      <c r="R32" s="142" t="s">
        <v>131</v>
      </c>
      <c r="S32" s="59" t="s">
        <v>5</v>
      </c>
      <c r="T32"/>
      <c r="U32"/>
      <c r="V32" s="57"/>
    </row>
    <row r="33" spans="1:22" s="1" customFormat="1" ht="33" customHeight="1" x14ac:dyDescent="0.3">
      <c r="A33" s="137">
        <v>2</v>
      </c>
      <c r="B33" s="137">
        <f t="shared" si="1"/>
        <v>15</v>
      </c>
      <c r="C33" s="138" t="str">
        <f t="shared" si="2"/>
        <v>2.15</v>
      </c>
      <c r="D33" s="139"/>
      <c r="E33" s="64" t="str">
        <f>IF(ISBLANK(D33)=TRUE,"",VLOOKUP(D33,Krav!$C:$F,4,FALSE))</f>
        <v/>
      </c>
      <c r="F33" s="76" t="s">
        <v>224</v>
      </c>
      <c r="G33" s="139" t="s">
        <v>173</v>
      </c>
      <c r="H33" s="76" t="s">
        <v>176</v>
      </c>
      <c r="I33" s="140" t="s">
        <v>98</v>
      </c>
      <c r="J33" s="154" t="s">
        <v>222</v>
      </c>
      <c r="K33" s="155" t="s">
        <v>222</v>
      </c>
      <c r="L33" s="141" t="s">
        <v>3</v>
      </c>
      <c r="M33" s="142" t="s">
        <v>98</v>
      </c>
      <c r="N33" s="142" t="s">
        <v>2</v>
      </c>
      <c r="O33" s="142" t="s">
        <v>24</v>
      </c>
      <c r="P33" s="142" t="s">
        <v>25</v>
      </c>
      <c r="Q33" s="142" t="s">
        <v>129</v>
      </c>
      <c r="R33" s="142" t="s">
        <v>131</v>
      </c>
      <c r="S33" s="59" t="s">
        <v>5</v>
      </c>
      <c r="T33"/>
      <c r="U33"/>
      <c r="V33" s="57"/>
    </row>
    <row r="34" spans="1:22" s="1" customFormat="1" ht="33" customHeight="1" x14ac:dyDescent="0.3">
      <c r="A34" s="137">
        <v>2</v>
      </c>
      <c r="B34" s="137">
        <f t="shared" si="1"/>
        <v>16</v>
      </c>
      <c r="C34" s="138" t="str">
        <f t="shared" si="2"/>
        <v>2.16</v>
      </c>
      <c r="D34" s="139" t="s">
        <v>50</v>
      </c>
      <c r="E34" s="64" t="str">
        <f>IF(ISBLANK(D34)=TRUE,"",VLOOKUP(D34,Krav!$C:$F,4,FALSE))</f>
        <v>2.1 - Fordringstyperne skal listes i en drop-down menu bestående af alle tilgængelige fordringstyper</v>
      </c>
      <c r="F34" s="139" t="s">
        <v>174</v>
      </c>
      <c r="G34" s="139"/>
      <c r="H34" s="76" t="s">
        <v>100</v>
      </c>
      <c r="I34" s="154" t="s">
        <v>455</v>
      </c>
      <c r="J34" s="154" t="s">
        <v>222</v>
      </c>
      <c r="K34" s="155" t="s">
        <v>222</v>
      </c>
      <c r="L34" s="141" t="s">
        <v>4</v>
      </c>
      <c r="M34" s="142" t="s">
        <v>98</v>
      </c>
      <c r="N34" s="143" t="s">
        <v>101</v>
      </c>
      <c r="O34" s="142" t="s">
        <v>24</v>
      </c>
      <c r="P34" s="142" t="s">
        <v>25</v>
      </c>
      <c r="Q34" s="142" t="s">
        <v>129</v>
      </c>
      <c r="R34" s="142" t="s">
        <v>131</v>
      </c>
      <c r="S34" s="59" t="s">
        <v>5</v>
      </c>
      <c r="T34"/>
      <c r="U34"/>
      <c r="V34" s="57"/>
    </row>
    <row r="35" spans="1:22" s="1" customFormat="1" ht="33" customHeight="1" x14ac:dyDescent="0.3">
      <c r="A35" s="137">
        <v>2</v>
      </c>
      <c r="B35" s="137">
        <f t="shared" si="1"/>
        <v>17</v>
      </c>
      <c r="C35" s="138" t="str">
        <f t="shared" si="2"/>
        <v>2.17</v>
      </c>
      <c r="D35" s="139"/>
      <c r="E35" s="64" t="str">
        <f>IF(ISBLANK(D35)=TRUE,"",VLOOKUP(D35,Krav!$C:$F,4,FALSE))</f>
        <v/>
      </c>
      <c r="F35" s="144" t="s">
        <v>418</v>
      </c>
      <c r="G35" s="144" t="s">
        <v>419</v>
      </c>
      <c r="H35" s="145" t="s">
        <v>421</v>
      </c>
      <c r="I35" s="146" t="s">
        <v>129</v>
      </c>
      <c r="J35" s="154" t="s">
        <v>222</v>
      </c>
      <c r="K35" s="155" t="s">
        <v>222</v>
      </c>
      <c r="L35" s="141" t="s">
        <v>4</v>
      </c>
      <c r="M35" s="142" t="s">
        <v>98</v>
      </c>
      <c r="N35" s="143" t="s">
        <v>101</v>
      </c>
      <c r="O35" s="142" t="s">
        <v>24</v>
      </c>
      <c r="P35" s="142" t="s">
        <v>25</v>
      </c>
      <c r="Q35" s="142" t="s">
        <v>129</v>
      </c>
      <c r="R35" s="142" t="s">
        <v>131</v>
      </c>
      <c r="S35" s="59" t="s">
        <v>5</v>
      </c>
      <c r="T35"/>
      <c r="U35"/>
      <c r="V35" s="57"/>
    </row>
    <row r="36" spans="1:22" s="1" customFormat="1" ht="33" customHeight="1" x14ac:dyDescent="0.3">
      <c r="A36" s="137">
        <v>2</v>
      </c>
      <c r="B36" s="137">
        <f t="shared" si="1"/>
        <v>18</v>
      </c>
      <c r="C36" s="138" t="str">
        <f t="shared" si="2"/>
        <v>2.18</v>
      </c>
      <c r="D36" s="139"/>
      <c r="E36" s="64" t="str">
        <f>IF(ISBLANK(D36)=TRUE,"",VLOOKUP(D36,Krav!$C:$F,4,FALSE))</f>
        <v/>
      </c>
      <c r="F36" s="139" t="s">
        <v>174</v>
      </c>
      <c r="G36" s="139"/>
      <c r="H36" s="76" t="s">
        <v>422</v>
      </c>
      <c r="I36" s="140" t="s">
        <v>455</v>
      </c>
      <c r="J36" s="154" t="s">
        <v>222</v>
      </c>
      <c r="K36" s="155" t="s">
        <v>222</v>
      </c>
      <c r="L36" s="141" t="s">
        <v>4</v>
      </c>
      <c r="M36" s="142" t="s">
        <v>98</v>
      </c>
      <c r="N36" s="143" t="s">
        <v>104</v>
      </c>
      <c r="O36" s="142" t="s">
        <v>24</v>
      </c>
      <c r="P36" s="142" t="s">
        <v>25</v>
      </c>
      <c r="Q36" s="142" t="s">
        <v>129</v>
      </c>
      <c r="R36" s="142" t="s">
        <v>131</v>
      </c>
      <c r="S36" s="59" t="s">
        <v>5</v>
      </c>
      <c r="T36"/>
      <c r="U36"/>
      <c r="V36" s="57"/>
    </row>
    <row r="37" spans="1:22" s="1" customFormat="1" ht="33" customHeight="1" x14ac:dyDescent="0.3">
      <c r="A37" s="137">
        <v>2</v>
      </c>
      <c r="B37" s="137">
        <f t="shared" si="1"/>
        <v>19</v>
      </c>
      <c r="C37" s="138" t="str">
        <f t="shared" si="2"/>
        <v>2.19</v>
      </c>
      <c r="D37" s="139"/>
      <c r="E37" s="64" t="str">
        <f>IF(ISBLANK(D37)=TRUE,"",VLOOKUP(D37,Krav!$C:$F,4,FALSE))</f>
        <v/>
      </c>
      <c r="F37" s="144" t="s">
        <v>418</v>
      </c>
      <c r="G37" s="144" t="s">
        <v>419</v>
      </c>
      <c r="H37" s="145" t="s">
        <v>423</v>
      </c>
      <c r="I37" s="146" t="s">
        <v>129</v>
      </c>
      <c r="J37" s="154" t="s">
        <v>222</v>
      </c>
      <c r="K37" s="155" t="s">
        <v>222</v>
      </c>
      <c r="L37" s="141" t="s">
        <v>4</v>
      </c>
      <c r="M37" s="142" t="s">
        <v>98</v>
      </c>
      <c r="N37" s="143" t="s">
        <v>104</v>
      </c>
      <c r="O37" s="142" t="s">
        <v>24</v>
      </c>
      <c r="P37" s="142" t="s">
        <v>25</v>
      </c>
      <c r="Q37" s="142" t="s">
        <v>129</v>
      </c>
      <c r="R37" s="142" t="s">
        <v>131</v>
      </c>
      <c r="S37" s="59" t="s">
        <v>5</v>
      </c>
      <c r="T37"/>
      <c r="U37"/>
      <c r="V37" s="57"/>
    </row>
    <row r="38" spans="1:22" s="1" customFormat="1" ht="33" customHeight="1" x14ac:dyDescent="0.3">
      <c r="A38" s="137">
        <v>2</v>
      </c>
      <c r="B38" s="137">
        <f t="shared" si="1"/>
        <v>20</v>
      </c>
      <c r="C38" s="138" t="str">
        <f t="shared" si="2"/>
        <v>2.20</v>
      </c>
      <c r="D38" s="139"/>
      <c r="E38" s="64" t="str">
        <f>IF(ISBLANK(D38)=TRUE,"",VLOOKUP(D38,Krav!$C:$F,4,FALSE))</f>
        <v/>
      </c>
      <c r="F38" s="139" t="s">
        <v>174</v>
      </c>
      <c r="G38" s="139"/>
      <c r="H38" s="76" t="s">
        <v>424</v>
      </c>
      <c r="I38" s="154" t="s">
        <v>1359</v>
      </c>
      <c r="J38" s="154" t="s">
        <v>222</v>
      </c>
      <c r="K38" s="155" t="s">
        <v>222</v>
      </c>
      <c r="L38" s="141" t="s">
        <v>4</v>
      </c>
      <c r="M38" s="142" t="s">
        <v>98</v>
      </c>
      <c r="N38" s="143" t="s">
        <v>105</v>
      </c>
      <c r="O38" s="142" t="s">
        <v>24</v>
      </c>
      <c r="P38" s="142" t="s">
        <v>25</v>
      </c>
      <c r="Q38" s="142" t="s">
        <v>129</v>
      </c>
      <c r="R38" s="142" t="s">
        <v>131</v>
      </c>
      <c r="S38" s="59" t="s">
        <v>5</v>
      </c>
      <c r="T38"/>
      <c r="U38"/>
      <c r="V38" s="57"/>
    </row>
    <row r="39" spans="1:22" s="1" customFormat="1" ht="33" customHeight="1" x14ac:dyDescent="0.3">
      <c r="A39" s="137">
        <v>2</v>
      </c>
      <c r="B39" s="137">
        <f t="shared" si="1"/>
        <v>21</v>
      </c>
      <c r="C39" s="138" t="str">
        <f t="shared" si="2"/>
        <v>2.21</v>
      </c>
      <c r="D39" s="139"/>
      <c r="E39" s="64" t="str">
        <f>IF(ISBLANK(D39)=TRUE,"",VLOOKUP(D39,Krav!$C:$F,4,FALSE))</f>
        <v/>
      </c>
      <c r="F39" s="144" t="s">
        <v>418</v>
      </c>
      <c r="G39" s="144" t="s">
        <v>419</v>
      </c>
      <c r="H39" s="145" t="s">
        <v>425</v>
      </c>
      <c r="I39" s="146" t="s">
        <v>129</v>
      </c>
      <c r="J39" s="154" t="s">
        <v>222</v>
      </c>
      <c r="K39" s="155" t="s">
        <v>222</v>
      </c>
      <c r="L39" s="141" t="s">
        <v>4</v>
      </c>
      <c r="M39" s="142" t="s">
        <v>98</v>
      </c>
      <c r="N39" s="143" t="s">
        <v>105</v>
      </c>
      <c r="O39" s="142" t="s">
        <v>24</v>
      </c>
      <c r="P39" s="142" t="s">
        <v>25</v>
      </c>
      <c r="Q39" s="142" t="s">
        <v>129</v>
      </c>
      <c r="R39" s="142" t="s">
        <v>131</v>
      </c>
      <c r="S39" s="59" t="s">
        <v>5</v>
      </c>
      <c r="T39"/>
      <c r="U39"/>
      <c r="V39" s="57"/>
    </row>
    <row r="40" spans="1:22" s="1" customFormat="1" ht="33" customHeight="1" x14ac:dyDescent="0.3">
      <c r="A40" s="137">
        <v>2</v>
      </c>
      <c r="B40" s="137">
        <f t="shared" si="1"/>
        <v>22</v>
      </c>
      <c r="C40" s="138" t="str">
        <f t="shared" si="2"/>
        <v>2.22</v>
      </c>
      <c r="D40" s="139"/>
      <c r="E40" s="64" t="str">
        <f>IF(ISBLANK(D40)=TRUE,"",VLOOKUP(D40,Krav!$C:$F,4,FALSE))</f>
        <v/>
      </c>
      <c r="F40" s="139" t="s">
        <v>174</v>
      </c>
      <c r="G40" s="139"/>
      <c r="H40" s="76" t="s">
        <v>426</v>
      </c>
      <c r="I40" s="154" t="s">
        <v>1359</v>
      </c>
      <c r="J40" s="154" t="s">
        <v>222</v>
      </c>
      <c r="K40" s="155" t="s">
        <v>222</v>
      </c>
      <c r="L40" s="141" t="s">
        <v>4</v>
      </c>
      <c r="M40" s="142" t="s">
        <v>98</v>
      </c>
      <c r="N40" s="143" t="s">
        <v>106</v>
      </c>
      <c r="O40" s="142" t="s">
        <v>24</v>
      </c>
      <c r="P40" s="142" t="s">
        <v>25</v>
      </c>
      <c r="Q40" s="142" t="s">
        <v>129</v>
      </c>
      <c r="R40" s="142" t="s">
        <v>131</v>
      </c>
      <c r="S40" s="59" t="s">
        <v>5</v>
      </c>
      <c r="T40"/>
      <c r="U40"/>
      <c r="V40" s="57"/>
    </row>
    <row r="41" spans="1:22" s="1" customFormat="1" ht="33" customHeight="1" x14ac:dyDescent="0.3">
      <c r="A41" s="137">
        <v>2</v>
      </c>
      <c r="B41" s="137">
        <f t="shared" si="1"/>
        <v>23</v>
      </c>
      <c r="C41" s="138" t="str">
        <f t="shared" si="2"/>
        <v>2.23</v>
      </c>
      <c r="D41" s="139"/>
      <c r="E41" s="64" t="str">
        <f>IF(ISBLANK(D41)=TRUE,"",VLOOKUP(D41,Krav!$C:$F,4,FALSE))</f>
        <v/>
      </c>
      <c r="F41" s="144" t="s">
        <v>418</v>
      </c>
      <c r="G41" s="144" t="s">
        <v>419</v>
      </c>
      <c r="H41" s="145" t="s">
        <v>427</v>
      </c>
      <c r="I41" s="146" t="s">
        <v>129</v>
      </c>
      <c r="J41" s="154" t="s">
        <v>222</v>
      </c>
      <c r="K41" s="155" t="s">
        <v>222</v>
      </c>
      <c r="L41" s="141" t="s">
        <v>4</v>
      </c>
      <c r="M41" s="142" t="s">
        <v>98</v>
      </c>
      <c r="N41" s="143" t="s">
        <v>106</v>
      </c>
      <c r="O41" s="142" t="s">
        <v>24</v>
      </c>
      <c r="P41" s="142" t="s">
        <v>25</v>
      </c>
      <c r="Q41" s="142" t="s">
        <v>129</v>
      </c>
      <c r="R41" s="142" t="s">
        <v>131</v>
      </c>
      <c r="S41" s="59" t="s">
        <v>5</v>
      </c>
      <c r="T41"/>
      <c r="U41"/>
      <c r="V41" s="57"/>
    </row>
    <row r="42" spans="1:22" s="1" customFormat="1" ht="33" customHeight="1" x14ac:dyDescent="0.3">
      <c r="A42" s="137">
        <v>2</v>
      </c>
      <c r="B42" s="137">
        <f t="shared" si="1"/>
        <v>24</v>
      </c>
      <c r="C42" s="138" t="str">
        <f t="shared" si="2"/>
        <v>2.24</v>
      </c>
      <c r="D42" s="139" t="s">
        <v>50</v>
      </c>
      <c r="E42" s="64" t="str">
        <f>IF(ISBLANK(D42)=TRUE,"",VLOOKUP(D42,Krav!$C:$F,4,FALSE))</f>
        <v>2.1 - Fordringstyperne skal listes i en drop-down menu bestående af alle tilgængelige fordringstyper</v>
      </c>
      <c r="F42" s="76" t="s">
        <v>221</v>
      </c>
      <c r="G42" s="139" t="s">
        <v>177</v>
      </c>
      <c r="H42" s="76" t="s">
        <v>102</v>
      </c>
      <c r="I42" s="140" t="s">
        <v>2</v>
      </c>
      <c r="J42" s="154" t="s">
        <v>222</v>
      </c>
      <c r="K42" s="155" t="s">
        <v>222</v>
      </c>
      <c r="L42" s="141" t="s">
        <v>3</v>
      </c>
      <c r="M42" s="142" t="s">
        <v>98</v>
      </c>
      <c r="N42" s="142" t="s">
        <v>2</v>
      </c>
      <c r="O42" s="142" t="s">
        <v>24</v>
      </c>
      <c r="P42" s="142" t="s">
        <v>25</v>
      </c>
      <c r="Q42" s="142" t="s">
        <v>129</v>
      </c>
      <c r="R42" s="142" t="s">
        <v>131</v>
      </c>
      <c r="S42" s="59" t="s">
        <v>5</v>
      </c>
      <c r="T42"/>
      <c r="U42"/>
      <c r="V42" s="57"/>
    </row>
    <row r="43" spans="1:22" s="1" customFormat="1" ht="33" customHeight="1" x14ac:dyDescent="0.3">
      <c r="A43" s="137">
        <v>2</v>
      </c>
      <c r="B43" s="137">
        <f t="shared" si="1"/>
        <v>25</v>
      </c>
      <c r="C43" s="138" t="str">
        <f t="shared" si="2"/>
        <v>2.25</v>
      </c>
      <c r="D43" s="139" t="s">
        <v>50</v>
      </c>
      <c r="E43" s="64" t="str">
        <f>IF(ISBLANK(D43)=TRUE,"",VLOOKUP(D43,Krav!$C:$F,4,FALSE))</f>
        <v>2.1 - Fordringstyperne skal listes i en drop-down menu bestående af alle tilgængelige fordringstyper</v>
      </c>
      <c r="F43" s="76" t="s">
        <v>225</v>
      </c>
      <c r="G43" s="139" t="s">
        <v>177</v>
      </c>
      <c r="H43" s="76" t="s">
        <v>103</v>
      </c>
      <c r="I43" s="140" t="s">
        <v>2</v>
      </c>
      <c r="J43" s="154" t="s">
        <v>222</v>
      </c>
      <c r="K43" s="155" t="s">
        <v>222</v>
      </c>
      <c r="L43" s="141" t="s">
        <v>3</v>
      </c>
      <c r="M43" s="142" t="s">
        <v>98</v>
      </c>
      <c r="N43" s="142" t="s">
        <v>2</v>
      </c>
      <c r="O43" s="142" t="s">
        <v>24</v>
      </c>
      <c r="P43" s="142" t="s">
        <v>25</v>
      </c>
      <c r="Q43" s="142" t="s">
        <v>129</v>
      </c>
      <c r="R43" s="142" t="s">
        <v>131</v>
      </c>
      <c r="S43" s="59" t="s">
        <v>5</v>
      </c>
      <c r="T43"/>
      <c r="U43"/>
      <c r="V43" s="57"/>
    </row>
    <row r="44" spans="1:22" s="1" customFormat="1" ht="33" customHeight="1" x14ac:dyDescent="0.3">
      <c r="A44" s="137">
        <v>2</v>
      </c>
      <c r="B44" s="137">
        <f t="shared" si="1"/>
        <v>26</v>
      </c>
      <c r="C44" s="138" t="str">
        <f t="shared" si="2"/>
        <v>2.26</v>
      </c>
      <c r="D44" s="139" t="s">
        <v>50</v>
      </c>
      <c r="E44" s="64" t="str">
        <f>IF(ISBLANK(D44)=TRUE,"",VLOOKUP(D44,Krav!$C:$F,4,FALSE))</f>
        <v>2.1 - Fordringstyperne skal listes i en drop-down menu bestående af alle tilgængelige fordringstyper</v>
      </c>
      <c r="F44" s="139" t="s">
        <v>174</v>
      </c>
      <c r="G44" s="139"/>
      <c r="H44" s="76" t="s">
        <v>135</v>
      </c>
      <c r="I44" s="140" t="s">
        <v>175</v>
      </c>
      <c r="J44" s="154" t="s">
        <v>222</v>
      </c>
      <c r="K44" s="155" t="s">
        <v>222</v>
      </c>
      <c r="L44" s="141" t="s">
        <v>4</v>
      </c>
      <c r="M44" s="142" t="s">
        <v>98</v>
      </c>
      <c r="N44" s="143" t="s">
        <v>107</v>
      </c>
      <c r="O44" s="142" t="s">
        <v>24</v>
      </c>
      <c r="P44" s="142" t="s">
        <v>25</v>
      </c>
      <c r="Q44" s="142" t="s">
        <v>129</v>
      </c>
      <c r="R44" s="142" t="s">
        <v>131</v>
      </c>
      <c r="S44" s="59" t="s">
        <v>5</v>
      </c>
      <c r="T44"/>
      <c r="U44"/>
      <c r="V44" s="57"/>
    </row>
    <row r="45" spans="1:22" s="1" customFormat="1" ht="33" customHeight="1" x14ac:dyDescent="0.3">
      <c r="A45" s="137">
        <v>2</v>
      </c>
      <c r="B45" s="137">
        <f t="shared" si="1"/>
        <v>27</v>
      </c>
      <c r="C45" s="138" t="str">
        <f t="shared" si="2"/>
        <v>2.27</v>
      </c>
      <c r="D45" s="139"/>
      <c r="E45" s="64" t="str">
        <f>IF(ISBLANK(D45)=TRUE,"",VLOOKUP(D45,Krav!$C:$F,4,FALSE))</f>
        <v/>
      </c>
      <c r="F45" s="144" t="s">
        <v>418</v>
      </c>
      <c r="G45" s="144" t="s">
        <v>419</v>
      </c>
      <c r="H45" s="145" t="s">
        <v>452</v>
      </c>
      <c r="I45" s="146" t="s">
        <v>129</v>
      </c>
      <c r="J45" s="154" t="s">
        <v>222</v>
      </c>
      <c r="K45" s="155" t="s">
        <v>222</v>
      </c>
      <c r="L45" s="141" t="s">
        <v>4</v>
      </c>
      <c r="M45" s="142" t="s">
        <v>98</v>
      </c>
      <c r="N45" s="143" t="s">
        <v>107</v>
      </c>
      <c r="O45" s="142" t="s">
        <v>24</v>
      </c>
      <c r="P45" s="142" t="s">
        <v>25</v>
      </c>
      <c r="Q45" s="142" t="s">
        <v>129</v>
      </c>
      <c r="R45" s="142" t="s">
        <v>131</v>
      </c>
      <c r="S45" s="59" t="s">
        <v>5</v>
      </c>
      <c r="T45"/>
      <c r="U45"/>
      <c r="V45" s="57"/>
    </row>
    <row r="46" spans="1:22" s="1" customFormat="1" ht="33" customHeight="1" x14ac:dyDescent="0.3">
      <c r="A46" s="137">
        <v>2</v>
      </c>
      <c r="B46" s="137">
        <f t="shared" si="1"/>
        <v>28</v>
      </c>
      <c r="C46" s="138" t="str">
        <f t="shared" si="2"/>
        <v>2.28</v>
      </c>
      <c r="D46" s="139"/>
      <c r="E46" s="64" t="str">
        <f>IF(ISBLANK(D46)=TRUE,"",VLOOKUP(D46,Krav!$C:$F,4,FALSE))</f>
        <v/>
      </c>
      <c r="F46" s="76" t="s">
        <v>224</v>
      </c>
      <c r="G46" s="139" t="s">
        <v>177</v>
      </c>
      <c r="H46" s="76" t="s">
        <v>178</v>
      </c>
      <c r="I46" s="140" t="s">
        <v>2</v>
      </c>
      <c r="J46" s="154" t="s">
        <v>222</v>
      </c>
      <c r="K46" s="155" t="s">
        <v>222</v>
      </c>
      <c r="L46" s="141" t="s">
        <v>3</v>
      </c>
      <c r="M46" s="142" t="s">
        <v>98</v>
      </c>
      <c r="N46" s="142" t="s">
        <v>2</v>
      </c>
      <c r="O46" s="142" t="s">
        <v>24</v>
      </c>
      <c r="P46" s="142" t="s">
        <v>25</v>
      </c>
      <c r="Q46" s="142" t="s">
        <v>129</v>
      </c>
      <c r="R46" s="142" t="s">
        <v>131</v>
      </c>
      <c r="S46" s="59" t="s">
        <v>5</v>
      </c>
      <c r="T46"/>
      <c r="U46"/>
      <c r="V46" s="57"/>
    </row>
    <row r="47" spans="1:22" s="1" customFormat="1" ht="33" customHeight="1" x14ac:dyDescent="0.3">
      <c r="A47" s="137">
        <v>2</v>
      </c>
      <c r="B47" s="137">
        <f t="shared" si="1"/>
        <v>29</v>
      </c>
      <c r="C47" s="159" t="str">
        <f t="shared" si="2"/>
        <v>2.29</v>
      </c>
      <c r="D47" s="139" t="s">
        <v>42</v>
      </c>
      <c r="E47" s="64" t="str">
        <f>IF(ISBLANK(D47)=TRUE,"",VLOOKUP(D47,Krav!$C:$F,4,FALSE))</f>
        <v>0.5 - Der skal være angivet datoen 1. september 2013 som default i ”FordringensModtagelsesDatoFra”</v>
      </c>
      <c r="F47" s="76" t="s">
        <v>224</v>
      </c>
      <c r="G47" s="139" t="s">
        <v>179</v>
      </c>
      <c r="H47" s="76" t="s">
        <v>111</v>
      </c>
      <c r="I47" s="140" t="s">
        <v>133</v>
      </c>
      <c r="J47" s="154" t="s">
        <v>222</v>
      </c>
      <c r="K47" s="155" t="s">
        <v>222</v>
      </c>
      <c r="L47" s="141" t="s">
        <v>3</v>
      </c>
      <c r="M47" s="142"/>
      <c r="N47" s="142"/>
      <c r="O47" s="142"/>
      <c r="P47" s="142"/>
      <c r="Q47" s="142" t="s">
        <v>131</v>
      </c>
      <c r="R47" s="142" t="s">
        <v>131</v>
      </c>
      <c r="S47" s="59" t="s">
        <v>5</v>
      </c>
      <c r="T47"/>
      <c r="U47"/>
      <c r="V47" s="57"/>
    </row>
    <row r="48" spans="1:22" s="1" customFormat="1" ht="33" customHeight="1" x14ac:dyDescent="0.3">
      <c r="A48" s="137">
        <v>2</v>
      </c>
      <c r="B48" s="137">
        <f t="shared" si="1"/>
        <v>30</v>
      </c>
      <c r="C48" s="138" t="str">
        <f t="shared" si="2"/>
        <v>2.30</v>
      </c>
      <c r="D48" s="139" t="s">
        <v>54</v>
      </c>
      <c r="E48" s="64" t="str">
        <f>IF(ISBLANK(D48)=TRUE,"",VLOOKUP(D48,Krav!$C:$F,4,FALSE))</f>
        <v>3.1 - Såfremt den valgte modtagelsesdato ligger før d. 1 september 2013 skal der komme en advarsel</v>
      </c>
      <c r="F48" s="139" t="s">
        <v>174</v>
      </c>
      <c r="G48" s="139" t="s">
        <v>1360</v>
      </c>
      <c r="H48" s="76" t="s">
        <v>112</v>
      </c>
      <c r="I48" s="160" t="s">
        <v>1361</v>
      </c>
      <c r="J48" s="160" t="s">
        <v>222</v>
      </c>
      <c r="K48" s="155" t="s">
        <v>222</v>
      </c>
      <c r="L48" s="141" t="s">
        <v>4</v>
      </c>
      <c r="M48" s="142" t="s">
        <v>98</v>
      </c>
      <c r="N48" s="142" t="s">
        <v>2</v>
      </c>
      <c r="O48" s="142" t="s">
        <v>109</v>
      </c>
      <c r="P48" s="142" t="s">
        <v>110</v>
      </c>
      <c r="Q48" s="142" t="s">
        <v>129</v>
      </c>
      <c r="R48" s="142" t="s">
        <v>131</v>
      </c>
      <c r="S48" s="59" t="s">
        <v>5</v>
      </c>
      <c r="T48"/>
      <c r="U48"/>
      <c r="V48" s="57"/>
    </row>
    <row r="49" spans="1:22" s="1" customFormat="1" ht="33" customHeight="1" x14ac:dyDescent="0.3">
      <c r="A49" s="137">
        <v>2</v>
      </c>
      <c r="B49" s="137">
        <f t="shared" si="1"/>
        <v>31</v>
      </c>
      <c r="C49" s="138" t="str">
        <f t="shared" si="2"/>
        <v>2.31</v>
      </c>
      <c r="D49" s="139"/>
      <c r="E49" s="64" t="str">
        <f>IF(ISBLANK(D49)=TRUE,"",VLOOKUP(D49,Krav!$C:$F,4,FALSE))</f>
        <v/>
      </c>
      <c r="F49" s="144" t="s">
        <v>418</v>
      </c>
      <c r="G49" s="144" t="s">
        <v>419</v>
      </c>
      <c r="H49" s="145" t="s">
        <v>428</v>
      </c>
      <c r="I49" s="146" t="s">
        <v>129</v>
      </c>
      <c r="J49" s="154" t="s">
        <v>222</v>
      </c>
      <c r="K49" s="155" t="s">
        <v>222</v>
      </c>
      <c r="L49" s="141" t="s">
        <v>4</v>
      </c>
      <c r="M49" s="142" t="s">
        <v>98</v>
      </c>
      <c r="N49" s="142" t="s">
        <v>2</v>
      </c>
      <c r="O49" s="142" t="s">
        <v>109</v>
      </c>
      <c r="P49" s="142" t="s">
        <v>110</v>
      </c>
      <c r="Q49" s="142" t="s">
        <v>129</v>
      </c>
      <c r="R49" s="142" t="s">
        <v>131</v>
      </c>
      <c r="S49" s="59" t="s">
        <v>5</v>
      </c>
      <c r="T49"/>
      <c r="U49"/>
      <c r="V49" s="57"/>
    </row>
    <row r="50" spans="1:22" s="1" customFormat="1" ht="33" customHeight="1" x14ac:dyDescent="0.3">
      <c r="A50" s="137">
        <v>2</v>
      </c>
      <c r="B50" s="137">
        <f t="shared" si="1"/>
        <v>32</v>
      </c>
      <c r="C50" s="138" t="str">
        <f t="shared" si="2"/>
        <v>2.32</v>
      </c>
      <c r="D50" s="139" t="s">
        <v>58</v>
      </c>
      <c r="E50" s="64" t="str">
        <f>IF(ISBLANK(D50)=TRUE,"",VLOOKUP(D50,Krav!$C:$F,4,FALSE))</f>
        <v>3.3 - Den valgte afgrænsningsperiode skal gemmes i populationen</v>
      </c>
      <c r="F50" s="76" t="s">
        <v>221</v>
      </c>
      <c r="G50" s="139" t="s">
        <v>179</v>
      </c>
      <c r="H50" s="76" t="s">
        <v>244</v>
      </c>
      <c r="I50" s="140" t="s">
        <v>113</v>
      </c>
      <c r="J50" s="154" t="s">
        <v>222</v>
      </c>
      <c r="K50" s="155" t="s">
        <v>222</v>
      </c>
      <c r="L50" s="141" t="s">
        <v>3</v>
      </c>
      <c r="M50" s="142" t="s">
        <v>98</v>
      </c>
      <c r="N50" s="142" t="s">
        <v>2</v>
      </c>
      <c r="O50" s="142" t="s">
        <v>113</v>
      </c>
      <c r="P50" s="142"/>
      <c r="Q50" s="142" t="s">
        <v>129</v>
      </c>
      <c r="R50" s="142" t="s">
        <v>131</v>
      </c>
      <c r="S50" s="59" t="s">
        <v>5</v>
      </c>
      <c r="T50"/>
      <c r="U50"/>
      <c r="V50" s="57"/>
    </row>
    <row r="51" spans="1:22" s="1" customFormat="1" ht="33" customHeight="1" x14ac:dyDescent="0.3">
      <c r="A51" s="137">
        <v>2</v>
      </c>
      <c r="B51" s="137">
        <f t="shared" si="1"/>
        <v>33</v>
      </c>
      <c r="C51" s="138" t="str">
        <f t="shared" si="2"/>
        <v>2.33</v>
      </c>
      <c r="D51" s="139" t="s">
        <v>58</v>
      </c>
      <c r="E51" s="64" t="str">
        <f>IF(ISBLANK(D51)=TRUE,"",VLOOKUP(D51,Krav!$C:$F,4,FALSE))</f>
        <v>3.3 - Den valgte afgrænsningsperiode skal gemmes i populationen</v>
      </c>
      <c r="F51" s="76" t="s">
        <v>225</v>
      </c>
      <c r="G51" s="139" t="s">
        <v>179</v>
      </c>
      <c r="H51" s="76" t="s">
        <v>245</v>
      </c>
      <c r="I51" s="140" t="s">
        <v>113</v>
      </c>
      <c r="J51" s="154" t="s">
        <v>222</v>
      </c>
      <c r="K51" s="155" t="s">
        <v>222</v>
      </c>
      <c r="L51" s="141" t="s">
        <v>3</v>
      </c>
      <c r="M51" s="142" t="s">
        <v>98</v>
      </c>
      <c r="N51" s="142" t="s">
        <v>2</v>
      </c>
      <c r="O51" s="142" t="s">
        <v>113</v>
      </c>
      <c r="P51" s="142"/>
      <c r="Q51" s="142" t="s">
        <v>129</v>
      </c>
      <c r="R51" s="142" t="s">
        <v>131</v>
      </c>
      <c r="S51" s="59" t="s">
        <v>5</v>
      </c>
      <c r="T51"/>
      <c r="U51"/>
      <c r="V51" s="57"/>
    </row>
    <row r="52" spans="1:22" s="1" customFormat="1" ht="33" customHeight="1" x14ac:dyDescent="0.3">
      <c r="A52" s="137">
        <v>2</v>
      </c>
      <c r="B52" s="137">
        <f t="shared" si="1"/>
        <v>34</v>
      </c>
      <c r="C52" s="159" t="str">
        <f t="shared" si="2"/>
        <v>2.34</v>
      </c>
      <c r="D52" s="139" t="s">
        <v>58</v>
      </c>
      <c r="E52" s="64" t="str">
        <f>IF(ISBLANK(D52)=TRUE,"",VLOOKUP(D52,Krav!$C:$F,4,FALSE))</f>
        <v>3.3 - Den valgte afgrænsningsperiode skal gemmes i populationen</v>
      </c>
      <c r="F52" s="76" t="s">
        <v>221</v>
      </c>
      <c r="G52" s="139" t="s">
        <v>180</v>
      </c>
      <c r="H52" s="76" t="s">
        <v>246</v>
      </c>
      <c r="I52" s="140" t="s">
        <v>114</v>
      </c>
      <c r="J52" s="154" t="s">
        <v>222</v>
      </c>
      <c r="K52" s="155" t="s">
        <v>222</v>
      </c>
      <c r="L52" s="141" t="s">
        <v>3</v>
      </c>
      <c r="M52" s="142" t="s">
        <v>98</v>
      </c>
      <c r="N52" s="142" t="s">
        <v>2</v>
      </c>
      <c r="O52" s="142"/>
      <c r="P52" s="142" t="s">
        <v>114</v>
      </c>
      <c r="Q52" s="142" t="s">
        <v>129</v>
      </c>
      <c r="R52" s="142" t="s">
        <v>131</v>
      </c>
      <c r="S52" s="59" t="s">
        <v>5</v>
      </c>
      <c r="T52"/>
      <c r="U52"/>
      <c r="V52" s="57"/>
    </row>
    <row r="53" spans="1:22" s="1" customFormat="1" ht="33" customHeight="1" x14ac:dyDescent="0.3">
      <c r="A53" s="137">
        <v>2</v>
      </c>
      <c r="B53" s="137">
        <f t="shared" si="1"/>
        <v>35</v>
      </c>
      <c r="C53" s="159" t="str">
        <f t="shared" si="2"/>
        <v>2.35</v>
      </c>
      <c r="D53" s="139" t="s">
        <v>58</v>
      </c>
      <c r="E53" s="64" t="str">
        <f>IF(ISBLANK(D53)=TRUE,"",VLOOKUP(D53,Krav!$C:$F,4,FALSE))</f>
        <v>3.3 - Den valgte afgrænsningsperiode skal gemmes i populationen</v>
      </c>
      <c r="F53" s="76" t="s">
        <v>225</v>
      </c>
      <c r="G53" s="139" t="s">
        <v>180</v>
      </c>
      <c r="H53" s="76" t="s">
        <v>247</v>
      </c>
      <c r="I53" s="140" t="s">
        <v>114</v>
      </c>
      <c r="J53" s="154" t="s">
        <v>222</v>
      </c>
      <c r="K53" s="155" t="s">
        <v>222</v>
      </c>
      <c r="L53" s="141" t="s">
        <v>3</v>
      </c>
      <c r="M53" s="142" t="s">
        <v>98</v>
      </c>
      <c r="N53" s="142" t="s">
        <v>2</v>
      </c>
      <c r="O53" s="142"/>
      <c r="P53" s="142" t="s">
        <v>114</v>
      </c>
      <c r="Q53" s="142" t="s">
        <v>129</v>
      </c>
      <c r="R53" s="142" t="s">
        <v>131</v>
      </c>
      <c r="S53" s="59" t="s">
        <v>5</v>
      </c>
      <c r="T53"/>
      <c r="U53"/>
      <c r="V53" s="57"/>
    </row>
    <row r="54" spans="1:22" s="1" customFormat="1" ht="33" customHeight="1" x14ac:dyDescent="0.3">
      <c r="A54" s="137">
        <v>2</v>
      </c>
      <c r="B54" s="137">
        <f t="shared" si="1"/>
        <v>36</v>
      </c>
      <c r="C54" s="138" t="str">
        <f t="shared" si="2"/>
        <v>2.36</v>
      </c>
      <c r="D54" s="139" t="s">
        <v>58</v>
      </c>
      <c r="E54" s="64" t="str">
        <f>IF(ISBLANK(D54)=TRUE,"",VLOOKUP(D54,Krav!$C:$F,4,FALSE))</f>
        <v>3.3 - Den valgte afgrænsningsperiode skal gemmes i populationen</v>
      </c>
      <c r="F54" s="76" t="s">
        <v>221</v>
      </c>
      <c r="G54" s="139" t="s">
        <v>179</v>
      </c>
      <c r="H54" s="76" t="s">
        <v>248</v>
      </c>
      <c r="I54" s="140" t="s">
        <v>113</v>
      </c>
      <c r="J54" s="154" t="s">
        <v>222</v>
      </c>
      <c r="K54" s="155" t="s">
        <v>222</v>
      </c>
      <c r="L54" s="141" t="s">
        <v>3</v>
      </c>
      <c r="M54" s="142" t="s">
        <v>98</v>
      </c>
      <c r="N54" s="142" t="s">
        <v>2</v>
      </c>
      <c r="O54" s="142" t="s">
        <v>113</v>
      </c>
      <c r="P54" s="142" t="s">
        <v>115</v>
      </c>
      <c r="Q54" s="142" t="s">
        <v>129</v>
      </c>
      <c r="R54" s="142" t="s">
        <v>131</v>
      </c>
      <c r="S54" s="59" t="s">
        <v>5</v>
      </c>
      <c r="T54"/>
      <c r="U54"/>
      <c r="V54" s="57"/>
    </row>
    <row r="55" spans="1:22" s="1" customFormat="1" ht="33" customHeight="1" x14ac:dyDescent="0.3">
      <c r="A55" s="137">
        <v>2</v>
      </c>
      <c r="B55" s="137">
        <f t="shared" si="1"/>
        <v>37</v>
      </c>
      <c r="C55" s="138" t="str">
        <f t="shared" si="2"/>
        <v>2.37</v>
      </c>
      <c r="D55" s="139" t="s">
        <v>58</v>
      </c>
      <c r="E55" s="64" t="str">
        <f>IF(ISBLANK(D55)=TRUE,"",VLOOKUP(D55,Krav!$C:$F,4,FALSE))</f>
        <v>3.3 - Den valgte afgrænsningsperiode skal gemmes i populationen</v>
      </c>
      <c r="F55" s="76" t="s">
        <v>225</v>
      </c>
      <c r="G55" s="139" t="s">
        <v>179</v>
      </c>
      <c r="H55" s="76" t="s">
        <v>249</v>
      </c>
      <c r="I55" s="140" t="s">
        <v>113</v>
      </c>
      <c r="J55" s="154" t="s">
        <v>222</v>
      </c>
      <c r="K55" s="155" t="s">
        <v>222</v>
      </c>
      <c r="L55" s="141" t="s">
        <v>3</v>
      </c>
      <c r="M55" s="142" t="s">
        <v>98</v>
      </c>
      <c r="N55" s="142" t="s">
        <v>2</v>
      </c>
      <c r="O55" s="142" t="s">
        <v>113</v>
      </c>
      <c r="P55" s="142" t="s">
        <v>115</v>
      </c>
      <c r="Q55" s="142" t="s">
        <v>129</v>
      </c>
      <c r="R55" s="142" t="s">
        <v>131</v>
      </c>
      <c r="S55" s="59" t="s">
        <v>5</v>
      </c>
      <c r="T55"/>
      <c r="U55"/>
      <c r="V55" s="57"/>
    </row>
    <row r="56" spans="1:22" s="1" customFormat="1" ht="33" customHeight="1" x14ac:dyDescent="0.3">
      <c r="A56" s="137">
        <v>2</v>
      </c>
      <c r="B56" s="137">
        <f t="shared" si="1"/>
        <v>38</v>
      </c>
      <c r="C56" s="138" t="str">
        <f t="shared" si="2"/>
        <v>2.38</v>
      </c>
      <c r="D56" s="139" t="s">
        <v>58</v>
      </c>
      <c r="E56" s="64" t="str">
        <f>IF(ISBLANK(D56)=TRUE,"",VLOOKUP(D56,Krav!$C:$F,4,FALSE))</f>
        <v>3.3 - Den valgte afgrænsningsperiode skal gemmes i populationen</v>
      </c>
      <c r="F56" s="76" t="s">
        <v>221</v>
      </c>
      <c r="G56" s="139" t="s">
        <v>180</v>
      </c>
      <c r="H56" s="76" t="s">
        <v>250</v>
      </c>
      <c r="I56" s="140" t="s">
        <v>115</v>
      </c>
      <c r="J56" s="154" t="s">
        <v>222</v>
      </c>
      <c r="K56" s="155" t="s">
        <v>222</v>
      </c>
      <c r="L56" s="141" t="s">
        <v>3</v>
      </c>
      <c r="M56" s="142" t="s">
        <v>98</v>
      </c>
      <c r="N56" s="142" t="s">
        <v>2</v>
      </c>
      <c r="O56" s="142" t="s">
        <v>113</v>
      </c>
      <c r="P56" s="142" t="s">
        <v>115</v>
      </c>
      <c r="Q56" s="142" t="s">
        <v>129</v>
      </c>
      <c r="R56" s="142" t="s">
        <v>131</v>
      </c>
      <c r="S56" s="59" t="s">
        <v>5</v>
      </c>
      <c r="T56"/>
      <c r="U56"/>
      <c r="V56" s="57"/>
    </row>
    <row r="57" spans="1:22" s="1" customFormat="1" ht="33" customHeight="1" x14ac:dyDescent="0.3">
      <c r="A57" s="137">
        <v>2</v>
      </c>
      <c r="B57" s="137">
        <f t="shared" si="1"/>
        <v>39</v>
      </c>
      <c r="C57" s="138" t="str">
        <f t="shared" si="2"/>
        <v>2.39</v>
      </c>
      <c r="D57" s="139" t="s">
        <v>58</v>
      </c>
      <c r="E57" s="64" t="str">
        <f>IF(ISBLANK(D57)=TRUE,"",VLOOKUP(D57,Krav!$C:$F,4,FALSE))</f>
        <v>3.3 - Den valgte afgrænsningsperiode skal gemmes i populationen</v>
      </c>
      <c r="F57" s="76" t="s">
        <v>225</v>
      </c>
      <c r="G57" s="139" t="s">
        <v>180</v>
      </c>
      <c r="H57" s="76" t="s">
        <v>251</v>
      </c>
      <c r="I57" s="140" t="s">
        <v>115</v>
      </c>
      <c r="J57" s="154" t="s">
        <v>222</v>
      </c>
      <c r="K57" s="155" t="s">
        <v>222</v>
      </c>
      <c r="L57" s="141" t="s">
        <v>3</v>
      </c>
      <c r="M57" s="142" t="s">
        <v>98</v>
      </c>
      <c r="N57" s="142" t="s">
        <v>2</v>
      </c>
      <c r="O57" s="142" t="s">
        <v>113</v>
      </c>
      <c r="P57" s="142" t="s">
        <v>115</v>
      </c>
      <c r="Q57" s="142" t="s">
        <v>129</v>
      </c>
      <c r="R57" s="142" t="s">
        <v>131</v>
      </c>
      <c r="S57" s="362" t="s">
        <v>2339</v>
      </c>
      <c r="T57"/>
      <c r="U57"/>
      <c r="V57" s="57"/>
    </row>
    <row r="58" spans="1:22" s="1" customFormat="1" ht="33" customHeight="1" x14ac:dyDescent="0.3">
      <c r="A58" s="137">
        <v>2</v>
      </c>
      <c r="B58" s="137">
        <f t="shared" si="1"/>
        <v>40</v>
      </c>
      <c r="C58" s="138" t="str">
        <f t="shared" si="2"/>
        <v>2.40</v>
      </c>
      <c r="D58" s="139"/>
      <c r="E58" s="64" t="str">
        <f>IF(ISBLANK(D58)=TRUE,"",VLOOKUP(D58,Krav!$C:$F,4,FALSE))</f>
        <v/>
      </c>
      <c r="F58" s="139" t="s">
        <v>174</v>
      </c>
      <c r="G58" s="139"/>
      <c r="H58" s="76" t="s">
        <v>136</v>
      </c>
      <c r="I58" s="140" t="s">
        <v>1362</v>
      </c>
      <c r="J58" s="154" t="s">
        <v>222</v>
      </c>
      <c r="K58" s="155" t="s">
        <v>222</v>
      </c>
      <c r="L58" s="141" t="s">
        <v>4</v>
      </c>
      <c r="M58" s="142" t="s">
        <v>98</v>
      </c>
      <c r="N58" s="142" t="s">
        <v>2</v>
      </c>
      <c r="O58" s="143" t="s">
        <v>118</v>
      </c>
      <c r="P58" s="142" t="s">
        <v>119</v>
      </c>
      <c r="Q58" s="142" t="s">
        <v>129</v>
      </c>
      <c r="R58" s="142" t="s">
        <v>131</v>
      </c>
      <c r="S58" s="59" t="s">
        <v>5</v>
      </c>
      <c r="T58"/>
      <c r="U58"/>
      <c r="V58" s="57"/>
    </row>
    <row r="59" spans="1:22" s="1" customFormat="1" ht="33" customHeight="1" x14ac:dyDescent="0.3">
      <c r="A59" s="137">
        <v>2</v>
      </c>
      <c r="B59" s="137">
        <f t="shared" si="1"/>
        <v>41</v>
      </c>
      <c r="C59" s="138" t="str">
        <f t="shared" si="2"/>
        <v>2.41</v>
      </c>
      <c r="D59" s="139"/>
      <c r="E59" s="64" t="str">
        <f>IF(ISBLANK(D59)=TRUE,"",VLOOKUP(D59,Krav!$C:$F,4,FALSE))</f>
        <v/>
      </c>
      <c r="F59" s="144" t="s">
        <v>418</v>
      </c>
      <c r="G59" s="144" t="s">
        <v>419</v>
      </c>
      <c r="H59" s="145" t="s">
        <v>429</v>
      </c>
      <c r="I59" s="146" t="s">
        <v>129</v>
      </c>
      <c r="J59" s="154" t="s">
        <v>222</v>
      </c>
      <c r="K59" s="155" t="s">
        <v>222</v>
      </c>
      <c r="L59" s="141" t="s">
        <v>4</v>
      </c>
      <c r="M59" s="142" t="s">
        <v>98</v>
      </c>
      <c r="N59" s="142" t="s">
        <v>2</v>
      </c>
      <c r="O59" s="143" t="s">
        <v>118</v>
      </c>
      <c r="P59" s="142" t="s">
        <v>119</v>
      </c>
      <c r="Q59" s="142" t="s">
        <v>129</v>
      </c>
      <c r="R59" s="142" t="s">
        <v>131</v>
      </c>
      <c r="S59" s="59" t="s">
        <v>5</v>
      </c>
      <c r="T59"/>
      <c r="U59"/>
      <c r="V59" s="57"/>
    </row>
    <row r="60" spans="1:22" s="1" customFormat="1" ht="33" customHeight="1" x14ac:dyDescent="0.3">
      <c r="A60" s="137">
        <v>2</v>
      </c>
      <c r="B60" s="137">
        <f t="shared" si="1"/>
        <v>42</v>
      </c>
      <c r="C60" s="138" t="str">
        <f t="shared" si="2"/>
        <v>2.42</v>
      </c>
      <c r="D60" s="139"/>
      <c r="E60" s="64" t="str">
        <f>IF(ISBLANK(D60)=TRUE,"",VLOOKUP(D60,Krav!$C:$F,4,FALSE))</f>
        <v/>
      </c>
      <c r="F60" s="139" t="s">
        <v>174</v>
      </c>
      <c r="G60" s="139"/>
      <c r="H60" s="76" t="s">
        <v>137</v>
      </c>
      <c r="I60" s="140" t="s">
        <v>456</v>
      </c>
      <c r="J60" s="154" t="s">
        <v>222</v>
      </c>
      <c r="K60" s="155" t="s">
        <v>222</v>
      </c>
      <c r="L60" s="141" t="s">
        <v>4</v>
      </c>
      <c r="M60" s="142" t="s">
        <v>98</v>
      </c>
      <c r="N60" s="142" t="s">
        <v>2</v>
      </c>
      <c r="O60" s="142" t="s">
        <v>119</v>
      </c>
      <c r="P60" s="143" t="s">
        <v>120</v>
      </c>
      <c r="Q60" s="142" t="s">
        <v>129</v>
      </c>
      <c r="R60" s="142" t="s">
        <v>131</v>
      </c>
      <c r="S60" s="59" t="s">
        <v>5</v>
      </c>
      <c r="T60"/>
      <c r="U60"/>
      <c r="V60" s="57"/>
    </row>
    <row r="61" spans="1:22" s="1" customFormat="1" ht="33" customHeight="1" x14ac:dyDescent="0.3">
      <c r="A61" s="137">
        <v>2</v>
      </c>
      <c r="B61" s="137">
        <f t="shared" si="1"/>
        <v>43</v>
      </c>
      <c r="C61" s="138" t="str">
        <f t="shared" si="2"/>
        <v>2.43</v>
      </c>
      <c r="D61" s="139"/>
      <c r="E61" s="64" t="str">
        <f>IF(ISBLANK(D61)=TRUE,"",VLOOKUP(D61,Krav!$C:$F,4,FALSE))</f>
        <v/>
      </c>
      <c r="F61" s="144" t="s">
        <v>418</v>
      </c>
      <c r="G61" s="144" t="s">
        <v>419</v>
      </c>
      <c r="H61" s="145" t="s">
        <v>430</v>
      </c>
      <c r="I61" s="146" t="s">
        <v>129</v>
      </c>
      <c r="J61" s="154" t="s">
        <v>222</v>
      </c>
      <c r="K61" s="155" t="s">
        <v>222</v>
      </c>
      <c r="L61" s="141" t="s">
        <v>4</v>
      </c>
      <c r="M61" s="142" t="s">
        <v>98</v>
      </c>
      <c r="N61" s="142" t="s">
        <v>2</v>
      </c>
      <c r="O61" s="142" t="s">
        <v>119</v>
      </c>
      <c r="P61" s="143" t="s">
        <v>120</v>
      </c>
      <c r="Q61" s="142" t="s">
        <v>129</v>
      </c>
      <c r="R61" s="142" t="s">
        <v>131</v>
      </c>
      <c r="S61" s="59" t="s">
        <v>5</v>
      </c>
      <c r="T61"/>
      <c r="U61"/>
      <c r="V61" s="57"/>
    </row>
    <row r="62" spans="1:22" s="1" customFormat="1" ht="33" customHeight="1" x14ac:dyDescent="0.3">
      <c r="A62" s="137">
        <v>2</v>
      </c>
      <c r="B62" s="137">
        <f t="shared" si="1"/>
        <v>44</v>
      </c>
      <c r="C62" s="138" t="str">
        <f t="shared" si="2"/>
        <v>2.44</v>
      </c>
      <c r="D62" s="139"/>
      <c r="E62" s="64" t="str">
        <f>IF(ISBLANK(D62)=TRUE,"",VLOOKUP(D62,Krav!$C:$F,4,FALSE))</f>
        <v/>
      </c>
      <c r="F62" s="139" t="s">
        <v>174</v>
      </c>
      <c r="G62" s="139"/>
      <c r="H62" s="76" t="s">
        <v>138</v>
      </c>
      <c r="I62" s="140" t="s">
        <v>457</v>
      </c>
      <c r="J62" s="154" t="s">
        <v>222</v>
      </c>
      <c r="K62" s="155" t="s">
        <v>222</v>
      </c>
      <c r="L62" s="141" t="s">
        <v>4</v>
      </c>
      <c r="M62" s="142" t="s">
        <v>98</v>
      </c>
      <c r="N62" s="142" t="s">
        <v>2</v>
      </c>
      <c r="O62" s="143" t="s">
        <v>121</v>
      </c>
      <c r="P62" s="142" t="s">
        <v>115</v>
      </c>
      <c r="Q62" s="142" t="s">
        <v>129</v>
      </c>
      <c r="R62" s="142" t="s">
        <v>131</v>
      </c>
      <c r="S62" s="59" t="s">
        <v>5</v>
      </c>
      <c r="T62"/>
      <c r="U62"/>
      <c r="V62" s="57"/>
    </row>
    <row r="63" spans="1:22" s="1" customFormat="1" ht="33" customHeight="1" x14ac:dyDescent="0.3">
      <c r="A63" s="137">
        <v>2</v>
      </c>
      <c r="B63" s="137">
        <f t="shared" si="1"/>
        <v>45</v>
      </c>
      <c r="C63" s="138" t="str">
        <f t="shared" si="2"/>
        <v>2.45</v>
      </c>
      <c r="D63" s="139"/>
      <c r="E63" s="64" t="str">
        <f>IF(ISBLANK(D63)=TRUE,"",VLOOKUP(D63,Krav!$C:$F,4,FALSE))</f>
        <v/>
      </c>
      <c r="F63" s="144" t="s">
        <v>418</v>
      </c>
      <c r="G63" s="144" t="s">
        <v>419</v>
      </c>
      <c r="H63" s="145" t="s">
        <v>431</v>
      </c>
      <c r="I63" s="146" t="s">
        <v>129</v>
      </c>
      <c r="J63" s="154" t="s">
        <v>222</v>
      </c>
      <c r="K63" s="155" t="s">
        <v>222</v>
      </c>
      <c r="L63" s="141" t="s">
        <v>4</v>
      </c>
      <c r="M63" s="142" t="s">
        <v>98</v>
      </c>
      <c r="N63" s="142" t="s">
        <v>2</v>
      </c>
      <c r="O63" s="143" t="s">
        <v>121</v>
      </c>
      <c r="P63" s="142" t="s">
        <v>115</v>
      </c>
      <c r="Q63" s="142" t="s">
        <v>129</v>
      </c>
      <c r="R63" s="142" t="s">
        <v>131</v>
      </c>
      <c r="S63" s="59" t="s">
        <v>5</v>
      </c>
      <c r="T63"/>
      <c r="U63"/>
      <c r="V63" s="57"/>
    </row>
    <row r="64" spans="1:22" s="1" customFormat="1" ht="33" customHeight="1" x14ac:dyDescent="0.3">
      <c r="A64" s="137">
        <v>2</v>
      </c>
      <c r="B64" s="137">
        <f t="shared" si="1"/>
        <v>46</v>
      </c>
      <c r="C64" s="138" t="str">
        <f t="shared" si="2"/>
        <v>2.46</v>
      </c>
      <c r="D64" s="139"/>
      <c r="E64" s="64" t="str">
        <f>IF(ISBLANK(D64)=TRUE,"",VLOOKUP(D64,Krav!$C:$F,4,FALSE))</f>
        <v/>
      </c>
      <c r="F64" s="139" t="s">
        <v>174</v>
      </c>
      <c r="G64" s="139"/>
      <c r="H64" s="76" t="s">
        <v>139</v>
      </c>
      <c r="I64" s="140" t="s">
        <v>457</v>
      </c>
      <c r="J64" s="154" t="s">
        <v>222</v>
      </c>
      <c r="K64" s="155" t="s">
        <v>222</v>
      </c>
      <c r="L64" s="141" t="s">
        <v>4</v>
      </c>
      <c r="M64" s="142" t="s">
        <v>98</v>
      </c>
      <c r="N64" s="142" t="s">
        <v>2</v>
      </c>
      <c r="O64" s="142" t="s">
        <v>113</v>
      </c>
      <c r="P64" s="143" t="s">
        <v>122</v>
      </c>
      <c r="Q64" s="142" t="s">
        <v>129</v>
      </c>
      <c r="R64" s="142" t="s">
        <v>131</v>
      </c>
      <c r="S64" s="59" t="s">
        <v>5</v>
      </c>
      <c r="T64"/>
      <c r="U64"/>
      <c r="V64" s="57"/>
    </row>
    <row r="65" spans="1:22" s="1" customFormat="1" ht="33" customHeight="1" x14ac:dyDescent="0.3">
      <c r="A65" s="137">
        <v>2</v>
      </c>
      <c r="B65" s="137">
        <f t="shared" si="1"/>
        <v>47</v>
      </c>
      <c r="C65" s="138" t="str">
        <f t="shared" si="2"/>
        <v>2.47</v>
      </c>
      <c r="D65" s="139"/>
      <c r="E65" s="64" t="str">
        <f>IF(ISBLANK(D65)=TRUE,"",VLOOKUP(D65,Krav!$C:$F,4,FALSE))</f>
        <v/>
      </c>
      <c r="F65" s="144" t="s">
        <v>418</v>
      </c>
      <c r="G65" s="144" t="s">
        <v>419</v>
      </c>
      <c r="H65" s="145" t="s">
        <v>432</v>
      </c>
      <c r="I65" s="146" t="s">
        <v>129</v>
      </c>
      <c r="J65" s="154" t="s">
        <v>222</v>
      </c>
      <c r="K65" s="155" t="s">
        <v>222</v>
      </c>
      <c r="L65" s="141" t="s">
        <v>4</v>
      </c>
      <c r="M65" s="142" t="s">
        <v>98</v>
      </c>
      <c r="N65" s="142" t="s">
        <v>2</v>
      </c>
      <c r="O65" s="142" t="s">
        <v>113</v>
      </c>
      <c r="P65" s="143" t="s">
        <v>122</v>
      </c>
      <c r="Q65" s="142" t="s">
        <v>129</v>
      </c>
      <c r="R65" s="142" t="s">
        <v>131</v>
      </c>
      <c r="S65" s="59" t="s">
        <v>5</v>
      </c>
      <c r="T65"/>
      <c r="U65"/>
      <c r="V65" s="57"/>
    </row>
    <row r="66" spans="1:22" s="1" customFormat="1" ht="33" customHeight="1" x14ac:dyDescent="0.3">
      <c r="A66" s="137">
        <v>2</v>
      </c>
      <c r="B66" s="137">
        <f t="shared" si="1"/>
        <v>48</v>
      </c>
      <c r="C66" s="138" t="str">
        <f t="shared" si="2"/>
        <v>2.48</v>
      </c>
      <c r="D66" s="139"/>
      <c r="E66" s="64" t="str">
        <f>IF(ISBLANK(D66)=TRUE,"",VLOOKUP(D66,Krav!$C:$F,4,FALSE))</f>
        <v/>
      </c>
      <c r="F66" s="139" t="s">
        <v>174</v>
      </c>
      <c r="G66" s="139"/>
      <c r="H66" s="76" t="s">
        <v>140</v>
      </c>
      <c r="I66" s="154" t="s">
        <v>1363</v>
      </c>
      <c r="J66" s="154" t="s">
        <v>222</v>
      </c>
      <c r="K66" s="155" t="s">
        <v>222</v>
      </c>
      <c r="L66" s="141" t="s">
        <v>4</v>
      </c>
      <c r="M66" s="142" t="s">
        <v>98</v>
      </c>
      <c r="N66" s="142" t="s">
        <v>2</v>
      </c>
      <c r="O66" s="143" t="s">
        <v>123</v>
      </c>
      <c r="P66" s="142" t="s">
        <v>119</v>
      </c>
      <c r="Q66" s="142" t="s">
        <v>129</v>
      </c>
      <c r="R66" s="142" t="s">
        <v>131</v>
      </c>
      <c r="S66" s="59" t="s">
        <v>5</v>
      </c>
      <c r="T66"/>
      <c r="U66"/>
      <c r="V66" s="57"/>
    </row>
    <row r="67" spans="1:22" s="1" customFormat="1" ht="33" customHeight="1" x14ac:dyDescent="0.3">
      <c r="A67" s="137">
        <v>2</v>
      </c>
      <c r="B67" s="137">
        <f t="shared" si="1"/>
        <v>49</v>
      </c>
      <c r="C67" s="138" t="str">
        <f t="shared" si="2"/>
        <v>2.49</v>
      </c>
      <c r="D67" s="139"/>
      <c r="E67" s="64" t="str">
        <f>IF(ISBLANK(D67)=TRUE,"",VLOOKUP(D67,Krav!$C:$F,4,FALSE))</f>
        <v/>
      </c>
      <c r="F67" s="144" t="s">
        <v>418</v>
      </c>
      <c r="G67" s="144" t="s">
        <v>419</v>
      </c>
      <c r="H67" s="145" t="s">
        <v>433</v>
      </c>
      <c r="I67" s="146" t="s">
        <v>129</v>
      </c>
      <c r="J67" s="154" t="s">
        <v>222</v>
      </c>
      <c r="K67" s="155" t="s">
        <v>222</v>
      </c>
      <c r="L67" s="141" t="s">
        <v>4</v>
      </c>
      <c r="M67" s="142" t="s">
        <v>98</v>
      </c>
      <c r="N67" s="142" t="s">
        <v>2</v>
      </c>
      <c r="O67" s="143" t="s">
        <v>123</v>
      </c>
      <c r="P67" s="142" t="s">
        <v>119</v>
      </c>
      <c r="Q67" s="142" t="s">
        <v>129</v>
      </c>
      <c r="R67" s="142" t="s">
        <v>131</v>
      </c>
      <c r="S67" s="59" t="s">
        <v>5</v>
      </c>
      <c r="T67"/>
      <c r="U67"/>
      <c r="V67" s="57"/>
    </row>
    <row r="68" spans="1:22" s="1" customFormat="1" ht="33" customHeight="1" x14ac:dyDescent="0.3">
      <c r="A68" s="137">
        <v>2</v>
      </c>
      <c r="B68" s="137">
        <f t="shared" si="1"/>
        <v>50</v>
      </c>
      <c r="C68" s="138" t="str">
        <f t="shared" si="2"/>
        <v>2.50</v>
      </c>
      <c r="D68" s="139"/>
      <c r="E68" s="64" t="str">
        <f>IF(ISBLANK(D68)=TRUE,"",VLOOKUP(D68,Krav!$C:$F,4,FALSE))</f>
        <v/>
      </c>
      <c r="F68" s="139" t="s">
        <v>174</v>
      </c>
      <c r="G68" s="139"/>
      <c r="H68" s="76" t="s">
        <v>141</v>
      </c>
      <c r="I68" s="154" t="s">
        <v>1363</v>
      </c>
      <c r="J68" s="154" t="s">
        <v>222</v>
      </c>
      <c r="K68" s="155" t="s">
        <v>222</v>
      </c>
      <c r="L68" s="141" t="s">
        <v>4</v>
      </c>
      <c r="M68" s="142" t="s">
        <v>98</v>
      </c>
      <c r="N68" s="142" t="s">
        <v>2</v>
      </c>
      <c r="O68" s="142" t="s">
        <v>119</v>
      </c>
      <c r="P68" s="143" t="s">
        <v>124</v>
      </c>
      <c r="Q68" s="142" t="s">
        <v>129</v>
      </c>
      <c r="R68" s="142" t="s">
        <v>131</v>
      </c>
      <c r="S68" s="59" t="s">
        <v>5</v>
      </c>
      <c r="T68"/>
      <c r="U68"/>
      <c r="V68" s="57"/>
    </row>
    <row r="69" spans="1:22" s="1" customFormat="1" ht="33" customHeight="1" x14ac:dyDescent="0.3">
      <c r="A69" s="137">
        <v>2</v>
      </c>
      <c r="B69" s="137">
        <f t="shared" si="1"/>
        <v>51</v>
      </c>
      <c r="C69" s="138" t="str">
        <f t="shared" si="2"/>
        <v>2.51</v>
      </c>
      <c r="D69" s="139"/>
      <c r="E69" s="64" t="str">
        <f>IF(ISBLANK(D69)=TRUE,"",VLOOKUP(D69,Krav!$C:$F,4,FALSE))</f>
        <v/>
      </c>
      <c r="F69" s="144" t="s">
        <v>418</v>
      </c>
      <c r="G69" s="144" t="s">
        <v>419</v>
      </c>
      <c r="H69" s="145" t="s">
        <v>434</v>
      </c>
      <c r="I69" s="146" t="s">
        <v>129</v>
      </c>
      <c r="J69" s="154" t="s">
        <v>222</v>
      </c>
      <c r="K69" s="155" t="s">
        <v>222</v>
      </c>
      <c r="L69" s="141" t="s">
        <v>4</v>
      </c>
      <c r="M69" s="142" t="s">
        <v>98</v>
      </c>
      <c r="N69" s="142" t="s">
        <v>2</v>
      </c>
      <c r="O69" s="142" t="s">
        <v>119</v>
      </c>
      <c r="P69" s="143" t="s">
        <v>124</v>
      </c>
      <c r="Q69" s="142" t="s">
        <v>129</v>
      </c>
      <c r="R69" s="142" t="s">
        <v>131</v>
      </c>
      <c r="S69" s="59" t="s">
        <v>5</v>
      </c>
      <c r="T69"/>
      <c r="U69"/>
      <c r="V69" s="57"/>
    </row>
    <row r="70" spans="1:22" s="1" customFormat="1" ht="33" customHeight="1" x14ac:dyDescent="0.3">
      <c r="A70" s="137">
        <v>2</v>
      </c>
      <c r="B70" s="137">
        <f t="shared" si="1"/>
        <v>52</v>
      </c>
      <c r="C70" s="138" t="str">
        <f t="shared" si="2"/>
        <v>2.52</v>
      </c>
      <c r="D70" s="139"/>
      <c r="E70" s="64" t="str">
        <f>IF(ISBLANK(D70)=TRUE,"",VLOOKUP(D70,Krav!$C:$F,4,FALSE))</f>
        <v/>
      </c>
      <c r="F70" s="139" t="s">
        <v>174</v>
      </c>
      <c r="G70" s="139"/>
      <c r="H70" s="76" t="s">
        <v>182</v>
      </c>
      <c r="I70" s="140" t="s">
        <v>458</v>
      </c>
      <c r="J70" s="154" t="s">
        <v>222</v>
      </c>
      <c r="K70" s="155" t="s">
        <v>222</v>
      </c>
      <c r="L70" s="141" t="s">
        <v>4</v>
      </c>
      <c r="M70" s="142" t="s">
        <v>98</v>
      </c>
      <c r="N70" s="142" t="s">
        <v>2</v>
      </c>
      <c r="O70" s="142" t="s">
        <v>119</v>
      </c>
      <c r="P70" s="143" t="s">
        <v>181</v>
      </c>
      <c r="Q70" s="142" t="s">
        <v>129</v>
      </c>
      <c r="R70" s="142" t="s">
        <v>131</v>
      </c>
      <c r="S70" s="59" t="s">
        <v>5</v>
      </c>
      <c r="T70"/>
      <c r="U70"/>
      <c r="V70" s="57"/>
    </row>
    <row r="71" spans="1:22" s="1" customFormat="1" ht="33" customHeight="1" x14ac:dyDescent="0.3">
      <c r="A71" s="137">
        <v>2</v>
      </c>
      <c r="B71" s="137">
        <f t="shared" si="1"/>
        <v>53</v>
      </c>
      <c r="C71" s="138" t="str">
        <f t="shared" si="2"/>
        <v>2.53</v>
      </c>
      <c r="D71" s="139"/>
      <c r="E71" s="64" t="str">
        <f>IF(ISBLANK(D71)=TRUE,"",VLOOKUP(D71,Krav!$C:$F,4,FALSE))</f>
        <v/>
      </c>
      <c r="F71" s="144" t="s">
        <v>418</v>
      </c>
      <c r="G71" s="144" t="s">
        <v>419</v>
      </c>
      <c r="H71" s="145" t="s">
        <v>435</v>
      </c>
      <c r="I71" s="146" t="s">
        <v>129</v>
      </c>
      <c r="J71" s="154" t="s">
        <v>222</v>
      </c>
      <c r="K71" s="155" t="s">
        <v>222</v>
      </c>
      <c r="L71" s="141" t="s">
        <v>4</v>
      </c>
      <c r="M71" s="142" t="s">
        <v>98</v>
      </c>
      <c r="N71" s="142" t="s">
        <v>2</v>
      </c>
      <c r="O71" s="142" t="s">
        <v>119</v>
      </c>
      <c r="P71" s="143" t="s">
        <v>181</v>
      </c>
      <c r="Q71" s="142" t="s">
        <v>129</v>
      </c>
      <c r="R71" s="142" t="s">
        <v>131</v>
      </c>
      <c r="S71" s="59" t="s">
        <v>5</v>
      </c>
      <c r="T71"/>
      <c r="U71"/>
      <c r="V71" s="57"/>
    </row>
    <row r="72" spans="1:22" s="1" customFormat="1" ht="33" customHeight="1" x14ac:dyDescent="0.3">
      <c r="A72" s="137">
        <v>2</v>
      </c>
      <c r="B72" s="137">
        <f t="shared" si="1"/>
        <v>54</v>
      </c>
      <c r="C72" s="138" t="str">
        <f t="shared" si="2"/>
        <v>2.54</v>
      </c>
      <c r="D72" s="139"/>
      <c r="E72" s="64" t="str">
        <f>IF(ISBLANK(D72)=TRUE,"",VLOOKUP(D72,Krav!$C:$F,4,FALSE))</f>
        <v/>
      </c>
      <c r="F72" s="76" t="s">
        <v>224</v>
      </c>
      <c r="G72" s="139" t="s">
        <v>179</v>
      </c>
      <c r="H72" s="76" t="s">
        <v>183</v>
      </c>
      <c r="I72" s="140" t="s">
        <v>24</v>
      </c>
      <c r="J72" s="154" t="s">
        <v>222</v>
      </c>
      <c r="K72" s="155" t="s">
        <v>222</v>
      </c>
      <c r="L72" s="141" t="s">
        <v>3</v>
      </c>
      <c r="M72" s="142" t="s">
        <v>98</v>
      </c>
      <c r="N72" s="142" t="s">
        <v>2</v>
      </c>
      <c r="O72" s="142" t="s">
        <v>24</v>
      </c>
      <c r="P72" s="142" t="s">
        <v>25</v>
      </c>
      <c r="Q72" s="142" t="s">
        <v>129</v>
      </c>
      <c r="R72" s="142" t="s">
        <v>131</v>
      </c>
      <c r="S72" s="59" t="s">
        <v>5</v>
      </c>
      <c r="T72"/>
      <c r="U72"/>
      <c r="V72" s="57"/>
    </row>
    <row r="73" spans="1:22" s="1" customFormat="1" ht="33" customHeight="1" x14ac:dyDescent="0.3">
      <c r="A73" s="137">
        <v>2</v>
      </c>
      <c r="B73" s="137">
        <f t="shared" si="1"/>
        <v>55</v>
      </c>
      <c r="C73" s="138" t="str">
        <f t="shared" si="2"/>
        <v>2.55</v>
      </c>
      <c r="D73" s="139"/>
      <c r="E73" s="64" t="str">
        <f>IF(ISBLANK(D73)=TRUE,"",VLOOKUP(D73,Krav!$C:$F,4,FALSE))</f>
        <v/>
      </c>
      <c r="F73" s="76" t="s">
        <v>224</v>
      </c>
      <c r="G73" s="139" t="s">
        <v>180</v>
      </c>
      <c r="H73" s="76" t="s">
        <v>184</v>
      </c>
      <c r="I73" s="140" t="s">
        <v>25</v>
      </c>
      <c r="J73" s="154" t="s">
        <v>222</v>
      </c>
      <c r="K73" s="155" t="s">
        <v>222</v>
      </c>
      <c r="L73" s="141" t="s">
        <v>3</v>
      </c>
      <c r="M73" s="142" t="s">
        <v>98</v>
      </c>
      <c r="N73" s="142" t="s">
        <v>2</v>
      </c>
      <c r="O73" s="142" t="s">
        <v>24</v>
      </c>
      <c r="P73" s="142" t="s">
        <v>25</v>
      </c>
      <c r="Q73" s="142" t="s">
        <v>129</v>
      </c>
      <c r="R73" s="142" t="s">
        <v>131</v>
      </c>
      <c r="S73" s="59" t="s">
        <v>5</v>
      </c>
      <c r="T73"/>
      <c r="U73"/>
      <c r="V73" s="57"/>
    </row>
    <row r="74" spans="1:22" s="1" customFormat="1" ht="33" customHeight="1" x14ac:dyDescent="0.3">
      <c r="A74" s="137">
        <v>2</v>
      </c>
      <c r="B74" s="137">
        <f t="shared" si="1"/>
        <v>56</v>
      </c>
      <c r="C74" s="138" t="str">
        <f t="shared" si="2"/>
        <v>2.56</v>
      </c>
      <c r="D74" s="139" t="s">
        <v>60</v>
      </c>
      <c r="E74" s="64" t="str">
        <f>IF(ISBLANK(D74)=TRUE,"",VLOOKUP(D74,Krav!$C:$F,4,FALSE))</f>
        <v xml:space="preserve">4.1 - Det skal være muligt for brugeren at markere hvorvidt en fordringshavers registreringspraksis har været det samme i hele den afgrænsede modtagelsesperiode. </v>
      </c>
      <c r="F74" s="76" t="s">
        <v>225</v>
      </c>
      <c r="G74" s="139" t="s">
        <v>127</v>
      </c>
      <c r="H74" s="76" t="s">
        <v>125</v>
      </c>
      <c r="I74" s="140" t="s">
        <v>26</v>
      </c>
      <c r="J74" s="154" t="s">
        <v>222</v>
      </c>
      <c r="K74" s="155" t="s">
        <v>222</v>
      </c>
      <c r="L74" s="141" t="s">
        <v>3</v>
      </c>
      <c r="M74" s="142" t="s">
        <v>98</v>
      </c>
      <c r="N74" s="142" t="s">
        <v>2</v>
      </c>
      <c r="O74" s="142" t="s">
        <v>113</v>
      </c>
      <c r="P74" s="142" t="s">
        <v>115</v>
      </c>
      <c r="Q74" s="142" t="s">
        <v>129</v>
      </c>
      <c r="R74" s="142" t="s">
        <v>131</v>
      </c>
      <c r="S74" s="59" t="s">
        <v>5</v>
      </c>
      <c r="T74"/>
      <c r="U74"/>
      <c r="V74" s="57"/>
    </row>
    <row r="75" spans="1:22" s="1" customFormat="1" ht="33" customHeight="1" x14ac:dyDescent="0.3">
      <c r="A75" s="137">
        <v>2</v>
      </c>
      <c r="B75" s="137">
        <f t="shared" si="1"/>
        <v>57</v>
      </c>
      <c r="C75" s="138" t="str">
        <f t="shared" si="2"/>
        <v>2.57</v>
      </c>
      <c r="D75" s="139" t="s">
        <v>60</v>
      </c>
      <c r="E75" s="64" t="str">
        <f>IF(ISBLANK(D75)=TRUE,"",VLOOKUP(D75,Krav!$C:$F,4,FALSE))</f>
        <v xml:space="preserve">4.1 - Det skal være muligt for brugeren at markere hvorvidt en fordringshavers registreringspraksis har været det samme i hele den afgrænsede modtagelsesperiode. </v>
      </c>
      <c r="F75" s="76" t="s">
        <v>225</v>
      </c>
      <c r="G75" s="139" t="s">
        <v>16</v>
      </c>
      <c r="H75" s="76" t="s">
        <v>126</v>
      </c>
      <c r="I75" s="140" t="s">
        <v>166</v>
      </c>
      <c r="J75" s="154" t="s">
        <v>222</v>
      </c>
      <c r="K75" s="155" t="s">
        <v>222</v>
      </c>
      <c r="L75" s="141" t="s">
        <v>3</v>
      </c>
      <c r="M75" s="142" t="s">
        <v>98</v>
      </c>
      <c r="N75" s="142" t="s">
        <v>2</v>
      </c>
      <c r="O75" s="142" t="s">
        <v>113</v>
      </c>
      <c r="P75" s="142" t="s">
        <v>115</v>
      </c>
      <c r="Q75" s="142" t="s">
        <v>131</v>
      </c>
      <c r="R75" s="142" t="s">
        <v>129</v>
      </c>
      <c r="S75" s="59" t="s">
        <v>5</v>
      </c>
      <c r="T75"/>
      <c r="U75"/>
      <c r="V75" s="57"/>
    </row>
    <row r="76" spans="1:22" s="1" customFormat="1" ht="33" customHeight="1" x14ac:dyDescent="0.3">
      <c r="A76" s="137">
        <v>2</v>
      </c>
      <c r="B76" s="137">
        <f t="shared" si="1"/>
        <v>58</v>
      </c>
      <c r="C76" s="138" t="str">
        <f t="shared" si="2"/>
        <v>2.58</v>
      </c>
      <c r="D76" s="139" t="s">
        <v>60</v>
      </c>
      <c r="E76" s="64" t="str">
        <f>IF(ISBLANK(D76)=TRUE,"",VLOOKUP(D76,Krav!$C:$F,4,FALSE))</f>
        <v xml:space="preserve">4.1 - Det skal være muligt for brugeren at markere hvorvidt en fordringshavers registreringspraksis har været det samme i hele den afgrænsede modtagelsesperiode. </v>
      </c>
      <c r="F76" s="139" t="s">
        <v>174</v>
      </c>
      <c r="G76" s="139"/>
      <c r="H76" s="76" t="s">
        <v>142</v>
      </c>
      <c r="I76" s="140" t="s">
        <v>459</v>
      </c>
      <c r="J76" s="154" t="s">
        <v>222</v>
      </c>
      <c r="K76" s="155" t="s">
        <v>222</v>
      </c>
      <c r="L76" s="141" t="s">
        <v>4</v>
      </c>
      <c r="M76" s="142" t="s">
        <v>98</v>
      </c>
      <c r="N76" s="142" t="s">
        <v>2</v>
      </c>
      <c r="O76" s="142" t="s">
        <v>113</v>
      </c>
      <c r="P76" s="142" t="s">
        <v>115</v>
      </c>
      <c r="Q76" s="143" t="s">
        <v>131</v>
      </c>
      <c r="R76" s="143" t="s">
        <v>131</v>
      </c>
      <c r="S76" s="59" t="s">
        <v>5</v>
      </c>
      <c r="T76"/>
      <c r="U76"/>
      <c r="V76" s="57"/>
    </row>
    <row r="77" spans="1:22" s="1" customFormat="1" ht="33" customHeight="1" x14ac:dyDescent="0.3">
      <c r="A77" s="137">
        <v>2</v>
      </c>
      <c r="B77" s="137">
        <f t="shared" si="1"/>
        <v>59</v>
      </c>
      <c r="C77" s="138" t="str">
        <f t="shared" si="2"/>
        <v>2.59</v>
      </c>
      <c r="D77" s="139"/>
      <c r="E77" s="64" t="str">
        <f>IF(ISBLANK(D77)=TRUE,"",VLOOKUP(D77,Krav!$C:$F,4,FALSE))</f>
        <v/>
      </c>
      <c r="F77" s="144" t="s">
        <v>418</v>
      </c>
      <c r="G77" s="144" t="s">
        <v>419</v>
      </c>
      <c r="H77" s="145" t="s">
        <v>436</v>
      </c>
      <c r="I77" s="146" t="s">
        <v>129</v>
      </c>
      <c r="J77" s="154" t="s">
        <v>222</v>
      </c>
      <c r="K77" s="155" t="s">
        <v>222</v>
      </c>
      <c r="L77" s="141" t="s">
        <v>4</v>
      </c>
      <c r="M77" s="142" t="s">
        <v>98</v>
      </c>
      <c r="N77" s="142" t="s">
        <v>2</v>
      </c>
      <c r="O77" s="142" t="s">
        <v>113</v>
      </c>
      <c r="P77" s="142" t="s">
        <v>115</v>
      </c>
      <c r="Q77" s="143" t="s">
        <v>131</v>
      </c>
      <c r="R77" s="143" t="s">
        <v>131</v>
      </c>
      <c r="S77" s="59" t="s">
        <v>5</v>
      </c>
      <c r="T77"/>
      <c r="U77"/>
      <c r="V77" s="57"/>
    </row>
    <row r="78" spans="1:22" s="1" customFormat="1" ht="33" customHeight="1" x14ac:dyDescent="0.3">
      <c r="A78" s="137">
        <v>2</v>
      </c>
      <c r="B78" s="137">
        <f t="shared" si="1"/>
        <v>60</v>
      </c>
      <c r="C78" s="138" t="str">
        <f t="shared" si="2"/>
        <v>2.60</v>
      </c>
      <c r="D78" s="139" t="s">
        <v>63</v>
      </c>
      <c r="E78" s="64" t="str">
        <f>IF(ISBLANK(D78)=TRUE,"",VLOOKUP(D78,Krav!$C:$F,4,FALSE))</f>
        <v>4.2 - Såfremt brugeren svarer nej til spørgsmålet skal brugeren ledes videre til spørgsmål 4.a</v>
      </c>
      <c r="F78" s="139" t="s">
        <v>143</v>
      </c>
      <c r="G78" s="139" t="s">
        <v>16</v>
      </c>
      <c r="H78" s="76" t="s">
        <v>147</v>
      </c>
      <c r="I78" s="140" t="s">
        <v>145</v>
      </c>
      <c r="J78" s="154" t="s">
        <v>222</v>
      </c>
      <c r="K78" s="155" t="s">
        <v>222</v>
      </c>
      <c r="L78" s="141" t="s">
        <v>3</v>
      </c>
      <c r="M78" s="142" t="s">
        <v>98</v>
      </c>
      <c r="N78" s="142" t="s">
        <v>2</v>
      </c>
      <c r="O78" s="142" t="s">
        <v>113</v>
      </c>
      <c r="P78" s="142" t="s">
        <v>115</v>
      </c>
      <c r="Q78" s="142" t="s">
        <v>131</v>
      </c>
      <c r="R78" s="142" t="s">
        <v>129</v>
      </c>
      <c r="S78" s="59" t="s">
        <v>5</v>
      </c>
      <c r="T78"/>
      <c r="U78"/>
      <c r="V78" s="57"/>
    </row>
    <row r="79" spans="1:22" s="1" customFormat="1" ht="33" customHeight="1" x14ac:dyDescent="0.3">
      <c r="A79" s="137">
        <v>2</v>
      </c>
      <c r="B79" s="137">
        <f t="shared" si="1"/>
        <v>61</v>
      </c>
      <c r="C79" s="138" t="str">
        <f t="shared" si="2"/>
        <v>2.61</v>
      </c>
      <c r="D79" s="139" t="s">
        <v>65</v>
      </c>
      <c r="E79" s="64" t="str">
        <f>IF(ISBLANK(D79)=TRUE,"",VLOOKUP(D79,Krav!$C:$F,4,FALSE))</f>
        <v>4.3 - Såfremt brugeren svarer ja til spørgsmålet skal brugeren ledes videre til spørgsmål 5</v>
      </c>
      <c r="F79" s="139" t="s">
        <v>143</v>
      </c>
      <c r="G79" s="139" t="s">
        <v>127</v>
      </c>
      <c r="H79" s="76" t="s">
        <v>148</v>
      </c>
      <c r="I79" s="140" t="s">
        <v>146</v>
      </c>
      <c r="J79" s="154" t="s">
        <v>222</v>
      </c>
      <c r="K79" s="155" t="s">
        <v>222</v>
      </c>
      <c r="L79" s="141" t="s">
        <v>3</v>
      </c>
      <c r="M79" s="142" t="s">
        <v>98</v>
      </c>
      <c r="N79" s="142" t="s">
        <v>2</v>
      </c>
      <c r="O79" s="142" t="s">
        <v>113</v>
      </c>
      <c r="P79" s="142" t="s">
        <v>115</v>
      </c>
      <c r="Q79" s="142" t="s">
        <v>129</v>
      </c>
      <c r="R79" s="142" t="s">
        <v>131</v>
      </c>
      <c r="S79" s="59" t="s">
        <v>5</v>
      </c>
      <c r="T79"/>
      <c r="U79"/>
      <c r="V79" s="57"/>
    </row>
    <row r="80" spans="1:22" s="1" customFormat="1" ht="33" customHeight="1" x14ac:dyDescent="0.3">
      <c r="A80" s="137">
        <v>2</v>
      </c>
      <c r="B80" s="137">
        <f t="shared" si="1"/>
        <v>62</v>
      </c>
      <c r="C80" s="138" t="str">
        <f t="shared" si="2"/>
        <v>2.62</v>
      </c>
      <c r="D80" s="139"/>
      <c r="E80" s="64" t="str">
        <f>IF(ISBLANK(D80)=TRUE,"",VLOOKUP(D80,Krav!$C:$F,4,FALSE))</f>
        <v/>
      </c>
      <c r="F80" s="139" t="s">
        <v>185</v>
      </c>
      <c r="G80" s="139"/>
      <c r="H80" s="76" t="s">
        <v>149</v>
      </c>
      <c r="I80" s="140" t="s">
        <v>150</v>
      </c>
      <c r="J80" s="154" t="s">
        <v>222</v>
      </c>
      <c r="K80" s="155" t="s">
        <v>222</v>
      </c>
      <c r="L80" s="141" t="s">
        <v>3</v>
      </c>
      <c r="M80" s="142" t="s">
        <v>98</v>
      </c>
      <c r="N80" s="142" t="s">
        <v>2</v>
      </c>
      <c r="O80" s="142" t="s">
        <v>113</v>
      </c>
      <c r="P80" s="142" t="s">
        <v>115</v>
      </c>
      <c r="Q80" s="142" t="s">
        <v>129</v>
      </c>
      <c r="R80" s="142" t="s">
        <v>131</v>
      </c>
      <c r="S80" s="59" t="s">
        <v>5</v>
      </c>
      <c r="T80"/>
      <c r="U80"/>
      <c r="V80" s="57"/>
    </row>
    <row r="81" spans="1:23" s="1" customFormat="1" ht="33" customHeight="1" x14ac:dyDescent="0.3">
      <c r="A81" s="137">
        <v>2</v>
      </c>
      <c r="B81" s="137">
        <f t="shared" si="1"/>
        <v>63</v>
      </c>
      <c r="C81" s="138" t="str">
        <f t="shared" si="2"/>
        <v>2.63</v>
      </c>
      <c r="D81" s="139"/>
      <c r="E81" s="64" t="str">
        <f>IF(ISBLANK(D81)=TRUE,"",VLOOKUP(D81,Krav!$C:$F,4,FALSE))</f>
        <v/>
      </c>
      <c r="F81" s="91" t="s">
        <v>418</v>
      </c>
      <c r="G81" s="91" t="s">
        <v>1364</v>
      </c>
      <c r="H81" s="81" t="s">
        <v>1365</v>
      </c>
      <c r="I81" s="91" t="s">
        <v>129</v>
      </c>
      <c r="J81" s="67" t="s">
        <v>222</v>
      </c>
      <c r="K81" s="123" t="s">
        <v>222</v>
      </c>
      <c r="L81" s="20" t="s">
        <v>3</v>
      </c>
      <c r="M81" s="142"/>
      <c r="N81" s="142"/>
      <c r="O81" s="142"/>
      <c r="P81" s="142"/>
      <c r="Q81" s="142"/>
      <c r="R81" s="142"/>
      <c r="S81" s="59" t="s">
        <v>5</v>
      </c>
      <c r="T81"/>
      <c r="U81"/>
      <c r="V81" s="57"/>
    </row>
    <row r="82" spans="1:23" s="1" customFormat="1" ht="33" customHeight="1" x14ac:dyDescent="0.3">
      <c r="A82" s="137">
        <v>2</v>
      </c>
      <c r="B82" s="137">
        <f t="shared" si="1"/>
        <v>64</v>
      </c>
      <c r="C82" s="138" t="str">
        <f t="shared" si="2"/>
        <v>2.64</v>
      </c>
      <c r="D82" s="139"/>
      <c r="E82" s="64" t="str">
        <f>IF(ISBLANK(D82)=TRUE,"",VLOOKUP(D82,Krav!$C:$F,4,FALSE))</f>
        <v/>
      </c>
      <c r="F82" s="76" t="s">
        <v>224</v>
      </c>
      <c r="G82" s="139" t="s">
        <v>127</v>
      </c>
      <c r="H82" s="76" t="s">
        <v>186</v>
      </c>
      <c r="I82" s="140" t="s">
        <v>129</v>
      </c>
      <c r="J82" s="154" t="s">
        <v>222</v>
      </c>
      <c r="K82" s="155" t="s">
        <v>222</v>
      </c>
      <c r="L82" s="141" t="s">
        <v>3</v>
      </c>
      <c r="M82" s="142" t="s">
        <v>98</v>
      </c>
      <c r="N82" s="142" t="s">
        <v>2</v>
      </c>
      <c r="O82" s="142" t="s">
        <v>24</v>
      </c>
      <c r="P82" s="142" t="s">
        <v>25</v>
      </c>
      <c r="Q82" s="142" t="s">
        <v>129</v>
      </c>
      <c r="R82" s="142" t="s">
        <v>131</v>
      </c>
      <c r="S82" s="59" t="s">
        <v>5</v>
      </c>
      <c r="T82"/>
      <c r="U82"/>
      <c r="V82" s="57"/>
    </row>
    <row r="83" spans="1:23" s="1" customFormat="1" ht="33" customHeight="1" x14ac:dyDescent="0.3">
      <c r="A83" s="137">
        <v>2</v>
      </c>
      <c r="B83" s="137">
        <f t="shared" si="1"/>
        <v>65</v>
      </c>
      <c r="C83" s="159" t="str">
        <f t="shared" si="2"/>
        <v>2.65</v>
      </c>
      <c r="D83" s="139"/>
      <c r="E83" s="64" t="str">
        <f>IF(ISBLANK(D83)=TRUE,"",VLOOKUP(D83,Krav!$C:$F,4,FALSE))</f>
        <v/>
      </c>
      <c r="F83" s="76" t="s">
        <v>224</v>
      </c>
      <c r="G83" s="139" t="s">
        <v>16</v>
      </c>
      <c r="H83" s="76" t="s">
        <v>187</v>
      </c>
      <c r="I83" s="140" t="s">
        <v>129</v>
      </c>
      <c r="J83" s="154" t="s">
        <v>222</v>
      </c>
      <c r="K83" s="155" t="s">
        <v>222</v>
      </c>
      <c r="L83" s="141" t="s">
        <v>3</v>
      </c>
      <c r="M83" s="142" t="s">
        <v>98</v>
      </c>
      <c r="N83" s="142" t="s">
        <v>2</v>
      </c>
      <c r="O83" s="142" t="s">
        <v>24</v>
      </c>
      <c r="P83" s="142" t="s">
        <v>25</v>
      </c>
      <c r="Q83" s="142" t="s">
        <v>131</v>
      </c>
      <c r="R83" s="142" t="s">
        <v>129</v>
      </c>
      <c r="S83" s="59" t="s">
        <v>5</v>
      </c>
      <c r="T83"/>
      <c r="U83"/>
      <c r="V83" s="57"/>
    </row>
    <row r="84" spans="1:23" s="1" customFormat="1" ht="33" customHeight="1" x14ac:dyDescent="0.3">
      <c r="A84" s="137">
        <v>2</v>
      </c>
      <c r="B84" s="137">
        <f t="shared" si="1"/>
        <v>66</v>
      </c>
      <c r="C84" s="138" t="str">
        <f t="shared" si="2"/>
        <v>2.66</v>
      </c>
      <c r="D84" s="139"/>
      <c r="E84" s="64" t="str">
        <f>IF(ISBLANK(D84)=TRUE,"",VLOOKUP(D84,Krav!$C:$F,4,FALSE))</f>
        <v/>
      </c>
      <c r="F84" s="76" t="s">
        <v>224</v>
      </c>
      <c r="G84" s="139" t="s">
        <v>180</v>
      </c>
      <c r="H84" s="76" t="s">
        <v>192</v>
      </c>
      <c r="I84" s="140" t="s">
        <v>107</v>
      </c>
      <c r="J84" s="154" t="s">
        <v>222</v>
      </c>
      <c r="K84" s="155" t="s">
        <v>222</v>
      </c>
      <c r="L84" s="141" t="s">
        <v>3</v>
      </c>
      <c r="M84" s="142"/>
      <c r="N84" s="143"/>
      <c r="O84" s="142"/>
      <c r="P84" s="142"/>
      <c r="Q84" s="142"/>
      <c r="R84" s="142"/>
      <c r="S84" s="59" t="s">
        <v>5</v>
      </c>
      <c r="T84"/>
      <c r="U84"/>
      <c r="V84" s="57"/>
    </row>
    <row r="85" spans="1:23" s="1" customFormat="1" ht="33" customHeight="1" x14ac:dyDescent="0.3">
      <c r="A85" s="137">
        <v>2</v>
      </c>
      <c r="B85" s="137">
        <f t="shared" ref="B85:B90" si="3">B84+1</f>
        <v>67</v>
      </c>
      <c r="C85" s="138" t="str">
        <f t="shared" ref="C85:C90" si="4">IF(B85&lt;10,_xlfn.CONCAT(A85,".0",B85),_xlfn.CONCAT(A85,".",B85))</f>
        <v>2.67</v>
      </c>
      <c r="D85" s="139"/>
      <c r="E85" s="64" t="str">
        <f>IF(ISBLANK(D85)=TRUE,"",VLOOKUP(D85,Krav!$C:$F,4,FALSE))</f>
        <v/>
      </c>
      <c r="F85" s="76" t="s">
        <v>224</v>
      </c>
      <c r="G85" s="139" t="s">
        <v>173</v>
      </c>
      <c r="H85" s="76" t="s">
        <v>192</v>
      </c>
      <c r="I85" s="140" t="s">
        <v>107</v>
      </c>
      <c r="J85" s="154" t="s">
        <v>222</v>
      </c>
      <c r="K85" s="155" t="s">
        <v>222</v>
      </c>
      <c r="L85" s="141" t="s">
        <v>3</v>
      </c>
      <c r="M85" s="142"/>
      <c r="N85" s="143"/>
      <c r="O85" s="142"/>
      <c r="P85" s="142"/>
      <c r="Q85" s="142"/>
      <c r="R85" s="142"/>
      <c r="S85" s="59" t="s">
        <v>5</v>
      </c>
      <c r="T85"/>
      <c r="U85"/>
      <c r="V85" s="57"/>
    </row>
    <row r="86" spans="1:23" s="1" customFormat="1" ht="33" customHeight="1" x14ac:dyDescent="0.3">
      <c r="A86" s="137">
        <v>2</v>
      </c>
      <c r="B86" s="137">
        <f t="shared" si="3"/>
        <v>68</v>
      </c>
      <c r="C86" s="138" t="str">
        <f t="shared" si="4"/>
        <v>2.68</v>
      </c>
      <c r="D86" s="139"/>
      <c r="E86" s="64" t="str">
        <f>IF(ISBLANK(D86)=TRUE,"",VLOOKUP(D86,Krav!$C:$F,4,FALSE))</f>
        <v/>
      </c>
      <c r="F86" s="76" t="s">
        <v>224</v>
      </c>
      <c r="G86" s="139" t="s">
        <v>177</v>
      </c>
      <c r="H86" s="76" t="s">
        <v>192</v>
      </c>
      <c r="I86" s="140" t="s">
        <v>107</v>
      </c>
      <c r="J86" s="154" t="s">
        <v>222</v>
      </c>
      <c r="K86" s="155" t="s">
        <v>222</v>
      </c>
      <c r="L86" s="141" t="s">
        <v>3</v>
      </c>
      <c r="M86" s="142"/>
      <c r="N86" s="143"/>
      <c r="O86" s="142"/>
      <c r="P86" s="142"/>
      <c r="Q86" s="142"/>
      <c r="R86" s="142"/>
      <c r="S86" s="59" t="s">
        <v>5</v>
      </c>
      <c r="T86"/>
      <c r="U86"/>
      <c r="V86" s="57"/>
    </row>
    <row r="87" spans="1:23" s="1" customFormat="1" ht="33" customHeight="1" x14ac:dyDescent="0.3">
      <c r="A87" s="137">
        <v>2</v>
      </c>
      <c r="B87" s="137">
        <f t="shared" si="3"/>
        <v>69</v>
      </c>
      <c r="C87" s="138" t="str">
        <f t="shared" si="4"/>
        <v>2.69</v>
      </c>
      <c r="D87" s="139"/>
      <c r="E87" s="64" t="str">
        <f>IF(ISBLANK(D87)=TRUE,"",VLOOKUP(D87,Krav!$C:$F,4,FALSE))</f>
        <v/>
      </c>
      <c r="F87" s="76" t="s">
        <v>224</v>
      </c>
      <c r="G87" s="139" t="s">
        <v>16</v>
      </c>
      <c r="H87" s="76" t="s">
        <v>192</v>
      </c>
      <c r="I87" s="140" t="s">
        <v>131</v>
      </c>
      <c r="J87" s="154" t="s">
        <v>222</v>
      </c>
      <c r="K87" s="155" t="s">
        <v>222</v>
      </c>
      <c r="L87" s="141" t="s">
        <v>3</v>
      </c>
      <c r="M87" s="142"/>
      <c r="N87" s="143"/>
      <c r="O87" s="142"/>
      <c r="P87" s="142"/>
      <c r="Q87" s="142"/>
      <c r="R87" s="142"/>
      <c r="S87" s="59" t="s">
        <v>5</v>
      </c>
      <c r="T87"/>
      <c r="U87"/>
      <c r="V87" s="57"/>
    </row>
    <row r="88" spans="1:23" s="1" customFormat="1" ht="33" customHeight="1" x14ac:dyDescent="0.3">
      <c r="A88" s="147">
        <v>2</v>
      </c>
      <c r="B88" s="137">
        <f t="shared" si="3"/>
        <v>70</v>
      </c>
      <c r="C88" s="148" t="str">
        <f t="shared" si="4"/>
        <v>2.70</v>
      </c>
      <c r="D88" s="29"/>
      <c r="E88" s="64" t="str">
        <f>IF(ISBLANK(D88)=TRUE,"",VLOOKUP(D88,Krav!$C:$F,4,FALSE))</f>
        <v/>
      </c>
      <c r="F88" s="53" t="s">
        <v>224</v>
      </c>
      <c r="G88" s="29" t="s">
        <v>127</v>
      </c>
      <c r="H88" s="53" t="s">
        <v>192</v>
      </c>
      <c r="I88" s="30" t="s">
        <v>131</v>
      </c>
      <c r="J88" s="156" t="s">
        <v>222</v>
      </c>
      <c r="K88" s="157" t="s">
        <v>222</v>
      </c>
      <c r="L88" s="149" t="s">
        <v>3</v>
      </c>
      <c r="M88" s="150"/>
      <c r="N88" s="151"/>
      <c r="O88" s="150"/>
      <c r="P88" s="150"/>
      <c r="Q88" s="150"/>
      <c r="R88" s="150"/>
      <c r="S88" s="59" t="s">
        <v>5</v>
      </c>
      <c r="T88"/>
      <c r="U88"/>
      <c r="V88" s="57"/>
    </row>
    <row r="89" spans="1:23" s="89" customFormat="1" ht="33" customHeight="1" x14ac:dyDescent="0.3">
      <c r="A89" s="23">
        <v>2</v>
      </c>
      <c r="B89" s="137">
        <f t="shared" si="3"/>
        <v>71</v>
      </c>
      <c r="C89" s="27" t="str">
        <f t="shared" si="4"/>
        <v>2.71</v>
      </c>
      <c r="D89" s="12"/>
      <c r="E89" s="64" t="str">
        <f>IF(ISBLANK(D89)=TRUE,"",VLOOKUP(D89,Krav!$C:$F,4,FALSE))</f>
        <v/>
      </c>
      <c r="F89" s="91" t="s">
        <v>418</v>
      </c>
      <c r="G89" s="92" t="s">
        <v>445</v>
      </c>
      <c r="H89" s="91" t="s">
        <v>451</v>
      </c>
      <c r="I89" s="93" t="s">
        <v>129</v>
      </c>
      <c r="J89" s="94" t="s">
        <v>222</v>
      </c>
      <c r="K89" s="128" t="s">
        <v>222</v>
      </c>
      <c r="L89" s="4" t="s">
        <v>3</v>
      </c>
      <c r="M89" s="61" t="s">
        <v>98</v>
      </c>
      <c r="N89" s="59" t="s">
        <v>2</v>
      </c>
      <c r="O89" s="59" t="s">
        <v>24</v>
      </c>
      <c r="P89" s="61" t="s">
        <v>25</v>
      </c>
      <c r="Q89" s="61" t="s">
        <v>129</v>
      </c>
      <c r="R89" s="61" t="s">
        <v>131</v>
      </c>
      <c r="S89" s="59" t="s">
        <v>5</v>
      </c>
      <c r="T89"/>
      <c r="U89"/>
      <c r="V89" s="61"/>
      <c r="W89" s="61"/>
    </row>
    <row r="90" spans="1:23" s="89" customFormat="1" ht="33" customHeight="1" x14ac:dyDescent="0.3">
      <c r="A90" s="23">
        <v>2</v>
      </c>
      <c r="B90" s="137">
        <f t="shared" si="3"/>
        <v>72</v>
      </c>
      <c r="C90" s="27" t="str">
        <f t="shared" si="4"/>
        <v>2.72</v>
      </c>
      <c r="D90" s="12"/>
      <c r="E90" s="64" t="str">
        <f>IF(ISBLANK(D90)=TRUE,"",VLOOKUP(D90,Krav!$C:$F,4,FALSE))</f>
        <v/>
      </c>
      <c r="F90" s="91" t="s">
        <v>418</v>
      </c>
      <c r="G90" s="92" t="s">
        <v>445</v>
      </c>
      <c r="H90" s="91" t="s">
        <v>451</v>
      </c>
      <c r="I90" s="93" t="s">
        <v>129</v>
      </c>
      <c r="J90" s="87" t="s">
        <v>222</v>
      </c>
      <c r="K90" s="128" t="s">
        <v>222</v>
      </c>
      <c r="L90" s="4" t="s">
        <v>3</v>
      </c>
      <c r="M90" s="61" t="s">
        <v>98</v>
      </c>
      <c r="N90" s="59" t="s">
        <v>2</v>
      </c>
      <c r="O90" s="59" t="s">
        <v>24</v>
      </c>
      <c r="P90" s="61" t="s">
        <v>25</v>
      </c>
      <c r="Q90" s="61" t="s">
        <v>131</v>
      </c>
      <c r="R90" s="61" t="s">
        <v>129</v>
      </c>
      <c r="S90" s="59" t="s">
        <v>5</v>
      </c>
      <c r="T90"/>
      <c r="U90"/>
      <c r="V90" s="61"/>
      <c r="W90" s="61"/>
    </row>
    <row r="91" spans="1:23" s="57" customFormat="1" ht="16.5" customHeight="1" x14ac:dyDescent="0.3">
      <c r="A91" s="2"/>
      <c r="B91" s="2"/>
      <c r="C91" s="3"/>
      <c r="D91" s="3"/>
      <c r="E91" s="9"/>
      <c r="F91" s="9"/>
      <c r="H91" s="10"/>
      <c r="I91" s="1"/>
      <c r="J91" s="1"/>
      <c r="K91" s="1"/>
      <c r="L91" s="3"/>
      <c r="M91" s="3"/>
      <c r="N91" s="3"/>
      <c r="O91" s="3"/>
      <c r="P91" s="3"/>
      <c r="Q91" s="3"/>
      <c r="R91" s="3"/>
      <c r="S91" s="3"/>
      <c r="T91" s="3"/>
    </row>
    <row r="92" spans="1:23" s="57" customFormat="1" ht="16.5" customHeight="1" x14ac:dyDescent="0.3">
      <c r="E92" s="5"/>
      <c r="F92" s="5"/>
      <c r="H92" s="5"/>
      <c r="M92" s="58" t="s">
        <v>153</v>
      </c>
      <c r="N92" s="58" t="s">
        <v>152</v>
      </c>
      <c r="O92" s="58" t="s">
        <v>154</v>
      </c>
      <c r="P92" s="58"/>
      <c r="Q92" s="58" t="s">
        <v>17</v>
      </c>
      <c r="R92" s="58" t="s">
        <v>18</v>
      </c>
      <c r="S92" s="58" t="s">
        <v>8</v>
      </c>
      <c r="T92" s="58" t="s">
        <v>8</v>
      </c>
      <c r="U92" s="58" t="s">
        <v>8</v>
      </c>
      <c r="V92" s="58" t="s">
        <v>8</v>
      </c>
      <c r="W92" s="58" t="s">
        <v>8</v>
      </c>
    </row>
    <row r="93" spans="1:23" s="57" customFormat="1" ht="14.4" x14ac:dyDescent="0.3">
      <c r="E93" s="5"/>
      <c r="F93" s="5"/>
      <c r="H93" s="5"/>
      <c r="M93" s="58" t="s">
        <v>21</v>
      </c>
      <c r="N93" s="58" t="s">
        <v>21</v>
      </c>
      <c r="O93" s="58" t="s">
        <v>21</v>
      </c>
      <c r="P93" s="58"/>
      <c r="Q93" s="58" t="s">
        <v>19</v>
      </c>
      <c r="R93" s="58" t="s">
        <v>19</v>
      </c>
      <c r="S93" s="58" t="s">
        <v>11</v>
      </c>
      <c r="T93" s="58" t="s">
        <v>11</v>
      </c>
      <c r="U93" s="58" t="s">
        <v>11</v>
      </c>
      <c r="V93" s="58" t="s">
        <v>11</v>
      </c>
      <c r="W93" s="58" t="s">
        <v>11</v>
      </c>
    </row>
    <row r="94" spans="1:23" s="1" customFormat="1" ht="15" customHeight="1" x14ac:dyDescent="0.3">
      <c r="A94" s="50" t="s">
        <v>6</v>
      </c>
      <c r="B94" s="51" t="s">
        <v>7</v>
      </c>
      <c r="C94" s="31" t="s">
        <v>0</v>
      </c>
      <c r="D94" s="31" t="s">
        <v>22</v>
      </c>
      <c r="E94" s="52" t="s">
        <v>99</v>
      </c>
      <c r="F94" s="52" t="s">
        <v>216</v>
      </c>
      <c r="G94" s="31" t="s">
        <v>217</v>
      </c>
      <c r="H94" s="52" t="s">
        <v>28</v>
      </c>
      <c r="I94" s="31" t="s">
        <v>218</v>
      </c>
      <c r="J94" s="31" t="s">
        <v>219</v>
      </c>
      <c r="K94" s="31" t="s">
        <v>220</v>
      </c>
      <c r="L94" s="31" t="s">
        <v>1</v>
      </c>
      <c r="M94" s="62" t="s">
        <v>230</v>
      </c>
      <c r="N94" s="62" t="s">
        <v>231</v>
      </c>
      <c r="O94" s="62" t="s">
        <v>232</v>
      </c>
      <c r="P94" s="62" t="s">
        <v>233</v>
      </c>
      <c r="Q94" s="62" t="s">
        <v>165</v>
      </c>
      <c r="R94" s="26" t="s">
        <v>20</v>
      </c>
      <c r="S94" s="26" t="s">
        <v>9</v>
      </c>
      <c r="T94" s="26" t="s">
        <v>9</v>
      </c>
      <c r="U94" s="26" t="s">
        <v>9</v>
      </c>
      <c r="V94" s="26" t="s">
        <v>9</v>
      </c>
      <c r="W94" s="26" t="s">
        <v>108</v>
      </c>
    </row>
    <row r="95" spans="1:23" s="1" customFormat="1" ht="33" customHeight="1" x14ac:dyDescent="0.3">
      <c r="A95" s="16">
        <v>3</v>
      </c>
      <c r="B95" s="11">
        <f>1</f>
        <v>1</v>
      </c>
      <c r="C95" s="27" t="str">
        <f t="shared" ref="C95:C116" si="5">IF(B95&lt;10,_xlfn.CONCAT(A95,".0",B95),_xlfn.CONCAT(A95,".",B95))</f>
        <v>3.01</v>
      </c>
      <c r="D95" s="18" t="s">
        <v>71</v>
      </c>
      <c r="E95" s="64" t="str">
        <f>IF(ISBLANK(D95)=TRUE,"",VLOOKUP(D95,Krav!$C:$F,4,FALSE))</f>
        <v>4.a.2 - Der skal være checkbokse med svarmulighederne:
1. ”at der enten foretages en tilpasning af den allerede afgrænsede modtagelses-periode”
2. ”at der foretages en perio-demæssig afgrænsning af den allerede afgrænsede modtagelsesperiode via ét eller flere af stamdatafel-terne”
3. ”NEJ/VED IKKE”</v>
      </c>
      <c r="F95" s="53" t="s">
        <v>228</v>
      </c>
      <c r="G95" s="19" t="s">
        <v>230</v>
      </c>
      <c r="H95" s="25" t="s">
        <v>163</v>
      </c>
      <c r="I95" s="66" t="s">
        <v>238</v>
      </c>
      <c r="J95" s="67" t="s">
        <v>222</v>
      </c>
      <c r="K95" s="123" t="s">
        <v>222</v>
      </c>
      <c r="L95" s="20" t="s">
        <v>3</v>
      </c>
      <c r="M95" s="61" t="s">
        <v>129</v>
      </c>
      <c r="N95" s="61" t="s">
        <v>131</v>
      </c>
      <c r="O95" s="59" t="s">
        <v>131</v>
      </c>
      <c r="P95" s="59" t="s">
        <v>5</v>
      </c>
      <c r="Q95" s="59"/>
      <c r="R95" s="61" t="s">
        <v>27</v>
      </c>
      <c r="S95" s="61"/>
      <c r="T95" s="60"/>
      <c r="U95" s="60"/>
      <c r="V95" s="60"/>
      <c r="W95" s="60"/>
    </row>
    <row r="96" spans="1:23" s="1" customFormat="1" ht="33" customHeight="1" x14ac:dyDescent="0.3">
      <c r="A96" s="16">
        <v>3</v>
      </c>
      <c r="B96" s="23">
        <f>B95+1</f>
        <v>2</v>
      </c>
      <c r="C96" s="27" t="str">
        <f>IF(B96&lt;10,_xlfn.CONCAT(A96,".0",B96),_xlfn.CONCAT(A96,".",B96))</f>
        <v>3.02</v>
      </c>
      <c r="D96" s="18" t="s">
        <v>73</v>
      </c>
      <c r="E96" s="64" t="str">
        <f>IF(ISBLANK(D96)=TRUE,"",VLOOKUP(D96,Krav!$C:$F,4,FALSE))</f>
        <v>4.a.3 - Såfremt brugeren vælger ”at der enten foretages en tilpasning af den allerede afgrænsede modtagelses-periode” skal brugeren ledes videre til spørgsmål 4.a.1</v>
      </c>
      <c r="F96" s="19" t="s">
        <v>143</v>
      </c>
      <c r="G96" s="19"/>
      <c r="H96" s="25" t="s">
        <v>155</v>
      </c>
      <c r="I96" s="66" t="s">
        <v>144</v>
      </c>
      <c r="J96" s="67" t="s">
        <v>222</v>
      </c>
      <c r="K96" s="123" t="s">
        <v>222</v>
      </c>
      <c r="L96" s="20" t="s">
        <v>3</v>
      </c>
      <c r="M96" s="61" t="s">
        <v>129</v>
      </c>
      <c r="N96" s="61" t="s">
        <v>131</v>
      </c>
      <c r="O96" s="59" t="s">
        <v>131</v>
      </c>
      <c r="P96" s="59" t="s">
        <v>5</v>
      </c>
      <c r="Q96" s="59"/>
      <c r="R96" s="61" t="s">
        <v>27</v>
      </c>
      <c r="S96" s="61"/>
      <c r="T96" s="60"/>
      <c r="U96" s="60"/>
      <c r="V96" s="60"/>
      <c r="W96" s="60"/>
    </row>
    <row r="97" spans="1:23" s="1" customFormat="1" ht="33" customHeight="1" x14ac:dyDescent="0.3">
      <c r="A97" s="16">
        <v>3</v>
      </c>
      <c r="B97" s="23">
        <f>B96+1</f>
        <v>3</v>
      </c>
      <c r="C97" s="27" t="str">
        <f t="shared" si="5"/>
        <v>3.03</v>
      </c>
      <c r="D97" s="18"/>
      <c r="E97" s="64" t="str">
        <f>IF(ISBLANK(D97)=TRUE,"",VLOOKUP(D97,Krav!$C:$F,4,FALSE))</f>
        <v/>
      </c>
      <c r="F97" s="53" t="s">
        <v>225</v>
      </c>
      <c r="G97" s="19" t="s">
        <v>230</v>
      </c>
      <c r="H97" s="25" t="s">
        <v>158</v>
      </c>
      <c r="I97" s="66" t="s">
        <v>238</v>
      </c>
      <c r="J97" s="67" t="s">
        <v>222</v>
      </c>
      <c r="K97" s="123" t="s">
        <v>222</v>
      </c>
      <c r="L97" s="20" t="s">
        <v>3</v>
      </c>
      <c r="M97" s="61" t="s">
        <v>129</v>
      </c>
      <c r="N97" s="61" t="s">
        <v>131</v>
      </c>
      <c r="O97" s="59" t="s">
        <v>131</v>
      </c>
      <c r="P97" s="59" t="s">
        <v>5</v>
      </c>
      <c r="Q97" s="59"/>
      <c r="R97" s="61"/>
      <c r="S97" s="61"/>
      <c r="T97" s="60"/>
      <c r="U97" s="60"/>
      <c r="V97" s="60"/>
      <c r="W97" s="60"/>
    </row>
    <row r="98" spans="1:23" s="1" customFormat="1" ht="33" customHeight="1" x14ac:dyDescent="0.3">
      <c r="A98" s="16">
        <v>3</v>
      </c>
      <c r="B98" s="23">
        <f t="shared" ref="B98:B116" si="6">B97+1</f>
        <v>4</v>
      </c>
      <c r="C98" s="27" t="str">
        <f>IF(B98&lt;10,_xlfn.CONCAT(A98,".0",B98),_xlfn.CONCAT(A98,".",B98))</f>
        <v>3.04</v>
      </c>
      <c r="D98" s="18" t="s">
        <v>71</v>
      </c>
      <c r="E98" s="64" t="str">
        <f>IF(ISBLANK(D98)=TRUE,"",VLOOKUP(D98,Krav!$C:$F,4,FALSE))</f>
        <v>4.a.2 - Der skal være checkbokse med svarmulighederne:
1. ”at der enten foretages en tilpasning af den allerede afgrænsede modtagelses-periode”
2. ”at der foretages en perio-demæssig afgrænsning af den allerede afgrænsede modtagelsesperiode via ét eller flere af stamdatafel-terne”
3. ”NEJ/VED IKKE”</v>
      </c>
      <c r="F98" s="53" t="s">
        <v>228</v>
      </c>
      <c r="G98" s="19" t="s">
        <v>231</v>
      </c>
      <c r="H98" s="25" t="s">
        <v>164</v>
      </c>
      <c r="I98" s="66" t="s">
        <v>239</v>
      </c>
      <c r="J98" s="67" t="s">
        <v>222</v>
      </c>
      <c r="K98" s="123" t="s">
        <v>222</v>
      </c>
      <c r="L98" s="20" t="s">
        <v>3</v>
      </c>
      <c r="M98" s="59" t="s">
        <v>131</v>
      </c>
      <c r="N98" s="61" t="s">
        <v>129</v>
      </c>
      <c r="O98" s="59" t="s">
        <v>131</v>
      </c>
      <c r="P98" s="59" t="s">
        <v>5</v>
      </c>
      <c r="Q98" s="59"/>
      <c r="R98" s="61" t="s">
        <v>27</v>
      </c>
      <c r="S98" s="61"/>
      <c r="T98" s="60"/>
      <c r="U98" s="60"/>
      <c r="V98" s="60"/>
      <c r="W98" s="60"/>
    </row>
    <row r="99" spans="1:23" s="1" customFormat="1" ht="33" customHeight="1" x14ac:dyDescent="0.3">
      <c r="A99" s="16">
        <v>3</v>
      </c>
      <c r="B99" s="23">
        <f t="shared" si="6"/>
        <v>5</v>
      </c>
      <c r="C99" s="27" t="str">
        <f t="shared" si="5"/>
        <v>3.05</v>
      </c>
      <c r="D99" s="18" t="s">
        <v>75</v>
      </c>
      <c r="E99" s="64" t="str">
        <f>IF(ISBLANK(D99)=TRUE,"",VLOOKUP(D99,Krav!$C:$F,4,FALSE))</f>
        <v>4.a.4 - Såfremt brugeren vælger ”at der foretages en perio-demæssig afgrænsning af den allerede afgrænsede modtagelsesperiode via ét eller flere af stamdatafelterne” skal brugeren ledes videre til spørgsmål 4.a.2</v>
      </c>
      <c r="F99" s="19" t="s">
        <v>143</v>
      </c>
      <c r="G99" s="19"/>
      <c r="H99" s="25" t="s">
        <v>156</v>
      </c>
      <c r="I99" s="66" t="s">
        <v>157</v>
      </c>
      <c r="J99" s="67" t="s">
        <v>222</v>
      </c>
      <c r="K99" s="123" t="s">
        <v>222</v>
      </c>
      <c r="L99" s="20" t="s">
        <v>3</v>
      </c>
      <c r="M99" s="59" t="s">
        <v>131</v>
      </c>
      <c r="N99" s="61" t="s">
        <v>129</v>
      </c>
      <c r="O99" s="59" t="s">
        <v>131</v>
      </c>
      <c r="P99" s="59" t="s">
        <v>5</v>
      </c>
      <c r="Q99" s="59"/>
      <c r="R99" s="61" t="s">
        <v>27</v>
      </c>
      <c r="S99" s="61"/>
      <c r="T99" s="60"/>
      <c r="U99" s="60"/>
      <c r="V99" s="60"/>
      <c r="W99" s="60"/>
    </row>
    <row r="100" spans="1:23" s="1" customFormat="1" ht="33" customHeight="1" x14ac:dyDescent="0.3">
      <c r="A100" s="16">
        <v>3</v>
      </c>
      <c r="B100" s="23">
        <f t="shared" si="6"/>
        <v>6</v>
      </c>
      <c r="C100" s="27" t="str">
        <f t="shared" si="5"/>
        <v>3.06</v>
      </c>
      <c r="D100" s="18"/>
      <c r="E100" s="64" t="str">
        <f>IF(ISBLANK(D100)=TRUE,"",VLOOKUP(D100,Krav!$C:$F,4,FALSE))</f>
        <v/>
      </c>
      <c r="F100" s="53" t="s">
        <v>225</v>
      </c>
      <c r="G100" s="19" t="s">
        <v>231</v>
      </c>
      <c r="H100" s="25" t="s">
        <v>158</v>
      </c>
      <c r="I100" s="66" t="s">
        <v>239</v>
      </c>
      <c r="J100" s="67" t="s">
        <v>222</v>
      </c>
      <c r="K100" s="123" t="s">
        <v>222</v>
      </c>
      <c r="L100" s="20" t="s">
        <v>3</v>
      </c>
      <c r="M100" s="59" t="s">
        <v>131</v>
      </c>
      <c r="N100" s="61" t="s">
        <v>129</v>
      </c>
      <c r="O100" s="59" t="s">
        <v>131</v>
      </c>
      <c r="P100" s="59" t="s">
        <v>5</v>
      </c>
      <c r="Q100" s="59"/>
      <c r="R100" s="61" t="s">
        <v>27</v>
      </c>
      <c r="S100" s="61"/>
      <c r="T100" s="60"/>
      <c r="U100" s="60"/>
      <c r="V100" s="60"/>
      <c r="W100" s="60"/>
    </row>
    <row r="101" spans="1:23" s="1" customFormat="1" ht="30" customHeight="1" x14ac:dyDescent="0.3">
      <c r="A101" s="16">
        <v>3</v>
      </c>
      <c r="B101" s="23">
        <f t="shared" si="6"/>
        <v>7</v>
      </c>
      <c r="C101" s="27" t="str">
        <f t="shared" si="5"/>
        <v>3.07</v>
      </c>
      <c r="D101" s="18" t="s">
        <v>71</v>
      </c>
      <c r="E101" s="64" t="str">
        <f>IF(ISBLANK(D101)=TRUE,"",VLOOKUP(D101,Krav!$C:$F,4,FALSE))</f>
        <v>4.a.2 - Der skal være checkbokse med svarmulighederne:
1. ”at der enten foretages en tilpasning af den allerede afgrænsede modtagelses-periode”
2. ”at der foretages en perio-demæssig afgrænsning af den allerede afgrænsede modtagelsesperiode via ét eller flere af stamdatafel-terne”
3. ”NEJ/VED IKKE”</v>
      </c>
      <c r="F101" s="53" t="s">
        <v>228</v>
      </c>
      <c r="G101" s="19" t="s">
        <v>232</v>
      </c>
      <c r="H101" s="25" t="s">
        <v>164</v>
      </c>
      <c r="I101" s="66" t="s">
        <v>162</v>
      </c>
      <c r="J101" s="67" t="s">
        <v>222</v>
      </c>
      <c r="K101" s="123" t="s">
        <v>222</v>
      </c>
      <c r="L101" s="20" t="s">
        <v>3</v>
      </c>
      <c r="M101" s="61" t="s">
        <v>131</v>
      </c>
      <c r="N101" s="61" t="s">
        <v>131</v>
      </c>
      <c r="O101" s="61" t="s">
        <v>129</v>
      </c>
      <c r="P101" s="59" t="s">
        <v>5</v>
      </c>
      <c r="Q101" s="59"/>
      <c r="R101" s="61" t="s">
        <v>27</v>
      </c>
      <c r="S101" s="61"/>
      <c r="T101" s="60"/>
      <c r="U101" s="60"/>
      <c r="V101" s="60"/>
      <c r="W101" s="60"/>
    </row>
    <row r="102" spans="1:23" s="1" customFormat="1" ht="33" customHeight="1" x14ac:dyDescent="0.3">
      <c r="A102" s="16">
        <v>3</v>
      </c>
      <c r="B102" s="23">
        <f t="shared" si="6"/>
        <v>8</v>
      </c>
      <c r="C102" s="27" t="str">
        <f t="shared" si="5"/>
        <v>3.08</v>
      </c>
      <c r="D102" s="18" t="s">
        <v>76</v>
      </c>
      <c r="E102" s="64" t="str">
        <f>IF(ISBLANK(D102)=TRUE,"",VLOOKUP(D102,Krav!$C:$F,4,FALSE))</f>
        <v>4.a.5 - Såfremt brugeren vælger ”NEJ/VED IKKE” skal brugeren ledes videre til spørgsmål 4.a.3</v>
      </c>
      <c r="F102" s="19" t="s">
        <v>143</v>
      </c>
      <c r="G102" s="19"/>
      <c r="H102" s="25" t="s">
        <v>159</v>
      </c>
      <c r="I102" s="66" t="s">
        <v>160</v>
      </c>
      <c r="J102" s="67" t="s">
        <v>222</v>
      </c>
      <c r="K102" s="123" t="s">
        <v>222</v>
      </c>
      <c r="L102" s="20" t="s">
        <v>3</v>
      </c>
      <c r="M102" s="61" t="s">
        <v>131</v>
      </c>
      <c r="N102" s="61" t="s">
        <v>131</v>
      </c>
      <c r="O102" s="61" t="s">
        <v>129</v>
      </c>
      <c r="P102" s="59" t="s">
        <v>5</v>
      </c>
      <c r="Q102" s="59"/>
      <c r="R102" s="61" t="s">
        <v>27</v>
      </c>
      <c r="S102" s="61"/>
      <c r="T102" s="60"/>
      <c r="U102" s="60"/>
      <c r="V102" s="60"/>
      <c r="W102" s="60"/>
    </row>
    <row r="103" spans="1:23" s="1" customFormat="1" ht="33" customHeight="1" x14ac:dyDescent="0.3">
      <c r="A103" s="16">
        <v>3</v>
      </c>
      <c r="B103" s="23">
        <f t="shared" si="6"/>
        <v>9</v>
      </c>
      <c r="C103" s="27" t="str">
        <f t="shared" si="5"/>
        <v>3.09</v>
      </c>
      <c r="D103" s="18"/>
      <c r="E103" s="64" t="str">
        <f>IF(ISBLANK(D103)=TRUE,"",VLOOKUP(D103,Krav!$C:$F,4,FALSE))</f>
        <v/>
      </c>
      <c r="F103" s="53" t="s">
        <v>225</v>
      </c>
      <c r="G103" s="19" t="s">
        <v>232</v>
      </c>
      <c r="H103" s="25" t="s">
        <v>158</v>
      </c>
      <c r="I103" s="66" t="s">
        <v>162</v>
      </c>
      <c r="J103" s="67" t="s">
        <v>222</v>
      </c>
      <c r="K103" s="123" t="s">
        <v>222</v>
      </c>
      <c r="L103" s="20" t="s">
        <v>3</v>
      </c>
      <c r="M103" s="61" t="s">
        <v>131</v>
      </c>
      <c r="N103" s="61" t="s">
        <v>131</v>
      </c>
      <c r="O103" s="61" t="s">
        <v>129</v>
      </c>
      <c r="P103" s="59" t="s">
        <v>5</v>
      </c>
      <c r="Q103" s="59"/>
      <c r="R103" s="61" t="s">
        <v>27</v>
      </c>
      <c r="S103" s="61"/>
      <c r="T103" s="60"/>
      <c r="U103" s="60"/>
      <c r="V103" s="60"/>
      <c r="W103" s="60"/>
    </row>
    <row r="104" spans="1:23" s="1" customFormat="1" ht="33" customHeight="1" x14ac:dyDescent="0.3">
      <c r="A104" s="16">
        <v>3</v>
      </c>
      <c r="B104" s="23">
        <f t="shared" si="6"/>
        <v>10</v>
      </c>
      <c r="C104" s="27" t="str">
        <f t="shared" si="5"/>
        <v>3.10</v>
      </c>
      <c r="D104" s="18"/>
      <c r="E104" s="64" t="str">
        <f>IF(ISBLANK(D104)=TRUE,"",VLOOKUP(D104,Krav!$C:$F,4,FALSE))</f>
        <v/>
      </c>
      <c r="F104" s="29" t="s">
        <v>174</v>
      </c>
      <c r="G104" s="29"/>
      <c r="H104" s="64" t="s">
        <v>142</v>
      </c>
      <c r="I104" s="66" t="s">
        <v>272</v>
      </c>
      <c r="J104" s="67" t="s">
        <v>222</v>
      </c>
      <c r="K104" s="123" t="s">
        <v>222</v>
      </c>
      <c r="L104" s="20" t="s">
        <v>4</v>
      </c>
      <c r="M104" s="60" t="s">
        <v>131</v>
      </c>
      <c r="N104" s="60" t="s">
        <v>131</v>
      </c>
      <c r="O104" s="60" t="s">
        <v>131</v>
      </c>
      <c r="P104" s="59" t="s">
        <v>5</v>
      </c>
      <c r="Q104" s="22"/>
      <c r="R104" s="61" t="s">
        <v>27</v>
      </c>
      <c r="S104" s="21"/>
      <c r="T104" s="60"/>
      <c r="U104" s="60"/>
      <c r="V104" s="60"/>
      <c r="W104" s="60"/>
    </row>
    <row r="105" spans="1:23" s="1" customFormat="1" ht="33" customHeight="1" x14ac:dyDescent="0.3">
      <c r="A105" s="16">
        <v>3</v>
      </c>
      <c r="B105" s="23">
        <f t="shared" si="6"/>
        <v>11</v>
      </c>
      <c r="C105" s="27" t="str">
        <f t="shared" si="5"/>
        <v>3.11</v>
      </c>
      <c r="D105" s="18"/>
      <c r="E105" s="64" t="str">
        <f>IF(ISBLANK(D105)=TRUE,"",VLOOKUP(D105,Krav!$C:$F,4,FALSE))</f>
        <v/>
      </c>
      <c r="F105" s="78" t="s">
        <v>418</v>
      </c>
      <c r="G105" s="78" t="s">
        <v>419</v>
      </c>
      <c r="H105" s="80" t="s">
        <v>437</v>
      </c>
      <c r="I105" s="79" t="s">
        <v>129</v>
      </c>
      <c r="J105" s="67" t="s">
        <v>222</v>
      </c>
      <c r="K105" s="123" t="s">
        <v>222</v>
      </c>
      <c r="L105" s="20" t="s">
        <v>4</v>
      </c>
      <c r="M105" s="60" t="s">
        <v>131</v>
      </c>
      <c r="N105" s="60" t="s">
        <v>131</v>
      </c>
      <c r="O105" s="60" t="s">
        <v>131</v>
      </c>
      <c r="P105" s="59" t="s">
        <v>5</v>
      </c>
      <c r="Q105" s="22"/>
      <c r="R105" s="61" t="s">
        <v>27</v>
      </c>
      <c r="S105" s="21"/>
      <c r="T105" s="60"/>
      <c r="U105" s="60"/>
      <c r="V105" s="60"/>
      <c r="W105" s="60"/>
    </row>
    <row r="106" spans="1:23" s="1" customFormat="1" ht="33" customHeight="1" x14ac:dyDescent="0.3">
      <c r="A106" s="16">
        <v>3</v>
      </c>
      <c r="B106" s="23">
        <f t="shared" si="6"/>
        <v>12</v>
      </c>
      <c r="C106" s="27" t="str">
        <f t="shared" si="5"/>
        <v>3.12</v>
      </c>
      <c r="D106" s="18"/>
      <c r="E106" s="64" t="str">
        <f>IF(ISBLANK(D106)=TRUE,"",VLOOKUP(D106,Krav!$C:$F,4,FALSE))</f>
        <v/>
      </c>
      <c r="F106" s="54" t="s">
        <v>185</v>
      </c>
      <c r="G106" s="19"/>
      <c r="H106" s="64" t="s">
        <v>149</v>
      </c>
      <c r="I106" s="66" t="s">
        <v>160</v>
      </c>
      <c r="J106" s="67" t="s">
        <v>222</v>
      </c>
      <c r="K106" s="123" t="s">
        <v>222</v>
      </c>
      <c r="L106" s="20" t="s">
        <v>3</v>
      </c>
      <c r="M106" s="61"/>
      <c r="N106" s="61"/>
      <c r="O106" s="59"/>
      <c r="P106" s="59" t="s">
        <v>5</v>
      </c>
      <c r="Q106" s="59" t="s">
        <v>27</v>
      </c>
      <c r="R106" s="61"/>
      <c r="S106" s="61"/>
      <c r="T106" s="60"/>
      <c r="U106" s="60"/>
      <c r="V106" s="60"/>
      <c r="W106" s="60"/>
    </row>
    <row r="107" spans="1:23" s="1" customFormat="1" ht="33" customHeight="1" x14ac:dyDescent="0.3">
      <c r="A107" s="16">
        <v>3</v>
      </c>
      <c r="B107" s="23">
        <f t="shared" si="6"/>
        <v>13</v>
      </c>
      <c r="C107" s="27" t="str">
        <f t="shared" si="5"/>
        <v>3.13</v>
      </c>
      <c r="D107" s="18"/>
      <c r="E107" s="64" t="str">
        <f>IF(ISBLANK(D107)=TRUE,"",VLOOKUP(D107,Krav!$C:$F,4,FALSE))</f>
        <v/>
      </c>
      <c r="F107" s="91" t="s">
        <v>418</v>
      </c>
      <c r="G107" s="91" t="s">
        <v>1364</v>
      </c>
      <c r="H107" s="81" t="s">
        <v>1365</v>
      </c>
      <c r="I107" s="91" t="s">
        <v>129</v>
      </c>
      <c r="J107" s="67" t="s">
        <v>222</v>
      </c>
      <c r="K107" s="123" t="s">
        <v>222</v>
      </c>
      <c r="L107" s="20" t="s">
        <v>3</v>
      </c>
      <c r="M107" s="61"/>
      <c r="N107" s="61"/>
      <c r="O107" s="59"/>
      <c r="P107" s="59"/>
      <c r="Q107" s="59"/>
      <c r="R107" s="61"/>
      <c r="S107" s="61"/>
      <c r="T107" s="60"/>
      <c r="U107" s="60"/>
      <c r="V107" s="60"/>
      <c r="W107" s="60"/>
    </row>
    <row r="108" spans="1:23" s="1" customFormat="1" ht="33" customHeight="1" x14ac:dyDescent="0.3">
      <c r="A108" s="16">
        <v>3</v>
      </c>
      <c r="B108" s="23">
        <f t="shared" si="6"/>
        <v>14</v>
      </c>
      <c r="C108" s="27" t="str">
        <f t="shared" si="5"/>
        <v>3.14</v>
      </c>
      <c r="D108" s="18"/>
      <c r="E108" s="64" t="str">
        <f>IF(ISBLANK(D108)=TRUE,"",VLOOKUP(D108,Krav!$C:$F,4,FALSE))</f>
        <v/>
      </c>
      <c r="F108" s="53" t="s">
        <v>224</v>
      </c>
      <c r="G108" s="19" t="s">
        <v>230</v>
      </c>
      <c r="H108" s="64" t="s">
        <v>188</v>
      </c>
      <c r="I108" s="66" t="s">
        <v>129</v>
      </c>
      <c r="J108" s="67" t="s">
        <v>222</v>
      </c>
      <c r="K108" s="123" t="s">
        <v>222</v>
      </c>
      <c r="L108" s="20" t="s">
        <v>3</v>
      </c>
      <c r="M108" s="61" t="s">
        <v>129</v>
      </c>
      <c r="N108" s="61" t="s">
        <v>131</v>
      </c>
      <c r="O108" s="59" t="s">
        <v>131</v>
      </c>
      <c r="P108" s="59" t="s">
        <v>5</v>
      </c>
      <c r="Q108" s="59"/>
      <c r="R108" s="61"/>
      <c r="S108" s="61"/>
      <c r="T108" s="60"/>
      <c r="U108" s="60"/>
      <c r="V108" s="60"/>
      <c r="W108" s="60"/>
    </row>
    <row r="109" spans="1:23" s="1" customFormat="1" ht="33" customHeight="1" x14ac:dyDescent="0.3">
      <c r="A109" s="16">
        <v>3</v>
      </c>
      <c r="B109" s="23">
        <f t="shared" si="6"/>
        <v>15</v>
      </c>
      <c r="C109" s="27" t="str">
        <f t="shared" si="5"/>
        <v>3.15</v>
      </c>
      <c r="D109" s="18"/>
      <c r="E109" s="64" t="str">
        <f>IF(ISBLANK(D109)=TRUE,"",VLOOKUP(D109,Krav!$C:$F,4,FALSE))</f>
        <v/>
      </c>
      <c r="F109" s="53" t="s">
        <v>224</v>
      </c>
      <c r="G109" s="19" t="s">
        <v>231</v>
      </c>
      <c r="H109" s="64" t="s">
        <v>189</v>
      </c>
      <c r="I109" s="66" t="s">
        <v>129</v>
      </c>
      <c r="J109" s="67" t="s">
        <v>222</v>
      </c>
      <c r="K109" s="123" t="s">
        <v>222</v>
      </c>
      <c r="L109" s="20" t="s">
        <v>3</v>
      </c>
      <c r="M109" s="59" t="s">
        <v>131</v>
      </c>
      <c r="N109" s="59" t="s">
        <v>131</v>
      </c>
      <c r="O109" s="59" t="s">
        <v>131</v>
      </c>
      <c r="P109" s="59" t="s">
        <v>5</v>
      </c>
      <c r="Q109" s="59"/>
      <c r="R109" s="61"/>
      <c r="S109" s="61"/>
      <c r="T109" s="60"/>
      <c r="U109" s="60"/>
      <c r="V109" s="60"/>
      <c r="W109" s="60"/>
    </row>
    <row r="110" spans="1:23" s="1" customFormat="1" ht="33" customHeight="1" x14ac:dyDescent="0.3">
      <c r="A110" s="16">
        <v>3</v>
      </c>
      <c r="B110" s="23">
        <f t="shared" si="6"/>
        <v>16</v>
      </c>
      <c r="C110" s="27" t="str">
        <f t="shared" si="5"/>
        <v>3.16</v>
      </c>
      <c r="D110" s="18"/>
      <c r="E110" s="64" t="str">
        <f>IF(ISBLANK(D110)=TRUE,"",VLOOKUP(D110,Krav!$C:$F,4,FALSE))</f>
        <v/>
      </c>
      <c r="F110" s="53" t="s">
        <v>224</v>
      </c>
      <c r="G110" s="19" t="s">
        <v>232</v>
      </c>
      <c r="H110" s="64" t="s">
        <v>190</v>
      </c>
      <c r="I110" s="66" t="s">
        <v>129</v>
      </c>
      <c r="J110" s="67" t="s">
        <v>222</v>
      </c>
      <c r="K110" s="123" t="s">
        <v>222</v>
      </c>
      <c r="L110" s="20" t="s">
        <v>3</v>
      </c>
      <c r="M110" s="59" t="s">
        <v>131</v>
      </c>
      <c r="N110" s="61" t="s">
        <v>131</v>
      </c>
      <c r="O110" s="61" t="s">
        <v>129</v>
      </c>
      <c r="P110" s="59" t="s">
        <v>5</v>
      </c>
      <c r="Q110" s="59"/>
      <c r="R110" s="61"/>
      <c r="S110" s="61"/>
      <c r="T110" s="60"/>
      <c r="U110" s="60"/>
      <c r="V110" s="60"/>
      <c r="W110" s="60"/>
    </row>
    <row r="111" spans="1:23" s="1" customFormat="1" ht="33" customHeight="1" x14ac:dyDescent="0.3">
      <c r="A111" s="16">
        <v>3</v>
      </c>
      <c r="B111" s="23">
        <f t="shared" si="6"/>
        <v>17</v>
      </c>
      <c r="C111" s="27" t="str">
        <f t="shared" si="5"/>
        <v>3.17</v>
      </c>
      <c r="D111" s="18"/>
      <c r="E111" s="64" t="str">
        <f>IF(ISBLANK(D111)=TRUE,"",VLOOKUP(D111,Krav!$C:$F,4,FALSE))</f>
        <v/>
      </c>
      <c r="F111" s="53" t="s">
        <v>224</v>
      </c>
      <c r="G111" s="19" t="s">
        <v>230</v>
      </c>
      <c r="H111" s="64" t="s">
        <v>191</v>
      </c>
      <c r="I111" s="66" t="s">
        <v>131</v>
      </c>
      <c r="J111" s="67" t="s">
        <v>222</v>
      </c>
      <c r="K111" s="123" t="s">
        <v>222</v>
      </c>
      <c r="L111" s="20" t="s">
        <v>3</v>
      </c>
      <c r="M111" s="61"/>
      <c r="N111" s="61"/>
      <c r="O111" s="59"/>
      <c r="P111" s="59" t="s">
        <v>5</v>
      </c>
      <c r="Q111" s="59"/>
      <c r="R111" s="61"/>
      <c r="S111" s="61"/>
      <c r="T111" s="60"/>
      <c r="U111" s="60"/>
      <c r="V111" s="60"/>
      <c r="W111" s="60"/>
    </row>
    <row r="112" spans="1:23" s="1" customFormat="1" ht="33" customHeight="1" x14ac:dyDescent="0.3">
      <c r="A112" s="16">
        <v>3</v>
      </c>
      <c r="B112" s="23">
        <f t="shared" si="6"/>
        <v>18</v>
      </c>
      <c r="C112" s="27" t="str">
        <f t="shared" si="5"/>
        <v>3.18</v>
      </c>
      <c r="D112" s="18"/>
      <c r="E112" s="64" t="str">
        <f>IF(ISBLANK(D112)=TRUE,"",VLOOKUP(D112,Krav!$C:$F,4,FALSE))</f>
        <v/>
      </c>
      <c r="F112" s="76" t="s">
        <v>224</v>
      </c>
      <c r="G112" s="19" t="s">
        <v>231</v>
      </c>
      <c r="H112" s="64" t="s">
        <v>191</v>
      </c>
      <c r="I112" s="66" t="s">
        <v>131</v>
      </c>
      <c r="J112" s="67" t="s">
        <v>222</v>
      </c>
      <c r="K112" s="123" t="s">
        <v>222</v>
      </c>
      <c r="L112" s="20" t="s">
        <v>3</v>
      </c>
      <c r="M112" s="60"/>
      <c r="N112" s="60"/>
      <c r="O112" s="22"/>
      <c r="P112" s="22" t="s">
        <v>5</v>
      </c>
      <c r="Q112" s="22"/>
      <c r="R112" s="60"/>
      <c r="S112" s="60"/>
      <c r="T112" s="60"/>
      <c r="U112" s="60"/>
      <c r="V112" s="60"/>
      <c r="W112" s="60"/>
    </row>
    <row r="113" spans="1:23" s="89" customFormat="1" ht="33" customHeight="1" x14ac:dyDescent="0.3">
      <c r="A113" s="11">
        <v>3</v>
      </c>
      <c r="B113" s="23">
        <f t="shared" si="6"/>
        <v>19</v>
      </c>
      <c r="C113" s="24" t="str">
        <f t="shared" si="5"/>
        <v>3.19</v>
      </c>
      <c r="D113" s="12"/>
      <c r="E113" s="64" t="str">
        <f>IF(ISBLANK(D113)=TRUE,"",VLOOKUP(D113,Krav!$C:$F,4,FALSE))</f>
        <v/>
      </c>
      <c r="F113" s="85" t="s">
        <v>224</v>
      </c>
      <c r="G113" s="12" t="s">
        <v>232</v>
      </c>
      <c r="H113" s="84" t="s">
        <v>191</v>
      </c>
      <c r="I113" s="86" t="s">
        <v>131</v>
      </c>
      <c r="J113" s="87" t="s">
        <v>222</v>
      </c>
      <c r="K113" s="128" t="s">
        <v>222</v>
      </c>
      <c r="L113" s="4" t="s">
        <v>3</v>
      </c>
      <c r="M113" s="61"/>
      <c r="N113" s="61"/>
      <c r="O113" s="59"/>
      <c r="P113" s="59" t="s">
        <v>5</v>
      </c>
      <c r="Q113" s="59"/>
      <c r="R113" s="61"/>
      <c r="S113" s="61"/>
      <c r="T113" s="61"/>
      <c r="U113" s="61"/>
      <c r="V113" s="61"/>
      <c r="W113" s="61"/>
    </row>
    <row r="114" spans="1:23" s="89" customFormat="1" ht="33" customHeight="1" x14ac:dyDescent="0.3">
      <c r="A114" s="16">
        <v>3</v>
      </c>
      <c r="B114" s="23">
        <f t="shared" si="6"/>
        <v>20</v>
      </c>
      <c r="C114" s="27" t="str">
        <f t="shared" si="5"/>
        <v>3.20</v>
      </c>
      <c r="D114" s="12"/>
      <c r="E114" s="64" t="str">
        <f>IF(ISBLANK(D114)=TRUE,"",VLOOKUP(D114,Krav!$C:$F,4,FALSE))</f>
        <v/>
      </c>
      <c r="F114" s="91" t="s">
        <v>418</v>
      </c>
      <c r="G114" s="92" t="s">
        <v>445</v>
      </c>
      <c r="H114" s="91" t="s">
        <v>451</v>
      </c>
      <c r="I114" s="93" t="s">
        <v>129</v>
      </c>
      <c r="J114" s="94" t="s">
        <v>222</v>
      </c>
      <c r="K114" s="128" t="s">
        <v>222</v>
      </c>
      <c r="L114" s="4" t="s">
        <v>3</v>
      </c>
      <c r="M114" s="61" t="s">
        <v>129</v>
      </c>
      <c r="N114" s="61" t="s">
        <v>131</v>
      </c>
      <c r="O114" s="59" t="s">
        <v>131</v>
      </c>
      <c r="P114" s="59" t="s">
        <v>5</v>
      </c>
      <c r="Q114" s="59"/>
      <c r="R114" s="61"/>
      <c r="S114" s="61"/>
      <c r="T114" s="61"/>
      <c r="U114" s="61"/>
      <c r="V114" s="61"/>
      <c r="W114" s="61"/>
    </row>
    <row r="115" spans="1:23" s="89" customFormat="1" ht="33" customHeight="1" x14ac:dyDescent="0.3">
      <c r="A115" s="11">
        <v>3</v>
      </c>
      <c r="B115" s="23">
        <f t="shared" si="6"/>
        <v>21</v>
      </c>
      <c r="C115" s="24" t="str">
        <f t="shared" si="5"/>
        <v>3.21</v>
      </c>
      <c r="D115" s="12"/>
      <c r="E115" s="64" t="str">
        <f>IF(ISBLANK(D115)=TRUE,"",VLOOKUP(D115,Krav!$C:$F,4,FALSE))</f>
        <v/>
      </c>
      <c r="F115" s="91" t="s">
        <v>418</v>
      </c>
      <c r="G115" s="92" t="s">
        <v>445</v>
      </c>
      <c r="H115" s="91" t="s">
        <v>451</v>
      </c>
      <c r="I115" s="93" t="s">
        <v>129</v>
      </c>
      <c r="J115" s="94" t="s">
        <v>222</v>
      </c>
      <c r="K115" s="128" t="s">
        <v>222</v>
      </c>
      <c r="L115" s="4" t="s">
        <v>3</v>
      </c>
      <c r="M115" s="61" t="s">
        <v>131</v>
      </c>
      <c r="N115" s="61" t="s">
        <v>129</v>
      </c>
      <c r="O115" s="61" t="s">
        <v>131</v>
      </c>
      <c r="P115" s="59" t="s">
        <v>5</v>
      </c>
      <c r="Q115" s="59"/>
      <c r="R115" s="61"/>
      <c r="S115" s="61"/>
      <c r="T115" s="61"/>
      <c r="U115" s="61"/>
      <c r="V115" s="61"/>
      <c r="W115" s="61"/>
    </row>
    <row r="116" spans="1:23" s="89" customFormat="1" ht="33" customHeight="1" x14ac:dyDescent="0.3">
      <c r="A116" s="16">
        <v>3</v>
      </c>
      <c r="B116" s="23">
        <f t="shared" si="6"/>
        <v>22</v>
      </c>
      <c r="C116" s="27" t="str">
        <f t="shared" si="5"/>
        <v>3.22</v>
      </c>
      <c r="D116" s="12"/>
      <c r="E116" s="64" t="str">
        <f>IF(ISBLANK(D116)=TRUE,"",VLOOKUP(D116,Krav!$C:$F,4,FALSE))</f>
        <v/>
      </c>
      <c r="F116" s="91" t="s">
        <v>418</v>
      </c>
      <c r="G116" s="92" t="s">
        <v>445</v>
      </c>
      <c r="H116" s="91" t="s">
        <v>451</v>
      </c>
      <c r="I116" s="93" t="s">
        <v>129</v>
      </c>
      <c r="J116" s="94" t="s">
        <v>222</v>
      </c>
      <c r="K116" s="128" t="s">
        <v>222</v>
      </c>
      <c r="L116" s="4" t="s">
        <v>3</v>
      </c>
      <c r="M116" s="61" t="s">
        <v>131</v>
      </c>
      <c r="N116" s="61" t="s">
        <v>131</v>
      </c>
      <c r="O116" s="61" t="s">
        <v>129</v>
      </c>
      <c r="P116" s="59" t="s">
        <v>5</v>
      </c>
      <c r="Q116" s="59"/>
      <c r="R116" s="61"/>
      <c r="S116" s="61"/>
      <c r="T116" s="61"/>
      <c r="U116" s="61"/>
      <c r="V116" s="61"/>
      <c r="W116" s="61"/>
    </row>
    <row r="117" spans="1:23" s="57" customFormat="1" ht="16.5" customHeight="1" x14ac:dyDescent="0.3">
      <c r="A117" s="2"/>
      <c r="B117" s="2"/>
      <c r="C117" s="3"/>
      <c r="D117" s="3"/>
      <c r="E117" s="9"/>
      <c r="F117" s="9"/>
      <c r="G117" s="3"/>
      <c r="H117" s="10"/>
      <c r="I117" s="1"/>
      <c r="J117" s="1"/>
      <c r="K117" s="1"/>
      <c r="L117" s="3"/>
      <c r="M117" s="3"/>
      <c r="N117" s="3"/>
      <c r="O117" s="3"/>
      <c r="P117" s="3"/>
      <c r="Q117" s="3"/>
      <c r="R117" s="3"/>
      <c r="S117" s="3"/>
      <c r="T117" s="3"/>
    </row>
    <row r="118" spans="1:23" s="57" customFormat="1" ht="16.5" customHeight="1" x14ac:dyDescent="0.3">
      <c r="E118" s="5"/>
      <c r="F118" s="5"/>
      <c r="H118" s="5"/>
      <c r="M118" s="58" t="s">
        <v>14</v>
      </c>
      <c r="N118" s="58" t="s">
        <v>15</v>
      </c>
      <c r="P118" s="58" t="s">
        <v>17</v>
      </c>
      <c r="Q118" s="58" t="s">
        <v>18</v>
      </c>
    </row>
    <row r="119" spans="1:23" s="57" customFormat="1" ht="14.4" x14ac:dyDescent="0.3">
      <c r="E119" s="5"/>
      <c r="F119" s="5"/>
      <c r="H119" s="5"/>
      <c r="M119" s="58" t="s">
        <v>12</v>
      </c>
      <c r="N119" s="58" t="s">
        <v>12</v>
      </c>
      <c r="P119" s="58" t="s">
        <v>19</v>
      </c>
      <c r="Q119" s="58" t="s">
        <v>19</v>
      </c>
    </row>
    <row r="120" spans="1:23" s="1" customFormat="1" ht="15" customHeight="1" x14ac:dyDescent="0.3">
      <c r="A120" s="31" t="s">
        <v>6</v>
      </c>
      <c r="B120" s="31" t="s">
        <v>7</v>
      </c>
      <c r="C120" s="31" t="s">
        <v>0</v>
      </c>
      <c r="D120" s="31" t="s">
        <v>22</v>
      </c>
      <c r="E120" s="31" t="s">
        <v>99</v>
      </c>
      <c r="F120" s="31" t="s">
        <v>216</v>
      </c>
      <c r="G120" s="31" t="s">
        <v>217</v>
      </c>
      <c r="H120" s="31" t="s">
        <v>28</v>
      </c>
      <c r="I120" s="31" t="s">
        <v>218</v>
      </c>
      <c r="J120" s="31" t="s">
        <v>219</v>
      </c>
      <c r="K120" s="31" t="s">
        <v>220</v>
      </c>
      <c r="L120" s="31" t="s">
        <v>1</v>
      </c>
      <c r="M120" s="62" t="s">
        <v>179</v>
      </c>
      <c r="N120" s="62" t="s">
        <v>180</v>
      </c>
      <c r="O120" s="62" t="s">
        <v>233</v>
      </c>
      <c r="P120" s="62" t="s">
        <v>165</v>
      </c>
      <c r="Q120" s="26" t="s">
        <v>20</v>
      </c>
      <c r="R120" s="57"/>
      <c r="S120" s="57"/>
      <c r="T120" s="57"/>
      <c r="U120" s="57"/>
      <c r="V120" s="57"/>
    </row>
    <row r="121" spans="1:23" s="1" customFormat="1" ht="33" customHeight="1" x14ac:dyDescent="0.3">
      <c r="A121" s="11">
        <v>4</v>
      </c>
      <c r="B121" s="11">
        <v>1</v>
      </c>
      <c r="C121" s="24" t="str">
        <f>IF(B121&lt;10,_xlfn.CONCAT(A121,".0",B121),_xlfn.CONCAT(A121,".",B121))</f>
        <v>4.01</v>
      </c>
      <c r="D121" s="12" t="s">
        <v>54</v>
      </c>
      <c r="E121" s="64" t="str">
        <f>IF(ISBLANK(D121)=TRUE,"",VLOOKUP(D121,Krav!$C:$F,4,FALSE))</f>
        <v>3.1 - Såfremt den valgte modtagelsesdato ligger før d. 1 september 2013 skal der komme en advarsel</v>
      </c>
      <c r="F121" s="13" t="s">
        <v>174</v>
      </c>
      <c r="G121" s="139" t="s">
        <v>1360</v>
      </c>
      <c r="H121" s="63" t="s">
        <v>112</v>
      </c>
      <c r="I121" s="95" t="s">
        <v>1361</v>
      </c>
      <c r="J121" s="95" t="s">
        <v>222</v>
      </c>
      <c r="K121" s="129" t="s">
        <v>222</v>
      </c>
      <c r="L121" s="4" t="s">
        <v>4</v>
      </c>
      <c r="M121" s="59" t="s">
        <v>109</v>
      </c>
      <c r="N121" s="61" t="s">
        <v>110</v>
      </c>
      <c r="O121" s="61">
        <v>1</v>
      </c>
      <c r="P121" s="59"/>
      <c r="Q121" s="61" t="s">
        <v>27</v>
      </c>
      <c r="R121" s="57"/>
      <c r="S121" s="57"/>
      <c r="T121" s="57"/>
      <c r="U121" s="57"/>
      <c r="V121" s="57"/>
    </row>
    <row r="122" spans="1:23" s="1" customFormat="1" ht="33" customHeight="1" x14ac:dyDescent="0.3">
      <c r="A122" s="11">
        <v>4</v>
      </c>
      <c r="B122" s="11">
        <v>2</v>
      </c>
      <c r="C122" s="24" t="str">
        <f>IF(B122&lt;10,_xlfn.CONCAT(A122,".0",B122),_xlfn.CONCAT(A122,".",B122))</f>
        <v>4.02</v>
      </c>
      <c r="D122" s="12" t="s">
        <v>34</v>
      </c>
      <c r="E122" s="64" t="str">
        <f>IF(ISBLANK(D122)=TRUE,"",VLOOKUP(D122,Krav!$C:$F,4,FALSE))</f>
        <v>0.1 - Modtagelsesperioden: Vi vil ikke konfigurere fordringer, der er modtaget før den 1. september 2013</v>
      </c>
      <c r="F122" s="78" t="s">
        <v>418</v>
      </c>
      <c r="G122" s="78" t="s">
        <v>419</v>
      </c>
      <c r="H122" s="81" t="s">
        <v>428</v>
      </c>
      <c r="I122" s="79" t="s">
        <v>129</v>
      </c>
      <c r="J122" s="95" t="s">
        <v>222</v>
      </c>
      <c r="K122" s="129" t="s">
        <v>222</v>
      </c>
      <c r="L122" s="4" t="s">
        <v>4</v>
      </c>
      <c r="M122" s="59" t="s">
        <v>109</v>
      </c>
      <c r="N122" s="61" t="s">
        <v>110</v>
      </c>
      <c r="O122" s="61">
        <v>1</v>
      </c>
      <c r="P122" s="59"/>
      <c r="Q122" s="61" t="s">
        <v>27</v>
      </c>
      <c r="R122" s="57"/>
      <c r="S122" s="57"/>
      <c r="T122" s="57"/>
      <c r="U122" s="57"/>
      <c r="V122" s="57"/>
    </row>
    <row r="123" spans="1:23" s="1" customFormat="1" ht="33" customHeight="1" x14ac:dyDescent="0.3">
      <c r="A123" s="11">
        <v>4</v>
      </c>
      <c r="B123" s="11">
        <v>3</v>
      </c>
      <c r="C123" s="24" t="str">
        <f t="shared" ref="C123:C151" si="7">IF(B123&lt;10,_xlfn.CONCAT(A123,".0",B123),_xlfn.CONCAT(A123,".",B123))</f>
        <v>4.03</v>
      </c>
      <c r="D123" s="12" t="s">
        <v>81</v>
      </c>
      <c r="E123" s="64" t="str">
        <f>IF(ISBLANK(D123)=TRUE,"",VLOOKUP(D123,Krav!$C:$F,4,FALSE))</f>
        <v>4.a.1.2 - Den nye afgrænsede modtagelsesperiode skal gemmes i populationen</v>
      </c>
      <c r="F123" s="53" t="s">
        <v>221</v>
      </c>
      <c r="G123" s="13" t="s">
        <v>179</v>
      </c>
      <c r="H123" s="63" t="s">
        <v>117</v>
      </c>
      <c r="I123" s="65" t="s">
        <v>113</v>
      </c>
      <c r="J123" s="68" t="s">
        <v>222</v>
      </c>
      <c r="K123" s="129" t="s">
        <v>222</v>
      </c>
      <c r="L123" s="4" t="s">
        <v>3</v>
      </c>
      <c r="M123" s="59" t="s">
        <v>113</v>
      </c>
      <c r="N123" s="61"/>
      <c r="O123" s="61">
        <v>1</v>
      </c>
      <c r="P123" s="59"/>
      <c r="Q123" s="61" t="s">
        <v>27</v>
      </c>
      <c r="R123" s="57"/>
      <c r="S123" s="57"/>
      <c r="T123" s="57"/>
      <c r="U123" s="57"/>
      <c r="V123" s="57"/>
    </row>
    <row r="124" spans="1:23" s="1" customFormat="1" ht="33" customHeight="1" x14ac:dyDescent="0.3">
      <c r="A124" s="11">
        <v>4</v>
      </c>
      <c r="B124" s="11">
        <v>4</v>
      </c>
      <c r="C124" s="24" t="str">
        <f t="shared" si="7"/>
        <v>4.04</v>
      </c>
      <c r="D124" s="12" t="s">
        <v>79</v>
      </c>
      <c r="E124" s="64" t="str">
        <f>IF(ISBLANK(D124)=TRUE,"",VLOOKUP(D124,Krav!$C:$F,4,FALSE))</f>
        <v xml:space="preserve">4.a.1.1 - Det skal være muligt for brugeren at justere den allerede afgrænsede modtagelsesperiode </v>
      </c>
      <c r="F124" s="53" t="s">
        <v>225</v>
      </c>
      <c r="G124" s="13" t="s">
        <v>179</v>
      </c>
      <c r="H124" s="63" t="s">
        <v>117</v>
      </c>
      <c r="I124" s="65" t="s">
        <v>113</v>
      </c>
      <c r="J124" s="68" t="s">
        <v>222</v>
      </c>
      <c r="K124" s="129" t="s">
        <v>222</v>
      </c>
      <c r="L124" s="4" t="s">
        <v>3</v>
      </c>
      <c r="M124" s="59" t="s">
        <v>113</v>
      </c>
      <c r="N124" s="61"/>
      <c r="O124" s="61">
        <v>1</v>
      </c>
      <c r="P124" s="59"/>
      <c r="Q124" s="61" t="s">
        <v>27</v>
      </c>
      <c r="R124" s="57"/>
      <c r="S124" s="57"/>
      <c r="T124" s="57"/>
      <c r="U124" s="57"/>
      <c r="V124" s="57"/>
    </row>
    <row r="125" spans="1:23" s="1" customFormat="1" ht="33" customHeight="1" x14ac:dyDescent="0.3">
      <c r="A125" s="11">
        <v>4</v>
      </c>
      <c r="B125" s="11">
        <v>5</v>
      </c>
      <c r="C125" s="161" t="str">
        <f t="shared" si="7"/>
        <v>4.05</v>
      </c>
      <c r="D125" s="12" t="s">
        <v>81</v>
      </c>
      <c r="E125" s="64" t="str">
        <f>IF(ISBLANK(D125)=TRUE,"",VLOOKUP(D125,Krav!$C:$F,4,FALSE))</f>
        <v>4.a.1.2 - Den nye afgrænsede modtagelsesperiode skal gemmes i populationen</v>
      </c>
      <c r="F125" s="53" t="s">
        <v>221</v>
      </c>
      <c r="G125" s="13" t="s">
        <v>180</v>
      </c>
      <c r="H125" s="63" t="s">
        <v>116</v>
      </c>
      <c r="I125" s="65" t="s">
        <v>114</v>
      </c>
      <c r="J125" s="68" t="s">
        <v>222</v>
      </c>
      <c r="K125" s="129" t="s">
        <v>222</v>
      </c>
      <c r="L125" s="4" t="s">
        <v>3</v>
      </c>
      <c r="M125" s="59"/>
      <c r="N125" s="59" t="s">
        <v>114</v>
      </c>
      <c r="O125" s="61">
        <v>1</v>
      </c>
      <c r="P125" s="59"/>
      <c r="Q125" s="61" t="s">
        <v>27</v>
      </c>
      <c r="R125" s="57"/>
      <c r="S125" s="57"/>
      <c r="T125" s="57"/>
      <c r="U125" s="57"/>
      <c r="V125" s="57"/>
    </row>
    <row r="126" spans="1:23" s="1" customFormat="1" ht="33" customHeight="1" x14ac:dyDescent="0.3">
      <c r="A126" s="11">
        <v>4</v>
      </c>
      <c r="B126" s="11">
        <v>6</v>
      </c>
      <c r="C126" s="161" t="str">
        <f t="shared" si="7"/>
        <v>4.06</v>
      </c>
      <c r="D126" s="12" t="s">
        <v>79</v>
      </c>
      <c r="E126" s="64" t="str">
        <f>IF(ISBLANK(D126)=TRUE,"",VLOOKUP(D126,Krav!$C:$F,4,FALSE))</f>
        <v xml:space="preserve">4.a.1.1 - Det skal være muligt for brugeren at justere den allerede afgrænsede modtagelsesperiode </v>
      </c>
      <c r="F126" s="53" t="s">
        <v>225</v>
      </c>
      <c r="G126" s="13" t="s">
        <v>180</v>
      </c>
      <c r="H126" s="63" t="s">
        <v>116</v>
      </c>
      <c r="I126" s="65" t="s">
        <v>114</v>
      </c>
      <c r="J126" s="68" t="s">
        <v>222</v>
      </c>
      <c r="K126" s="129" t="s">
        <v>222</v>
      </c>
      <c r="L126" s="4" t="s">
        <v>3</v>
      </c>
      <c r="M126" s="59"/>
      <c r="N126" s="59" t="s">
        <v>114</v>
      </c>
      <c r="O126" s="61">
        <v>1</v>
      </c>
      <c r="P126" s="59"/>
      <c r="Q126" s="61" t="s">
        <v>27</v>
      </c>
      <c r="R126" s="57"/>
      <c r="S126" s="57"/>
      <c r="T126" s="57"/>
      <c r="U126" s="57"/>
      <c r="V126" s="57"/>
    </row>
    <row r="127" spans="1:23" s="1" customFormat="1" ht="33" customHeight="1" x14ac:dyDescent="0.3">
      <c r="A127" s="11">
        <v>4</v>
      </c>
      <c r="B127" s="11">
        <v>7</v>
      </c>
      <c r="C127" s="24" t="str">
        <f t="shared" si="7"/>
        <v>4.07</v>
      </c>
      <c r="D127" s="12" t="s">
        <v>81</v>
      </c>
      <c r="E127" s="64" t="str">
        <f>IF(ISBLANK(D127)=TRUE,"",VLOOKUP(D127,Krav!$C:$F,4,FALSE))</f>
        <v>4.a.1.2 - Den nye afgrænsede modtagelsesperiode skal gemmes i populationen</v>
      </c>
      <c r="F127" s="53" t="s">
        <v>221</v>
      </c>
      <c r="G127" s="13" t="s">
        <v>179</v>
      </c>
      <c r="H127" s="63" t="s">
        <v>117</v>
      </c>
      <c r="I127" s="65" t="s">
        <v>113</v>
      </c>
      <c r="J127" s="68" t="s">
        <v>222</v>
      </c>
      <c r="K127" s="129" t="s">
        <v>222</v>
      </c>
      <c r="L127" s="4" t="s">
        <v>3</v>
      </c>
      <c r="M127" s="59" t="s">
        <v>113</v>
      </c>
      <c r="N127" s="59" t="s">
        <v>115</v>
      </c>
      <c r="O127" s="61">
        <v>1</v>
      </c>
      <c r="P127" s="59"/>
      <c r="Q127" s="61" t="s">
        <v>27</v>
      </c>
      <c r="R127" s="57"/>
      <c r="S127" s="57"/>
      <c r="T127" s="57"/>
      <c r="U127" s="57"/>
      <c r="V127" s="57"/>
    </row>
    <row r="128" spans="1:23" s="1" customFormat="1" ht="33" customHeight="1" x14ac:dyDescent="0.3">
      <c r="A128" s="11">
        <v>4</v>
      </c>
      <c r="B128" s="11">
        <v>8</v>
      </c>
      <c r="C128" s="24" t="str">
        <f t="shared" si="7"/>
        <v>4.08</v>
      </c>
      <c r="D128" s="12" t="s">
        <v>79</v>
      </c>
      <c r="E128" s="64" t="str">
        <f>IF(ISBLANK(D128)=TRUE,"",VLOOKUP(D128,Krav!$C:$F,4,FALSE))</f>
        <v xml:space="preserve">4.a.1.1 - Det skal være muligt for brugeren at justere den allerede afgrænsede modtagelsesperiode </v>
      </c>
      <c r="F128" s="53" t="s">
        <v>225</v>
      </c>
      <c r="G128" s="13" t="s">
        <v>179</v>
      </c>
      <c r="H128" s="63" t="s">
        <v>117</v>
      </c>
      <c r="I128" s="65" t="s">
        <v>113</v>
      </c>
      <c r="J128" s="68" t="s">
        <v>222</v>
      </c>
      <c r="K128" s="129" t="s">
        <v>222</v>
      </c>
      <c r="L128" s="4" t="s">
        <v>3</v>
      </c>
      <c r="M128" s="59" t="s">
        <v>113</v>
      </c>
      <c r="N128" s="59" t="s">
        <v>115</v>
      </c>
      <c r="O128" s="61">
        <v>1</v>
      </c>
      <c r="P128" s="59"/>
      <c r="Q128" s="61" t="s">
        <v>27</v>
      </c>
      <c r="R128" s="57"/>
      <c r="S128" s="57"/>
      <c r="T128" s="57"/>
      <c r="U128" s="57"/>
      <c r="V128" s="57"/>
    </row>
    <row r="129" spans="1:22" s="1" customFormat="1" ht="33" customHeight="1" x14ac:dyDescent="0.3">
      <c r="A129" s="11">
        <v>4</v>
      </c>
      <c r="B129" s="11">
        <v>9</v>
      </c>
      <c r="C129" s="24" t="str">
        <f t="shared" si="7"/>
        <v>4.09</v>
      </c>
      <c r="D129" s="12" t="s">
        <v>81</v>
      </c>
      <c r="E129" s="64" t="str">
        <f>IF(ISBLANK(D129)=TRUE,"",VLOOKUP(D129,Krav!$C:$F,4,FALSE))</f>
        <v>4.a.1.2 - Den nye afgrænsede modtagelsesperiode skal gemmes i populationen</v>
      </c>
      <c r="F129" s="53" t="s">
        <v>221</v>
      </c>
      <c r="G129" s="13" t="s">
        <v>180</v>
      </c>
      <c r="H129" s="63" t="s">
        <v>116</v>
      </c>
      <c r="I129" s="65" t="s">
        <v>115</v>
      </c>
      <c r="J129" s="68" t="s">
        <v>222</v>
      </c>
      <c r="K129" s="129" t="s">
        <v>222</v>
      </c>
      <c r="L129" s="4" t="s">
        <v>3</v>
      </c>
      <c r="M129" s="59" t="s">
        <v>113</v>
      </c>
      <c r="N129" s="59" t="s">
        <v>115</v>
      </c>
      <c r="O129" s="61">
        <v>1</v>
      </c>
      <c r="P129" s="59"/>
      <c r="Q129" s="61" t="s">
        <v>27</v>
      </c>
      <c r="R129" s="57"/>
      <c r="S129" s="57"/>
      <c r="T129" s="57"/>
      <c r="U129" s="57"/>
      <c r="V129" s="57"/>
    </row>
    <row r="130" spans="1:22" s="1" customFormat="1" ht="33" customHeight="1" x14ac:dyDescent="0.3">
      <c r="A130" s="11">
        <v>4</v>
      </c>
      <c r="B130" s="11">
        <v>10</v>
      </c>
      <c r="C130" s="24" t="str">
        <f t="shared" si="7"/>
        <v>4.10</v>
      </c>
      <c r="D130" s="12" t="s">
        <v>79</v>
      </c>
      <c r="E130" s="64" t="str">
        <f>IF(ISBLANK(D130)=TRUE,"",VLOOKUP(D130,Krav!$C:$F,4,FALSE))</f>
        <v xml:space="preserve">4.a.1.1 - Det skal være muligt for brugeren at justere den allerede afgrænsede modtagelsesperiode </v>
      </c>
      <c r="F130" s="53" t="s">
        <v>225</v>
      </c>
      <c r="G130" s="13" t="s">
        <v>180</v>
      </c>
      <c r="H130" s="63" t="s">
        <v>116</v>
      </c>
      <c r="I130" s="65" t="s">
        <v>115</v>
      </c>
      <c r="J130" s="68" t="s">
        <v>222</v>
      </c>
      <c r="K130" s="129" t="s">
        <v>222</v>
      </c>
      <c r="L130" s="4" t="s">
        <v>3</v>
      </c>
      <c r="M130" s="59" t="s">
        <v>113</v>
      </c>
      <c r="N130" s="59" t="s">
        <v>115</v>
      </c>
      <c r="O130" s="61">
        <v>1</v>
      </c>
      <c r="P130" s="59"/>
      <c r="Q130" s="61" t="s">
        <v>27</v>
      </c>
      <c r="R130" s="57"/>
      <c r="S130" s="57"/>
      <c r="T130" s="57"/>
      <c r="U130" s="57"/>
      <c r="V130" s="57"/>
    </row>
    <row r="131" spans="1:22" s="1" customFormat="1" ht="33" customHeight="1" x14ac:dyDescent="0.3">
      <c r="A131" s="11">
        <v>4</v>
      </c>
      <c r="B131" s="11">
        <v>11</v>
      </c>
      <c r="C131" s="24" t="str">
        <f t="shared" si="7"/>
        <v>4.11</v>
      </c>
      <c r="D131" s="12"/>
      <c r="E131" s="64" t="str">
        <f>IF(ISBLANK(D131)=TRUE,"",VLOOKUP(D131,Krav!$C:$F,4,FALSE))</f>
        <v/>
      </c>
      <c r="F131" s="13" t="s">
        <v>174</v>
      </c>
      <c r="G131" s="13"/>
      <c r="H131" s="63" t="s">
        <v>136</v>
      </c>
      <c r="I131" s="66" t="s">
        <v>1362</v>
      </c>
      <c r="J131" s="68" t="s">
        <v>222</v>
      </c>
      <c r="K131" s="129" t="s">
        <v>222</v>
      </c>
      <c r="L131" s="4" t="s">
        <v>4</v>
      </c>
      <c r="M131" s="14" t="s">
        <v>118</v>
      </c>
      <c r="N131" s="59" t="s">
        <v>119</v>
      </c>
      <c r="O131" s="61">
        <v>1</v>
      </c>
      <c r="P131" s="14"/>
      <c r="Q131" s="61" t="s">
        <v>27</v>
      </c>
      <c r="R131" s="57"/>
      <c r="S131" s="57"/>
      <c r="T131" s="57"/>
      <c r="U131" s="57"/>
      <c r="V131" s="57"/>
    </row>
    <row r="132" spans="1:22" s="1" customFormat="1" ht="33" customHeight="1" x14ac:dyDescent="0.3">
      <c r="A132" s="11">
        <v>4</v>
      </c>
      <c r="B132" s="11">
        <v>12</v>
      </c>
      <c r="C132" s="24" t="str">
        <f t="shared" si="7"/>
        <v>4.12</v>
      </c>
      <c r="D132" s="12"/>
      <c r="E132" s="64" t="str">
        <f>IF(ISBLANK(D132)=TRUE,"",VLOOKUP(D132,Krav!$C:$F,4,FALSE))</f>
        <v/>
      </c>
      <c r="F132" s="78" t="s">
        <v>418</v>
      </c>
      <c r="G132" s="78" t="s">
        <v>419</v>
      </c>
      <c r="H132" s="77" t="s">
        <v>429</v>
      </c>
      <c r="I132" s="79" t="s">
        <v>129</v>
      </c>
      <c r="J132" s="68" t="s">
        <v>222</v>
      </c>
      <c r="K132" s="129" t="s">
        <v>222</v>
      </c>
      <c r="L132" s="4" t="s">
        <v>4</v>
      </c>
      <c r="M132" s="14" t="s">
        <v>118</v>
      </c>
      <c r="N132" s="59" t="s">
        <v>119</v>
      </c>
      <c r="O132" s="61">
        <v>1</v>
      </c>
      <c r="P132" s="14"/>
      <c r="Q132" s="61" t="s">
        <v>27</v>
      </c>
      <c r="R132" s="57"/>
      <c r="S132" s="57"/>
      <c r="T132" s="57"/>
      <c r="U132" s="57"/>
      <c r="V132" s="57"/>
    </row>
    <row r="133" spans="1:22" s="1" customFormat="1" ht="33" customHeight="1" x14ac:dyDescent="0.3">
      <c r="A133" s="11">
        <v>4</v>
      </c>
      <c r="B133" s="11">
        <v>13</v>
      </c>
      <c r="C133" s="161" t="str">
        <f t="shared" si="7"/>
        <v>4.13</v>
      </c>
      <c r="D133" s="12"/>
      <c r="E133" s="64" t="str">
        <f>IF(ISBLANK(D133)=TRUE,"",VLOOKUP(D133,Krav!$C:$F,4,FALSE))</f>
        <v/>
      </c>
      <c r="F133" s="13" t="s">
        <v>174</v>
      </c>
      <c r="G133" s="13"/>
      <c r="H133" s="63" t="s">
        <v>137</v>
      </c>
      <c r="I133" s="66" t="s">
        <v>272</v>
      </c>
      <c r="J133" s="68" t="s">
        <v>222</v>
      </c>
      <c r="K133" s="129" t="s">
        <v>222</v>
      </c>
      <c r="L133" s="4" t="s">
        <v>4</v>
      </c>
      <c r="M133" s="59" t="s">
        <v>119</v>
      </c>
      <c r="N133" s="14" t="s">
        <v>120</v>
      </c>
      <c r="O133" s="61">
        <v>1</v>
      </c>
      <c r="P133" s="59"/>
      <c r="Q133" s="61" t="s">
        <v>27</v>
      </c>
      <c r="R133" s="57"/>
      <c r="S133" s="57"/>
      <c r="T133" s="57"/>
      <c r="U133" s="57"/>
      <c r="V133" s="57"/>
    </row>
    <row r="134" spans="1:22" s="1" customFormat="1" ht="33" customHeight="1" x14ac:dyDescent="0.3">
      <c r="A134" s="11">
        <v>4</v>
      </c>
      <c r="B134" s="11">
        <v>14</v>
      </c>
      <c r="C134" s="161" t="str">
        <f t="shared" si="7"/>
        <v>4.14</v>
      </c>
      <c r="D134" s="12"/>
      <c r="E134" s="64" t="str">
        <f>IF(ISBLANK(D134)=TRUE,"",VLOOKUP(D134,Krav!$C:$F,4,FALSE))</f>
        <v/>
      </c>
      <c r="F134" s="78" t="s">
        <v>418</v>
      </c>
      <c r="G134" s="78" t="s">
        <v>419</v>
      </c>
      <c r="H134" s="77" t="s">
        <v>430</v>
      </c>
      <c r="I134" s="79" t="s">
        <v>129</v>
      </c>
      <c r="J134" s="95" t="s">
        <v>222</v>
      </c>
      <c r="K134" s="129" t="s">
        <v>222</v>
      </c>
      <c r="L134" s="4" t="s">
        <v>4</v>
      </c>
      <c r="M134" s="59" t="s">
        <v>119</v>
      </c>
      <c r="N134" s="14" t="s">
        <v>120</v>
      </c>
      <c r="O134" s="61">
        <v>1</v>
      </c>
      <c r="P134" s="59"/>
      <c r="Q134" s="61" t="s">
        <v>27</v>
      </c>
      <c r="R134" s="57"/>
      <c r="S134" s="57"/>
      <c r="T134" s="57"/>
      <c r="U134" s="57"/>
      <c r="V134" s="57"/>
    </row>
    <row r="135" spans="1:22" s="1" customFormat="1" ht="33" customHeight="1" x14ac:dyDescent="0.3">
      <c r="A135" s="11">
        <v>4</v>
      </c>
      <c r="B135" s="11">
        <v>15</v>
      </c>
      <c r="C135" s="24" t="str">
        <f t="shared" si="7"/>
        <v>4.15</v>
      </c>
      <c r="D135" s="12"/>
      <c r="E135" s="64" t="str">
        <f>IF(ISBLANK(D135)=TRUE,"",VLOOKUP(D135,Krav!$C:$F,4,FALSE))</f>
        <v/>
      </c>
      <c r="F135" s="13" t="s">
        <v>174</v>
      </c>
      <c r="G135" s="13"/>
      <c r="H135" s="63" t="s">
        <v>138</v>
      </c>
      <c r="I135" s="66" t="s">
        <v>457</v>
      </c>
      <c r="J135" s="68" t="s">
        <v>222</v>
      </c>
      <c r="K135" s="129" t="s">
        <v>222</v>
      </c>
      <c r="L135" s="4" t="s">
        <v>4</v>
      </c>
      <c r="M135" s="14" t="s">
        <v>121</v>
      </c>
      <c r="N135" s="59" t="s">
        <v>115</v>
      </c>
      <c r="O135" s="61">
        <v>1</v>
      </c>
      <c r="P135" s="59"/>
      <c r="Q135" s="61" t="s">
        <v>27</v>
      </c>
      <c r="R135" s="57"/>
      <c r="S135" s="57"/>
      <c r="T135" s="57"/>
      <c r="U135" s="57"/>
      <c r="V135" s="57"/>
    </row>
    <row r="136" spans="1:22" s="1" customFormat="1" ht="33" customHeight="1" x14ac:dyDescent="0.3">
      <c r="A136" s="11">
        <v>4</v>
      </c>
      <c r="B136" s="11">
        <v>16</v>
      </c>
      <c r="C136" s="24" t="str">
        <f t="shared" si="7"/>
        <v>4.16</v>
      </c>
      <c r="D136" s="12"/>
      <c r="E136" s="64" t="str">
        <f>IF(ISBLANK(D136)=TRUE,"",VLOOKUP(D136,Krav!$C:$F,4,FALSE))</f>
        <v/>
      </c>
      <c r="F136" s="78" t="s">
        <v>418</v>
      </c>
      <c r="G136" s="78" t="s">
        <v>419</v>
      </c>
      <c r="H136" s="77" t="s">
        <v>431</v>
      </c>
      <c r="I136" s="79" t="s">
        <v>129</v>
      </c>
      <c r="J136" s="68" t="s">
        <v>222</v>
      </c>
      <c r="K136" s="129" t="s">
        <v>222</v>
      </c>
      <c r="L136" s="4" t="s">
        <v>4</v>
      </c>
      <c r="M136" s="14" t="s">
        <v>121</v>
      </c>
      <c r="N136" s="59" t="s">
        <v>115</v>
      </c>
      <c r="O136" s="61">
        <v>1</v>
      </c>
      <c r="P136" s="59"/>
      <c r="Q136" s="61" t="s">
        <v>27</v>
      </c>
      <c r="R136" s="57"/>
      <c r="S136" s="57"/>
      <c r="T136" s="57"/>
      <c r="U136" s="57"/>
      <c r="V136" s="57"/>
    </row>
    <row r="137" spans="1:22" s="1" customFormat="1" ht="33" customHeight="1" x14ac:dyDescent="0.3">
      <c r="A137" s="11">
        <v>4</v>
      </c>
      <c r="B137" s="11">
        <v>17</v>
      </c>
      <c r="C137" s="161" t="str">
        <f t="shared" si="7"/>
        <v>4.17</v>
      </c>
      <c r="D137" s="12"/>
      <c r="E137" s="64" t="str">
        <f>IF(ISBLANK(D137)=TRUE,"",VLOOKUP(D137,Krav!$C:$F,4,FALSE))</f>
        <v/>
      </c>
      <c r="F137" s="13" t="s">
        <v>174</v>
      </c>
      <c r="G137" s="13"/>
      <c r="H137" s="63" t="s">
        <v>139</v>
      </c>
      <c r="I137" s="66" t="s">
        <v>272</v>
      </c>
      <c r="J137" s="68" t="s">
        <v>222</v>
      </c>
      <c r="K137" s="129" t="s">
        <v>222</v>
      </c>
      <c r="L137" s="4" t="s">
        <v>4</v>
      </c>
      <c r="M137" s="59" t="s">
        <v>113</v>
      </c>
      <c r="N137" s="14" t="s">
        <v>122</v>
      </c>
      <c r="O137" s="61">
        <v>1</v>
      </c>
      <c r="P137" s="14"/>
      <c r="Q137" s="61" t="s">
        <v>27</v>
      </c>
      <c r="R137" s="57"/>
      <c r="S137" s="57"/>
      <c r="T137" s="57"/>
      <c r="U137" s="57"/>
      <c r="V137" s="57"/>
    </row>
    <row r="138" spans="1:22" s="1" customFormat="1" ht="33" customHeight="1" x14ac:dyDescent="0.3">
      <c r="A138" s="11">
        <v>4</v>
      </c>
      <c r="B138" s="11">
        <v>18</v>
      </c>
      <c r="C138" s="161" t="str">
        <f t="shared" si="7"/>
        <v>4.18</v>
      </c>
      <c r="D138" s="12"/>
      <c r="E138" s="64" t="str">
        <f>IF(ISBLANK(D138)=TRUE,"",VLOOKUP(D138,Krav!$C:$F,4,FALSE))</f>
        <v/>
      </c>
      <c r="F138" s="78" t="s">
        <v>418</v>
      </c>
      <c r="G138" s="78" t="s">
        <v>419</v>
      </c>
      <c r="H138" s="77" t="s">
        <v>432</v>
      </c>
      <c r="I138" s="79" t="s">
        <v>129</v>
      </c>
      <c r="J138" s="95" t="s">
        <v>222</v>
      </c>
      <c r="K138" s="129" t="s">
        <v>222</v>
      </c>
      <c r="L138" s="4" t="s">
        <v>4</v>
      </c>
      <c r="M138" s="59" t="s">
        <v>113</v>
      </c>
      <c r="N138" s="14" t="s">
        <v>122</v>
      </c>
      <c r="O138" s="61">
        <v>1</v>
      </c>
      <c r="P138" s="14"/>
      <c r="Q138" s="61" t="s">
        <v>27</v>
      </c>
      <c r="R138" s="57"/>
      <c r="S138" s="57"/>
      <c r="T138" s="57"/>
      <c r="U138" s="57"/>
      <c r="V138" s="57"/>
    </row>
    <row r="139" spans="1:22" s="1" customFormat="1" ht="33" customHeight="1" x14ac:dyDescent="0.3">
      <c r="A139" s="11">
        <v>4</v>
      </c>
      <c r="B139" s="11">
        <v>19</v>
      </c>
      <c r="C139" s="24" t="str">
        <f t="shared" si="7"/>
        <v>4.19</v>
      </c>
      <c r="D139" s="12"/>
      <c r="E139" s="64" t="str">
        <f>IF(ISBLANK(D139)=TRUE,"",VLOOKUP(D139,Krav!$C:$F,4,FALSE))</f>
        <v/>
      </c>
      <c r="F139" s="13" t="s">
        <v>174</v>
      </c>
      <c r="G139" s="13"/>
      <c r="H139" s="63" t="s">
        <v>140</v>
      </c>
      <c r="I139" s="66" t="s">
        <v>1363</v>
      </c>
      <c r="J139" s="68" t="s">
        <v>222</v>
      </c>
      <c r="K139" s="129" t="s">
        <v>222</v>
      </c>
      <c r="L139" s="4" t="s">
        <v>4</v>
      </c>
      <c r="M139" s="14" t="s">
        <v>123</v>
      </c>
      <c r="N139" s="59" t="s">
        <v>119</v>
      </c>
      <c r="O139" s="61">
        <v>1</v>
      </c>
      <c r="P139" s="14"/>
      <c r="Q139" s="61" t="s">
        <v>27</v>
      </c>
      <c r="R139" s="57"/>
      <c r="S139" s="57"/>
      <c r="T139" s="57"/>
      <c r="U139" s="57"/>
      <c r="V139" s="57"/>
    </row>
    <row r="140" spans="1:22" s="1" customFormat="1" ht="33" customHeight="1" x14ac:dyDescent="0.3">
      <c r="A140" s="11">
        <v>4</v>
      </c>
      <c r="B140" s="11">
        <v>20</v>
      </c>
      <c r="C140" s="24" t="str">
        <f t="shared" si="7"/>
        <v>4.20</v>
      </c>
      <c r="D140" s="12"/>
      <c r="E140" s="64" t="str">
        <f>IF(ISBLANK(D140)=TRUE,"",VLOOKUP(D140,Krav!$C:$F,4,FALSE))</f>
        <v/>
      </c>
      <c r="F140" s="78" t="s">
        <v>418</v>
      </c>
      <c r="G140" s="78" t="s">
        <v>419</v>
      </c>
      <c r="H140" s="77" t="s">
        <v>433</v>
      </c>
      <c r="I140" s="79" t="s">
        <v>129</v>
      </c>
      <c r="J140" s="68" t="s">
        <v>222</v>
      </c>
      <c r="K140" s="129" t="s">
        <v>222</v>
      </c>
      <c r="L140" s="4" t="s">
        <v>4</v>
      </c>
      <c r="M140" s="14" t="s">
        <v>123</v>
      </c>
      <c r="N140" s="59" t="s">
        <v>119</v>
      </c>
      <c r="O140" s="61">
        <v>1</v>
      </c>
      <c r="P140" s="14"/>
      <c r="Q140" s="61" t="s">
        <v>27</v>
      </c>
      <c r="R140" s="57"/>
      <c r="S140" s="57"/>
      <c r="T140" s="57"/>
      <c r="U140" s="57"/>
      <c r="V140" s="57"/>
    </row>
    <row r="141" spans="1:22" s="1" customFormat="1" ht="33" customHeight="1" x14ac:dyDescent="0.3">
      <c r="A141" s="11">
        <v>4</v>
      </c>
      <c r="B141" s="11">
        <v>21</v>
      </c>
      <c r="C141" s="161" t="str">
        <f t="shared" si="7"/>
        <v>4.21</v>
      </c>
      <c r="D141" s="12"/>
      <c r="E141" s="64" t="str">
        <f>IF(ISBLANK(D141)=TRUE,"",VLOOKUP(D141,Krav!$C:$F,4,FALSE))</f>
        <v/>
      </c>
      <c r="F141" s="13" t="s">
        <v>174</v>
      </c>
      <c r="G141" s="13"/>
      <c r="H141" s="63" t="s">
        <v>141</v>
      </c>
      <c r="I141" s="66" t="s">
        <v>272</v>
      </c>
      <c r="J141" s="68" t="s">
        <v>222</v>
      </c>
      <c r="K141" s="129" t="s">
        <v>222</v>
      </c>
      <c r="L141" s="4" t="s">
        <v>4</v>
      </c>
      <c r="M141" s="59" t="s">
        <v>119</v>
      </c>
      <c r="N141" s="14" t="s">
        <v>124</v>
      </c>
      <c r="O141" s="61">
        <v>1</v>
      </c>
      <c r="P141" s="59"/>
      <c r="Q141" s="61" t="s">
        <v>27</v>
      </c>
      <c r="R141" s="57"/>
      <c r="S141" s="57"/>
      <c r="T141" s="57"/>
      <c r="U141" s="57"/>
      <c r="V141" s="57"/>
    </row>
    <row r="142" spans="1:22" s="1" customFormat="1" ht="33" customHeight="1" x14ac:dyDescent="0.3">
      <c r="A142" s="11">
        <v>4</v>
      </c>
      <c r="B142" s="11">
        <v>22</v>
      </c>
      <c r="C142" s="161" t="str">
        <f t="shared" si="7"/>
        <v>4.22</v>
      </c>
      <c r="D142" s="12"/>
      <c r="E142" s="64" t="str">
        <f>IF(ISBLANK(D142)=TRUE,"",VLOOKUP(D142,Krav!$C:$F,4,FALSE))</f>
        <v/>
      </c>
      <c r="F142" s="78" t="s">
        <v>418</v>
      </c>
      <c r="G142" s="78" t="s">
        <v>419</v>
      </c>
      <c r="H142" s="77" t="s">
        <v>434</v>
      </c>
      <c r="I142" s="79" t="s">
        <v>129</v>
      </c>
      <c r="J142" s="95" t="s">
        <v>222</v>
      </c>
      <c r="K142" s="129" t="s">
        <v>222</v>
      </c>
      <c r="L142" s="4" t="s">
        <v>4</v>
      </c>
      <c r="M142" s="59" t="s">
        <v>119</v>
      </c>
      <c r="N142" s="14" t="s">
        <v>124</v>
      </c>
      <c r="O142" s="61">
        <v>1</v>
      </c>
      <c r="P142" s="59"/>
      <c r="Q142" s="61" t="s">
        <v>27</v>
      </c>
      <c r="R142" s="57"/>
      <c r="S142" s="57"/>
      <c r="T142" s="57"/>
      <c r="U142" s="57"/>
      <c r="V142" s="57"/>
    </row>
    <row r="143" spans="1:22" s="1" customFormat="1" ht="33" customHeight="1" x14ac:dyDescent="0.3">
      <c r="A143" s="11">
        <v>4</v>
      </c>
      <c r="B143" s="11">
        <v>23</v>
      </c>
      <c r="C143" s="24" t="str">
        <f t="shared" si="7"/>
        <v>4.23</v>
      </c>
      <c r="D143" s="12"/>
      <c r="E143" s="64" t="str">
        <f>IF(ISBLANK(D143)=TRUE,"",VLOOKUP(D143,Krav!$C:$F,4,FALSE))</f>
        <v/>
      </c>
      <c r="F143" s="13" t="s">
        <v>174</v>
      </c>
      <c r="G143" s="13"/>
      <c r="H143" s="63" t="s">
        <v>182</v>
      </c>
      <c r="I143" s="66" t="s">
        <v>458</v>
      </c>
      <c r="J143" s="68" t="s">
        <v>222</v>
      </c>
      <c r="K143" s="129" t="s">
        <v>222</v>
      </c>
      <c r="L143" s="20" t="s">
        <v>4</v>
      </c>
      <c r="M143" s="59" t="s">
        <v>119</v>
      </c>
      <c r="N143" s="14" t="s">
        <v>181</v>
      </c>
      <c r="O143" s="61">
        <v>1</v>
      </c>
      <c r="P143" s="59"/>
      <c r="Q143" s="61" t="s">
        <v>27</v>
      </c>
      <c r="R143" s="57"/>
      <c r="S143" s="57"/>
      <c r="T143" s="57"/>
      <c r="U143" s="57"/>
      <c r="V143" s="57"/>
    </row>
    <row r="144" spans="1:22" s="1" customFormat="1" ht="33" customHeight="1" x14ac:dyDescent="0.3">
      <c r="A144" s="11">
        <v>4</v>
      </c>
      <c r="B144" s="11">
        <v>24</v>
      </c>
      <c r="C144" s="24" t="str">
        <f t="shared" si="7"/>
        <v>4.24</v>
      </c>
      <c r="D144" s="12"/>
      <c r="E144" s="64" t="str">
        <f>IF(ISBLANK(D144)=TRUE,"",VLOOKUP(D144,Krav!$C:$F,4,FALSE))</f>
        <v/>
      </c>
      <c r="F144" s="78" t="s">
        <v>418</v>
      </c>
      <c r="G144" s="78" t="s">
        <v>419</v>
      </c>
      <c r="H144" s="77" t="s">
        <v>435</v>
      </c>
      <c r="I144" s="79" t="s">
        <v>129</v>
      </c>
      <c r="J144" s="95" t="s">
        <v>222</v>
      </c>
      <c r="K144" s="129" t="s">
        <v>222</v>
      </c>
      <c r="L144" s="20" t="s">
        <v>4</v>
      </c>
      <c r="M144" s="59" t="s">
        <v>119</v>
      </c>
      <c r="N144" s="14" t="s">
        <v>181</v>
      </c>
      <c r="O144" s="61">
        <v>1</v>
      </c>
      <c r="P144" s="59"/>
      <c r="Q144" s="61" t="s">
        <v>27</v>
      </c>
      <c r="R144" s="57"/>
      <c r="S144" s="57"/>
      <c r="T144" s="57"/>
      <c r="U144" s="57"/>
      <c r="V144" s="57"/>
    </row>
    <row r="145" spans="1:24" s="1" customFormat="1" ht="33" customHeight="1" x14ac:dyDescent="0.3">
      <c r="A145" s="11">
        <v>4</v>
      </c>
      <c r="B145" s="11">
        <v>25</v>
      </c>
      <c r="C145" s="24" t="str">
        <f t="shared" si="7"/>
        <v>4.25</v>
      </c>
      <c r="D145" s="12" t="s">
        <v>65</v>
      </c>
      <c r="E145" s="64" t="str">
        <f>IF(ISBLANK(D145)=TRUE,"",VLOOKUP(D145,Krav!$C:$F,4,FALSE))</f>
        <v>4.3 - Såfremt brugeren svarer ja til spørgsmålet skal brugeren ledes videre til spørgsmål 5</v>
      </c>
      <c r="F145" s="13" t="s">
        <v>143</v>
      </c>
      <c r="G145" s="13"/>
      <c r="H145" s="63" t="s">
        <v>148</v>
      </c>
      <c r="I145" s="65" t="s">
        <v>146</v>
      </c>
      <c r="J145" s="68" t="s">
        <v>222</v>
      </c>
      <c r="K145" s="129" t="s">
        <v>222</v>
      </c>
      <c r="L145" s="20" t="s">
        <v>3</v>
      </c>
      <c r="M145" s="59" t="s">
        <v>113</v>
      </c>
      <c r="N145" s="14" t="s">
        <v>115</v>
      </c>
      <c r="O145" s="61">
        <v>1</v>
      </c>
      <c r="P145" s="59"/>
      <c r="Q145" s="61" t="s">
        <v>27</v>
      </c>
      <c r="R145" s="57"/>
      <c r="S145" s="57"/>
      <c r="T145" s="57"/>
      <c r="U145" s="57"/>
      <c r="V145" s="57"/>
    </row>
    <row r="146" spans="1:24" s="1" customFormat="1" ht="33" customHeight="1" x14ac:dyDescent="0.3">
      <c r="A146" s="11">
        <v>4</v>
      </c>
      <c r="B146" s="11">
        <v>26</v>
      </c>
      <c r="C146" s="24" t="str">
        <f t="shared" si="7"/>
        <v>4.26</v>
      </c>
      <c r="D146" s="12"/>
      <c r="E146" s="64" t="str">
        <f>IF(ISBLANK(D146)=TRUE,"",VLOOKUP(D146,Krav!$C:$F,4,FALSE))</f>
        <v/>
      </c>
      <c r="F146" s="13" t="s">
        <v>185</v>
      </c>
      <c r="G146" s="13"/>
      <c r="H146" s="63" t="s">
        <v>149</v>
      </c>
      <c r="I146" s="65" t="s">
        <v>145</v>
      </c>
      <c r="J146" s="68" t="s">
        <v>222</v>
      </c>
      <c r="K146" s="129" t="s">
        <v>222</v>
      </c>
      <c r="L146" s="20" t="s">
        <v>3</v>
      </c>
      <c r="M146" s="59" t="s">
        <v>113</v>
      </c>
      <c r="N146" s="14" t="s">
        <v>115</v>
      </c>
      <c r="O146" s="61">
        <v>1</v>
      </c>
      <c r="P146" s="59" t="s">
        <v>27</v>
      </c>
      <c r="Q146" s="61"/>
      <c r="R146" s="57"/>
      <c r="S146" s="57"/>
      <c r="T146" s="57"/>
      <c r="U146" s="57"/>
      <c r="V146" s="57"/>
    </row>
    <row r="147" spans="1:24" s="1" customFormat="1" ht="33" customHeight="1" x14ac:dyDescent="0.3">
      <c r="A147" s="11">
        <v>4</v>
      </c>
      <c r="B147" s="11">
        <v>27</v>
      </c>
      <c r="C147" s="24" t="str">
        <f t="shared" si="7"/>
        <v>4.27</v>
      </c>
      <c r="D147" s="12"/>
      <c r="E147" s="64" t="str">
        <f>IF(ISBLANK(D147)=TRUE,"",VLOOKUP(D147,Krav!$C:$F,4,FALSE))</f>
        <v/>
      </c>
      <c r="F147" s="91" t="s">
        <v>418</v>
      </c>
      <c r="G147" s="91" t="s">
        <v>1364</v>
      </c>
      <c r="H147" s="81" t="s">
        <v>1365</v>
      </c>
      <c r="I147" s="91" t="s">
        <v>129</v>
      </c>
      <c r="J147" s="96" t="s">
        <v>222</v>
      </c>
      <c r="K147" s="123" t="s">
        <v>222</v>
      </c>
      <c r="L147" s="20" t="s">
        <v>3</v>
      </c>
      <c r="M147" s="59"/>
      <c r="N147" s="14"/>
      <c r="O147" s="61">
        <v>1</v>
      </c>
      <c r="P147" s="59"/>
      <c r="Q147" s="61"/>
      <c r="R147" s="57"/>
      <c r="S147" s="57"/>
      <c r="T147" s="57"/>
      <c r="U147" s="57"/>
      <c r="V147" s="57"/>
    </row>
    <row r="148" spans="1:24" s="1" customFormat="1" ht="33" customHeight="1" x14ac:dyDescent="0.3">
      <c r="A148" s="11">
        <v>4</v>
      </c>
      <c r="B148" s="11">
        <v>28</v>
      </c>
      <c r="C148" s="24" t="str">
        <f t="shared" si="7"/>
        <v>4.28</v>
      </c>
      <c r="D148" s="12" t="s">
        <v>42</v>
      </c>
      <c r="E148" s="64" t="str">
        <f>IF(ISBLANK(D148)=TRUE,"",VLOOKUP(D148,Krav!$C:$F,4,FALSE))</f>
        <v>0.5 - Der skal være angivet datoen 1. september 2013 som default i ”FordringensModtagelsesDatoFra”</v>
      </c>
      <c r="F148" s="53" t="s">
        <v>224</v>
      </c>
      <c r="G148" s="13" t="s">
        <v>179</v>
      </c>
      <c r="H148" s="63" t="s">
        <v>111</v>
      </c>
      <c r="I148" s="65" t="s">
        <v>133</v>
      </c>
      <c r="J148" s="68" t="s">
        <v>222</v>
      </c>
      <c r="K148" s="129" t="s">
        <v>222</v>
      </c>
      <c r="L148" s="20" t="s">
        <v>3</v>
      </c>
      <c r="M148" s="59"/>
      <c r="N148" s="14"/>
      <c r="O148" s="61">
        <v>1</v>
      </c>
      <c r="P148" s="59"/>
      <c r="Q148" s="61"/>
      <c r="R148" s="57"/>
      <c r="S148" s="57"/>
      <c r="T148" s="57"/>
      <c r="U148" s="57"/>
      <c r="V148" s="57"/>
    </row>
    <row r="149" spans="1:24" s="1" customFormat="1" ht="33" customHeight="1" x14ac:dyDescent="0.3">
      <c r="A149" s="11">
        <v>4</v>
      </c>
      <c r="B149" s="11">
        <v>29</v>
      </c>
      <c r="C149" s="24" t="str">
        <f t="shared" si="7"/>
        <v>4.29</v>
      </c>
      <c r="D149" s="12"/>
      <c r="E149" s="64" t="str">
        <f>IF(ISBLANK(D149)=TRUE,"",VLOOKUP(D149,Krav!$C:$F,4,FALSE))</f>
        <v/>
      </c>
      <c r="F149" s="53" t="s">
        <v>224</v>
      </c>
      <c r="G149" s="13" t="s">
        <v>179</v>
      </c>
      <c r="H149" s="63" t="s">
        <v>197</v>
      </c>
      <c r="I149" s="65" t="s">
        <v>96</v>
      </c>
      <c r="J149" s="68" t="s">
        <v>222</v>
      </c>
      <c r="K149" s="129" t="s">
        <v>222</v>
      </c>
      <c r="L149" s="20" t="s">
        <v>3</v>
      </c>
      <c r="M149" s="59"/>
      <c r="N149" s="14"/>
      <c r="O149" s="61">
        <v>1</v>
      </c>
      <c r="P149" s="59"/>
      <c r="Q149" s="61"/>
      <c r="R149" s="57"/>
      <c r="S149" s="57"/>
      <c r="T149" s="57"/>
      <c r="U149" s="57"/>
      <c r="V149" s="57"/>
    </row>
    <row r="150" spans="1:24" s="1" customFormat="1" ht="33" customHeight="1" x14ac:dyDescent="0.3">
      <c r="A150" s="11">
        <v>4</v>
      </c>
      <c r="B150" s="11">
        <v>30</v>
      </c>
      <c r="C150" s="24" t="str">
        <f t="shared" si="7"/>
        <v>4.30</v>
      </c>
      <c r="D150" s="12"/>
      <c r="E150" s="64" t="str">
        <f>IF(ISBLANK(D150)=TRUE,"",VLOOKUP(D150,Krav!$C:$F,4,FALSE))</f>
        <v/>
      </c>
      <c r="F150" s="53" t="s">
        <v>224</v>
      </c>
      <c r="G150" s="13" t="s">
        <v>179</v>
      </c>
      <c r="H150" s="63" t="s">
        <v>197</v>
      </c>
      <c r="I150" s="65" t="s">
        <v>198</v>
      </c>
      <c r="J150" s="68" t="s">
        <v>222</v>
      </c>
      <c r="K150" s="129" t="s">
        <v>222</v>
      </c>
      <c r="L150" s="20" t="s">
        <v>3</v>
      </c>
      <c r="M150" s="59" t="s">
        <v>198</v>
      </c>
      <c r="N150" s="14" t="s">
        <v>115</v>
      </c>
      <c r="O150" s="61">
        <v>1</v>
      </c>
      <c r="P150" s="59"/>
      <c r="Q150" s="61"/>
      <c r="R150" s="57"/>
      <c r="S150" s="57"/>
      <c r="T150" s="57"/>
      <c r="U150" s="57"/>
      <c r="V150" s="57"/>
    </row>
    <row r="151" spans="1:24" s="1" customFormat="1" ht="33" customHeight="1" x14ac:dyDescent="0.3">
      <c r="A151" s="11">
        <v>4</v>
      </c>
      <c r="B151" s="11">
        <v>31</v>
      </c>
      <c r="C151" s="24" t="str">
        <f t="shared" si="7"/>
        <v>4.31</v>
      </c>
      <c r="D151" s="12"/>
      <c r="E151" s="64" t="str">
        <f>IF(ISBLANK(D151)=TRUE,"",VLOOKUP(D151,Krav!$C:$F,4,FALSE))</f>
        <v/>
      </c>
      <c r="F151" s="53" t="s">
        <v>224</v>
      </c>
      <c r="G151" s="13" t="s">
        <v>180</v>
      </c>
      <c r="H151" s="63" t="s">
        <v>197</v>
      </c>
      <c r="I151" s="65" t="s">
        <v>115</v>
      </c>
      <c r="J151" s="68" t="s">
        <v>222</v>
      </c>
      <c r="K151" s="129" t="s">
        <v>222</v>
      </c>
      <c r="L151" s="20" t="s">
        <v>3</v>
      </c>
      <c r="M151" s="59" t="s">
        <v>198</v>
      </c>
      <c r="N151" s="14" t="s">
        <v>115</v>
      </c>
      <c r="O151" s="61">
        <v>1</v>
      </c>
      <c r="P151" s="59"/>
      <c r="Q151" s="61"/>
      <c r="R151" s="57"/>
      <c r="S151" s="57"/>
      <c r="T151" s="57"/>
      <c r="U151" s="57"/>
      <c r="V151" s="57"/>
    </row>
    <row r="152" spans="1:24" s="1" customFormat="1" ht="33" customHeight="1" x14ac:dyDescent="0.3">
      <c r="A152" s="11">
        <v>4</v>
      </c>
      <c r="B152" s="11">
        <v>32</v>
      </c>
      <c r="C152" s="24" t="str">
        <f>IF(B152&lt;10,_xlfn.CONCAT(A152,".0",B152),_xlfn.CONCAT(A152,".",B152))</f>
        <v>4.32</v>
      </c>
      <c r="D152" s="12"/>
      <c r="E152" s="64" t="str">
        <f>IF(ISBLANK(D152)=TRUE,"",VLOOKUP(D152,Krav!$C:$F,4,FALSE))</f>
        <v/>
      </c>
      <c r="F152" s="91" t="s">
        <v>418</v>
      </c>
      <c r="G152" s="92" t="s">
        <v>445</v>
      </c>
      <c r="H152" s="91" t="s">
        <v>451</v>
      </c>
      <c r="I152" s="93" t="s">
        <v>129</v>
      </c>
      <c r="J152" s="87" t="s">
        <v>222</v>
      </c>
      <c r="K152" s="128" t="s">
        <v>222</v>
      </c>
      <c r="L152" s="4" t="s">
        <v>3</v>
      </c>
      <c r="M152" s="59" t="s">
        <v>113</v>
      </c>
      <c r="N152" s="59" t="s">
        <v>115</v>
      </c>
      <c r="O152" s="61" t="s">
        <v>5</v>
      </c>
      <c r="P152" s="59"/>
      <c r="Q152" s="61"/>
      <c r="R152" s="57"/>
      <c r="S152" s="57"/>
      <c r="T152" s="57"/>
      <c r="U152" s="57"/>
      <c r="V152" s="57"/>
    </row>
    <row r="153" spans="1:24" s="1" customFormat="1" ht="33" customHeight="1" x14ac:dyDescent="0.3">
      <c r="A153" s="11">
        <v>4</v>
      </c>
      <c r="B153" s="11">
        <v>33</v>
      </c>
      <c r="C153" s="24" t="str">
        <f>IF(B153&lt;10,_xlfn.CONCAT(A153,".0",B153),_xlfn.CONCAT(A153,".",B153))</f>
        <v>4.33</v>
      </c>
      <c r="D153" s="12"/>
      <c r="E153" s="64" t="str">
        <f>IF(ISBLANK(D153)=TRUE,"",VLOOKUP(D153,Krav!$C:$F,4,FALSE))</f>
        <v/>
      </c>
      <c r="F153" s="91" t="s">
        <v>418</v>
      </c>
      <c r="G153" s="92" t="s">
        <v>445</v>
      </c>
      <c r="H153" s="91" t="s">
        <v>451</v>
      </c>
      <c r="I153" s="93" t="s">
        <v>129</v>
      </c>
      <c r="J153" s="87" t="s">
        <v>222</v>
      </c>
      <c r="K153" s="128" t="s">
        <v>222</v>
      </c>
      <c r="L153" s="4" t="s">
        <v>3</v>
      </c>
      <c r="M153" s="59" t="s">
        <v>113</v>
      </c>
      <c r="N153" s="59"/>
      <c r="O153" s="61" t="s">
        <v>5</v>
      </c>
      <c r="P153" s="59"/>
      <c r="Q153" s="61"/>
      <c r="R153" s="57"/>
      <c r="S153" s="57"/>
      <c r="T153" s="57"/>
      <c r="U153" s="57"/>
      <c r="V153" s="57"/>
    </row>
    <row r="154" spans="1:24" s="1" customFormat="1" ht="33" customHeight="1" x14ac:dyDescent="0.3">
      <c r="A154" s="11">
        <v>4</v>
      </c>
      <c r="B154" s="11">
        <v>34</v>
      </c>
      <c r="C154" s="24" t="str">
        <f>IF(B154&lt;10,_xlfn.CONCAT(A154,".0",B154),_xlfn.CONCAT(A154,".",B154))</f>
        <v>4.34</v>
      </c>
      <c r="D154" s="12"/>
      <c r="E154" s="64" t="str">
        <f>IF(ISBLANK(D154)=TRUE,"",VLOOKUP(D154,Krav!$C:$F,4,FALSE))</f>
        <v/>
      </c>
      <c r="F154" s="91" t="s">
        <v>418</v>
      </c>
      <c r="G154" s="92" t="s">
        <v>445</v>
      </c>
      <c r="H154" s="91" t="s">
        <v>451</v>
      </c>
      <c r="I154" s="93" t="s">
        <v>129</v>
      </c>
      <c r="J154" s="87" t="s">
        <v>222</v>
      </c>
      <c r="K154" s="128" t="s">
        <v>222</v>
      </c>
      <c r="L154" s="4" t="s">
        <v>3</v>
      </c>
      <c r="M154" s="59"/>
      <c r="N154" s="59" t="s">
        <v>115</v>
      </c>
      <c r="O154" s="61" t="s">
        <v>5</v>
      </c>
      <c r="P154" s="59"/>
      <c r="Q154" s="61"/>
      <c r="R154" s="57"/>
      <c r="S154" s="57"/>
      <c r="T154" s="57"/>
      <c r="U154" s="57"/>
      <c r="V154" s="57"/>
    </row>
    <row r="155" spans="1:24" s="39" customFormat="1" ht="16.5" customHeight="1" x14ac:dyDescent="0.3">
      <c r="A155" s="36"/>
      <c r="B155" s="36"/>
      <c r="C155" s="37"/>
      <c r="D155" s="37"/>
      <c r="E155" s="38"/>
      <c r="F155" s="38"/>
      <c r="G155" s="37"/>
      <c r="H155" s="38"/>
      <c r="I155" s="37"/>
      <c r="J155" s="37"/>
      <c r="K155" s="37"/>
      <c r="L155" s="37"/>
      <c r="M155" s="37"/>
      <c r="N155" s="37"/>
      <c r="O155" s="37"/>
      <c r="P155" s="37"/>
      <c r="Q155" s="37"/>
      <c r="R155" s="37"/>
      <c r="S155" s="37"/>
      <c r="T155" s="37"/>
    </row>
    <row r="156" spans="1:24" s="57" customFormat="1" ht="16.5" customHeight="1" x14ac:dyDescent="0.3">
      <c r="E156" s="5"/>
      <c r="F156" s="5"/>
      <c r="H156" s="5"/>
      <c r="M156" s="58" t="s">
        <v>153</v>
      </c>
      <c r="N156" s="58" t="s">
        <v>152</v>
      </c>
      <c r="O156" s="58"/>
      <c r="P156" s="58"/>
      <c r="Q156" s="58" t="s">
        <v>17</v>
      </c>
      <c r="R156" s="58" t="s">
        <v>18</v>
      </c>
      <c r="S156" s="58" t="s">
        <v>8</v>
      </c>
      <c r="T156" s="58" t="s">
        <v>8</v>
      </c>
      <c r="U156" s="58" t="s">
        <v>8</v>
      </c>
      <c r="V156" s="58" t="s">
        <v>8</v>
      </c>
      <c r="W156" s="58" t="s">
        <v>8</v>
      </c>
      <c r="X156" s="58" t="s">
        <v>8</v>
      </c>
    </row>
    <row r="157" spans="1:24" s="57" customFormat="1" ht="14.4" x14ac:dyDescent="0.3">
      <c r="E157" s="5"/>
      <c r="F157" s="5"/>
      <c r="H157" s="5"/>
      <c r="M157" s="58" t="s">
        <v>21</v>
      </c>
      <c r="N157" s="58" t="s">
        <v>21</v>
      </c>
      <c r="O157" s="58"/>
      <c r="P157" s="58"/>
      <c r="Q157" s="58" t="s">
        <v>19</v>
      </c>
      <c r="R157" s="58" t="s">
        <v>19</v>
      </c>
      <c r="S157" s="58" t="s">
        <v>11</v>
      </c>
      <c r="T157" s="58" t="s">
        <v>11</v>
      </c>
      <c r="U157" s="58" t="s">
        <v>11</v>
      </c>
      <c r="V157" s="58" t="s">
        <v>11</v>
      </c>
      <c r="W157" s="58" t="s">
        <v>11</v>
      </c>
      <c r="X157" s="58" t="s">
        <v>11</v>
      </c>
    </row>
    <row r="158" spans="1:24" s="1" customFormat="1" ht="15" customHeight="1" x14ac:dyDescent="0.3">
      <c r="A158" s="50" t="s">
        <v>6</v>
      </c>
      <c r="B158" s="51" t="s">
        <v>7</v>
      </c>
      <c r="C158" s="31" t="s">
        <v>0</v>
      </c>
      <c r="D158" s="31" t="s">
        <v>22</v>
      </c>
      <c r="E158" s="52" t="s">
        <v>99</v>
      </c>
      <c r="F158" s="52" t="s">
        <v>216</v>
      </c>
      <c r="G158" s="31" t="s">
        <v>217</v>
      </c>
      <c r="H158" s="52" t="s">
        <v>28</v>
      </c>
      <c r="I158" s="31" t="s">
        <v>218</v>
      </c>
      <c r="J158" s="31" t="s">
        <v>219</v>
      </c>
      <c r="K158" s="31" t="s">
        <v>220</v>
      </c>
      <c r="L158" s="31" t="s">
        <v>1</v>
      </c>
      <c r="M158" s="62" t="s">
        <v>230</v>
      </c>
      <c r="N158" s="62" t="s">
        <v>231</v>
      </c>
      <c r="O158" s="62" t="s">
        <v>234</v>
      </c>
      <c r="P158" s="62" t="s">
        <v>233</v>
      </c>
      <c r="Q158" s="62" t="s">
        <v>165</v>
      </c>
      <c r="R158" s="26" t="s">
        <v>20</v>
      </c>
      <c r="S158" s="26" t="s">
        <v>9</v>
      </c>
      <c r="T158" s="26" t="s">
        <v>9</v>
      </c>
      <c r="U158" s="26" t="s">
        <v>9</v>
      </c>
      <c r="V158" s="26" t="s">
        <v>9</v>
      </c>
      <c r="W158" s="26" t="s">
        <v>9</v>
      </c>
      <c r="X158" s="26" t="s">
        <v>108</v>
      </c>
    </row>
    <row r="159" spans="1:24" s="1" customFormat="1" ht="33" customHeight="1" x14ac:dyDescent="0.3">
      <c r="A159" s="16">
        <v>5</v>
      </c>
      <c r="B159" s="23">
        <v>1</v>
      </c>
      <c r="C159" s="27" t="str">
        <f t="shared" ref="C159:C176" si="8">IF(B159&lt;10,_xlfn.CONCAT(A159,".0",B159),_xlfn.CONCAT(A159,".",B159))</f>
        <v>5.01</v>
      </c>
      <c r="D159" s="18" t="s">
        <v>91</v>
      </c>
      <c r="E159" s="64" t="str">
        <f>IF(ISBLANK(D159)=TRUE,"",VLOOKUP(D159,Krav!$C:$F,4,FALSE))</f>
        <v>5.3 - Såfremt brugeren vælger "Ja" skal brugeren ledes videre til spørgsmål 5.a</v>
      </c>
      <c r="F159" s="53" t="s">
        <v>226</v>
      </c>
      <c r="G159" s="19" t="s">
        <v>230</v>
      </c>
      <c r="H159" s="25" t="s">
        <v>168</v>
      </c>
      <c r="I159" s="67" t="s">
        <v>240</v>
      </c>
      <c r="J159" s="67" t="s">
        <v>222</v>
      </c>
      <c r="K159" s="123" t="s">
        <v>222</v>
      </c>
      <c r="L159" s="20" t="s">
        <v>3</v>
      </c>
      <c r="M159" s="61" t="s">
        <v>129</v>
      </c>
      <c r="N159" s="61" t="s">
        <v>131</v>
      </c>
      <c r="O159" s="61" t="s">
        <v>235</v>
      </c>
      <c r="P159" s="61" t="s">
        <v>5</v>
      </c>
      <c r="Q159" s="59"/>
      <c r="R159" s="61" t="s">
        <v>27</v>
      </c>
      <c r="S159" s="61"/>
      <c r="T159" s="61"/>
      <c r="U159" s="60"/>
      <c r="V159" s="60"/>
      <c r="W159" s="60"/>
      <c r="X159" s="60"/>
    </row>
    <row r="160" spans="1:24" s="1" customFormat="1" ht="33" customHeight="1" x14ac:dyDescent="0.3">
      <c r="A160" s="16">
        <v>5</v>
      </c>
      <c r="B160" s="23">
        <v>2</v>
      </c>
      <c r="C160" s="27" t="str">
        <f>IF(B160&lt;10,_xlfn.CONCAT(A160,".0",B160),_xlfn.CONCAT(A160,".",B160))</f>
        <v>5.02</v>
      </c>
      <c r="D160" s="18" t="s">
        <v>91</v>
      </c>
      <c r="E160" s="64" t="str">
        <f>IF(ISBLANK(D160)=TRUE,"",VLOOKUP(D160,Krav!$C:$F,4,FALSE))</f>
        <v>5.3 - Såfremt brugeren vælger "Ja" skal brugeren ledes videre til spørgsmål 5.a</v>
      </c>
      <c r="F160" s="53" t="s">
        <v>226</v>
      </c>
      <c r="G160" s="19" t="s">
        <v>230</v>
      </c>
      <c r="H160" s="25" t="s">
        <v>169</v>
      </c>
      <c r="I160" s="67" t="s">
        <v>241</v>
      </c>
      <c r="J160" s="67" t="s">
        <v>222</v>
      </c>
      <c r="K160" s="123" t="s">
        <v>222</v>
      </c>
      <c r="L160" s="20" t="s">
        <v>3</v>
      </c>
      <c r="M160" s="61" t="s">
        <v>129</v>
      </c>
      <c r="N160" s="61" t="s">
        <v>131</v>
      </c>
      <c r="O160" s="61" t="s">
        <v>236</v>
      </c>
      <c r="P160" s="61" t="s">
        <v>5</v>
      </c>
      <c r="Q160" s="59"/>
      <c r="R160" s="61" t="s">
        <v>27</v>
      </c>
      <c r="S160" s="61"/>
      <c r="T160" s="61"/>
      <c r="U160" s="60"/>
      <c r="V160" s="60"/>
      <c r="W160" s="60"/>
      <c r="X160" s="60"/>
    </row>
    <row r="161" spans="1:24" s="1" customFormat="1" ht="33" customHeight="1" x14ac:dyDescent="0.3">
      <c r="A161" s="16">
        <v>5</v>
      </c>
      <c r="B161" s="23">
        <v>3</v>
      </c>
      <c r="C161" s="27" t="str">
        <f>IF(B161&lt;10,_xlfn.CONCAT(A161,".0",B161),_xlfn.CONCAT(A161,".",B161))</f>
        <v>5.03</v>
      </c>
      <c r="D161" s="18" t="s">
        <v>91</v>
      </c>
      <c r="E161" s="64" t="str">
        <f>IF(ISBLANK(D161)=TRUE,"",VLOOKUP(D161,Krav!$C:$F,4,FALSE))</f>
        <v>5.3 - Såfremt brugeren vælger "Ja" skal brugeren ledes videre til spørgsmål 5.a</v>
      </c>
      <c r="F161" s="53" t="s">
        <v>226</v>
      </c>
      <c r="G161" s="19" t="s">
        <v>230</v>
      </c>
      <c r="H161" s="25" t="s">
        <v>170</v>
      </c>
      <c r="I161" s="67" t="s">
        <v>241</v>
      </c>
      <c r="J161" s="67" t="s">
        <v>222</v>
      </c>
      <c r="K161" s="123" t="s">
        <v>222</v>
      </c>
      <c r="L161" s="20" t="s">
        <v>3</v>
      </c>
      <c r="M161" s="61" t="s">
        <v>129</v>
      </c>
      <c r="N161" s="61" t="s">
        <v>131</v>
      </c>
      <c r="O161" s="61" t="s">
        <v>237</v>
      </c>
      <c r="P161" s="61" t="s">
        <v>5</v>
      </c>
      <c r="Q161" s="59"/>
      <c r="R161" s="61" t="s">
        <v>27</v>
      </c>
      <c r="S161" s="61"/>
      <c r="T161" s="61"/>
      <c r="U161" s="60"/>
      <c r="V161" s="60"/>
      <c r="W161" s="60"/>
      <c r="X161" s="60"/>
    </row>
    <row r="162" spans="1:24" s="1" customFormat="1" ht="33" customHeight="1" x14ac:dyDescent="0.3">
      <c r="A162" s="16">
        <v>5</v>
      </c>
      <c r="B162" s="23">
        <v>4</v>
      </c>
      <c r="C162" s="27" t="str">
        <f t="shared" si="8"/>
        <v>5.04</v>
      </c>
      <c r="D162" s="18"/>
      <c r="E162" s="64" t="str">
        <f>IF(ISBLANK(D162)=TRUE,"",VLOOKUP(D162,Krav!$C:$F,4,FALSE))</f>
        <v/>
      </c>
      <c r="F162" s="53" t="s">
        <v>225</v>
      </c>
      <c r="G162" s="19" t="s">
        <v>230</v>
      </c>
      <c r="H162" s="25" t="s">
        <v>158</v>
      </c>
      <c r="I162" s="66" t="s">
        <v>26</v>
      </c>
      <c r="J162" s="67" t="s">
        <v>222</v>
      </c>
      <c r="K162" s="123" t="s">
        <v>222</v>
      </c>
      <c r="L162" s="20" t="s">
        <v>3</v>
      </c>
      <c r="M162" s="61" t="s">
        <v>129</v>
      </c>
      <c r="N162" s="61" t="s">
        <v>131</v>
      </c>
      <c r="O162" s="61"/>
      <c r="P162" s="61" t="s">
        <v>5</v>
      </c>
      <c r="Q162" s="59"/>
      <c r="R162" s="61" t="s">
        <v>27</v>
      </c>
      <c r="S162" s="61"/>
      <c r="T162" s="61"/>
      <c r="U162" s="60"/>
      <c r="V162" s="60"/>
      <c r="W162" s="60"/>
      <c r="X162" s="60"/>
    </row>
    <row r="163" spans="1:24" s="1" customFormat="1" ht="33" customHeight="1" x14ac:dyDescent="0.3">
      <c r="A163" s="16">
        <v>5</v>
      </c>
      <c r="B163" s="23">
        <v>5</v>
      </c>
      <c r="C163" s="27" t="str">
        <f>IF(B163&lt;10,_xlfn.CONCAT(A163,".0",B163),_xlfn.CONCAT(A163,".",B163))</f>
        <v>5.05</v>
      </c>
      <c r="D163" s="18"/>
      <c r="E163" s="64" t="str">
        <f>IF(ISBLANK(D163)=TRUE,"",VLOOKUP(D163,Krav!$C:$F,4,FALSE))</f>
        <v/>
      </c>
      <c r="F163" s="19" t="s">
        <v>143</v>
      </c>
      <c r="G163" s="19"/>
      <c r="H163" s="25" t="s">
        <v>171</v>
      </c>
      <c r="I163" s="66" t="s">
        <v>172</v>
      </c>
      <c r="J163" s="67" t="s">
        <v>222</v>
      </c>
      <c r="K163" s="123" t="s">
        <v>222</v>
      </c>
      <c r="L163" s="20" t="s">
        <v>3</v>
      </c>
      <c r="M163" s="61" t="s">
        <v>129</v>
      </c>
      <c r="N163" s="61" t="s">
        <v>131</v>
      </c>
      <c r="O163" s="61"/>
      <c r="P163" s="61" t="s">
        <v>5</v>
      </c>
      <c r="Q163" s="59"/>
      <c r="R163" s="61" t="s">
        <v>27</v>
      </c>
      <c r="S163" s="61"/>
      <c r="T163" s="61"/>
      <c r="U163" s="60"/>
      <c r="V163" s="60"/>
      <c r="W163" s="60"/>
      <c r="X163" s="60"/>
    </row>
    <row r="164" spans="1:24" s="1" customFormat="1" ht="33" customHeight="1" x14ac:dyDescent="0.3">
      <c r="A164" s="16">
        <v>5</v>
      </c>
      <c r="B164" s="23">
        <v>6</v>
      </c>
      <c r="C164" s="162" t="str">
        <f t="shared" si="8"/>
        <v>5.06</v>
      </c>
      <c r="D164" s="18" t="s">
        <v>93</v>
      </c>
      <c r="E164" s="64" t="str">
        <f>IF(ISBLANK(D164)=TRUE,"",VLOOKUP(D164,Krav!$C:$F,4,FALSE))</f>
        <v>5.4 - Såfremt brugeren vælger "Nej" skal spørgeskemaet ikke fortsætte.</v>
      </c>
      <c r="F164" s="29" t="s">
        <v>174</v>
      </c>
      <c r="G164" s="19"/>
      <c r="H164" s="25"/>
      <c r="I164" s="67" t="s">
        <v>1367</v>
      </c>
      <c r="J164" s="67" t="s">
        <v>222</v>
      </c>
      <c r="K164" s="123" t="s">
        <v>222</v>
      </c>
      <c r="L164" s="20" t="s">
        <v>3</v>
      </c>
      <c r="M164" s="61" t="s">
        <v>131</v>
      </c>
      <c r="N164" s="61" t="s">
        <v>129</v>
      </c>
      <c r="O164" s="61"/>
      <c r="P164" s="61" t="s">
        <v>5</v>
      </c>
      <c r="Q164" s="59"/>
      <c r="R164" s="61" t="s">
        <v>27</v>
      </c>
      <c r="S164" s="61"/>
      <c r="T164" s="61"/>
      <c r="U164" s="60"/>
      <c r="V164" s="60"/>
      <c r="W164" s="60"/>
      <c r="X164" s="60"/>
    </row>
    <row r="165" spans="1:24" s="1" customFormat="1" ht="33" customHeight="1" x14ac:dyDescent="0.3">
      <c r="A165" s="16">
        <v>5</v>
      </c>
      <c r="B165" s="23">
        <v>7</v>
      </c>
      <c r="C165" s="27" t="str">
        <f t="shared" si="8"/>
        <v>5.07</v>
      </c>
      <c r="D165" s="18"/>
      <c r="E165" s="64" t="str">
        <f>IF(ISBLANK(D165)=TRUE,"",VLOOKUP(D165,Krav!$C:$F,4,FALSE))</f>
        <v/>
      </c>
      <c r="F165" s="53" t="s">
        <v>225</v>
      </c>
      <c r="G165" s="19" t="s">
        <v>231</v>
      </c>
      <c r="H165" s="25" t="s">
        <v>158</v>
      </c>
      <c r="I165" s="66" t="s">
        <v>166</v>
      </c>
      <c r="J165" s="67" t="s">
        <v>222</v>
      </c>
      <c r="K165" s="123" t="s">
        <v>222</v>
      </c>
      <c r="L165" s="20" t="s">
        <v>3</v>
      </c>
      <c r="M165" s="61" t="s">
        <v>131</v>
      </c>
      <c r="N165" s="61" t="s">
        <v>129</v>
      </c>
      <c r="O165" s="61"/>
      <c r="P165" s="61" t="s">
        <v>5</v>
      </c>
      <c r="Q165" s="59"/>
      <c r="R165" s="61" t="s">
        <v>27</v>
      </c>
      <c r="S165" s="61"/>
      <c r="T165" s="61"/>
      <c r="U165" s="60"/>
      <c r="V165" s="60"/>
      <c r="W165" s="60"/>
      <c r="X165" s="60"/>
    </row>
    <row r="166" spans="1:24" s="1" customFormat="1" ht="33" customHeight="1" x14ac:dyDescent="0.3">
      <c r="A166" s="16">
        <v>5</v>
      </c>
      <c r="B166" s="23">
        <v>8</v>
      </c>
      <c r="C166" s="27" t="str">
        <f t="shared" si="8"/>
        <v>5.08</v>
      </c>
      <c r="D166" s="18"/>
      <c r="E166" s="64" t="str">
        <f>IF(ISBLANK(D166)=TRUE,"",VLOOKUP(D166,Krav!$C:$F,4,FALSE))</f>
        <v/>
      </c>
      <c r="F166" s="29" t="s">
        <v>174</v>
      </c>
      <c r="G166" s="19"/>
      <c r="H166" s="64" t="s">
        <v>167</v>
      </c>
      <c r="I166" s="67" t="s">
        <v>1366</v>
      </c>
      <c r="J166" s="67" t="s">
        <v>222</v>
      </c>
      <c r="K166" s="123" t="s">
        <v>222</v>
      </c>
      <c r="L166" s="20" t="s">
        <v>4</v>
      </c>
      <c r="M166" s="60" t="s">
        <v>131</v>
      </c>
      <c r="N166" s="60" t="s">
        <v>131</v>
      </c>
      <c r="O166" s="60"/>
      <c r="P166" s="61" t="s">
        <v>5</v>
      </c>
      <c r="Q166" s="22"/>
      <c r="R166" s="61" t="s">
        <v>27</v>
      </c>
      <c r="S166" s="21"/>
      <c r="T166" s="21"/>
      <c r="U166" s="60"/>
      <c r="V166" s="60"/>
      <c r="W166" s="60"/>
      <c r="X166" s="60"/>
    </row>
    <row r="167" spans="1:24" s="1" customFormat="1" ht="33" customHeight="1" x14ac:dyDescent="0.3">
      <c r="A167" s="16">
        <v>5</v>
      </c>
      <c r="B167" s="23">
        <v>9</v>
      </c>
      <c r="C167" s="27" t="str">
        <f t="shared" si="8"/>
        <v>5.09</v>
      </c>
      <c r="D167" s="18"/>
      <c r="E167" s="64" t="str">
        <f>IF(ISBLANK(D167)=TRUE,"",VLOOKUP(D167,Krav!$C:$F,4,FALSE))</f>
        <v/>
      </c>
      <c r="F167" s="78" t="s">
        <v>418</v>
      </c>
      <c r="G167" s="78" t="s">
        <v>419</v>
      </c>
      <c r="H167" s="80" t="s">
        <v>438</v>
      </c>
      <c r="I167" s="82" t="s">
        <v>129</v>
      </c>
      <c r="J167" s="96" t="s">
        <v>222</v>
      </c>
      <c r="K167" s="123" t="s">
        <v>222</v>
      </c>
      <c r="L167" s="20" t="s">
        <v>4</v>
      </c>
      <c r="M167" s="60" t="s">
        <v>131</v>
      </c>
      <c r="N167" s="60" t="s">
        <v>131</v>
      </c>
      <c r="O167" s="60"/>
      <c r="P167" s="61" t="s">
        <v>5</v>
      </c>
      <c r="Q167" s="22"/>
      <c r="R167" s="61" t="s">
        <v>27</v>
      </c>
      <c r="S167" s="21"/>
      <c r="T167" s="21"/>
      <c r="U167" s="60"/>
      <c r="V167" s="60"/>
      <c r="W167" s="60"/>
      <c r="X167" s="60"/>
    </row>
    <row r="168" spans="1:24" s="1" customFormat="1" ht="33" customHeight="1" x14ac:dyDescent="0.3">
      <c r="A168" s="16">
        <v>5</v>
      </c>
      <c r="B168" s="23">
        <v>10</v>
      </c>
      <c r="C168" s="27" t="str">
        <f>IF(B168&lt;10,_xlfn.CONCAT(A168,".0",B168),_xlfn.CONCAT(A168,".",B168))</f>
        <v>5.10</v>
      </c>
      <c r="D168" s="18"/>
      <c r="E168" s="64" t="str">
        <f>IF(ISBLANK(D168)=TRUE,"",VLOOKUP(D168,Krav!$C:$F,4,FALSE))</f>
        <v/>
      </c>
      <c r="F168" s="53" t="s">
        <v>225</v>
      </c>
      <c r="G168" s="19"/>
      <c r="H168" s="64" t="s">
        <v>196</v>
      </c>
      <c r="I168" s="66" t="s">
        <v>96</v>
      </c>
      <c r="J168" s="67" t="s">
        <v>222</v>
      </c>
      <c r="K168" s="123" t="s">
        <v>222</v>
      </c>
      <c r="L168" s="20" t="s">
        <v>4</v>
      </c>
      <c r="M168" s="60" t="s">
        <v>131</v>
      </c>
      <c r="N168" s="60" t="s">
        <v>131</v>
      </c>
      <c r="O168" s="60"/>
      <c r="P168" s="61" t="s">
        <v>5</v>
      </c>
      <c r="Q168" s="22"/>
      <c r="R168" s="61" t="s">
        <v>27</v>
      </c>
      <c r="S168" s="21"/>
      <c r="T168" s="21"/>
      <c r="U168" s="60"/>
      <c r="V168" s="60"/>
      <c r="W168" s="60"/>
      <c r="X168" s="60"/>
    </row>
    <row r="169" spans="1:24" s="1" customFormat="1" ht="33" customHeight="1" x14ac:dyDescent="0.3">
      <c r="A169" s="16">
        <v>5</v>
      </c>
      <c r="B169" s="23">
        <v>11</v>
      </c>
      <c r="C169" s="27" t="str">
        <f t="shared" si="8"/>
        <v>5.11</v>
      </c>
      <c r="D169" s="18"/>
      <c r="E169" s="64" t="str">
        <f>IF(ISBLANK(D169)=TRUE,"",VLOOKUP(D169,Krav!$C:$F,4,FALSE))</f>
        <v/>
      </c>
      <c r="F169" s="19" t="s">
        <v>185</v>
      </c>
      <c r="G169" s="19"/>
      <c r="H169" s="64" t="s">
        <v>149</v>
      </c>
      <c r="I169" s="66" t="s">
        <v>160</v>
      </c>
      <c r="J169" s="67" t="s">
        <v>222</v>
      </c>
      <c r="K169" s="123" t="s">
        <v>222</v>
      </c>
      <c r="L169" s="20" t="s">
        <v>3</v>
      </c>
      <c r="M169" s="61"/>
      <c r="N169" s="61"/>
      <c r="O169" s="61"/>
      <c r="P169" s="61" t="s">
        <v>5</v>
      </c>
      <c r="Q169" s="59" t="s">
        <v>27</v>
      </c>
      <c r="R169" s="61"/>
      <c r="S169" s="61"/>
      <c r="T169" s="61"/>
      <c r="U169" s="60"/>
      <c r="V169" s="60"/>
      <c r="W169" s="60"/>
      <c r="X169" s="60"/>
    </row>
    <row r="170" spans="1:24" s="1" customFormat="1" ht="33" customHeight="1" x14ac:dyDescent="0.3">
      <c r="A170" s="16">
        <v>5</v>
      </c>
      <c r="B170" s="23">
        <v>12</v>
      </c>
      <c r="C170" s="27" t="str">
        <f t="shared" si="8"/>
        <v>5.12</v>
      </c>
      <c r="D170" s="18"/>
      <c r="E170" s="64" t="str">
        <f>IF(ISBLANK(D170)=TRUE,"",VLOOKUP(D170,Krav!$C:$F,4,FALSE))</f>
        <v/>
      </c>
      <c r="F170" s="91" t="s">
        <v>418</v>
      </c>
      <c r="G170" s="91" t="s">
        <v>1364</v>
      </c>
      <c r="H170" s="81" t="s">
        <v>1365</v>
      </c>
      <c r="I170" s="91" t="s">
        <v>129</v>
      </c>
      <c r="J170" s="67" t="s">
        <v>222</v>
      </c>
      <c r="K170" s="123" t="s">
        <v>222</v>
      </c>
      <c r="L170" s="20" t="s">
        <v>3</v>
      </c>
      <c r="M170" s="61"/>
      <c r="N170" s="61"/>
      <c r="O170" s="61"/>
      <c r="P170" s="61"/>
      <c r="Q170" s="59"/>
      <c r="R170" s="61"/>
      <c r="S170" s="61"/>
      <c r="T170" s="61"/>
      <c r="U170" s="60"/>
      <c r="V170" s="60"/>
      <c r="W170" s="60"/>
      <c r="X170" s="60"/>
    </row>
    <row r="171" spans="1:24" s="1" customFormat="1" ht="33" customHeight="1" x14ac:dyDescent="0.3">
      <c r="A171" s="16">
        <v>5</v>
      </c>
      <c r="B171" s="23">
        <v>13</v>
      </c>
      <c r="C171" s="27" t="str">
        <f t="shared" si="8"/>
        <v>5.13</v>
      </c>
      <c r="D171" s="18"/>
      <c r="E171" s="64" t="str">
        <f>IF(ISBLANK(D171)=TRUE,"",VLOOKUP(D171,Krav!$C:$F,4,FALSE))</f>
        <v/>
      </c>
      <c r="F171" s="19" t="s">
        <v>224</v>
      </c>
      <c r="G171" s="19" t="s">
        <v>230</v>
      </c>
      <c r="H171" s="64" t="s">
        <v>193</v>
      </c>
      <c r="I171" s="66" t="s">
        <v>129</v>
      </c>
      <c r="J171" s="67" t="s">
        <v>222</v>
      </c>
      <c r="K171" s="123" t="s">
        <v>222</v>
      </c>
      <c r="L171" s="20" t="s">
        <v>3</v>
      </c>
      <c r="M171" s="61" t="s">
        <v>129</v>
      </c>
      <c r="N171" s="61" t="s">
        <v>131</v>
      </c>
      <c r="O171" s="61"/>
      <c r="P171" s="61" t="s">
        <v>5</v>
      </c>
      <c r="Q171" s="59"/>
      <c r="R171" s="61"/>
      <c r="S171" s="61"/>
      <c r="T171" s="61"/>
      <c r="U171" s="60"/>
      <c r="V171" s="60"/>
      <c r="W171" s="60"/>
      <c r="X171" s="60"/>
    </row>
    <row r="172" spans="1:24" s="1" customFormat="1" ht="33" customHeight="1" x14ac:dyDescent="0.3">
      <c r="A172" s="16">
        <v>5</v>
      </c>
      <c r="B172" s="23">
        <v>14</v>
      </c>
      <c r="C172" s="27" t="str">
        <f t="shared" si="8"/>
        <v>5.14</v>
      </c>
      <c r="D172" s="18"/>
      <c r="E172" s="64" t="str">
        <f>IF(ISBLANK(D172)=TRUE,"",VLOOKUP(D172,Krav!$C:$F,4,FALSE))</f>
        <v/>
      </c>
      <c r="F172" s="19" t="s">
        <v>224</v>
      </c>
      <c r="G172" s="19" t="s">
        <v>231</v>
      </c>
      <c r="H172" s="64" t="s">
        <v>194</v>
      </c>
      <c r="I172" s="66" t="s">
        <v>129</v>
      </c>
      <c r="J172" s="67" t="s">
        <v>222</v>
      </c>
      <c r="K172" s="123" t="s">
        <v>222</v>
      </c>
      <c r="L172" s="20" t="s">
        <v>3</v>
      </c>
      <c r="M172" s="61" t="s">
        <v>131</v>
      </c>
      <c r="N172" s="61" t="s">
        <v>129</v>
      </c>
      <c r="O172" s="61"/>
      <c r="P172" s="61" t="s">
        <v>5</v>
      </c>
      <c r="Q172" s="59"/>
      <c r="R172" s="61"/>
      <c r="S172" s="61"/>
      <c r="T172" s="61"/>
      <c r="U172" s="60"/>
      <c r="V172" s="60"/>
      <c r="W172" s="60"/>
      <c r="X172" s="60"/>
    </row>
    <row r="173" spans="1:24" s="1" customFormat="1" ht="33" customHeight="1" x14ac:dyDescent="0.3">
      <c r="A173" s="16">
        <v>5</v>
      </c>
      <c r="B173" s="23">
        <v>15</v>
      </c>
      <c r="C173" s="27" t="str">
        <f t="shared" si="8"/>
        <v>5.15</v>
      </c>
      <c r="D173" s="18"/>
      <c r="E173" s="64" t="str">
        <f>IF(ISBLANK(D173)=TRUE,"",VLOOKUP(D173,Krav!$C:$F,4,FALSE))</f>
        <v/>
      </c>
      <c r="F173" s="19" t="s">
        <v>224</v>
      </c>
      <c r="G173" s="19" t="s">
        <v>230</v>
      </c>
      <c r="H173" s="64" t="s">
        <v>195</v>
      </c>
      <c r="I173" s="66" t="s">
        <v>131</v>
      </c>
      <c r="J173" s="67" t="s">
        <v>222</v>
      </c>
      <c r="K173" s="123" t="s">
        <v>222</v>
      </c>
      <c r="L173" s="20" t="s">
        <v>3</v>
      </c>
      <c r="M173" s="61"/>
      <c r="N173" s="61"/>
      <c r="O173" s="61"/>
      <c r="P173" s="61" t="s">
        <v>5</v>
      </c>
      <c r="Q173" s="59"/>
      <c r="R173" s="61"/>
      <c r="S173" s="61"/>
      <c r="T173" s="61"/>
      <c r="U173" s="60"/>
      <c r="V173" s="60"/>
      <c r="W173" s="60"/>
      <c r="X173" s="60"/>
    </row>
    <row r="174" spans="1:24" s="1" customFormat="1" ht="33" customHeight="1" x14ac:dyDescent="0.3">
      <c r="A174" s="16">
        <v>5</v>
      </c>
      <c r="B174" s="23">
        <v>16</v>
      </c>
      <c r="C174" s="27" t="str">
        <f t="shared" si="8"/>
        <v>5.16</v>
      </c>
      <c r="D174" s="18"/>
      <c r="E174" s="64" t="str">
        <f>IF(ISBLANK(D174)=TRUE,"",VLOOKUP(D174,Krav!$C:$F,4,FALSE))</f>
        <v/>
      </c>
      <c r="F174" s="19" t="s">
        <v>224</v>
      </c>
      <c r="G174" s="19" t="s">
        <v>231</v>
      </c>
      <c r="H174" s="64" t="s">
        <v>195</v>
      </c>
      <c r="I174" s="66" t="s">
        <v>131</v>
      </c>
      <c r="J174" s="67" t="s">
        <v>222</v>
      </c>
      <c r="K174" s="123" t="s">
        <v>222</v>
      </c>
      <c r="L174" s="20" t="s">
        <v>3</v>
      </c>
      <c r="M174" s="61"/>
      <c r="N174" s="61"/>
      <c r="O174" s="61"/>
      <c r="P174" s="61" t="s">
        <v>5</v>
      </c>
      <c r="Q174" s="59"/>
      <c r="R174" s="61"/>
      <c r="S174" s="61"/>
      <c r="T174" s="61"/>
      <c r="U174" s="60"/>
      <c r="V174" s="60"/>
      <c r="W174" s="60"/>
      <c r="X174" s="60"/>
    </row>
    <row r="175" spans="1:24" s="1" customFormat="1" ht="33" customHeight="1" x14ac:dyDescent="0.3">
      <c r="A175" s="16">
        <v>5</v>
      </c>
      <c r="B175" s="23">
        <v>17</v>
      </c>
      <c r="C175" s="27" t="str">
        <f t="shared" si="8"/>
        <v>5.17</v>
      </c>
      <c r="D175" s="12"/>
      <c r="E175" s="64" t="str">
        <f>IF(ISBLANK(D175)=TRUE,"",VLOOKUP(D175,Krav!$C:$F,4,FALSE))</f>
        <v/>
      </c>
      <c r="F175" s="91" t="s">
        <v>418</v>
      </c>
      <c r="G175" s="92" t="s">
        <v>445</v>
      </c>
      <c r="H175" s="91" t="s">
        <v>447</v>
      </c>
      <c r="I175" s="93" t="s">
        <v>129</v>
      </c>
      <c r="J175" s="94" t="s">
        <v>222</v>
      </c>
      <c r="K175" s="128" t="s">
        <v>222</v>
      </c>
      <c r="L175" s="4" t="s">
        <v>3</v>
      </c>
      <c r="M175" s="61" t="s">
        <v>129</v>
      </c>
      <c r="N175" s="61" t="s">
        <v>131</v>
      </c>
      <c r="O175" s="61"/>
      <c r="P175" s="61" t="s">
        <v>5</v>
      </c>
      <c r="Q175" s="61"/>
      <c r="R175" s="57"/>
      <c r="S175" s="57"/>
      <c r="T175" s="57"/>
      <c r="U175" s="57"/>
      <c r="V175" s="57"/>
    </row>
    <row r="176" spans="1:24" s="1" customFormat="1" ht="33" customHeight="1" x14ac:dyDescent="0.3">
      <c r="A176" s="16">
        <v>5</v>
      </c>
      <c r="B176" s="23">
        <v>18</v>
      </c>
      <c r="C176" s="27" t="str">
        <f t="shared" si="8"/>
        <v>5.18</v>
      </c>
      <c r="D176" s="12"/>
      <c r="E176" s="64" t="str">
        <f>IF(ISBLANK(D176)=TRUE,"",VLOOKUP(D176,Krav!$C:$F,4,FALSE))</f>
        <v/>
      </c>
      <c r="F176" s="91" t="s">
        <v>418</v>
      </c>
      <c r="G176" s="92" t="s">
        <v>446</v>
      </c>
      <c r="H176" s="91" t="s">
        <v>453</v>
      </c>
      <c r="I176" s="93" t="s">
        <v>129</v>
      </c>
      <c r="J176" s="94" t="s">
        <v>222</v>
      </c>
      <c r="K176" s="128" t="s">
        <v>222</v>
      </c>
      <c r="L176" s="4" t="s">
        <v>3</v>
      </c>
      <c r="M176" s="61" t="s">
        <v>131</v>
      </c>
      <c r="N176" s="61" t="s">
        <v>129</v>
      </c>
      <c r="O176" s="61"/>
      <c r="P176" s="61" t="s">
        <v>5</v>
      </c>
      <c r="Q176" s="61"/>
      <c r="R176" s="57"/>
      <c r="S176" s="57"/>
      <c r="T176" s="57"/>
      <c r="U176" s="57"/>
      <c r="V176" s="57"/>
    </row>
    <row r="177" spans="1:24" s="57" customFormat="1" ht="16.5" customHeight="1" x14ac:dyDescent="0.3">
      <c r="A177" s="2"/>
      <c r="B177" s="2"/>
      <c r="C177" s="3"/>
      <c r="D177" s="3"/>
      <c r="E177" s="9"/>
      <c r="F177" s="9"/>
      <c r="G177" s="3"/>
      <c r="H177" s="10"/>
      <c r="I177" s="1"/>
      <c r="J177" s="1"/>
      <c r="K177" s="1"/>
      <c r="L177" s="3"/>
      <c r="M177" s="3"/>
      <c r="N177" s="3"/>
      <c r="O177" s="3"/>
      <c r="P177" s="3"/>
      <c r="Q177" s="3"/>
      <c r="R177" s="3"/>
      <c r="S177" s="3"/>
      <c r="T177" s="3"/>
    </row>
    <row r="178" spans="1:24" s="57" customFormat="1" ht="16.5" customHeight="1" x14ac:dyDescent="0.3">
      <c r="E178" s="5"/>
      <c r="F178" s="5"/>
      <c r="H178" s="5"/>
      <c r="M178" s="58" t="s">
        <v>261</v>
      </c>
      <c r="N178" s="58" t="s">
        <v>262</v>
      </c>
      <c r="O178" s="58" t="s">
        <v>263</v>
      </c>
      <c r="P178" s="58" t="s">
        <v>264</v>
      </c>
      <c r="Q178" s="58" t="s">
        <v>265</v>
      </c>
      <c r="R178" s="58" t="s">
        <v>266</v>
      </c>
      <c r="S178" s="58"/>
      <c r="T178" s="58" t="s">
        <v>8</v>
      </c>
      <c r="U178" s="58" t="s">
        <v>8</v>
      </c>
      <c r="V178" s="58" t="s">
        <v>8</v>
      </c>
      <c r="W178" s="58" t="s">
        <v>8</v>
      </c>
      <c r="X178" s="58" t="s">
        <v>8</v>
      </c>
    </row>
    <row r="179" spans="1:24" s="57" customFormat="1" ht="14.4" x14ac:dyDescent="0.3">
      <c r="E179" s="5"/>
      <c r="F179" s="5"/>
      <c r="H179" s="5"/>
      <c r="M179" s="58" t="s">
        <v>21</v>
      </c>
      <c r="N179" s="58" t="s">
        <v>21</v>
      </c>
      <c r="O179" s="58" t="s">
        <v>21</v>
      </c>
      <c r="P179" s="58" t="s">
        <v>21</v>
      </c>
      <c r="Q179" s="58" t="s">
        <v>21</v>
      </c>
      <c r="R179" s="58" t="s">
        <v>21</v>
      </c>
      <c r="S179" s="58"/>
      <c r="T179" s="58" t="s">
        <v>11</v>
      </c>
      <c r="U179" s="58" t="s">
        <v>11</v>
      </c>
      <c r="V179" s="58" t="s">
        <v>11</v>
      </c>
      <c r="W179" s="58" t="s">
        <v>11</v>
      </c>
      <c r="X179" s="58" t="s">
        <v>11</v>
      </c>
    </row>
    <row r="180" spans="1:24" s="1" customFormat="1" ht="15" customHeight="1" x14ac:dyDescent="0.3">
      <c r="A180" s="50" t="s">
        <v>6</v>
      </c>
      <c r="B180" s="51" t="s">
        <v>7</v>
      </c>
      <c r="C180" s="31" t="s">
        <v>0</v>
      </c>
      <c r="D180" s="31" t="s">
        <v>22</v>
      </c>
      <c r="E180" s="52" t="s">
        <v>99</v>
      </c>
      <c r="F180" s="52" t="s">
        <v>216</v>
      </c>
      <c r="G180" s="31" t="s">
        <v>217</v>
      </c>
      <c r="H180" s="52" t="s">
        <v>28</v>
      </c>
      <c r="I180" s="31" t="s">
        <v>218</v>
      </c>
      <c r="J180" s="31" t="s">
        <v>219</v>
      </c>
      <c r="K180" s="31" t="s">
        <v>220</v>
      </c>
      <c r="L180" s="31" t="s">
        <v>1</v>
      </c>
      <c r="M180" s="62" t="s">
        <v>230</v>
      </c>
      <c r="N180" s="62" t="s">
        <v>231</v>
      </c>
      <c r="O180" s="62" t="s">
        <v>232</v>
      </c>
      <c r="P180" s="62" t="s">
        <v>267</v>
      </c>
      <c r="Q180" s="62" t="s">
        <v>268</v>
      </c>
      <c r="R180" s="62" t="s">
        <v>269</v>
      </c>
      <c r="S180" s="62" t="s">
        <v>233</v>
      </c>
      <c r="T180" s="26" t="s">
        <v>9</v>
      </c>
      <c r="U180" s="26" t="s">
        <v>9</v>
      </c>
      <c r="V180" s="26" t="s">
        <v>9</v>
      </c>
      <c r="W180" s="26" t="s">
        <v>9</v>
      </c>
      <c r="X180" s="26" t="s">
        <v>108</v>
      </c>
    </row>
    <row r="181" spans="1:24" s="1" customFormat="1" ht="33" customHeight="1" x14ac:dyDescent="0.3">
      <c r="A181" s="16">
        <v>6</v>
      </c>
      <c r="B181" s="23">
        <v>1</v>
      </c>
      <c r="C181" s="27" t="str">
        <f>IF(B181&lt;10,_xlfn.CONCAT(A181,".0",B181),_xlfn.CONCAT(A181,".",B181))</f>
        <v>6.01</v>
      </c>
      <c r="D181" s="18" t="s">
        <v>270</v>
      </c>
      <c r="E181" s="64" t="str">
        <f>IF(ISBLANK(D181)=TRUE,"",VLOOKUP(D181,Krav!$C:$F,4,FALSE))</f>
        <v xml:space="preserve">6.a.1 - Spørgeskemaet skal afsluttes da den valgte konfiguration ikke understøttes af spørgeskemaet. </v>
      </c>
      <c r="F181" s="29" t="s">
        <v>174</v>
      </c>
      <c r="G181" s="19" t="s">
        <v>230</v>
      </c>
      <c r="H181" s="25" t="s">
        <v>271</v>
      </c>
      <c r="I181" s="67" t="s">
        <v>1368</v>
      </c>
      <c r="J181" s="67" t="s">
        <v>222</v>
      </c>
      <c r="K181" s="123" t="s">
        <v>222</v>
      </c>
      <c r="L181" s="20" t="s">
        <v>4</v>
      </c>
      <c r="M181" s="15" t="s">
        <v>129</v>
      </c>
      <c r="N181" s="61" t="s">
        <v>131</v>
      </c>
      <c r="O181" s="61" t="s">
        <v>131</v>
      </c>
      <c r="P181" s="61" t="s">
        <v>129</v>
      </c>
      <c r="Q181" s="61" t="s">
        <v>131</v>
      </c>
      <c r="R181" s="61" t="s">
        <v>129</v>
      </c>
      <c r="S181" s="61" t="s">
        <v>5</v>
      </c>
      <c r="T181" s="61"/>
      <c r="U181" s="60"/>
      <c r="V181" s="60"/>
      <c r="W181" s="60"/>
      <c r="X181" s="60"/>
    </row>
    <row r="182" spans="1:24" s="1" customFormat="1" ht="33" customHeight="1" x14ac:dyDescent="0.3">
      <c r="A182" s="16">
        <v>6</v>
      </c>
      <c r="B182" s="23">
        <v>2</v>
      </c>
      <c r="C182" s="27" t="str">
        <f>IF(B182&lt;10,_xlfn.CONCAT(A182,".0",B182),_xlfn.CONCAT(A182,".",B182))</f>
        <v>6.02</v>
      </c>
      <c r="D182" s="18" t="s">
        <v>270</v>
      </c>
      <c r="E182" s="64" t="str">
        <f>IF(ISBLANK(D182)=TRUE,"",VLOOKUP(D182,Krav!$C:$F,4,FALSE))</f>
        <v xml:space="preserve">6.a.1 - Spørgeskemaet skal afsluttes da den valgte konfiguration ikke understøttes af spørgeskemaet. </v>
      </c>
      <c r="F182" s="29" t="s">
        <v>174</v>
      </c>
      <c r="G182" s="19" t="s">
        <v>230</v>
      </c>
      <c r="H182" s="25" t="s">
        <v>273</v>
      </c>
      <c r="I182" s="67" t="s">
        <v>1368</v>
      </c>
      <c r="J182" s="67" t="s">
        <v>222</v>
      </c>
      <c r="K182" s="123" t="s">
        <v>222</v>
      </c>
      <c r="L182" s="20" t="s">
        <v>4</v>
      </c>
      <c r="M182" s="15" t="s">
        <v>129</v>
      </c>
      <c r="N182" s="61" t="s">
        <v>131</v>
      </c>
      <c r="O182" s="15" t="s">
        <v>129</v>
      </c>
      <c r="P182" s="61" t="s">
        <v>131</v>
      </c>
      <c r="Q182" s="61" t="s">
        <v>131</v>
      </c>
      <c r="R182" s="61" t="s">
        <v>129</v>
      </c>
      <c r="S182" s="61" t="s">
        <v>5</v>
      </c>
      <c r="T182" s="61"/>
      <c r="U182" s="60"/>
      <c r="V182" s="60"/>
      <c r="W182" s="60"/>
      <c r="X182" s="60"/>
    </row>
    <row r="183" spans="1:24" s="1" customFormat="1" ht="33" customHeight="1" x14ac:dyDescent="0.3">
      <c r="A183" s="16">
        <v>6</v>
      </c>
      <c r="B183" s="23">
        <v>3</v>
      </c>
      <c r="C183" s="27" t="str">
        <f>IF(B183&lt;10,_xlfn.CONCAT(A183,".0",B183),_xlfn.CONCAT(A183,".",B183))</f>
        <v>6.03</v>
      </c>
      <c r="D183" s="18" t="s">
        <v>270</v>
      </c>
      <c r="E183" s="64" t="str">
        <f>IF(ISBLANK(D183)=TRUE,"",VLOOKUP(D183,Krav!$C:$F,4,FALSE))</f>
        <v xml:space="preserve">6.a.1 - Spørgeskemaet skal afsluttes da den valgte konfiguration ikke understøttes af spørgeskemaet. </v>
      </c>
      <c r="F183" s="29" t="s">
        <v>174</v>
      </c>
      <c r="G183" s="19" t="s">
        <v>230</v>
      </c>
      <c r="H183" s="25" t="s">
        <v>274</v>
      </c>
      <c r="I183" s="67" t="s">
        <v>1368</v>
      </c>
      <c r="J183" s="67" t="s">
        <v>222</v>
      </c>
      <c r="K183" s="123" t="s">
        <v>222</v>
      </c>
      <c r="L183" s="20" t="s">
        <v>4</v>
      </c>
      <c r="M183" s="15" t="s">
        <v>129</v>
      </c>
      <c r="N183" s="61" t="s">
        <v>131</v>
      </c>
      <c r="O183" s="61" t="s">
        <v>131</v>
      </c>
      <c r="P183" s="61" t="s">
        <v>129</v>
      </c>
      <c r="Q183" s="15" t="s">
        <v>129</v>
      </c>
      <c r="R183" s="61" t="s">
        <v>131</v>
      </c>
      <c r="S183" s="61" t="s">
        <v>5</v>
      </c>
      <c r="T183" s="61"/>
      <c r="U183" s="60"/>
      <c r="V183" s="60"/>
      <c r="W183" s="60"/>
      <c r="X183" s="60"/>
    </row>
    <row r="184" spans="1:24" s="1" customFormat="1" ht="33" customHeight="1" x14ac:dyDescent="0.3">
      <c r="A184" s="16">
        <v>6</v>
      </c>
      <c r="B184" s="23">
        <v>4</v>
      </c>
      <c r="C184" s="27" t="str">
        <f t="shared" ref="C184:C210" si="9">IF(B184&lt;10,_xlfn.CONCAT(A184,".0",B184),_xlfn.CONCAT(A184,".",B184))</f>
        <v>6.04</v>
      </c>
      <c r="D184" s="18" t="s">
        <v>270</v>
      </c>
      <c r="E184" s="64" t="str">
        <f>IF(ISBLANK(D184)=TRUE,"",VLOOKUP(D184,Krav!$C:$F,4,FALSE))</f>
        <v xml:space="preserve">6.a.1 - Spørgeskemaet skal afsluttes da den valgte konfiguration ikke understøttes af spørgeskemaet. </v>
      </c>
      <c r="F184" s="29" t="s">
        <v>174</v>
      </c>
      <c r="G184" s="19" t="s">
        <v>230</v>
      </c>
      <c r="H184" s="25" t="s">
        <v>275</v>
      </c>
      <c r="I184" s="67" t="s">
        <v>1368</v>
      </c>
      <c r="J184" s="67" t="s">
        <v>222</v>
      </c>
      <c r="K184" s="123" t="s">
        <v>222</v>
      </c>
      <c r="L184" s="20" t="s">
        <v>4</v>
      </c>
      <c r="M184" s="15" t="s">
        <v>129</v>
      </c>
      <c r="N184" s="61" t="s">
        <v>131</v>
      </c>
      <c r="O184" s="15" t="s">
        <v>129</v>
      </c>
      <c r="P184" s="61" t="s">
        <v>131</v>
      </c>
      <c r="Q184" s="15" t="s">
        <v>129</v>
      </c>
      <c r="R184" s="61" t="s">
        <v>131</v>
      </c>
      <c r="S184" s="61" t="s">
        <v>5</v>
      </c>
      <c r="T184" s="61"/>
      <c r="U184" s="60"/>
      <c r="V184" s="60"/>
      <c r="W184" s="60"/>
      <c r="X184" s="60"/>
    </row>
    <row r="185" spans="1:24" s="1" customFormat="1" ht="33" customHeight="1" x14ac:dyDescent="0.3">
      <c r="A185" s="16">
        <v>6</v>
      </c>
      <c r="B185" s="23">
        <v>5</v>
      </c>
      <c r="C185" s="27" t="str">
        <f t="shared" si="9"/>
        <v>6.05</v>
      </c>
      <c r="D185" s="18" t="s">
        <v>276</v>
      </c>
      <c r="E185" s="64" t="str">
        <f>IF(ISBLANK(D185)=TRUE,"",VLOOKUP(D185,Krav!$C:$F,4,FALSE))</f>
        <v xml:space="preserve">7.a.1 - Spørgeskemaet skal afsluttes da den valgte konfiguration ikke understøttes af spørgeskemaet. </v>
      </c>
      <c r="F185" s="29" t="s">
        <v>174</v>
      </c>
      <c r="G185" s="19" t="s">
        <v>232</v>
      </c>
      <c r="H185" s="25" t="s">
        <v>277</v>
      </c>
      <c r="I185" s="67" t="s">
        <v>1368</v>
      </c>
      <c r="J185" s="67" t="s">
        <v>222</v>
      </c>
      <c r="K185" s="123" t="s">
        <v>222</v>
      </c>
      <c r="L185" s="20" t="s">
        <v>4</v>
      </c>
      <c r="M185" s="61" t="s">
        <v>131</v>
      </c>
      <c r="N185" s="61" t="s">
        <v>129</v>
      </c>
      <c r="O185" s="15" t="s">
        <v>129</v>
      </c>
      <c r="P185" s="61" t="s">
        <v>131</v>
      </c>
      <c r="Q185" s="61" t="s">
        <v>131</v>
      </c>
      <c r="R185" s="61" t="s">
        <v>129</v>
      </c>
      <c r="S185" s="61" t="s">
        <v>5</v>
      </c>
      <c r="T185" s="61"/>
      <c r="U185" s="60"/>
      <c r="V185" s="60"/>
      <c r="W185" s="60"/>
      <c r="X185" s="60"/>
    </row>
    <row r="186" spans="1:24" s="1" customFormat="1" ht="33" customHeight="1" x14ac:dyDescent="0.3">
      <c r="A186" s="16">
        <v>6</v>
      </c>
      <c r="B186" s="23">
        <v>6</v>
      </c>
      <c r="C186" s="27" t="str">
        <f t="shared" si="9"/>
        <v>6.06</v>
      </c>
      <c r="D186" s="18" t="s">
        <v>278</v>
      </c>
      <c r="E186" s="64" t="str">
        <f>IF(ISBLANK(D186)=TRUE,"",VLOOKUP(D186,Krav!$C:$F,4,FALSE))</f>
        <v>7.2 - Såfremt brugeren vælger "Ja" skal brugeres ledes til spørgsmål 7.a</v>
      </c>
      <c r="F186" s="29" t="s">
        <v>174</v>
      </c>
      <c r="G186" s="19" t="s">
        <v>232</v>
      </c>
      <c r="H186" s="25" t="s">
        <v>279</v>
      </c>
      <c r="I186" s="67" t="s">
        <v>1368</v>
      </c>
      <c r="J186" s="67" t="s">
        <v>222</v>
      </c>
      <c r="K186" s="123" t="s">
        <v>222</v>
      </c>
      <c r="L186" s="20" t="s">
        <v>4</v>
      </c>
      <c r="M186" s="61" t="s">
        <v>131</v>
      </c>
      <c r="N186" s="61" t="s">
        <v>129</v>
      </c>
      <c r="O186" s="15" t="s">
        <v>129</v>
      </c>
      <c r="P186" s="61" t="s">
        <v>131</v>
      </c>
      <c r="Q186" s="15" t="s">
        <v>129</v>
      </c>
      <c r="R186" s="61" t="s">
        <v>131</v>
      </c>
      <c r="S186" s="61" t="s">
        <v>5</v>
      </c>
      <c r="T186" s="61"/>
      <c r="U186" s="60"/>
      <c r="V186" s="60"/>
      <c r="W186" s="60"/>
      <c r="X186" s="60"/>
    </row>
    <row r="187" spans="1:24" s="1" customFormat="1" ht="33" customHeight="1" x14ac:dyDescent="0.3">
      <c r="A187" s="16">
        <v>6</v>
      </c>
      <c r="B187" s="23">
        <v>7</v>
      </c>
      <c r="C187" s="27" t="str">
        <f t="shared" si="9"/>
        <v>6.07</v>
      </c>
      <c r="D187" s="18" t="s">
        <v>280</v>
      </c>
      <c r="E187" s="64" t="str">
        <f>IF(ISBLANK(D187)=TRUE,"",VLOOKUP(D187,Krav!$C:$F,4,FALSE))</f>
        <v>8.2 - Såfremt brugeren vælger "Ja" skal brugeres ledes til spørgsmål 8.a</v>
      </c>
      <c r="F187" s="29" t="s">
        <v>174</v>
      </c>
      <c r="G187" s="19" t="s">
        <v>268</v>
      </c>
      <c r="H187" s="25" t="s">
        <v>281</v>
      </c>
      <c r="I187" s="67" t="s">
        <v>1368</v>
      </c>
      <c r="J187" s="67" t="s">
        <v>222</v>
      </c>
      <c r="K187" s="123" t="s">
        <v>222</v>
      </c>
      <c r="L187" s="20" t="s">
        <v>4</v>
      </c>
      <c r="M187" s="61" t="s">
        <v>131</v>
      </c>
      <c r="N187" s="61" t="s">
        <v>129</v>
      </c>
      <c r="O187" s="61" t="s">
        <v>131</v>
      </c>
      <c r="P187" s="61" t="s">
        <v>129</v>
      </c>
      <c r="Q187" s="15" t="s">
        <v>129</v>
      </c>
      <c r="R187" s="61" t="s">
        <v>131</v>
      </c>
      <c r="S187" s="61" t="s">
        <v>5</v>
      </c>
      <c r="T187" s="61"/>
      <c r="U187" s="60"/>
      <c r="V187" s="60"/>
      <c r="W187" s="60"/>
      <c r="X187" s="60"/>
    </row>
    <row r="188" spans="1:24" s="1" customFormat="1" ht="33" customHeight="1" x14ac:dyDescent="0.3">
      <c r="A188" s="16">
        <v>6</v>
      </c>
      <c r="B188" s="23">
        <v>8</v>
      </c>
      <c r="C188" s="27" t="str">
        <f t="shared" si="9"/>
        <v>6.08</v>
      </c>
      <c r="D188" s="18" t="s">
        <v>282</v>
      </c>
      <c r="E188" s="64" t="str">
        <f>IF(ISBLANK(D188)=TRUE,"",VLOOKUP(D188,Krav!$C:$F,4,FALSE))</f>
        <v xml:space="preserve">8.a.1 - Spørgeskemaet skal afsluttes da den valgte konfiguration ikke understøttes af spørgeskemaet. </v>
      </c>
      <c r="F188" s="29" t="s">
        <v>174</v>
      </c>
      <c r="G188" s="19" t="s">
        <v>268</v>
      </c>
      <c r="H188" s="25" t="s">
        <v>281</v>
      </c>
      <c r="I188" s="67" t="s">
        <v>1368</v>
      </c>
      <c r="J188" s="67" t="s">
        <v>222</v>
      </c>
      <c r="K188" s="123" t="s">
        <v>222</v>
      </c>
      <c r="L188" s="20" t="s">
        <v>4</v>
      </c>
      <c r="M188" s="61" t="s">
        <v>131</v>
      </c>
      <c r="N188" s="61" t="s">
        <v>129</v>
      </c>
      <c r="O188" s="61" t="s">
        <v>131</v>
      </c>
      <c r="P188" s="61" t="s">
        <v>129</v>
      </c>
      <c r="Q188" s="15" t="s">
        <v>129</v>
      </c>
      <c r="R188" s="61" t="s">
        <v>131</v>
      </c>
      <c r="S188" s="61" t="s">
        <v>5</v>
      </c>
      <c r="T188" s="61"/>
      <c r="U188" s="60"/>
      <c r="V188" s="60"/>
      <c r="W188" s="60"/>
      <c r="X188" s="60"/>
    </row>
    <row r="189" spans="1:24" s="1" customFormat="1" ht="33" customHeight="1" x14ac:dyDescent="0.3">
      <c r="A189" s="16">
        <v>6</v>
      </c>
      <c r="B189" s="23">
        <v>9</v>
      </c>
      <c r="C189" s="27" t="str">
        <f t="shared" si="9"/>
        <v>6.09</v>
      </c>
      <c r="D189" s="18" t="s">
        <v>283</v>
      </c>
      <c r="E189" s="64" t="str">
        <f>IF(ISBLANK(D189)=TRUE,"",VLOOKUP(D189,Krav!$C:$F,4,FALSE))</f>
        <v>6.3 - Såfremt brugeren vælger "Nej" skal brugeres ledes til spørgsmål 7</v>
      </c>
      <c r="F189" s="53" t="s">
        <v>225</v>
      </c>
      <c r="G189" s="19" t="s">
        <v>231</v>
      </c>
      <c r="H189" s="25" t="s">
        <v>284</v>
      </c>
      <c r="I189" s="67" t="s">
        <v>166</v>
      </c>
      <c r="J189" s="67" t="s">
        <v>222</v>
      </c>
      <c r="K189" s="123" t="s">
        <v>222</v>
      </c>
      <c r="L189" s="20" t="s">
        <v>3</v>
      </c>
      <c r="M189" s="61" t="s">
        <v>131</v>
      </c>
      <c r="N189" s="61" t="s">
        <v>129</v>
      </c>
      <c r="O189" s="61" t="s">
        <v>131</v>
      </c>
      <c r="P189" s="61" t="s">
        <v>129</v>
      </c>
      <c r="Q189" s="61" t="s">
        <v>131</v>
      </c>
      <c r="R189" s="61" t="s">
        <v>129</v>
      </c>
      <c r="S189" s="61" t="s">
        <v>5</v>
      </c>
      <c r="T189" s="61"/>
      <c r="U189" s="60"/>
      <c r="V189" s="60"/>
      <c r="W189" s="60"/>
      <c r="X189" s="60"/>
    </row>
    <row r="190" spans="1:24" s="1" customFormat="1" ht="33" customHeight="1" x14ac:dyDescent="0.3">
      <c r="A190" s="16">
        <v>6</v>
      </c>
      <c r="B190" s="23">
        <v>10</v>
      </c>
      <c r="C190" s="27" t="str">
        <f t="shared" si="9"/>
        <v>6.10</v>
      </c>
      <c r="D190" s="18" t="s">
        <v>285</v>
      </c>
      <c r="E190" s="64" t="str">
        <f>IF(ISBLANK(D190)=TRUE,"",VLOOKUP(D190,Krav!$C:$F,4,FALSE))</f>
        <v>7.3 - Såfremt brugeren vælger "Nej" skal brugeres ledes til spørgsmål 8</v>
      </c>
      <c r="F190" s="53" t="s">
        <v>225</v>
      </c>
      <c r="G190" s="19" t="s">
        <v>267</v>
      </c>
      <c r="H190" s="25" t="s">
        <v>284</v>
      </c>
      <c r="I190" s="67" t="s">
        <v>166</v>
      </c>
      <c r="J190" s="67" t="s">
        <v>222</v>
      </c>
      <c r="K190" s="123" t="s">
        <v>222</v>
      </c>
      <c r="L190" s="20" t="s">
        <v>3</v>
      </c>
      <c r="M190" s="61" t="s">
        <v>131</v>
      </c>
      <c r="N190" s="61" t="s">
        <v>129</v>
      </c>
      <c r="O190" s="61" t="s">
        <v>131</v>
      </c>
      <c r="P190" s="61" t="s">
        <v>129</v>
      </c>
      <c r="Q190" s="61" t="s">
        <v>131</v>
      </c>
      <c r="R190" s="61" t="s">
        <v>129</v>
      </c>
      <c r="S190" s="61" t="s">
        <v>5</v>
      </c>
      <c r="T190" s="61"/>
      <c r="U190" s="60"/>
      <c r="V190" s="60"/>
      <c r="W190" s="60"/>
      <c r="X190" s="60"/>
    </row>
    <row r="191" spans="1:24" s="1" customFormat="1" ht="33" customHeight="1" x14ac:dyDescent="0.3">
      <c r="A191" s="16">
        <v>6</v>
      </c>
      <c r="B191" s="23">
        <v>11</v>
      </c>
      <c r="C191" s="27" t="str">
        <f t="shared" si="9"/>
        <v>6.11</v>
      </c>
      <c r="D191" s="18" t="s">
        <v>286</v>
      </c>
      <c r="E191" s="64" t="str">
        <f>IF(ISBLANK(D191)=TRUE,"",VLOOKUP(D191,Krav!$C:$F,4,FALSE))</f>
        <v>8.3 - Såfremt brugeren vælger "Nej" skal brugeres ledes til spørgsmål 9</v>
      </c>
      <c r="F191" s="53" t="s">
        <v>225</v>
      </c>
      <c r="G191" s="19" t="s">
        <v>269</v>
      </c>
      <c r="H191" s="25" t="s">
        <v>284</v>
      </c>
      <c r="I191" s="67" t="s">
        <v>166</v>
      </c>
      <c r="J191" s="67" t="s">
        <v>222</v>
      </c>
      <c r="K191" s="123" t="s">
        <v>222</v>
      </c>
      <c r="L191" s="20" t="s">
        <v>3</v>
      </c>
      <c r="M191" s="61" t="s">
        <v>131</v>
      </c>
      <c r="N191" s="61" t="s">
        <v>129</v>
      </c>
      <c r="O191" s="61" t="s">
        <v>131</v>
      </c>
      <c r="P191" s="61" t="s">
        <v>129</v>
      </c>
      <c r="Q191" s="61" t="s">
        <v>131</v>
      </c>
      <c r="R191" s="61" t="s">
        <v>129</v>
      </c>
      <c r="S191" s="61" t="s">
        <v>5</v>
      </c>
      <c r="T191" s="61"/>
      <c r="U191" s="60"/>
      <c r="V191" s="60"/>
      <c r="W191" s="60"/>
      <c r="X191" s="60"/>
    </row>
    <row r="192" spans="1:24" s="1" customFormat="1" ht="33" customHeight="1" x14ac:dyDescent="0.3">
      <c r="A192" s="16">
        <v>6</v>
      </c>
      <c r="B192" s="23">
        <v>12</v>
      </c>
      <c r="C192" s="27" t="str">
        <f t="shared" si="9"/>
        <v>6.12</v>
      </c>
      <c r="D192" s="18" t="s">
        <v>286</v>
      </c>
      <c r="E192" s="64" t="str">
        <f>IF(ISBLANK(D192)=TRUE,"",VLOOKUP(D192,Krav!$C:$F,4,FALSE))</f>
        <v>8.3 - Såfremt brugeren vælger "Nej" skal brugeres ledes til spørgsmål 9</v>
      </c>
      <c r="F192" s="53" t="s">
        <v>143</v>
      </c>
      <c r="G192" s="19"/>
      <c r="H192" s="25" t="s">
        <v>287</v>
      </c>
      <c r="I192" s="65" t="s">
        <v>293</v>
      </c>
      <c r="J192" s="67" t="s">
        <v>222</v>
      </c>
      <c r="K192" s="123" t="s">
        <v>222</v>
      </c>
      <c r="L192" s="20" t="s">
        <v>3</v>
      </c>
      <c r="M192" s="61" t="s">
        <v>131</v>
      </c>
      <c r="N192" s="61" t="s">
        <v>129</v>
      </c>
      <c r="O192" s="61" t="s">
        <v>131</v>
      </c>
      <c r="P192" s="61" t="s">
        <v>129</v>
      </c>
      <c r="Q192" s="61" t="s">
        <v>131</v>
      </c>
      <c r="R192" s="61" t="s">
        <v>129</v>
      </c>
      <c r="S192" s="61" t="s">
        <v>5</v>
      </c>
      <c r="T192" s="61"/>
      <c r="U192" s="60"/>
      <c r="V192" s="60"/>
      <c r="W192" s="60"/>
      <c r="X192" s="60"/>
    </row>
    <row r="193" spans="1:24" s="1" customFormat="1" ht="33" customHeight="1" x14ac:dyDescent="0.3">
      <c r="A193" s="16">
        <v>6</v>
      </c>
      <c r="B193" s="23">
        <v>13</v>
      </c>
      <c r="C193" s="27" t="str">
        <f t="shared" si="9"/>
        <v>6.13</v>
      </c>
      <c r="D193" s="18"/>
      <c r="E193" s="64" t="str">
        <f>IF(ISBLANK(D193)=TRUE,"",VLOOKUP(D193,Krav!$C:$F,4,FALSE))</f>
        <v/>
      </c>
      <c r="F193" s="19" t="s">
        <v>185</v>
      </c>
      <c r="G193" s="19"/>
      <c r="H193" s="25" t="s">
        <v>288</v>
      </c>
      <c r="I193" s="65" t="s">
        <v>146</v>
      </c>
      <c r="J193" s="67" t="s">
        <v>222</v>
      </c>
      <c r="K193" s="123" t="s">
        <v>222</v>
      </c>
      <c r="L193" s="20" t="s">
        <v>3</v>
      </c>
      <c r="M193" s="61"/>
      <c r="N193" s="61"/>
      <c r="O193" s="61"/>
      <c r="P193" s="61"/>
      <c r="Q193" s="61"/>
      <c r="R193" s="61"/>
      <c r="S193" s="61" t="s">
        <v>5</v>
      </c>
      <c r="T193" s="61"/>
      <c r="U193" s="60"/>
      <c r="V193" s="60"/>
      <c r="W193" s="60"/>
      <c r="X193" s="60"/>
    </row>
    <row r="194" spans="1:24" s="1" customFormat="1" ht="33" customHeight="1" x14ac:dyDescent="0.3">
      <c r="A194" s="16">
        <v>6</v>
      </c>
      <c r="B194" s="23">
        <v>14</v>
      </c>
      <c r="C194" s="27" t="str">
        <f t="shared" si="9"/>
        <v>6.14</v>
      </c>
      <c r="D194" s="18"/>
      <c r="E194" s="64" t="str">
        <f>IF(ISBLANK(D194)=TRUE,"",VLOOKUP(D194,Krav!$C:$F,4,FALSE))</f>
        <v/>
      </c>
      <c r="F194" s="91" t="s">
        <v>418</v>
      </c>
      <c r="G194" s="91" t="s">
        <v>1364</v>
      </c>
      <c r="H194" s="81" t="s">
        <v>1365</v>
      </c>
      <c r="I194" s="91" t="s">
        <v>129</v>
      </c>
      <c r="J194" s="67" t="s">
        <v>222</v>
      </c>
      <c r="K194" s="123" t="s">
        <v>222</v>
      </c>
      <c r="L194" s="20" t="s">
        <v>3</v>
      </c>
      <c r="M194" s="61"/>
      <c r="N194" s="61"/>
      <c r="O194" s="61"/>
      <c r="P194" s="61"/>
      <c r="Q194" s="61"/>
      <c r="R194" s="61"/>
      <c r="S194" s="61" t="s">
        <v>5</v>
      </c>
      <c r="T194" s="61"/>
      <c r="U194" s="60"/>
      <c r="V194" s="60"/>
      <c r="W194" s="60"/>
      <c r="X194" s="60"/>
    </row>
    <row r="195" spans="1:24" s="165" customFormat="1" ht="33" customHeight="1" x14ac:dyDescent="0.3">
      <c r="A195" s="16">
        <v>6</v>
      </c>
      <c r="B195" s="23">
        <v>15</v>
      </c>
      <c r="C195" s="27" t="str">
        <f t="shared" si="9"/>
        <v>6.15</v>
      </c>
      <c r="D195" s="18" t="s">
        <v>282</v>
      </c>
      <c r="E195" s="64" t="str">
        <f>IF(ISBLANK(D195)=TRUE,"",VLOOKUP(D195,Krav!$C:$F,4,FALSE))</f>
        <v xml:space="preserve">8.a.1 - Spørgeskemaet skal afsluttes da den valgte konfiguration ikke understøttes af spørgeskemaet. </v>
      </c>
      <c r="F195" s="53" t="s">
        <v>224</v>
      </c>
      <c r="G195" s="19" t="s">
        <v>231</v>
      </c>
      <c r="H195" s="64" t="s">
        <v>289</v>
      </c>
      <c r="I195" s="66" t="s">
        <v>129</v>
      </c>
      <c r="J195" s="67" t="s">
        <v>222</v>
      </c>
      <c r="K195" s="163" t="s">
        <v>222</v>
      </c>
      <c r="L195" s="164" t="s">
        <v>3</v>
      </c>
      <c r="M195" s="61" t="s">
        <v>131</v>
      </c>
      <c r="N195" s="61" t="s">
        <v>129</v>
      </c>
      <c r="O195" s="61" t="s">
        <v>131</v>
      </c>
      <c r="P195" s="61" t="s">
        <v>131</v>
      </c>
      <c r="Q195" s="61" t="s">
        <v>131</v>
      </c>
      <c r="R195" s="61" t="s">
        <v>131</v>
      </c>
      <c r="S195" s="61" t="s">
        <v>5</v>
      </c>
      <c r="T195" s="61"/>
      <c r="U195" s="60"/>
      <c r="V195" s="60"/>
      <c r="W195" s="60"/>
      <c r="X195" s="60"/>
    </row>
    <row r="196" spans="1:24" s="1" customFormat="1" ht="33" customHeight="1" x14ac:dyDescent="0.3">
      <c r="A196" s="16">
        <v>6</v>
      </c>
      <c r="B196" s="23">
        <v>16</v>
      </c>
      <c r="C196" s="27" t="str">
        <f t="shared" si="9"/>
        <v>6.16</v>
      </c>
      <c r="D196" s="18" t="s">
        <v>282</v>
      </c>
      <c r="E196" s="64" t="str">
        <f>IF(ISBLANK(D196)=TRUE,"",VLOOKUP(D196,Krav!$C:$F,4,FALSE))</f>
        <v xml:space="preserve">8.a.1 - Spørgeskemaet skal afsluttes da den valgte konfiguration ikke understøttes af spørgeskemaet. </v>
      </c>
      <c r="F196" s="53" t="s">
        <v>224</v>
      </c>
      <c r="G196" s="19" t="s">
        <v>267</v>
      </c>
      <c r="H196" s="64" t="s">
        <v>290</v>
      </c>
      <c r="I196" s="66" t="s">
        <v>129</v>
      </c>
      <c r="J196" s="67" t="s">
        <v>222</v>
      </c>
      <c r="K196" s="123" t="s">
        <v>222</v>
      </c>
      <c r="L196" s="20" t="s">
        <v>3</v>
      </c>
      <c r="M196" s="61" t="s">
        <v>131</v>
      </c>
      <c r="N196" s="61" t="s">
        <v>131</v>
      </c>
      <c r="O196" s="61" t="s">
        <v>131</v>
      </c>
      <c r="P196" s="61" t="s">
        <v>129</v>
      </c>
      <c r="Q196" s="61" t="s">
        <v>131</v>
      </c>
      <c r="R196" s="61" t="s">
        <v>131</v>
      </c>
      <c r="S196" s="61" t="s">
        <v>5</v>
      </c>
      <c r="T196" s="61"/>
      <c r="U196" s="60"/>
      <c r="V196" s="60"/>
      <c r="W196" s="60"/>
      <c r="X196" s="60"/>
    </row>
    <row r="197" spans="1:24" s="1" customFormat="1" ht="33" customHeight="1" x14ac:dyDescent="0.3">
      <c r="A197" s="16">
        <v>6</v>
      </c>
      <c r="B197" s="23">
        <v>17</v>
      </c>
      <c r="C197" s="27" t="str">
        <f t="shared" si="9"/>
        <v>6.17</v>
      </c>
      <c r="D197" s="18" t="s">
        <v>282</v>
      </c>
      <c r="E197" s="64" t="str">
        <f>IF(ISBLANK(D197)=TRUE,"",VLOOKUP(D197,Krav!$C:$F,4,FALSE))</f>
        <v xml:space="preserve">8.a.1 - Spørgeskemaet skal afsluttes da den valgte konfiguration ikke understøttes af spørgeskemaet. </v>
      </c>
      <c r="F197" s="53" t="s">
        <v>224</v>
      </c>
      <c r="G197" s="19" t="s">
        <v>269</v>
      </c>
      <c r="H197" s="64" t="s">
        <v>291</v>
      </c>
      <c r="I197" s="66" t="s">
        <v>129</v>
      </c>
      <c r="J197" s="67" t="s">
        <v>222</v>
      </c>
      <c r="K197" s="123" t="s">
        <v>222</v>
      </c>
      <c r="L197" s="20" t="s">
        <v>3</v>
      </c>
      <c r="M197" s="61" t="s">
        <v>131</v>
      </c>
      <c r="N197" s="61" t="s">
        <v>131</v>
      </c>
      <c r="O197" s="61" t="s">
        <v>131</v>
      </c>
      <c r="P197" s="61" t="s">
        <v>131</v>
      </c>
      <c r="Q197" s="61" t="s">
        <v>131</v>
      </c>
      <c r="R197" s="61" t="s">
        <v>129</v>
      </c>
      <c r="S197" s="61" t="s">
        <v>5</v>
      </c>
      <c r="T197" s="61"/>
      <c r="U197" s="60"/>
      <c r="V197" s="60"/>
      <c r="W197" s="60"/>
      <c r="X197" s="60"/>
    </row>
    <row r="198" spans="1:24" s="1" customFormat="1" ht="33" customHeight="1" x14ac:dyDescent="0.3">
      <c r="A198" s="16">
        <v>6</v>
      </c>
      <c r="B198" s="23">
        <v>18</v>
      </c>
      <c r="C198" s="27" t="str">
        <f t="shared" si="9"/>
        <v>6.18</v>
      </c>
      <c r="D198" s="18" t="s">
        <v>282</v>
      </c>
      <c r="E198" s="64" t="str">
        <f>IF(ISBLANK(D198)=TRUE,"",VLOOKUP(D198,Krav!$C:$F,4,FALSE))</f>
        <v xml:space="preserve">8.a.1 - Spørgeskemaet skal afsluttes da den valgte konfiguration ikke understøttes af spørgeskemaet. </v>
      </c>
      <c r="F198" s="53" t="s">
        <v>224</v>
      </c>
      <c r="G198" s="19" t="s">
        <v>230</v>
      </c>
      <c r="H198" s="64" t="s">
        <v>292</v>
      </c>
      <c r="I198" s="66" t="s">
        <v>131</v>
      </c>
      <c r="J198" s="67" t="s">
        <v>222</v>
      </c>
      <c r="K198" s="123" t="s">
        <v>222</v>
      </c>
      <c r="L198" s="20" t="s">
        <v>3</v>
      </c>
      <c r="M198" s="61"/>
      <c r="N198" s="61"/>
      <c r="O198" s="61"/>
      <c r="P198" s="61"/>
      <c r="Q198" s="61"/>
      <c r="R198" s="61"/>
      <c r="S198" s="61" t="s">
        <v>5</v>
      </c>
      <c r="T198" s="61"/>
      <c r="U198" s="60"/>
      <c r="V198" s="60"/>
      <c r="W198" s="60"/>
      <c r="X198" s="60"/>
    </row>
    <row r="199" spans="1:24" s="1" customFormat="1" ht="33" customHeight="1" x14ac:dyDescent="0.3">
      <c r="A199" s="16">
        <v>6</v>
      </c>
      <c r="B199" s="23">
        <v>19</v>
      </c>
      <c r="C199" s="27" t="str">
        <f t="shared" si="9"/>
        <v>6.19</v>
      </c>
      <c r="D199" s="18" t="s">
        <v>282</v>
      </c>
      <c r="E199" s="64" t="str">
        <f>IF(ISBLANK(D199)=TRUE,"",VLOOKUP(D199,Krav!$C:$F,4,FALSE))</f>
        <v xml:space="preserve">8.a.1 - Spørgeskemaet skal afsluttes da den valgte konfiguration ikke understøttes af spørgeskemaet. </v>
      </c>
      <c r="F199" s="53" t="s">
        <v>224</v>
      </c>
      <c r="G199" s="19" t="s">
        <v>231</v>
      </c>
      <c r="H199" s="64" t="s">
        <v>292</v>
      </c>
      <c r="I199" s="66" t="s">
        <v>131</v>
      </c>
      <c r="J199" s="67" t="s">
        <v>222</v>
      </c>
      <c r="K199" s="123" t="s">
        <v>222</v>
      </c>
      <c r="L199" s="20" t="s">
        <v>3</v>
      </c>
      <c r="M199" s="61"/>
      <c r="N199" s="61"/>
      <c r="O199" s="61"/>
      <c r="P199" s="61"/>
      <c r="Q199" s="61"/>
      <c r="R199" s="61"/>
      <c r="S199" s="61" t="s">
        <v>5</v>
      </c>
      <c r="T199" s="61"/>
      <c r="U199" s="60"/>
      <c r="V199" s="60"/>
      <c r="W199" s="60"/>
      <c r="X199" s="60"/>
    </row>
    <row r="200" spans="1:24" s="1" customFormat="1" ht="33" customHeight="1" x14ac:dyDescent="0.3">
      <c r="A200" s="16">
        <v>6</v>
      </c>
      <c r="B200" s="23">
        <v>20</v>
      </c>
      <c r="C200" s="27" t="str">
        <f t="shared" si="9"/>
        <v>6.20</v>
      </c>
      <c r="D200" s="18" t="s">
        <v>282</v>
      </c>
      <c r="E200" s="64" t="str">
        <f>IF(ISBLANK(D200)=TRUE,"",VLOOKUP(D200,Krav!$C:$F,4,FALSE))</f>
        <v xml:space="preserve">8.a.1 - Spørgeskemaet skal afsluttes da den valgte konfiguration ikke understøttes af spørgeskemaet. </v>
      </c>
      <c r="F200" s="53" t="s">
        <v>224</v>
      </c>
      <c r="G200" s="19" t="s">
        <v>232</v>
      </c>
      <c r="H200" s="64" t="s">
        <v>292</v>
      </c>
      <c r="I200" s="66" t="s">
        <v>131</v>
      </c>
      <c r="J200" s="67" t="s">
        <v>222</v>
      </c>
      <c r="K200" s="123" t="s">
        <v>222</v>
      </c>
      <c r="L200" s="20" t="s">
        <v>3</v>
      </c>
      <c r="M200" s="61"/>
      <c r="N200" s="61"/>
      <c r="O200" s="61"/>
      <c r="P200" s="61"/>
      <c r="Q200" s="61"/>
      <c r="R200" s="61"/>
      <c r="S200" s="61" t="s">
        <v>5</v>
      </c>
      <c r="T200" s="61"/>
      <c r="U200" s="60"/>
      <c r="V200" s="60"/>
      <c r="W200" s="60"/>
      <c r="X200" s="60"/>
    </row>
    <row r="201" spans="1:24" s="1" customFormat="1" ht="33" customHeight="1" x14ac:dyDescent="0.3">
      <c r="A201" s="16">
        <v>6</v>
      </c>
      <c r="B201" s="23">
        <v>21</v>
      </c>
      <c r="C201" s="27" t="str">
        <f t="shared" si="9"/>
        <v>6.21</v>
      </c>
      <c r="D201" s="18" t="s">
        <v>282</v>
      </c>
      <c r="E201" s="64" t="str">
        <f>IF(ISBLANK(D201)=TRUE,"",VLOOKUP(D201,Krav!$C:$F,4,FALSE))</f>
        <v xml:space="preserve">8.a.1 - Spørgeskemaet skal afsluttes da den valgte konfiguration ikke understøttes af spørgeskemaet. </v>
      </c>
      <c r="F201" s="53" t="s">
        <v>224</v>
      </c>
      <c r="G201" s="19" t="s">
        <v>267</v>
      </c>
      <c r="H201" s="64" t="s">
        <v>292</v>
      </c>
      <c r="I201" s="66" t="s">
        <v>131</v>
      </c>
      <c r="J201" s="67" t="s">
        <v>222</v>
      </c>
      <c r="K201" s="123" t="s">
        <v>222</v>
      </c>
      <c r="L201" s="20" t="s">
        <v>3</v>
      </c>
      <c r="M201" s="61"/>
      <c r="N201" s="61"/>
      <c r="O201" s="61"/>
      <c r="P201" s="61"/>
      <c r="Q201" s="61"/>
      <c r="R201" s="61"/>
      <c r="S201" s="61" t="s">
        <v>5</v>
      </c>
      <c r="T201" s="61"/>
      <c r="U201" s="60"/>
      <c r="V201" s="60"/>
      <c r="W201" s="60"/>
      <c r="X201" s="60"/>
    </row>
    <row r="202" spans="1:24" s="1" customFormat="1" ht="33" customHeight="1" x14ac:dyDescent="0.3">
      <c r="A202" s="16">
        <v>6</v>
      </c>
      <c r="B202" s="23">
        <v>22</v>
      </c>
      <c r="C202" s="27" t="str">
        <f t="shared" si="9"/>
        <v>6.22</v>
      </c>
      <c r="D202" s="18" t="s">
        <v>282</v>
      </c>
      <c r="E202" s="64" t="str">
        <f>IF(ISBLANK(D202)=TRUE,"",VLOOKUP(D202,Krav!$C:$F,4,FALSE))</f>
        <v xml:space="preserve">8.a.1 - Spørgeskemaet skal afsluttes da den valgte konfiguration ikke understøttes af spørgeskemaet. </v>
      </c>
      <c r="F202" s="76" t="s">
        <v>224</v>
      </c>
      <c r="G202" s="19" t="s">
        <v>268</v>
      </c>
      <c r="H202" s="64" t="s">
        <v>292</v>
      </c>
      <c r="I202" s="66" t="s">
        <v>131</v>
      </c>
      <c r="J202" s="67" t="s">
        <v>222</v>
      </c>
      <c r="K202" s="123" t="s">
        <v>222</v>
      </c>
      <c r="L202" s="20" t="s">
        <v>3</v>
      </c>
      <c r="M202" s="60"/>
      <c r="N202" s="60"/>
      <c r="O202" s="60"/>
      <c r="P202" s="60"/>
      <c r="Q202" s="60"/>
      <c r="R202" s="60"/>
      <c r="S202" s="60" t="s">
        <v>5</v>
      </c>
      <c r="T202" s="60"/>
      <c r="U202" s="60"/>
      <c r="V202" s="60"/>
      <c r="W202" s="60"/>
      <c r="X202" s="60"/>
    </row>
    <row r="203" spans="1:24" s="89" customFormat="1" ht="33" customHeight="1" x14ac:dyDescent="0.3">
      <c r="A203" s="16">
        <v>6</v>
      </c>
      <c r="B203" s="23">
        <v>23</v>
      </c>
      <c r="C203" s="27" t="str">
        <f t="shared" si="9"/>
        <v>6.23</v>
      </c>
      <c r="D203" s="12" t="s">
        <v>282</v>
      </c>
      <c r="E203" s="64" t="str">
        <f>IF(ISBLANK(D203)=TRUE,"",VLOOKUP(D203,Krav!$C:$F,4,FALSE))</f>
        <v xml:space="preserve">8.a.1 - Spørgeskemaet skal afsluttes da den valgte konfiguration ikke understøttes af spørgeskemaet. </v>
      </c>
      <c r="F203" s="85" t="s">
        <v>224</v>
      </c>
      <c r="G203" s="12" t="s">
        <v>269</v>
      </c>
      <c r="H203" s="84" t="s">
        <v>292</v>
      </c>
      <c r="I203" s="86" t="s">
        <v>131</v>
      </c>
      <c r="J203" s="87" t="s">
        <v>222</v>
      </c>
      <c r="K203" s="128" t="s">
        <v>222</v>
      </c>
      <c r="L203" s="4" t="s">
        <v>3</v>
      </c>
      <c r="M203" s="61"/>
      <c r="N203" s="61"/>
      <c r="O203" s="61"/>
      <c r="P203" s="61"/>
      <c r="Q203" s="61"/>
      <c r="R203" s="61"/>
      <c r="S203" s="61" t="s">
        <v>5</v>
      </c>
      <c r="T203" s="61"/>
      <c r="U203" s="61"/>
      <c r="V203" s="61"/>
      <c r="W203" s="61"/>
      <c r="X203" s="61"/>
    </row>
    <row r="204" spans="1:24" s="89" customFormat="1" ht="33" customHeight="1" x14ac:dyDescent="0.3">
      <c r="A204" s="16">
        <v>6</v>
      </c>
      <c r="B204" s="23">
        <v>24</v>
      </c>
      <c r="C204" s="27" t="str">
        <f t="shared" si="9"/>
        <v>6.24</v>
      </c>
      <c r="D204" s="12"/>
      <c r="E204" s="64" t="str">
        <f>IF(ISBLANK(D204)=TRUE,"",VLOOKUP(D204,Krav!$C:$F,4,FALSE))</f>
        <v/>
      </c>
      <c r="F204" s="91" t="s">
        <v>418</v>
      </c>
      <c r="G204" s="92" t="s">
        <v>445</v>
      </c>
      <c r="H204" s="91" t="s">
        <v>451</v>
      </c>
      <c r="I204" s="93" t="s">
        <v>129</v>
      </c>
      <c r="J204" s="94" t="s">
        <v>222</v>
      </c>
      <c r="K204" s="128" t="s">
        <v>222</v>
      </c>
      <c r="L204" s="4" t="s">
        <v>3</v>
      </c>
      <c r="M204" s="61" t="s">
        <v>131</v>
      </c>
      <c r="N204" s="61" t="s">
        <v>129</v>
      </c>
      <c r="O204" s="61" t="s">
        <v>131</v>
      </c>
      <c r="P204" s="61" t="s">
        <v>129</v>
      </c>
      <c r="Q204" s="61" t="s">
        <v>131</v>
      </c>
      <c r="R204" s="61" t="s">
        <v>129</v>
      </c>
      <c r="S204" s="61" t="s">
        <v>5</v>
      </c>
      <c r="T204" s="61"/>
      <c r="U204" s="61"/>
      <c r="V204" s="61"/>
      <c r="W204" s="61"/>
      <c r="X204" s="61"/>
    </row>
    <row r="205" spans="1:24" s="89" customFormat="1" ht="33" customHeight="1" x14ac:dyDescent="0.3">
      <c r="A205" s="16">
        <v>6</v>
      </c>
      <c r="B205" s="23">
        <v>25</v>
      </c>
      <c r="C205" s="27" t="str">
        <f t="shared" si="9"/>
        <v>6.25</v>
      </c>
      <c r="D205" s="12"/>
      <c r="E205" s="64" t="str">
        <f>IF(ISBLANK(D205)=TRUE,"",VLOOKUP(D205,Krav!$C:$F,4,FALSE))</f>
        <v/>
      </c>
      <c r="F205" s="91" t="s">
        <v>418</v>
      </c>
      <c r="G205" s="92" t="s">
        <v>445</v>
      </c>
      <c r="H205" s="91" t="s">
        <v>451</v>
      </c>
      <c r="I205" s="93" t="s">
        <v>129</v>
      </c>
      <c r="J205" s="94" t="s">
        <v>222</v>
      </c>
      <c r="K205" s="128" t="s">
        <v>222</v>
      </c>
      <c r="L205" s="4" t="s">
        <v>3</v>
      </c>
      <c r="M205" s="15" t="s">
        <v>129</v>
      </c>
      <c r="N205" s="61" t="s">
        <v>131</v>
      </c>
      <c r="O205" s="61" t="s">
        <v>131</v>
      </c>
      <c r="P205" s="61" t="s">
        <v>129</v>
      </c>
      <c r="Q205" s="61" t="s">
        <v>131</v>
      </c>
      <c r="R205" s="61" t="s">
        <v>129</v>
      </c>
      <c r="S205" s="61" t="s">
        <v>5</v>
      </c>
      <c r="T205" s="61"/>
      <c r="U205" s="61"/>
      <c r="V205" s="61"/>
      <c r="W205" s="61"/>
      <c r="X205" s="61"/>
    </row>
    <row r="206" spans="1:24" s="89" customFormat="1" ht="33" customHeight="1" x14ac:dyDescent="0.3">
      <c r="A206" s="16">
        <v>6</v>
      </c>
      <c r="B206" s="23">
        <v>26</v>
      </c>
      <c r="C206" s="27" t="str">
        <f t="shared" si="9"/>
        <v>6.26</v>
      </c>
      <c r="D206" s="12"/>
      <c r="E206" s="64" t="str">
        <f>IF(ISBLANK(D206)=TRUE,"",VLOOKUP(D206,Krav!$C:$F,4,FALSE))</f>
        <v/>
      </c>
      <c r="F206" s="91" t="s">
        <v>418</v>
      </c>
      <c r="G206" s="92" t="s">
        <v>445</v>
      </c>
      <c r="H206" s="91" t="s">
        <v>451</v>
      </c>
      <c r="I206" s="93" t="s">
        <v>129</v>
      </c>
      <c r="J206" s="94" t="s">
        <v>222</v>
      </c>
      <c r="K206" s="128" t="s">
        <v>222</v>
      </c>
      <c r="L206" s="4" t="s">
        <v>3</v>
      </c>
      <c r="M206" s="15" t="s">
        <v>129</v>
      </c>
      <c r="N206" s="61" t="s">
        <v>131</v>
      </c>
      <c r="O206" s="15" t="s">
        <v>129</v>
      </c>
      <c r="P206" s="61" t="s">
        <v>131</v>
      </c>
      <c r="Q206" s="61" t="s">
        <v>131</v>
      </c>
      <c r="R206" s="61" t="s">
        <v>129</v>
      </c>
      <c r="S206" s="61" t="s">
        <v>5</v>
      </c>
      <c r="T206" s="61"/>
      <c r="U206" s="61"/>
      <c r="V206" s="61"/>
      <c r="W206" s="61"/>
      <c r="X206" s="61"/>
    </row>
    <row r="207" spans="1:24" s="89" customFormat="1" ht="33" customHeight="1" x14ac:dyDescent="0.3">
      <c r="A207" s="16">
        <v>6</v>
      </c>
      <c r="B207" s="23">
        <v>27</v>
      </c>
      <c r="C207" s="27" t="str">
        <f t="shared" si="9"/>
        <v>6.27</v>
      </c>
      <c r="D207" s="12"/>
      <c r="E207" s="64" t="str">
        <f>IF(ISBLANK(D207)=TRUE,"",VLOOKUP(D207,Krav!$C:$F,4,FALSE))</f>
        <v/>
      </c>
      <c r="F207" s="91" t="s">
        <v>418</v>
      </c>
      <c r="G207" s="92" t="s">
        <v>445</v>
      </c>
      <c r="H207" s="91" t="s">
        <v>451</v>
      </c>
      <c r="I207" s="93" t="s">
        <v>129</v>
      </c>
      <c r="J207" s="94" t="s">
        <v>222</v>
      </c>
      <c r="K207" s="128" t="s">
        <v>222</v>
      </c>
      <c r="L207" s="4" t="s">
        <v>3</v>
      </c>
      <c r="M207" s="15" t="s">
        <v>129</v>
      </c>
      <c r="N207" s="61" t="s">
        <v>131</v>
      </c>
      <c r="O207" s="61" t="s">
        <v>131</v>
      </c>
      <c r="P207" s="61" t="s">
        <v>129</v>
      </c>
      <c r="Q207" s="15" t="s">
        <v>129</v>
      </c>
      <c r="R207" s="61" t="s">
        <v>131</v>
      </c>
      <c r="S207" s="61" t="s">
        <v>5</v>
      </c>
      <c r="T207" s="61"/>
      <c r="U207" s="61"/>
      <c r="V207" s="61"/>
      <c r="W207" s="61"/>
      <c r="X207" s="61"/>
    </row>
    <row r="208" spans="1:24" s="89" customFormat="1" ht="33" customHeight="1" x14ac:dyDescent="0.3">
      <c r="A208" s="16">
        <v>6</v>
      </c>
      <c r="B208" s="23">
        <v>28</v>
      </c>
      <c r="C208" s="27" t="str">
        <f t="shared" si="9"/>
        <v>6.28</v>
      </c>
      <c r="D208" s="12"/>
      <c r="E208" s="64" t="str">
        <f>IF(ISBLANK(D208)=TRUE,"",VLOOKUP(D208,Krav!$C:$F,4,FALSE))</f>
        <v/>
      </c>
      <c r="F208" s="91" t="s">
        <v>418</v>
      </c>
      <c r="G208" s="92" t="s">
        <v>445</v>
      </c>
      <c r="H208" s="91" t="s">
        <v>451</v>
      </c>
      <c r="I208" s="93" t="s">
        <v>129</v>
      </c>
      <c r="J208" s="94" t="s">
        <v>222</v>
      </c>
      <c r="K208" s="128" t="s">
        <v>222</v>
      </c>
      <c r="L208" s="4" t="s">
        <v>3</v>
      </c>
      <c r="M208" s="61" t="s">
        <v>131</v>
      </c>
      <c r="N208" s="61" t="s">
        <v>129</v>
      </c>
      <c r="O208" s="15" t="s">
        <v>129</v>
      </c>
      <c r="P208" s="61" t="s">
        <v>131</v>
      </c>
      <c r="Q208" s="61" t="s">
        <v>131</v>
      </c>
      <c r="R208" s="61" t="s">
        <v>131</v>
      </c>
      <c r="S208" s="61" t="s">
        <v>5</v>
      </c>
      <c r="T208" s="61"/>
      <c r="U208" s="61"/>
      <c r="V208" s="61"/>
      <c r="W208" s="61"/>
      <c r="X208" s="61"/>
    </row>
    <row r="209" spans="1:24" s="89" customFormat="1" ht="33" customHeight="1" x14ac:dyDescent="0.3">
      <c r="A209" s="16">
        <v>6</v>
      </c>
      <c r="B209" s="23">
        <v>29</v>
      </c>
      <c r="C209" s="27" t="str">
        <f t="shared" si="9"/>
        <v>6.29</v>
      </c>
      <c r="D209" s="12"/>
      <c r="E209" s="64" t="str">
        <f>IF(ISBLANK(D209)=TRUE,"",VLOOKUP(D209,Krav!$C:$F,4,FALSE))</f>
        <v/>
      </c>
      <c r="F209" s="91" t="s">
        <v>418</v>
      </c>
      <c r="G209" s="92" t="s">
        <v>445</v>
      </c>
      <c r="H209" s="91" t="s">
        <v>451</v>
      </c>
      <c r="I209" s="93" t="s">
        <v>129</v>
      </c>
      <c r="J209" s="94" t="s">
        <v>222</v>
      </c>
      <c r="K209" s="128" t="s">
        <v>222</v>
      </c>
      <c r="L209" s="4" t="s">
        <v>3</v>
      </c>
      <c r="M209" s="61" t="s">
        <v>131</v>
      </c>
      <c r="N209" s="61" t="s">
        <v>129</v>
      </c>
      <c r="O209" s="15" t="s">
        <v>129</v>
      </c>
      <c r="P209" s="61" t="s">
        <v>131</v>
      </c>
      <c r="Q209" s="15" t="s">
        <v>129</v>
      </c>
      <c r="R209" s="61" t="s">
        <v>131</v>
      </c>
      <c r="S209" s="61" t="s">
        <v>5</v>
      </c>
      <c r="T209" s="61"/>
      <c r="U209" s="61"/>
      <c r="V209" s="61"/>
      <c r="W209" s="61"/>
      <c r="X209" s="61"/>
    </row>
    <row r="210" spans="1:24" s="89" customFormat="1" ht="33" customHeight="1" x14ac:dyDescent="0.3">
      <c r="A210" s="16">
        <v>6</v>
      </c>
      <c r="B210" s="23">
        <v>30</v>
      </c>
      <c r="C210" s="27" t="str">
        <f t="shared" si="9"/>
        <v>6.30</v>
      </c>
      <c r="D210" s="12"/>
      <c r="E210" s="64" t="str">
        <f>IF(ISBLANK(D210)=TRUE,"",VLOOKUP(D210,Krav!$C:$F,4,FALSE))</f>
        <v/>
      </c>
      <c r="F210" s="91" t="s">
        <v>418</v>
      </c>
      <c r="G210" s="92" t="s">
        <v>445</v>
      </c>
      <c r="H210" s="91" t="s">
        <v>451</v>
      </c>
      <c r="I210" s="93" t="s">
        <v>129</v>
      </c>
      <c r="J210" s="94" t="s">
        <v>222</v>
      </c>
      <c r="K210" s="128" t="s">
        <v>222</v>
      </c>
      <c r="L210" s="4" t="s">
        <v>3</v>
      </c>
      <c r="M210" s="61" t="s">
        <v>131</v>
      </c>
      <c r="N210" s="61" t="s">
        <v>129</v>
      </c>
      <c r="O210" s="61" t="s">
        <v>131</v>
      </c>
      <c r="P210" s="61" t="s">
        <v>129</v>
      </c>
      <c r="Q210" s="15" t="s">
        <v>129</v>
      </c>
      <c r="R210" s="61" t="s">
        <v>131</v>
      </c>
      <c r="S210" s="61" t="s">
        <v>5</v>
      </c>
      <c r="T210" s="61"/>
      <c r="U210" s="61"/>
      <c r="V210" s="61"/>
      <c r="W210" s="61"/>
      <c r="X210" s="61"/>
    </row>
    <row r="211" spans="1:24" s="57" customFormat="1" ht="16.5" customHeight="1" x14ac:dyDescent="0.3">
      <c r="A211" s="2"/>
      <c r="B211" s="2"/>
      <c r="C211" s="3"/>
      <c r="D211" s="3"/>
      <c r="E211" s="9"/>
      <c r="F211" s="9"/>
      <c r="G211" s="3"/>
      <c r="H211" s="10"/>
      <c r="I211" s="1"/>
      <c r="J211" s="1"/>
      <c r="K211" s="1"/>
      <c r="L211" s="3"/>
      <c r="M211" s="3"/>
      <c r="N211" s="3"/>
      <c r="O211" s="3"/>
      <c r="P211" s="3"/>
      <c r="Q211" s="3"/>
      <c r="R211" s="3"/>
      <c r="S211" s="3"/>
      <c r="T211" s="3"/>
    </row>
    <row r="212" spans="1:24" s="57" customFormat="1" ht="16.5" customHeight="1" x14ac:dyDescent="0.3">
      <c r="E212" s="5"/>
      <c r="F212" s="5"/>
      <c r="H212" s="5"/>
      <c r="M212" s="58" t="s">
        <v>294</v>
      </c>
      <c r="N212" s="58" t="s">
        <v>295</v>
      </c>
      <c r="O212" s="58" t="s">
        <v>26</v>
      </c>
      <c r="P212" s="58"/>
      <c r="Q212" s="58"/>
      <c r="R212" s="58" t="s">
        <v>8</v>
      </c>
      <c r="S212" s="58" t="s">
        <v>8</v>
      </c>
      <c r="T212" s="58" t="s">
        <v>8</v>
      </c>
      <c r="U212" s="58" t="s">
        <v>8</v>
      </c>
      <c r="V212" s="58" t="s">
        <v>8</v>
      </c>
      <c r="W212" s="58" t="s">
        <v>8</v>
      </c>
      <c r="X212" s="58" t="s">
        <v>8</v>
      </c>
    </row>
    <row r="213" spans="1:24" s="57" customFormat="1" ht="14.4" x14ac:dyDescent="0.3">
      <c r="E213" s="5"/>
      <c r="F213" s="5"/>
      <c r="H213" s="5"/>
      <c r="M213" s="58" t="s">
        <v>21</v>
      </c>
      <c r="N213" s="58" t="s">
        <v>21</v>
      </c>
      <c r="O213" s="58" t="s">
        <v>21</v>
      </c>
      <c r="P213" s="58" t="s">
        <v>12</v>
      </c>
      <c r="Q213" s="58"/>
      <c r="R213" s="58" t="s">
        <v>11</v>
      </c>
      <c r="S213" s="58" t="s">
        <v>11</v>
      </c>
      <c r="T213" s="58" t="s">
        <v>11</v>
      </c>
      <c r="U213" s="58" t="s">
        <v>11</v>
      </c>
      <c r="V213" s="58" t="s">
        <v>11</v>
      </c>
      <c r="W213" s="58" t="s">
        <v>11</v>
      </c>
      <c r="X213" s="58" t="s">
        <v>11</v>
      </c>
    </row>
    <row r="214" spans="1:24" s="1" customFormat="1" ht="15" customHeight="1" x14ac:dyDescent="0.3">
      <c r="A214" s="50" t="s">
        <v>6</v>
      </c>
      <c r="B214" s="51" t="s">
        <v>7</v>
      </c>
      <c r="C214" s="31" t="s">
        <v>0</v>
      </c>
      <c r="D214" s="31" t="s">
        <v>22</v>
      </c>
      <c r="E214" s="52" t="s">
        <v>99</v>
      </c>
      <c r="F214" s="52" t="s">
        <v>216</v>
      </c>
      <c r="G214" s="31" t="s">
        <v>217</v>
      </c>
      <c r="H214" s="52" t="s">
        <v>28</v>
      </c>
      <c r="I214" s="31" t="s">
        <v>218</v>
      </c>
      <c r="J214" s="31" t="s">
        <v>219</v>
      </c>
      <c r="K214" s="31" t="s">
        <v>220</v>
      </c>
      <c r="L214" s="31" t="s">
        <v>1</v>
      </c>
      <c r="M214" s="62" t="s">
        <v>230</v>
      </c>
      <c r="N214" s="62" t="s">
        <v>231</v>
      </c>
      <c r="O214" s="62" t="s">
        <v>232</v>
      </c>
      <c r="P214" s="62" t="s">
        <v>234</v>
      </c>
      <c r="Q214" s="62" t="s">
        <v>233</v>
      </c>
      <c r="R214" s="26" t="s">
        <v>9</v>
      </c>
      <c r="S214" s="26" t="s">
        <v>9</v>
      </c>
      <c r="T214" s="26" t="s">
        <v>9</v>
      </c>
      <c r="U214" s="26" t="s">
        <v>9</v>
      </c>
      <c r="V214" s="26" t="s">
        <v>9</v>
      </c>
      <c r="W214" s="26" t="s">
        <v>9</v>
      </c>
      <c r="X214" s="26" t="s">
        <v>108</v>
      </c>
    </row>
    <row r="215" spans="1:24" s="1" customFormat="1" ht="33" customHeight="1" x14ac:dyDescent="0.3">
      <c r="A215" s="16">
        <v>7</v>
      </c>
      <c r="B215" s="23">
        <v>1</v>
      </c>
      <c r="C215" s="27" t="str">
        <f t="shared" ref="C215:C255" si="10">IF(B215&lt;10,_xlfn.CONCAT(A215,".0",B215),_xlfn.CONCAT(A215,".",B215))</f>
        <v>7.01</v>
      </c>
      <c r="D215" s="18" t="s">
        <v>296</v>
      </c>
      <c r="E215" s="64" t="str">
        <f>IF(ISBLANK(D215)=TRUE,"",VLOOKUP(D215,Krav!$C:$F,4,FALSE))</f>
        <v>9.2 - Såfremt brugeren vælger "Altid" skal brugeren ledes til spørgsmål 9.a</v>
      </c>
      <c r="F215" s="53" t="s">
        <v>225</v>
      </c>
      <c r="G215" s="19" t="s">
        <v>230</v>
      </c>
      <c r="H215" s="25" t="s">
        <v>284</v>
      </c>
      <c r="I215" s="67" t="s">
        <v>294</v>
      </c>
      <c r="J215" s="67" t="s">
        <v>222</v>
      </c>
      <c r="K215" s="123" t="s">
        <v>222</v>
      </c>
      <c r="L215" s="20" t="s">
        <v>3</v>
      </c>
      <c r="M215" s="61" t="s">
        <v>129</v>
      </c>
      <c r="N215" s="61" t="s">
        <v>131</v>
      </c>
      <c r="O215" s="61" t="s">
        <v>131</v>
      </c>
      <c r="P215" s="61"/>
      <c r="Q215" s="61" t="s">
        <v>5</v>
      </c>
      <c r="R215" s="61"/>
      <c r="S215" s="61"/>
      <c r="T215" s="61"/>
      <c r="U215" s="60"/>
      <c r="V215" s="60"/>
      <c r="W215" s="60"/>
      <c r="X215" s="60"/>
    </row>
    <row r="216" spans="1:24" s="1" customFormat="1" ht="33" customHeight="1" x14ac:dyDescent="0.3">
      <c r="A216" s="16">
        <v>7</v>
      </c>
      <c r="B216" s="23">
        <v>2</v>
      </c>
      <c r="C216" s="27" t="str">
        <f t="shared" si="10"/>
        <v>7.02</v>
      </c>
      <c r="D216" s="18" t="s">
        <v>296</v>
      </c>
      <c r="E216" s="64" t="str">
        <f>IF(ISBLANK(D216)=TRUE,"",VLOOKUP(D216,Krav!$C:$F,4,FALSE))</f>
        <v>9.2 - Såfremt brugeren vælger "Altid" skal brugeren ledes til spørgsmål 9.a</v>
      </c>
      <c r="F216" s="53" t="s">
        <v>143</v>
      </c>
      <c r="G216" s="19"/>
      <c r="H216" s="25" t="s">
        <v>297</v>
      </c>
      <c r="I216" s="67" t="s">
        <v>298</v>
      </c>
      <c r="J216" s="67" t="s">
        <v>222</v>
      </c>
      <c r="K216" s="123" t="s">
        <v>222</v>
      </c>
      <c r="L216" s="20" t="s">
        <v>3</v>
      </c>
      <c r="M216" s="61" t="s">
        <v>129</v>
      </c>
      <c r="N216" s="61" t="s">
        <v>131</v>
      </c>
      <c r="O216" s="61" t="s">
        <v>131</v>
      </c>
      <c r="P216" s="61"/>
      <c r="Q216" s="61" t="s">
        <v>5</v>
      </c>
      <c r="R216" s="61"/>
      <c r="S216" s="61"/>
      <c r="T216" s="61"/>
      <c r="U216" s="60"/>
      <c r="V216" s="60"/>
      <c r="W216" s="60"/>
      <c r="X216" s="60"/>
    </row>
    <row r="217" spans="1:24" s="1" customFormat="1" ht="33" customHeight="1" x14ac:dyDescent="0.3">
      <c r="A217" s="16">
        <v>7</v>
      </c>
      <c r="B217" s="23">
        <v>3</v>
      </c>
      <c r="C217" s="27" t="str">
        <f t="shared" si="10"/>
        <v>7.03</v>
      </c>
      <c r="D217" s="18" t="s">
        <v>299</v>
      </c>
      <c r="E217" s="64" t="str">
        <f>IF(ISBLANK(D217)=TRUE,"",VLOOKUP(D217,Krav!$C:$F,4,FALSE))</f>
        <v>9.3 - Såfremt brugeren vælger "I visse tilfælde" skal brugeren ledes til spørgsmål 9.b</v>
      </c>
      <c r="F217" s="53" t="s">
        <v>225</v>
      </c>
      <c r="G217" s="19" t="s">
        <v>231</v>
      </c>
      <c r="H217" s="25" t="s">
        <v>284</v>
      </c>
      <c r="I217" s="67" t="s">
        <v>295</v>
      </c>
      <c r="J217" s="67" t="s">
        <v>222</v>
      </c>
      <c r="K217" s="123" t="s">
        <v>222</v>
      </c>
      <c r="L217" s="20" t="s">
        <v>3</v>
      </c>
      <c r="M217" s="61" t="s">
        <v>131</v>
      </c>
      <c r="N217" s="61" t="s">
        <v>129</v>
      </c>
      <c r="O217" s="61" t="s">
        <v>131</v>
      </c>
      <c r="P217" s="61"/>
      <c r="Q217" s="61" t="s">
        <v>5</v>
      </c>
      <c r="R217" s="61"/>
      <c r="S217" s="61"/>
      <c r="T217" s="61"/>
      <c r="U217" s="60"/>
      <c r="V217" s="60"/>
      <c r="W217" s="60"/>
      <c r="X217" s="60"/>
    </row>
    <row r="218" spans="1:24" s="1" customFormat="1" ht="33" customHeight="1" x14ac:dyDescent="0.3">
      <c r="A218" s="16">
        <v>7</v>
      </c>
      <c r="B218" s="23">
        <v>4</v>
      </c>
      <c r="C218" s="27" t="str">
        <f t="shared" si="10"/>
        <v>7.04</v>
      </c>
      <c r="D218" s="18" t="s">
        <v>299</v>
      </c>
      <c r="E218" s="64" t="str">
        <f>IF(ISBLANK(D218)=TRUE,"",VLOOKUP(D218,Krav!$C:$F,4,FALSE))</f>
        <v>9.3 - Såfremt brugeren vælger "I visse tilfælde" skal brugeren ledes til spørgsmål 9.b</v>
      </c>
      <c r="F218" s="53" t="s">
        <v>143</v>
      </c>
      <c r="G218" s="53"/>
      <c r="H218" s="25" t="s">
        <v>300</v>
      </c>
      <c r="I218" s="67" t="s">
        <v>301</v>
      </c>
      <c r="J218" s="67" t="s">
        <v>222</v>
      </c>
      <c r="K218" s="123" t="s">
        <v>222</v>
      </c>
      <c r="L218" s="20" t="s">
        <v>3</v>
      </c>
      <c r="M218" s="61" t="s">
        <v>131</v>
      </c>
      <c r="N218" s="61" t="s">
        <v>129</v>
      </c>
      <c r="O218" s="61" t="s">
        <v>131</v>
      </c>
      <c r="P218" s="61"/>
      <c r="Q218" s="61" t="s">
        <v>5</v>
      </c>
      <c r="R218" s="61"/>
      <c r="S218" s="61"/>
      <c r="T218" s="61"/>
      <c r="U218" s="60"/>
      <c r="V218" s="60"/>
      <c r="W218" s="60"/>
      <c r="X218" s="60"/>
    </row>
    <row r="219" spans="1:24" s="1" customFormat="1" ht="33" customHeight="1" x14ac:dyDescent="0.3">
      <c r="A219" s="16">
        <v>7</v>
      </c>
      <c r="B219" s="23">
        <v>5</v>
      </c>
      <c r="C219" s="27" t="str">
        <f t="shared" si="10"/>
        <v>7.05</v>
      </c>
      <c r="D219" s="18" t="s">
        <v>302</v>
      </c>
      <c r="E219" s="64" t="str">
        <f>IF(ISBLANK(D219)=TRUE,"",VLOOKUP(D219,Krav!$C:$F,4,FALSE))</f>
        <v>9.4 - Såfremt brugeren vælger "Aldrig" skal brugeren ledes til spørgsmål 9.c</v>
      </c>
      <c r="F219" s="53" t="s">
        <v>225</v>
      </c>
      <c r="G219" s="19" t="s">
        <v>232</v>
      </c>
      <c r="H219" s="25" t="s">
        <v>284</v>
      </c>
      <c r="I219" s="67" t="s">
        <v>303</v>
      </c>
      <c r="J219" s="67" t="s">
        <v>222</v>
      </c>
      <c r="K219" s="123" t="s">
        <v>222</v>
      </c>
      <c r="L219" s="20" t="s">
        <v>3</v>
      </c>
      <c r="M219" s="61" t="s">
        <v>131</v>
      </c>
      <c r="N219" s="61" t="s">
        <v>131</v>
      </c>
      <c r="O219" s="61" t="s">
        <v>129</v>
      </c>
      <c r="P219" s="61"/>
      <c r="Q219" s="61" t="s">
        <v>5</v>
      </c>
      <c r="R219" s="61"/>
      <c r="S219" s="61"/>
      <c r="T219" s="61"/>
      <c r="U219" s="60"/>
      <c r="V219" s="60"/>
      <c r="W219" s="60"/>
      <c r="X219" s="60"/>
    </row>
    <row r="220" spans="1:24" s="1" customFormat="1" ht="33" customHeight="1" x14ac:dyDescent="0.3">
      <c r="A220" s="16">
        <v>7</v>
      </c>
      <c r="B220" s="23">
        <v>6</v>
      </c>
      <c r="C220" s="27" t="str">
        <f t="shared" si="10"/>
        <v>7.06</v>
      </c>
      <c r="D220" s="18" t="s">
        <v>302</v>
      </c>
      <c r="E220" s="64" t="str">
        <f>IF(ISBLANK(D220)=TRUE,"",VLOOKUP(D220,Krav!$C:$F,4,FALSE))</f>
        <v>9.4 - Såfremt brugeren vælger "Aldrig" skal brugeren ledes til spørgsmål 9.c</v>
      </c>
      <c r="F220" s="53" t="s">
        <v>143</v>
      </c>
      <c r="G220" s="19"/>
      <c r="H220" s="25" t="s">
        <v>304</v>
      </c>
      <c r="I220" s="67" t="s">
        <v>305</v>
      </c>
      <c r="J220" s="67" t="s">
        <v>222</v>
      </c>
      <c r="K220" s="123" t="s">
        <v>222</v>
      </c>
      <c r="L220" s="20" t="s">
        <v>3</v>
      </c>
      <c r="M220" s="61" t="s">
        <v>131</v>
      </c>
      <c r="N220" s="61" t="s">
        <v>131</v>
      </c>
      <c r="O220" s="61" t="s">
        <v>129</v>
      </c>
      <c r="P220" s="61"/>
      <c r="Q220" s="61" t="s">
        <v>5</v>
      </c>
      <c r="R220" s="61"/>
      <c r="S220" s="61"/>
      <c r="T220" s="61"/>
      <c r="U220" s="60"/>
      <c r="V220" s="60"/>
      <c r="W220" s="60"/>
      <c r="X220" s="60"/>
    </row>
    <row r="221" spans="1:24" s="1" customFormat="1" ht="33" customHeight="1" x14ac:dyDescent="0.3">
      <c r="A221" s="16">
        <v>7</v>
      </c>
      <c r="B221" s="23">
        <v>7</v>
      </c>
      <c r="C221" s="27" t="str">
        <f t="shared" si="10"/>
        <v>7.07</v>
      </c>
      <c r="D221" s="18" t="s">
        <v>306</v>
      </c>
      <c r="E221" s="64" t="str">
        <f>IF(ISBLANK(D221)=TRUE,"",VLOOKUP(D221,Krav!$C:$F,4,FALSE))</f>
        <v xml:space="preserve">9.c.1 - Der angives et ”NEJ” i populationen under ”Stoler RIM på fordringshavers forældelsesdato” </v>
      </c>
      <c r="F221" s="53" t="s">
        <v>225</v>
      </c>
      <c r="G221" s="19" t="s">
        <v>232</v>
      </c>
      <c r="H221" s="25" t="s">
        <v>284</v>
      </c>
      <c r="I221" s="67" t="s">
        <v>303</v>
      </c>
      <c r="J221" s="67" t="s">
        <v>222</v>
      </c>
      <c r="K221" s="123" t="s">
        <v>222</v>
      </c>
      <c r="L221" s="20" t="s">
        <v>3</v>
      </c>
      <c r="M221" s="61" t="s">
        <v>131</v>
      </c>
      <c r="N221" s="61" t="s">
        <v>131</v>
      </c>
      <c r="O221" s="61" t="s">
        <v>129</v>
      </c>
      <c r="P221" s="61"/>
      <c r="Q221" s="61" t="s">
        <v>5</v>
      </c>
      <c r="R221" s="61"/>
      <c r="S221" s="61"/>
      <c r="T221" s="61"/>
      <c r="U221" s="60"/>
      <c r="V221" s="60"/>
      <c r="W221" s="60"/>
      <c r="X221" s="60"/>
    </row>
    <row r="222" spans="1:24" s="1" customFormat="1" ht="33" customHeight="1" x14ac:dyDescent="0.3">
      <c r="A222" s="16">
        <v>7</v>
      </c>
      <c r="B222" s="23">
        <v>8</v>
      </c>
      <c r="C222" s="27" t="str">
        <f t="shared" si="10"/>
        <v>7.08</v>
      </c>
      <c r="D222" s="18" t="s">
        <v>306</v>
      </c>
      <c r="E222" s="64" t="str">
        <f>IF(ISBLANK(D222)=TRUE,"",VLOOKUP(D222,Krav!$C:$F,4,FALSE))</f>
        <v xml:space="preserve">9.c.1 - Der angives et ”NEJ” i populationen under ”Stoler RIM på fordringshavers forældelsesdato” </v>
      </c>
      <c r="F222" s="53" t="s">
        <v>221</v>
      </c>
      <c r="G222" s="19" t="s">
        <v>232</v>
      </c>
      <c r="H222" s="25" t="s">
        <v>307</v>
      </c>
      <c r="I222" s="67" t="s">
        <v>241</v>
      </c>
      <c r="J222" s="67" t="s">
        <v>222</v>
      </c>
      <c r="K222" s="123" t="s">
        <v>222</v>
      </c>
      <c r="L222" s="20" t="s">
        <v>3</v>
      </c>
      <c r="M222" s="61" t="s">
        <v>131</v>
      </c>
      <c r="N222" s="61" t="s">
        <v>131</v>
      </c>
      <c r="O222" s="61" t="s">
        <v>129</v>
      </c>
      <c r="P222" s="61"/>
      <c r="Q222" s="61" t="s">
        <v>5</v>
      </c>
      <c r="R222" s="61"/>
      <c r="S222" s="61"/>
      <c r="T222" s="61"/>
      <c r="U222" s="60"/>
      <c r="V222" s="60"/>
      <c r="W222" s="60"/>
      <c r="X222" s="60"/>
    </row>
    <row r="223" spans="1:24" s="1" customFormat="1" ht="33" customHeight="1" x14ac:dyDescent="0.3">
      <c r="A223" s="16">
        <v>7</v>
      </c>
      <c r="B223" s="23">
        <v>9</v>
      </c>
      <c r="C223" s="27" t="str">
        <f t="shared" si="10"/>
        <v>7.09</v>
      </c>
      <c r="D223" s="18" t="s">
        <v>309</v>
      </c>
      <c r="E223" s="64" t="str">
        <f>IF(ISBLANK(D223)=TRUE,"",VLOOKUP(D223,Krav!$C:$F,4,FALSE))</f>
        <v>9.c.2 - Regel R0042 skal aktiveres</v>
      </c>
      <c r="F223" s="53" t="s">
        <v>226</v>
      </c>
      <c r="G223" s="19" t="s">
        <v>308</v>
      </c>
      <c r="H223" s="25" t="s">
        <v>310</v>
      </c>
      <c r="I223" s="67" t="s">
        <v>240</v>
      </c>
      <c r="J223" s="67" t="s">
        <v>222</v>
      </c>
      <c r="K223" s="123" t="s">
        <v>222</v>
      </c>
      <c r="L223" s="20" t="s">
        <v>3</v>
      </c>
      <c r="M223" s="61" t="s">
        <v>131</v>
      </c>
      <c r="N223" s="61" t="s">
        <v>131</v>
      </c>
      <c r="O223" s="61" t="s">
        <v>129</v>
      </c>
      <c r="P223" s="61" t="s">
        <v>311</v>
      </c>
      <c r="Q223" s="61" t="s">
        <v>5</v>
      </c>
      <c r="R223" s="61"/>
      <c r="S223" s="61"/>
      <c r="T223" s="61"/>
      <c r="U223" s="60"/>
      <c r="V223" s="60"/>
      <c r="W223" s="60"/>
      <c r="X223" s="60"/>
    </row>
    <row r="224" spans="1:24" s="1" customFormat="1" ht="33" customHeight="1" x14ac:dyDescent="0.3">
      <c r="A224" s="16">
        <v>7</v>
      </c>
      <c r="B224" s="23">
        <v>10</v>
      </c>
      <c r="C224" s="27" t="str">
        <f t="shared" si="10"/>
        <v>7.10</v>
      </c>
      <c r="D224" s="18" t="s">
        <v>312</v>
      </c>
      <c r="E224" s="64" t="str">
        <f>IF(ISBLANK(D224)=TRUE,"",VLOOKUP(D224,Krav!$C:$F,4,FALSE))</f>
        <v>9.c.3 - Regel R0042's Varighed X skal sættes til blank</v>
      </c>
      <c r="F224" s="53" t="s">
        <v>226</v>
      </c>
      <c r="G224" s="19" t="s">
        <v>313</v>
      </c>
      <c r="H224" s="25" t="s">
        <v>310</v>
      </c>
      <c r="I224" s="67" t="s">
        <v>96</v>
      </c>
      <c r="J224" s="67" t="s">
        <v>222</v>
      </c>
      <c r="K224" s="123" t="s">
        <v>222</v>
      </c>
      <c r="L224" s="20" t="s">
        <v>3</v>
      </c>
      <c r="M224" s="61" t="s">
        <v>131</v>
      </c>
      <c r="N224" s="61" t="s">
        <v>131</v>
      </c>
      <c r="O224" s="61" t="s">
        <v>129</v>
      </c>
      <c r="P224" s="61" t="s">
        <v>311</v>
      </c>
      <c r="Q224" s="61" t="s">
        <v>5</v>
      </c>
      <c r="R224" s="61"/>
      <c r="S224" s="61"/>
      <c r="T224" s="61"/>
      <c r="U224" s="60"/>
      <c r="V224" s="60"/>
      <c r="W224" s="60"/>
      <c r="X224" s="60"/>
    </row>
    <row r="225" spans="1:24" s="1" customFormat="1" ht="33" customHeight="1" x14ac:dyDescent="0.3">
      <c r="A225" s="16">
        <v>7</v>
      </c>
      <c r="B225" s="23">
        <v>11</v>
      </c>
      <c r="C225" s="27" t="str">
        <f t="shared" si="10"/>
        <v>7.11</v>
      </c>
      <c r="D225" s="18" t="s">
        <v>312</v>
      </c>
      <c r="E225" s="64" t="str">
        <f>IF(ISBLANK(D225)=TRUE,"",VLOOKUP(D225,Krav!$C:$F,4,FALSE))</f>
        <v>9.c.3 - Regel R0042's Varighed X skal sættes til blank</v>
      </c>
      <c r="F225" s="53" t="s">
        <v>226</v>
      </c>
      <c r="G225" s="19" t="s">
        <v>314</v>
      </c>
      <c r="H225" s="25" t="s">
        <v>310</v>
      </c>
      <c r="I225" s="67" t="s">
        <v>96</v>
      </c>
      <c r="J225" s="67" t="s">
        <v>222</v>
      </c>
      <c r="K225" s="123" t="s">
        <v>222</v>
      </c>
      <c r="L225" s="20" t="s">
        <v>3</v>
      </c>
      <c r="M225" s="61" t="s">
        <v>131</v>
      </c>
      <c r="N225" s="61" t="s">
        <v>131</v>
      </c>
      <c r="O225" s="61" t="s">
        <v>129</v>
      </c>
      <c r="P225" s="61" t="s">
        <v>311</v>
      </c>
      <c r="Q225" s="61" t="s">
        <v>5</v>
      </c>
      <c r="R225" s="61"/>
      <c r="S225" s="61"/>
      <c r="T225" s="61"/>
      <c r="U225" s="60"/>
      <c r="V225" s="60"/>
      <c r="W225" s="60"/>
      <c r="X225" s="60"/>
    </row>
    <row r="226" spans="1:24" s="1" customFormat="1" ht="33" customHeight="1" x14ac:dyDescent="0.3">
      <c r="A226" s="16">
        <v>7</v>
      </c>
      <c r="B226" s="23">
        <v>12</v>
      </c>
      <c r="C226" s="27" t="str">
        <f t="shared" si="10"/>
        <v>7.12</v>
      </c>
      <c r="D226" s="18" t="s">
        <v>312</v>
      </c>
      <c r="E226" s="64" t="str">
        <f>IF(ISBLANK(D226)=TRUE,"",VLOOKUP(D226,Krav!$C:$F,4,FALSE))</f>
        <v>9.c.3 - Regel R0042's Varighed X skal sættes til blank</v>
      </c>
      <c r="F226" s="53" t="s">
        <v>226</v>
      </c>
      <c r="G226" s="19" t="s">
        <v>315</v>
      </c>
      <c r="H226" s="25" t="s">
        <v>310</v>
      </c>
      <c r="I226" s="67" t="s">
        <v>96</v>
      </c>
      <c r="J226" s="67" t="s">
        <v>222</v>
      </c>
      <c r="K226" s="123" t="s">
        <v>222</v>
      </c>
      <c r="L226" s="20" t="s">
        <v>3</v>
      </c>
      <c r="M226" s="61" t="s">
        <v>131</v>
      </c>
      <c r="N226" s="61" t="s">
        <v>131</v>
      </c>
      <c r="O226" s="61" t="s">
        <v>129</v>
      </c>
      <c r="P226" s="61" t="s">
        <v>311</v>
      </c>
      <c r="Q226" s="61" t="s">
        <v>5</v>
      </c>
      <c r="R226" s="61"/>
      <c r="S226" s="61"/>
      <c r="T226" s="61"/>
      <c r="U226" s="60"/>
      <c r="V226" s="60"/>
      <c r="W226" s="60"/>
      <c r="X226" s="60"/>
    </row>
    <row r="227" spans="1:24" s="1" customFormat="1" ht="33" customHeight="1" x14ac:dyDescent="0.3">
      <c r="A227" s="16">
        <v>7</v>
      </c>
      <c r="B227" s="23">
        <v>13</v>
      </c>
      <c r="C227" s="27" t="str">
        <f t="shared" si="10"/>
        <v>7.13</v>
      </c>
      <c r="D227" s="18" t="s">
        <v>316</v>
      </c>
      <c r="E227" s="64" t="str">
        <f>IF(ISBLANK(D227)=TRUE,"",VLOOKUP(D227,Krav!$C:$F,4,FALSE))</f>
        <v>9.c.4 - Regel R0043 skal aktiveres</v>
      </c>
      <c r="F227" s="53" t="s">
        <v>226</v>
      </c>
      <c r="G227" s="19" t="s">
        <v>308</v>
      </c>
      <c r="H227" s="25" t="s">
        <v>310</v>
      </c>
      <c r="I227" s="67" t="s">
        <v>240</v>
      </c>
      <c r="J227" s="67" t="s">
        <v>222</v>
      </c>
      <c r="K227" s="123" t="s">
        <v>222</v>
      </c>
      <c r="L227" s="20" t="s">
        <v>3</v>
      </c>
      <c r="M227" s="61" t="s">
        <v>131</v>
      </c>
      <c r="N227" s="61" t="s">
        <v>131</v>
      </c>
      <c r="O227" s="61" t="s">
        <v>129</v>
      </c>
      <c r="P227" s="61" t="s">
        <v>317</v>
      </c>
      <c r="Q227" s="61" t="s">
        <v>5</v>
      </c>
      <c r="R227" s="61"/>
      <c r="S227" s="61"/>
      <c r="T227" s="61"/>
      <c r="U227" s="60"/>
      <c r="V227" s="60"/>
      <c r="W227" s="60"/>
      <c r="X227" s="60"/>
    </row>
    <row r="228" spans="1:24" s="1" customFormat="1" ht="33" customHeight="1" x14ac:dyDescent="0.3">
      <c r="A228" s="16">
        <v>7</v>
      </c>
      <c r="B228" s="23">
        <v>14</v>
      </c>
      <c r="C228" s="27" t="str">
        <f t="shared" si="10"/>
        <v>7.14</v>
      </c>
      <c r="D228" s="18" t="s">
        <v>318</v>
      </c>
      <c r="E228" s="64" t="str">
        <f>IF(ISBLANK(D228)=TRUE,"",VLOOKUP(D228,Krav!$C:$F,4,FALSE))</f>
        <v>9.c.5 - Regel R0043's Varighed X skal sættes til blank</v>
      </c>
      <c r="F228" s="53" t="s">
        <v>226</v>
      </c>
      <c r="G228" s="19" t="s">
        <v>313</v>
      </c>
      <c r="H228" s="25" t="s">
        <v>310</v>
      </c>
      <c r="I228" s="67" t="s">
        <v>96</v>
      </c>
      <c r="J228" s="67" t="s">
        <v>222</v>
      </c>
      <c r="K228" s="123" t="s">
        <v>222</v>
      </c>
      <c r="L228" s="20" t="s">
        <v>3</v>
      </c>
      <c r="M228" s="61" t="s">
        <v>131</v>
      </c>
      <c r="N228" s="61" t="s">
        <v>131</v>
      </c>
      <c r="O228" s="61" t="s">
        <v>129</v>
      </c>
      <c r="P228" s="61" t="s">
        <v>317</v>
      </c>
      <c r="Q228" s="61" t="s">
        <v>5</v>
      </c>
      <c r="R228" s="61"/>
      <c r="S228" s="61"/>
      <c r="T228" s="61"/>
      <c r="U228" s="60"/>
      <c r="V228" s="60"/>
      <c r="W228" s="60"/>
      <c r="X228" s="60"/>
    </row>
    <row r="229" spans="1:24" s="1" customFormat="1" ht="33" customHeight="1" x14ac:dyDescent="0.3">
      <c r="A229" s="16">
        <v>7</v>
      </c>
      <c r="B229" s="23">
        <v>15</v>
      </c>
      <c r="C229" s="27" t="str">
        <f t="shared" si="10"/>
        <v>7.15</v>
      </c>
      <c r="D229" s="18" t="s">
        <v>318</v>
      </c>
      <c r="E229" s="64" t="str">
        <f>IF(ISBLANK(D229)=TRUE,"",VLOOKUP(D229,Krav!$C:$F,4,FALSE))</f>
        <v>9.c.5 - Regel R0043's Varighed X skal sættes til blank</v>
      </c>
      <c r="F229" s="53" t="s">
        <v>226</v>
      </c>
      <c r="G229" s="19" t="s">
        <v>314</v>
      </c>
      <c r="H229" s="25" t="s">
        <v>310</v>
      </c>
      <c r="I229" s="67" t="s">
        <v>96</v>
      </c>
      <c r="J229" s="67" t="s">
        <v>222</v>
      </c>
      <c r="K229" s="123" t="s">
        <v>222</v>
      </c>
      <c r="L229" s="20" t="s">
        <v>3</v>
      </c>
      <c r="M229" s="61" t="s">
        <v>131</v>
      </c>
      <c r="N229" s="61" t="s">
        <v>131</v>
      </c>
      <c r="O229" s="61" t="s">
        <v>129</v>
      </c>
      <c r="P229" s="61" t="s">
        <v>317</v>
      </c>
      <c r="Q229" s="61" t="s">
        <v>5</v>
      </c>
      <c r="R229" s="61"/>
      <c r="S229" s="61"/>
      <c r="T229" s="61"/>
      <c r="U229" s="60"/>
      <c r="V229" s="60"/>
      <c r="W229" s="60"/>
      <c r="X229" s="60"/>
    </row>
    <row r="230" spans="1:24" s="1" customFormat="1" ht="33" customHeight="1" x14ac:dyDescent="0.3">
      <c r="A230" s="16">
        <v>7</v>
      </c>
      <c r="B230" s="23">
        <v>16</v>
      </c>
      <c r="C230" s="27" t="str">
        <f t="shared" si="10"/>
        <v>7.16</v>
      </c>
      <c r="D230" s="18" t="s">
        <v>318</v>
      </c>
      <c r="E230" s="64" t="str">
        <f>IF(ISBLANK(D230)=TRUE,"",VLOOKUP(D230,Krav!$C:$F,4,FALSE))</f>
        <v>9.c.5 - Regel R0043's Varighed X skal sættes til blank</v>
      </c>
      <c r="F230" s="53" t="s">
        <v>226</v>
      </c>
      <c r="G230" s="19" t="s">
        <v>315</v>
      </c>
      <c r="H230" s="25" t="s">
        <v>310</v>
      </c>
      <c r="I230" s="67" t="s">
        <v>96</v>
      </c>
      <c r="J230" s="67" t="s">
        <v>222</v>
      </c>
      <c r="K230" s="123" t="s">
        <v>222</v>
      </c>
      <c r="L230" s="20" t="s">
        <v>3</v>
      </c>
      <c r="M230" s="61" t="s">
        <v>131</v>
      </c>
      <c r="N230" s="61" t="s">
        <v>131</v>
      </c>
      <c r="O230" s="61" t="s">
        <v>129</v>
      </c>
      <c r="P230" s="61" t="s">
        <v>317</v>
      </c>
      <c r="Q230" s="61" t="s">
        <v>5</v>
      </c>
      <c r="R230" s="61"/>
      <c r="S230" s="61"/>
      <c r="T230" s="61"/>
      <c r="U230" s="60"/>
      <c r="V230" s="60"/>
      <c r="W230" s="60"/>
      <c r="X230" s="60"/>
    </row>
    <row r="231" spans="1:24" s="1" customFormat="1" ht="33" customHeight="1" x14ac:dyDescent="0.3">
      <c r="A231" s="16">
        <v>7</v>
      </c>
      <c r="B231" s="23">
        <v>17</v>
      </c>
      <c r="C231" s="27" t="str">
        <f t="shared" si="10"/>
        <v>7.17</v>
      </c>
      <c r="D231" s="18" t="s">
        <v>319</v>
      </c>
      <c r="E231" s="64" t="str">
        <f>IF(ISBLANK(D231)=TRUE,"",VLOOKUP(D231,Krav!$C:$F,4,FALSE))</f>
        <v>9.c.6 - Regel R0044 skal aktiveres</v>
      </c>
      <c r="F231" s="53" t="s">
        <v>226</v>
      </c>
      <c r="G231" s="19" t="s">
        <v>308</v>
      </c>
      <c r="H231" s="25" t="s">
        <v>310</v>
      </c>
      <c r="I231" s="67" t="s">
        <v>240</v>
      </c>
      <c r="J231" s="67" t="s">
        <v>222</v>
      </c>
      <c r="K231" s="123" t="s">
        <v>222</v>
      </c>
      <c r="L231" s="20" t="s">
        <v>3</v>
      </c>
      <c r="M231" s="61" t="s">
        <v>131</v>
      </c>
      <c r="N231" s="61" t="s">
        <v>131</v>
      </c>
      <c r="O231" s="61" t="s">
        <v>129</v>
      </c>
      <c r="P231" s="61" t="s">
        <v>320</v>
      </c>
      <c r="Q231" s="61" t="s">
        <v>5</v>
      </c>
      <c r="R231" s="61"/>
      <c r="S231" s="61"/>
      <c r="T231" s="61"/>
      <c r="U231" s="60"/>
      <c r="V231" s="60"/>
      <c r="W231" s="60"/>
      <c r="X231" s="60"/>
    </row>
    <row r="232" spans="1:24" s="1" customFormat="1" ht="33" customHeight="1" x14ac:dyDescent="0.3">
      <c r="A232" s="16">
        <v>7</v>
      </c>
      <c r="B232" s="23">
        <v>18</v>
      </c>
      <c r="C232" s="27" t="str">
        <f t="shared" si="10"/>
        <v>7.18</v>
      </c>
      <c r="D232" s="18" t="s">
        <v>321</v>
      </c>
      <c r="E232" s="64" t="str">
        <f>IF(ISBLANK(D232)=TRUE,"",VLOOKUP(D232,Krav!$C:$F,4,FALSE))</f>
        <v>9.c.7 - Regel R0044's Varighed X skal sættes til blank</v>
      </c>
      <c r="F232" s="53" t="s">
        <v>226</v>
      </c>
      <c r="G232" s="19" t="s">
        <v>313</v>
      </c>
      <c r="H232" s="25" t="s">
        <v>310</v>
      </c>
      <c r="I232" s="67" t="s">
        <v>96</v>
      </c>
      <c r="J232" s="67" t="s">
        <v>222</v>
      </c>
      <c r="K232" s="123" t="s">
        <v>222</v>
      </c>
      <c r="L232" s="20" t="s">
        <v>3</v>
      </c>
      <c r="M232" s="61" t="s">
        <v>131</v>
      </c>
      <c r="N232" s="61" t="s">
        <v>131</v>
      </c>
      <c r="O232" s="61" t="s">
        <v>129</v>
      </c>
      <c r="P232" s="61" t="s">
        <v>320</v>
      </c>
      <c r="Q232" s="61" t="s">
        <v>5</v>
      </c>
      <c r="R232" s="61"/>
      <c r="S232" s="61"/>
      <c r="T232" s="61"/>
      <c r="U232" s="60"/>
      <c r="V232" s="60"/>
      <c r="W232" s="60"/>
      <c r="X232" s="60"/>
    </row>
    <row r="233" spans="1:24" s="1" customFormat="1" ht="33" customHeight="1" x14ac:dyDescent="0.3">
      <c r="A233" s="16">
        <v>7</v>
      </c>
      <c r="B233" s="23">
        <v>19</v>
      </c>
      <c r="C233" s="27" t="str">
        <f t="shared" si="10"/>
        <v>7.19</v>
      </c>
      <c r="D233" s="18" t="s">
        <v>321</v>
      </c>
      <c r="E233" s="64" t="str">
        <f>IF(ISBLANK(D233)=TRUE,"",VLOOKUP(D233,Krav!$C:$F,4,FALSE))</f>
        <v>9.c.7 - Regel R0044's Varighed X skal sættes til blank</v>
      </c>
      <c r="F233" s="53" t="s">
        <v>226</v>
      </c>
      <c r="G233" s="19" t="s">
        <v>314</v>
      </c>
      <c r="H233" s="25" t="s">
        <v>310</v>
      </c>
      <c r="I233" s="67" t="s">
        <v>96</v>
      </c>
      <c r="J233" s="67" t="s">
        <v>222</v>
      </c>
      <c r="K233" s="123" t="s">
        <v>222</v>
      </c>
      <c r="L233" s="20" t="s">
        <v>3</v>
      </c>
      <c r="M233" s="61" t="s">
        <v>131</v>
      </c>
      <c r="N233" s="61" t="s">
        <v>131</v>
      </c>
      <c r="O233" s="61" t="s">
        <v>129</v>
      </c>
      <c r="P233" s="61" t="s">
        <v>320</v>
      </c>
      <c r="Q233" s="61" t="s">
        <v>5</v>
      </c>
      <c r="R233" s="61"/>
      <c r="S233" s="61"/>
      <c r="T233" s="61"/>
      <c r="U233" s="60"/>
      <c r="V233" s="60"/>
      <c r="W233" s="60"/>
      <c r="X233" s="60"/>
    </row>
    <row r="234" spans="1:24" s="1" customFormat="1" ht="33" customHeight="1" x14ac:dyDescent="0.3">
      <c r="A234" s="16">
        <v>7</v>
      </c>
      <c r="B234" s="23">
        <v>20</v>
      </c>
      <c r="C234" s="27" t="str">
        <f t="shared" si="10"/>
        <v>7.20</v>
      </c>
      <c r="D234" s="18" t="s">
        <v>321</v>
      </c>
      <c r="E234" s="64" t="str">
        <f>IF(ISBLANK(D234)=TRUE,"",VLOOKUP(D234,Krav!$C:$F,4,FALSE))</f>
        <v>9.c.7 - Regel R0044's Varighed X skal sættes til blank</v>
      </c>
      <c r="F234" s="53" t="s">
        <v>226</v>
      </c>
      <c r="G234" s="19" t="s">
        <v>315</v>
      </c>
      <c r="H234" s="25" t="s">
        <v>310</v>
      </c>
      <c r="I234" s="67" t="s">
        <v>96</v>
      </c>
      <c r="J234" s="67" t="s">
        <v>222</v>
      </c>
      <c r="K234" s="123" t="s">
        <v>222</v>
      </c>
      <c r="L234" s="20" t="s">
        <v>3</v>
      </c>
      <c r="M234" s="61" t="s">
        <v>131</v>
      </c>
      <c r="N234" s="61" t="s">
        <v>131</v>
      </c>
      <c r="O234" s="61" t="s">
        <v>129</v>
      </c>
      <c r="P234" s="61" t="s">
        <v>320</v>
      </c>
      <c r="Q234" s="61" t="s">
        <v>5</v>
      </c>
      <c r="R234" s="61"/>
      <c r="S234" s="61"/>
      <c r="T234" s="61"/>
      <c r="U234" s="60"/>
      <c r="V234" s="60"/>
      <c r="W234" s="60"/>
      <c r="X234" s="60"/>
    </row>
    <row r="235" spans="1:24" s="1" customFormat="1" ht="33" customHeight="1" x14ac:dyDescent="0.3">
      <c r="A235" s="16">
        <v>7</v>
      </c>
      <c r="B235" s="23">
        <v>21</v>
      </c>
      <c r="C235" s="27" t="str">
        <f t="shared" si="10"/>
        <v>7.21</v>
      </c>
      <c r="D235" s="18" t="s">
        <v>322</v>
      </c>
      <c r="E235" s="64" t="str">
        <f>IF(ISBLANK(D235)=TRUE,"",VLOOKUP(D235,Krav!$C:$F,4,FALSE))</f>
        <v>9.c.8 - Regel R0045 skal aktiveres</v>
      </c>
      <c r="F235" s="53" t="s">
        <v>226</v>
      </c>
      <c r="G235" s="19" t="s">
        <v>308</v>
      </c>
      <c r="H235" s="25" t="s">
        <v>310</v>
      </c>
      <c r="I235" s="67" t="s">
        <v>240</v>
      </c>
      <c r="J235" s="67" t="s">
        <v>222</v>
      </c>
      <c r="K235" s="123" t="s">
        <v>222</v>
      </c>
      <c r="L235" s="20" t="s">
        <v>3</v>
      </c>
      <c r="M235" s="61" t="s">
        <v>131</v>
      </c>
      <c r="N235" s="61" t="s">
        <v>131</v>
      </c>
      <c r="O235" s="61" t="s">
        <v>129</v>
      </c>
      <c r="P235" s="61" t="s">
        <v>323</v>
      </c>
      <c r="Q235" s="61" t="s">
        <v>5</v>
      </c>
      <c r="R235" s="61"/>
      <c r="S235" s="61"/>
      <c r="T235" s="61"/>
      <c r="U235" s="60"/>
      <c r="V235" s="60"/>
      <c r="W235" s="60"/>
      <c r="X235" s="60"/>
    </row>
    <row r="236" spans="1:24" s="1" customFormat="1" ht="33" customHeight="1" x14ac:dyDescent="0.3">
      <c r="A236" s="16">
        <v>7</v>
      </c>
      <c r="B236" s="23">
        <v>22</v>
      </c>
      <c r="C236" s="27" t="str">
        <f t="shared" si="10"/>
        <v>7.22</v>
      </c>
      <c r="D236" s="18" t="s">
        <v>324</v>
      </c>
      <c r="E236" s="64" t="str">
        <f>IF(ISBLANK(D236)=TRUE,"",VLOOKUP(D236,Krav!$C:$F,4,FALSE))</f>
        <v>9.c.9 - Regel R0045's Varighed X skal sættes til blank</v>
      </c>
      <c r="F236" s="53" t="s">
        <v>226</v>
      </c>
      <c r="G236" s="19" t="s">
        <v>313</v>
      </c>
      <c r="H236" s="25" t="s">
        <v>310</v>
      </c>
      <c r="I236" s="67" t="s">
        <v>96</v>
      </c>
      <c r="J236" s="67" t="s">
        <v>222</v>
      </c>
      <c r="K236" s="123" t="s">
        <v>222</v>
      </c>
      <c r="L236" s="20" t="s">
        <v>3</v>
      </c>
      <c r="M236" s="61" t="s">
        <v>131</v>
      </c>
      <c r="N236" s="61" t="s">
        <v>131</v>
      </c>
      <c r="O236" s="61" t="s">
        <v>129</v>
      </c>
      <c r="P236" s="61" t="s">
        <v>323</v>
      </c>
      <c r="Q236" s="61" t="s">
        <v>5</v>
      </c>
      <c r="R236" s="61"/>
      <c r="S236" s="61"/>
      <c r="T236" s="61"/>
      <c r="U236" s="60"/>
      <c r="V236" s="60"/>
      <c r="W236" s="60"/>
      <c r="X236" s="60"/>
    </row>
    <row r="237" spans="1:24" s="1" customFormat="1" ht="33" customHeight="1" x14ac:dyDescent="0.3">
      <c r="A237" s="16">
        <v>7</v>
      </c>
      <c r="B237" s="23">
        <v>23</v>
      </c>
      <c r="C237" s="27" t="str">
        <f t="shared" si="10"/>
        <v>7.23</v>
      </c>
      <c r="D237" s="18" t="s">
        <v>324</v>
      </c>
      <c r="E237" s="64" t="str">
        <f>IF(ISBLANK(D237)=TRUE,"",VLOOKUP(D237,Krav!$C:$F,4,FALSE))</f>
        <v>9.c.9 - Regel R0045's Varighed X skal sættes til blank</v>
      </c>
      <c r="F237" s="53" t="s">
        <v>226</v>
      </c>
      <c r="G237" s="19" t="s">
        <v>314</v>
      </c>
      <c r="H237" s="25" t="s">
        <v>310</v>
      </c>
      <c r="I237" s="67" t="s">
        <v>96</v>
      </c>
      <c r="J237" s="67" t="s">
        <v>222</v>
      </c>
      <c r="K237" s="123" t="s">
        <v>222</v>
      </c>
      <c r="L237" s="20" t="s">
        <v>3</v>
      </c>
      <c r="M237" s="61" t="s">
        <v>131</v>
      </c>
      <c r="N237" s="61" t="s">
        <v>131</v>
      </c>
      <c r="O237" s="61" t="s">
        <v>129</v>
      </c>
      <c r="P237" s="61" t="s">
        <v>323</v>
      </c>
      <c r="Q237" s="61" t="s">
        <v>5</v>
      </c>
      <c r="R237" s="61"/>
      <c r="S237" s="61"/>
      <c r="T237" s="61"/>
      <c r="U237" s="60"/>
      <c r="V237" s="60"/>
      <c r="W237" s="60"/>
      <c r="X237" s="60"/>
    </row>
    <row r="238" spans="1:24" s="1" customFormat="1" ht="33" customHeight="1" x14ac:dyDescent="0.3">
      <c r="A238" s="16">
        <v>7</v>
      </c>
      <c r="B238" s="23">
        <v>24</v>
      </c>
      <c r="C238" s="27" t="str">
        <f t="shared" si="10"/>
        <v>7.24</v>
      </c>
      <c r="D238" s="18" t="s">
        <v>324</v>
      </c>
      <c r="E238" s="64" t="str">
        <f>IF(ISBLANK(D238)=TRUE,"",VLOOKUP(D238,Krav!$C:$F,4,FALSE))</f>
        <v>9.c.9 - Regel R0045's Varighed X skal sættes til blank</v>
      </c>
      <c r="F238" s="53" t="s">
        <v>226</v>
      </c>
      <c r="G238" s="19" t="s">
        <v>315</v>
      </c>
      <c r="H238" s="25" t="s">
        <v>310</v>
      </c>
      <c r="I238" s="67" t="s">
        <v>96</v>
      </c>
      <c r="J238" s="67" t="s">
        <v>222</v>
      </c>
      <c r="K238" s="123" t="s">
        <v>222</v>
      </c>
      <c r="L238" s="20" t="s">
        <v>3</v>
      </c>
      <c r="M238" s="61" t="s">
        <v>131</v>
      </c>
      <c r="N238" s="61" t="s">
        <v>131</v>
      </c>
      <c r="O238" s="61" t="s">
        <v>129</v>
      </c>
      <c r="P238" s="61" t="s">
        <v>323</v>
      </c>
      <c r="Q238" s="61" t="s">
        <v>5</v>
      </c>
      <c r="R238" s="61"/>
      <c r="S238" s="61"/>
      <c r="T238" s="61"/>
      <c r="U238" s="60"/>
      <c r="V238" s="60"/>
      <c r="W238" s="60"/>
      <c r="X238" s="60"/>
    </row>
    <row r="239" spans="1:24" s="1" customFormat="1" ht="33" customHeight="1" x14ac:dyDescent="0.3">
      <c r="A239" s="16">
        <v>7</v>
      </c>
      <c r="B239" s="23">
        <v>25</v>
      </c>
      <c r="C239" s="27" t="str">
        <f t="shared" si="10"/>
        <v>7.25</v>
      </c>
      <c r="D239" s="18" t="s">
        <v>325</v>
      </c>
      <c r="E239" s="64" t="str">
        <f>IF(ISBLANK(D239)=TRUE,"",VLOOKUP(D239,Krav!$C:$F,4,FALSE))</f>
        <v>9.c.10 - Regel R0046 skal aktiveres</v>
      </c>
      <c r="F239" s="53" t="s">
        <v>226</v>
      </c>
      <c r="G239" s="19" t="s">
        <v>308</v>
      </c>
      <c r="H239" s="25" t="s">
        <v>310</v>
      </c>
      <c r="I239" s="67" t="s">
        <v>240</v>
      </c>
      <c r="J239" s="67" t="s">
        <v>222</v>
      </c>
      <c r="K239" s="123" t="s">
        <v>222</v>
      </c>
      <c r="L239" s="20" t="s">
        <v>3</v>
      </c>
      <c r="M239" s="61" t="s">
        <v>131</v>
      </c>
      <c r="N239" s="61" t="s">
        <v>131</v>
      </c>
      <c r="O239" s="61" t="s">
        <v>129</v>
      </c>
      <c r="P239" s="61" t="s">
        <v>326</v>
      </c>
      <c r="Q239" s="61" t="s">
        <v>5</v>
      </c>
      <c r="R239" s="61"/>
      <c r="S239" s="61"/>
      <c r="T239" s="61"/>
      <c r="U239" s="60"/>
      <c r="V239" s="60"/>
      <c r="W239" s="60"/>
      <c r="X239" s="60"/>
    </row>
    <row r="240" spans="1:24" s="1" customFormat="1" ht="33" customHeight="1" x14ac:dyDescent="0.3">
      <c r="A240" s="16">
        <v>7</v>
      </c>
      <c r="B240" s="23">
        <v>26</v>
      </c>
      <c r="C240" s="27" t="str">
        <f t="shared" si="10"/>
        <v>7.26</v>
      </c>
      <c r="D240" s="18" t="s">
        <v>327</v>
      </c>
      <c r="E240" s="64" t="str">
        <f>IF(ISBLANK(D240)=TRUE,"",VLOOKUP(D240,Krav!$C:$F,4,FALSE))</f>
        <v>9.c.11 - Regel R0046's Varighed X skal sættes til blank</v>
      </c>
      <c r="F240" s="53" t="s">
        <v>226</v>
      </c>
      <c r="G240" s="19" t="s">
        <v>313</v>
      </c>
      <c r="H240" s="25" t="s">
        <v>310</v>
      </c>
      <c r="I240" s="67" t="s">
        <v>96</v>
      </c>
      <c r="J240" s="67" t="s">
        <v>222</v>
      </c>
      <c r="K240" s="123" t="s">
        <v>222</v>
      </c>
      <c r="L240" s="20" t="s">
        <v>3</v>
      </c>
      <c r="M240" s="61" t="s">
        <v>131</v>
      </c>
      <c r="N240" s="61" t="s">
        <v>131</v>
      </c>
      <c r="O240" s="61" t="s">
        <v>129</v>
      </c>
      <c r="P240" s="61" t="s">
        <v>326</v>
      </c>
      <c r="Q240" s="61" t="s">
        <v>5</v>
      </c>
      <c r="R240" s="61"/>
      <c r="S240" s="61"/>
      <c r="T240" s="61"/>
      <c r="U240" s="60"/>
      <c r="V240" s="60"/>
      <c r="W240" s="60"/>
      <c r="X240" s="60"/>
    </row>
    <row r="241" spans="1:24" s="1" customFormat="1" ht="33" customHeight="1" x14ac:dyDescent="0.3">
      <c r="A241" s="16">
        <v>7</v>
      </c>
      <c r="B241" s="23">
        <v>27</v>
      </c>
      <c r="C241" s="27" t="str">
        <f t="shared" si="10"/>
        <v>7.27</v>
      </c>
      <c r="D241" s="18" t="s">
        <v>327</v>
      </c>
      <c r="E241" s="64" t="str">
        <f>IF(ISBLANK(D241)=TRUE,"",VLOOKUP(D241,Krav!$C:$F,4,FALSE))</f>
        <v>9.c.11 - Regel R0046's Varighed X skal sættes til blank</v>
      </c>
      <c r="F241" s="53" t="s">
        <v>226</v>
      </c>
      <c r="G241" s="19" t="s">
        <v>314</v>
      </c>
      <c r="H241" s="25" t="s">
        <v>310</v>
      </c>
      <c r="I241" s="67" t="s">
        <v>96</v>
      </c>
      <c r="J241" s="67" t="s">
        <v>222</v>
      </c>
      <c r="K241" s="123" t="s">
        <v>222</v>
      </c>
      <c r="L241" s="20" t="s">
        <v>3</v>
      </c>
      <c r="M241" s="61" t="s">
        <v>131</v>
      </c>
      <c r="N241" s="61" t="s">
        <v>131</v>
      </c>
      <c r="O241" s="61" t="s">
        <v>129</v>
      </c>
      <c r="P241" s="61" t="s">
        <v>326</v>
      </c>
      <c r="Q241" s="61" t="s">
        <v>5</v>
      </c>
      <c r="R241" s="61"/>
      <c r="S241" s="61"/>
      <c r="T241" s="61"/>
      <c r="U241" s="60"/>
      <c r="V241" s="60"/>
      <c r="W241" s="60"/>
      <c r="X241" s="60"/>
    </row>
    <row r="242" spans="1:24" s="1" customFormat="1" ht="33" customHeight="1" x14ac:dyDescent="0.3">
      <c r="A242" s="16">
        <v>7</v>
      </c>
      <c r="B242" s="23">
        <v>28</v>
      </c>
      <c r="C242" s="27" t="str">
        <f t="shared" si="10"/>
        <v>7.28</v>
      </c>
      <c r="D242" s="18" t="s">
        <v>327</v>
      </c>
      <c r="E242" s="64" t="str">
        <f>IF(ISBLANK(D242)=TRUE,"",VLOOKUP(D242,Krav!$C:$F,4,FALSE))</f>
        <v>9.c.11 - Regel R0046's Varighed X skal sættes til blank</v>
      </c>
      <c r="F242" s="53" t="s">
        <v>226</v>
      </c>
      <c r="G242" s="19" t="s">
        <v>315</v>
      </c>
      <c r="H242" s="25" t="s">
        <v>310</v>
      </c>
      <c r="I242" s="67" t="s">
        <v>96</v>
      </c>
      <c r="J242" s="67" t="s">
        <v>222</v>
      </c>
      <c r="K242" s="123" t="s">
        <v>222</v>
      </c>
      <c r="L242" s="20" t="s">
        <v>3</v>
      </c>
      <c r="M242" s="61" t="s">
        <v>131</v>
      </c>
      <c r="N242" s="61" t="s">
        <v>131</v>
      </c>
      <c r="O242" s="61" t="s">
        <v>129</v>
      </c>
      <c r="P242" s="61" t="s">
        <v>326</v>
      </c>
      <c r="Q242" s="61" t="s">
        <v>5</v>
      </c>
      <c r="R242" s="61"/>
      <c r="S242" s="61"/>
      <c r="T242" s="61"/>
      <c r="U242" s="60"/>
      <c r="V242" s="60"/>
      <c r="W242" s="60"/>
      <c r="X242" s="60"/>
    </row>
    <row r="243" spans="1:24" s="1" customFormat="1" ht="33" customHeight="1" x14ac:dyDescent="0.3">
      <c r="A243" s="16">
        <v>7</v>
      </c>
      <c r="B243" s="23">
        <v>29</v>
      </c>
      <c r="C243" s="27" t="str">
        <f t="shared" si="10"/>
        <v>7.29</v>
      </c>
      <c r="D243" s="18"/>
      <c r="E243" s="64" t="str">
        <f>IF(ISBLANK(D243)=TRUE,"",VLOOKUP(D243,Krav!$C:$F,4,FALSE))</f>
        <v/>
      </c>
      <c r="F243" s="104" t="s">
        <v>174</v>
      </c>
      <c r="G243" s="19"/>
      <c r="H243" s="105" t="s">
        <v>328</v>
      </c>
      <c r="I243" s="106" t="s">
        <v>175</v>
      </c>
      <c r="J243" s="67" t="s">
        <v>222</v>
      </c>
      <c r="K243" s="123" t="s">
        <v>222</v>
      </c>
      <c r="L243" s="20" t="s">
        <v>4</v>
      </c>
      <c r="M243" s="15" t="s">
        <v>131</v>
      </c>
      <c r="N243" s="15" t="s">
        <v>131</v>
      </c>
      <c r="O243" s="15" t="s">
        <v>131</v>
      </c>
      <c r="P243" s="61"/>
      <c r="Q243" s="61" t="s">
        <v>5</v>
      </c>
      <c r="R243" s="61"/>
      <c r="S243" s="61"/>
      <c r="T243" s="61"/>
      <c r="U243" s="60"/>
      <c r="V243" s="60"/>
      <c r="W243" s="60"/>
      <c r="X243" s="60"/>
    </row>
    <row r="244" spans="1:24" s="1" customFormat="1" ht="33" customHeight="1" x14ac:dyDescent="0.3">
      <c r="A244" s="16">
        <v>7</v>
      </c>
      <c r="B244" s="23">
        <v>30</v>
      </c>
      <c r="C244" s="27" t="str">
        <f t="shared" si="10"/>
        <v>7.30</v>
      </c>
      <c r="D244" s="18"/>
      <c r="E244" s="64" t="str">
        <f>IF(ISBLANK(D244)=TRUE,"",VLOOKUP(D244,Krav!$C:$F,4,FALSE))</f>
        <v/>
      </c>
      <c r="F244" s="107" t="s">
        <v>418</v>
      </c>
      <c r="G244" s="19" t="s">
        <v>419</v>
      </c>
      <c r="H244" s="108" t="s">
        <v>439</v>
      </c>
      <c r="I244" s="109" t="s">
        <v>129</v>
      </c>
      <c r="J244" s="96" t="s">
        <v>222</v>
      </c>
      <c r="K244" s="123" t="s">
        <v>222</v>
      </c>
      <c r="L244" s="20" t="s">
        <v>4</v>
      </c>
      <c r="M244" s="15" t="s">
        <v>131</v>
      </c>
      <c r="N244" s="15" t="s">
        <v>131</v>
      </c>
      <c r="O244" s="15" t="s">
        <v>131</v>
      </c>
      <c r="P244" s="61"/>
      <c r="Q244" s="61" t="s">
        <v>5</v>
      </c>
      <c r="R244" s="61"/>
      <c r="S244" s="61"/>
      <c r="T244" s="61"/>
      <c r="U244" s="60"/>
      <c r="V244" s="60"/>
      <c r="W244" s="60"/>
      <c r="X244" s="60"/>
    </row>
    <row r="245" spans="1:24" s="1" customFormat="1" ht="33" customHeight="1" x14ac:dyDescent="0.3">
      <c r="A245" s="16">
        <v>7</v>
      </c>
      <c r="B245" s="23">
        <v>31</v>
      </c>
      <c r="C245" s="27" t="str">
        <f t="shared" si="10"/>
        <v>7.31</v>
      </c>
      <c r="D245" s="18"/>
      <c r="E245" s="64" t="str">
        <f>IF(ISBLANK(D245)=TRUE,"",VLOOKUP(D245,Krav!$C:$F,4,FALSE))</f>
        <v/>
      </c>
      <c r="F245" s="19" t="s">
        <v>185</v>
      </c>
      <c r="G245" s="19"/>
      <c r="H245" s="25" t="s">
        <v>329</v>
      </c>
      <c r="I245" s="65" t="s">
        <v>293</v>
      </c>
      <c r="J245" s="67" t="s">
        <v>222</v>
      </c>
      <c r="K245" s="123" t="s">
        <v>222</v>
      </c>
      <c r="L245" s="20" t="s">
        <v>3</v>
      </c>
      <c r="M245" s="61"/>
      <c r="N245" s="61"/>
      <c r="O245" s="61"/>
      <c r="P245" s="61"/>
      <c r="Q245" s="61" t="s">
        <v>5</v>
      </c>
      <c r="R245" s="61"/>
      <c r="S245" s="61"/>
      <c r="T245" s="61"/>
      <c r="U245" s="60"/>
      <c r="V245" s="60"/>
      <c r="W245" s="60"/>
      <c r="X245" s="60"/>
    </row>
    <row r="246" spans="1:24" s="1" customFormat="1" ht="33" customHeight="1" x14ac:dyDescent="0.3">
      <c r="A246" s="16">
        <v>7</v>
      </c>
      <c r="B246" s="23">
        <v>32</v>
      </c>
      <c r="C246" s="27" t="str">
        <f t="shared" si="10"/>
        <v>7.32</v>
      </c>
      <c r="D246" s="18"/>
      <c r="E246" s="64" t="str">
        <f>IF(ISBLANK(D246)=TRUE,"",VLOOKUP(D246,Krav!$C:$F,4,FALSE))</f>
        <v/>
      </c>
      <c r="F246" s="91" t="s">
        <v>418</v>
      </c>
      <c r="G246" s="91" t="s">
        <v>1364</v>
      </c>
      <c r="H246" s="81" t="s">
        <v>1365</v>
      </c>
      <c r="I246" s="91" t="s">
        <v>129</v>
      </c>
      <c r="J246" s="67" t="s">
        <v>222</v>
      </c>
      <c r="K246" s="123" t="s">
        <v>222</v>
      </c>
      <c r="L246" s="20" t="s">
        <v>3</v>
      </c>
      <c r="M246" s="61"/>
      <c r="N246" s="61"/>
      <c r="O246" s="61"/>
      <c r="P246" s="61"/>
      <c r="Q246" s="61"/>
      <c r="R246" s="61"/>
      <c r="S246" s="61"/>
      <c r="T246" s="61"/>
      <c r="U246" s="60"/>
      <c r="V246" s="60"/>
      <c r="W246" s="60"/>
      <c r="X246" s="60"/>
    </row>
    <row r="247" spans="1:24" s="1" customFormat="1" ht="33" customHeight="1" x14ac:dyDescent="0.3">
      <c r="A247" s="16">
        <v>7</v>
      </c>
      <c r="B247" s="23">
        <v>33</v>
      </c>
      <c r="C247" s="27" t="str">
        <f t="shared" si="10"/>
        <v>7.33</v>
      </c>
      <c r="D247" s="18" t="s">
        <v>286</v>
      </c>
      <c r="E247" s="64" t="str">
        <f>IF(ISBLANK(D247)=TRUE,"",VLOOKUP(D247,Krav!$C:$F,4,FALSE))</f>
        <v>8.3 - Såfremt brugeren vælger "Nej" skal brugeres ledes til spørgsmål 9</v>
      </c>
      <c r="F247" s="53" t="s">
        <v>224</v>
      </c>
      <c r="G247" s="19" t="s">
        <v>230</v>
      </c>
      <c r="H247" s="64" t="s">
        <v>330</v>
      </c>
      <c r="I247" s="66" t="s">
        <v>129</v>
      </c>
      <c r="J247" s="67" t="s">
        <v>222</v>
      </c>
      <c r="K247" s="123" t="s">
        <v>222</v>
      </c>
      <c r="L247" s="20" t="s">
        <v>3</v>
      </c>
      <c r="M247" s="61" t="s">
        <v>129</v>
      </c>
      <c r="N247" s="61" t="s">
        <v>131</v>
      </c>
      <c r="O247" s="61" t="s">
        <v>131</v>
      </c>
      <c r="P247" s="61"/>
      <c r="Q247" s="61" t="s">
        <v>5</v>
      </c>
      <c r="R247" s="61"/>
      <c r="S247" s="61"/>
      <c r="T247" s="61"/>
      <c r="U247" s="60"/>
      <c r="V247" s="60"/>
      <c r="W247" s="60"/>
      <c r="X247" s="60"/>
    </row>
    <row r="248" spans="1:24" s="1" customFormat="1" ht="33" customHeight="1" x14ac:dyDescent="0.3">
      <c r="A248" s="16">
        <v>7</v>
      </c>
      <c r="B248" s="23">
        <v>34</v>
      </c>
      <c r="C248" s="27" t="str">
        <f t="shared" si="10"/>
        <v>7.34</v>
      </c>
      <c r="D248" s="18" t="s">
        <v>282</v>
      </c>
      <c r="E248" s="64" t="str">
        <f>IF(ISBLANK(D248)=TRUE,"",VLOOKUP(D248,Krav!$C:$F,4,FALSE))</f>
        <v xml:space="preserve">8.a.1 - Spørgeskemaet skal afsluttes da den valgte konfiguration ikke understøttes af spørgeskemaet. </v>
      </c>
      <c r="F248" s="53" t="s">
        <v>224</v>
      </c>
      <c r="G248" s="19" t="s">
        <v>231</v>
      </c>
      <c r="H248" s="64" t="s">
        <v>331</v>
      </c>
      <c r="I248" s="66" t="s">
        <v>129</v>
      </c>
      <c r="J248" s="67" t="s">
        <v>222</v>
      </c>
      <c r="K248" s="123" t="s">
        <v>222</v>
      </c>
      <c r="L248" s="20" t="s">
        <v>3</v>
      </c>
      <c r="M248" s="61" t="s">
        <v>131</v>
      </c>
      <c r="N248" s="61" t="s">
        <v>129</v>
      </c>
      <c r="O248" s="61" t="s">
        <v>131</v>
      </c>
      <c r="P248" s="61"/>
      <c r="Q248" s="61" t="s">
        <v>5</v>
      </c>
      <c r="R248" s="61"/>
      <c r="S248" s="61"/>
      <c r="T248" s="61"/>
      <c r="U248" s="60"/>
      <c r="V248" s="60"/>
      <c r="W248" s="60"/>
      <c r="X248" s="60"/>
    </row>
    <row r="249" spans="1:24" s="1" customFormat="1" ht="33" customHeight="1" x14ac:dyDescent="0.3">
      <c r="A249" s="16">
        <v>7</v>
      </c>
      <c r="B249" s="23">
        <v>35</v>
      </c>
      <c r="C249" s="27" t="str">
        <f t="shared" si="10"/>
        <v>7.35</v>
      </c>
      <c r="D249" s="18" t="s">
        <v>282</v>
      </c>
      <c r="E249" s="64" t="str">
        <f>IF(ISBLANK(D249)=TRUE,"",VLOOKUP(D249,Krav!$C:$F,4,FALSE))</f>
        <v xml:space="preserve">8.a.1 - Spørgeskemaet skal afsluttes da den valgte konfiguration ikke understøttes af spørgeskemaet. </v>
      </c>
      <c r="F249" s="53" t="s">
        <v>224</v>
      </c>
      <c r="G249" s="19" t="s">
        <v>232</v>
      </c>
      <c r="H249" s="64" t="s">
        <v>332</v>
      </c>
      <c r="I249" s="66" t="s">
        <v>129</v>
      </c>
      <c r="J249" s="67" t="s">
        <v>222</v>
      </c>
      <c r="K249" s="123" t="s">
        <v>222</v>
      </c>
      <c r="L249" s="20" t="s">
        <v>3</v>
      </c>
      <c r="M249" s="61" t="s">
        <v>131</v>
      </c>
      <c r="N249" s="61" t="s">
        <v>131</v>
      </c>
      <c r="O249" s="61" t="s">
        <v>129</v>
      </c>
      <c r="P249" s="61"/>
      <c r="Q249" s="61" t="s">
        <v>5</v>
      </c>
      <c r="R249" s="61"/>
      <c r="S249" s="61"/>
      <c r="T249" s="61"/>
      <c r="U249" s="60"/>
      <c r="V249" s="60"/>
      <c r="W249" s="60"/>
      <c r="X249" s="60"/>
    </row>
    <row r="250" spans="1:24" s="1" customFormat="1" ht="33" customHeight="1" x14ac:dyDescent="0.3">
      <c r="A250" s="16">
        <v>7</v>
      </c>
      <c r="B250" s="23">
        <v>36</v>
      </c>
      <c r="C250" s="27" t="str">
        <f t="shared" si="10"/>
        <v>7.36</v>
      </c>
      <c r="D250" s="12"/>
      <c r="E250" s="64" t="str">
        <f>IF(ISBLANK(D250)=TRUE,"",VLOOKUP(D250,Krav!$C:$F,4,FALSE))</f>
        <v/>
      </c>
      <c r="F250" s="63" t="s">
        <v>224</v>
      </c>
      <c r="G250" s="19" t="s">
        <v>230</v>
      </c>
      <c r="H250" s="63" t="s">
        <v>333</v>
      </c>
      <c r="I250" s="65" t="s">
        <v>131</v>
      </c>
      <c r="J250" s="68" t="s">
        <v>222</v>
      </c>
      <c r="K250" s="123" t="s">
        <v>222</v>
      </c>
      <c r="L250" s="4" t="s">
        <v>3</v>
      </c>
      <c r="M250" s="61"/>
      <c r="N250" s="15"/>
      <c r="O250" s="59"/>
      <c r="P250" s="59"/>
      <c r="Q250" s="61" t="s">
        <v>5</v>
      </c>
      <c r="R250" s="61"/>
      <c r="S250" s="59"/>
      <c r="T250" s="61"/>
      <c r="U250" s="61"/>
      <c r="V250" s="57"/>
    </row>
    <row r="251" spans="1:24" s="1" customFormat="1" ht="33" customHeight="1" x14ac:dyDescent="0.3">
      <c r="A251" s="16">
        <v>7</v>
      </c>
      <c r="B251" s="23">
        <v>37</v>
      </c>
      <c r="C251" s="27" t="str">
        <f t="shared" si="10"/>
        <v>7.37</v>
      </c>
      <c r="D251" s="12"/>
      <c r="E251" s="64" t="str">
        <f>IF(ISBLANK(D251)=TRUE,"",VLOOKUP(D251,Krav!$C:$F,4,FALSE))</f>
        <v/>
      </c>
      <c r="F251" s="63" t="s">
        <v>224</v>
      </c>
      <c r="G251" s="19" t="s">
        <v>231</v>
      </c>
      <c r="H251" s="63" t="s">
        <v>333</v>
      </c>
      <c r="I251" s="65" t="s">
        <v>131</v>
      </c>
      <c r="J251" s="68" t="s">
        <v>222</v>
      </c>
      <c r="K251" s="123" t="s">
        <v>222</v>
      </c>
      <c r="L251" s="4" t="s">
        <v>3</v>
      </c>
      <c r="M251" s="61"/>
      <c r="N251" s="15"/>
      <c r="O251" s="59"/>
      <c r="P251" s="59"/>
      <c r="Q251" s="61" t="s">
        <v>5</v>
      </c>
      <c r="R251" s="61"/>
      <c r="S251" s="59"/>
      <c r="T251" s="61"/>
      <c r="U251" s="61"/>
      <c r="V251" s="57"/>
    </row>
    <row r="252" spans="1:24" s="1" customFormat="1" ht="33" customHeight="1" x14ac:dyDescent="0.3">
      <c r="A252" s="16">
        <v>7</v>
      </c>
      <c r="B252" s="23">
        <v>38</v>
      </c>
      <c r="C252" s="27" t="str">
        <f t="shared" si="10"/>
        <v>7.38</v>
      </c>
      <c r="D252" s="18"/>
      <c r="E252" s="64" t="str">
        <f>IF(ISBLANK(D252)=TRUE,"",VLOOKUP(D252,Krav!$C:$F,4,FALSE))</f>
        <v/>
      </c>
      <c r="F252" s="64" t="s">
        <v>224</v>
      </c>
      <c r="G252" s="19" t="s">
        <v>232</v>
      </c>
      <c r="H252" s="64" t="s">
        <v>333</v>
      </c>
      <c r="I252" s="66" t="s">
        <v>131</v>
      </c>
      <c r="J252" s="67" t="s">
        <v>222</v>
      </c>
      <c r="K252" s="123" t="s">
        <v>222</v>
      </c>
      <c r="L252" s="20" t="s">
        <v>3</v>
      </c>
      <c r="M252" s="60"/>
      <c r="N252" s="21"/>
      <c r="O252" s="22"/>
      <c r="P252" s="22"/>
      <c r="Q252" s="60" t="s">
        <v>5</v>
      </c>
      <c r="R252" s="60"/>
      <c r="S252" s="22"/>
      <c r="T252" s="60"/>
      <c r="U252" s="60"/>
      <c r="V252" s="57"/>
    </row>
    <row r="253" spans="1:24" s="89" customFormat="1" ht="33" customHeight="1" x14ac:dyDescent="0.3">
      <c r="A253" s="16">
        <v>7</v>
      </c>
      <c r="B253" s="23">
        <v>39</v>
      </c>
      <c r="C253" s="27" t="str">
        <f t="shared" si="10"/>
        <v>7.39</v>
      </c>
      <c r="D253" s="12"/>
      <c r="E253" s="64" t="str">
        <f>IF(ISBLANK(D253)=TRUE,"",VLOOKUP(D253,Krav!$C:$F,4,FALSE))</f>
        <v/>
      </c>
      <c r="F253" s="91" t="s">
        <v>418</v>
      </c>
      <c r="G253" s="92" t="s">
        <v>445</v>
      </c>
      <c r="H253" s="91" t="s">
        <v>450</v>
      </c>
      <c r="I253" s="93" t="s">
        <v>129</v>
      </c>
      <c r="J253" s="94" t="s">
        <v>222</v>
      </c>
      <c r="K253" s="128" t="s">
        <v>222</v>
      </c>
      <c r="L253" s="20" t="s">
        <v>3</v>
      </c>
      <c r="M253" s="61" t="s">
        <v>129</v>
      </c>
      <c r="N253" s="61" t="s">
        <v>131</v>
      </c>
      <c r="O253" s="61" t="s">
        <v>131</v>
      </c>
      <c r="P253" s="59"/>
      <c r="Q253" s="60" t="s">
        <v>5</v>
      </c>
      <c r="R253" s="61"/>
      <c r="S253" s="59"/>
      <c r="T253" s="61"/>
      <c r="U253" s="61"/>
      <c r="V253" s="90"/>
    </row>
    <row r="254" spans="1:24" s="89" customFormat="1" ht="33" customHeight="1" x14ac:dyDescent="0.3">
      <c r="A254" s="16">
        <v>7</v>
      </c>
      <c r="B254" s="23">
        <v>40</v>
      </c>
      <c r="C254" s="27" t="str">
        <f t="shared" si="10"/>
        <v>7.40</v>
      </c>
      <c r="D254" s="12"/>
      <c r="E254" s="64" t="str">
        <f>IF(ISBLANK(D254)=TRUE,"",VLOOKUP(D254,Krav!$C:$F,4,FALSE))</f>
        <v/>
      </c>
      <c r="F254" s="91" t="s">
        <v>418</v>
      </c>
      <c r="G254" s="92" t="s">
        <v>445</v>
      </c>
      <c r="H254" s="91" t="s">
        <v>454</v>
      </c>
      <c r="I254" s="93" t="s">
        <v>129</v>
      </c>
      <c r="J254" s="94" t="s">
        <v>222</v>
      </c>
      <c r="K254" s="128" t="s">
        <v>222</v>
      </c>
      <c r="L254" s="20" t="s">
        <v>3</v>
      </c>
      <c r="M254" s="61" t="s">
        <v>131</v>
      </c>
      <c r="N254" s="61" t="s">
        <v>129</v>
      </c>
      <c r="O254" s="61" t="s">
        <v>131</v>
      </c>
      <c r="P254" s="59"/>
      <c r="Q254" s="60" t="s">
        <v>5</v>
      </c>
      <c r="R254" s="61"/>
      <c r="S254" s="59"/>
      <c r="T254" s="61"/>
      <c r="U254" s="61"/>
      <c r="V254" s="90"/>
    </row>
    <row r="255" spans="1:24" s="89" customFormat="1" ht="33" customHeight="1" x14ac:dyDescent="0.3">
      <c r="A255" s="16">
        <v>7</v>
      </c>
      <c r="B255" s="23">
        <v>41</v>
      </c>
      <c r="C255" s="27" t="str">
        <f t="shared" si="10"/>
        <v>7.41</v>
      </c>
      <c r="D255" s="12"/>
      <c r="E255" s="64" t="str">
        <f>IF(ISBLANK(D255)=TRUE,"",VLOOKUP(D255,Krav!$C:$F,4,FALSE))</f>
        <v/>
      </c>
      <c r="F255" s="91" t="s">
        <v>418</v>
      </c>
      <c r="G255" s="92" t="s">
        <v>446</v>
      </c>
      <c r="H255" s="91" t="s">
        <v>449</v>
      </c>
      <c r="I255" s="93" t="s">
        <v>129</v>
      </c>
      <c r="J255" s="94" t="s">
        <v>222</v>
      </c>
      <c r="K255" s="128" t="s">
        <v>222</v>
      </c>
      <c r="L255" s="20" t="s">
        <v>3</v>
      </c>
      <c r="M255" s="61" t="s">
        <v>131</v>
      </c>
      <c r="N255" s="61" t="s">
        <v>131</v>
      </c>
      <c r="O255" s="61" t="s">
        <v>129</v>
      </c>
      <c r="P255" s="59"/>
      <c r="Q255" s="60" t="s">
        <v>5</v>
      </c>
      <c r="R255" s="61"/>
      <c r="S255" s="59"/>
      <c r="T255" s="61"/>
      <c r="U255" s="61"/>
      <c r="V255" s="90"/>
    </row>
    <row r="256" spans="1:24" s="57" customFormat="1" ht="16.5" customHeight="1" x14ac:dyDescent="0.3">
      <c r="A256" s="2"/>
      <c r="B256" s="2"/>
      <c r="C256" s="3"/>
      <c r="D256" s="3"/>
      <c r="E256" s="9"/>
      <c r="F256" s="9"/>
      <c r="G256" s="3"/>
      <c r="H256" s="10"/>
      <c r="I256" s="1"/>
      <c r="J256" s="1"/>
      <c r="K256" s="1"/>
      <c r="L256" s="3"/>
      <c r="M256" s="3"/>
      <c r="N256" s="3"/>
      <c r="O256" s="3"/>
      <c r="P256" s="3"/>
      <c r="Q256" s="3"/>
      <c r="R256" s="3"/>
      <c r="S256" s="3"/>
      <c r="T256" s="3"/>
    </row>
    <row r="257" spans="1:24" s="57" customFormat="1" ht="16.5" customHeight="1" x14ac:dyDescent="0.3">
      <c r="E257" s="5"/>
      <c r="F257" s="5"/>
      <c r="H257" s="5"/>
      <c r="M257" s="58" t="s">
        <v>26</v>
      </c>
      <c r="N257" s="58" t="s">
        <v>166</v>
      </c>
      <c r="O257" s="58" t="s">
        <v>334</v>
      </c>
      <c r="P257" s="58" t="s">
        <v>335</v>
      </c>
      <c r="Q257" s="58" t="s">
        <v>8</v>
      </c>
      <c r="R257" s="58" t="s">
        <v>8</v>
      </c>
      <c r="S257" s="58" t="s">
        <v>8</v>
      </c>
      <c r="T257" s="58" t="s">
        <v>8</v>
      </c>
      <c r="U257" s="58" t="s">
        <v>8</v>
      </c>
      <c r="V257" s="58" t="s">
        <v>8</v>
      </c>
      <c r="W257" s="58" t="s">
        <v>8</v>
      </c>
      <c r="X257" s="58" t="s">
        <v>8</v>
      </c>
    </row>
    <row r="258" spans="1:24" s="57" customFormat="1" ht="14.4" x14ac:dyDescent="0.3">
      <c r="E258" s="5"/>
      <c r="F258" s="5"/>
      <c r="H258" s="5"/>
      <c r="M258" s="58" t="s">
        <v>21</v>
      </c>
      <c r="N258" s="58" t="s">
        <v>21</v>
      </c>
      <c r="O258" s="58" t="s">
        <v>12</v>
      </c>
      <c r="P258" s="58" t="s">
        <v>12</v>
      </c>
      <c r="Q258" s="58" t="s">
        <v>11</v>
      </c>
      <c r="R258" s="58" t="s">
        <v>11</v>
      </c>
      <c r="S258" s="58" t="s">
        <v>11</v>
      </c>
      <c r="T258" s="58" t="s">
        <v>11</v>
      </c>
      <c r="U258" s="58" t="s">
        <v>11</v>
      </c>
      <c r="V258" s="58" t="s">
        <v>11</v>
      </c>
      <c r="W258" s="58" t="s">
        <v>11</v>
      </c>
      <c r="X258" s="58" t="s">
        <v>11</v>
      </c>
    </row>
    <row r="259" spans="1:24" s="1" customFormat="1" ht="15" customHeight="1" x14ac:dyDescent="0.3">
      <c r="A259" s="50" t="s">
        <v>6</v>
      </c>
      <c r="B259" s="51" t="s">
        <v>7</v>
      </c>
      <c r="C259" s="31" t="s">
        <v>0</v>
      </c>
      <c r="D259" s="31" t="s">
        <v>22</v>
      </c>
      <c r="E259" s="52" t="s">
        <v>99</v>
      </c>
      <c r="F259" s="52" t="s">
        <v>216</v>
      </c>
      <c r="G259" s="31" t="s">
        <v>217</v>
      </c>
      <c r="H259" s="52" t="s">
        <v>28</v>
      </c>
      <c r="I259" s="31" t="s">
        <v>218</v>
      </c>
      <c r="J259" s="31" t="s">
        <v>219</v>
      </c>
      <c r="K259" s="31" t="s">
        <v>220</v>
      </c>
      <c r="L259" s="31" t="s">
        <v>1</v>
      </c>
      <c r="M259" s="62" t="s">
        <v>230</v>
      </c>
      <c r="N259" s="62" t="s">
        <v>231</v>
      </c>
      <c r="O259" s="62" t="s">
        <v>361</v>
      </c>
      <c r="P259" s="62" t="s">
        <v>233</v>
      </c>
      <c r="Q259" s="26" t="s">
        <v>9</v>
      </c>
      <c r="R259" s="26" t="s">
        <v>9</v>
      </c>
      <c r="S259" s="26" t="s">
        <v>9</v>
      </c>
      <c r="T259" s="26" t="s">
        <v>9</v>
      </c>
      <c r="U259" s="26" t="s">
        <v>9</v>
      </c>
      <c r="V259" s="26" t="s">
        <v>9</v>
      </c>
      <c r="W259" s="26" t="s">
        <v>9</v>
      </c>
      <c r="X259" s="26" t="s">
        <v>108</v>
      </c>
    </row>
    <row r="260" spans="1:24" s="1" customFormat="1" ht="33" customHeight="1" x14ac:dyDescent="0.3">
      <c r="A260" s="16">
        <v>8</v>
      </c>
      <c r="B260" s="23">
        <v>1</v>
      </c>
      <c r="C260" s="27" t="str">
        <f t="shared" ref="C260:C272" si="11">IF(B260&lt;10,_xlfn.CONCAT(A260,".0",B260),_xlfn.CONCAT(A260,".",B260))</f>
        <v>8.01</v>
      </c>
      <c r="D260" s="18" t="s">
        <v>336</v>
      </c>
      <c r="E260" s="64" t="str">
        <f>IF(ISBLANK(D260)=TRUE,"",VLOOKUP(D260,Krav!$C:$F,4,FALSE))</f>
        <v>9.a.2 - Såfremt brugeren vælger "Ja" skal brugeres ledes til spørgsmål 9.a.1</v>
      </c>
      <c r="F260" s="53" t="s">
        <v>143</v>
      </c>
      <c r="G260" s="19"/>
      <c r="H260" s="25" t="s">
        <v>337</v>
      </c>
      <c r="I260" s="67" t="s">
        <v>468</v>
      </c>
      <c r="J260" s="67" t="s">
        <v>222</v>
      </c>
      <c r="K260" s="123" t="s">
        <v>222</v>
      </c>
      <c r="L260" s="20" t="s">
        <v>3</v>
      </c>
      <c r="M260" s="61" t="s">
        <v>129</v>
      </c>
      <c r="N260" s="61" t="s">
        <v>131</v>
      </c>
      <c r="O260" s="61"/>
      <c r="P260" s="61" t="s">
        <v>5</v>
      </c>
      <c r="Q260" s="61"/>
      <c r="R260" s="61"/>
      <c r="S260" s="61"/>
      <c r="T260" s="61"/>
      <c r="U260" s="60"/>
      <c r="V260" s="60"/>
      <c r="W260" s="60"/>
      <c r="X260" s="60"/>
    </row>
    <row r="261" spans="1:24" s="1" customFormat="1" ht="33" customHeight="1" x14ac:dyDescent="0.3">
      <c r="A261" s="16">
        <v>8</v>
      </c>
      <c r="B261" s="23">
        <v>2</v>
      </c>
      <c r="C261" s="27" t="str">
        <f t="shared" si="11"/>
        <v>8.02</v>
      </c>
      <c r="D261" s="18" t="s">
        <v>338</v>
      </c>
      <c r="E261" s="64" t="str">
        <f>IF(ISBLANK(D261)=TRUE,"",VLOOKUP(D261,Krav!$C:$F,4,FALSE))</f>
        <v>9.a.3 - Såfremt brugeren vælger "Nej" skal brugeres ledes til spørgsmål 9.a.2</v>
      </c>
      <c r="F261" s="53" t="s">
        <v>143</v>
      </c>
      <c r="G261" s="19"/>
      <c r="H261" s="25" t="s">
        <v>339</v>
      </c>
      <c r="I261" s="67" t="s">
        <v>340</v>
      </c>
      <c r="J261" s="67" t="s">
        <v>222</v>
      </c>
      <c r="K261" s="123" t="s">
        <v>222</v>
      </c>
      <c r="L261" s="20" t="s">
        <v>3</v>
      </c>
      <c r="M261" s="61" t="s">
        <v>131</v>
      </c>
      <c r="N261" s="61" t="s">
        <v>129</v>
      </c>
      <c r="O261" s="61"/>
      <c r="P261" s="61" t="s">
        <v>5</v>
      </c>
      <c r="Q261" s="61"/>
      <c r="R261" s="61"/>
      <c r="S261" s="61"/>
      <c r="T261" s="61"/>
      <c r="U261" s="60"/>
      <c r="V261" s="60"/>
      <c r="W261" s="60"/>
      <c r="X261" s="60"/>
    </row>
    <row r="262" spans="1:24" s="1" customFormat="1" ht="33" customHeight="1" x14ac:dyDescent="0.3">
      <c r="A262" s="16">
        <v>8</v>
      </c>
      <c r="B262" s="23">
        <v>3</v>
      </c>
      <c r="C262" s="27" t="str">
        <f t="shared" si="11"/>
        <v>8.03</v>
      </c>
      <c r="D262" s="18" t="s">
        <v>338</v>
      </c>
      <c r="E262" s="64" t="str">
        <f>IF(ISBLANK(D262)=TRUE,"",VLOOKUP(D262,Krav!$C:$F,4,FALSE))</f>
        <v>9.a.3 - Såfremt brugeren vælger "Nej" skal brugeres ledes til spørgsmål 9.a.2</v>
      </c>
      <c r="F262" s="53" t="s">
        <v>225</v>
      </c>
      <c r="G262" s="19" t="s">
        <v>231</v>
      </c>
      <c r="H262" s="25" t="s">
        <v>284</v>
      </c>
      <c r="I262" s="67" t="s">
        <v>166</v>
      </c>
      <c r="J262" s="67" t="s">
        <v>222</v>
      </c>
      <c r="K262" s="123" t="s">
        <v>222</v>
      </c>
      <c r="L262" s="20" t="s">
        <v>3</v>
      </c>
      <c r="M262" s="61" t="s">
        <v>131</v>
      </c>
      <c r="N262" s="61" t="s">
        <v>129</v>
      </c>
      <c r="O262" s="61"/>
      <c r="P262" s="61" t="s">
        <v>5</v>
      </c>
      <c r="Q262" s="61"/>
      <c r="R262" s="61"/>
      <c r="S262" s="61"/>
      <c r="T262" s="61"/>
      <c r="U262" s="60"/>
      <c r="V262" s="60"/>
      <c r="W262" s="60"/>
      <c r="X262" s="60"/>
    </row>
    <row r="263" spans="1:24" s="1" customFormat="1" ht="33" customHeight="1" x14ac:dyDescent="0.3">
      <c r="A263" s="16">
        <v>8</v>
      </c>
      <c r="B263" s="23">
        <v>4</v>
      </c>
      <c r="C263" s="27" t="str">
        <f t="shared" si="11"/>
        <v>8.04</v>
      </c>
      <c r="D263" s="18" t="s">
        <v>341</v>
      </c>
      <c r="E263" s="64" t="str">
        <f>IF(ISBLANK(D263)=TRUE,"",VLOOKUP(D263,Krav!$C:$F,4,FALSE))</f>
        <v>9.a.1.1 - Gruppe 1 deaktiveres</v>
      </c>
      <c r="F263" s="53" t="s">
        <v>227</v>
      </c>
      <c r="G263" s="53" t="s">
        <v>342</v>
      </c>
      <c r="H263" s="25" t="s">
        <v>366</v>
      </c>
      <c r="I263" s="67" t="s">
        <v>241</v>
      </c>
      <c r="J263" s="67" t="s">
        <v>222</v>
      </c>
      <c r="K263" s="123" t="s">
        <v>222</v>
      </c>
      <c r="L263" s="20" t="s">
        <v>3</v>
      </c>
      <c r="M263" s="61" t="s">
        <v>129</v>
      </c>
      <c r="N263" s="61" t="s">
        <v>131</v>
      </c>
      <c r="O263" s="61" t="s">
        <v>412</v>
      </c>
      <c r="P263" s="61" t="s">
        <v>5</v>
      </c>
      <c r="Q263" s="61"/>
      <c r="R263" s="61"/>
      <c r="S263" s="61"/>
      <c r="T263" s="61"/>
      <c r="U263" s="60"/>
      <c r="V263" s="60"/>
      <c r="W263" s="60"/>
      <c r="X263" s="60"/>
    </row>
    <row r="264" spans="1:24" s="1" customFormat="1" ht="33" customHeight="1" x14ac:dyDescent="0.3">
      <c r="A264" s="16">
        <v>8</v>
      </c>
      <c r="B264" s="23">
        <v>5</v>
      </c>
      <c r="C264" s="27" t="str">
        <f t="shared" si="11"/>
        <v>8.05</v>
      </c>
      <c r="D264" s="18" t="s">
        <v>343</v>
      </c>
      <c r="E264" s="64" t="str">
        <f>IF(ISBLANK(D264)=TRUE,"",VLOOKUP(D264,Krav!$C:$F,4,FALSE))</f>
        <v>9.a.1.2 - Gruppe 2 aktiveres</v>
      </c>
      <c r="F264" s="53" t="s">
        <v>227</v>
      </c>
      <c r="G264" s="53" t="s">
        <v>342</v>
      </c>
      <c r="H264" s="25" t="s">
        <v>367</v>
      </c>
      <c r="I264" s="67" t="s">
        <v>240</v>
      </c>
      <c r="J264" s="67" t="s">
        <v>222</v>
      </c>
      <c r="K264" s="123" t="s">
        <v>222</v>
      </c>
      <c r="L264" s="20" t="s">
        <v>3</v>
      </c>
      <c r="M264" s="61" t="s">
        <v>129</v>
      </c>
      <c r="N264" s="61" t="s">
        <v>131</v>
      </c>
      <c r="O264" s="61" t="s">
        <v>411</v>
      </c>
      <c r="P264" s="61" t="s">
        <v>5</v>
      </c>
      <c r="Q264" s="61"/>
      <c r="R264" s="61"/>
      <c r="S264" s="61"/>
      <c r="T264" s="61"/>
      <c r="U264" s="60"/>
      <c r="V264" s="60"/>
      <c r="W264" s="60"/>
      <c r="X264" s="60"/>
    </row>
    <row r="265" spans="1:24" s="1" customFormat="1" ht="33" customHeight="1" x14ac:dyDescent="0.3">
      <c r="A265" s="16">
        <v>8</v>
      </c>
      <c r="B265" s="23">
        <v>6</v>
      </c>
      <c r="C265" s="27" t="str">
        <f t="shared" si="11"/>
        <v>8.06</v>
      </c>
      <c r="D265" s="18"/>
      <c r="E265" s="64" t="str">
        <f>IF(ISBLANK(D265)=TRUE,"",VLOOKUP(D265,Krav!$C:$F,4,FALSE))</f>
        <v/>
      </c>
      <c r="F265" s="53" t="s">
        <v>225</v>
      </c>
      <c r="G265" s="19" t="s">
        <v>230</v>
      </c>
      <c r="H265" s="25" t="s">
        <v>284</v>
      </c>
      <c r="I265" s="67" t="s">
        <v>26</v>
      </c>
      <c r="J265" s="67" t="s">
        <v>222</v>
      </c>
      <c r="K265" s="123" t="s">
        <v>222</v>
      </c>
      <c r="L265" s="20" t="s">
        <v>3</v>
      </c>
      <c r="M265" s="61" t="s">
        <v>129</v>
      </c>
      <c r="N265" s="61" t="s">
        <v>131</v>
      </c>
      <c r="O265" s="61"/>
      <c r="P265" s="61" t="s">
        <v>5</v>
      </c>
      <c r="Q265" s="61"/>
      <c r="R265" s="61"/>
      <c r="S265" s="61"/>
      <c r="T265" s="61"/>
      <c r="U265" s="60"/>
      <c r="V265" s="60"/>
      <c r="W265" s="60"/>
      <c r="X265" s="60"/>
    </row>
    <row r="266" spans="1:24" s="1" customFormat="1" ht="33" customHeight="1" x14ac:dyDescent="0.3">
      <c r="A266" s="16">
        <v>8</v>
      </c>
      <c r="B266" s="23">
        <v>7</v>
      </c>
      <c r="C266" s="27" t="str">
        <f t="shared" si="11"/>
        <v>8.07</v>
      </c>
      <c r="D266" s="18" t="s">
        <v>344</v>
      </c>
      <c r="E266" s="64" t="str">
        <f>IF(ISBLANK(D266)=TRUE,"",VLOOKUP(D266,Krav!$C:$F,4,FALSE))</f>
        <v>9.a.1.3 - Der angives et ”JA” i populationen under ”Stoler RIM på fordringshaveres forældel-sesdato?”</v>
      </c>
      <c r="F266" s="53" t="s">
        <v>221</v>
      </c>
      <c r="G266" s="19" t="s">
        <v>352</v>
      </c>
      <c r="H266" s="25" t="s">
        <v>345</v>
      </c>
      <c r="I266" s="67" t="s">
        <v>240</v>
      </c>
      <c r="J266" s="67" t="s">
        <v>222</v>
      </c>
      <c r="K266" s="123" t="s">
        <v>222</v>
      </c>
      <c r="L266" s="20" t="s">
        <v>3</v>
      </c>
      <c r="M266" s="61" t="s">
        <v>129</v>
      </c>
      <c r="N266" s="61" t="s">
        <v>131</v>
      </c>
      <c r="O266" s="61"/>
      <c r="P266" s="61" t="s">
        <v>5</v>
      </c>
      <c r="Q266" s="61"/>
      <c r="R266" s="61"/>
      <c r="S266" s="61"/>
      <c r="T266" s="61"/>
      <c r="U266" s="60"/>
      <c r="V266" s="60"/>
      <c r="W266" s="60"/>
      <c r="X266" s="60"/>
    </row>
    <row r="267" spans="1:24" s="1" customFormat="1" ht="33" customHeight="1" x14ac:dyDescent="0.3">
      <c r="A267" s="16">
        <v>8</v>
      </c>
      <c r="B267" s="23">
        <v>8</v>
      </c>
      <c r="C267" s="27" t="str">
        <f t="shared" si="11"/>
        <v>8.08</v>
      </c>
      <c r="D267" s="18" t="s">
        <v>346</v>
      </c>
      <c r="E267" s="64" t="str">
        <f>IF(ISBLANK(D267)=TRUE,"",VLOOKUP(D267,Krav!$C:$F,4,FALSE))</f>
        <v>9.a.1.4 - Der angives et ”NEJ” i populationen under ”Vil RIM beregne en tidligst mulig forældel-sesdato?”</v>
      </c>
      <c r="F267" s="53" t="s">
        <v>221</v>
      </c>
      <c r="G267" s="19" t="s">
        <v>353</v>
      </c>
      <c r="H267" s="25" t="s">
        <v>347</v>
      </c>
      <c r="I267" s="67" t="s">
        <v>241</v>
      </c>
      <c r="J267" s="67" t="s">
        <v>222</v>
      </c>
      <c r="K267" s="123" t="s">
        <v>222</v>
      </c>
      <c r="L267" s="20" t="s">
        <v>3</v>
      </c>
      <c r="M267" s="61" t="s">
        <v>129</v>
      </c>
      <c r="N267" s="61" t="s">
        <v>131</v>
      </c>
      <c r="O267" s="61"/>
      <c r="P267" s="61" t="s">
        <v>5</v>
      </c>
      <c r="Q267" s="61"/>
      <c r="R267" s="61"/>
      <c r="S267" s="61"/>
      <c r="T267" s="61"/>
      <c r="U267" s="60"/>
      <c r="V267" s="60"/>
      <c r="W267" s="60"/>
      <c r="X267" s="60"/>
    </row>
    <row r="268" spans="1:24" s="1" customFormat="1" ht="33" customHeight="1" x14ac:dyDescent="0.3">
      <c r="A268" s="16">
        <v>8</v>
      </c>
      <c r="B268" s="23">
        <v>9</v>
      </c>
      <c r="C268" s="27" t="str">
        <f t="shared" si="11"/>
        <v>8.09</v>
      </c>
      <c r="D268" s="18"/>
      <c r="E268" s="64" t="str">
        <f>IF(ISBLANK(D268)=TRUE,"",VLOOKUP(D268,Krav!$C:$F,4,FALSE))</f>
        <v/>
      </c>
      <c r="F268" s="53" t="s">
        <v>224</v>
      </c>
      <c r="G268" s="19" t="s">
        <v>230</v>
      </c>
      <c r="H268" s="64" t="s">
        <v>348</v>
      </c>
      <c r="I268" s="66" t="s">
        <v>129</v>
      </c>
      <c r="J268" s="67" t="s">
        <v>222</v>
      </c>
      <c r="K268" s="123" t="s">
        <v>222</v>
      </c>
      <c r="L268" s="20" t="s">
        <v>3</v>
      </c>
      <c r="M268" s="61" t="s">
        <v>129</v>
      </c>
      <c r="N268" s="61" t="s">
        <v>131</v>
      </c>
      <c r="O268" s="61"/>
      <c r="P268" s="61" t="s">
        <v>5</v>
      </c>
      <c r="Q268" s="61"/>
      <c r="R268" s="61"/>
      <c r="S268" s="61"/>
      <c r="T268" s="61"/>
      <c r="U268" s="60"/>
      <c r="V268" s="60"/>
      <c r="W268" s="60"/>
      <c r="X268" s="60"/>
    </row>
    <row r="269" spans="1:24" s="1" customFormat="1" ht="33" customHeight="1" x14ac:dyDescent="0.3">
      <c r="A269" s="16">
        <v>8</v>
      </c>
      <c r="B269" s="23">
        <v>10</v>
      </c>
      <c r="C269" s="27" t="str">
        <f t="shared" si="11"/>
        <v>8.10</v>
      </c>
      <c r="D269" s="18"/>
      <c r="E269" s="64" t="str">
        <f>IF(ISBLANK(D269)=TRUE,"",VLOOKUP(D269,Krav!$C:$F,4,FALSE))</f>
        <v/>
      </c>
      <c r="F269" s="53" t="s">
        <v>224</v>
      </c>
      <c r="G269" s="19" t="s">
        <v>231</v>
      </c>
      <c r="H269" s="64" t="s">
        <v>349</v>
      </c>
      <c r="I269" s="66" t="s">
        <v>129</v>
      </c>
      <c r="J269" s="67" t="s">
        <v>222</v>
      </c>
      <c r="K269" s="123" t="s">
        <v>222</v>
      </c>
      <c r="L269" s="20" t="s">
        <v>3</v>
      </c>
      <c r="M269" s="61" t="s">
        <v>131</v>
      </c>
      <c r="N269" s="61" t="s">
        <v>129</v>
      </c>
      <c r="O269" s="61"/>
      <c r="P269" s="61" t="s">
        <v>5</v>
      </c>
      <c r="Q269" s="61"/>
      <c r="R269" s="61"/>
      <c r="S269" s="61"/>
      <c r="T269" s="61"/>
      <c r="U269" s="60"/>
      <c r="V269" s="60"/>
      <c r="W269" s="60"/>
      <c r="X269" s="60"/>
    </row>
    <row r="270" spans="1:24" s="1" customFormat="1" ht="33" customHeight="1" x14ac:dyDescent="0.3">
      <c r="A270" s="16">
        <v>8</v>
      </c>
      <c r="B270" s="23">
        <v>11</v>
      </c>
      <c r="C270" s="162" t="str">
        <f t="shared" si="11"/>
        <v>8.11</v>
      </c>
      <c r="D270" s="12"/>
      <c r="E270" s="64" t="str">
        <f>IF(ISBLANK(D270)=TRUE,"",VLOOKUP(D270,Krav!$C:$F,4,FALSE))</f>
        <v/>
      </c>
      <c r="F270" s="63" t="s">
        <v>224</v>
      </c>
      <c r="G270" s="19" t="s">
        <v>230</v>
      </c>
      <c r="H270" s="63" t="s">
        <v>350</v>
      </c>
      <c r="I270" s="65" t="s">
        <v>131</v>
      </c>
      <c r="J270" s="68" t="s">
        <v>222</v>
      </c>
      <c r="K270" s="123" t="s">
        <v>222</v>
      </c>
      <c r="L270" s="4" t="s">
        <v>3</v>
      </c>
      <c r="M270" s="61"/>
      <c r="N270" s="15"/>
      <c r="O270" s="59"/>
      <c r="P270" s="59" t="s">
        <v>5</v>
      </c>
      <c r="Q270" s="61"/>
      <c r="R270" s="61"/>
      <c r="S270" s="59"/>
      <c r="T270" s="61"/>
      <c r="U270" s="61"/>
      <c r="V270" s="57"/>
    </row>
    <row r="271" spans="1:24" s="1" customFormat="1" ht="33" customHeight="1" x14ac:dyDescent="0.3">
      <c r="A271" s="16">
        <v>8</v>
      </c>
      <c r="B271" s="23">
        <v>12</v>
      </c>
      <c r="C271" s="27" t="str">
        <f t="shared" si="11"/>
        <v>8.12</v>
      </c>
      <c r="D271" s="12"/>
      <c r="E271" s="64" t="str">
        <f>IF(ISBLANK(D271)=TRUE,"",VLOOKUP(D271,Krav!$C:$F,4,FALSE))</f>
        <v/>
      </c>
      <c r="F271" s="63" t="s">
        <v>224</v>
      </c>
      <c r="G271" s="19" t="s">
        <v>231</v>
      </c>
      <c r="H271" s="63" t="s">
        <v>350</v>
      </c>
      <c r="I271" s="65" t="s">
        <v>131</v>
      </c>
      <c r="J271" s="68" t="s">
        <v>222</v>
      </c>
      <c r="K271" s="123" t="s">
        <v>222</v>
      </c>
      <c r="L271" s="4" t="s">
        <v>3</v>
      </c>
      <c r="M271" s="61"/>
      <c r="N271" s="15"/>
      <c r="O271" s="59"/>
      <c r="P271" s="59" t="s">
        <v>5</v>
      </c>
      <c r="Q271" s="61"/>
      <c r="R271" s="61"/>
      <c r="S271" s="59"/>
      <c r="T271" s="61"/>
      <c r="U271" s="61"/>
      <c r="V271" s="57"/>
    </row>
    <row r="272" spans="1:24" s="1" customFormat="1" ht="33" customHeight="1" x14ac:dyDescent="0.3">
      <c r="A272" s="16">
        <v>8</v>
      </c>
      <c r="B272" s="23">
        <v>13</v>
      </c>
      <c r="C272" s="162" t="str">
        <f t="shared" si="11"/>
        <v>8.13</v>
      </c>
      <c r="D272" s="18"/>
      <c r="E272" s="64" t="str">
        <f>IF(ISBLANK(D272)=TRUE,"",VLOOKUP(D272,Krav!$C:$F,4,FALSE))</f>
        <v/>
      </c>
      <c r="F272" s="63" t="s">
        <v>174</v>
      </c>
      <c r="G272" s="63" t="s">
        <v>231</v>
      </c>
      <c r="H272" s="63" t="s">
        <v>328</v>
      </c>
      <c r="I272" s="100" t="s">
        <v>175</v>
      </c>
      <c r="J272" s="68" t="s">
        <v>222</v>
      </c>
      <c r="K272" s="123" t="s">
        <v>222</v>
      </c>
      <c r="L272" s="20" t="s">
        <v>4</v>
      </c>
      <c r="M272" s="15" t="s">
        <v>131</v>
      </c>
      <c r="N272" s="15" t="s">
        <v>131</v>
      </c>
      <c r="O272" s="61"/>
      <c r="P272" s="59" t="s">
        <v>5</v>
      </c>
      <c r="Q272" s="61"/>
      <c r="R272" s="61"/>
      <c r="S272" s="61"/>
      <c r="T272" s="61"/>
      <c r="U272" s="60"/>
      <c r="V272" s="60"/>
      <c r="W272" s="60"/>
      <c r="X272" s="60"/>
    </row>
    <row r="273" spans="1:24" s="1" customFormat="1" ht="33" customHeight="1" x14ac:dyDescent="0.3">
      <c r="A273" s="16">
        <v>8</v>
      </c>
      <c r="B273" s="23">
        <v>14</v>
      </c>
      <c r="C273" s="162" t="str">
        <f>IF(B273&lt;10,_xlfn.CONCAT(A273,".0",B273),_xlfn.CONCAT(A273,".",B273))</f>
        <v>8.14</v>
      </c>
      <c r="D273" s="18"/>
      <c r="E273" s="64" t="str">
        <f>IF(ISBLANK(D273)=TRUE,"",VLOOKUP(D273,Krav!$C:$F,4,FALSE))</f>
        <v/>
      </c>
      <c r="F273" s="63" t="s">
        <v>418</v>
      </c>
      <c r="G273" s="63" t="s">
        <v>419</v>
      </c>
      <c r="H273" s="63" t="s">
        <v>440</v>
      </c>
      <c r="I273" s="65" t="s">
        <v>129</v>
      </c>
      <c r="J273" s="95" t="s">
        <v>222</v>
      </c>
      <c r="K273" s="123" t="s">
        <v>222</v>
      </c>
      <c r="L273" s="20" t="s">
        <v>4</v>
      </c>
      <c r="M273" s="15" t="s">
        <v>131</v>
      </c>
      <c r="N273" s="15" t="s">
        <v>131</v>
      </c>
      <c r="O273" s="61"/>
      <c r="P273" s="59" t="s">
        <v>5</v>
      </c>
      <c r="Q273" s="61"/>
      <c r="R273" s="61"/>
      <c r="S273" s="61"/>
      <c r="T273" s="61"/>
      <c r="U273" s="60"/>
      <c r="V273" s="60"/>
      <c r="W273" s="60"/>
      <c r="X273" s="60"/>
    </row>
    <row r="274" spans="1:24" s="1" customFormat="1" ht="33" customHeight="1" x14ac:dyDescent="0.3">
      <c r="A274" s="16">
        <v>8</v>
      </c>
      <c r="B274" s="88">
        <v>15</v>
      </c>
      <c r="C274" s="27" t="str">
        <f>IF(B274&lt;10,_xlfn.CONCAT(A274,".0",B274),_xlfn.CONCAT(A274,".",B274))</f>
        <v>8.15</v>
      </c>
      <c r="D274" s="18"/>
      <c r="E274" s="64" t="str">
        <f>IF(ISBLANK(D274)=TRUE,"",VLOOKUP(D274,Krav!$C:$F,4,FALSE))</f>
        <v/>
      </c>
      <c r="F274" s="63" t="s">
        <v>185</v>
      </c>
      <c r="G274" s="63"/>
      <c r="H274" s="63" t="s">
        <v>351</v>
      </c>
      <c r="I274" s="65" t="s">
        <v>293</v>
      </c>
      <c r="J274" s="67" t="s">
        <v>222</v>
      </c>
      <c r="K274" s="123" t="s">
        <v>222</v>
      </c>
      <c r="L274" s="20" t="s">
        <v>3</v>
      </c>
      <c r="M274" s="60"/>
      <c r="N274" s="60"/>
      <c r="O274" s="60"/>
      <c r="P274" s="22" t="s">
        <v>5</v>
      </c>
      <c r="Q274" s="60"/>
      <c r="R274" s="60"/>
      <c r="S274" s="60"/>
      <c r="T274" s="60"/>
      <c r="U274" s="60"/>
      <c r="V274" s="60"/>
      <c r="W274" s="60"/>
      <c r="X274" s="60"/>
    </row>
    <row r="275" spans="1:24" s="1" customFormat="1" ht="33" customHeight="1" x14ac:dyDescent="0.3">
      <c r="A275" s="16">
        <v>8</v>
      </c>
      <c r="B275" s="23">
        <v>16</v>
      </c>
      <c r="C275" s="27" t="str">
        <f>IF(B275&lt;10,_xlfn.CONCAT(A275,".0",B275),_xlfn.CONCAT(A275,".",B275))</f>
        <v>8.16</v>
      </c>
      <c r="D275" s="18"/>
      <c r="E275" s="64" t="str">
        <f>IF(ISBLANK(D275)=TRUE,"",VLOOKUP(D275,Krav!$C:$F,4,FALSE))</f>
        <v/>
      </c>
      <c r="F275" s="63" t="s">
        <v>418</v>
      </c>
      <c r="G275" s="63" t="s">
        <v>1364</v>
      </c>
      <c r="H275" s="63" t="s">
        <v>1365</v>
      </c>
      <c r="I275" s="65" t="s">
        <v>129</v>
      </c>
      <c r="J275" s="96" t="s">
        <v>222</v>
      </c>
      <c r="K275" s="123" t="s">
        <v>222</v>
      </c>
      <c r="L275" s="20" t="s">
        <v>3</v>
      </c>
      <c r="M275" s="60"/>
      <c r="N275" s="60"/>
      <c r="O275" s="60"/>
      <c r="P275" s="22"/>
      <c r="Q275" s="60"/>
      <c r="R275" s="60"/>
      <c r="S275" s="60"/>
      <c r="T275" s="60"/>
      <c r="U275" s="60"/>
      <c r="V275" s="60"/>
      <c r="W275" s="60"/>
      <c r="X275" s="60"/>
    </row>
    <row r="276" spans="1:24" s="89" customFormat="1" ht="33" customHeight="1" x14ac:dyDescent="0.3">
      <c r="A276" s="16">
        <v>8</v>
      </c>
      <c r="B276" s="88">
        <v>17</v>
      </c>
      <c r="C276" s="27" t="str">
        <f>IF(B276&lt;10,_xlfn.CONCAT(A276,".0",B276),_xlfn.CONCAT(A276,".",B276))</f>
        <v>8.17</v>
      </c>
      <c r="D276" s="12"/>
      <c r="E276" s="64" t="str">
        <f>IF(ISBLANK(D276)=TRUE,"",VLOOKUP(D276,Krav!$C:$F,4,FALSE))</f>
        <v/>
      </c>
      <c r="F276" s="63" t="s">
        <v>418</v>
      </c>
      <c r="G276" s="63" t="s">
        <v>445</v>
      </c>
      <c r="H276" s="63" t="s">
        <v>447</v>
      </c>
      <c r="I276" s="65" t="s">
        <v>129</v>
      </c>
      <c r="J276" s="94" t="s">
        <v>222</v>
      </c>
      <c r="K276" s="128" t="s">
        <v>222</v>
      </c>
      <c r="L276" s="4" t="s">
        <v>3</v>
      </c>
      <c r="M276" s="61" t="s">
        <v>129</v>
      </c>
      <c r="N276" s="61" t="s">
        <v>131</v>
      </c>
      <c r="O276" s="61"/>
      <c r="P276" s="22" t="s">
        <v>5</v>
      </c>
      <c r="Q276" s="61"/>
      <c r="R276" s="61"/>
      <c r="S276" s="61"/>
      <c r="T276" s="61"/>
      <c r="U276" s="61"/>
      <c r="V276" s="61"/>
      <c r="W276" s="61"/>
      <c r="X276" s="61"/>
    </row>
    <row r="277" spans="1:24" s="89" customFormat="1" ht="33" customHeight="1" x14ac:dyDescent="0.3">
      <c r="A277" s="16">
        <v>8</v>
      </c>
      <c r="B277" s="23">
        <v>18</v>
      </c>
      <c r="C277" s="27" t="str">
        <f>IF(B277&lt;10,_xlfn.CONCAT(A277,".0",B277),_xlfn.CONCAT(A277,".",B277))</f>
        <v>8.18</v>
      </c>
      <c r="D277" s="12"/>
      <c r="E277" s="64" t="str">
        <f>IF(ISBLANK(D277)=TRUE,"",VLOOKUP(D277,Krav!$C:$F,4,FALSE))</f>
        <v/>
      </c>
      <c r="F277" s="63" t="s">
        <v>418</v>
      </c>
      <c r="G277" s="63" t="s">
        <v>446</v>
      </c>
      <c r="H277" s="63" t="s">
        <v>453</v>
      </c>
      <c r="I277" s="65" t="s">
        <v>129</v>
      </c>
      <c r="J277" s="94" t="s">
        <v>222</v>
      </c>
      <c r="K277" s="128" t="s">
        <v>222</v>
      </c>
      <c r="L277" s="4" t="s">
        <v>3</v>
      </c>
      <c r="M277" s="61" t="s">
        <v>131</v>
      </c>
      <c r="N277" s="61" t="s">
        <v>129</v>
      </c>
      <c r="O277" s="61"/>
      <c r="P277" s="22" t="s">
        <v>5</v>
      </c>
      <c r="Q277" s="61"/>
      <c r="R277" s="61"/>
      <c r="S277" s="61"/>
      <c r="T277" s="61"/>
      <c r="U277" s="61"/>
      <c r="V277" s="61"/>
      <c r="W277" s="61"/>
      <c r="X277" s="61"/>
    </row>
    <row r="278" spans="1:24" s="57" customFormat="1" ht="16.5" customHeight="1" x14ac:dyDescent="0.3">
      <c r="A278" s="2"/>
      <c r="B278" s="2"/>
      <c r="C278" s="3"/>
      <c r="D278" s="3"/>
      <c r="E278" s="9"/>
      <c r="F278" s="9"/>
      <c r="G278" s="3"/>
      <c r="H278" s="10"/>
      <c r="I278" s="1"/>
      <c r="J278" s="1"/>
      <c r="K278" s="1"/>
      <c r="L278" s="3"/>
      <c r="M278" s="3"/>
      <c r="N278" s="3"/>
      <c r="O278" s="3"/>
      <c r="P278" s="3"/>
      <c r="Q278" s="3"/>
      <c r="R278" s="3"/>
      <c r="S278" s="3"/>
      <c r="T278" s="3"/>
    </row>
    <row r="279" spans="1:24" s="57" customFormat="1" ht="16.5" customHeight="1" x14ac:dyDescent="0.3">
      <c r="E279" s="5"/>
      <c r="F279" s="5"/>
      <c r="H279" s="5"/>
      <c r="M279" s="58" t="s">
        <v>26</v>
      </c>
      <c r="N279" s="58" t="s">
        <v>166</v>
      </c>
      <c r="O279" s="58" t="s">
        <v>334</v>
      </c>
      <c r="P279" s="58" t="s">
        <v>335</v>
      </c>
      <c r="Q279" s="58" t="s">
        <v>8</v>
      </c>
      <c r="R279" s="58" t="s">
        <v>8</v>
      </c>
      <c r="S279" s="58" t="s">
        <v>8</v>
      </c>
      <c r="T279" s="58" t="s">
        <v>8</v>
      </c>
      <c r="U279" s="58" t="s">
        <v>8</v>
      </c>
      <c r="V279" s="58" t="s">
        <v>8</v>
      </c>
      <c r="W279" s="58" t="s">
        <v>8</v>
      </c>
      <c r="X279" s="58" t="s">
        <v>8</v>
      </c>
    </row>
    <row r="280" spans="1:24" s="57" customFormat="1" ht="14.4" x14ac:dyDescent="0.3">
      <c r="E280" s="5"/>
      <c r="F280" s="5"/>
      <c r="H280" s="5"/>
      <c r="M280" s="58" t="s">
        <v>21</v>
      </c>
      <c r="N280" s="58" t="s">
        <v>21</v>
      </c>
      <c r="O280" s="58" t="s">
        <v>12</v>
      </c>
      <c r="P280" s="58" t="s">
        <v>12</v>
      </c>
      <c r="Q280" s="58" t="s">
        <v>11</v>
      </c>
      <c r="R280" s="58" t="s">
        <v>11</v>
      </c>
      <c r="S280" s="58" t="s">
        <v>11</v>
      </c>
      <c r="T280" s="58" t="s">
        <v>11</v>
      </c>
      <c r="U280" s="58" t="s">
        <v>11</v>
      </c>
      <c r="V280" s="58" t="s">
        <v>11</v>
      </c>
      <c r="W280" s="58" t="s">
        <v>11</v>
      </c>
      <c r="X280" s="58" t="s">
        <v>11</v>
      </c>
    </row>
    <row r="281" spans="1:24" s="1" customFormat="1" ht="15" customHeight="1" x14ac:dyDescent="0.3">
      <c r="A281" s="50" t="s">
        <v>6</v>
      </c>
      <c r="B281" s="51" t="s">
        <v>7</v>
      </c>
      <c r="C281" s="31" t="s">
        <v>0</v>
      </c>
      <c r="D281" s="31" t="s">
        <v>22</v>
      </c>
      <c r="E281" s="52" t="s">
        <v>99</v>
      </c>
      <c r="F281" s="52" t="s">
        <v>216</v>
      </c>
      <c r="G281" s="31" t="s">
        <v>217</v>
      </c>
      <c r="H281" s="52" t="s">
        <v>28</v>
      </c>
      <c r="I281" s="31" t="s">
        <v>218</v>
      </c>
      <c r="J281" s="31" t="s">
        <v>219</v>
      </c>
      <c r="K281" s="31" t="s">
        <v>220</v>
      </c>
      <c r="L281" s="31" t="s">
        <v>1</v>
      </c>
      <c r="M281" s="62" t="s">
        <v>230</v>
      </c>
      <c r="N281" s="62" t="s">
        <v>231</v>
      </c>
      <c r="O281" s="62" t="s">
        <v>361</v>
      </c>
      <c r="P281" s="62" t="s">
        <v>233</v>
      </c>
      <c r="Q281" s="26" t="s">
        <v>9</v>
      </c>
      <c r="R281" s="26" t="s">
        <v>9</v>
      </c>
      <c r="S281" s="26" t="s">
        <v>9</v>
      </c>
      <c r="T281" s="26" t="s">
        <v>9</v>
      </c>
      <c r="U281" s="26" t="s">
        <v>9</v>
      </c>
      <c r="V281" s="26" t="s">
        <v>9</v>
      </c>
      <c r="W281" s="26" t="s">
        <v>9</v>
      </c>
      <c r="X281" s="26" t="s">
        <v>108</v>
      </c>
    </row>
    <row r="282" spans="1:24" s="1" customFormat="1" ht="33" customHeight="1" x14ac:dyDescent="0.3">
      <c r="A282" s="16">
        <v>9</v>
      </c>
      <c r="B282" s="23">
        <v>1</v>
      </c>
      <c r="C282" s="27" t="str">
        <f t="shared" ref="C282:C294" si="12">IF(B282&lt;10,_xlfn.CONCAT(A282,".0",B282),_xlfn.CONCAT(A282,".",B282))</f>
        <v>9.01</v>
      </c>
      <c r="D282" s="18" t="s">
        <v>354</v>
      </c>
      <c r="E282" s="64" t="str">
        <f>IF(ISBLANK(D282)=TRUE,"",VLOOKUP(D282,Krav!$C:$F,4,FALSE))</f>
        <v>9.a.2.2 - Såfremt brugeren vælger "Ja" skal brugeres ledes til spørgsmål 9.a.2.1</v>
      </c>
      <c r="F282" s="53" t="s">
        <v>143</v>
      </c>
      <c r="G282" s="19"/>
      <c r="H282" s="25" t="s">
        <v>337</v>
      </c>
      <c r="I282" s="67" t="s">
        <v>468</v>
      </c>
      <c r="J282" s="67" t="s">
        <v>222</v>
      </c>
      <c r="K282" s="123" t="s">
        <v>222</v>
      </c>
      <c r="L282" s="20" t="s">
        <v>3</v>
      </c>
      <c r="M282" s="61" t="s">
        <v>129</v>
      </c>
      <c r="N282" s="61" t="s">
        <v>131</v>
      </c>
      <c r="O282" s="61"/>
      <c r="P282" s="61" t="s">
        <v>5</v>
      </c>
      <c r="Q282" s="61"/>
      <c r="R282" s="61"/>
      <c r="S282" s="61"/>
      <c r="T282" s="61"/>
      <c r="U282" s="60"/>
      <c r="V282" s="60"/>
      <c r="W282" s="60"/>
      <c r="X282" s="60"/>
    </row>
    <row r="283" spans="1:24" s="1" customFormat="1" ht="33" customHeight="1" x14ac:dyDescent="0.3">
      <c r="A283" s="16">
        <v>9</v>
      </c>
      <c r="B283" s="23">
        <v>2</v>
      </c>
      <c r="C283" s="27" t="str">
        <f t="shared" si="12"/>
        <v>9.02</v>
      </c>
      <c r="D283" s="18" t="s">
        <v>355</v>
      </c>
      <c r="E283" s="64" t="str">
        <f>IF(ISBLANK(D283)=TRUE,"",VLOOKUP(D283,Krav!$C:$F,4,FALSE))</f>
        <v>9.a.2.3 - Såfremt brugeren vælger "Nej" skal brugeres ledes til spørgsmål 9.a.2.2</v>
      </c>
      <c r="F283" s="53" t="s">
        <v>143</v>
      </c>
      <c r="G283" s="19"/>
      <c r="H283" s="25" t="s">
        <v>356</v>
      </c>
      <c r="I283" s="67" t="s">
        <v>365</v>
      </c>
      <c r="J283" s="67" t="s">
        <v>222</v>
      </c>
      <c r="K283" s="123" t="s">
        <v>222</v>
      </c>
      <c r="L283" s="20" t="s">
        <v>3</v>
      </c>
      <c r="M283" s="61" t="s">
        <v>131</v>
      </c>
      <c r="N283" s="61" t="s">
        <v>129</v>
      </c>
      <c r="O283" s="61"/>
      <c r="P283" s="61" t="s">
        <v>5</v>
      </c>
      <c r="Q283" s="61"/>
      <c r="R283" s="61"/>
      <c r="S283" s="61"/>
      <c r="T283" s="61"/>
      <c r="U283" s="60"/>
      <c r="V283" s="60"/>
      <c r="W283" s="60"/>
      <c r="X283" s="60"/>
    </row>
    <row r="284" spans="1:24" s="1" customFormat="1" ht="33" customHeight="1" x14ac:dyDescent="0.3">
      <c r="A284" s="16">
        <v>9</v>
      </c>
      <c r="B284" s="23">
        <v>3</v>
      </c>
      <c r="C284" s="27" t="str">
        <f t="shared" si="12"/>
        <v>9.03</v>
      </c>
      <c r="D284" s="18" t="s">
        <v>355</v>
      </c>
      <c r="E284" s="64" t="str">
        <f>IF(ISBLANK(D284)=TRUE,"",VLOOKUP(D284,Krav!$C:$F,4,FALSE))</f>
        <v>9.a.2.3 - Såfremt brugeren vælger "Nej" skal brugeres ledes til spørgsmål 9.a.2.2</v>
      </c>
      <c r="F284" s="53" t="s">
        <v>225</v>
      </c>
      <c r="G284" s="19" t="s">
        <v>231</v>
      </c>
      <c r="H284" s="25" t="s">
        <v>284</v>
      </c>
      <c r="I284" s="67" t="s">
        <v>166</v>
      </c>
      <c r="J284" s="67" t="s">
        <v>222</v>
      </c>
      <c r="K284" s="123" t="s">
        <v>222</v>
      </c>
      <c r="L284" s="20" t="s">
        <v>3</v>
      </c>
      <c r="M284" s="61" t="s">
        <v>131</v>
      </c>
      <c r="N284" s="61" t="s">
        <v>129</v>
      </c>
      <c r="O284" s="61"/>
      <c r="P284" s="61" t="s">
        <v>5</v>
      </c>
      <c r="Q284" s="61"/>
      <c r="R284" s="61"/>
      <c r="S284" s="61"/>
      <c r="T284" s="61"/>
      <c r="U284" s="60"/>
      <c r="V284" s="60"/>
      <c r="W284" s="60"/>
      <c r="X284" s="60"/>
    </row>
    <row r="285" spans="1:24" s="1" customFormat="1" ht="33" customHeight="1" x14ac:dyDescent="0.3">
      <c r="A285" s="16">
        <v>9</v>
      </c>
      <c r="B285" s="23">
        <v>4</v>
      </c>
      <c r="C285" s="27" t="str">
        <f t="shared" si="12"/>
        <v>9.04</v>
      </c>
      <c r="D285" s="18" t="s">
        <v>357</v>
      </c>
      <c r="E285" s="64" t="str">
        <f>IF(ISBLANK(D285)=TRUE,"",VLOOKUP(D285,Krav!$C:$F,4,FALSE))</f>
        <v>9.a.2.1.1 - Gruppe 1 deaktiveres</v>
      </c>
      <c r="F285" s="53" t="s">
        <v>227</v>
      </c>
      <c r="G285" s="53" t="s">
        <v>342</v>
      </c>
      <c r="H285" s="25" t="s">
        <v>366</v>
      </c>
      <c r="I285" s="67" t="s">
        <v>241</v>
      </c>
      <c r="J285" s="67" t="s">
        <v>222</v>
      </c>
      <c r="K285" s="123" t="s">
        <v>222</v>
      </c>
      <c r="L285" s="20" t="s">
        <v>3</v>
      </c>
      <c r="M285" s="61" t="s">
        <v>129</v>
      </c>
      <c r="N285" s="61" t="s">
        <v>131</v>
      </c>
      <c r="O285" s="61" t="s">
        <v>412</v>
      </c>
      <c r="P285" s="61" t="s">
        <v>5</v>
      </c>
      <c r="Q285" s="61"/>
      <c r="R285" s="61"/>
      <c r="S285" s="61"/>
      <c r="T285" s="61"/>
      <c r="U285" s="60"/>
      <c r="V285" s="60"/>
      <c r="W285" s="60"/>
      <c r="X285" s="60"/>
    </row>
    <row r="286" spans="1:24" s="1" customFormat="1" ht="33" customHeight="1" x14ac:dyDescent="0.3">
      <c r="A286" s="16">
        <v>9</v>
      </c>
      <c r="B286" s="23">
        <v>5</v>
      </c>
      <c r="C286" s="27" t="str">
        <f t="shared" si="12"/>
        <v>9.05</v>
      </c>
      <c r="D286" s="18" t="s">
        <v>358</v>
      </c>
      <c r="E286" s="64" t="str">
        <f>IF(ISBLANK(D286)=TRUE,"",VLOOKUP(D286,Krav!$C:$F,4,FALSE))</f>
        <v>9.a.2.1.2 - Gruppe 2 aktiveres</v>
      </c>
      <c r="F286" s="53" t="s">
        <v>227</v>
      </c>
      <c r="G286" s="53" t="s">
        <v>342</v>
      </c>
      <c r="H286" s="25" t="s">
        <v>367</v>
      </c>
      <c r="I286" s="67" t="s">
        <v>240</v>
      </c>
      <c r="J286" s="67" t="s">
        <v>222</v>
      </c>
      <c r="K286" s="123" t="s">
        <v>222</v>
      </c>
      <c r="L286" s="20" t="s">
        <v>3</v>
      </c>
      <c r="M286" s="61" t="s">
        <v>129</v>
      </c>
      <c r="N286" s="61" t="s">
        <v>131</v>
      </c>
      <c r="O286" s="61" t="s">
        <v>411</v>
      </c>
      <c r="P286" s="61" t="s">
        <v>5</v>
      </c>
      <c r="Q286" s="61"/>
      <c r="R286" s="61"/>
      <c r="S286" s="61"/>
      <c r="T286" s="61"/>
      <c r="U286" s="60"/>
      <c r="V286" s="60"/>
      <c r="W286" s="60"/>
      <c r="X286" s="60"/>
    </row>
    <row r="287" spans="1:24" s="1" customFormat="1" ht="33" customHeight="1" x14ac:dyDescent="0.3">
      <c r="A287" s="16">
        <v>9</v>
      </c>
      <c r="B287" s="23">
        <v>6</v>
      </c>
      <c r="C287" s="27" t="str">
        <f t="shared" si="12"/>
        <v>9.06</v>
      </c>
      <c r="D287" s="18"/>
      <c r="E287" s="64" t="str">
        <f>IF(ISBLANK(D287)=TRUE,"",VLOOKUP(D287,Krav!$C:$F,4,FALSE))</f>
        <v/>
      </c>
      <c r="F287" s="53" t="s">
        <v>225</v>
      </c>
      <c r="G287" s="19" t="s">
        <v>230</v>
      </c>
      <c r="H287" s="25" t="s">
        <v>284</v>
      </c>
      <c r="I287" s="67" t="s">
        <v>26</v>
      </c>
      <c r="J287" s="67" t="s">
        <v>222</v>
      </c>
      <c r="K287" s="123" t="s">
        <v>222</v>
      </c>
      <c r="L287" s="20" t="s">
        <v>3</v>
      </c>
      <c r="M287" s="61" t="s">
        <v>129</v>
      </c>
      <c r="N287" s="61" t="s">
        <v>131</v>
      </c>
      <c r="O287" s="61"/>
      <c r="P287" s="61" t="s">
        <v>5</v>
      </c>
      <c r="Q287" s="61"/>
      <c r="R287" s="61"/>
      <c r="S287" s="61"/>
      <c r="T287" s="61"/>
      <c r="U287" s="60"/>
      <c r="V287" s="60"/>
      <c r="W287" s="60"/>
      <c r="X287" s="60"/>
    </row>
    <row r="288" spans="1:24" s="1" customFormat="1" ht="33" customHeight="1" x14ac:dyDescent="0.3">
      <c r="A288" s="16">
        <v>9</v>
      </c>
      <c r="B288" s="23">
        <v>7</v>
      </c>
      <c r="C288" s="27" t="str">
        <f t="shared" si="12"/>
        <v>9.07</v>
      </c>
      <c r="D288" s="18" t="s">
        <v>359</v>
      </c>
      <c r="E288" s="64" t="str">
        <f>IF(ISBLANK(D288)=TRUE,"",VLOOKUP(D288,Krav!$C:$F,4,FALSE))</f>
        <v>9.a.2.1.3 - Der angives et ”JA” i populationen under ”Stoler RIM på fordringshaveres forældelsesdato?”</v>
      </c>
      <c r="F288" s="53" t="s">
        <v>221</v>
      </c>
      <c r="G288" s="19" t="s">
        <v>352</v>
      </c>
      <c r="H288" s="25" t="s">
        <v>345</v>
      </c>
      <c r="I288" s="67" t="s">
        <v>240</v>
      </c>
      <c r="J288" s="67" t="s">
        <v>222</v>
      </c>
      <c r="K288" s="123" t="s">
        <v>222</v>
      </c>
      <c r="L288" s="20" t="s">
        <v>3</v>
      </c>
      <c r="M288" s="61" t="s">
        <v>129</v>
      </c>
      <c r="N288" s="61" t="s">
        <v>131</v>
      </c>
      <c r="O288" s="61"/>
      <c r="P288" s="61" t="s">
        <v>5</v>
      </c>
      <c r="Q288" s="61"/>
      <c r="R288" s="61"/>
      <c r="S288" s="61"/>
      <c r="T288" s="61"/>
      <c r="U288" s="60"/>
      <c r="V288" s="60"/>
      <c r="W288" s="60"/>
      <c r="X288" s="60"/>
    </row>
    <row r="289" spans="1:24" s="1" customFormat="1" ht="33" customHeight="1" x14ac:dyDescent="0.3">
      <c r="A289" s="16">
        <v>9</v>
      </c>
      <c r="B289" s="23">
        <v>8</v>
      </c>
      <c r="C289" s="27" t="str">
        <f t="shared" si="12"/>
        <v>9.08</v>
      </c>
      <c r="D289" s="18" t="s">
        <v>360</v>
      </c>
      <c r="E289" s="64" t="str">
        <f>IF(ISBLANK(D289)=TRUE,"",VLOOKUP(D289,Krav!$C:$F,4,FALSE))</f>
        <v>9.a.2.1.4 - Der angives et ”NEJ” i populationen under ”Vil RIM beregne en tidligst mulig forældel-sesdato?”</v>
      </c>
      <c r="F289" s="53" t="s">
        <v>221</v>
      </c>
      <c r="G289" s="19" t="s">
        <v>353</v>
      </c>
      <c r="H289" s="25" t="s">
        <v>347</v>
      </c>
      <c r="I289" s="67" t="s">
        <v>241</v>
      </c>
      <c r="J289" s="67" t="s">
        <v>222</v>
      </c>
      <c r="K289" s="123" t="s">
        <v>222</v>
      </c>
      <c r="L289" s="20" t="s">
        <v>3</v>
      </c>
      <c r="M289" s="61" t="s">
        <v>129</v>
      </c>
      <c r="N289" s="61" t="s">
        <v>131</v>
      </c>
      <c r="O289" s="61"/>
      <c r="P289" s="61" t="s">
        <v>5</v>
      </c>
      <c r="Q289" s="61"/>
      <c r="R289" s="61"/>
      <c r="S289" s="61"/>
      <c r="T289" s="61"/>
      <c r="U289" s="60"/>
      <c r="V289" s="60"/>
      <c r="W289" s="60"/>
      <c r="X289" s="60"/>
    </row>
    <row r="290" spans="1:24" s="1" customFormat="1" ht="33" customHeight="1" x14ac:dyDescent="0.3">
      <c r="A290" s="16">
        <v>9</v>
      </c>
      <c r="B290" s="23">
        <v>9</v>
      </c>
      <c r="C290" s="27" t="str">
        <f t="shared" si="12"/>
        <v>9.09</v>
      </c>
      <c r="D290" s="18"/>
      <c r="E290" s="64" t="str">
        <f>IF(ISBLANK(D290)=TRUE,"",VLOOKUP(D290,Krav!$C:$F,4,FALSE))</f>
        <v/>
      </c>
      <c r="F290" s="53" t="s">
        <v>224</v>
      </c>
      <c r="G290" s="19" t="s">
        <v>230</v>
      </c>
      <c r="H290" s="64" t="s">
        <v>362</v>
      </c>
      <c r="I290" s="66" t="s">
        <v>129</v>
      </c>
      <c r="J290" s="67" t="s">
        <v>222</v>
      </c>
      <c r="K290" s="123" t="s">
        <v>222</v>
      </c>
      <c r="L290" s="20" t="s">
        <v>3</v>
      </c>
      <c r="M290" s="61" t="s">
        <v>129</v>
      </c>
      <c r="N290" s="61" t="s">
        <v>131</v>
      </c>
      <c r="O290" s="61"/>
      <c r="P290" s="61" t="s">
        <v>5</v>
      </c>
      <c r="Q290" s="61"/>
      <c r="R290" s="61"/>
      <c r="S290" s="61"/>
      <c r="T290" s="61"/>
      <c r="U290" s="60"/>
      <c r="V290" s="60"/>
      <c r="W290" s="60"/>
      <c r="X290" s="60"/>
    </row>
    <row r="291" spans="1:24" s="1" customFormat="1" ht="33" customHeight="1" x14ac:dyDescent="0.3">
      <c r="A291" s="16">
        <v>9</v>
      </c>
      <c r="B291" s="23">
        <v>10</v>
      </c>
      <c r="C291" s="27" t="str">
        <f t="shared" si="12"/>
        <v>9.10</v>
      </c>
      <c r="D291" s="18"/>
      <c r="E291" s="64" t="str">
        <f>IF(ISBLANK(D291)=TRUE,"",VLOOKUP(D291,Krav!$C:$F,4,FALSE))</f>
        <v/>
      </c>
      <c r="F291" s="53" t="s">
        <v>224</v>
      </c>
      <c r="G291" s="19" t="s">
        <v>231</v>
      </c>
      <c r="H291" s="64" t="s">
        <v>363</v>
      </c>
      <c r="I291" s="66" t="s">
        <v>129</v>
      </c>
      <c r="J291" s="67" t="s">
        <v>222</v>
      </c>
      <c r="K291" s="123" t="s">
        <v>222</v>
      </c>
      <c r="L291" s="20" t="s">
        <v>3</v>
      </c>
      <c r="M291" s="61" t="s">
        <v>131</v>
      </c>
      <c r="N291" s="61" t="s">
        <v>129</v>
      </c>
      <c r="O291" s="61"/>
      <c r="P291" s="61" t="s">
        <v>5</v>
      </c>
      <c r="Q291" s="61"/>
      <c r="R291" s="61"/>
      <c r="S291" s="61"/>
      <c r="T291" s="61"/>
      <c r="U291" s="60"/>
      <c r="V291" s="60"/>
      <c r="W291" s="60"/>
      <c r="X291" s="60"/>
    </row>
    <row r="292" spans="1:24" s="1" customFormat="1" ht="33" customHeight="1" x14ac:dyDescent="0.3">
      <c r="A292" s="16">
        <v>9</v>
      </c>
      <c r="B292" s="23">
        <v>11</v>
      </c>
      <c r="C292" s="162" t="str">
        <f t="shared" si="12"/>
        <v>9.11</v>
      </c>
      <c r="D292" s="12"/>
      <c r="E292" s="64" t="str">
        <f>IF(ISBLANK(D292)=TRUE,"",VLOOKUP(D292,Krav!$C:$F,4,FALSE))</f>
        <v/>
      </c>
      <c r="F292" s="63" t="s">
        <v>224</v>
      </c>
      <c r="G292" s="19" t="s">
        <v>230</v>
      </c>
      <c r="H292" s="63" t="s">
        <v>364</v>
      </c>
      <c r="I292" s="65" t="s">
        <v>131</v>
      </c>
      <c r="J292" s="68" t="s">
        <v>222</v>
      </c>
      <c r="K292" s="123" t="s">
        <v>222</v>
      </c>
      <c r="L292" s="4" t="s">
        <v>3</v>
      </c>
      <c r="M292" s="61"/>
      <c r="N292" s="15"/>
      <c r="O292" s="59"/>
      <c r="P292" s="59" t="s">
        <v>5</v>
      </c>
      <c r="Q292" s="61"/>
      <c r="R292" s="61"/>
      <c r="S292" s="59"/>
      <c r="T292" s="61"/>
      <c r="U292" s="61"/>
      <c r="V292" s="57"/>
    </row>
    <row r="293" spans="1:24" s="1" customFormat="1" ht="33" customHeight="1" x14ac:dyDescent="0.3">
      <c r="A293" s="16">
        <v>9</v>
      </c>
      <c r="B293" s="23">
        <v>12</v>
      </c>
      <c r="C293" s="27" t="str">
        <f t="shared" si="12"/>
        <v>9.12</v>
      </c>
      <c r="D293" s="12"/>
      <c r="E293" s="64" t="str">
        <f>IF(ISBLANK(D293)=TRUE,"",VLOOKUP(D293,Krav!$C:$F,4,FALSE))</f>
        <v/>
      </c>
      <c r="F293" s="63" t="s">
        <v>224</v>
      </c>
      <c r="G293" s="19" t="s">
        <v>231</v>
      </c>
      <c r="H293" s="63" t="s">
        <v>364</v>
      </c>
      <c r="I293" s="65" t="s">
        <v>131</v>
      </c>
      <c r="J293" s="68" t="s">
        <v>222</v>
      </c>
      <c r="K293" s="123" t="s">
        <v>222</v>
      </c>
      <c r="L293" s="4" t="s">
        <v>3</v>
      </c>
      <c r="M293" s="61"/>
      <c r="N293" s="15"/>
      <c r="O293" s="59"/>
      <c r="P293" s="59" t="s">
        <v>5</v>
      </c>
      <c r="Q293" s="61"/>
      <c r="R293" s="61"/>
      <c r="S293" s="59"/>
      <c r="T293" s="61"/>
      <c r="U293" s="61"/>
      <c r="V293" s="57"/>
    </row>
    <row r="294" spans="1:24" s="1" customFormat="1" ht="33" customHeight="1" x14ac:dyDescent="0.3">
      <c r="A294" s="16">
        <v>9</v>
      </c>
      <c r="B294" s="23">
        <v>13</v>
      </c>
      <c r="C294" s="162" t="str">
        <f t="shared" si="12"/>
        <v>9.13</v>
      </c>
      <c r="D294" s="18"/>
      <c r="E294" s="64" t="str">
        <f>IF(ISBLANK(D294)=TRUE,"",VLOOKUP(D294,Krav!$C:$F,4,FALSE))</f>
        <v/>
      </c>
      <c r="F294" s="97" t="s">
        <v>174</v>
      </c>
      <c r="G294" s="98" t="s">
        <v>231</v>
      </c>
      <c r="H294" s="99" t="s">
        <v>328</v>
      </c>
      <c r="I294" s="100" t="s">
        <v>175</v>
      </c>
      <c r="J294" s="67" t="s">
        <v>222</v>
      </c>
      <c r="K294" s="123" t="s">
        <v>222</v>
      </c>
      <c r="L294" s="20" t="s">
        <v>4</v>
      </c>
      <c r="M294" s="15" t="s">
        <v>131</v>
      </c>
      <c r="N294" s="15" t="s">
        <v>131</v>
      </c>
      <c r="O294" s="61"/>
      <c r="P294" s="59" t="s">
        <v>5</v>
      </c>
      <c r="Q294" s="61"/>
      <c r="R294" s="61"/>
      <c r="S294" s="61"/>
      <c r="T294" s="61"/>
      <c r="U294" s="60"/>
      <c r="V294" s="60"/>
      <c r="W294" s="60"/>
      <c r="X294" s="60"/>
    </row>
    <row r="295" spans="1:24" s="1" customFormat="1" ht="33" customHeight="1" x14ac:dyDescent="0.3">
      <c r="A295" s="16">
        <v>9</v>
      </c>
      <c r="B295" s="23">
        <v>14</v>
      </c>
      <c r="C295" s="162" t="str">
        <f>IF(B295&lt;10,_xlfn.CONCAT(A295,".0",B295),_xlfn.CONCAT(A295,".",B295))</f>
        <v>9.14</v>
      </c>
      <c r="D295" s="18"/>
      <c r="E295" s="64" t="str">
        <f>IF(ISBLANK(D295)=TRUE,"",VLOOKUP(D295,Krav!$C:$F,4,FALSE))</f>
        <v/>
      </c>
      <c r="F295" s="101" t="s">
        <v>418</v>
      </c>
      <c r="G295" s="101" t="s">
        <v>419</v>
      </c>
      <c r="H295" s="102" t="s">
        <v>440</v>
      </c>
      <c r="I295" s="103" t="s">
        <v>129</v>
      </c>
      <c r="J295" s="96" t="s">
        <v>222</v>
      </c>
      <c r="K295" s="123" t="s">
        <v>222</v>
      </c>
      <c r="L295" s="20" t="s">
        <v>4</v>
      </c>
      <c r="M295" s="15" t="s">
        <v>131</v>
      </c>
      <c r="N295" s="15" t="s">
        <v>131</v>
      </c>
      <c r="O295" s="61"/>
      <c r="P295" s="59" t="s">
        <v>5</v>
      </c>
      <c r="Q295" s="61"/>
      <c r="R295" s="61"/>
      <c r="S295" s="61"/>
      <c r="T295" s="61"/>
      <c r="U295" s="60"/>
      <c r="V295" s="60"/>
      <c r="W295" s="60"/>
      <c r="X295" s="60"/>
    </row>
    <row r="296" spans="1:24" s="1" customFormat="1" ht="33" customHeight="1" x14ac:dyDescent="0.3">
      <c r="A296" s="16">
        <v>9</v>
      </c>
      <c r="B296" s="23">
        <v>15</v>
      </c>
      <c r="C296" s="27" t="str">
        <f>IF(B296&lt;10,_xlfn.CONCAT(A296,".0",B296),_xlfn.CONCAT(A296,".",B296))</f>
        <v>9.15</v>
      </c>
      <c r="D296" s="18"/>
      <c r="E296" s="64" t="str">
        <f>IF(ISBLANK(D296)=TRUE,"",VLOOKUP(D296,Krav!$C:$F,4,FALSE))</f>
        <v/>
      </c>
      <c r="F296" s="19" t="s">
        <v>185</v>
      </c>
      <c r="G296" s="19"/>
      <c r="H296" s="25" t="s">
        <v>351</v>
      </c>
      <c r="I296" s="65" t="s">
        <v>298</v>
      </c>
      <c r="J296" s="67" t="s">
        <v>222</v>
      </c>
      <c r="K296" s="123" t="s">
        <v>222</v>
      </c>
      <c r="L296" s="20" t="s">
        <v>3</v>
      </c>
      <c r="M296" s="61"/>
      <c r="N296" s="61"/>
      <c r="O296" s="61"/>
      <c r="P296" s="59" t="s">
        <v>5</v>
      </c>
      <c r="Q296" s="61"/>
      <c r="R296" s="61"/>
      <c r="S296" s="61"/>
      <c r="T296" s="61"/>
      <c r="U296" s="60"/>
      <c r="V296" s="60"/>
      <c r="W296" s="60"/>
      <c r="X296" s="60"/>
    </row>
    <row r="297" spans="1:24" s="1" customFormat="1" ht="33" customHeight="1" x14ac:dyDescent="0.3">
      <c r="A297" s="16">
        <v>9</v>
      </c>
      <c r="B297" s="23">
        <v>16</v>
      </c>
      <c r="C297" s="162" t="str">
        <f>IF(B297&lt;10,_xlfn.CONCAT(A297,".0",B297),_xlfn.CONCAT(A297,".",B297))</f>
        <v>9.16</v>
      </c>
      <c r="D297" s="18"/>
      <c r="E297" s="64" t="str">
        <f>IF(ISBLANK(D297)=TRUE,"",VLOOKUP(D297,Krav!$C:$F,4,FALSE))</f>
        <v/>
      </c>
      <c r="F297" s="91" t="s">
        <v>418</v>
      </c>
      <c r="G297" s="91" t="s">
        <v>1364</v>
      </c>
      <c r="H297" s="81" t="s">
        <v>1365</v>
      </c>
      <c r="I297" s="91" t="s">
        <v>129</v>
      </c>
      <c r="J297" s="96" t="s">
        <v>222</v>
      </c>
      <c r="K297" s="123" t="s">
        <v>222</v>
      </c>
      <c r="L297" s="20" t="s">
        <v>3</v>
      </c>
      <c r="M297" s="61"/>
      <c r="N297" s="61"/>
      <c r="O297" s="61"/>
      <c r="P297" s="22"/>
      <c r="Q297" s="61"/>
      <c r="R297" s="61"/>
      <c r="S297" s="61"/>
      <c r="T297" s="61"/>
      <c r="U297" s="60"/>
      <c r="V297" s="60"/>
      <c r="W297" s="60"/>
      <c r="X297" s="60"/>
    </row>
    <row r="298" spans="1:24" s="89" customFormat="1" ht="33" customHeight="1" x14ac:dyDescent="0.3">
      <c r="A298" s="16">
        <v>9</v>
      </c>
      <c r="B298" s="23">
        <v>17</v>
      </c>
      <c r="C298" s="27" t="str">
        <f>IF(B298&lt;10,_xlfn.CONCAT(A298,".0",B298),_xlfn.CONCAT(A298,".",B298))</f>
        <v>9.17</v>
      </c>
      <c r="D298" s="12"/>
      <c r="E298" s="64" t="str">
        <f>IF(ISBLANK(D298)=TRUE,"",VLOOKUP(D298,Krav!$C:$F,4,FALSE))</f>
        <v/>
      </c>
      <c r="F298" s="91" t="s">
        <v>418</v>
      </c>
      <c r="G298" s="92" t="s">
        <v>445</v>
      </c>
      <c r="H298" s="91" t="s">
        <v>447</v>
      </c>
      <c r="I298" s="93" t="s">
        <v>129</v>
      </c>
      <c r="J298" s="94" t="s">
        <v>222</v>
      </c>
      <c r="K298" s="128" t="s">
        <v>222</v>
      </c>
      <c r="L298" s="4" t="s">
        <v>3</v>
      </c>
      <c r="M298" s="61" t="s">
        <v>129</v>
      </c>
      <c r="N298" s="61" t="s">
        <v>131</v>
      </c>
      <c r="O298" s="61"/>
      <c r="P298" s="22" t="s">
        <v>5</v>
      </c>
      <c r="Q298" s="61"/>
      <c r="R298" s="61"/>
      <c r="S298" s="61"/>
      <c r="T298" s="61"/>
      <c r="U298" s="61"/>
      <c r="V298" s="61"/>
      <c r="W298" s="61"/>
      <c r="X298" s="61"/>
    </row>
    <row r="299" spans="1:24" s="89" customFormat="1" ht="33" customHeight="1" x14ac:dyDescent="0.3">
      <c r="A299" s="16">
        <v>9</v>
      </c>
      <c r="B299" s="23">
        <v>18</v>
      </c>
      <c r="C299" s="27" t="str">
        <f>IF(B299&lt;10,_xlfn.CONCAT(A299,".0",B299),_xlfn.CONCAT(A299,".",B299))</f>
        <v>9.18</v>
      </c>
      <c r="D299" s="12"/>
      <c r="E299" s="64" t="str">
        <f>IF(ISBLANK(D299)=TRUE,"",VLOOKUP(D299,Krav!$C:$F,4,FALSE))</f>
        <v/>
      </c>
      <c r="F299" s="91" t="s">
        <v>418</v>
      </c>
      <c r="G299" s="92" t="s">
        <v>446</v>
      </c>
      <c r="H299" s="91" t="s">
        <v>448</v>
      </c>
      <c r="I299" s="93" t="s">
        <v>129</v>
      </c>
      <c r="J299" s="94" t="s">
        <v>222</v>
      </c>
      <c r="K299" s="128" t="s">
        <v>222</v>
      </c>
      <c r="L299" s="4" t="s">
        <v>3</v>
      </c>
      <c r="M299" s="61" t="s">
        <v>131</v>
      </c>
      <c r="N299" s="61" t="s">
        <v>129</v>
      </c>
      <c r="O299" s="61"/>
      <c r="P299" s="22" t="s">
        <v>5</v>
      </c>
      <c r="Q299" s="61"/>
      <c r="R299" s="61"/>
      <c r="S299" s="61"/>
      <c r="T299" s="61"/>
      <c r="U299" s="61"/>
      <c r="V299" s="61"/>
      <c r="W299" s="61"/>
      <c r="X299" s="61"/>
    </row>
    <row r="300" spans="1:24" s="57" customFormat="1" ht="16.5" customHeight="1" x14ac:dyDescent="0.3">
      <c r="E300" s="5"/>
      <c r="F300" s="5"/>
      <c r="H300" s="5"/>
    </row>
    <row r="301" spans="1:24" s="57" customFormat="1" ht="16.5" customHeight="1" x14ac:dyDescent="0.3">
      <c r="E301" s="5"/>
      <c r="F301" s="5"/>
      <c r="H301" s="5"/>
      <c r="M301" s="58" t="s">
        <v>368</v>
      </c>
      <c r="N301" s="58" t="s">
        <v>369</v>
      </c>
      <c r="O301" s="58" t="s">
        <v>370</v>
      </c>
      <c r="P301" s="58" t="s">
        <v>334</v>
      </c>
      <c r="Q301" s="58" t="s">
        <v>371</v>
      </c>
      <c r="R301" s="58" t="s">
        <v>335</v>
      </c>
      <c r="S301" s="58" t="s">
        <v>8</v>
      </c>
      <c r="T301" s="58" t="s">
        <v>8</v>
      </c>
      <c r="U301" s="58" t="s">
        <v>8</v>
      </c>
      <c r="V301" s="58" t="s">
        <v>8</v>
      </c>
      <c r="W301" s="58" t="s">
        <v>8</v>
      </c>
      <c r="X301" s="58" t="s">
        <v>8</v>
      </c>
    </row>
    <row r="302" spans="1:24" s="57" customFormat="1" ht="14.4" x14ac:dyDescent="0.3">
      <c r="E302" s="5"/>
      <c r="F302" s="5"/>
      <c r="H302" s="5"/>
      <c r="M302" s="58" t="s">
        <v>21</v>
      </c>
      <c r="N302" s="58" t="s">
        <v>21</v>
      </c>
      <c r="O302" s="58" t="s">
        <v>12</v>
      </c>
      <c r="P302" s="58" t="s">
        <v>12</v>
      </c>
      <c r="Q302" s="58" t="s">
        <v>12</v>
      </c>
      <c r="R302" s="58"/>
      <c r="S302" s="58" t="s">
        <v>11</v>
      </c>
      <c r="T302" s="58" t="s">
        <v>11</v>
      </c>
      <c r="U302" s="58" t="s">
        <v>11</v>
      </c>
      <c r="V302" s="58" t="s">
        <v>11</v>
      </c>
      <c r="W302" s="58" t="s">
        <v>11</v>
      </c>
      <c r="X302" s="58" t="s">
        <v>11</v>
      </c>
    </row>
    <row r="303" spans="1:24" s="1" customFormat="1" ht="15" customHeight="1" x14ac:dyDescent="0.3">
      <c r="A303" s="50" t="s">
        <v>6</v>
      </c>
      <c r="B303" s="51" t="s">
        <v>7</v>
      </c>
      <c r="C303" s="31" t="s">
        <v>0</v>
      </c>
      <c r="D303" s="31" t="s">
        <v>22</v>
      </c>
      <c r="E303" s="52" t="s">
        <v>99</v>
      </c>
      <c r="F303" s="52" t="s">
        <v>216</v>
      </c>
      <c r="G303" s="31" t="s">
        <v>217</v>
      </c>
      <c r="H303" s="52" t="s">
        <v>28</v>
      </c>
      <c r="I303" s="31" t="s">
        <v>218</v>
      </c>
      <c r="J303" s="31" t="s">
        <v>219</v>
      </c>
      <c r="K303" s="31" t="s">
        <v>220</v>
      </c>
      <c r="L303" s="31" t="s">
        <v>1</v>
      </c>
      <c r="M303" s="62" t="s">
        <v>230</v>
      </c>
      <c r="N303" s="62" t="s">
        <v>231</v>
      </c>
      <c r="O303" s="62" t="s">
        <v>417</v>
      </c>
      <c r="P303" s="62" t="s">
        <v>361</v>
      </c>
      <c r="Q303" s="62" t="s">
        <v>234</v>
      </c>
      <c r="R303" s="62" t="s">
        <v>233</v>
      </c>
      <c r="S303" s="26" t="s">
        <v>9</v>
      </c>
      <c r="T303" s="26" t="s">
        <v>9</v>
      </c>
      <c r="U303" s="26" t="s">
        <v>9</v>
      </c>
      <c r="V303" s="26" t="s">
        <v>9</v>
      </c>
      <c r="W303" s="26" t="s">
        <v>9</v>
      </c>
      <c r="X303" s="26" t="s">
        <v>108</v>
      </c>
    </row>
    <row r="304" spans="1:24" s="1" customFormat="1" ht="33" customHeight="1" x14ac:dyDescent="0.3">
      <c r="A304" s="16">
        <v>10</v>
      </c>
      <c r="B304" s="23">
        <v>1</v>
      </c>
      <c r="C304" s="27" t="str">
        <f t="shared" ref="C304:C351" si="13">IF(B304&lt;10,_xlfn.CONCAT(A304,".0",B304),_xlfn.CONCAT(A304,".",B304))</f>
        <v>10.01</v>
      </c>
      <c r="D304" s="18" t="s">
        <v>372</v>
      </c>
      <c r="E304" s="64" t="str">
        <f>IF(ISBLANK(D304)=TRUE,"",VLOOKUP(D304,Krav!$C:$F,4,FALSE))</f>
        <v>9.a.2.2.2 - Såfremt brugeren vælger "Hvis antal dage kan angives" skal brugeres ledes til spørgsmål 9.a.2.2.1</v>
      </c>
      <c r="F304" s="53" t="s">
        <v>143</v>
      </c>
      <c r="G304" s="19"/>
      <c r="H304" s="25" t="s">
        <v>414</v>
      </c>
      <c r="I304" s="67" t="s">
        <v>305</v>
      </c>
      <c r="J304" s="67" t="s">
        <v>222</v>
      </c>
      <c r="K304" s="123" t="s">
        <v>222</v>
      </c>
      <c r="L304" s="20" t="s">
        <v>3</v>
      </c>
      <c r="M304" s="61" t="s">
        <v>129</v>
      </c>
      <c r="N304" s="61" t="s">
        <v>131</v>
      </c>
      <c r="O304" s="61" t="s">
        <v>376</v>
      </c>
      <c r="P304" s="61"/>
      <c r="Q304" s="61"/>
      <c r="R304" s="59" t="s">
        <v>5</v>
      </c>
      <c r="S304" s="61"/>
      <c r="T304" s="61"/>
      <c r="U304" s="60"/>
      <c r="V304" s="60"/>
      <c r="W304" s="60"/>
      <c r="X304" s="60"/>
    </row>
    <row r="305" spans="1:24" s="1" customFormat="1" ht="33" customHeight="1" x14ac:dyDescent="0.3">
      <c r="A305" s="16">
        <v>10</v>
      </c>
      <c r="B305" s="23">
        <v>2</v>
      </c>
      <c r="C305" s="27" t="str">
        <f t="shared" si="13"/>
        <v>10.02</v>
      </c>
      <c r="D305" s="18" t="s">
        <v>373</v>
      </c>
      <c r="E305" s="64" t="str">
        <f>IF(ISBLANK(D305)=TRUE,"",VLOOKUP(D305,Krav!$C:$F,4,FALSE))</f>
        <v>9.a.2.2.3 - Såfremt brugeren vælger "Ved ikke" skal brugeres ledes til spørgsmål 9.a.2.2.2</v>
      </c>
      <c r="F305" s="53" t="s">
        <v>143</v>
      </c>
      <c r="G305" s="19"/>
      <c r="H305" s="25" t="s">
        <v>413</v>
      </c>
      <c r="I305" s="67" t="s">
        <v>305</v>
      </c>
      <c r="J305" s="67" t="s">
        <v>222</v>
      </c>
      <c r="K305" s="123" t="s">
        <v>222</v>
      </c>
      <c r="L305" s="20" t="s">
        <v>3</v>
      </c>
      <c r="M305" s="61" t="s">
        <v>131</v>
      </c>
      <c r="N305" s="61" t="s">
        <v>129</v>
      </c>
      <c r="O305" s="61"/>
      <c r="P305" s="61"/>
      <c r="Q305" s="61"/>
      <c r="R305" s="59" t="s">
        <v>5</v>
      </c>
      <c r="S305" s="61"/>
      <c r="T305" s="61"/>
      <c r="U305" s="60"/>
      <c r="V305" s="60"/>
      <c r="W305" s="60"/>
      <c r="X305" s="60"/>
    </row>
    <row r="306" spans="1:24" s="1" customFormat="1" ht="33" customHeight="1" x14ac:dyDescent="0.3">
      <c r="A306" s="16">
        <v>10</v>
      </c>
      <c r="B306" s="23">
        <v>3</v>
      </c>
      <c r="C306" s="27" t="str">
        <f t="shared" si="13"/>
        <v>10.03</v>
      </c>
      <c r="D306" s="18" t="s">
        <v>374</v>
      </c>
      <c r="E306" s="64" t="str">
        <f>IF(ISBLANK(D306)=TRUE,"",VLOOKUP(D306,Krav!$C:$F,4,FALSE))</f>
        <v>9.a.2.2.1.1 - Gruppe 1 deaktiveres</v>
      </c>
      <c r="F306" s="53" t="s">
        <v>227</v>
      </c>
      <c r="G306" s="53" t="s">
        <v>342</v>
      </c>
      <c r="H306" s="25" t="s">
        <v>375</v>
      </c>
      <c r="I306" s="67" t="s">
        <v>241</v>
      </c>
      <c r="J306" s="67" t="s">
        <v>222</v>
      </c>
      <c r="K306" s="123" t="s">
        <v>222</v>
      </c>
      <c r="L306" s="20" t="s">
        <v>3</v>
      </c>
      <c r="M306" s="61" t="s">
        <v>129</v>
      </c>
      <c r="N306" s="61" t="s">
        <v>131</v>
      </c>
      <c r="O306" s="61" t="s">
        <v>376</v>
      </c>
      <c r="P306" s="61" t="s">
        <v>412</v>
      </c>
      <c r="Q306" s="61"/>
      <c r="R306" s="59" t="s">
        <v>5</v>
      </c>
      <c r="S306" s="61"/>
      <c r="T306" s="61"/>
      <c r="U306" s="60"/>
      <c r="V306" s="60"/>
      <c r="W306" s="60"/>
      <c r="X306" s="60"/>
    </row>
    <row r="307" spans="1:24" s="1" customFormat="1" ht="33" customHeight="1" x14ac:dyDescent="0.3">
      <c r="A307" s="16">
        <v>10</v>
      </c>
      <c r="B307" s="23">
        <v>4</v>
      </c>
      <c r="C307" s="27" t="str">
        <f t="shared" si="13"/>
        <v>10.04</v>
      </c>
      <c r="D307" s="18" t="s">
        <v>377</v>
      </c>
      <c r="E307" s="64" t="str">
        <f>IF(ISBLANK(D307)=TRUE,"",VLOOKUP(D307,Krav!$C:$F,4,FALSE))</f>
        <v>9.a.2.2.1.2 - Antallet af dage indsættes i [Varighed_X] i R0042</v>
      </c>
      <c r="F307" s="53" t="s">
        <v>226</v>
      </c>
      <c r="G307" s="53" t="s">
        <v>313</v>
      </c>
      <c r="H307" s="25" t="s">
        <v>378</v>
      </c>
      <c r="I307" s="67" t="s">
        <v>376</v>
      </c>
      <c r="J307" s="67" t="s">
        <v>222</v>
      </c>
      <c r="K307" s="123" t="s">
        <v>222</v>
      </c>
      <c r="L307" s="20" t="s">
        <v>3</v>
      </c>
      <c r="M307" s="61" t="s">
        <v>129</v>
      </c>
      <c r="N307" s="61" t="s">
        <v>131</v>
      </c>
      <c r="O307" s="61" t="s">
        <v>376</v>
      </c>
      <c r="P307" s="61"/>
      <c r="Q307" s="61" t="s">
        <v>311</v>
      </c>
      <c r="R307" s="59" t="s">
        <v>5</v>
      </c>
      <c r="S307" s="61"/>
      <c r="T307" s="61"/>
      <c r="U307" s="60"/>
      <c r="V307" s="60"/>
      <c r="W307" s="60"/>
      <c r="X307" s="60"/>
    </row>
    <row r="308" spans="1:24" s="1" customFormat="1" ht="33" customHeight="1" x14ac:dyDescent="0.3">
      <c r="A308" s="16">
        <v>10</v>
      </c>
      <c r="B308" s="23">
        <v>5</v>
      </c>
      <c r="C308" s="27" t="str">
        <f t="shared" si="13"/>
        <v>10.05</v>
      </c>
      <c r="D308" s="18" t="s">
        <v>379</v>
      </c>
      <c r="E308" s="64" t="str">
        <f>IF(ISBLANK(D308)=TRUE,"",VLOOKUP(D308,Krav!$C:$F,4,FALSE))</f>
        <v>9.a.2.2.1.3 - Antallet af dage indsættes i [Varighed_X] i R0043</v>
      </c>
      <c r="F308" s="53" t="s">
        <v>226</v>
      </c>
      <c r="G308" s="53" t="s">
        <v>313</v>
      </c>
      <c r="H308" s="25" t="s">
        <v>380</v>
      </c>
      <c r="I308" s="67" t="s">
        <v>376</v>
      </c>
      <c r="J308" s="67" t="s">
        <v>222</v>
      </c>
      <c r="K308" s="123" t="s">
        <v>222</v>
      </c>
      <c r="L308" s="20" t="s">
        <v>3</v>
      </c>
      <c r="M308" s="61" t="s">
        <v>129</v>
      </c>
      <c r="N308" s="61" t="s">
        <v>131</v>
      </c>
      <c r="O308" s="61" t="s">
        <v>376</v>
      </c>
      <c r="P308" s="61"/>
      <c r="Q308" s="61" t="s">
        <v>317</v>
      </c>
      <c r="R308" s="59" t="s">
        <v>5</v>
      </c>
      <c r="S308" s="61"/>
      <c r="T308" s="61"/>
      <c r="U308" s="60"/>
      <c r="V308" s="60"/>
      <c r="W308" s="60"/>
      <c r="X308" s="60"/>
    </row>
    <row r="309" spans="1:24" s="1" customFormat="1" ht="33" customHeight="1" x14ac:dyDescent="0.3">
      <c r="A309" s="16">
        <v>10</v>
      </c>
      <c r="B309" s="23">
        <v>6</v>
      </c>
      <c r="C309" s="27" t="str">
        <f t="shared" si="13"/>
        <v>10.06</v>
      </c>
      <c r="D309" s="18" t="s">
        <v>381</v>
      </c>
      <c r="E309" s="64" t="str">
        <f>IF(ISBLANK(D309)=TRUE,"",VLOOKUP(D309,Krav!$C:$F,4,FALSE))</f>
        <v>9.a.2.2.1.4 - Antallet af dage indsættes i [Varighed_X] i R0044</v>
      </c>
      <c r="F309" s="53" t="s">
        <v>226</v>
      </c>
      <c r="G309" s="53" t="s">
        <v>313</v>
      </c>
      <c r="H309" s="25" t="s">
        <v>382</v>
      </c>
      <c r="I309" s="67" t="s">
        <v>376</v>
      </c>
      <c r="J309" s="67" t="s">
        <v>222</v>
      </c>
      <c r="K309" s="123" t="s">
        <v>222</v>
      </c>
      <c r="L309" s="20" t="s">
        <v>3</v>
      </c>
      <c r="M309" s="61" t="s">
        <v>129</v>
      </c>
      <c r="N309" s="61" t="s">
        <v>131</v>
      </c>
      <c r="O309" s="61" t="s">
        <v>376</v>
      </c>
      <c r="P309" s="61"/>
      <c r="Q309" s="61" t="s">
        <v>320</v>
      </c>
      <c r="R309" s="59" t="s">
        <v>5</v>
      </c>
      <c r="S309" s="61"/>
      <c r="T309" s="61"/>
      <c r="U309" s="60"/>
      <c r="V309" s="60"/>
      <c r="W309" s="60"/>
      <c r="X309" s="60"/>
    </row>
    <row r="310" spans="1:24" s="1" customFormat="1" ht="33" customHeight="1" x14ac:dyDescent="0.3">
      <c r="A310" s="16">
        <v>10</v>
      </c>
      <c r="B310" s="23">
        <v>7</v>
      </c>
      <c r="C310" s="27" t="str">
        <f t="shared" si="13"/>
        <v>10.07</v>
      </c>
      <c r="D310" s="18" t="s">
        <v>383</v>
      </c>
      <c r="E310" s="64" t="str">
        <f>IF(ISBLANK(D310)=TRUE,"",VLOOKUP(D310,Krav!$C:$F,4,FALSE))</f>
        <v>9.a.2.2.1.5 - Antallet af dage indsættes i [Varighed_X] i R0045</v>
      </c>
      <c r="F310" s="53" t="s">
        <v>226</v>
      </c>
      <c r="G310" s="53" t="s">
        <v>313</v>
      </c>
      <c r="H310" s="25" t="s">
        <v>384</v>
      </c>
      <c r="I310" s="67" t="s">
        <v>376</v>
      </c>
      <c r="J310" s="67" t="s">
        <v>222</v>
      </c>
      <c r="K310" s="123" t="s">
        <v>222</v>
      </c>
      <c r="L310" s="20" t="s">
        <v>3</v>
      </c>
      <c r="M310" s="61" t="s">
        <v>129</v>
      </c>
      <c r="N310" s="61" t="s">
        <v>131</v>
      </c>
      <c r="O310" s="61" t="s">
        <v>376</v>
      </c>
      <c r="P310" s="61"/>
      <c r="Q310" s="61" t="s">
        <v>323</v>
      </c>
      <c r="R310" s="59" t="s">
        <v>5</v>
      </c>
      <c r="S310" s="61"/>
      <c r="T310" s="61"/>
      <c r="U310" s="60"/>
      <c r="V310" s="60"/>
      <c r="W310" s="60"/>
      <c r="X310" s="60"/>
    </row>
    <row r="311" spans="1:24" s="1" customFormat="1" ht="33" customHeight="1" x14ac:dyDescent="0.3">
      <c r="A311" s="16">
        <v>10</v>
      </c>
      <c r="B311" s="23">
        <v>8</v>
      </c>
      <c r="C311" s="27" t="str">
        <f t="shared" si="13"/>
        <v>10.08</v>
      </c>
      <c r="D311" s="18" t="s">
        <v>385</v>
      </c>
      <c r="E311" s="64" t="str">
        <f>IF(ISBLANK(D311)=TRUE,"",VLOOKUP(D311,Krav!$C:$F,4,FALSE))</f>
        <v>9.a.2.2.1.6 - Antallet af dage indsættes i [Varighed_X] i R0046</v>
      </c>
      <c r="F311" s="53" t="s">
        <v>226</v>
      </c>
      <c r="G311" s="53" t="s">
        <v>313</v>
      </c>
      <c r="H311" s="25" t="s">
        <v>386</v>
      </c>
      <c r="I311" s="67" t="s">
        <v>376</v>
      </c>
      <c r="J311" s="67" t="s">
        <v>222</v>
      </c>
      <c r="K311" s="123" t="s">
        <v>222</v>
      </c>
      <c r="L311" s="20" t="s">
        <v>3</v>
      </c>
      <c r="M311" s="61" t="s">
        <v>129</v>
      </c>
      <c r="N311" s="61" t="s">
        <v>131</v>
      </c>
      <c r="O311" s="61" t="s">
        <v>376</v>
      </c>
      <c r="P311" s="61"/>
      <c r="Q311" s="61" t="s">
        <v>326</v>
      </c>
      <c r="R311" s="59" t="s">
        <v>5</v>
      </c>
      <c r="S311" s="61"/>
      <c r="T311" s="61"/>
      <c r="U311" s="60"/>
      <c r="V311" s="60"/>
      <c r="W311" s="60"/>
      <c r="X311" s="60"/>
    </row>
    <row r="312" spans="1:24" s="1" customFormat="1" ht="33" customHeight="1" x14ac:dyDescent="0.3">
      <c r="A312" s="16">
        <v>10</v>
      </c>
      <c r="B312" s="23">
        <v>9</v>
      </c>
      <c r="C312" s="27" t="str">
        <f t="shared" si="13"/>
        <v>10.09</v>
      </c>
      <c r="D312" s="18" t="s">
        <v>387</v>
      </c>
      <c r="E312" s="64" t="str">
        <f>IF(ISBLANK(D312)=TRUE,"",VLOOKUP(D312,Krav!$C:$F,4,FALSE))</f>
        <v>9.a.2.2.1.7 - Gruppe 2 aktiveres</v>
      </c>
      <c r="F312" s="53" t="s">
        <v>227</v>
      </c>
      <c r="G312" s="53" t="s">
        <v>342</v>
      </c>
      <c r="H312" s="25" t="s">
        <v>388</v>
      </c>
      <c r="I312" s="67" t="s">
        <v>240</v>
      </c>
      <c r="J312" s="67" t="s">
        <v>222</v>
      </c>
      <c r="K312" s="123" t="s">
        <v>222</v>
      </c>
      <c r="L312" s="20" t="s">
        <v>3</v>
      </c>
      <c r="M312" s="61" t="s">
        <v>129</v>
      </c>
      <c r="N312" s="61" t="s">
        <v>131</v>
      </c>
      <c r="O312" s="61" t="s">
        <v>376</v>
      </c>
      <c r="P312" s="61" t="s">
        <v>411</v>
      </c>
      <c r="Q312" s="61"/>
      <c r="R312" s="59" t="s">
        <v>5</v>
      </c>
      <c r="S312" s="61"/>
      <c r="T312" s="61"/>
      <c r="U312" s="60"/>
      <c r="V312" s="60"/>
      <c r="W312" s="60"/>
      <c r="X312" s="60"/>
    </row>
    <row r="313" spans="1:24" s="1" customFormat="1" ht="33" customHeight="1" x14ac:dyDescent="0.3">
      <c r="A313" s="16">
        <v>10</v>
      </c>
      <c r="B313" s="23">
        <v>10</v>
      </c>
      <c r="C313" s="27" t="str">
        <f t="shared" si="13"/>
        <v>10.10</v>
      </c>
      <c r="D313" s="18" t="s">
        <v>389</v>
      </c>
      <c r="E313" s="64" t="str">
        <f>IF(ISBLANK(D313)=TRUE,"",VLOOKUP(D313,Krav!$C:$F,4,FALSE))</f>
        <v>9.a.2.2.1.8 - Der angives et ”JA” i populationen under ”Stoler RIM på fordringshaveres forældel-sesdato?”</v>
      </c>
      <c r="F313" s="53" t="s">
        <v>221</v>
      </c>
      <c r="G313" s="19" t="s">
        <v>352</v>
      </c>
      <c r="H313" s="25" t="s">
        <v>415</v>
      </c>
      <c r="I313" s="67" t="s">
        <v>240</v>
      </c>
      <c r="J313" s="67" t="s">
        <v>222</v>
      </c>
      <c r="K313" s="123" t="s">
        <v>222</v>
      </c>
      <c r="L313" s="20" t="s">
        <v>3</v>
      </c>
      <c r="M313" s="61" t="s">
        <v>129</v>
      </c>
      <c r="N313" s="61" t="s">
        <v>131</v>
      </c>
      <c r="O313" s="61" t="s">
        <v>376</v>
      </c>
      <c r="P313" s="61"/>
      <c r="Q313" s="61"/>
      <c r="R313" s="59" t="s">
        <v>5</v>
      </c>
      <c r="S313" s="61"/>
      <c r="T313" s="61"/>
      <c r="U313" s="60"/>
      <c r="V313" s="60"/>
      <c r="W313" s="60"/>
      <c r="X313" s="60"/>
    </row>
    <row r="314" spans="1:24" s="1" customFormat="1" ht="33" customHeight="1" x14ac:dyDescent="0.3">
      <c r="A314" s="16">
        <v>10</v>
      </c>
      <c r="B314" s="23">
        <v>11</v>
      </c>
      <c r="C314" s="27" t="str">
        <f t="shared" si="13"/>
        <v>10.11</v>
      </c>
      <c r="D314" s="12" t="s">
        <v>390</v>
      </c>
      <c r="E314" s="64" t="str">
        <f>IF(ISBLANK(D314)=TRUE,"",VLOOKUP(D314,Krav!$C:$F,4,FALSE))</f>
        <v>9.a.2.2.1.9 - Der angives et ”NEJ” i populationen under ”Vil RIM beregne en tidligst mulig forældelsesdato?”</v>
      </c>
      <c r="F314" s="53" t="s">
        <v>221</v>
      </c>
      <c r="G314" s="19" t="s">
        <v>353</v>
      </c>
      <c r="H314" s="25" t="s">
        <v>416</v>
      </c>
      <c r="I314" s="67" t="s">
        <v>241</v>
      </c>
      <c r="J314" s="68" t="s">
        <v>222</v>
      </c>
      <c r="K314" s="123" t="s">
        <v>222</v>
      </c>
      <c r="L314" s="4" t="s">
        <v>3</v>
      </c>
      <c r="M314" s="61" t="s">
        <v>129</v>
      </c>
      <c r="N314" s="61" t="s">
        <v>131</v>
      </c>
      <c r="O314" s="61" t="s">
        <v>376</v>
      </c>
      <c r="P314" s="59"/>
      <c r="Q314" s="61"/>
      <c r="R314" s="59" t="s">
        <v>5</v>
      </c>
      <c r="S314" s="59"/>
      <c r="T314" s="61"/>
      <c r="U314" s="61"/>
      <c r="V314" s="57"/>
    </row>
    <row r="315" spans="1:24" s="1" customFormat="1" ht="33" customHeight="1" x14ac:dyDescent="0.3">
      <c r="A315" s="16">
        <v>10</v>
      </c>
      <c r="B315" s="23">
        <v>12</v>
      </c>
      <c r="C315" s="27" t="str">
        <f t="shared" si="13"/>
        <v>10.12</v>
      </c>
      <c r="D315" s="18"/>
      <c r="E315" s="64" t="str">
        <f>IF(ISBLANK(D315)=TRUE,"",VLOOKUP(D315,Krav!$C:$F,4,FALSE))</f>
        <v/>
      </c>
      <c r="F315" s="53" t="s">
        <v>225</v>
      </c>
      <c r="G315" s="19" t="s">
        <v>417</v>
      </c>
      <c r="H315" s="25" t="s">
        <v>284</v>
      </c>
      <c r="I315" s="67" t="s">
        <v>376</v>
      </c>
      <c r="J315" s="68" t="s">
        <v>222</v>
      </c>
      <c r="K315" s="123" t="s">
        <v>222</v>
      </c>
      <c r="L315" s="4" t="s">
        <v>3</v>
      </c>
      <c r="M315" s="61" t="s">
        <v>129</v>
      </c>
      <c r="N315" s="61" t="s">
        <v>131</v>
      </c>
      <c r="O315" s="61" t="s">
        <v>376</v>
      </c>
      <c r="P315" s="59"/>
      <c r="Q315" s="61"/>
      <c r="R315" s="59" t="s">
        <v>5</v>
      </c>
      <c r="S315" s="59"/>
      <c r="T315" s="61"/>
      <c r="U315" s="61"/>
      <c r="V315" s="57"/>
    </row>
    <row r="316" spans="1:24" s="1" customFormat="1" ht="33" customHeight="1" x14ac:dyDescent="0.3">
      <c r="A316" s="16">
        <v>10</v>
      </c>
      <c r="B316" s="23">
        <v>13</v>
      </c>
      <c r="C316" s="27" t="str">
        <f t="shared" si="13"/>
        <v>10.13</v>
      </c>
      <c r="D316" s="18" t="s">
        <v>377</v>
      </c>
      <c r="E316" s="64" t="str">
        <f>IF(ISBLANK(D316)=TRUE,"",VLOOKUP(D316,Krav!$C:$F,4,FALSE))</f>
        <v>9.a.2.2.1.2 - Antallet af dage indsættes i [Varighed_X] i R0042</v>
      </c>
      <c r="F316" s="53" t="s">
        <v>226</v>
      </c>
      <c r="G316" s="53" t="s">
        <v>313</v>
      </c>
      <c r="H316" s="25" t="s">
        <v>378</v>
      </c>
      <c r="I316" s="67" t="s">
        <v>404</v>
      </c>
      <c r="J316" s="67" t="s">
        <v>222</v>
      </c>
      <c r="K316" s="123" t="s">
        <v>222</v>
      </c>
      <c r="L316" s="20" t="s">
        <v>3</v>
      </c>
      <c r="M316" s="61" t="s">
        <v>129</v>
      </c>
      <c r="N316" s="61" t="s">
        <v>131</v>
      </c>
      <c r="O316" s="61" t="s">
        <v>404</v>
      </c>
      <c r="P316" s="61"/>
      <c r="Q316" s="61" t="s">
        <v>311</v>
      </c>
      <c r="R316" s="59" t="s">
        <v>5</v>
      </c>
      <c r="S316" s="61"/>
      <c r="T316" s="61"/>
      <c r="U316" s="60"/>
      <c r="V316" s="60"/>
      <c r="W316" s="60"/>
      <c r="X316" s="60"/>
    </row>
    <row r="317" spans="1:24" s="1" customFormat="1" ht="33" customHeight="1" x14ac:dyDescent="0.3">
      <c r="A317" s="16">
        <v>10</v>
      </c>
      <c r="B317" s="23">
        <v>14</v>
      </c>
      <c r="C317" s="27" t="str">
        <f t="shared" si="13"/>
        <v>10.14</v>
      </c>
      <c r="D317" s="18" t="s">
        <v>379</v>
      </c>
      <c r="E317" s="64" t="str">
        <f>IF(ISBLANK(D317)=TRUE,"",VLOOKUP(D317,Krav!$C:$F,4,FALSE))</f>
        <v>9.a.2.2.1.3 - Antallet af dage indsættes i [Varighed_X] i R0043</v>
      </c>
      <c r="F317" s="53" t="s">
        <v>226</v>
      </c>
      <c r="G317" s="53" t="s">
        <v>313</v>
      </c>
      <c r="H317" s="25" t="s">
        <v>380</v>
      </c>
      <c r="I317" s="67" t="s">
        <v>404</v>
      </c>
      <c r="J317" s="67" t="s">
        <v>222</v>
      </c>
      <c r="K317" s="123" t="s">
        <v>222</v>
      </c>
      <c r="L317" s="20" t="s">
        <v>3</v>
      </c>
      <c r="M317" s="61" t="s">
        <v>129</v>
      </c>
      <c r="N317" s="61" t="s">
        <v>131</v>
      </c>
      <c r="O317" s="61" t="s">
        <v>404</v>
      </c>
      <c r="P317" s="61"/>
      <c r="Q317" s="61" t="s">
        <v>317</v>
      </c>
      <c r="R317" s="59" t="s">
        <v>5</v>
      </c>
      <c r="S317" s="61"/>
      <c r="T317" s="61"/>
      <c r="U317" s="60"/>
      <c r="V317" s="60"/>
      <c r="W317" s="60"/>
      <c r="X317" s="60"/>
    </row>
    <row r="318" spans="1:24" s="1" customFormat="1" ht="33" customHeight="1" x14ac:dyDescent="0.3">
      <c r="A318" s="16">
        <v>10</v>
      </c>
      <c r="B318" s="23">
        <v>15</v>
      </c>
      <c r="C318" s="27" t="str">
        <f t="shared" si="13"/>
        <v>10.15</v>
      </c>
      <c r="D318" s="18" t="s">
        <v>381</v>
      </c>
      <c r="E318" s="64" t="str">
        <f>IF(ISBLANK(D318)=TRUE,"",VLOOKUP(D318,Krav!$C:$F,4,FALSE))</f>
        <v>9.a.2.2.1.4 - Antallet af dage indsættes i [Varighed_X] i R0044</v>
      </c>
      <c r="F318" s="53" t="s">
        <v>226</v>
      </c>
      <c r="G318" s="53" t="s">
        <v>313</v>
      </c>
      <c r="H318" s="25" t="s">
        <v>382</v>
      </c>
      <c r="I318" s="67" t="s">
        <v>404</v>
      </c>
      <c r="J318" s="67" t="s">
        <v>222</v>
      </c>
      <c r="K318" s="123" t="s">
        <v>222</v>
      </c>
      <c r="L318" s="20" t="s">
        <v>3</v>
      </c>
      <c r="M318" s="61" t="s">
        <v>129</v>
      </c>
      <c r="N318" s="61" t="s">
        <v>131</v>
      </c>
      <c r="O318" s="61" t="s">
        <v>404</v>
      </c>
      <c r="P318" s="61"/>
      <c r="Q318" s="61" t="s">
        <v>320</v>
      </c>
      <c r="R318" s="59" t="s">
        <v>5</v>
      </c>
      <c r="S318" s="61"/>
      <c r="T318" s="61"/>
      <c r="U318" s="60"/>
      <c r="V318" s="60"/>
      <c r="W318" s="60"/>
      <c r="X318" s="60"/>
    </row>
    <row r="319" spans="1:24" s="1" customFormat="1" ht="33" customHeight="1" x14ac:dyDescent="0.3">
      <c r="A319" s="16">
        <v>10</v>
      </c>
      <c r="B319" s="23">
        <v>16</v>
      </c>
      <c r="C319" s="27" t="str">
        <f t="shared" si="13"/>
        <v>10.16</v>
      </c>
      <c r="D319" s="18" t="s">
        <v>383</v>
      </c>
      <c r="E319" s="64" t="str">
        <f>IF(ISBLANK(D319)=TRUE,"",VLOOKUP(D319,Krav!$C:$F,4,FALSE))</f>
        <v>9.a.2.2.1.5 - Antallet af dage indsættes i [Varighed_X] i R0045</v>
      </c>
      <c r="F319" s="53" t="s">
        <v>226</v>
      </c>
      <c r="G319" s="53" t="s">
        <v>313</v>
      </c>
      <c r="H319" s="25" t="s">
        <v>384</v>
      </c>
      <c r="I319" s="67" t="s">
        <v>404</v>
      </c>
      <c r="J319" s="67" t="s">
        <v>222</v>
      </c>
      <c r="K319" s="123" t="s">
        <v>222</v>
      </c>
      <c r="L319" s="20" t="s">
        <v>3</v>
      </c>
      <c r="M319" s="61" t="s">
        <v>129</v>
      </c>
      <c r="N319" s="61" t="s">
        <v>131</v>
      </c>
      <c r="O319" s="61" t="s">
        <v>404</v>
      </c>
      <c r="P319" s="61"/>
      <c r="Q319" s="61" t="s">
        <v>323</v>
      </c>
      <c r="R319" s="59" t="s">
        <v>5</v>
      </c>
      <c r="S319" s="61"/>
      <c r="T319" s="61"/>
      <c r="U319" s="60"/>
      <c r="V319" s="60"/>
      <c r="W319" s="60"/>
      <c r="X319" s="60"/>
    </row>
    <row r="320" spans="1:24" s="1" customFormat="1" ht="33" customHeight="1" x14ac:dyDescent="0.3">
      <c r="A320" s="16">
        <v>10</v>
      </c>
      <c r="B320" s="23">
        <v>17</v>
      </c>
      <c r="C320" s="27" t="str">
        <f t="shared" si="13"/>
        <v>10.17</v>
      </c>
      <c r="D320" s="18" t="s">
        <v>385</v>
      </c>
      <c r="E320" s="64" t="str">
        <f>IF(ISBLANK(D320)=TRUE,"",VLOOKUP(D320,Krav!$C:$F,4,FALSE))</f>
        <v>9.a.2.2.1.6 - Antallet af dage indsættes i [Varighed_X] i R0046</v>
      </c>
      <c r="F320" s="53" t="s">
        <v>226</v>
      </c>
      <c r="G320" s="53" t="s">
        <v>313</v>
      </c>
      <c r="H320" s="25" t="s">
        <v>386</v>
      </c>
      <c r="I320" s="67" t="s">
        <v>404</v>
      </c>
      <c r="J320" s="67" t="s">
        <v>222</v>
      </c>
      <c r="K320" s="123" t="s">
        <v>222</v>
      </c>
      <c r="L320" s="20" t="s">
        <v>3</v>
      </c>
      <c r="M320" s="61" t="s">
        <v>129</v>
      </c>
      <c r="N320" s="61" t="s">
        <v>131</v>
      </c>
      <c r="O320" s="61" t="s">
        <v>404</v>
      </c>
      <c r="P320" s="61"/>
      <c r="Q320" s="61" t="s">
        <v>326</v>
      </c>
      <c r="R320" s="59" t="s">
        <v>5</v>
      </c>
      <c r="S320" s="61"/>
      <c r="T320" s="61"/>
      <c r="U320" s="60"/>
      <c r="V320" s="60"/>
      <c r="W320" s="60"/>
      <c r="X320" s="60"/>
    </row>
    <row r="321" spans="1:24" s="1" customFormat="1" ht="33" customHeight="1" x14ac:dyDescent="0.3">
      <c r="A321" s="16">
        <v>10</v>
      </c>
      <c r="B321" s="23">
        <v>18</v>
      </c>
      <c r="C321" s="27" t="str">
        <f t="shared" si="13"/>
        <v>10.18</v>
      </c>
      <c r="D321" s="18"/>
      <c r="E321" s="64" t="str">
        <f>IF(ISBLANK(D321)=TRUE,"",VLOOKUP(D321,Krav!$C:$F,4,FALSE))</f>
        <v/>
      </c>
      <c r="F321" s="53" t="s">
        <v>225</v>
      </c>
      <c r="G321" s="19" t="s">
        <v>417</v>
      </c>
      <c r="H321" s="25" t="s">
        <v>284</v>
      </c>
      <c r="I321" s="67" t="s">
        <v>404</v>
      </c>
      <c r="J321" s="68" t="s">
        <v>222</v>
      </c>
      <c r="K321" s="123" t="s">
        <v>222</v>
      </c>
      <c r="L321" s="4" t="s">
        <v>3</v>
      </c>
      <c r="M321" s="61" t="s">
        <v>129</v>
      </c>
      <c r="N321" s="61" t="s">
        <v>131</v>
      </c>
      <c r="O321" s="61" t="s">
        <v>404</v>
      </c>
      <c r="P321" s="59"/>
      <c r="Q321" s="61"/>
      <c r="R321" s="59" t="s">
        <v>5</v>
      </c>
      <c r="S321" s="59"/>
      <c r="T321" s="61"/>
      <c r="U321" s="61"/>
      <c r="V321" s="57"/>
    </row>
    <row r="322" spans="1:24" s="1" customFormat="1" ht="33" customHeight="1" x14ac:dyDescent="0.3">
      <c r="A322" s="16">
        <v>10</v>
      </c>
      <c r="B322" s="23">
        <v>19</v>
      </c>
      <c r="C322" s="27" t="str">
        <f t="shared" si="13"/>
        <v>10.19</v>
      </c>
      <c r="D322" s="18" t="s">
        <v>377</v>
      </c>
      <c r="E322" s="64" t="str">
        <f>IF(ISBLANK(D322)=TRUE,"",VLOOKUP(D322,Krav!$C:$F,4,FALSE))</f>
        <v>9.a.2.2.1.2 - Antallet af dage indsættes i [Varighed_X] i R0042</v>
      </c>
      <c r="F322" s="53" t="s">
        <v>226</v>
      </c>
      <c r="G322" s="53" t="s">
        <v>313</v>
      </c>
      <c r="H322" s="25" t="s">
        <v>378</v>
      </c>
      <c r="I322" s="67" t="s">
        <v>33</v>
      </c>
      <c r="J322" s="67" t="s">
        <v>222</v>
      </c>
      <c r="K322" s="123" t="s">
        <v>222</v>
      </c>
      <c r="L322" s="20" t="s">
        <v>3</v>
      </c>
      <c r="M322" s="61" t="s">
        <v>129</v>
      </c>
      <c r="N322" s="61" t="s">
        <v>131</v>
      </c>
      <c r="O322" s="61" t="s">
        <v>33</v>
      </c>
      <c r="P322" s="61"/>
      <c r="Q322" s="61" t="s">
        <v>311</v>
      </c>
      <c r="R322" s="59" t="s">
        <v>5</v>
      </c>
      <c r="S322" s="61"/>
      <c r="T322" s="61"/>
      <c r="U322" s="60"/>
      <c r="V322" s="60"/>
      <c r="W322" s="60"/>
      <c r="X322" s="60"/>
    </row>
    <row r="323" spans="1:24" s="1" customFormat="1" ht="33" customHeight="1" x14ac:dyDescent="0.3">
      <c r="A323" s="16">
        <v>10</v>
      </c>
      <c r="B323" s="23">
        <v>20</v>
      </c>
      <c r="C323" s="27" t="str">
        <f t="shared" si="13"/>
        <v>10.20</v>
      </c>
      <c r="D323" s="18" t="s">
        <v>379</v>
      </c>
      <c r="E323" s="64" t="str">
        <f>IF(ISBLANK(D323)=TRUE,"",VLOOKUP(D323,Krav!$C:$F,4,FALSE))</f>
        <v>9.a.2.2.1.3 - Antallet af dage indsættes i [Varighed_X] i R0043</v>
      </c>
      <c r="F323" s="53" t="s">
        <v>226</v>
      </c>
      <c r="G323" s="53" t="s">
        <v>313</v>
      </c>
      <c r="H323" s="25" t="s">
        <v>380</v>
      </c>
      <c r="I323" s="67" t="s">
        <v>33</v>
      </c>
      <c r="J323" s="67" t="s">
        <v>222</v>
      </c>
      <c r="K323" s="123" t="s">
        <v>222</v>
      </c>
      <c r="L323" s="20" t="s">
        <v>3</v>
      </c>
      <c r="M323" s="61" t="s">
        <v>129</v>
      </c>
      <c r="N323" s="61" t="s">
        <v>131</v>
      </c>
      <c r="O323" s="61" t="s">
        <v>33</v>
      </c>
      <c r="P323" s="61"/>
      <c r="Q323" s="61" t="s">
        <v>317</v>
      </c>
      <c r="R323" s="59" t="s">
        <v>5</v>
      </c>
      <c r="S323" s="61"/>
      <c r="T323" s="61"/>
      <c r="U323" s="60"/>
      <c r="V323" s="60"/>
      <c r="W323" s="60"/>
      <c r="X323" s="60"/>
    </row>
    <row r="324" spans="1:24" s="1" customFormat="1" ht="33" customHeight="1" x14ac:dyDescent="0.3">
      <c r="A324" s="16">
        <v>10</v>
      </c>
      <c r="B324" s="23">
        <v>21</v>
      </c>
      <c r="C324" s="27" t="str">
        <f t="shared" si="13"/>
        <v>10.21</v>
      </c>
      <c r="D324" s="18" t="s">
        <v>381</v>
      </c>
      <c r="E324" s="64" t="str">
        <f>IF(ISBLANK(D324)=TRUE,"",VLOOKUP(D324,Krav!$C:$F,4,FALSE))</f>
        <v>9.a.2.2.1.4 - Antallet af dage indsættes i [Varighed_X] i R0044</v>
      </c>
      <c r="F324" s="53" t="s">
        <v>226</v>
      </c>
      <c r="G324" s="53" t="s">
        <v>313</v>
      </c>
      <c r="H324" s="25" t="s">
        <v>382</v>
      </c>
      <c r="I324" s="67" t="s">
        <v>33</v>
      </c>
      <c r="J324" s="67" t="s">
        <v>222</v>
      </c>
      <c r="K324" s="123" t="s">
        <v>222</v>
      </c>
      <c r="L324" s="20" t="s">
        <v>3</v>
      </c>
      <c r="M324" s="61" t="s">
        <v>129</v>
      </c>
      <c r="N324" s="61" t="s">
        <v>131</v>
      </c>
      <c r="O324" s="61" t="s">
        <v>33</v>
      </c>
      <c r="P324" s="61"/>
      <c r="Q324" s="61" t="s">
        <v>320</v>
      </c>
      <c r="R324" s="59" t="s">
        <v>5</v>
      </c>
      <c r="S324" s="61"/>
      <c r="T324" s="61"/>
      <c r="U324" s="60"/>
      <c r="V324" s="60"/>
      <c r="W324" s="60"/>
      <c r="X324" s="60"/>
    </row>
    <row r="325" spans="1:24" s="1" customFormat="1" ht="33" customHeight="1" x14ac:dyDescent="0.3">
      <c r="A325" s="16">
        <v>10</v>
      </c>
      <c r="B325" s="23">
        <v>22</v>
      </c>
      <c r="C325" s="27" t="str">
        <f t="shared" si="13"/>
        <v>10.22</v>
      </c>
      <c r="D325" s="18" t="s">
        <v>383</v>
      </c>
      <c r="E325" s="64" t="str">
        <f>IF(ISBLANK(D325)=TRUE,"",VLOOKUP(D325,Krav!$C:$F,4,FALSE))</f>
        <v>9.a.2.2.1.5 - Antallet af dage indsættes i [Varighed_X] i R0045</v>
      </c>
      <c r="F325" s="53" t="s">
        <v>226</v>
      </c>
      <c r="G325" s="53" t="s">
        <v>313</v>
      </c>
      <c r="H325" s="25" t="s">
        <v>384</v>
      </c>
      <c r="I325" s="67" t="s">
        <v>33</v>
      </c>
      <c r="J325" s="67" t="s">
        <v>222</v>
      </c>
      <c r="K325" s="123" t="s">
        <v>222</v>
      </c>
      <c r="L325" s="20" t="s">
        <v>3</v>
      </c>
      <c r="M325" s="61" t="s">
        <v>129</v>
      </c>
      <c r="N325" s="61" t="s">
        <v>131</v>
      </c>
      <c r="O325" s="61" t="s">
        <v>33</v>
      </c>
      <c r="P325" s="61"/>
      <c r="Q325" s="61" t="s">
        <v>323</v>
      </c>
      <c r="R325" s="59" t="s">
        <v>5</v>
      </c>
      <c r="S325" s="61"/>
      <c r="T325" s="61"/>
      <c r="U325" s="60"/>
      <c r="V325" s="60"/>
      <c r="W325" s="60"/>
      <c r="X325" s="60"/>
    </row>
    <row r="326" spans="1:24" s="1" customFormat="1" ht="33" customHeight="1" x14ac:dyDescent="0.3">
      <c r="A326" s="16">
        <v>10</v>
      </c>
      <c r="B326" s="23">
        <v>23</v>
      </c>
      <c r="C326" s="27" t="str">
        <f t="shared" si="13"/>
        <v>10.23</v>
      </c>
      <c r="D326" s="18" t="s">
        <v>385</v>
      </c>
      <c r="E326" s="64" t="str">
        <f>IF(ISBLANK(D326)=TRUE,"",VLOOKUP(D326,Krav!$C:$F,4,FALSE))</f>
        <v>9.a.2.2.1.6 - Antallet af dage indsættes i [Varighed_X] i R0046</v>
      </c>
      <c r="F326" s="53" t="s">
        <v>226</v>
      </c>
      <c r="G326" s="53" t="s">
        <v>313</v>
      </c>
      <c r="H326" s="25" t="s">
        <v>386</v>
      </c>
      <c r="I326" s="67" t="s">
        <v>33</v>
      </c>
      <c r="J326" s="67" t="s">
        <v>222</v>
      </c>
      <c r="K326" s="123" t="s">
        <v>222</v>
      </c>
      <c r="L326" s="20" t="s">
        <v>3</v>
      </c>
      <c r="M326" s="61" t="s">
        <v>129</v>
      </c>
      <c r="N326" s="61" t="s">
        <v>131</v>
      </c>
      <c r="O326" s="61" t="s">
        <v>33</v>
      </c>
      <c r="P326" s="61"/>
      <c r="Q326" s="61" t="s">
        <v>326</v>
      </c>
      <c r="R326" s="59" t="s">
        <v>5</v>
      </c>
      <c r="S326" s="61"/>
      <c r="T326" s="61"/>
      <c r="U326" s="60"/>
      <c r="V326" s="60"/>
      <c r="W326" s="60"/>
      <c r="X326" s="60"/>
    </row>
    <row r="327" spans="1:24" s="1" customFormat="1" ht="33" customHeight="1" x14ac:dyDescent="0.3">
      <c r="A327" s="16">
        <v>10</v>
      </c>
      <c r="B327" s="23">
        <v>24</v>
      </c>
      <c r="C327" s="27" t="str">
        <f t="shared" si="13"/>
        <v>10.24</v>
      </c>
      <c r="D327" s="18"/>
      <c r="E327" s="64" t="str">
        <f>IF(ISBLANK(D327)=TRUE,"",VLOOKUP(D327,Krav!$C:$F,4,FALSE))</f>
        <v/>
      </c>
      <c r="F327" s="53" t="s">
        <v>225</v>
      </c>
      <c r="G327" s="19" t="s">
        <v>417</v>
      </c>
      <c r="H327" s="25" t="s">
        <v>284</v>
      </c>
      <c r="I327" s="67" t="s">
        <v>33</v>
      </c>
      <c r="J327" s="68" t="s">
        <v>222</v>
      </c>
      <c r="K327" s="123" t="s">
        <v>222</v>
      </c>
      <c r="L327" s="4" t="s">
        <v>3</v>
      </c>
      <c r="M327" s="61" t="s">
        <v>129</v>
      </c>
      <c r="N327" s="61" t="s">
        <v>131</v>
      </c>
      <c r="O327" s="61" t="s">
        <v>33</v>
      </c>
      <c r="P327" s="59"/>
      <c r="Q327" s="61"/>
      <c r="R327" s="59" t="s">
        <v>5</v>
      </c>
      <c r="S327" s="59"/>
      <c r="T327" s="61"/>
      <c r="U327" s="61"/>
      <c r="V327" s="57"/>
    </row>
    <row r="328" spans="1:24" s="1" customFormat="1" ht="33" customHeight="1" x14ac:dyDescent="0.3">
      <c r="A328" s="16">
        <v>10</v>
      </c>
      <c r="B328" s="23">
        <v>25</v>
      </c>
      <c r="C328" s="27" t="str">
        <f t="shared" si="13"/>
        <v>10.25</v>
      </c>
      <c r="D328" s="18"/>
      <c r="E328" s="64" t="str">
        <f>IF(ISBLANK(D328)=TRUE,"",VLOOKUP(D328,Krav!$C:$F,4,FALSE))</f>
        <v/>
      </c>
      <c r="F328" s="53" t="s">
        <v>225</v>
      </c>
      <c r="G328" s="19" t="s">
        <v>231</v>
      </c>
      <c r="H328" s="25" t="s">
        <v>284</v>
      </c>
      <c r="I328" s="67" t="s">
        <v>369</v>
      </c>
      <c r="J328" s="68" t="s">
        <v>222</v>
      </c>
      <c r="K328" s="123" t="s">
        <v>222</v>
      </c>
      <c r="L328" s="4" t="s">
        <v>3</v>
      </c>
      <c r="M328" s="61" t="s">
        <v>131</v>
      </c>
      <c r="N328" s="61" t="s">
        <v>129</v>
      </c>
      <c r="O328" s="61"/>
      <c r="P328" s="59"/>
      <c r="Q328" s="61"/>
      <c r="R328" s="59" t="s">
        <v>5</v>
      </c>
      <c r="S328" s="59"/>
      <c r="T328" s="61"/>
      <c r="U328" s="61"/>
      <c r="V328" s="57"/>
    </row>
    <row r="329" spans="1:24" s="1" customFormat="1" ht="33" customHeight="1" x14ac:dyDescent="0.3">
      <c r="A329" s="16">
        <v>10</v>
      </c>
      <c r="B329" s="23">
        <v>26</v>
      </c>
      <c r="C329" s="27" t="str">
        <f t="shared" si="13"/>
        <v>10.26</v>
      </c>
      <c r="D329" s="12" t="s">
        <v>391</v>
      </c>
      <c r="E329" s="64" t="str">
        <f>IF(ISBLANK(D329)=TRUE,"",VLOOKUP(D329,Krav!$C:$F,4,FALSE))</f>
        <v>9.a.2.2.2.1 - Der skal angives et ”NEJ” i ”Stoler RIM på fordringshavers forældelsesdato”  i regel arket</v>
      </c>
      <c r="F329" s="53" t="s">
        <v>221</v>
      </c>
      <c r="G329" s="19" t="s">
        <v>352</v>
      </c>
      <c r="H329" s="25" t="s">
        <v>392</v>
      </c>
      <c r="I329" s="67" t="s">
        <v>241</v>
      </c>
      <c r="J329" s="68" t="s">
        <v>222</v>
      </c>
      <c r="K329" s="123" t="s">
        <v>222</v>
      </c>
      <c r="L329" s="4" t="s">
        <v>3</v>
      </c>
      <c r="M329" s="61" t="s">
        <v>131</v>
      </c>
      <c r="N329" s="61" t="s">
        <v>129</v>
      </c>
      <c r="O329" s="59"/>
      <c r="P329" s="59"/>
      <c r="Q329" s="61"/>
      <c r="R329" s="59" t="s">
        <v>5</v>
      </c>
      <c r="S329" s="59"/>
      <c r="T329" s="61"/>
      <c r="U329" s="61"/>
      <c r="V329" s="57"/>
    </row>
    <row r="330" spans="1:24" s="1" customFormat="1" ht="33" customHeight="1" x14ac:dyDescent="0.3">
      <c r="A330" s="16">
        <v>10</v>
      </c>
      <c r="B330" s="23">
        <v>27</v>
      </c>
      <c r="C330" s="27" t="str">
        <f t="shared" si="13"/>
        <v>10.27</v>
      </c>
      <c r="D330" s="12" t="s">
        <v>393</v>
      </c>
      <c r="E330" s="64" t="str">
        <f>IF(ISBLANK(D330)=TRUE,"",VLOOKUP(D330,Krav!$C:$F,4,FALSE))</f>
        <v>9.a.2.2.2.2 - Regel R0042 skal aktiveres</v>
      </c>
      <c r="F330" s="53" t="s">
        <v>226</v>
      </c>
      <c r="G330" s="19" t="s">
        <v>308</v>
      </c>
      <c r="H330" s="76" t="s">
        <v>310</v>
      </c>
      <c r="I330" s="68" t="s">
        <v>240</v>
      </c>
      <c r="J330" s="68" t="s">
        <v>222</v>
      </c>
      <c r="K330" s="123" t="s">
        <v>222</v>
      </c>
      <c r="L330" s="4" t="s">
        <v>3</v>
      </c>
      <c r="M330" s="61" t="s">
        <v>131</v>
      </c>
      <c r="N330" s="61" t="s">
        <v>129</v>
      </c>
      <c r="O330" s="59"/>
      <c r="P330" s="59"/>
      <c r="Q330" s="61" t="s">
        <v>311</v>
      </c>
      <c r="R330" s="59" t="s">
        <v>5</v>
      </c>
      <c r="S330" s="59"/>
      <c r="T330" s="61"/>
      <c r="U330" s="61"/>
      <c r="V330" s="57"/>
    </row>
    <row r="331" spans="1:24" s="1" customFormat="1" ht="33" customHeight="1" x14ac:dyDescent="0.3">
      <c r="A331" s="16">
        <v>10</v>
      </c>
      <c r="B331" s="23">
        <v>28</v>
      </c>
      <c r="C331" s="27" t="str">
        <f t="shared" si="13"/>
        <v>10.28</v>
      </c>
      <c r="D331" s="12" t="s">
        <v>394</v>
      </c>
      <c r="E331" s="64" t="str">
        <f>IF(ISBLANK(D331)=TRUE,"",VLOOKUP(D331,Krav!$C:$F,4,FALSE))</f>
        <v>9.a.2.2.2.3 - Regel R0042's Varighed X skal sættes til blank</v>
      </c>
      <c r="F331" s="53" t="s">
        <v>226</v>
      </c>
      <c r="G331" s="53" t="s">
        <v>313</v>
      </c>
      <c r="H331" s="76" t="s">
        <v>310</v>
      </c>
      <c r="I331" s="67" t="s">
        <v>96</v>
      </c>
      <c r="J331" s="68" t="s">
        <v>222</v>
      </c>
      <c r="K331" s="123" t="s">
        <v>222</v>
      </c>
      <c r="L331" s="4" t="s">
        <v>3</v>
      </c>
      <c r="M331" s="61" t="s">
        <v>131</v>
      </c>
      <c r="N331" s="61" t="s">
        <v>129</v>
      </c>
      <c r="O331" s="59"/>
      <c r="P331" s="59"/>
      <c r="Q331" s="61" t="s">
        <v>311</v>
      </c>
      <c r="R331" s="59" t="s">
        <v>5</v>
      </c>
      <c r="S331" s="59"/>
      <c r="T331" s="61"/>
      <c r="U331" s="61"/>
      <c r="V331" s="57"/>
    </row>
    <row r="332" spans="1:24" s="1" customFormat="1" ht="33" customHeight="1" x14ac:dyDescent="0.3">
      <c r="A332" s="16">
        <v>10</v>
      </c>
      <c r="B332" s="23">
        <v>29</v>
      </c>
      <c r="C332" s="27" t="str">
        <f t="shared" si="13"/>
        <v>10.29</v>
      </c>
      <c r="D332" s="12" t="s">
        <v>395</v>
      </c>
      <c r="E332" s="64" t="str">
        <f>IF(ISBLANK(D332)=TRUE,"",VLOOKUP(D332,Krav!$C:$F,4,FALSE))</f>
        <v>9.a.2.2.2.4 - Regel R0043 skal aktiveres</v>
      </c>
      <c r="F332" s="53" t="s">
        <v>226</v>
      </c>
      <c r="G332" s="19" t="s">
        <v>308</v>
      </c>
      <c r="H332" s="76" t="s">
        <v>310</v>
      </c>
      <c r="I332" s="68" t="s">
        <v>240</v>
      </c>
      <c r="J332" s="68" t="s">
        <v>222</v>
      </c>
      <c r="K332" s="123" t="s">
        <v>222</v>
      </c>
      <c r="L332" s="4" t="s">
        <v>3</v>
      </c>
      <c r="M332" s="61" t="s">
        <v>131</v>
      </c>
      <c r="N332" s="61" t="s">
        <v>129</v>
      </c>
      <c r="O332" s="59"/>
      <c r="P332" s="59"/>
      <c r="Q332" s="61" t="s">
        <v>317</v>
      </c>
      <c r="R332" s="59" t="s">
        <v>5</v>
      </c>
      <c r="S332" s="59"/>
      <c r="T332" s="61"/>
      <c r="U332" s="61"/>
      <c r="V332" s="57"/>
    </row>
    <row r="333" spans="1:24" s="1" customFormat="1" ht="33" customHeight="1" x14ac:dyDescent="0.3">
      <c r="A333" s="16">
        <v>10</v>
      </c>
      <c r="B333" s="23">
        <v>30</v>
      </c>
      <c r="C333" s="27" t="str">
        <f t="shared" si="13"/>
        <v>10.30</v>
      </c>
      <c r="D333" s="12" t="s">
        <v>396</v>
      </c>
      <c r="E333" s="64" t="str">
        <f>IF(ISBLANK(D333)=TRUE,"",VLOOKUP(D333,Krav!$C:$F,4,FALSE))</f>
        <v>9.a.2.2.2.5 - Regel R0043's Varighed X skal sættes til blank</v>
      </c>
      <c r="F333" s="53" t="s">
        <v>226</v>
      </c>
      <c r="G333" s="53" t="s">
        <v>313</v>
      </c>
      <c r="H333" s="76" t="s">
        <v>310</v>
      </c>
      <c r="I333" s="67" t="s">
        <v>96</v>
      </c>
      <c r="J333" s="68" t="s">
        <v>222</v>
      </c>
      <c r="K333" s="123" t="s">
        <v>222</v>
      </c>
      <c r="L333" s="4" t="s">
        <v>3</v>
      </c>
      <c r="M333" s="61" t="s">
        <v>131</v>
      </c>
      <c r="N333" s="61" t="s">
        <v>129</v>
      </c>
      <c r="O333" s="59"/>
      <c r="P333" s="59"/>
      <c r="Q333" s="61" t="s">
        <v>317</v>
      </c>
      <c r="R333" s="59" t="s">
        <v>5</v>
      </c>
      <c r="S333" s="59"/>
      <c r="T333" s="61"/>
      <c r="U333" s="61"/>
      <c r="V333" s="57"/>
    </row>
    <row r="334" spans="1:24" s="1" customFormat="1" ht="33" customHeight="1" x14ac:dyDescent="0.3">
      <c r="A334" s="16">
        <v>10</v>
      </c>
      <c r="B334" s="23">
        <v>31</v>
      </c>
      <c r="C334" s="27" t="str">
        <f t="shared" si="13"/>
        <v>10.31</v>
      </c>
      <c r="D334" s="12" t="s">
        <v>397</v>
      </c>
      <c r="E334" s="64" t="str">
        <f>IF(ISBLANK(D334)=TRUE,"",VLOOKUP(D334,Krav!$C:$F,4,FALSE))</f>
        <v>9.a.2.2.2.6 - Regel R0044 skal aktiveres</v>
      </c>
      <c r="F334" s="53" t="s">
        <v>226</v>
      </c>
      <c r="G334" s="19" t="s">
        <v>308</v>
      </c>
      <c r="H334" s="76" t="s">
        <v>310</v>
      </c>
      <c r="I334" s="68" t="s">
        <v>240</v>
      </c>
      <c r="J334" s="68" t="s">
        <v>222</v>
      </c>
      <c r="K334" s="123" t="s">
        <v>222</v>
      </c>
      <c r="L334" s="4" t="s">
        <v>3</v>
      </c>
      <c r="M334" s="61" t="s">
        <v>131</v>
      </c>
      <c r="N334" s="61" t="s">
        <v>129</v>
      </c>
      <c r="O334" s="59"/>
      <c r="P334" s="59"/>
      <c r="Q334" s="61" t="s">
        <v>320</v>
      </c>
      <c r="R334" s="59" t="s">
        <v>5</v>
      </c>
      <c r="S334" s="59"/>
      <c r="T334" s="61"/>
      <c r="U334" s="61"/>
      <c r="V334" s="57"/>
    </row>
    <row r="335" spans="1:24" s="1" customFormat="1" ht="33" customHeight="1" x14ac:dyDescent="0.3">
      <c r="A335" s="16">
        <v>10</v>
      </c>
      <c r="B335" s="23">
        <v>32</v>
      </c>
      <c r="C335" s="27" t="str">
        <f t="shared" si="13"/>
        <v>10.32</v>
      </c>
      <c r="D335" s="12" t="s">
        <v>398</v>
      </c>
      <c r="E335" s="64" t="str">
        <f>IF(ISBLANK(D335)=TRUE,"",VLOOKUP(D335,Krav!$C:$F,4,FALSE))</f>
        <v>9.a.2.2.2.7 - Regel R0044's Varighed X skal sættes til blank</v>
      </c>
      <c r="F335" s="53" t="s">
        <v>226</v>
      </c>
      <c r="G335" s="53" t="s">
        <v>313</v>
      </c>
      <c r="H335" s="76" t="s">
        <v>310</v>
      </c>
      <c r="I335" s="67" t="s">
        <v>96</v>
      </c>
      <c r="J335" s="68" t="s">
        <v>222</v>
      </c>
      <c r="K335" s="123" t="s">
        <v>222</v>
      </c>
      <c r="L335" s="4" t="s">
        <v>3</v>
      </c>
      <c r="M335" s="61" t="s">
        <v>131</v>
      </c>
      <c r="N335" s="61" t="s">
        <v>129</v>
      </c>
      <c r="O335" s="59"/>
      <c r="P335" s="59"/>
      <c r="Q335" s="61" t="s">
        <v>320</v>
      </c>
      <c r="R335" s="59" t="s">
        <v>5</v>
      </c>
      <c r="S335" s="59"/>
      <c r="T335" s="61"/>
      <c r="U335" s="61"/>
      <c r="V335" s="57"/>
    </row>
    <row r="336" spans="1:24" s="1" customFormat="1" ht="33" customHeight="1" x14ac:dyDescent="0.3">
      <c r="A336" s="16">
        <v>10</v>
      </c>
      <c r="B336" s="23">
        <v>33</v>
      </c>
      <c r="C336" s="27" t="str">
        <f t="shared" si="13"/>
        <v>10.33</v>
      </c>
      <c r="D336" s="12" t="s">
        <v>399</v>
      </c>
      <c r="E336" s="64" t="str">
        <f>IF(ISBLANK(D336)=TRUE,"",VLOOKUP(D336,Krav!$C:$F,4,FALSE))</f>
        <v>9.a.2.2.2.8 - Regel R0045 skal aktiveres</v>
      </c>
      <c r="F336" s="53" t="s">
        <v>226</v>
      </c>
      <c r="G336" s="19" t="s">
        <v>308</v>
      </c>
      <c r="H336" s="76" t="s">
        <v>310</v>
      </c>
      <c r="I336" s="68" t="s">
        <v>240</v>
      </c>
      <c r="J336" s="68" t="s">
        <v>222</v>
      </c>
      <c r="K336" s="123" t="s">
        <v>222</v>
      </c>
      <c r="L336" s="4" t="s">
        <v>3</v>
      </c>
      <c r="M336" s="61" t="s">
        <v>131</v>
      </c>
      <c r="N336" s="61" t="s">
        <v>129</v>
      </c>
      <c r="O336" s="59"/>
      <c r="P336" s="59"/>
      <c r="Q336" s="61" t="s">
        <v>323</v>
      </c>
      <c r="R336" s="59" t="s">
        <v>5</v>
      </c>
      <c r="S336" s="59"/>
      <c r="T336" s="61"/>
      <c r="U336" s="61"/>
      <c r="V336" s="57"/>
    </row>
    <row r="337" spans="1:24" s="1" customFormat="1" ht="33" customHeight="1" x14ac:dyDescent="0.3">
      <c r="A337" s="16">
        <v>10</v>
      </c>
      <c r="B337" s="23">
        <v>34</v>
      </c>
      <c r="C337" s="27" t="str">
        <f t="shared" si="13"/>
        <v>10.34</v>
      </c>
      <c r="D337" s="12" t="s">
        <v>400</v>
      </c>
      <c r="E337" s="64" t="str">
        <f>IF(ISBLANK(D337)=TRUE,"",VLOOKUP(D337,Krav!$C:$F,4,FALSE))</f>
        <v>9.a.2.2.2.9 - Regel R0045's Varighed X skal sættes til blank</v>
      </c>
      <c r="F337" s="53" t="s">
        <v>226</v>
      </c>
      <c r="G337" s="53" t="s">
        <v>313</v>
      </c>
      <c r="H337" s="76" t="s">
        <v>310</v>
      </c>
      <c r="I337" s="67" t="s">
        <v>96</v>
      </c>
      <c r="J337" s="68" t="s">
        <v>222</v>
      </c>
      <c r="K337" s="123" t="s">
        <v>222</v>
      </c>
      <c r="L337" s="4" t="s">
        <v>3</v>
      </c>
      <c r="M337" s="61" t="s">
        <v>131</v>
      </c>
      <c r="N337" s="61" t="s">
        <v>129</v>
      </c>
      <c r="O337" s="59"/>
      <c r="P337" s="59"/>
      <c r="Q337" s="61" t="s">
        <v>323</v>
      </c>
      <c r="R337" s="59" t="s">
        <v>5</v>
      </c>
      <c r="S337" s="59"/>
      <c r="T337" s="61"/>
      <c r="U337" s="61"/>
      <c r="V337" s="57"/>
    </row>
    <row r="338" spans="1:24" s="1" customFormat="1" ht="33" customHeight="1" x14ac:dyDescent="0.3">
      <c r="A338" s="16">
        <v>10</v>
      </c>
      <c r="B338" s="23">
        <v>35</v>
      </c>
      <c r="C338" s="27" t="str">
        <f t="shared" si="13"/>
        <v>10.35</v>
      </c>
      <c r="D338" s="12" t="s">
        <v>401</v>
      </c>
      <c r="E338" s="64" t="str">
        <f>IF(ISBLANK(D338)=TRUE,"",VLOOKUP(D338,Krav!$C:$F,4,FALSE))</f>
        <v>9.a.2.2.2.10 - Regel R0046 skal aktiveres</v>
      </c>
      <c r="F338" s="53" t="s">
        <v>226</v>
      </c>
      <c r="G338" s="19" t="s">
        <v>308</v>
      </c>
      <c r="H338" s="76" t="s">
        <v>310</v>
      </c>
      <c r="I338" s="68" t="s">
        <v>240</v>
      </c>
      <c r="J338" s="68" t="s">
        <v>222</v>
      </c>
      <c r="K338" s="123" t="s">
        <v>222</v>
      </c>
      <c r="L338" s="4" t="s">
        <v>3</v>
      </c>
      <c r="M338" s="61" t="s">
        <v>131</v>
      </c>
      <c r="N338" s="61" t="s">
        <v>129</v>
      </c>
      <c r="O338" s="59"/>
      <c r="P338" s="59"/>
      <c r="Q338" s="61" t="s">
        <v>326</v>
      </c>
      <c r="R338" s="59" t="s">
        <v>5</v>
      </c>
      <c r="S338" s="59"/>
      <c r="T338" s="61"/>
      <c r="U338" s="61"/>
      <c r="V338" s="57"/>
    </row>
    <row r="339" spans="1:24" s="1" customFormat="1" ht="33" customHeight="1" x14ac:dyDescent="0.3">
      <c r="A339" s="16">
        <v>10</v>
      </c>
      <c r="B339" s="23">
        <v>36</v>
      </c>
      <c r="C339" s="27" t="str">
        <f t="shared" si="13"/>
        <v>10.36</v>
      </c>
      <c r="D339" s="12" t="s">
        <v>402</v>
      </c>
      <c r="E339" s="64" t="str">
        <f>IF(ISBLANK(D339)=TRUE,"",VLOOKUP(D339,Krav!$C:$F,4,FALSE))</f>
        <v>9.a.2.2.2.11 - Regel R0046's Varighed X skal sættes til blank</v>
      </c>
      <c r="F339" s="53" t="s">
        <v>226</v>
      </c>
      <c r="G339" s="53" t="s">
        <v>313</v>
      </c>
      <c r="H339" s="76" t="s">
        <v>310</v>
      </c>
      <c r="I339" s="67" t="s">
        <v>96</v>
      </c>
      <c r="J339" s="68" t="s">
        <v>222</v>
      </c>
      <c r="K339" s="123" t="s">
        <v>222</v>
      </c>
      <c r="L339" s="4" t="s">
        <v>3</v>
      </c>
      <c r="M339" s="61" t="s">
        <v>131</v>
      </c>
      <c r="N339" s="61" t="s">
        <v>129</v>
      </c>
      <c r="O339" s="59"/>
      <c r="P339" s="59"/>
      <c r="Q339" s="61" t="s">
        <v>326</v>
      </c>
      <c r="R339" s="59" t="s">
        <v>5</v>
      </c>
      <c r="S339" s="59"/>
      <c r="T339" s="61"/>
      <c r="U339" s="61"/>
      <c r="V339" s="57"/>
    </row>
    <row r="340" spans="1:24" s="1" customFormat="1" ht="33" customHeight="1" x14ac:dyDescent="0.3">
      <c r="A340" s="16">
        <v>10</v>
      </c>
      <c r="B340" s="23">
        <v>37</v>
      </c>
      <c r="C340" s="27" t="str">
        <f t="shared" si="13"/>
        <v>10.37</v>
      </c>
      <c r="D340" s="18"/>
      <c r="E340" s="64" t="str">
        <f>IF(ISBLANK(D340)=TRUE,"",VLOOKUP(D340,Krav!$C:$F,4,FALSE))</f>
        <v/>
      </c>
      <c r="F340" s="29" t="s">
        <v>174</v>
      </c>
      <c r="G340" s="19"/>
      <c r="H340" s="25" t="s">
        <v>328</v>
      </c>
      <c r="I340" s="67" t="s">
        <v>470</v>
      </c>
      <c r="J340" s="67" t="s">
        <v>222</v>
      </c>
      <c r="K340" s="123" t="s">
        <v>222</v>
      </c>
      <c r="L340" s="20" t="s">
        <v>4</v>
      </c>
      <c r="M340" s="15" t="s">
        <v>131</v>
      </c>
      <c r="N340" s="15" t="s">
        <v>131</v>
      </c>
      <c r="O340" s="61"/>
      <c r="P340" s="61"/>
      <c r="Q340" s="61"/>
      <c r="R340" s="59" t="s">
        <v>5</v>
      </c>
      <c r="S340" s="61"/>
      <c r="T340" s="61"/>
      <c r="U340" s="60"/>
      <c r="V340" s="60"/>
      <c r="W340" s="60"/>
      <c r="X340" s="60"/>
    </row>
    <row r="341" spans="1:24" s="1" customFormat="1" ht="33" customHeight="1" x14ac:dyDescent="0.3">
      <c r="A341" s="16">
        <v>10</v>
      </c>
      <c r="B341" s="23">
        <v>38</v>
      </c>
      <c r="C341" s="27" t="str">
        <f t="shared" si="13"/>
        <v>10.38</v>
      </c>
      <c r="D341" s="18"/>
      <c r="E341" s="64" t="str">
        <f>IF(ISBLANK(D341)=TRUE,"",VLOOKUP(D341,Krav!$C:$F,4,FALSE))</f>
        <v/>
      </c>
      <c r="F341" s="78" t="s">
        <v>418</v>
      </c>
      <c r="G341" s="78" t="s">
        <v>419</v>
      </c>
      <c r="H341" s="81" t="s">
        <v>440</v>
      </c>
      <c r="I341" s="83" t="s">
        <v>129</v>
      </c>
      <c r="J341" s="96" t="s">
        <v>222</v>
      </c>
      <c r="K341" s="123" t="s">
        <v>222</v>
      </c>
      <c r="L341" s="20" t="s">
        <v>4</v>
      </c>
      <c r="M341" s="15" t="s">
        <v>131</v>
      </c>
      <c r="N341" s="15" t="s">
        <v>131</v>
      </c>
      <c r="O341" s="61"/>
      <c r="P341" s="61"/>
      <c r="Q341" s="61"/>
      <c r="R341" s="59" t="s">
        <v>5</v>
      </c>
      <c r="S341" s="61"/>
      <c r="T341" s="61"/>
      <c r="U341" s="60"/>
      <c r="V341" s="60"/>
      <c r="W341" s="60"/>
      <c r="X341" s="60"/>
    </row>
    <row r="342" spans="1:24" s="1" customFormat="1" ht="33" customHeight="1" x14ac:dyDescent="0.3">
      <c r="A342" s="16">
        <v>10</v>
      </c>
      <c r="B342" s="23">
        <v>39</v>
      </c>
      <c r="C342" s="27" t="str">
        <f t="shared" si="13"/>
        <v>10.39</v>
      </c>
      <c r="D342" s="18"/>
      <c r="E342" s="64" t="str">
        <f>IF(ISBLANK(D342)=TRUE,"",VLOOKUP(D342,Krav!$C:$F,4,FALSE))</f>
        <v/>
      </c>
      <c r="F342" s="29" t="s">
        <v>174</v>
      </c>
      <c r="G342" s="19" t="s">
        <v>417</v>
      </c>
      <c r="H342" s="25" t="s">
        <v>403</v>
      </c>
      <c r="I342" s="67" t="s">
        <v>175</v>
      </c>
      <c r="J342" s="67" t="s">
        <v>222</v>
      </c>
      <c r="K342" s="123" t="s">
        <v>222</v>
      </c>
      <c r="L342" s="20" t="s">
        <v>4</v>
      </c>
      <c r="M342" s="61" t="s">
        <v>129</v>
      </c>
      <c r="N342" s="61" t="s">
        <v>131</v>
      </c>
      <c r="O342" s="15" t="s">
        <v>96</v>
      </c>
      <c r="P342" s="61"/>
      <c r="Q342" s="61"/>
      <c r="R342" s="59" t="s">
        <v>5</v>
      </c>
      <c r="S342" s="61"/>
      <c r="T342" s="61"/>
      <c r="U342" s="60"/>
      <c r="V342" s="60"/>
      <c r="W342" s="60"/>
      <c r="X342" s="60"/>
    </row>
    <row r="343" spans="1:24" s="1" customFormat="1" ht="33" customHeight="1" x14ac:dyDescent="0.3">
      <c r="A343" s="16">
        <v>10</v>
      </c>
      <c r="B343" s="23">
        <v>40</v>
      </c>
      <c r="C343" s="162" t="str">
        <f t="shared" si="13"/>
        <v>10.40</v>
      </c>
      <c r="D343" s="18"/>
      <c r="E343" s="64" t="str">
        <f>IF(ISBLANK(D343)=TRUE,"",VLOOKUP(D343,Krav!$C:$F,4,FALSE))</f>
        <v/>
      </c>
      <c r="F343" s="78" t="s">
        <v>418</v>
      </c>
      <c r="G343" s="78" t="s">
        <v>419</v>
      </c>
      <c r="H343" s="81" t="s">
        <v>441</v>
      </c>
      <c r="I343" s="83" t="s">
        <v>129</v>
      </c>
      <c r="J343" s="96" t="s">
        <v>222</v>
      </c>
      <c r="K343" s="123" t="s">
        <v>222</v>
      </c>
      <c r="L343" s="20" t="s">
        <v>4</v>
      </c>
      <c r="M343" s="61" t="s">
        <v>129</v>
      </c>
      <c r="N343" s="61" t="s">
        <v>131</v>
      </c>
      <c r="O343" s="15" t="s">
        <v>96</v>
      </c>
      <c r="P343" s="61"/>
      <c r="Q343" s="61"/>
      <c r="R343" s="59" t="s">
        <v>5</v>
      </c>
      <c r="S343" s="61"/>
      <c r="T343" s="61"/>
      <c r="U343" s="60"/>
      <c r="V343" s="60"/>
      <c r="W343" s="60"/>
      <c r="X343" s="60"/>
    </row>
    <row r="344" spans="1:24" s="1" customFormat="1" ht="33" customHeight="1" x14ac:dyDescent="0.3">
      <c r="A344" s="16">
        <v>10</v>
      </c>
      <c r="B344" s="23">
        <v>41</v>
      </c>
      <c r="C344" s="27" t="str">
        <f t="shared" si="13"/>
        <v>10.41</v>
      </c>
      <c r="D344" s="18"/>
      <c r="E344" s="64" t="str">
        <f>IF(ISBLANK(D344)=TRUE,"",VLOOKUP(D344,Krav!$C:$F,4,FALSE))</f>
        <v/>
      </c>
      <c r="F344" s="29" t="s">
        <v>174</v>
      </c>
      <c r="G344" s="19"/>
      <c r="H344" s="25" t="s">
        <v>405</v>
      </c>
      <c r="I344" s="67" t="s">
        <v>175</v>
      </c>
      <c r="J344" s="67" t="s">
        <v>222</v>
      </c>
      <c r="K344" s="123" t="s">
        <v>222</v>
      </c>
      <c r="L344" s="20" t="s">
        <v>4</v>
      </c>
      <c r="M344" s="61" t="s">
        <v>129</v>
      </c>
      <c r="N344" s="61" t="s">
        <v>131</v>
      </c>
      <c r="O344" s="15" t="s">
        <v>406</v>
      </c>
      <c r="P344" s="61"/>
      <c r="Q344" s="61"/>
      <c r="R344" s="59" t="s">
        <v>5</v>
      </c>
      <c r="S344" s="61"/>
      <c r="T344" s="61"/>
      <c r="U344" s="60"/>
      <c r="V344" s="60"/>
      <c r="W344" s="60"/>
      <c r="X344" s="60"/>
    </row>
    <row r="345" spans="1:24" s="1" customFormat="1" ht="33" customHeight="1" x14ac:dyDescent="0.3">
      <c r="A345" s="16">
        <v>10</v>
      </c>
      <c r="B345" s="23">
        <v>42</v>
      </c>
      <c r="C345" s="162" t="str">
        <f t="shared" si="13"/>
        <v>10.42</v>
      </c>
      <c r="D345" s="18"/>
      <c r="E345" s="64" t="str">
        <f>IF(ISBLANK(D345)=TRUE,"",VLOOKUP(D345,Krav!$C:$F,4,FALSE))</f>
        <v/>
      </c>
      <c r="F345" s="78" t="s">
        <v>418</v>
      </c>
      <c r="G345" s="78" t="s">
        <v>419</v>
      </c>
      <c r="H345" s="81" t="s">
        <v>442</v>
      </c>
      <c r="I345" s="83" t="s">
        <v>129</v>
      </c>
      <c r="J345" s="96" t="s">
        <v>222</v>
      </c>
      <c r="K345" s="123" t="s">
        <v>222</v>
      </c>
      <c r="L345" s="20" t="s">
        <v>4</v>
      </c>
      <c r="M345" s="61" t="s">
        <v>129</v>
      </c>
      <c r="N345" s="61" t="s">
        <v>131</v>
      </c>
      <c r="O345" s="15" t="s">
        <v>406</v>
      </c>
      <c r="P345" s="61"/>
      <c r="Q345" s="61"/>
      <c r="R345" s="59" t="s">
        <v>5</v>
      </c>
      <c r="S345" s="61"/>
      <c r="T345" s="61"/>
      <c r="U345" s="60"/>
      <c r="V345" s="60"/>
      <c r="W345" s="60"/>
      <c r="X345" s="60"/>
    </row>
    <row r="346" spans="1:24" s="1" customFormat="1" ht="33" customHeight="1" x14ac:dyDescent="0.3">
      <c r="A346" s="16">
        <v>10</v>
      </c>
      <c r="B346" s="23">
        <v>43</v>
      </c>
      <c r="C346" s="162" t="str">
        <f t="shared" si="13"/>
        <v>10.43</v>
      </c>
      <c r="D346" s="18"/>
      <c r="E346" s="64" t="str">
        <f>IF(ISBLANK(D346)=TRUE,"",VLOOKUP(D346,Krav!$C:$F,4,FALSE))</f>
        <v/>
      </c>
      <c r="F346" s="29" t="s">
        <v>174</v>
      </c>
      <c r="G346" s="19" t="s">
        <v>417</v>
      </c>
      <c r="H346" s="25" t="s">
        <v>407</v>
      </c>
      <c r="I346" s="67" t="s">
        <v>175</v>
      </c>
      <c r="J346" s="67" t="s">
        <v>222</v>
      </c>
      <c r="K346" s="123" t="s">
        <v>222</v>
      </c>
      <c r="L346" s="20" t="s">
        <v>4</v>
      </c>
      <c r="M346" s="61" t="s">
        <v>129</v>
      </c>
      <c r="N346" s="61" t="s">
        <v>131</v>
      </c>
      <c r="O346" s="15" t="s">
        <v>408</v>
      </c>
      <c r="P346" s="61"/>
      <c r="Q346" s="61"/>
      <c r="R346" s="59" t="s">
        <v>5</v>
      </c>
      <c r="S346" s="61"/>
      <c r="T346" s="61"/>
      <c r="U346" s="60"/>
      <c r="V346" s="60"/>
      <c r="W346" s="60"/>
      <c r="X346" s="60"/>
    </row>
    <row r="347" spans="1:24" s="1" customFormat="1" ht="33" customHeight="1" x14ac:dyDescent="0.3">
      <c r="A347" s="16">
        <v>10</v>
      </c>
      <c r="B347" s="23">
        <v>44</v>
      </c>
      <c r="C347" s="162" t="str">
        <f t="shared" si="13"/>
        <v>10.44</v>
      </c>
      <c r="D347" s="18"/>
      <c r="E347" s="64" t="str">
        <f>IF(ISBLANK(D347)=TRUE,"",VLOOKUP(D347,Krav!$C:$F,4,FALSE))</f>
        <v/>
      </c>
      <c r="F347" s="78" t="s">
        <v>418</v>
      </c>
      <c r="G347" s="78" t="s">
        <v>419</v>
      </c>
      <c r="H347" s="81" t="s">
        <v>443</v>
      </c>
      <c r="I347" s="83" t="s">
        <v>129</v>
      </c>
      <c r="J347" s="96" t="s">
        <v>222</v>
      </c>
      <c r="K347" s="123" t="s">
        <v>222</v>
      </c>
      <c r="L347" s="20" t="s">
        <v>4</v>
      </c>
      <c r="M347" s="61" t="s">
        <v>129</v>
      </c>
      <c r="N347" s="61" t="s">
        <v>131</v>
      </c>
      <c r="O347" s="15" t="s">
        <v>408</v>
      </c>
      <c r="P347" s="61"/>
      <c r="Q347" s="61"/>
      <c r="R347" s="59" t="s">
        <v>5</v>
      </c>
      <c r="S347" s="61"/>
      <c r="T347" s="61"/>
      <c r="U347" s="60"/>
      <c r="V347" s="60"/>
      <c r="W347" s="60"/>
      <c r="X347" s="60"/>
    </row>
    <row r="348" spans="1:24" s="1" customFormat="1" ht="33" customHeight="1" x14ac:dyDescent="0.3">
      <c r="A348" s="16">
        <v>10</v>
      </c>
      <c r="B348" s="23">
        <v>45</v>
      </c>
      <c r="C348" s="162" t="str">
        <f t="shared" si="13"/>
        <v>10.45</v>
      </c>
      <c r="D348" s="18"/>
      <c r="E348" s="64" t="str">
        <f>IF(ISBLANK(D348)=TRUE,"",VLOOKUP(D348,Krav!$C:$F,4,FALSE))</f>
        <v/>
      </c>
      <c r="F348" s="29" t="s">
        <v>174</v>
      </c>
      <c r="G348" s="19" t="s">
        <v>417</v>
      </c>
      <c r="H348" s="25" t="s">
        <v>409</v>
      </c>
      <c r="I348" s="67" t="s">
        <v>175</v>
      </c>
      <c r="J348" s="67" t="s">
        <v>222</v>
      </c>
      <c r="K348" s="123" t="s">
        <v>222</v>
      </c>
      <c r="L348" s="20" t="s">
        <v>4</v>
      </c>
      <c r="M348" s="61" t="s">
        <v>129</v>
      </c>
      <c r="N348" s="61" t="s">
        <v>131</v>
      </c>
      <c r="O348" s="15" t="s">
        <v>410</v>
      </c>
      <c r="P348" s="61"/>
      <c r="Q348" s="61"/>
      <c r="R348" s="59" t="s">
        <v>5</v>
      </c>
      <c r="S348" s="61"/>
      <c r="T348" s="61"/>
      <c r="U348" s="60"/>
      <c r="V348" s="60"/>
      <c r="W348" s="60"/>
      <c r="X348" s="60"/>
    </row>
    <row r="349" spans="1:24" s="1" customFormat="1" ht="33" customHeight="1" x14ac:dyDescent="0.3">
      <c r="A349" s="16">
        <v>10</v>
      </c>
      <c r="B349" s="23">
        <v>46</v>
      </c>
      <c r="C349" s="162" t="str">
        <f t="shared" si="13"/>
        <v>10.46</v>
      </c>
      <c r="D349" s="18"/>
      <c r="E349" s="64" t="str">
        <f>IF(ISBLANK(D349)=TRUE,"",VLOOKUP(D349,Krav!$C:$F,4,FALSE))</f>
        <v/>
      </c>
      <c r="F349" s="78" t="s">
        <v>418</v>
      </c>
      <c r="G349" s="78" t="s">
        <v>419</v>
      </c>
      <c r="H349" s="81" t="s">
        <v>444</v>
      </c>
      <c r="I349" s="83" t="s">
        <v>129</v>
      </c>
      <c r="J349" s="96" t="s">
        <v>222</v>
      </c>
      <c r="K349" s="123" t="s">
        <v>222</v>
      </c>
      <c r="L349" s="20" t="s">
        <v>4</v>
      </c>
      <c r="M349" s="61" t="s">
        <v>129</v>
      </c>
      <c r="N349" s="61" t="s">
        <v>131</v>
      </c>
      <c r="O349" s="15" t="s">
        <v>410</v>
      </c>
      <c r="P349" s="61"/>
      <c r="Q349" s="61"/>
      <c r="R349" s="59" t="s">
        <v>5</v>
      </c>
      <c r="S349" s="61"/>
      <c r="T349" s="61"/>
      <c r="U349" s="60"/>
      <c r="V349" s="60"/>
      <c r="W349" s="60"/>
      <c r="X349" s="60"/>
    </row>
    <row r="350" spans="1:24" s="1" customFormat="1" ht="33" customHeight="1" x14ac:dyDescent="0.3">
      <c r="A350" s="16">
        <v>10</v>
      </c>
      <c r="B350" s="23">
        <v>47</v>
      </c>
      <c r="C350" s="27" t="str">
        <f t="shared" si="13"/>
        <v>10.47</v>
      </c>
      <c r="D350" s="18"/>
      <c r="E350" s="64" t="str">
        <f>IF(ISBLANK(D350)=TRUE,"",VLOOKUP(D350,Krav!$C:$F,4,FALSE))</f>
        <v/>
      </c>
      <c r="F350" s="19" t="s">
        <v>185</v>
      </c>
      <c r="G350" s="19"/>
      <c r="H350" s="25" t="s">
        <v>351</v>
      </c>
      <c r="I350" s="65" t="s">
        <v>340</v>
      </c>
      <c r="J350" s="67" t="s">
        <v>222</v>
      </c>
      <c r="K350" s="123" t="s">
        <v>222</v>
      </c>
      <c r="L350" s="20" t="s">
        <v>3</v>
      </c>
      <c r="M350" s="61"/>
      <c r="N350" s="61"/>
      <c r="O350" s="61"/>
      <c r="P350" s="61"/>
      <c r="Q350" s="61"/>
      <c r="R350" s="59" t="s">
        <v>5</v>
      </c>
      <c r="S350" s="61"/>
      <c r="T350" s="61"/>
      <c r="U350" s="60"/>
      <c r="V350" s="60"/>
      <c r="W350" s="60"/>
      <c r="X350" s="60"/>
    </row>
    <row r="351" spans="1:24" s="1" customFormat="1" ht="33" customHeight="1" x14ac:dyDescent="0.3">
      <c r="A351" s="16">
        <v>10</v>
      </c>
      <c r="B351" s="23">
        <v>48</v>
      </c>
      <c r="C351" s="162" t="str">
        <f t="shared" si="13"/>
        <v>10.48</v>
      </c>
      <c r="D351" s="18"/>
      <c r="E351" s="64" t="str">
        <f>IF(ISBLANK(D351)=TRUE,"",VLOOKUP(D351,Krav!$C:$F,4,FALSE))</f>
        <v/>
      </c>
      <c r="F351" s="91" t="s">
        <v>418</v>
      </c>
      <c r="G351" s="91" t="s">
        <v>1364</v>
      </c>
      <c r="H351" s="81" t="s">
        <v>1365</v>
      </c>
      <c r="I351" s="91" t="s">
        <v>129</v>
      </c>
      <c r="J351" s="96" t="s">
        <v>222</v>
      </c>
      <c r="K351" s="123" t="s">
        <v>222</v>
      </c>
      <c r="L351" s="20" t="s">
        <v>3</v>
      </c>
      <c r="M351" s="61"/>
      <c r="N351" s="61"/>
      <c r="O351" s="61"/>
      <c r="P351" s="60"/>
      <c r="Q351" s="61"/>
      <c r="R351" s="59"/>
      <c r="S351" s="61"/>
      <c r="T351" s="61"/>
      <c r="U351" s="60"/>
      <c r="V351" s="60"/>
      <c r="W351" s="60"/>
      <c r="X351" s="60"/>
    </row>
    <row r="352" spans="1:24" s="89" customFormat="1" ht="33" customHeight="1" x14ac:dyDescent="0.3">
      <c r="A352" s="16">
        <v>10</v>
      </c>
      <c r="B352" s="23">
        <v>49</v>
      </c>
      <c r="C352" s="27" t="str">
        <f>IF(B352&lt;10,_xlfn.CONCAT(A352,".0",B352),_xlfn.CONCAT(A352,".",B352))</f>
        <v>10.49</v>
      </c>
      <c r="D352" s="12"/>
      <c r="E352" s="64" t="str">
        <f>IF(ISBLANK(D352)=TRUE,"",VLOOKUP(D352,Krav!$C:$F,4,FALSE))</f>
        <v/>
      </c>
      <c r="F352" s="91" t="s">
        <v>418</v>
      </c>
      <c r="G352" s="92" t="s">
        <v>445</v>
      </c>
      <c r="H352" s="91" t="s">
        <v>447</v>
      </c>
      <c r="I352" s="93" t="s">
        <v>129</v>
      </c>
      <c r="J352" s="94" t="s">
        <v>222</v>
      </c>
      <c r="K352" s="128" t="s">
        <v>222</v>
      </c>
      <c r="L352" s="4" t="s">
        <v>3</v>
      </c>
      <c r="M352" s="61" t="s">
        <v>129</v>
      </c>
      <c r="N352" s="61" t="s">
        <v>131</v>
      </c>
      <c r="O352" s="61" t="s">
        <v>376</v>
      </c>
      <c r="P352" s="22"/>
      <c r="Q352" s="61"/>
      <c r="R352" s="59" t="s">
        <v>5</v>
      </c>
      <c r="S352" s="61"/>
      <c r="T352" s="61"/>
      <c r="U352" s="61"/>
      <c r="V352" s="61"/>
      <c r="W352" s="61"/>
      <c r="X352" s="61"/>
    </row>
    <row r="353" spans="1:24" s="89" customFormat="1" ht="33" customHeight="1" x14ac:dyDescent="0.3">
      <c r="A353" s="11">
        <v>10</v>
      </c>
      <c r="B353" s="23">
        <v>50</v>
      </c>
      <c r="C353" s="24" t="str">
        <f>IF(B353&lt;10,_xlfn.CONCAT(A353,".0",B353),_xlfn.CONCAT(A353,".",B353))</f>
        <v>10.50</v>
      </c>
      <c r="D353" s="12"/>
      <c r="E353" s="64" t="str">
        <f>IF(ISBLANK(D353)=TRUE,"",VLOOKUP(D353,Krav!$C:$F,4,FALSE))</f>
        <v/>
      </c>
      <c r="F353" s="91" t="s">
        <v>418</v>
      </c>
      <c r="G353" s="92" t="s">
        <v>446</v>
      </c>
      <c r="H353" s="91" t="s">
        <v>448</v>
      </c>
      <c r="I353" s="93" t="s">
        <v>129</v>
      </c>
      <c r="J353" s="94" t="s">
        <v>222</v>
      </c>
      <c r="K353" s="128" t="s">
        <v>222</v>
      </c>
      <c r="L353" s="4" t="s">
        <v>3</v>
      </c>
      <c r="M353" s="61" t="s">
        <v>131</v>
      </c>
      <c r="N353" s="61" t="s">
        <v>129</v>
      </c>
      <c r="O353" s="61"/>
      <c r="P353" s="59"/>
      <c r="Q353" s="61"/>
      <c r="R353" s="59" t="s">
        <v>5</v>
      </c>
      <c r="S353" s="61"/>
      <c r="T353" s="61"/>
      <c r="U353" s="61"/>
      <c r="V353" s="61"/>
      <c r="W353" s="61"/>
      <c r="X353" s="61"/>
    </row>
    <row r="354" spans="1:24" s="57" customFormat="1" ht="16.5" customHeight="1" x14ac:dyDescent="0.3">
      <c r="E354" s="5"/>
      <c r="F354" s="5"/>
      <c r="H354" s="5"/>
    </row>
    <row r="355" spans="1:24" s="57" customFormat="1" ht="14.4" x14ac:dyDescent="0.3">
      <c r="A355" s="50" t="s">
        <v>6</v>
      </c>
      <c r="B355" s="51" t="s">
        <v>7</v>
      </c>
      <c r="C355" s="31" t="s">
        <v>0</v>
      </c>
      <c r="D355" s="31" t="s">
        <v>22</v>
      </c>
      <c r="E355" s="52" t="s">
        <v>99</v>
      </c>
      <c r="F355" s="52" t="s">
        <v>216</v>
      </c>
      <c r="G355" s="31" t="s">
        <v>217</v>
      </c>
      <c r="H355" s="52" t="s">
        <v>28</v>
      </c>
      <c r="I355" s="31" t="s">
        <v>218</v>
      </c>
      <c r="J355" s="31" t="s">
        <v>219</v>
      </c>
      <c r="K355" s="31" t="s">
        <v>220</v>
      </c>
      <c r="L355" s="31" t="s">
        <v>1</v>
      </c>
      <c r="M355" s="62" t="s">
        <v>230</v>
      </c>
      <c r="N355" s="62" t="s">
        <v>231</v>
      </c>
      <c r="O355" s="62" t="s">
        <v>361</v>
      </c>
      <c r="P355" s="62" t="s">
        <v>233</v>
      </c>
      <c r="Q355" s="62" t="s">
        <v>9</v>
      </c>
      <c r="R355" s="62" t="s">
        <v>9</v>
      </c>
      <c r="S355" s="62" t="s">
        <v>9</v>
      </c>
      <c r="T355" s="62" t="s">
        <v>9</v>
      </c>
      <c r="U355" s="62" t="s">
        <v>9</v>
      </c>
      <c r="V355" s="62" t="s">
        <v>9</v>
      </c>
      <c r="W355" s="62" t="s">
        <v>9</v>
      </c>
      <c r="X355" s="62" t="s">
        <v>9</v>
      </c>
    </row>
    <row r="356" spans="1:24" s="57" customFormat="1" ht="33" customHeight="1" x14ac:dyDescent="0.3">
      <c r="A356" s="16">
        <v>11</v>
      </c>
      <c r="B356" s="23">
        <v>1</v>
      </c>
      <c r="C356" s="27" t="str">
        <f t="shared" ref="C356:C366" si="14">IF(B356&lt;10,_xlfn.CONCAT(A356,".0",B356),_xlfn.CONCAT(A356,".",B356))</f>
        <v>11.01</v>
      </c>
      <c r="D356" s="110" t="s">
        <v>472</v>
      </c>
      <c r="E356" s="64" t="str">
        <f>IF(ISBLANK(D356)=TRUE,"",VLOOKUP(D356,Krav!$C:$F,4,FALSE))</f>
        <v>9.b.2 - Såfremt brugeren vælger "Ja" skal brugeren ledes til spørgsmål 9.b.1</v>
      </c>
      <c r="F356" s="53" t="s">
        <v>143</v>
      </c>
      <c r="G356" s="19"/>
      <c r="H356" s="25" t="s">
        <v>1369</v>
      </c>
      <c r="I356" s="67" t="s">
        <v>305</v>
      </c>
      <c r="J356" s="67" t="s">
        <v>222</v>
      </c>
      <c r="K356" s="123" t="s">
        <v>222</v>
      </c>
      <c r="L356" s="20" t="s">
        <v>3</v>
      </c>
      <c r="M356" s="61" t="s">
        <v>129</v>
      </c>
      <c r="N356" s="61" t="s">
        <v>131</v>
      </c>
      <c r="O356" s="61"/>
      <c r="P356" s="61" t="s">
        <v>5</v>
      </c>
      <c r="Q356" s="61"/>
      <c r="R356" s="61"/>
      <c r="S356" s="61"/>
      <c r="T356" s="61"/>
      <c r="U356" s="61"/>
      <c r="V356" s="61"/>
      <c r="W356" s="61"/>
      <c r="X356" s="61"/>
    </row>
    <row r="357" spans="1:24" s="57" customFormat="1" ht="33" customHeight="1" x14ac:dyDescent="0.3">
      <c r="A357" s="16">
        <v>11</v>
      </c>
      <c r="B357" s="23">
        <v>2</v>
      </c>
      <c r="C357" s="27" t="str">
        <f t="shared" si="14"/>
        <v>11.02</v>
      </c>
      <c r="D357" s="18" t="s">
        <v>473</v>
      </c>
      <c r="E357" s="64" t="str">
        <f>IF(ISBLANK(D357)=TRUE,"",VLOOKUP(D357,Krav!$C:$F,4,FALSE))</f>
        <v>9.b.3 - Såfremt brugeren vælger "Nej" skal brugeren ledes til spørgsmål 9.b.2</v>
      </c>
      <c r="F357" s="53" t="s">
        <v>143</v>
      </c>
      <c r="G357" s="19"/>
      <c r="H357" s="25" t="s">
        <v>474</v>
      </c>
      <c r="I357" s="67" t="s">
        <v>475</v>
      </c>
      <c r="J357" s="67" t="s">
        <v>222</v>
      </c>
      <c r="K357" s="123" t="s">
        <v>222</v>
      </c>
      <c r="L357" s="20" t="s">
        <v>3</v>
      </c>
      <c r="M357" s="61" t="s">
        <v>131</v>
      </c>
      <c r="N357" s="61" t="s">
        <v>129</v>
      </c>
      <c r="O357" s="61"/>
      <c r="P357" s="61" t="s">
        <v>5</v>
      </c>
      <c r="Q357" s="61"/>
      <c r="R357" s="61"/>
      <c r="S357" s="61"/>
      <c r="T357" s="61"/>
      <c r="U357" s="61"/>
      <c r="V357" s="61"/>
      <c r="W357" s="61"/>
      <c r="X357" s="61"/>
    </row>
    <row r="358" spans="1:24" s="57" customFormat="1" ht="33" customHeight="1" x14ac:dyDescent="0.3">
      <c r="A358" s="16">
        <v>11</v>
      </c>
      <c r="B358" s="23">
        <v>3</v>
      </c>
      <c r="C358" s="27" t="str">
        <f t="shared" si="14"/>
        <v>11.03</v>
      </c>
      <c r="D358" s="18"/>
      <c r="E358" s="64" t="str">
        <f>IF(ISBLANK(D358)=TRUE,"",VLOOKUP(D358,Krav!$C:$F,4,FALSE))</f>
        <v/>
      </c>
      <c r="F358" s="53" t="s">
        <v>225</v>
      </c>
      <c r="G358" s="19" t="s">
        <v>231</v>
      </c>
      <c r="H358" s="25" t="s">
        <v>284</v>
      </c>
      <c r="I358" s="67" t="s">
        <v>166</v>
      </c>
      <c r="J358" s="67" t="s">
        <v>222</v>
      </c>
      <c r="K358" s="123" t="s">
        <v>222</v>
      </c>
      <c r="L358" s="20" t="s">
        <v>3</v>
      </c>
      <c r="M358" s="61" t="s">
        <v>131</v>
      </c>
      <c r="N358" s="61" t="s">
        <v>129</v>
      </c>
      <c r="O358" s="61"/>
      <c r="P358" s="61" t="s">
        <v>5</v>
      </c>
      <c r="Q358" s="61"/>
      <c r="R358" s="61"/>
      <c r="S358" s="61"/>
      <c r="T358" s="61"/>
      <c r="U358" s="61"/>
      <c r="V358" s="61"/>
      <c r="W358" s="61"/>
      <c r="X358" s="61"/>
    </row>
    <row r="359" spans="1:24" s="57" customFormat="1" ht="33" customHeight="1" x14ac:dyDescent="0.3">
      <c r="A359" s="16">
        <v>11</v>
      </c>
      <c r="B359" s="23">
        <v>4</v>
      </c>
      <c r="C359" s="27" t="str">
        <f t="shared" si="14"/>
        <v>11.04</v>
      </c>
      <c r="D359" s="18" t="s">
        <v>476</v>
      </c>
      <c r="E359" s="64" t="str">
        <f>IF(ISBLANK(D359)=TRUE,"",VLOOKUP(D359,Krav!$C:$F,4,FALSE))</f>
        <v>9.b.1.1 - Gruppe 2 aktiveres</v>
      </c>
      <c r="F359" s="53" t="s">
        <v>227</v>
      </c>
      <c r="G359" s="53" t="s">
        <v>342</v>
      </c>
      <c r="H359" s="25" t="s">
        <v>367</v>
      </c>
      <c r="I359" s="67" t="s">
        <v>240</v>
      </c>
      <c r="J359" s="67" t="s">
        <v>222</v>
      </c>
      <c r="K359" s="123" t="s">
        <v>222</v>
      </c>
      <c r="L359" s="20" t="s">
        <v>3</v>
      </c>
      <c r="M359" s="61" t="s">
        <v>129</v>
      </c>
      <c r="N359" s="61" t="s">
        <v>131</v>
      </c>
      <c r="O359" s="61" t="s">
        <v>411</v>
      </c>
      <c r="P359" s="61" t="s">
        <v>5</v>
      </c>
      <c r="Q359" s="61"/>
      <c r="R359" s="61"/>
      <c r="S359" s="61"/>
      <c r="T359" s="61"/>
      <c r="U359" s="61"/>
      <c r="V359" s="61"/>
      <c r="W359" s="61"/>
      <c r="X359" s="61"/>
    </row>
    <row r="360" spans="1:24" s="57" customFormat="1" ht="33" customHeight="1" x14ac:dyDescent="0.3">
      <c r="A360" s="16">
        <v>11</v>
      </c>
      <c r="B360" s="23">
        <v>5</v>
      </c>
      <c r="C360" s="27" t="str">
        <f t="shared" si="14"/>
        <v>11.05</v>
      </c>
      <c r="D360" s="110"/>
      <c r="E360" s="64" t="str">
        <f>IF(ISBLANK(D360)=TRUE,"",VLOOKUP(D360,Krav!$C:$F,4,FALSE))</f>
        <v/>
      </c>
      <c r="F360" s="53" t="s">
        <v>225</v>
      </c>
      <c r="G360" s="19" t="s">
        <v>230</v>
      </c>
      <c r="H360" s="25" t="s">
        <v>284</v>
      </c>
      <c r="I360" s="67" t="s">
        <v>26</v>
      </c>
      <c r="J360" s="67" t="s">
        <v>222</v>
      </c>
      <c r="K360" s="123" t="s">
        <v>222</v>
      </c>
      <c r="L360" s="20" t="s">
        <v>3</v>
      </c>
      <c r="M360" s="61" t="s">
        <v>129</v>
      </c>
      <c r="N360" s="61" t="s">
        <v>131</v>
      </c>
      <c r="O360" s="61"/>
      <c r="P360" s="61" t="s">
        <v>5</v>
      </c>
      <c r="Q360" s="61"/>
      <c r="R360" s="61"/>
      <c r="S360" s="61"/>
      <c r="T360" s="61"/>
      <c r="U360" s="61"/>
      <c r="V360" s="61"/>
      <c r="W360" s="61"/>
      <c r="X360" s="61"/>
    </row>
    <row r="361" spans="1:24" s="57" customFormat="1" ht="33" customHeight="1" x14ac:dyDescent="0.3">
      <c r="A361" s="16">
        <v>11</v>
      </c>
      <c r="B361" s="23">
        <v>6</v>
      </c>
      <c r="C361" s="27" t="str">
        <f t="shared" si="14"/>
        <v>11.06</v>
      </c>
      <c r="D361" s="18" t="s">
        <v>359</v>
      </c>
      <c r="E361" s="64" t="str">
        <f>IF(ISBLANK(D361)=TRUE,"",VLOOKUP(D361,Krav!$C:$F,4,FALSE))</f>
        <v>9.a.2.1.3 - Der angives et ”JA” i populationen under ”Stoler RIM på fordringshaveres forældelsesdato?”</v>
      </c>
      <c r="F361" s="53" t="s">
        <v>221</v>
      </c>
      <c r="G361" s="19" t="s">
        <v>352</v>
      </c>
      <c r="H361" s="25" t="s">
        <v>345</v>
      </c>
      <c r="I361" s="67" t="s">
        <v>240</v>
      </c>
      <c r="J361" s="67" t="s">
        <v>222</v>
      </c>
      <c r="K361" s="123" t="s">
        <v>222</v>
      </c>
      <c r="L361" s="20" t="s">
        <v>3</v>
      </c>
      <c r="M361" s="61" t="s">
        <v>129</v>
      </c>
      <c r="N361" s="61" t="s">
        <v>131</v>
      </c>
      <c r="O361" s="61"/>
      <c r="P361" s="61" t="s">
        <v>5</v>
      </c>
      <c r="Q361" s="61"/>
      <c r="R361" s="61"/>
      <c r="S361" s="61"/>
      <c r="T361" s="61"/>
      <c r="U361" s="61"/>
      <c r="V361" s="61"/>
      <c r="W361" s="61"/>
      <c r="X361" s="61"/>
    </row>
    <row r="362" spans="1:24" s="57" customFormat="1" ht="33" customHeight="1" x14ac:dyDescent="0.3">
      <c r="A362" s="16">
        <v>11</v>
      </c>
      <c r="B362" s="23">
        <v>7</v>
      </c>
      <c r="C362" s="27" t="str">
        <f t="shared" si="14"/>
        <v>11.07</v>
      </c>
      <c r="D362" s="18"/>
      <c r="E362" s="64" t="str">
        <f>IF(ISBLANK(D362)=TRUE,"",VLOOKUP(D362,Krav!$C:$F,4,FALSE))</f>
        <v/>
      </c>
      <c r="F362" s="53" t="s">
        <v>224</v>
      </c>
      <c r="G362" s="19" t="s">
        <v>230</v>
      </c>
      <c r="H362" s="64" t="s">
        <v>1370</v>
      </c>
      <c r="I362" s="66" t="s">
        <v>129</v>
      </c>
      <c r="J362" s="67" t="s">
        <v>222</v>
      </c>
      <c r="K362" s="123" t="s">
        <v>222</v>
      </c>
      <c r="L362" s="20" t="s">
        <v>3</v>
      </c>
      <c r="M362" s="61" t="s">
        <v>129</v>
      </c>
      <c r="N362" s="61" t="s">
        <v>131</v>
      </c>
      <c r="O362" s="61"/>
      <c r="P362" s="61" t="s">
        <v>5</v>
      </c>
      <c r="Q362" s="61"/>
      <c r="R362" s="61"/>
      <c r="S362" s="61"/>
      <c r="T362" s="61"/>
      <c r="U362" s="61"/>
      <c r="V362" s="61"/>
      <c r="W362" s="61"/>
      <c r="X362" s="61"/>
    </row>
    <row r="363" spans="1:24" s="57" customFormat="1" ht="33" customHeight="1" x14ac:dyDescent="0.3">
      <c r="A363" s="16">
        <v>11</v>
      </c>
      <c r="B363" s="23">
        <v>8</v>
      </c>
      <c r="C363" s="27" t="str">
        <f t="shared" si="14"/>
        <v>11.08</v>
      </c>
      <c r="D363" s="18"/>
      <c r="E363" s="64" t="str">
        <f>IF(ISBLANK(D363)=TRUE,"",VLOOKUP(D363,Krav!$C:$F,4,FALSE))</f>
        <v/>
      </c>
      <c r="F363" s="53" t="s">
        <v>224</v>
      </c>
      <c r="G363" s="19" t="s">
        <v>231</v>
      </c>
      <c r="H363" s="64" t="s">
        <v>1371</v>
      </c>
      <c r="I363" s="66" t="s">
        <v>129</v>
      </c>
      <c r="J363" s="67" t="s">
        <v>222</v>
      </c>
      <c r="K363" s="123" t="s">
        <v>222</v>
      </c>
      <c r="L363" s="20" t="s">
        <v>3</v>
      </c>
      <c r="M363" s="61" t="s">
        <v>131</v>
      </c>
      <c r="N363" s="61" t="s">
        <v>129</v>
      </c>
      <c r="O363" s="61"/>
      <c r="P363" s="61" t="s">
        <v>5</v>
      </c>
      <c r="Q363" s="61"/>
      <c r="R363" s="61"/>
      <c r="S363" s="61"/>
      <c r="T363" s="61"/>
      <c r="U363" s="61"/>
      <c r="V363" s="61"/>
      <c r="W363" s="61"/>
      <c r="X363" s="61"/>
    </row>
    <row r="364" spans="1:24" s="57" customFormat="1" ht="33" customHeight="1" x14ac:dyDescent="0.3">
      <c r="A364" s="16">
        <v>11</v>
      </c>
      <c r="B364" s="23">
        <v>9</v>
      </c>
      <c r="C364" s="27" t="str">
        <f t="shared" si="14"/>
        <v>11.09</v>
      </c>
      <c r="D364" s="12"/>
      <c r="E364" s="64" t="str">
        <f>IF(ISBLANK(D364)=TRUE,"",VLOOKUP(D364,Krav!$C:$F,4,FALSE))</f>
        <v/>
      </c>
      <c r="F364" s="63" t="s">
        <v>224</v>
      </c>
      <c r="G364" s="19" t="s">
        <v>230</v>
      </c>
      <c r="H364" s="63" t="s">
        <v>1372</v>
      </c>
      <c r="I364" s="65" t="s">
        <v>131</v>
      </c>
      <c r="J364" s="68" t="s">
        <v>222</v>
      </c>
      <c r="K364" s="123" t="s">
        <v>222</v>
      </c>
      <c r="L364" s="4" t="s">
        <v>3</v>
      </c>
      <c r="M364" s="61"/>
      <c r="N364" s="15"/>
      <c r="O364" s="59"/>
      <c r="P364" s="59" t="s">
        <v>5</v>
      </c>
      <c r="Q364" s="61"/>
      <c r="R364" s="61"/>
      <c r="S364" s="61"/>
      <c r="T364" s="61"/>
      <c r="U364" s="61"/>
      <c r="V364" s="61"/>
      <c r="W364" s="61"/>
      <c r="X364" s="61"/>
    </row>
    <row r="365" spans="1:24" s="57" customFormat="1" ht="36" customHeight="1" x14ac:dyDescent="0.3">
      <c r="A365" s="16">
        <v>11</v>
      </c>
      <c r="B365" s="23">
        <v>10</v>
      </c>
      <c r="C365" s="27" t="str">
        <f t="shared" si="14"/>
        <v>11.10</v>
      </c>
      <c r="D365" s="12"/>
      <c r="E365" s="64" t="str">
        <f>IF(ISBLANK(D365)=TRUE,"",VLOOKUP(D365,Krav!$C:$F,4,FALSE))</f>
        <v/>
      </c>
      <c r="F365" s="63" t="s">
        <v>224</v>
      </c>
      <c r="G365" s="19" t="s">
        <v>231</v>
      </c>
      <c r="H365" s="63" t="s">
        <v>1372</v>
      </c>
      <c r="I365" s="65" t="s">
        <v>131</v>
      </c>
      <c r="J365" s="68" t="s">
        <v>222</v>
      </c>
      <c r="K365" s="123" t="s">
        <v>222</v>
      </c>
      <c r="L365" s="4" t="s">
        <v>3</v>
      </c>
      <c r="M365" s="61"/>
      <c r="N365" s="15"/>
      <c r="O365" s="59"/>
      <c r="P365" s="59" t="s">
        <v>5</v>
      </c>
      <c r="Q365" s="61"/>
      <c r="R365" s="61"/>
      <c r="S365" s="61"/>
      <c r="T365" s="61"/>
      <c r="U365" s="61"/>
      <c r="V365" s="61"/>
      <c r="W365" s="61"/>
      <c r="X365" s="61"/>
    </row>
    <row r="366" spans="1:24" s="57" customFormat="1" ht="33" customHeight="1" x14ac:dyDescent="0.3">
      <c r="A366" s="16">
        <v>11</v>
      </c>
      <c r="B366" s="23">
        <v>11</v>
      </c>
      <c r="C366" s="27" t="str">
        <f t="shared" si="14"/>
        <v>11.11</v>
      </c>
      <c r="D366" s="18"/>
      <c r="E366" s="64" t="str">
        <f>IF(ISBLANK(D366)=TRUE,"",VLOOKUP(D366,Krav!$C:$F,4,FALSE))</f>
        <v/>
      </c>
      <c r="F366" s="63" t="s">
        <v>174</v>
      </c>
      <c r="G366" s="63" t="s">
        <v>231</v>
      </c>
      <c r="H366" s="63" t="s">
        <v>328</v>
      </c>
      <c r="I366" s="63" t="s">
        <v>175</v>
      </c>
      <c r="J366" s="67" t="s">
        <v>222</v>
      </c>
      <c r="K366" s="123" t="s">
        <v>222</v>
      </c>
      <c r="L366" s="20" t="s">
        <v>4</v>
      </c>
      <c r="M366" s="15" t="s">
        <v>131</v>
      </c>
      <c r="N366" s="15" t="s">
        <v>131</v>
      </c>
      <c r="O366" s="61"/>
      <c r="P366" s="59" t="s">
        <v>5</v>
      </c>
      <c r="Q366" s="61"/>
      <c r="R366" s="61"/>
      <c r="S366" s="61"/>
      <c r="T366" s="61"/>
      <c r="U366" s="61"/>
      <c r="V366" s="61"/>
      <c r="W366" s="61"/>
      <c r="X366" s="61"/>
    </row>
    <row r="367" spans="1:24" s="57" customFormat="1" ht="33" customHeight="1" x14ac:dyDescent="0.3">
      <c r="A367" s="16">
        <v>11</v>
      </c>
      <c r="B367" s="23">
        <v>12</v>
      </c>
      <c r="C367" s="27" t="str">
        <f>IF(B367&lt;10,_xlfn.CONCAT(A367,".0",B367),_xlfn.CONCAT(A367,".",B367))</f>
        <v>11.12</v>
      </c>
      <c r="D367" s="18"/>
      <c r="E367" s="64" t="str">
        <f>IF(ISBLANK(D367)=TRUE,"",VLOOKUP(D367,Krav!$C:$F,4,FALSE))</f>
        <v/>
      </c>
      <c r="F367" s="91" t="s">
        <v>418</v>
      </c>
      <c r="G367" s="91" t="s">
        <v>419</v>
      </c>
      <c r="H367" s="91" t="s">
        <v>440</v>
      </c>
      <c r="I367" s="91" t="s">
        <v>129</v>
      </c>
      <c r="J367" s="96" t="s">
        <v>222</v>
      </c>
      <c r="K367" s="123" t="s">
        <v>222</v>
      </c>
      <c r="L367" s="20" t="s">
        <v>4</v>
      </c>
      <c r="M367" s="15" t="s">
        <v>131</v>
      </c>
      <c r="N367" s="15" t="s">
        <v>131</v>
      </c>
      <c r="O367" s="61"/>
      <c r="P367" s="59" t="s">
        <v>5</v>
      </c>
      <c r="Q367" s="61"/>
      <c r="R367" s="61"/>
      <c r="S367" s="61"/>
      <c r="T367" s="61"/>
      <c r="U367" s="61"/>
      <c r="V367" s="61"/>
      <c r="W367" s="61"/>
      <c r="X367" s="61"/>
    </row>
    <row r="368" spans="1:24" s="57" customFormat="1" ht="33" customHeight="1" x14ac:dyDescent="0.3">
      <c r="A368" s="16">
        <v>11</v>
      </c>
      <c r="B368" s="23">
        <v>13</v>
      </c>
      <c r="C368" s="27" t="str">
        <f>IF(B368&lt;10,_xlfn.CONCAT(A368,".0",B368),_xlfn.CONCAT(A368,".",B368))</f>
        <v>11.13</v>
      </c>
      <c r="D368" s="18"/>
      <c r="E368" s="64" t="str">
        <f>IF(ISBLANK(D368)=TRUE,"",VLOOKUP(D368,Krav!$C:$F,4,FALSE))</f>
        <v/>
      </c>
      <c r="F368" s="19" t="s">
        <v>185</v>
      </c>
      <c r="G368" s="19"/>
      <c r="H368" s="25" t="s">
        <v>351</v>
      </c>
      <c r="I368" s="65" t="s">
        <v>365</v>
      </c>
      <c r="J368" s="67" t="s">
        <v>222</v>
      </c>
      <c r="K368" s="123" t="s">
        <v>222</v>
      </c>
      <c r="L368" s="20" t="s">
        <v>3</v>
      </c>
      <c r="M368" s="61"/>
      <c r="N368" s="61"/>
      <c r="O368" s="61"/>
      <c r="P368" s="59" t="s">
        <v>5</v>
      </c>
      <c r="Q368" s="61"/>
      <c r="R368" s="61"/>
      <c r="S368" s="61"/>
      <c r="T368" s="61"/>
      <c r="U368" s="61"/>
      <c r="V368" s="61"/>
      <c r="W368" s="61"/>
      <c r="X368" s="61"/>
    </row>
    <row r="369" spans="1:24" s="57" customFormat="1" ht="33" customHeight="1" x14ac:dyDescent="0.3">
      <c r="A369" s="16">
        <v>11</v>
      </c>
      <c r="B369" s="23">
        <v>14</v>
      </c>
      <c r="C369" s="27" t="str">
        <f>IF(B369&lt;10,_xlfn.CONCAT(A369,".0",B369),_xlfn.CONCAT(A369,".",B369))</f>
        <v>11.14</v>
      </c>
      <c r="D369" s="18"/>
      <c r="E369" s="64" t="str">
        <f>IF(ISBLANK(D369)=TRUE,"",VLOOKUP(D369,Krav!$C:$F,4,FALSE))</f>
        <v/>
      </c>
      <c r="F369" s="91" t="s">
        <v>418</v>
      </c>
      <c r="G369" s="91" t="s">
        <v>1364</v>
      </c>
      <c r="H369" s="81" t="s">
        <v>1365</v>
      </c>
      <c r="I369" s="91" t="s">
        <v>129</v>
      </c>
      <c r="J369" s="96" t="s">
        <v>222</v>
      </c>
      <c r="K369" s="123" t="s">
        <v>222</v>
      </c>
      <c r="L369" s="20" t="s">
        <v>3</v>
      </c>
      <c r="M369" s="61"/>
      <c r="N369" s="61"/>
      <c r="O369" s="61"/>
      <c r="P369" s="59"/>
      <c r="Q369" s="61"/>
      <c r="R369" s="61"/>
      <c r="S369" s="61"/>
      <c r="T369" s="61"/>
      <c r="U369" s="61"/>
      <c r="V369" s="61"/>
      <c r="W369" s="61"/>
      <c r="X369" s="61"/>
    </row>
    <row r="370" spans="1:24" s="57" customFormat="1" ht="33" customHeight="1" x14ac:dyDescent="0.3">
      <c r="A370" s="16">
        <v>11</v>
      </c>
      <c r="B370" s="23">
        <v>15</v>
      </c>
      <c r="C370" s="27" t="str">
        <f>IF(B370&lt;10,_xlfn.CONCAT(A370,".0",B370),_xlfn.CONCAT(A370,".",B370))</f>
        <v>11.15</v>
      </c>
      <c r="D370" s="18"/>
      <c r="E370" s="64" t="str">
        <f>IF(ISBLANK(D370)=TRUE,"",VLOOKUP(D370,Krav!$C:$F,4,FALSE))</f>
        <v/>
      </c>
      <c r="F370" s="91" t="s">
        <v>418</v>
      </c>
      <c r="G370" s="91" t="s">
        <v>445</v>
      </c>
      <c r="H370" s="91" t="s">
        <v>447</v>
      </c>
      <c r="I370" s="91" t="s">
        <v>129</v>
      </c>
      <c r="J370" s="96" t="s">
        <v>222</v>
      </c>
      <c r="K370" s="123" t="s">
        <v>222</v>
      </c>
      <c r="L370" s="20" t="s">
        <v>3</v>
      </c>
      <c r="M370" s="15" t="s">
        <v>129</v>
      </c>
      <c r="N370" s="15" t="s">
        <v>131</v>
      </c>
      <c r="O370" s="61"/>
      <c r="P370" s="59" t="s">
        <v>5</v>
      </c>
      <c r="Q370" s="61"/>
      <c r="R370" s="61"/>
      <c r="S370" s="61"/>
      <c r="T370" s="61"/>
      <c r="U370" s="61"/>
      <c r="V370" s="61"/>
      <c r="W370" s="61"/>
      <c r="X370" s="61"/>
    </row>
    <row r="371" spans="1:24" s="57" customFormat="1" ht="33" customHeight="1" x14ac:dyDescent="0.3">
      <c r="A371" s="16">
        <v>11</v>
      </c>
      <c r="B371" s="23">
        <v>16</v>
      </c>
      <c r="C371" s="27" t="str">
        <f>IF(B371&lt;10,_xlfn.CONCAT(A371,".0",B371),_xlfn.CONCAT(A371,".",B371))</f>
        <v>11.16</v>
      </c>
      <c r="D371" s="18"/>
      <c r="E371" s="64" t="str">
        <f>IF(ISBLANK(D371)=TRUE,"",VLOOKUP(D371,Krav!$C:$F,4,FALSE))</f>
        <v/>
      </c>
      <c r="F371" s="91" t="s">
        <v>418</v>
      </c>
      <c r="G371" s="91" t="s">
        <v>446</v>
      </c>
      <c r="H371" s="91" t="s">
        <v>448</v>
      </c>
      <c r="I371" s="91" t="s">
        <v>129</v>
      </c>
      <c r="J371" s="67" t="s">
        <v>222</v>
      </c>
      <c r="K371" s="123" t="s">
        <v>222</v>
      </c>
      <c r="L371" s="20" t="s">
        <v>3</v>
      </c>
      <c r="M371" s="15" t="s">
        <v>131</v>
      </c>
      <c r="N371" s="15" t="s">
        <v>129</v>
      </c>
      <c r="O371" s="61"/>
      <c r="P371" s="59" t="s">
        <v>5</v>
      </c>
      <c r="Q371" s="61"/>
      <c r="R371" s="61"/>
      <c r="S371" s="61"/>
      <c r="T371" s="61"/>
      <c r="U371" s="61"/>
      <c r="V371" s="61"/>
      <c r="W371" s="61"/>
      <c r="X371" s="61"/>
    </row>
    <row r="372" spans="1:24" s="57" customFormat="1" ht="14.4" x14ac:dyDescent="0.3">
      <c r="E372" s="5"/>
      <c r="F372" s="5"/>
      <c r="H372" s="5"/>
    </row>
    <row r="373" spans="1:24" s="57" customFormat="1" ht="14.4" x14ac:dyDescent="0.3">
      <c r="E373" s="5"/>
      <c r="F373" s="5"/>
      <c r="H373" s="5"/>
      <c r="M373" s="58" t="s">
        <v>26</v>
      </c>
      <c r="N373" s="58" t="s">
        <v>166</v>
      </c>
      <c r="O373" s="58" t="s">
        <v>334</v>
      </c>
      <c r="P373" s="58" t="s">
        <v>335</v>
      </c>
      <c r="Q373" s="58" t="s">
        <v>8</v>
      </c>
      <c r="R373" s="58" t="s">
        <v>8</v>
      </c>
      <c r="S373" s="58" t="s">
        <v>8</v>
      </c>
      <c r="T373" s="58" t="s">
        <v>8</v>
      </c>
      <c r="U373" s="58" t="s">
        <v>8</v>
      </c>
      <c r="V373" s="58" t="s">
        <v>8</v>
      </c>
      <c r="W373" s="58" t="s">
        <v>8</v>
      </c>
      <c r="X373" s="58" t="s">
        <v>8</v>
      </c>
    </row>
    <row r="374" spans="1:24" s="57" customFormat="1" ht="14.4" x14ac:dyDescent="0.3">
      <c r="E374" s="5"/>
      <c r="F374" s="5"/>
      <c r="H374" s="5"/>
      <c r="M374" s="58" t="s">
        <v>21</v>
      </c>
      <c r="N374" s="58" t="s">
        <v>21</v>
      </c>
      <c r="O374" s="58" t="s">
        <v>12</v>
      </c>
      <c r="P374" s="58" t="s">
        <v>12</v>
      </c>
      <c r="Q374" s="58" t="s">
        <v>11</v>
      </c>
      <c r="R374" s="58" t="s">
        <v>11</v>
      </c>
      <c r="S374" s="58" t="s">
        <v>11</v>
      </c>
      <c r="T374" s="58" t="s">
        <v>11</v>
      </c>
      <c r="U374" s="58" t="s">
        <v>11</v>
      </c>
      <c r="V374" s="58" t="s">
        <v>11</v>
      </c>
      <c r="W374" s="58" t="s">
        <v>11</v>
      </c>
      <c r="X374" s="58" t="s">
        <v>11</v>
      </c>
    </row>
    <row r="375" spans="1:24" s="57" customFormat="1" ht="14.4" x14ac:dyDescent="0.3">
      <c r="A375" s="50" t="s">
        <v>6</v>
      </c>
      <c r="B375" s="51" t="s">
        <v>7</v>
      </c>
      <c r="C375" s="31" t="s">
        <v>0</v>
      </c>
      <c r="D375" s="31" t="s">
        <v>22</v>
      </c>
      <c r="E375" s="52" t="s">
        <v>99</v>
      </c>
      <c r="F375" s="52" t="s">
        <v>216</v>
      </c>
      <c r="G375" s="31" t="s">
        <v>217</v>
      </c>
      <c r="H375" s="52" t="s">
        <v>28</v>
      </c>
      <c r="I375" s="31" t="s">
        <v>218</v>
      </c>
      <c r="J375" s="31" t="s">
        <v>219</v>
      </c>
      <c r="K375" s="31" t="s">
        <v>220</v>
      </c>
      <c r="L375" s="31" t="s">
        <v>1</v>
      </c>
      <c r="M375" s="62" t="s">
        <v>230</v>
      </c>
      <c r="N375" s="62" t="s">
        <v>231</v>
      </c>
      <c r="O375" s="62" t="s">
        <v>361</v>
      </c>
      <c r="P375" s="62" t="s">
        <v>233</v>
      </c>
      <c r="Q375" s="62" t="s">
        <v>9</v>
      </c>
      <c r="R375" s="62" t="s">
        <v>9</v>
      </c>
      <c r="S375" s="62" t="s">
        <v>9</v>
      </c>
      <c r="T375" s="62" t="s">
        <v>9</v>
      </c>
      <c r="U375" s="62" t="s">
        <v>9</v>
      </c>
      <c r="V375" s="62" t="s">
        <v>9</v>
      </c>
      <c r="W375" s="62" t="s">
        <v>9</v>
      </c>
      <c r="X375" s="62" t="s">
        <v>9</v>
      </c>
    </row>
    <row r="376" spans="1:24" s="57" customFormat="1" ht="33" customHeight="1" x14ac:dyDescent="0.3">
      <c r="A376" s="16">
        <v>12</v>
      </c>
      <c r="B376" s="23">
        <v>1</v>
      </c>
      <c r="C376" s="27" t="str">
        <f t="shared" ref="C376:C386" si="15">IF(B376&lt;10,_xlfn.CONCAT(A376,".0",B376),_xlfn.CONCAT(A376,".",B376))</f>
        <v>12.01</v>
      </c>
      <c r="D376" s="110" t="s">
        <v>477</v>
      </c>
      <c r="E376" s="64" t="str">
        <f>IF(ISBLANK(D376)=TRUE,"",VLOOKUP(D376,Krav!$C:$F,4,FALSE))</f>
        <v>9.b.2.2 - Såfremt brugeren vælger "Ja" skal brugeren ledes til spørgsmål 9.b.2.1</v>
      </c>
      <c r="F376" s="53" t="s">
        <v>143</v>
      </c>
      <c r="G376" s="19"/>
      <c r="H376" s="25" t="s">
        <v>1373</v>
      </c>
      <c r="I376" s="67" t="s">
        <v>305</v>
      </c>
      <c r="J376" s="67" t="s">
        <v>222</v>
      </c>
      <c r="K376" s="123" t="s">
        <v>222</v>
      </c>
      <c r="L376" s="20" t="s">
        <v>3</v>
      </c>
      <c r="M376" s="61" t="s">
        <v>129</v>
      </c>
      <c r="N376" s="61" t="s">
        <v>131</v>
      </c>
      <c r="O376" s="61"/>
      <c r="P376" s="61" t="s">
        <v>5</v>
      </c>
      <c r="Q376" s="61"/>
      <c r="R376" s="61"/>
      <c r="S376" s="61"/>
      <c r="T376" s="61"/>
      <c r="U376" s="61"/>
      <c r="V376" s="61"/>
      <c r="W376" s="61"/>
      <c r="X376" s="61"/>
    </row>
    <row r="377" spans="1:24" s="57" customFormat="1" ht="33" customHeight="1" x14ac:dyDescent="0.3">
      <c r="A377" s="16">
        <v>12</v>
      </c>
      <c r="B377" s="23">
        <v>2</v>
      </c>
      <c r="C377" s="27" t="str">
        <f t="shared" si="15"/>
        <v>12.02</v>
      </c>
      <c r="D377" s="18" t="s">
        <v>478</v>
      </c>
      <c r="E377" s="64" t="str">
        <f>IF(ISBLANK(D377)=TRUE,"",VLOOKUP(D377,Krav!$C:$F,4,FALSE))</f>
        <v>9.b.2.3 - Såfremt brugeren vælger "Nej" skal brugeren ledes til spørgsmål 9.b.2.2</v>
      </c>
      <c r="F377" s="53" t="s">
        <v>143</v>
      </c>
      <c r="G377" s="19"/>
      <c r="H377" s="25" t="s">
        <v>479</v>
      </c>
      <c r="I377" s="67" t="s">
        <v>480</v>
      </c>
      <c r="J377" s="67" t="s">
        <v>222</v>
      </c>
      <c r="K377" s="123" t="s">
        <v>222</v>
      </c>
      <c r="L377" s="20" t="s">
        <v>3</v>
      </c>
      <c r="M377" s="61" t="s">
        <v>131</v>
      </c>
      <c r="N377" s="61" t="s">
        <v>129</v>
      </c>
      <c r="O377" s="61"/>
      <c r="P377" s="61" t="s">
        <v>5</v>
      </c>
      <c r="Q377" s="61"/>
      <c r="R377" s="61"/>
      <c r="S377" s="61"/>
      <c r="T377" s="61"/>
      <c r="U377" s="61"/>
      <c r="V377" s="61"/>
      <c r="W377" s="61"/>
      <c r="X377" s="61"/>
    </row>
    <row r="378" spans="1:24" s="57" customFormat="1" ht="33" customHeight="1" x14ac:dyDescent="0.3">
      <c r="A378" s="16">
        <v>12</v>
      </c>
      <c r="B378" s="23">
        <v>3</v>
      </c>
      <c r="C378" s="27" t="str">
        <f t="shared" si="15"/>
        <v>12.03</v>
      </c>
      <c r="D378" s="18"/>
      <c r="E378" s="64" t="str">
        <f>IF(ISBLANK(D378)=TRUE,"",VLOOKUP(D378,Krav!$C:$F,4,FALSE))</f>
        <v/>
      </c>
      <c r="F378" s="53" t="s">
        <v>225</v>
      </c>
      <c r="G378" s="19" t="s">
        <v>231</v>
      </c>
      <c r="H378" s="25" t="s">
        <v>284</v>
      </c>
      <c r="I378" s="67" t="s">
        <v>166</v>
      </c>
      <c r="J378" s="67" t="s">
        <v>222</v>
      </c>
      <c r="K378" s="123" t="s">
        <v>222</v>
      </c>
      <c r="L378" s="20" t="s">
        <v>3</v>
      </c>
      <c r="M378" s="61" t="s">
        <v>131</v>
      </c>
      <c r="N378" s="61" t="s">
        <v>129</v>
      </c>
      <c r="O378" s="61"/>
      <c r="P378" s="61" t="s">
        <v>5</v>
      </c>
      <c r="Q378" s="61"/>
      <c r="R378" s="61"/>
      <c r="S378" s="61"/>
      <c r="T378" s="61"/>
      <c r="U378" s="61"/>
      <c r="V378" s="61"/>
      <c r="W378" s="61"/>
      <c r="X378" s="61"/>
    </row>
    <row r="379" spans="1:24" s="57" customFormat="1" ht="33" customHeight="1" x14ac:dyDescent="0.3">
      <c r="A379" s="16">
        <v>12</v>
      </c>
      <c r="B379" s="23">
        <v>4</v>
      </c>
      <c r="C379" s="27" t="str">
        <f t="shared" si="15"/>
        <v>12.04</v>
      </c>
      <c r="D379" s="18" t="s">
        <v>481</v>
      </c>
      <c r="E379" s="64" t="str">
        <f>IF(ISBLANK(D379)=TRUE,"",VLOOKUP(D379,Krav!$C:$F,4,FALSE))</f>
        <v>9.b.2.1.1 - Gruppe 2 aktiveres</v>
      </c>
      <c r="F379" s="53" t="s">
        <v>227</v>
      </c>
      <c r="G379" s="53" t="s">
        <v>342</v>
      </c>
      <c r="H379" s="25" t="s">
        <v>367</v>
      </c>
      <c r="I379" s="67" t="s">
        <v>240</v>
      </c>
      <c r="J379" s="67" t="s">
        <v>222</v>
      </c>
      <c r="K379" s="123" t="s">
        <v>222</v>
      </c>
      <c r="L379" s="20" t="s">
        <v>3</v>
      </c>
      <c r="M379" s="61" t="s">
        <v>129</v>
      </c>
      <c r="N379" s="61" t="s">
        <v>131</v>
      </c>
      <c r="O379" s="61" t="s">
        <v>411</v>
      </c>
      <c r="P379" s="61" t="s">
        <v>5</v>
      </c>
      <c r="Q379" s="61"/>
      <c r="R379" s="61"/>
      <c r="S379" s="61"/>
      <c r="T379" s="61"/>
      <c r="U379" s="61"/>
      <c r="V379" s="61"/>
      <c r="W379" s="61"/>
      <c r="X379" s="61"/>
    </row>
    <row r="380" spans="1:24" s="57" customFormat="1" ht="33" customHeight="1" x14ac:dyDescent="0.3">
      <c r="A380" s="16">
        <v>12</v>
      </c>
      <c r="B380" s="23">
        <v>5</v>
      </c>
      <c r="C380" s="27" t="str">
        <f t="shared" si="15"/>
        <v>12.05</v>
      </c>
      <c r="D380" s="110"/>
      <c r="E380" s="64" t="str">
        <f>IF(ISBLANK(D380)=TRUE,"",VLOOKUP(D380,Krav!$C:$F,4,FALSE))</f>
        <v/>
      </c>
      <c r="F380" s="53" t="s">
        <v>225</v>
      </c>
      <c r="G380" s="19" t="s">
        <v>230</v>
      </c>
      <c r="H380" s="25" t="s">
        <v>284</v>
      </c>
      <c r="I380" s="67" t="s">
        <v>26</v>
      </c>
      <c r="J380" s="67" t="s">
        <v>222</v>
      </c>
      <c r="K380" s="123" t="s">
        <v>222</v>
      </c>
      <c r="L380" s="20" t="s">
        <v>3</v>
      </c>
      <c r="M380" s="61" t="s">
        <v>129</v>
      </c>
      <c r="N380" s="61" t="s">
        <v>131</v>
      </c>
      <c r="O380" s="61"/>
      <c r="P380" s="61" t="s">
        <v>5</v>
      </c>
      <c r="Q380" s="61"/>
      <c r="R380" s="61"/>
      <c r="S380" s="61"/>
      <c r="T380" s="61"/>
      <c r="U380" s="61"/>
      <c r="V380" s="61"/>
      <c r="W380" s="61"/>
      <c r="X380" s="61"/>
    </row>
    <row r="381" spans="1:24" s="57" customFormat="1" ht="33" customHeight="1" x14ac:dyDescent="0.3">
      <c r="A381" s="16">
        <v>12</v>
      </c>
      <c r="B381" s="23">
        <v>6</v>
      </c>
      <c r="C381" s="27" t="str">
        <f t="shared" si="15"/>
        <v>12.06</v>
      </c>
      <c r="D381" s="18" t="s">
        <v>482</v>
      </c>
      <c r="E381" s="64" t="str">
        <f>IF(ISBLANK(D381)=TRUE,"",VLOOKUP(D381,Krav!$C:$F,4,FALSE))</f>
        <v>9.b.2.1.2 - Der angives et ”JA” i populationen under ”Stoler RIM på fordringshavers forældelsesdato?”</v>
      </c>
      <c r="F381" s="53" t="s">
        <v>221</v>
      </c>
      <c r="G381" s="19" t="s">
        <v>352</v>
      </c>
      <c r="H381" s="25" t="s">
        <v>345</v>
      </c>
      <c r="I381" s="67" t="s">
        <v>240</v>
      </c>
      <c r="J381" s="67" t="s">
        <v>222</v>
      </c>
      <c r="K381" s="123" t="s">
        <v>222</v>
      </c>
      <c r="L381" s="20" t="s">
        <v>3</v>
      </c>
      <c r="M381" s="61" t="s">
        <v>129</v>
      </c>
      <c r="N381" s="61" t="s">
        <v>131</v>
      </c>
      <c r="O381" s="61"/>
      <c r="P381" s="61" t="s">
        <v>5</v>
      </c>
      <c r="Q381" s="61"/>
      <c r="R381" s="61"/>
      <c r="S381" s="61"/>
      <c r="T381" s="61"/>
      <c r="U381" s="61"/>
      <c r="V381" s="61"/>
      <c r="W381" s="61"/>
      <c r="X381" s="61"/>
    </row>
    <row r="382" spans="1:24" s="57" customFormat="1" ht="33" customHeight="1" x14ac:dyDescent="0.3">
      <c r="A382" s="16">
        <v>12</v>
      </c>
      <c r="B382" s="23">
        <v>7</v>
      </c>
      <c r="C382" s="27" t="str">
        <f t="shared" si="15"/>
        <v>12.07</v>
      </c>
      <c r="D382" s="18"/>
      <c r="E382" s="64" t="str">
        <f>IF(ISBLANK(D382)=TRUE,"",VLOOKUP(D382,Krav!$C:$F,4,FALSE))</f>
        <v/>
      </c>
      <c r="F382" s="53" t="s">
        <v>224</v>
      </c>
      <c r="G382" s="19" t="s">
        <v>230</v>
      </c>
      <c r="H382" s="64" t="s">
        <v>362</v>
      </c>
      <c r="I382" s="66" t="s">
        <v>129</v>
      </c>
      <c r="J382" s="67" t="s">
        <v>222</v>
      </c>
      <c r="K382" s="123" t="s">
        <v>222</v>
      </c>
      <c r="L382" s="20" t="s">
        <v>3</v>
      </c>
      <c r="M382" s="61" t="s">
        <v>129</v>
      </c>
      <c r="N382" s="61" t="s">
        <v>131</v>
      </c>
      <c r="O382" s="61"/>
      <c r="P382" s="61" t="s">
        <v>5</v>
      </c>
      <c r="Q382" s="61"/>
      <c r="R382" s="61"/>
      <c r="S382" s="61"/>
      <c r="T382" s="61"/>
      <c r="U382" s="61"/>
      <c r="V382" s="61"/>
      <c r="W382" s="61"/>
      <c r="X382" s="61"/>
    </row>
    <row r="383" spans="1:24" s="57" customFormat="1" ht="33" customHeight="1" x14ac:dyDescent="0.3">
      <c r="A383" s="16">
        <v>12</v>
      </c>
      <c r="B383" s="23">
        <v>8</v>
      </c>
      <c r="C383" s="27" t="str">
        <f t="shared" si="15"/>
        <v>12.08</v>
      </c>
      <c r="D383" s="18"/>
      <c r="E383" s="64" t="str">
        <f>IF(ISBLANK(D383)=TRUE,"",VLOOKUP(D383,Krav!$C:$F,4,FALSE))</f>
        <v/>
      </c>
      <c r="F383" s="53" t="s">
        <v>224</v>
      </c>
      <c r="G383" s="19" t="s">
        <v>231</v>
      </c>
      <c r="H383" s="64" t="s">
        <v>363</v>
      </c>
      <c r="I383" s="66" t="s">
        <v>129</v>
      </c>
      <c r="J383" s="67" t="s">
        <v>222</v>
      </c>
      <c r="K383" s="123" t="s">
        <v>222</v>
      </c>
      <c r="L383" s="20" t="s">
        <v>3</v>
      </c>
      <c r="M383" s="61" t="s">
        <v>131</v>
      </c>
      <c r="N383" s="61" t="s">
        <v>129</v>
      </c>
      <c r="O383" s="61"/>
      <c r="P383" s="61" t="s">
        <v>5</v>
      </c>
      <c r="Q383" s="61"/>
      <c r="R383" s="61"/>
      <c r="S383" s="61"/>
      <c r="T383" s="61"/>
      <c r="U383" s="61"/>
      <c r="V383" s="61"/>
      <c r="W383" s="61"/>
      <c r="X383" s="61"/>
    </row>
    <row r="384" spans="1:24" s="57" customFormat="1" ht="33" customHeight="1" x14ac:dyDescent="0.3">
      <c r="A384" s="16">
        <v>12</v>
      </c>
      <c r="B384" s="23">
        <v>9</v>
      </c>
      <c r="C384" s="27" t="str">
        <f t="shared" si="15"/>
        <v>12.09</v>
      </c>
      <c r="D384" s="12"/>
      <c r="E384" s="64" t="str">
        <f>IF(ISBLANK(D384)=TRUE,"",VLOOKUP(D384,Krav!$C:$F,4,FALSE))</f>
        <v/>
      </c>
      <c r="F384" s="63" t="s">
        <v>224</v>
      </c>
      <c r="G384" s="19" t="s">
        <v>230</v>
      </c>
      <c r="H384" s="63" t="s">
        <v>364</v>
      </c>
      <c r="I384" s="65" t="s">
        <v>131</v>
      </c>
      <c r="J384" s="68" t="s">
        <v>222</v>
      </c>
      <c r="K384" s="123" t="s">
        <v>222</v>
      </c>
      <c r="L384" s="4" t="s">
        <v>3</v>
      </c>
      <c r="M384" s="61"/>
      <c r="N384" s="15"/>
      <c r="O384" s="59"/>
      <c r="P384" s="59" t="s">
        <v>5</v>
      </c>
      <c r="Q384" s="61"/>
      <c r="R384" s="61"/>
      <c r="S384" s="61"/>
      <c r="T384" s="61"/>
      <c r="U384" s="61"/>
      <c r="V384" s="61"/>
      <c r="W384" s="61"/>
      <c r="X384" s="61"/>
    </row>
    <row r="385" spans="1:24" s="57" customFormat="1" ht="33" customHeight="1" x14ac:dyDescent="0.3">
      <c r="A385" s="16">
        <v>12</v>
      </c>
      <c r="B385" s="23">
        <v>10</v>
      </c>
      <c r="C385" s="27" t="str">
        <f t="shared" si="15"/>
        <v>12.10</v>
      </c>
      <c r="D385" s="12"/>
      <c r="E385" s="64" t="str">
        <f>IF(ISBLANK(D385)=TRUE,"",VLOOKUP(D385,Krav!$C:$F,4,FALSE))</f>
        <v/>
      </c>
      <c r="F385" s="63" t="s">
        <v>224</v>
      </c>
      <c r="G385" s="19" t="s">
        <v>231</v>
      </c>
      <c r="H385" s="63" t="s">
        <v>364</v>
      </c>
      <c r="I385" s="65" t="s">
        <v>131</v>
      </c>
      <c r="J385" s="68" t="s">
        <v>222</v>
      </c>
      <c r="K385" s="123" t="s">
        <v>222</v>
      </c>
      <c r="L385" s="4" t="s">
        <v>3</v>
      </c>
      <c r="M385" s="61"/>
      <c r="N385" s="15"/>
      <c r="O385" s="59"/>
      <c r="P385" s="59" t="s">
        <v>5</v>
      </c>
      <c r="Q385" s="61"/>
      <c r="R385" s="61"/>
      <c r="S385" s="61"/>
      <c r="T385" s="61"/>
      <c r="U385" s="61"/>
      <c r="V385" s="61"/>
      <c r="W385" s="61"/>
      <c r="X385" s="61"/>
    </row>
    <row r="386" spans="1:24" s="57" customFormat="1" ht="33" customHeight="1" x14ac:dyDescent="0.3">
      <c r="A386" s="16">
        <v>12</v>
      </c>
      <c r="B386" s="23">
        <v>11</v>
      </c>
      <c r="C386" s="27" t="str">
        <f t="shared" si="15"/>
        <v>12.11</v>
      </c>
      <c r="D386" s="18"/>
      <c r="E386" s="64" t="str">
        <f>IF(ISBLANK(D386)=TRUE,"",VLOOKUP(D386,Krav!$C:$F,4,FALSE))</f>
        <v/>
      </c>
      <c r="F386" s="63" t="s">
        <v>174</v>
      </c>
      <c r="G386" s="63" t="s">
        <v>231</v>
      </c>
      <c r="H386" s="63" t="s">
        <v>328</v>
      </c>
      <c r="I386" s="63" t="s">
        <v>175</v>
      </c>
      <c r="J386" s="67" t="s">
        <v>222</v>
      </c>
      <c r="K386" s="123" t="s">
        <v>222</v>
      </c>
      <c r="L386" s="20" t="s">
        <v>4</v>
      </c>
      <c r="M386" s="15" t="s">
        <v>131</v>
      </c>
      <c r="N386" s="15" t="s">
        <v>131</v>
      </c>
      <c r="O386" s="61"/>
      <c r="P386" s="59" t="s">
        <v>5</v>
      </c>
      <c r="Q386" s="61"/>
      <c r="R386" s="61"/>
      <c r="S386" s="61"/>
      <c r="T386" s="61"/>
      <c r="U386" s="61"/>
      <c r="V386" s="61"/>
      <c r="W386" s="61"/>
      <c r="X386" s="61"/>
    </row>
    <row r="387" spans="1:24" s="57" customFormat="1" ht="33" customHeight="1" x14ac:dyDescent="0.3">
      <c r="A387" s="16">
        <v>12</v>
      </c>
      <c r="B387" s="23">
        <v>12</v>
      </c>
      <c r="C387" s="27" t="str">
        <f>IF(B387&lt;10,_xlfn.CONCAT(A387,".0",B387),_xlfn.CONCAT(A387,".",B387))</f>
        <v>12.12</v>
      </c>
      <c r="D387" s="18"/>
      <c r="E387" s="64" t="str">
        <f>IF(ISBLANK(D387)=TRUE,"",VLOOKUP(D387,Krav!$C:$F,4,FALSE))</f>
        <v/>
      </c>
      <c r="F387" s="91" t="s">
        <v>418</v>
      </c>
      <c r="G387" s="91" t="s">
        <v>419</v>
      </c>
      <c r="H387" s="91" t="s">
        <v>440</v>
      </c>
      <c r="I387" s="91" t="s">
        <v>129</v>
      </c>
      <c r="J387" s="96" t="s">
        <v>222</v>
      </c>
      <c r="K387" s="123" t="s">
        <v>222</v>
      </c>
      <c r="L387" s="20" t="s">
        <v>4</v>
      </c>
      <c r="M387" s="15" t="s">
        <v>131</v>
      </c>
      <c r="N387" s="15" t="s">
        <v>131</v>
      </c>
      <c r="O387" s="61"/>
      <c r="P387" s="59" t="s">
        <v>5</v>
      </c>
      <c r="Q387" s="61"/>
      <c r="R387" s="61"/>
      <c r="S387" s="61"/>
      <c r="T387" s="61"/>
      <c r="U387" s="61"/>
      <c r="V387" s="61"/>
      <c r="W387" s="61"/>
      <c r="X387" s="61"/>
    </row>
    <row r="388" spans="1:24" s="57" customFormat="1" ht="33" customHeight="1" x14ac:dyDescent="0.3">
      <c r="A388" s="16">
        <v>12</v>
      </c>
      <c r="B388" s="23">
        <v>13</v>
      </c>
      <c r="C388" s="27" t="str">
        <f>IF(B388&lt;10,_xlfn.CONCAT(A388,".0",B388),_xlfn.CONCAT(A388,".",B388))</f>
        <v>12.13</v>
      </c>
      <c r="D388" s="18"/>
      <c r="E388" s="64" t="str">
        <f>IF(ISBLANK(D388)=TRUE,"",VLOOKUP(D388,Krav!$C:$F,4,FALSE))</f>
        <v/>
      </c>
      <c r="F388" s="19" t="s">
        <v>185</v>
      </c>
      <c r="G388" s="19"/>
      <c r="H388" s="25" t="s">
        <v>351</v>
      </c>
      <c r="I388" s="65" t="s">
        <v>301</v>
      </c>
      <c r="J388" s="67" t="s">
        <v>222</v>
      </c>
      <c r="K388" s="123" t="s">
        <v>222</v>
      </c>
      <c r="L388" s="20" t="s">
        <v>3</v>
      </c>
      <c r="M388" s="61"/>
      <c r="N388" s="61"/>
      <c r="O388" s="61"/>
      <c r="P388" s="59" t="s">
        <v>5</v>
      </c>
      <c r="Q388" s="61"/>
      <c r="R388" s="61"/>
      <c r="S388" s="61"/>
      <c r="T388" s="61"/>
      <c r="U388" s="61"/>
      <c r="V388" s="61"/>
      <c r="W388" s="61"/>
      <c r="X388" s="61"/>
    </row>
    <row r="389" spans="1:24" s="57" customFormat="1" ht="33" customHeight="1" x14ac:dyDescent="0.3">
      <c r="A389" s="16">
        <v>12</v>
      </c>
      <c r="B389" s="23">
        <v>14</v>
      </c>
      <c r="C389" s="27" t="str">
        <f>IF(B389&lt;10,_xlfn.CONCAT(A389,".0",B389),_xlfn.CONCAT(A389,".",B389))</f>
        <v>12.14</v>
      </c>
      <c r="D389" s="18"/>
      <c r="E389" s="64" t="str">
        <f>IF(ISBLANK(D389)=TRUE,"",VLOOKUP(D389,Krav!$C:$F,4,FALSE))</f>
        <v/>
      </c>
      <c r="F389" s="91" t="s">
        <v>418</v>
      </c>
      <c r="G389" s="91" t="s">
        <v>1364</v>
      </c>
      <c r="H389" s="81" t="s">
        <v>1365</v>
      </c>
      <c r="I389" s="91" t="s">
        <v>129</v>
      </c>
      <c r="J389" s="96" t="s">
        <v>222</v>
      </c>
      <c r="K389" s="123" t="s">
        <v>222</v>
      </c>
      <c r="L389" s="20" t="s">
        <v>3</v>
      </c>
      <c r="M389" s="61"/>
      <c r="N389" s="61"/>
      <c r="O389" s="61"/>
      <c r="P389" s="59" t="s">
        <v>5</v>
      </c>
      <c r="Q389" s="61"/>
      <c r="R389" s="61"/>
      <c r="S389" s="61"/>
      <c r="T389" s="61"/>
      <c r="U389" s="61"/>
      <c r="V389" s="61"/>
      <c r="W389" s="61"/>
      <c r="X389" s="61"/>
    </row>
    <row r="390" spans="1:24" s="57" customFormat="1" ht="33" customHeight="1" x14ac:dyDescent="0.3">
      <c r="A390" s="16">
        <v>12</v>
      </c>
      <c r="B390" s="23">
        <v>15</v>
      </c>
      <c r="C390" s="27" t="str">
        <f>IF(B390&lt;10,_xlfn.CONCAT(A390,".0",B390),_xlfn.CONCAT(A390,".",B390))</f>
        <v>12.15</v>
      </c>
      <c r="D390" s="18"/>
      <c r="E390" s="64" t="str">
        <f>IF(ISBLANK(D390)=TRUE,"",VLOOKUP(D390,Krav!$C:$F,4,FALSE))</f>
        <v/>
      </c>
      <c r="F390" s="91" t="s">
        <v>418</v>
      </c>
      <c r="G390" s="91" t="s">
        <v>445</v>
      </c>
      <c r="H390" s="91" t="s">
        <v>447</v>
      </c>
      <c r="I390" s="91" t="s">
        <v>129</v>
      </c>
      <c r="J390" s="96" t="s">
        <v>222</v>
      </c>
      <c r="K390" s="123" t="s">
        <v>222</v>
      </c>
      <c r="L390" s="20" t="s">
        <v>3</v>
      </c>
      <c r="M390" s="15" t="s">
        <v>129</v>
      </c>
      <c r="N390" s="15" t="s">
        <v>131</v>
      </c>
      <c r="O390" s="61"/>
      <c r="P390" s="59" t="s">
        <v>5</v>
      </c>
      <c r="Q390" s="61"/>
      <c r="R390" s="61"/>
      <c r="S390" s="61"/>
      <c r="T390" s="61"/>
      <c r="U390" s="61"/>
      <c r="V390" s="61"/>
      <c r="W390" s="61"/>
      <c r="X390" s="61"/>
    </row>
    <row r="391" spans="1:24" s="57" customFormat="1" ht="33" customHeight="1" x14ac:dyDescent="0.3">
      <c r="A391" s="16">
        <v>12</v>
      </c>
      <c r="B391" s="23">
        <v>16</v>
      </c>
      <c r="C391" s="27" t="str">
        <f>IF(B391&lt;10,_xlfn.CONCAT(A391,".0",B391),_xlfn.CONCAT(A391,".",B391))</f>
        <v>12.16</v>
      </c>
      <c r="D391" s="18"/>
      <c r="E391" s="64" t="str">
        <f>IF(ISBLANK(D391)=TRUE,"",VLOOKUP(D391,Krav!$C:$F,4,FALSE))</f>
        <v/>
      </c>
      <c r="F391" s="91" t="s">
        <v>418</v>
      </c>
      <c r="G391" s="91" t="s">
        <v>446</v>
      </c>
      <c r="H391" s="91" t="s">
        <v>448</v>
      </c>
      <c r="I391" s="91" t="s">
        <v>129</v>
      </c>
      <c r="J391" s="67" t="s">
        <v>222</v>
      </c>
      <c r="K391" s="123" t="s">
        <v>222</v>
      </c>
      <c r="L391" s="20" t="s">
        <v>3</v>
      </c>
      <c r="M391" s="15" t="s">
        <v>131</v>
      </c>
      <c r="N391" s="15" t="s">
        <v>129</v>
      </c>
      <c r="O391" s="61"/>
      <c r="P391" s="59" t="s">
        <v>5</v>
      </c>
      <c r="Q391" s="61"/>
      <c r="R391" s="61"/>
      <c r="S391" s="61"/>
      <c r="T391" s="61"/>
      <c r="U391" s="61"/>
      <c r="V391" s="61"/>
      <c r="W391" s="61"/>
      <c r="X391" s="61"/>
    </row>
    <row r="392" spans="1:24" s="57" customFormat="1" ht="14.4" x14ac:dyDescent="0.3">
      <c r="A392" s="111"/>
      <c r="B392" s="112"/>
      <c r="C392" s="113"/>
      <c r="D392" s="114"/>
      <c r="E392" s="115"/>
      <c r="F392" s="116"/>
      <c r="G392" s="114"/>
      <c r="H392" s="116"/>
      <c r="I392" s="117"/>
      <c r="J392" s="118" t="s">
        <v>222</v>
      </c>
      <c r="K392" s="119" t="s">
        <v>222</v>
      </c>
      <c r="L392" s="120"/>
      <c r="M392" s="121"/>
      <c r="N392" s="121"/>
      <c r="O392" s="121"/>
      <c r="P392" s="122"/>
      <c r="Q392" s="121"/>
      <c r="R392" s="122"/>
      <c r="S392" s="121"/>
      <c r="T392" s="121"/>
      <c r="U392" s="121"/>
      <c r="V392" s="121"/>
      <c r="W392" s="121"/>
      <c r="X392" s="121"/>
    </row>
    <row r="393" spans="1:24" s="57" customFormat="1" ht="14.4" x14ac:dyDescent="0.3">
      <c r="E393" s="5"/>
      <c r="F393" s="5"/>
      <c r="H393" s="5"/>
      <c r="M393" s="58" t="s">
        <v>368</v>
      </c>
      <c r="N393" s="58" t="s">
        <v>369</v>
      </c>
      <c r="O393" s="58" t="s">
        <v>370</v>
      </c>
      <c r="P393" s="58" t="s">
        <v>334</v>
      </c>
      <c r="Q393" s="58" t="s">
        <v>371</v>
      </c>
      <c r="R393" s="58" t="s">
        <v>335</v>
      </c>
      <c r="S393" s="58" t="s">
        <v>8</v>
      </c>
      <c r="T393" s="58" t="s">
        <v>8</v>
      </c>
      <c r="U393" s="58" t="s">
        <v>8</v>
      </c>
      <c r="V393" s="58" t="s">
        <v>8</v>
      </c>
      <c r="W393" s="58" t="s">
        <v>8</v>
      </c>
      <c r="X393" s="58" t="s">
        <v>8</v>
      </c>
    </row>
    <row r="394" spans="1:24" s="57" customFormat="1" ht="14.4" x14ac:dyDescent="0.3">
      <c r="E394" s="5"/>
      <c r="F394" s="5"/>
      <c r="H394" s="5"/>
      <c r="M394" s="58" t="s">
        <v>21</v>
      </c>
      <c r="N394" s="58" t="s">
        <v>21</v>
      </c>
      <c r="O394" s="58" t="s">
        <v>12</v>
      </c>
      <c r="P394" s="58" t="s">
        <v>12</v>
      </c>
      <c r="Q394" s="58" t="s">
        <v>12</v>
      </c>
      <c r="R394" s="58"/>
      <c r="S394" s="58" t="s">
        <v>11</v>
      </c>
      <c r="T394" s="58" t="s">
        <v>11</v>
      </c>
      <c r="U394" s="58" t="s">
        <v>11</v>
      </c>
      <c r="V394" s="58" t="s">
        <v>11</v>
      </c>
      <c r="W394" s="58" t="s">
        <v>11</v>
      </c>
      <c r="X394" s="58" t="s">
        <v>11</v>
      </c>
    </row>
    <row r="395" spans="1:24" s="57" customFormat="1" ht="14.4" x14ac:dyDescent="0.3">
      <c r="A395" s="50" t="s">
        <v>6</v>
      </c>
      <c r="B395" s="51" t="s">
        <v>7</v>
      </c>
      <c r="C395" s="31" t="s">
        <v>0</v>
      </c>
      <c r="D395" s="31" t="s">
        <v>22</v>
      </c>
      <c r="E395" s="52" t="s">
        <v>99</v>
      </c>
      <c r="F395" s="52" t="s">
        <v>216</v>
      </c>
      <c r="G395" s="31" t="s">
        <v>217</v>
      </c>
      <c r="H395" s="52" t="s">
        <v>28</v>
      </c>
      <c r="I395" s="31" t="s">
        <v>218</v>
      </c>
      <c r="J395" s="31" t="s">
        <v>219</v>
      </c>
      <c r="K395" s="31" t="s">
        <v>220</v>
      </c>
      <c r="L395" s="31" t="s">
        <v>1</v>
      </c>
      <c r="M395" s="62" t="s">
        <v>230</v>
      </c>
      <c r="N395" s="62" t="s">
        <v>231</v>
      </c>
      <c r="O395" s="62" t="s">
        <v>417</v>
      </c>
      <c r="P395" s="62" t="s">
        <v>361</v>
      </c>
      <c r="Q395" s="62" t="s">
        <v>234</v>
      </c>
      <c r="R395" s="62" t="s">
        <v>233</v>
      </c>
      <c r="S395" s="26" t="s">
        <v>9</v>
      </c>
      <c r="T395" s="26" t="s">
        <v>9</v>
      </c>
      <c r="U395" s="26" t="s">
        <v>9</v>
      </c>
      <c r="V395" s="26" t="s">
        <v>9</v>
      </c>
      <c r="W395" s="26" t="s">
        <v>9</v>
      </c>
      <c r="X395" s="62" t="s">
        <v>9</v>
      </c>
    </row>
    <row r="396" spans="1:24" s="57" customFormat="1" ht="33" customHeight="1" x14ac:dyDescent="0.3">
      <c r="A396" s="16">
        <v>13</v>
      </c>
      <c r="B396" s="23">
        <v>1</v>
      </c>
      <c r="C396" s="27" t="str">
        <f t="shared" ref="C396:C437" si="16">IF(B396&lt;10,_xlfn.CONCAT(A396,".0",B396),_xlfn.CONCAT(A396,".",B396))</f>
        <v>13.01</v>
      </c>
      <c r="D396" s="18" t="s">
        <v>483</v>
      </c>
      <c r="E396" s="64" t="str">
        <f>IF(ISBLANK(D396)=TRUE,"",VLOOKUP(D396,Krav!$C:$F,4,FALSE))</f>
        <v>9.b.2.2.2 - Såfremt brugeren vælger "Hvis antal dage kan angives" skal brugeres ledes til spørgsmål 9.b.2.2.1</v>
      </c>
      <c r="F396" s="53" t="s">
        <v>143</v>
      </c>
      <c r="G396" s="19"/>
      <c r="H396" s="25" t="s">
        <v>484</v>
      </c>
      <c r="I396" s="67" t="s">
        <v>305</v>
      </c>
      <c r="J396" s="67" t="s">
        <v>222</v>
      </c>
      <c r="K396" s="123" t="s">
        <v>222</v>
      </c>
      <c r="L396" s="20" t="s">
        <v>3</v>
      </c>
      <c r="M396" s="61" t="s">
        <v>129</v>
      </c>
      <c r="N396" s="61" t="s">
        <v>131</v>
      </c>
      <c r="O396" s="61" t="s">
        <v>376</v>
      </c>
      <c r="P396" s="61"/>
      <c r="Q396" s="61"/>
      <c r="R396" s="59" t="s">
        <v>5</v>
      </c>
      <c r="S396" s="61"/>
      <c r="T396" s="61"/>
      <c r="U396" s="60"/>
      <c r="V396" s="60"/>
      <c r="W396" s="60"/>
      <c r="X396" s="60"/>
    </row>
    <row r="397" spans="1:24" s="57" customFormat="1" ht="33" customHeight="1" x14ac:dyDescent="0.3">
      <c r="A397" s="16">
        <v>13</v>
      </c>
      <c r="B397" s="23">
        <v>2</v>
      </c>
      <c r="C397" s="27" t="str">
        <f t="shared" si="16"/>
        <v>13.02</v>
      </c>
      <c r="D397" s="18" t="s">
        <v>485</v>
      </c>
      <c r="E397" s="64" t="e">
        <f>IF(ISBLANK(D397)=TRUE,"",VLOOKUP(D397,Krav!$C:$F,4,FALSE))</f>
        <v>#N/A</v>
      </c>
      <c r="F397" s="53" t="s">
        <v>226</v>
      </c>
      <c r="G397" s="53" t="s">
        <v>313</v>
      </c>
      <c r="H397" s="25" t="s">
        <v>378</v>
      </c>
      <c r="I397" s="67" t="s">
        <v>376</v>
      </c>
      <c r="J397" s="67" t="s">
        <v>222</v>
      </c>
      <c r="K397" s="123" t="s">
        <v>222</v>
      </c>
      <c r="L397" s="20" t="s">
        <v>3</v>
      </c>
      <c r="M397" s="61" t="s">
        <v>129</v>
      </c>
      <c r="N397" s="61" t="s">
        <v>131</v>
      </c>
      <c r="O397" s="61" t="s">
        <v>376</v>
      </c>
      <c r="P397" s="61"/>
      <c r="Q397" s="61" t="s">
        <v>311</v>
      </c>
      <c r="R397" s="59" t="s">
        <v>5</v>
      </c>
      <c r="S397" s="61"/>
      <c r="T397" s="61"/>
      <c r="U397" s="60"/>
      <c r="V397" s="60"/>
      <c r="W397" s="60"/>
      <c r="X397" s="60"/>
    </row>
    <row r="398" spans="1:24" s="57" customFormat="1" ht="33" customHeight="1" x14ac:dyDescent="0.3">
      <c r="A398" s="16">
        <v>13</v>
      </c>
      <c r="B398" s="23">
        <v>3</v>
      </c>
      <c r="C398" s="27" t="str">
        <f t="shared" si="16"/>
        <v>13.03</v>
      </c>
      <c r="D398" s="18" t="s">
        <v>486</v>
      </c>
      <c r="E398" s="64" t="e">
        <f>IF(ISBLANK(D398)=TRUE,"",VLOOKUP(D398,Krav!$C:$F,4,FALSE))</f>
        <v>#N/A</v>
      </c>
      <c r="F398" s="53" t="s">
        <v>226</v>
      </c>
      <c r="G398" s="53" t="s">
        <v>313</v>
      </c>
      <c r="H398" s="25" t="s">
        <v>380</v>
      </c>
      <c r="I398" s="67" t="s">
        <v>376</v>
      </c>
      <c r="J398" s="67" t="s">
        <v>222</v>
      </c>
      <c r="K398" s="123" t="s">
        <v>222</v>
      </c>
      <c r="L398" s="20" t="s">
        <v>3</v>
      </c>
      <c r="M398" s="61" t="s">
        <v>129</v>
      </c>
      <c r="N398" s="61" t="s">
        <v>131</v>
      </c>
      <c r="O398" s="61" t="s">
        <v>376</v>
      </c>
      <c r="P398" s="61"/>
      <c r="Q398" s="61" t="s">
        <v>317</v>
      </c>
      <c r="R398" s="59" t="s">
        <v>5</v>
      </c>
      <c r="S398" s="60"/>
      <c r="T398" s="60"/>
      <c r="U398" s="60"/>
      <c r="V398" s="60"/>
      <c r="W398" s="60"/>
      <c r="X398" s="60"/>
    </row>
    <row r="399" spans="1:24" s="57" customFormat="1" ht="33" customHeight="1" x14ac:dyDescent="0.3">
      <c r="A399" s="16">
        <v>13</v>
      </c>
      <c r="B399" s="23">
        <v>4</v>
      </c>
      <c r="C399" s="27" t="str">
        <f t="shared" si="16"/>
        <v>13.04</v>
      </c>
      <c r="D399" s="18" t="s">
        <v>487</v>
      </c>
      <c r="E399" s="64" t="e">
        <f>IF(ISBLANK(D399)=TRUE,"",VLOOKUP(D399,Krav!$C:$F,4,FALSE))</f>
        <v>#N/A</v>
      </c>
      <c r="F399" s="53" t="s">
        <v>226</v>
      </c>
      <c r="G399" s="53" t="s">
        <v>313</v>
      </c>
      <c r="H399" s="25" t="s">
        <v>382</v>
      </c>
      <c r="I399" s="67" t="s">
        <v>376</v>
      </c>
      <c r="J399" s="67" t="s">
        <v>222</v>
      </c>
      <c r="K399" s="123" t="s">
        <v>222</v>
      </c>
      <c r="L399" s="20" t="s">
        <v>3</v>
      </c>
      <c r="M399" s="61" t="s">
        <v>129</v>
      </c>
      <c r="N399" s="61" t="s">
        <v>131</v>
      </c>
      <c r="O399" s="61" t="s">
        <v>376</v>
      </c>
      <c r="P399" s="61"/>
      <c r="Q399" s="61" t="s">
        <v>320</v>
      </c>
      <c r="R399" s="59" t="s">
        <v>5</v>
      </c>
      <c r="S399" s="60"/>
      <c r="T399" s="60"/>
      <c r="U399" s="60"/>
      <c r="V399" s="60"/>
      <c r="W399" s="60"/>
      <c r="X399" s="60"/>
    </row>
    <row r="400" spans="1:24" s="57" customFormat="1" ht="33" customHeight="1" x14ac:dyDescent="0.3">
      <c r="A400" s="16">
        <v>13</v>
      </c>
      <c r="B400" s="23">
        <v>5</v>
      </c>
      <c r="C400" s="27" t="str">
        <f t="shared" si="16"/>
        <v>13.05</v>
      </c>
      <c r="D400" s="18" t="s">
        <v>488</v>
      </c>
      <c r="E400" s="64" t="e">
        <f>IF(ISBLANK(D400)=TRUE,"",VLOOKUP(D400,Krav!$C:$F,4,FALSE))</f>
        <v>#N/A</v>
      </c>
      <c r="F400" s="53" t="s">
        <v>226</v>
      </c>
      <c r="G400" s="53" t="s">
        <v>313</v>
      </c>
      <c r="H400" s="25" t="s">
        <v>384</v>
      </c>
      <c r="I400" s="67" t="s">
        <v>376</v>
      </c>
      <c r="J400" s="67" t="s">
        <v>222</v>
      </c>
      <c r="K400" s="123" t="s">
        <v>222</v>
      </c>
      <c r="L400" s="20" t="s">
        <v>3</v>
      </c>
      <c r="M400" s="61" t="s">
        <v>129</v>
      </c>
      <c r="N400" s="61" t="s">
        <v>131</v>
      </c>
      <c r="O400" s="61" t="s">
        <v>376</v>
      </c>
      <c r="P400" s="61"/>
      <c r="Q400" s="61" t="s">
        <v>323</v>
      </c>
      <c r="R400" s="59" t="s">
        <v>5</v>
      </c>
      <c r="S400" s="60"/>
      <c r="T400" s="60"/>
      <c r="U400" s="60"/>
      <c r="V400" s="60"/>
      <c r="W400" s="60"/>
      <c r="X400" s="60"/>
    </row>
    <row r="401" spans="1:24" s="57" customFormat="1" ht="33" customHeight="1" x14ac:dyDescent="0.3">
      <c r="A401" s="16">
        <v>13</v>
      </c>
      <c r="B401" s="23">
        <v>6</v>
      </c>
      <c r="C401" s="27" t="str">
        <f t="shared" si="16"/>
        <v>13.06</v>
      </c>
      <c r="D401" s="18" t="s">
        <v>489</v>
      </c>
      <c r="E401" s="64" t="e">
        <f>IF(ISBLANK(D401)=TRUE,"",VLOOKUP(D401,Krav!$C:$F,4,FALSE))</f>
        <v>#N/A</v>
      </c>
      <c r="F401" s="53" t="s">
        <v>226</v>
      </c>
      <c r="G401" s="53" t="s">
        <v>313</v>
      </c>
      <c r="H401" s="25" t="s">
        <v>386</v>
      </c>
      <c r="I401" s="67" t="s">
        <v>376</v>
      </c>
      <c r="J401" s="67" t="s">
        <v>222</v>
      </c>
      <c r="K401" s="123" t="s">
        <v>222</v>
      </c>
      <c r="L401" s="20" t="s">
        <v>3</v>
      </c>
      <c r="M401" s="61" t="s">
        <v>129</v>
      </c>
      <c r="N401" s="61" t="s">
        <v>131</v>
      </c>
      <c r="O401" s="61" t="s">
        <v>376</v>
      </c>
      <c r="P401" s="61"/>
      <c r="Q401" s="61" t="s">
        <v>326</v>
      </c>
      <c r="R401" s="59" t="s">
        <v>5</v>
      </c>
      <c r="S401" s="60"/>
      <c r="T401" s="60"/>
      <c r="U401" s="60"/>
      <c r="V401" s="60"/>
      <c r="W401" s="60"/>
      <c r="X401" s="60"/>
    </row>
    <row r="402" spans="1:24" s="57" customFormat="1" ht="33" customHeight="1" x14ac:dyDescent="0.3">
      <c r="A402" s="16">
        <v>13</v>
      </c>
      <c r="B402" s="23">
        <v>7</v>
      </c>
      <c r="C402" s="27" t="str">
        <f t="shared" si="16"/>
        <v>13.07</v>
      </c>
      <c r="D402" s="18" t="s">
        <v>490</v>
      </c>
      <c r="E402" s="64" t="e">
        <f>IF(ISBLANK(D402)=TRUE,"",VLOOKUP(D402,Krav!$C:$F,4,FALSE))</f>
        <v>#N/A</v>
      </c>
      <c r="F402" s="53" t="s">
        <v>221</v>
      </c>
      <c r="G402" s="19" t="s">
        <v>352</v>
      </c>
      <c r="H402" s="25" t="s">
        <v>415</v>
      </c>
      <c r="I402" s="67" t="s">
        <v>240</v>
      </c>
      <c r="J402" s="67" t="s">
        <v>222</v>
      </c>
      <c r="K402" s="123" t="s">
        <v>222</v>
      </c>
      <c r="L402" s="20" t="s">
        <v>3</v>
      </c>
      <c r="M402" s="61" t="s">
        <v>129</v>
      </c>
      <c r="N402" s="61" t="s">
        <v>131</v>
      </c>
      <c r="O402" s="61" t="s">
        <v>376</v>
      </c>
      <c r="P402" s="61"/>
      <c r="Q402" s="61"/>
      <c r="R402" s="59" t="s">
        <v>5</v>
      </c>
      <c r="S402" s="60"/>
      <c r="T402" s="60"/>
      <c r="U402" s="60"/>
      <c r="V402" s="60"/>
      <c r="W402" s="60"/>
      <c r="X402" s="60"/>
    </row>
    <row r="403" spans="1:24" s="57" customFormat="1" ht="33" customHeight="1" x14ac:dyDescent="0.3">
      <c r="A403" s="16">
        <v>13</v>
      </c>
      <c r="B403" s="23">
        <v>8</v>
      </c>
      <c r="C403" s="27" t="str">
        <f t="shared" si="16"/>
        <v>13.08</v>
      </c>
      <c r="D403" s="18"/>
      <c r="E403" s="64" t="str">
        <f>IF(ISBLANK(D403)=TRUE,"",VLOOKUP(D403,Krav!$C:$F,4,FALSE))</f>
        <v/>
      </c>
      <c r="F403" s="53" t="s">
        <v>225</v>
      </c>
      <c r="G403" s="19" t="s">
        <v>417</v>
      </c>
      <c r="H403" s="25" t="s">
        <v>284</v>
      </c>
      <c r="I403" s="67" t="s">
        <v>376</v>
      </c>
      <c r="J403" s="67" t="s">
        <v>222</v>
      </c>
      <c r="K403" s="123" t="s">
        <v>222</v>
      </c>
      <c r="L403" s="20" t="s">
        <v>3</v>
      </c>
      <c r="M403" s="61" t="s">
        <v>129</v>
      </c>
      <c r="N403" s="61" t="s">
        <v>131</v>
      </c>
      <c r="O403" s="61" t="s">
        <v>376</v>
      </c>
      <c r="P403" s="61"/>
      <c r="Q403" s="61"/>
      <c r="R403" s="59" t="s">
        <v>5</v>
      </c>
      <c r="S403" s="60"/>
      <c r="T403" s="60"/>
      <c r="U403" s="60"/>
      <c r="V403" s="60"/>
      <c r="W403" s="60"/>
      <c r="X403" s="60"/>
    </row>
    <row r="404" spans="1:24" s="57" customFormat="1" ht="33" customHeight="1" x14ac:dyDescent="0.3">
      <c r="A404" s="16">
        <v>13</v>
      </c>
      <c r="B404" s="23">
        <v>9</v>
      </c>
      <c r="C404" s="27" t="str">
        <f>IF(B404&lt;10,_xlfn.CONCAT(A404,".0",B404),_xlfn.CONCAT(A404,".",B404))</f>
        <v>13.09</v>
      </c>
      <c r="D404" s="12"/>
      <c r="E404" s="64" t="str">
        <f>IF(ISBLANK(D404)=TRUE,"",VLOOKUP(D404,Krav!$C:$F,4,FALSE))</f>
        <v/>
      </c>
      <c r="F404" s="53" t="s">
        <v>418</v>
      </c>
      <c r="G404" s="53" t="s">
        <v>445</v>
      </c>
      <c r="H404" s="76" t="s">
        <v>1278</v>
      </c>
      <c r="I404" s="67" t="s">
        <v>129</v>
      </c>
      <c r="J404" s="95" t="s">
        <v>222</v>
      </c>
      <c r="K404" s="125" t="s">
        <v>222</v>
      </c>
      <c r="L404" s="4" t="s">
        <v>3</v>
      </c>
      <c r="M404" s="61" t="s">
        <v>129</v>
      </c>
      <c r="N404" s="61" t="s">
        <v>131</v>
      </c>
      <c r="O404" s="59" t="s">
        <v>376</v>
      </c>
      <c r="P404" s="59"/>
      <c r="Q404" s="61"/>
      <c r="R404" s="59" t="s">
        <v>5</v>
      </c>
      <c r="S404" s="60"/>
      <c r="T404" s="60"/>
      <c r="U404" s="60"/>
      <c r="V404" s="60"/>
      <c r="W404" s="60"/>
      <c r="X404" s="60"/>
    </row>
    <row r="405" spans="1:24" s="57" customFormat="1" ht="33" customHeight="1" x14ac:dyDescent="0.3">
      <c r="A405" s="16">
        <v>13</v>
      </c>
      <c r="B405" s="23">
        <v>10</v>
      </c>
      <c r="C405" s="27" t="str">
        <f t="shared" si="16"/>
        <v>13.10</v>
      </c>
      <c r="D405" s="18" t="s">
        <v>485</v>
      </c>
      <c r="E405" s="64" t="e">
        <f>IF(ISBLANK(D405)=TRUE,"",VLOOKUP(D405,Krav!$C:$F,4,FALSE))</f>
        <v>#N/A</v>
      </c>
      <c r="F405" s="53" t="s">
        <v>226</v>
      </c>
      <c r="G405" s="53" t="s">
        <v>313</v>
      </c>
      <c r="H405" s="25" t="s">
        <v>378</v>
      </c>
      <c r="I405" s="67" t="s">
        <v>404</v>
      </c>
      <c r="J405" s="67" t="s">
        <v>222</v>
      </c>
      <c r="K405" s="123" t="s">
        <v>222</v>
      </c>
      <c r="L405" s="20" t="s">
        <v>3</v>
      </c>
      <c r="M405" s="61" t="s">
        <v>129</v>
      </c>
      <c r="N405" s="61" t="s">
        <v>131</v>
      </c>
      <c r="O405" s="61" t="s">
        <v>404</v>
      </c>
      <c r="P405" s="61"/>
      <c r="Q405" s="61" t="s">
        <v>311</v>
      </c>
      <c r="R405" s="59" t="s">
        <v>5</v>
      </c>
      <c r="S405" s="60"/>
      <c r="T405" s="60"/>
      <c r="U405" s="60"/>
      <c r="V405" s="60"/>
      <c r="W405" s="60"/>
      <c r="X405" s="60"/>
    </row>
    <row r="406" spans="1:24" s="57" customFormat="1" ht="33" customHeight="1" x14ac:dyDescent="0.3">
      <c r="A406" s="16">
        <v>13</v>
      </c>
      <c r="B406" s="23">
        <v>11</v>
      </c>
      <c r="C406" s="27" t="str">
        <f t="shared" si="16"/>
        <v>13.11</v>
      </c>
      <c r="D406" s="18" t="s">
        <v>486</v>
      </c>
      <c r="E406" s="64" t="e">
        <f>IF(ISBLANK(D406)=TRUE,"",VLOOKUP(D406,Krav!$C:$F,4,FALSE))</f>
        <v>#N/A</v>
      </c>
      <c r="F406" s="53" t="s">
        <v>226</v>
      </c>
      <c r="G406" s="53" t="s">
        <v>313</v>
      </c>
      <c r="H406" s="25" t="s">
        <v>380</v>
      </c>
      <c r="I406" s="67" t="s">
        <v>404</v>
      </c>
      <c r="J406" s="67" t="s">
        <v>222</v>
      </c>
      <c r="K406" s="123" t="s">
        <v>222</v>
      </c>
      <c r="L406" s="20" t="s">
        <v>3</v>
      </c>
      <c r="M406" s="61" t="s">
        <v>129</v>
      </c>
      <c r="N406" s="61" t="s">
        <v>131</v>
      </c>
      <c r="O406" s="61" t="s">
        <v>404</v>
      </c>
      <c r="P406" s="61"/>
      <c r="Q406" s="61" t="s">
        <v>317</v>
      </c>
      <c r="R406" s="59" t="s">
        <v>5</v>
      </c>
      <c r="S406" s="60"/>
      <c r="T406" s="60"/>
      <c r="U406" s="60"/>
      <c r="V406" s="60"/>
      <c r="W406" s="60"/>
      <c r="X406" s="60"/>
    </row>
    <row r="407" spans="1:24" s="57" customFormat="1" ht="33" customHeight="1" x14ac:dyDescent="0.3">
      <c r="A407" s="16">
        <v>13</v>
      </c>
      <c r="B407" s="23">
        <v>12</v>
      </c>
      <c r="C407" s="27" t="str">
        <f t="shared" si="16"/>
        <v>13.12</v>
      </c>
      <c r="D407" s="18" t="s">
        <v>487</v>
      </c>
      <c r="E407" s="64" t="e">
        <f>IF(ISBLANK(D407)=TRUE,"",VLOOKUP(D407,Krav!$C:$F,4,FALSE))</f>
        <v>#N/A</v>
      </c>
      <c r="F407" s="53" t="s">
        <v>226</v>
      </c>
      <c r="G407" s="53" t="s">
        <v>313</v>
      </c>
      <c r="H407" s="25" t="s">
        <v>382</v>
      </c>
      <c r="I407" s="67" t="s">
        <v>404</v>
      </c>
      <c r="J407" s="67" t="s">
        <v>222</v>
      </c>
      <c r="K407" s="123" t="s">
        <v>222</v>
      </c>
      <c r="L407" s="20" t="s">
        <v>3</v>
      </c>
      <c r="M407" s="61" t="s">
        <v>129</v>
      </c>
      <c r="N407" s="61" t="s">
        <v>131</v>
      </c>
      <c r="O407" s="61" t="s">
        <v>404</v>
      </c>
      <c r="P407" s="61"/>
      <c r="Q407" s="61" t="s">
        <v>320</v>
      </c>
      <c r="R407" s="59" t="s">
        <v>5</v>
      </c>
      <c r="S407" s="60"/>
      <c r="T407" s="60"/>
      <c r="U407" s="60"/>
      <c r="V407" s="60"/>
      <c r="W407" s="60"/>
      <c r="X407" s="60"/>
    </row>
    <row r="408" spans="1:24" s="57" customFormat="1" ht="33" customHeight="1" x14ac:dyDescent="0.3">
      <c r="A408" s="16">
        <v>13</v>
      </c>
      <c r="B408" s="23">
        <v>13</v>
      </c>
      <c r="C408" s="27" t="str">
        <f t="shared" si="16"/>
        <v>13.13</v>
      </c>
      <c r="D408" s="18" t="s">
        <v>488</v>
      </c>
      <c r="E408" s="64" t="e">
        <f>IF(ISBLANK(D408)=TRUE,"",VLOOKUP(D408,Krav!$C:$F,4,FALSE))</f>
        <v>#N/A</v>
      </c>
      <c r="F408" s="53" t="s">
        <v>226</v>
      </c>
      <c r="G408" s="53" t="s">
        <v>313</v>
      </c>
      <c r="H408" s="25" t="s">
        <v>384</v>
      </c>
      <c r="I408" s="67" t="s">
        <v>404</v>
      </c>
      <c r="J408" s="67" t="s">
        <v>222</v>
      </c>
      <c r="K408" s="123" t="s">
        <v>222</v>
      </c>
      <c r="L408" s="20" t="s">
        <v>3</v>
      </c>
      <c r="M408" s="61" t="s">
        <v>129</v>
      </c>
      <c r="N408" s="61" t="s">
        <v>131</v>
      </c>
      <c r="O408" s="61" t="s">
        <v>404</v>
      </c>
      <c r="P408" s="61"/>
      <c r="Q408" s="61" t="s">
        <v>323</v>
      </c>
      <c r="R408" s="59" t="s">
        <v>5</v>
      </c>
      <c r="S408" s="60"/>
      <c r="T408" s="60"/>
      <c r="U408" s="60"/>
      <c r="V408" s="60"/>
      <c r="W408" s="60"/>
      <c r="X408" s="60"/>
    </row>
    <row r="409" spans="1:24" s="57" customFormat="1" ht="33" customHeight="1" x14ac:dyDescent="0.3">
      <c r="A409" s="16">
        <v>13</v>
      </c>
      <c r="B409" s="23">
        <v>14</v>
      </c>
      <c r="C409" s="27" t="str">
        <f t="shared" si="16"/>
        <v>13.14</v>
      </c>
      <c r="D409" s="18" t="s">
        <v>489</v>
      </c>
      <c r="E409" s="64" t="e">
        <f>IF(ISBLANK(D409)=TRUE,"",VLOOKUP(D409,Krav!$C:$F,4,FALSE))</f>
        <v>#N/A</v>
      </c>
      <c r="F409" s="53" t="s">
        <v>226</v>
      </c>
      <c r="G409" s="53" t="s">
        <v>313</v>
      </c>
      <c r="H409" s="25" t="s">
        <v>386</v>
      </c>
      <c r="I409" s="67" t="s">
        <v>404</v>
      </c>
      <c r="J409" s="67" t="s">
        <v>222</v>
      </c>
      <c r="K409" s="123" t="s">
        <v>222</v>
      </c>
      <c r="L409" s="20" t="s">
        <v>3</v>
      </c>
      <c r="M409" s="61" t="s">
        <v>129</v>
      </c>
      <c r="N409" s="61" t="s">
        <v>131</v>
      </c>
      <c r="O409" s="61" t="s">
        <v>404</v>
      </c>
      <c r="P409" s="61"/>
      <c r="Q409" s="61" t="s">
        <v>326</v>
      </c>
      <c r="R409" s="59" t="s">
        <v>5</v>
      </c>
      <c r="S409" s="60"/>
      <c r="T409" s="60"/>
      <c r="U409" s="60"/>
      <c r="V409" s="60"/>
      <c r="W409" s="60"/>
      <c r="X409" s="60"/>
    </row>
    <row r="410" spans="1:24" s="57" customFormat="1" ht="33" customHeight="1" x14ac:dyDescent="0.3">
      <c r="A410" s="16">
        <v>13</v>
      </c>
      <c r="B410" s="23">
        <v>15</v>
      </c>
      <c r="C410" s="27" t="str">
        <f t="shared" si="16"/>
        <v>13.15</v>
      </c>
      <c r="D410" s="18"/>
      <c r="E410" s="64" t="str">
        <f>IF(ISBLANK(D410)=TRUE,"",VLOOKUP(D410,Krav!$C:$F,4,FALSE))</f>
        <v/>
      </c>
      <c r="F410" s="53" t="s">
        <v>225</v>
      </c>
      <c r="G410" s="19" t="s">
        <v>417</v>
      </c>
      <c r="H410" s="25" t="s">
        <v>284</v>
      </c>
      <c r="I410" s="67" t="s">
        <v>404</v>
      </c>
      <c r="J410" s="67" t="s">
        <v>222</v>
      </c>
      <c r="K410" s="123" t="s">
        <v>222</v>
      </c>
      <c r="L410" s="20" t="s">
        <v>3</v>
      </c>
      <c r="M410" s="61" t="s">
        <v>129</v>
      </c>
      <c r="N410" s="61" t="s">
        <v>131</v>
      </c>
      <c r="O410" s="61" t="s">
        <v>404</v>
      </c>
      <c r="P410" s="61"/>
      <c r="Q410" s="61"/>
      <c r="R410" s="59" t="s">
        <v>5</v>
      </c>
      <c r="S410" s="60"/>
      <c r="T410" s="60"/>
      <c r="U410" s="60"/>
      <c r="V410" s="60"/>
      <c r="W410" s="60"/>
      <c r="X410" s="60"/>
    </row>
    <row r="411" spans="1:24" s="57" customFormat="1" ht="33" customHeight="1" x14ac:dyDescent="0.3">
      <c r="A411" s="16">
        <v>13</v>
      </c>
      <c r="B411" s="23">
        <v>16</v>
      </c>
      <c r="C411" s="27" t="str">
        <f t="shared" si="16"/>
        <v>13.16</v>
      </c>
      <c r="D411" s="18" t="s">
        <v>490</v>
      </c>
      <c r="E411" s="64" t="e">
        <f>IF(ISBLANK(D411)=TRUE,"",VLOOKUP(D411,Krav!$C:$F,4,FALSE))</f>
        <v>#N/A</v>
      </c>
      <c r="F411" s="53" t="s">
        <v>221</v>
      </c>
      <c r="G411" s="19" t="s">
        <v>352</v>
      </c>
      <c r="H411" s="25" t="s">
        <v>415</v>
      </c>
      <c r="I411" s="67" t="s">
        <v>240</v>
      </c>
      <c r="J411" s="67" t="s">
        <v>222</v>
      </c>
      <c r="K411" s="123" t="s">
        <v>222</v>
      </c>
      <c r="L411" s="20" t="s">
        <v>3</v>
      </c>
      <c r="M411" s="61" t="s">
        <v>129</v>
      </c>
      <c r="N411" s="61" t="s">
        <v>131</v>
      </c>
      <c r="O411" s="61" t="s">
        <v>404</v>
      </c>
      <c r="P411" s="61"/>
      <c r="Q411" s="61"/>
      <c r="R411" s="59" t="s">
        <v>5</v>
      </c>
      <c r="S411" s="60"/>
      <c r="T411" s="60"/>
      <c r="U411" s="60"/>
      <c r="V411" s="60"/>
      <c r="W411" s="60"/>
      <c r="X411" s="60"/>
    </row>
    <row r="412" spans="1:24" s="57" customFormat="1" ht="33" customHeight="1" x14ac:dyDescent="0.3">
      <c r="A412" s="16">
        <v>13</v>
      </c>
      <c r="B412" s="23">
        <v>17</v>
      </c>
      <c r="C412" s="27" t="str">
        <f t="shared" si="16"/>
        <v>13.17</v>
      </c>
      <c r="D412" s="18" t="s">
        <v>491</v>
      </c>
      <c r="E412" s="64" t="str">
        <f>IF(ISBLANK(D412)=TRUE,"",VLOOKUP(D412,Krav!$C:$F,4,FALSE))</f>
        <v>9.b.2.2.3 - Såfremt brugeren vælger "Ved ikke" skal brugeres ledes til spørgsmål 9.b.2.2.2</v>
      </c>
      <c r="F412" s="53" t="s">
        <v>143</v>
      </c>
      <c r="G412" s="19"/>
      <c r="H412" s="25" t="s">
        <v>492</v>
      </c>
      <c r="I412" s="67" t="s">
        <v>305</v>
      </c>
      <c r="J412" s="67" t="s">
        <v>222</v>
      </c>
      <c r="K412" s="123" t="s">
        <v>222</v>
      </c>
      <c r="L412" s="20" t="s">
        <v>3</v>
      </c>
      <c r="M412" s="61" t="s">
        <v>131</v>
      </c>
      <c r="N412" s="61" t="s">
        <v>129</v>
      </c>
      <c r="O412" s="61"/>
      <c r="P412" s="61"/>
      <c r="Q412" s="61"/>
      <c r="R412" s="59" t="s">
        <v>5</v>
      </c>
      <c r="S412" s="60"/>
      <c r="T412" s="60"/>
      <c r="U412" s="60"/>
      <c r="V412" s="60"/>
      <c r="W412" s="60"/>
      <c r="X412" s="60"/>
    </row>
    <row r="413" spans="1:24" s="57" customFormat="1" ht="33" customHeight="1" x14ac:dyDescent="0.3">
      <c r="A413" s="16">
        <v>13</v>
      </c>
      <c r="B413" s="23">
        <v>18</v>
      </c>
      <c r="C413" s="27" t="str">
        <f t="shared" si="16"/>
        <v>13.18</v>
      </c>
      <c r="D413" s="12" t="s">
        <v>493</v>
      </c>
      <c r="E413" s="64" t="str">
        <f>IF(ISBLANK(D413)=TRUE,"",VLOOKUP(D413,Krav!$C:$F,4,FALSE))</f>
        <v xml:space="preserve">9.b.2.2.2.1 - Der angives et ”NEJ” i populationen under ”Stoler RIM på fordringshavers forældelsesdato” </v>
      </c>
      <c r="F413" s="53" t="s">
        <v>221</v>
      </c>
      <c r="G413" s="19" t="s">
        <v>352</v>
      </c>
      <c r="H413" s="25" t="s">
        <v>1279</v>
      </c>
      <c r="I413" s="67" t="s">
        <v>241</v>
      </c>
      <c r="J413" s="68" t="s">
        <v>222</v>
      </c>
      <c r="K413" s="123" t="s">
        <v>222</v>
      </c>
      <c r="L413" s="4" t="s">
        <v>3</v>
      </c>
      <c r="M413" s="61" t="s">
        <v>131</v>
      </c>
      <c r="N413" s="61" t="s">
        <v>129</v>
      </c>
      <c r="O413" s="61"/>
      <c r="P413" s="59"/>
      <c r="Q413" s="61"/>
      <c r="R413" s="59" t="s">
        <v>5</v>
      </c>
      <c r="S413" s="60"/>
      <c r="T413" s="60"/>
      <c r="U413" s="60"/>
      <c r="V413" s="60"/>
      <c r="W413" s="60"/>
      <c r="X413" s="60"/>
    </row>
    <row r="414" spans="1:24" s="57" customFormat="1" ht="33" customHeight="1" x14ac:dyDescent="0.3">
      <c r="A414" s="16">
        <v>13</v>
      </c>
      <c r="B414" s="23">
        <v>19</v>
      </c>
      <c r="C414" s="27" t="str">
        <f t="shared" si="16"/>
        <v>13.19</v>
      </c>
      <c r="D414" s="18"/>
      <c r="E414" s="64" t="str">
        <f>IF(ISBLANK(D414)=TRUE,"",VLOOKUP(D414,Krav!$C:$F,4,FALSE))</f>
        <v/>
      </c>
      <c r="F414" s="53" t="s">
        <v>225</v>
      </c>
      <c r="G414" s="19" t="s">
        <v>417</v>
      </c>
      <c r="H414" s="25" t="s">
        <v>284</v>
      </c>
      <c r="I414" s="67" t="s">
        <v>369</v>
      </c>
      <c r="J414" s="68" t="s">
        <v>222</v>
      </c>
      <c r="K414" s="123" t="s">
        <v>222</v>
      </c>
      <c r="L414" s="4" t="s">
        <v>3</v>
      </c>
      <c r="M414" s="61" t="s">
        <v>131</v>
      </c>
      <c r="N414" s="61" t="s">
        <v>129</v>
      </c>
      <c r="O414" s="61"/>
      <c r="P414" s="59"/>
      <c r="Q414" s="61"/>
      <c r="R414" s="59" t="s">
        <v>5</v>
      </c>
      <c r="S414" s="60"/>
      <c r="T414" s="60"/>
      <c r="U414" s="60"/>
      <c r="V414" s="60"/>
      <c r="W414" s="60"/>
      <c r="X414" s="60"/>
    </row>
    <row r="415" spans="1:24" s="57" customFormat="1" ht="33" customHeight="1" x14ac:dyDescent="0.3">
      <c r="A415" s="16">
        <v>13</v>
      </c>
      <c r="B415" s="23">
        <v>20</v>
      </c>
      <c r="C415" s="27" t="str">
        <f t="shared" si="16"/>
        <v>13.20</v>
      </c>
      <c r="D415" s="18" t="s">
        <v>494</v>
      </c>
      <c r="E415" s="64" t="str">
        <f>IF(ISBLANK(D415)=TRUE,"",VLOOKUP(D415,Krav!$C:$F,4,FALSE))</f>
        <v>9.b.2.2.2.2 - Regel R0042 skal aktiveres</v>
      </c>
      <c r="F415" s="53" t="s">
        <v>226</v>
      </c>
      <c r="G415" s="53" t="s">
        <v>308</v>
      </c>
      <c r="H415" s="25" t="s">
        <v>378</v>
      </c>
      <c r="I415" s="67" t="s">
        <v>240</v>
      </c>
      <c r="J415" s="67" t="s">
        <v>222</v>
      </c>
      <c r="K415" s="123" t="s">
        <v>222</v>
      </c>
      <c r="L415" s="20" t="s">
        <v>3</v>
      </c>
      <c r="M415" s="61" t="s">
        <v>131</v>
      </c>
      <c r="N415" s="61" t="s">
        <v>129</v>
      </c>
      <c r="O415" s="61"/>
      <c r="P415" s="61"/>
      <c r="Q415" s="61" t="s">
        <v>311</v>
      </c>
      <c r="R415" s="59" t="s">
        <v>5</v>
      </c>
      <c r="S415" s="60"/>
      <c r="T415" s="60"/>
      <c r="U415" s="60"/>
      <c r="V415" s="60"/>
      <c r="W415" s="60"/>
      <c r="X415" s="60"/>
    </row>
    <row r="416" spans="1:24" s="57" customFormat="1" ht="33" customHeight="1" x14ac:dyDescent="0.3">
      <c r="A416" s="16">
        <v>13</v>
      </c>
      <c r="B416" s="23">
        <v>21</v>
      </c>
      <c r="C416" s="27" t="str">
        <f t="shared" si="16"/>
        <v>13.21</v>
      </c>
      <c r="D416" s="18" t="s">
        <v>495</v>
      </c>
      <c r="E416" s="64" t="str">
        <f>IF(ISBLANK(D416)=TRUE,"",VLOOKUP(D416,Krav!$C:$F,4,FALSE))</f>
        <v>9.b.2.2.2.3 - Regel R0042's Varighed X skal sættes til blank</v>
      </c>
      <c r="F416" s="53" t="s">
        <v>226</v>
      </c>
      <c r="G416" s="53" t="s">
        <v>313</v>
      </c>
      <c r="H416" s="25" t="s">
        <v>496</v>
      </c>
      <c r="I416" s="67" t="s">
        <v>96</v>
      </c>
      <c r="J416" s="67" t="s">
        <v>222</v>
      </c>
      <c r="K416" s="123" t="s">
        <v>222</v>
      </c>
      <c r="L416" s="20" t="s">
        <v>3</v>
      </c>
      <c r="M416" s="61" t="s">
        <v>131</v>
      </c>
      <c r="N416" s="61" t="s">
        <v>129</v>
      </c>
      <c r="O416" s="61"/>
      <c r="P416" s="61"/>
      <c r="Q416" s="61" t="s">
        <v>311</v>
      </c>
      <c r="R416" s="59" t="s">
        <v>5</v>
      </c>
      <c r="S416" s="60"/>
      <c r="T416" s="60"/>
      <c r="U416" s="60"/>
      <c r="V416" s="60"/>
      <c r="W416" s="60"/>
      <c r="X416" s="60"/>
    </row>
    <row r="417" spans="1:24" s="57" customFormat="1" ht="33" customHeight="1" x14ac:dyDescent="0.3">
      <c r="A417" s="16">
        <v>13</v>
      </c>
      <c r="B417" s="23">
        <v>22</v>
      </c>
      <c r="C417" s="27" t="str">
        <f t="shared" si="16"/>
        <v>13.22</v>
      </c>
      <c r="D417" s="18" t="s">
        <v>497</v>
      </c>
      <c r="E417" s="64" t="str">
        <f>IF(ISBLANK(D417)=TRUE,"",VLOOKUP(D417,Krav!$C:$F,4,FALSE))</f>
        <v>9.b.2.2.2.4 - Regel R0043 skal aktiveres</v>
      </c>
      <c r="F417" s="53" t="s">
        <v>226</v>
      </c>
      <c r="G417" s="53" t="s">
        <v>308</v>
      </c>
      <c r="H417" s="25" t="s">
        <v>380</v>
      </c>
      <c r="I417" s="67" t="s">
        <v>240</v>
      </c>
      <c r="J417" s="67" t="s">
        <v>222</v>
      </c>
      <c r="K417" s="123" t="s">
        <v>222</v>
      </c>
      <c r="L417" s="20" t="s">
        <v>3</v>
      </c>
      <c r="M417" s="61" t="s">
        <v>131</v>
      </c>
      <c r="N417" s="61" t="s">
        <v>129</v>
      </c>
      <c r="O417" s="61"/>
      <c r="P417" s="61"/>
      <c r="Q417" s="61" t="s">
        <v>317</v>
      </c>
      <c r="R417" s="59" t="s">
        <v>5</v>
      </c>
      <c r="S417" s="60"/>
      <c r="T417" s="60"/>
      <c r="U417" s="60"/>
      <c r="V417" s="60"/>
      <c r="W417" s="60"/>
      <c r="X417" s="60"/>
    </row>
    <row r="418" spans="1:24" s="57" customFormat="1" ht="33" customHeight="1" x14ac:dyDescent="0.3">
      <c r="A418" s="16">
        <v>13</v>
      </c>
      <c r="B418" s="23">
        <v>23</v>
      </c>
      <c r="C418" s="27" t="str">
        <f t="shared" si="16"/>
        <v>13.23</v>
      </c>
      <c r="D418" s="18" t="s">
        <v>498</v>
      </c>
      <c r="E418" s="64" t="str">
        <f>IF(ISBLANK(D418)=TRUE,"",VLOOKUP(D418,Krav!$C:$F,4,FALSE))</f>
        <v>9.b.2.2.2.5 - Regel R0043's Varighed X skal sættes til blank</v>
      </c>
      <c r="F418" s="53" t="s">
        <v>226</v>
      </c>
      <c r="G418" s="53" t="s">
        <v>313</v>
      </c>
      <c r="H418" s="25" t="s">
        <v>499</v>
      </c>
      <c r="I418" s="67" t="s">
        <v>96</v>
      </c>
      <c r="J418" s="67" t="s">
        <v>222</v>
      </c>
      <c r="K418" s="123" t="s">
        <v>222</v>
      </c>
      <c r="L418" s="20" t="s">
        <v>3</v>
      </c>
      <c r="M418" s="61" t="s">
        <v>131</v>
      </c>
      <c r="N418" s="61" t="s">
        <v>129</v>
      </c>
      <c r="O418" s="61"/>
      <c r="P418" s="61"/>
      <c r="Q418" s="61" t="s">
        <v>317</v>
      </c>
      <c r="R418" s="59" t="s">
        <v>5</v>
      </c>
      <c r="S418" s="60"/>
      <c r="T418" s="60"/>
      <c r="U418" s="60"/>
      <c r="V418" s="60"/>
      <c r="W418" s="60"/>
      <c r="X418" s="60"/>
    </row>
    <row r="419" spans="1:24" s="57" customFormat="1" ht="33" customHeight="1" x14ac:dyDescent="0.3">
      <c r="A419" s="16">
        <v>13</v>
      </c>
      <c r="B419" s="23">
        <v>24</v>
      </c>
      <c r="C419" s="27" t="str">
        <f t="shared" si="16"/>
        <v>13.24</v>
      </c>
      <c r="D419" s="18" t="s">
        <v>500</v>
      </c>
      <c r="E419" s="64" t="str">
        <f>IF(ISBLANK(D419)=TRUE,"",VLOOKUP(D419,Krav!$C:$F,4,FALSE))</f>
        <v>9.b.2.2.2.6 - Regel R0044 skal aktiveres</v>
      </c>
      <c r="F419" s="53" t="s">
        <v>226</v>
      </c>
      <c r="G419" s="53" t="s">
        <v>308</v>
      </c>
      <c r="H419" s="25" t="s">
        <v>382</v>
      </c>
      <c r="I419" s="67" t="s">
        <v>240</v>
      </c>
      <c r="J419" s="67" t="s">
        <v>222</v>
      </c>
      <c r="K419" s="123" t="s">
        <v>222</v>
      </c>
      <c r="L419" s="20" t="s">
        <v>3</v>
      </c>
      <c r="M419" s="61" t="s">
        <v>131</v>
      </c>
      <c r="N419" s="61" t="s">
        <v>129</v>
      </c>
      <c r="O419" s="61"/>
      <c r="P419" s="61"/>
      <c r="Q419" s="61" t="s">
        <v>320</v>
      </c>
      <c r="R419" s="59" t="s">
        <v>5</v>
      </c>
      <c r="S419" s="60"/>
      <c r="T419" s="60"/>
      <c r="U419" s="60"/>
      <c r="V419" s="60"/>
      <c r="W419" s="60"/>
      <c r="X419" s="60"/>
    </row>
    <row r="420" spans="1:24" s="57" customFormat="1" ht="33" customHeight="1" x14ac:dyDescent="0.3">
      <c r="A420" s="16">
        <v>13</v>
      </c>
      <c r="B420" s="23">
        <v>25</v>
      </c>
      <c r="C420" s="27" t="str">
        <f t="shared" si="16"/>
        <v>13.25</v>
      </c>
      <c r="D420" s="18" t="s">
        <v>501</v>
      </c>
      <c r="E420" s="64" t="str">
        <f>IF(ISBLANK(D420)=TRUE,"",VLOOKUP(D420,Krav!$C:$F,4,FALSE))</f>
        <v>9.b.2.2.2.7 - Regel R0044's Varighed X skal sættes til blank</v>
      </c>
      <c r="F420" s="53" t="s">
        <v>226</v>
      </c>
      <c r="G420" s="53" t="s">
        <v>313</v>
      </c>
      <c r="H420" s="25" t="s">
        <v>502</v>
      </c>
      <c r="I420" s="67" t="s">
        <v>96</v>
      </c>
      <c r="J420" s="68" t="s">
        <v>222</v>
      </c>
      <c r="K420" s="123" t="s">
        <v>222</v>
      </c>
      <c r="L420" s="4" t="s">
        <v>3</v>
      </c>
      <c r="M420" s="61" t="s">
        <v>131</v>
      </c>
      <c r="N420" s="61" t="s">
        <v>129</v>
      </c>
      <c r="O420" s="61"/>
      <c r="P420" s="59"/>
      <c r="Q420" s="61" t="s">
        <v>320</v>
      </c>
      <c r="R420" s="59" t="s">
        <v>5</v>
      </c>
      <c r="S420" s="60"/>
      <c r="T420" s="60"/>
      <c r="U420" s="60"/>
      <c r="V420" s="60"/>
      <c r="W420" s="60"/>
      <c r="X420" s="60"/>
    </row>
    <row r="421" spans="1:24" s="57" customFormat="1" ht="33" customHeight="1" x14ac:dyDescent="0.3">
      <c r="A421" s="16">
        <v>13</v>
      </c>
      <c r="B421" s="23">
        <v>26</v>
      </c>
      <c r="C421" s="27" t="str">
        <f t="shared" si="16"/>
        <v>13.26</v>
      </c>
      <c r="D421" s="18" t="s">
        <v>503</v>
      </c>
      <c r="E421" s="64" t="str">
        <f>IF(ISBLANK(D421)=TRUE,"",VLOOKUP(D421,Krav!$C:$F,4,FALSE))</f>
        <v>9.b.2.2.2.8 - Regel R0045 skal aktiveres</v>
      </c>
      <c r="F421" s="53" t="s">
        <v>226</v>
      </c>
      <c r="G421" s="53" t="s">
        <v>308</v>
      </c>
      <c r="H421" s="25" t="s">
        <v>384</v>
      </c>
      <c r="I421" s="67" t="s">
        <v>240</v>
      </c>
      <c r="J421" s="67" t="s">
        <v>222</v>
      </c>
      <c r="K421" s="123" t="s">
        <v>222</v>
      </c>
      <c r="L421" s="20" t="s">
        <v>3</v>
      </c>
      <c r="M421" s="61" t="s">
        <v>131</v>
      </c>
      <c r="N421" s="61" t="s">
        <v>129</v>
      </c>
      <c r="O421" s="61"/>
      <c r="P421" s="61"/>
      <c r="Q421" s="61" t="s">
        <v>323</v>
      </c>
      <c r="R421" s="59" t="s">
        <v>5</v>
      </c>
      <c r="S421" s="60"/>
      <c r="T421" s="60"/>
      <c r="U421" s="60"/>
      <c r="V421" s="60"/>
      <c r="W421" s="60"/>
      <c r="X421" s="60"/>
    </row>
    <row r="422" spans="1:24" s="57" customFormat="1" ht="33" customHeight="1" x14ac:dyDescent="0.3">
      <c r="A422" s="16">
        <v>13</v>
      </c>
      <c r="B422" s="23">
        <v>27</v>
      </c>
      <c r="C422" s="27" t="str">
        <f t="shared" si="16"/>
        <v>13.27</v>
      </c>
      <c r="D422" s="18" t="s">
        <v>504</v>
      </c>
      <c r="E422" s="64" t="str">
        <f>IF(ISBLANK(D422)=TRUE,"",VLOOKUP(D422,Krav!$C:$F,4,FALSE))</f>
        <v>9.b.2.2.2.9 - Regel R0045's Varighed X skal sættes til blank</v>
      </c>
      <c r="F422" s="53" t="s">
        <v>226</v>
      </c>
      <c r="G422" s="53" t="s">
        <v>313</v>
      </c>
      <c r="H422" s="25" t="s">
        <v>505</v>
      </c>
      <c r="I422" s="67" t="s">
        <v>96</v>
      </c>
      <c r="J422" s="67" t="s">
        <v>222</v>
      </c>
      <c r="K422" s="123" t="s">
        <v>222</v>
      </c>
      <c r="L422" s="20" t="s">
        <v>3</v>
      </c>
      <c r="M422" s="61" t="s">
        <v>131</v>
      </c>
      <c r="N422" s="61" t="s">
        <v>129</v>
      </c>
      <c r="O422" s="61"/>
      <c r="P422" s="61"/>
      <c r="Q422" s="61" t="s">
        <v>323</v>
      </c>
      <c r="R422" s="59" t="s">
        <v>5</v>
      </c>
      <c r="S422" s="60"/>
      <c r="T422" s="60"/>
      <c r="U422" s="60"/>
      <c r="V422" s="60"/>
      <c r="W422" s="60"/>
      <c r="X422" s="60"/>
    </row>
    <row r="423" spans="1:24" s="57" customFormat="1" ht="33" customHeight="1" x14ac:dyDescent="0.3">
      <c r="A423" s="16">
        <v>13</v>
      </c>
      <c r="B423" s="23">
        <v>28</v>
      </c>
      <c r="C423" s="27" t="str">
        <f t="shared" si="16"/>
        <v>13.28</v>
      </c>
      <c r="D423" s="18" t="s">
        <v>506</v>
      </c>
      <c r="E423" s="64" t="str">
        <f>IF(ISBLANK(D423)=TRUE,"",VLOOKUP(D423,Krav!$C:$F,4,FALSE))</f>
        <v>9.b.2.2.2.10 - Regel R0046 skal aktiveres</v>
      </c>
      <c r="F423" s="53" t="s">
        <v>226</v>
      </c>
      <c r="G423" s="53" t="s">
        <v>308</v>
      </c>
      <c r="H423" s="25" t="s">
        <v>386</v>
      </c>
      <c r="I423" s="67" t="s">
        <v>240</v>
      </c>
      <c r="J423" s="67" t="s">
        <v>222</v>
      </c>
      <c r="K423" s="123" t="s">
        <v>222</v>
      </c>
      <c r="L423" s="20" t="s">
        <v>3</v>
      </c>
      <c r="M423" s="61" t="s">
        <v>131</v>
      </c>
      <c r="N423" s="61" t="s">
        <v>129</v>
      </c>
      <c r="O423" s="61"/>
      <c r="P423" s="61"/>
      <c r="Q423" s="61" t="s">
        <v>326</v>
      </c>
      <c r="R423" s="59" t="s">
        <v>5</v>
      </c>
      <c r="S423" s="60"/>
      <c r="T423" s="60"/>
      <c r="U423" s="60"/>
      <c r="V423" s="60"/>
      <c r="W423" s="60"/>
      <c r="X423" s="60"/>
    </row>
    <row r="424" spans="1:24" s="57" customFormat="1" ht="33" customHeight="1" x14ac:dyDescent="0.3">
      <c r="A424" s="16">
        <v>13</v>
      </c>
      <c r="B424" s="23">
        <v>29</v>
      </c>
      <c r="C424" s="27" t="str">
        <f t="shared" si="16"/>
        <v>13.29</v>
      </c>
      <c r="D424" s="18" t="s">
        <v>507</v>
      </c>
      <c r="E424" s="64" t="str">
        <f>IF(ISBLANK(D424)=TRUE,"",VLOOKUP(D424,Krav!$C:$F,4,FALSE))</f>
        <v>9.b.2.2.2.11 - Regel R0046's Varighed X skal sættes til blank</v>
      </c>
      <c r="F424" s="53" t="s">
        <v>226</v>
      </c>
      <c r="G424" s="53" t="s">
        <v>313</v>
      </c>
      <c r="H424" s="25" t="s">
        <v>508</v>
      </c>
      <c r="I424" s="67" t="s">
        <v>96</v>
      </c>
      <c r="J424" s="67" t="s">
        <v>222</v>
      </c>
      <c r="K424" s="123" t="s">
        <v>222</v>
      </c>
      <c r="L424" s="20" t="s">
        <v>3</v>
      </c>
      <c r="M424" s="61" t="s">
        <v>131</v>
      </c>
      <c r="N424" s="61" t="s">
        <v>129</v>
      </c>
      <c r="O424" s="61"/>
      <c r="P424" s="61"/>
      <c r="Q424" s="61" t="s">
        <v>326</v>
      </c>
      <c r="R424" s="59" t="s">
        <v>5</v>
      </c>
      <c r="S424" s="60"/>
      <c r="T424" s="60"/>
      <c r="U424" s="60"/>
      <c r="V424" s="60"/>
      <c r="W424" s="60"/>
      <c r="X424" s="60"/>
    </row>
    <row r="425" spans="1:24" s="57" customFormat="1" ht="33" customHeight="1" x14ac:dyDescent="0.3">
      <c r="A425" s="16">
        <v>13</v>
      </c>
      <c r="B425" s="23">
        <v>30</v>
      </c>
      <c r="C425" s="27" t="str">
        <f>IF(B425&lt;10,_xlfn.CONCAT(A425,".0",B425),_xlfn.CONCAT(A425,".",B425))</f>
        <v>13.30</v>
      </c>
      <c r="D425" s="12"/>
      <c r="E425" s="64" t="str">
        <f>IF(ISBLANK(D425)=TRUE,"",VLOOKUP(D425,Krav!$C:$F,4,FALSE))</f>
        <v/>
      </c>
      <c r="F425" s="53" t="s">
        <v>418</v>
      </c>
      <c r="G425" s="19" t="s">
        <v>446</v>
      </c>
      <c r="H425" s="76" t="s">
        <v>1280</v>
      </c>
      <c r="I425" s="68" t="s">
        <v>129</v>
      </c>
      <c r="J425" s="95" t="s">
        <v>222</v>
      </c>
      <c r="K425" s="123" t="s">
        <v>222</v>
      </c>
      <c r="L425" s="4" t="s">
        <v>3</v>
      </c>
      <c r="M425" s="61" t="s">
        <v>131</v>
      </c>
      <c r="N425" s="61" t="s">
        <v>129</v>
      </c>
      <c r="O425" s="59"/>
      <c r="P425" s="59"/>
      <c r="Q425" s="61"/>
      <c r="R425" s="59" t="s">
        <v>5</v>
      </c>
      <c r="S425" s="60"/>
      <c r="T425" s="60"/>
      <c r="U425" s="60"/>
      <c r="V425" s="60"/>
      <c r="W425" s="60"/>
      <c r="X425" s="60"/>
    </row>
    <row r="426" spans="1:24" s="57" customFormat="1" ht="33" customHeight="1" x14ac:dyDescent="0.3">
      <c r="A426" s="16">
        <v>13</v>
      </c>
      <c r="B426" s="23">
        <v>31</v>
      </c>
      <c r="C426" s="27" t="str">
        <f t="shared" si="16"/>
        <v>13.31</v>
      </c>
      <c r="D426" s="18"/>
      <c r="E426" s="64" t="str">
        <f>IF(ISBLANK(D426)=TRUE,"",VLOOKUP(D426,Krav!$C:$F,4,FALSE))</f>
        <v/>
      </c>
      <c r="F426" s="53" t="s">
        <v>174</v>
      </c>
      <c r="G426" s="53"/>
      <c r="H426" s="25" t="s">
        <v>328</v>
      </c>
      <c r="I426" s="67" t="s">
        <v>470</v>
      </c>
      <c r="J426" s="67" t="s">
        <v>222</v>
      </c>
      <c r="K426" s="123" t="s">
        <v>222</v>
      </c>
      <c r="L426" s="20" t="s">
        <v>4</v>
      </c>
      <c r="M426" s="61" t="s">
        <v>131</v>
      </c>
      <c r="N426" s="61" t="s">
        <v>131</v>
      </c>
      <c r="O426" s="61"/>
      <c r="P426" s="61"/>
      <c r="Q426" s="61"/>
      <c r="R426" s="59" t="s">
        <v>5</v>
      </c>
      <c r="S426" s="60"/>
      <c r="T426" s="60"/>
      <c r="U426" s="60"/>
      <c r="V426" s="60"/>
      <c r="W426" s="60"/>
      <c r="X426" s="60"/>
    </row>
    <row r="427" spans="1:24" s="57" customFormat="1" ht="33" customHeight="1" x14ac:dyDescent="0.3">
      <c r="A427" s="16">
        <v>13</v>
      </c>
      <c r="B427" s="23">
        <v>32</v>
      </c>
      <c r="C427" s="27" t="str">
        <f t="shared" si="16"/>
        <v>13.32</v>
      </c>
      <c r="D427" s="18"/>
      <c r="E427" s="64" t="str">
        <f>IF(ISBLANK(D427)=TRUE,"",VLOOKUP(D427,Krav!$C:$F,4,FALSE))</f>
        <v/>
      </c>
      <c r="F427" s="53" t="s">
        <v>418</v>
      </c>
      <c r="G427" s="19" t="s">
        <v>419</v>
      </c>
      <c r="H427" s="25" t="s">
        <v>440</v>
      </c>
      <c r="I427" s="67" t="s">
        <v>129</v>
      </c>
      <c r="J427" s="95" t="s">
        <v>222</v>
      </c>
      <c r="K427" s="125" t="s">
        <v>222</v>
      </c>
      <c r="L427" s="4" t="s">
        <v>4</v>
      </c>
      <c r="M427" s="61" t="s">
        <v>131</v>
      </c>
      <c r="N427" s="61" t="s">
        <v>131</v>
      </c>
      <c r="O427" s="61"/>
      <c r="P427" s="59"/>
      <c r="Q427" s="61"/>
      <c r="R427" s="59" t="s">
        <v>5</v>
      </c>
      <c r="S427" s="60"/>
      <c r="T427" s="60"/>
      <c r="U427" s="60"/>
      <c r="V427" s="60"/>
      <c r="W427" s="60"/>
      <c r="X427" s="60"/>
    </row>
    <row r="428" spans="1:24" s="57" customFormat="1" ht="33" customHeight="1" x14ac:dyDescent="0.3">
      <c r="A428" s="16">
        <v>13</v>
      </c>
      <c r="B428" s="23">
        <v>33</v>
      </c>
      <c r="C428" s="27" t="str">
        <f t="shared" si="16"/>
        <v>13.33</v>
      </c>
      <c r="D428" s="18"/>
      <c r="E428" s="64" t="str">
        <f>IF(ISBLANK(D428)=TRUE,"",VLOOKUP(D428,Krav!$C:$F,4,FALSE))</f>
        <v/>
      </c>
      <c r="F428" s="53" t="s">
        <v>174</v>
      </c>
      <c r="G428" s="19" t="s">
        <v>417</v>
      </c>
      <c r="H428" s="25" t="s">
        <v>403</v>
      </c>
      <c r="I428" s="67" t="s">
        <v>175</v>
      </c>
      <c r="J428" s="68" t="s">
        <v>222</v>
      </c>
      <c r="K428" s="125" t="s">
        <v>222</v>
      </c>
      <c r="L428" s="4" t="s">
        <v>4</v>
      </c>
      <c r="M428" s="61" t="s">
        <v>129</v>
      </c>
      <c r="N428" s="61" t="s">
        <v>131</v>
      </c>
      <c r="O428" s="61" t="s">
        <v>96</v>
      </c>
      <c r="P428" s="59"/>
      <c r="Q428" s="61"/>
      <c r="R428" s="59" t="s">
        <v>5</v>
      </c>
      <c r="S428" s="60"/>
      <c r="T428" s="60"/>
      <c r="U428" s="60"/>
      <c r="V428" s="60"/>
      <c r="W428" s="60"/>
      <c r="X428" s="60"/>
    </row>
    <row r="429" spans="1:24" s="57" customFormat="1" ht="33" customHeight="1" x14ac:dyDescent="0.3">
      <c r="A429" s="16">
        <v>13</v>
      </c>
      <c r="B429" s="23">
        <v>34</v>
      </c>
      <c r="C429" s="27" t="str">
        <f t="shared" si="16"/>
        <v>13.34</v>
      </c>
      <c r="D429" s="12"/>
      <c r="E429" s="64" t="str">
        <f>IF(ISBLANK(D429)=TRUE,"",VLOOKUP(D429,Krav!$C:$F,4,FALSE))</f>
        <v/>
      </c>
      <c r="F429" s="53" t="s">
        <v>418</v>
      </c>
      <c r="G429" s="19" t="s">
        <v>419</v>
      </c>
      <c r="H429" s="25" t="s">
        <v>441</v>
      </c>
      <c r="I429" s="67" t="s">
        <v>129</v>
      </c>
      <c r="J429" s="95" t="s">
        <v>222</v>
      </c>
      <c r="K429" s="125" t="s">
        <v>222</v>
      </c>
      <c r="L429" s="4" t="s">
        <v>4</v>
      </c>
      <c r="M429" s="61" t="s">
        <v>129</v>
      </c>
      <c r="N429" s="61" t="s">
        <v>131</v>
      </c>
      <c r="O429" s="59" t="s">
        <v>96</v>
      </c>
      <c r="P429" s="59"/>
      <c r="Q429" s="61"/>
      <c r="R429" s="59" t="s">
        <v>5</v>
      </c>
      <c r="S429" s="60"/>
      <c r="T429" s="60"/>
      <c r="U429" s="60"/>
      <c r="V429" s="60"/>
      <c r="W429" s="60"/>
      <c r="X429" s="60"/>
    </row>
    <row r="430" spans="1:24" s="57" customFormat="1" ht="33" customHeight="1" x14ac:dyDescent="0.3">
      <c r="A430" s="16">
        <v>13</v>
      </c>
      <c r="B430" s="23">
        <v>35</v>
      </c>
      <c r="C430" s="27" t="str">
        <f t="shared" si="16"/>
        <v>13.35</v>
      </c>
      <c r="D430" s="12"/>
      <c r="E430" s="64" t="str">
        <f>IF(ISBLANK(D430)=TRUE,"",VLOOKUP(D430,Krav!$C:$F,4,FALSE))</f>
        <v/>
      </c>
      <c r="F430" s="53" t="s">
        <v>174</v>
      </c>
      <c r="G430" s="19"/>
      <c r="H430" s="76" t="s">
        <v>405</v>
      </c>
      <c r="I430" s="68" t="s">
        <v>471</v>
      </c>
      <c r="J430" s="68" t="s">
        <v>222</v>
      </c>
      <c r="K430" s="123" t="s">
        <v>222</v>
      </c>
      <c r="L430" s="4" t="s">
        <v>4</v>
      </c>
      <c r="M430" s="61" t="s">
        <v>129</v>
      </c>
      <c r="N430" s="61" t="s">
        <v>131</v>
      </c>
      <c r="O430" s="59" t="s">
        <v>406</v>
      </c>
      <c r="P430" s="59"/>
      <c r="Q430" s="61"/>
      <c r="R430" s="59" t="s">
        <v>5</v>
      </c>
      <c r="S430" s="60"/>
      <c r="T430" s="60"/>
      <c r="U430" s="60"/>
      <c r="V430" s="60"/>
      <c r="W430" s="60"/>
      <c r="X430" s="60"/>
    </row>
    <row r="431" spans="1:24" s="57" customFormat="1" ht="33" customHeight="1" x14ac:dyDescent="0.3">
      <c r="A431" s="16">
        <v>13</v>
      </c>
      <c r="B431" s="23">
        <v>36</v>
      </c>
      <c r="C431" s="27" t="str">
        <f t="shared" si="16"/>
        <v>13.36</v>
      </c>
      <c r="D431" s="12"/>
      <c r="E431" s="64" t="str">
        <f>IF(ISBLANK(D431)=TRUE,"",VLOOKUP(D431,Krav!$C:$F,4,FALSE))</f>
        <v/>
      </c>
      <c r="F431" s="53" t="s">
        <v>418</v>
      </c>
      <c r="G431" s="53" t="s">
        <v>419</v>
      </c>
      <c r="H431" s="76" t="s">
        <v>442</v>
      </c>
      <c r="I431" s="67" t="s">
        <v>129</v>
      </c>
      <c r="J431" s="95" t="s">
        <v>222</v>
      </c>
      <c r="K431" s="125" t="s">
        <v>222</v>
      </c>
      <c r="L431" s="4" t="s">
        <v>4</v>
      </c>
      <c r="M431" s="61" t="s">
        <v>129</v>
      </c>
      <c r="N431" s="61" t="s">
        <v>131</v>
      </c>
      <c r="O431" s="59" t="s">
        <v>406</v>
      </c>
      <c r="P431" s="59"/>
      <c r="Q431" s="61"/>
      <c r="R431" s="59" t="s">
        <v>5</v>
      </c>
      <c r="S431" s="60"/>
      <c r="T431" s="60"/>
      <c r="U431" s="60"/>
      <c r="V431" s="60"/>
      <c r="W431" s="60"/>
      <c r="X431" s="60"/>
    </row>
    <row r="432" spans="1:24" s="57" customFormat="1" ht="33" customHeight="1" x14ac:dyDescent="0.3">
      <c r="A432" s="16">
        <v>13</v>
      </c>
      <c r="B432" s="23">
        <v>37</v>
      </c>
      <c r="C432" s="27" t="str">
        <f t="shared" si="16"/>
        <v>13.37</v>
      </c>
      <c r="D432" s="12"/>
      <c r="E432" s="64" t="str">
        <f>IF(ISBLANK(D432)=TRUE,"",VLOOKUP(D432,Krav!$C:$F,4,FALSE))</f>
        <v/>
      </c>
      <c r="F432" s="53" t="s">
        <v>174</v>
      </c>
      <c r="G432" s="19" t="s">
        <v>417</v>
      </c>
      <c r="H432" s="76" t="s">
        <v>407</v>
      </c>
      <c r="I432" s="68" t="s">
        <v>175</v>
      </c>
      <c r="J432" s="68" t="s">
        <v>222</v>
      </c>
      <c r="K432" s="125" t="s">
        <v>222</v>
      </c>
      <c r="L432" s="4" t="s">
        <v>4</v>
      </c>
      <c r="M432" s="61" t="s">
        <v>129</v>
      </c>
      <c r="N432" s="61" t="s">
        <v>131</v>
      </c>
      <c r="O432" s="59" t="s">
        <v>408</v>
      </c>
      <c r="P432" s="59"/>
      <c r="Q432" s="61"/>
      <c r="R432" s="59" t="s">
        <v>5</v>
      </c>
      <c r="S432" s="60"/>
      <c r="T432" s="60"/>
      <c r="U432" s="60"/>
      <c r="V432" s="60"/>
      <c r="W432" s="60"/>
      <c r="X432" s="60"/>
    </row>
    <row r="433" spans="1:28" s="57" customFormat="1" ht="33" customHeight="1" x14ac:dyDescent="0.3">
      <c r="A433" s="16">
        <v>13</v>
      </c>
      <c r="B433" s="23">
        <v>38</v>
      </c>
      <c r="C433" s="27" t="str">
        <f t="shared" si="16"/>
        <v>13.38</v>
      </c>
      <c r="D433" s="12"/>
      <c r="E433" s="64" t="str">
        <f>IF(ISBLANK(D433)=TRUE,"",VLOOKUP(D433,Krav!$C:$F,4,FALSE))</f>
        <v/>
      </c>
      <c r="F433" s="53" t="s">
        <v>418</v>
      </c>
      <c r="G433" s="53" t="s">
        <v>419</v>
      </c>
      <c r="H433" s="76" t="s">
        <v>443</v>
      </c>
      <c r="I433" s="67" t="s">
        <v>129</v>
      </c>
      <c r="J433" s="95" t="s">
        <v>222</v>
      </c>
      <c r="K433" s="125" t="s">
        <v>222</v>
      </c>
      <c r="L433" s="4" t="s">
        <v>4</v>
      </c>
      <c r="M433" s="61" t="s">
        <v>129</v>
      </c>
      <c r="N433" s="61" t="s">
        <v>131</v>
      </c>
      <c r="O433" s="59" t="s">
        <v>408</v>
      </c>
      <c r="P433" s="59"/>
      <c r="Q433" s="61"/>
      <c r="R433" s="59" t="s">
        <v>5</v>
      </c>
      <c r="S433" s="60"/>
      <c r="T433" s="60"/>
      <c r="U433" s="60"/>
      <c r="V433" s="60"/>
      <c r="W433" s="60"/>
      <c r="X433" s="60"/>
    </row>
    <row r="434" spans="1:28" s="57" customFormat="1" ht="33" customHeight="1" x14ac:dyDescent="0.3">
      <c r="A434" s="16">
        <v>13</v>
      </c>
      <c r="B434" s="23">
        <v>39</v>
      </c>
      <c r="C434" s="27" t="str">
        <f t="shared" si="16"/>
        <v>13.39</v>
      </c>
      <c r="D434" s="12"/>
      <c r="E434" s="64" t="str">
        <f>IF(ISBLANK(D434)=TRUE,"",VLOOKUP(D434,Krav!$C:$F,4,FALSE))</f>
        <v/>
      </c>
      <c r="F434" s="53" t="s">
        <v>174</v>
      </c>
      <c r="G434" s="19" t="s">
        <v>417</v>
      </c>
      <c r="H434" s="76" t="s">
        <v>409</v>
      </c>
      <c r="I434" s="68" t="s">
        <v>175</v>
      </c>
      <c r="J434" s="68" t="s">
        <v>222</v>
      </c>
      <c r="K434" s="125" t="s">
        <v>222</v>
      </c>
      <c r="L434" s="4" t="s">
        <v>4</v>
      </c>
      <c r="M434" s="61" t="s">
        <v>129</v>
      </c>
      <c r="N434" s="61" t="s">
        <v>131</v>
      </c>
      <c r="O434" s="59" t="s">
        <v>410</v>
      </c>
      <c r="P434" s="59"/>
      <c r="Q434" s="61"/>
      <c r="R434" s="59" t="s">
        <v>5</v>
      </c>
      <c r="S434" s="60"/>
      <c r="T434" s="60"/>
      <c r="U434" s="60"/>
      <c r="V434" s="60"/>
      <c r="W434" s="60"/>
      <c r="X434" s="60"/>
    </row>
    <row r="435" spans="1:28" s="57" customFormat="1" ht="33" customHeight="1" x14ac:dyDescent="0.3">
      <c r="A435" s="16">
        <v>13</v>
      </c>
      <c r="B435" s="23">
        <v>40</v>
      </c>
      <c r="C435" s="27" t="str">
        <f t="shared" si="16"/>
        <v>13.40</v>
      </c>
      <c r="D435" s="12"/>
      <c r="E435" s="64" t="str">
        <f>IF(ISBLANK(D435)=TRUE,"",VLOOKUP(D435,Krav!$C:$F,4,FALSE))</f>
        <v/>
      </c>
      <c r="F435" s="53" t="s">
        <v>418</v>
      </c>
      <c r="G435" s="53" t="s">
        <v>419</v>
      </c>
      <c r="H435" s="76" t="s">
        <v>444</v>
      </c>
      <c r="I435" s="67" t="s">
        <v>129</v>
      </c>
      <c r="J435" s="95" t="s">
        <v>222</v>
      </c>
      <c r="K435" s="125" t="s">
        <v>222</v>
      </c>
      <c r="L435" s="4" t="s">
        <v>4</v>
      </c>
      <c r="M435" s="61" t="s">
        <v>129</v>
      </c>
      <c r="N435" s="61" t="s">
        <v>131</v>
      </c>
      <c r="O435" s="59" t="s">
        <v>410</v>
      </c>
      <c r="P435" s="59"/>
      <c r="Q435" s="61"/>
      <c r="R435" s="59" t="s">
        <v>5</v>
      </c>
      <c r="S435" s="60"/>
      <c r="T435" s="60"/>
      <c r="U435" s="60"/>
      <c r="V435" s="60"/>
      <c r="W435" s="60"/>
      <c r="X435" s="60"/>
    </row>
    <row r="436" spans="1:28" s="57" customFormat="1" ht="33" customHeight="1" x14ac:dyDescent="0.3">
      <c r="A436" s="16">
        <v>13</v>
      </c>
      <c r="B436" s="88">
        <v>41</v>
      </c>
      <c r="C436" s="27" t="str">
        <f t="shared" si="16"/>
        <v>13.41</v>
      </c>
      <c r="D436" s="18"/>
      <c r="E436" s="64" t="str">
        <f>IF(ISBLANK(D436)=TRUE,"",VLOOKUP(D436,Krav!$C:$F,4,FALSE))</f>
        <v/>
      </c>
      <c r="F436" s="76" t="s">
        <v>185</v>
      </c>
      <c r="G436" s="19"/>
      <c r="H436" s="76" t="s">
        <v>351</v>
      </c>
      <c r="I436" s="67" t="s">
        <v>475</v>
      </c>
      <c r="J436" s="67" t="s">
        <v>222</v>
      </c>
      <c r="K436" s="123" t="s">
        <v>222</v>
      </c>
      <c r="L436" s="20" t="s">
        <v>3</v>
      </c>
      <c r="M436" s="60"/>
      <c r="N436" s="60"/>
      <c r="O436" s="22"/>
      <c r="P436" s="22"/>
      <c r="Q436" s="60"/>
      <c r="R436" s="22" t="s">
        <v>5</v>
      </c>
      <c r="S436" s="60"/>
      <c r="T436" s="60"/>
      <c r="U436" s="60"/>
      <c r="V436" s="60"/>
      <c r="W436" s="60"/>
      <c r="X436" s="60"/>
    </row>
    <row r="437" spans="1:28" s="90" customFormat="1" ht="33" customHeight="1" x14ac:dyDescent="0.3">
      <c r="A437" s="16">
        <v>13</v>
      </c>
      <c r="B437" s="23">
        <v>42</v>
      </c>
      <c r="C437" s="27" t="str">
        <f t="shared" si="16"/>
        <v>13.42</v>
      </c>
      <c r="D437" s="12"/>
      <c r="E437" s="64" t="str">
        <f>IF(ISBLANK(D437)=TRUE,"",VLOOKUP(D437,Krav!$C:$F,4,FALSE))</f>
        <v/>
      </c>
      <c r="F437" s="85" t="s">
        <v>418</v>
      </c>
      <c r="G437" s="85" t="s">
        <v>1364</v>
      </c>
      <c r="H437" s="85" t="s">
        <v>1365</v>
      </c>
      <c r="I437" s="87" t="s">
        <v>129</v>
      </c>
      <c r="J437" s="94" t="s">
        <v>222</v>
      </c>
      <c r="K437" s="127" t="s">
        <v>222</v>
      </c>
      <c r="L437" s="4" t="s">
        <v>3</v>
      </c>
      <c r="M437" s="61"/>
      <c r="N437" s="61"/>
      <c r="O437" s="59"/>
      <c r="P437" s="59"/>
      <c r="Q437" s="61"/>
      <c r="R437" s="59"/>
      <c r="S437" s="61"/>
      <c r="T437" s="61"/>
      <c r="U437" s="61"/>
      <c r="V437" s="61"/>
      <c r="W437" s="61"/>
      <c r="X437" s="61"/>
    </row>
    <row r="438" spans="1:28" s="57" customFormat="1" ht="16.5" customHeight="1" x14ac:dyDescent="0.3">
      <c r="E438" s="5"/>
      <c r="F438" s="5"/>
      <c r="H438" s="5"/>
    </row>
    <row r="439" spans="1:28" s="57" customFormat="1" ht="16.5" customHeight="1" x14ac:dyDescent="0.3">
      <c r="E439" s="5"/>
      <c r="F439" s="5"/>
      <c r="H439" s="5"/>
      <c r="M439" s="62" t="s">
        <v>509</v>
      </c>
      <c r="N439" s="58" t="s">
        <v>510</v>
      </c>
      <c r="O439" s="62" t="s">
        <v>511</v>
      </c>
      <c r="P439" s="62" t="s">
        <v>512</v>
      </c>
      <c r="Q439" s="62" t="s">
        <v>513</v>
      </c>
      <c r="R439" s="58" t="s">
        <v>514</v>
      </c>
      <c r="S439" s="58" t="s">
        <v>515</v>
      </c>
      <c r="T439" s="58" t="s">
        <v>516</v>
      </c>
      <c r="U439" s="58" t="s">
        <v>517</v>
      </c>
      <c r="V439" s="58" t="s">
        <v>518</v>
      </c>
      <c r="W439" s="58" t="s">
        <v>334</v>
      </c>
      <c r="X439" s="58" t="s">
        <v>371</v>
      </c>
      <c r="Y439" s="58" t="s">
        <v>335</v>
      </c>
      <c r="Z439" s="58"/>
      <c r="AA439" s="58"/>
    </row>
    <row r="440" spans="1:28" s="57" customFormat="1" ht="16.5" customHeight="1" x14ac:dyDescent="0.3">
      <c r="E440" s="5"/>
      <c r="F440" s="5"/>
      <c r="H440" s="5"/>
      <c r="M440" s="58" t="s">
        <v>519</v>
      </c>
      <c r="N440" s="58" t="s">
        <v>519</v>
      </c>
      <c r="O440" s="58" t="s">
        <v>519</v>
      </c>
      <c r="P440" s="58" t="s">
        <v>519</v>
      </c>
      <c r="Q440" s="58" t="s">
        <v>519</v>
      </c>
      <c r="R440" s="58" t="s">
        <v>519</v>
      </c>
      <c r="S440" s="58" t="s">
        <v>12</v>
      </c>
      <c r="T440" s="58" t="s">
        <v>12</v>
      </c>
      <c r="U440" s="58" t="s">
        <v>12</v>
      </c>
      <c r="V440" s="58" t="s">
        <v>12</v>
      </c>
      <c r="W440" s="58" t="s">
        <v>12</v>
      </c>
      <c r="X440" s="58" t="s">
        <v>12</v>
      </c>
      <c r="Y440" s="58" t="s">
        <v>12</v>
      </c>
      <c r="Z440" s="58" t="s">
        <v>520</v>
      </c>
      <c r="AA440" s="58"/>
    </row>
    <row r="441" spans="1:28" s="1" customFormat="1" ht="15" customHeight="1" x14ac:dyDescent="0.3">
      <c r="A441" s="50" t="s">
        <v>6</v>
      </c>
      <c r="B441" s="51" t="s">
        <v>7</v>
      </c>
      <c r="C441" s="31" t="s">
        <v>0</v>
      </c>
      <c r="D441" s="31" t="s">
        <v>22</v>
      </c>
      <c r="E441" s="52" t="s">
        <v>99</v>
      </c>
      <c r="F441" s="52" t="s">
        <v>216</v>
      </c>
      <c r="G441" s="31" t="s">
        <v>217</v>
      </c>
      <c r="H441" s="52" t="s">
        <v>28</v>
      </c>
      <c r="I441" s="31" t="s">
        <v>218</v>
      </c>
      <c r="J441" s="31" t="s">
        <v>219</v>
      </c>
      <c r="K441" s="31" t="s">
        <v>220</v>
      </c>
      <c r="L441" s="31" t="s">
        <v>1</v>
      </c>
      <c r="M441" s="62" t="s">
        <v>521</v>
      </c>
      <c r="N441" s="62" t="s">
        <v>522</v>
      </c>
      <c r="O441" s="62" t="s">
        <v>523</v>
      </c>
      <c r="P441" s="62" t="s">
        <v>524</v>
      </c>
      <c r="Q441" s="62" t="s">
        <v>525</v>
      </c>
      <c r="R441" s="62" t="s">
        <v>526</v>
      </c>
      <c r="S441" s="62" t="s">
        <v>527</v>
      </c>
      <c r="T441" s="58" t="s">
        <v>528</v>
      </c>
      <c r="U441" s="58" t="s">
        <v>529</v>
      </c>
      <c r="V441" s="58" t="s">
        <v>530</v>
      </c>
      <c r="W441" s="62" t="s">
        <v>531</v>
      </c>
      <c r="X441" s="62" t="s">
        <v>234</v>
      </c>
      <c r="Y441" s="62" t="s">
        <v>233</v>
      </c>
      <c r="Z441" s="62"/>
      <c r="AA441" s="62"/>
      <c r="AB441" s="57"/>
    </row>
    <row r="442" spans="1:28" s="1" customFormat="1" ht="33" customHeight="1" x14ac:dyDescent="0.3">
      <c r="A442" s="16">
        <v>14</v>
      </c>
      <c r="B442" s="23">
        <v>1</v>
      </c>
      <c r="C442" s="27" t="str">
        <f>IF(B442&lt;10,_xlfn.CONCAT(A442,".0",B442),_xlfn.CONCAT(A442,".",B442))</f>
        <v>14.01</v>
      </c>
      <c r="D442" s="18" t="s">
        <v>532</v>
      </c>
      <c r="E442" s="64" t="str">
        <f>IF(ISBLANK(D442)=TRUE,"",VLOOKUP(D442,Krav!$C:$F,4,FALSE))</f>
        <v>10.5 - Såfremt brugeren vælger et eller flere af stamdatafelterne, hvor forfaldsdato er i blandt, skal brugeren ledes til spørgsmål 10.a via form 28</v>
      </c>
      <c r="F442" s="53" t="s">
        <v>143</v>
      </c>
      <c r="G442" s="19"/>
      <c r="H442" s="25" t="s">
        <v>533</v>
      </c>
      <c r="I442" s="65" t="s">
        <v>534</v>
      </c>
      <c r="J442" s="67" t="s">
        <v>222</v>
      </c>
      <c r="K442" s="123" t="s">
        <v>222</v>
      </c>
      <c r="L442" s="20" t="s">
        <v>3</v>
      </c>
      <c r="M442" s="124" t="s">
        <v>129</v>
      </c>
      <c r="N442" s="61" t="s">
        <v>131</v>
      </c>
      <c r="O442" s="61" t="s">
        <v>131</v>
      </c>
      <c r="P442" s="61" t="s">
        <v>131</v>
      </c>
      <c r="Q442" s="59" t="s">
        <v>131</v>
      </c>
      <c r="R442" s="59" t="s">
        <v>131</v>
      </c>
      <c r="S442" s="59" t="s">
        <v>295</v>
      </c>
      <c r="T442" s="59" t="s">
        <v>26</v>
      </c>
      <c r="U442" s="59"/>
      <c r="V442" s="59"/>
      <c r="W442" s="59"/>
      <c r="X442" s="59"/>
      <c r="Y442" s="59" t="s">
        <v>5</v>
      </c>
      <c r="Z442" s="59"/>
      <c r="AA442" s="59"/>
      <c r="AB442" s="57"/>
    </row>
    <row r="443" spans="1:28" s="1" customFormat="1" ht="33" customHeight="1" x14ac:dyDescent="0.3">
      <c r="A443" s="16">
        <v>14</v>
      </c>
      <c r="B443" s="23">
        <v>2</v>
      </c>
      <c r="C443" s="27" t="str">
        <f t="shared" ref="C443:C606" si="17">IF(B443&lt;10,_xlfn.CONCAT(A443,".0",B443),_xlfn.CONCAT(A443,".",B443))</f>
        <v>14.02</v>
      </c>
      <c r="D443" s="18"/>
      <c r="E443" s="64" t="str">
        <f>IF(ISBLANK(D443)=TRUE,"",VLOOKUP(D443,Krav!$C:$F,4,FALSE))</f>
        <v/>
      </c>
      <c r="F443" s="53" t="s">
        <v>225</v>
      </c>
      <c r="G443" s="19" t="s">
        <v>521</v>
      </c>
      <c r="H443" s="25" t="s">
        <v>535</v>
      </c>
      <c r="I443" s="65" t="s">
        <v>536</v>
      </c>
      <c r="J443" s="67" t="s">
        <v>222</v>
      </c>
      <c r="K443" s="123" t="s">
        <v>222</v>
      </c>
      <c r="L443" s="20" t="s">
        <v>3</v>
      </c>
      <c r="M443" s="124" t="s">
        <v>129</v>
      </c>
      <c r="N443" s="61" t="s">
        <v>131</v>
      </c>
      <c r="O443" s="61" t="s">
        <v>131</v>
      </c>
      <c r="P443" s="61" t="s">
        <v>131</v>
      </c>
      <c r="Q443" s="59" t="s">
        <v>131</v>
      </c>
      <c r="R443" s="59" t="s">
        <v>131</v>
      </c>
      <c r="S443" s="59" t="s">
        <v>295</v>
      </c>
      <c r="T443" s="59" t="s">
        <v>26</v>
      </c>
      <c r="U443" s="59"/>
      <c r="V443" s="59"/>
      <c r="W443" s="59"/>
      <c r="X443" s="59"/>
      <c r="Y443" s="59" t="s">
        <v>5</v>
      </c>
      <c r="Z443" s="59"/>
      <c r="AA443" s="59"/>
      <c r="AB443" s="57"/>
    </row>
    <row r="444" spans="1:28" s="1" customFormat="1" ht="33" customHeight="1" x14ac:dyDescent="0.3">
      <c r="A444" s="16">
        <v>14</v>
      </c>
      <c r="B444" s="23">
        <v>3</v>
      </c>
      <c r="C444" s="27" t="str">
        <f t="shared" si="17"/>
        <v>14.03</v>
      </c>
      <c r="D444" s="18"/>
      <c r="E444" s="64" t="str">
        <f>IF(ISBLANK(D444)=TRUE,"",VLOOKUP(D444,Krav!$C:$F,4,FALSE))</f>
        <v/>
      </c>
      <c r="F444" s="53" t="s">
        <v>225</v>
      </c>
      <c r="G444" s="19" t="s">
        <v>522</v>
      </c>
      <c r="H444" s="25" t="s">
        <v>537</v>
      </c>
      <c r="I444" s="65" t="s">
        <v>538</v>
      </c>
      <c r="J444" s="67" t="s">
        <v>222</v>
      </c>
      <c r="K444" s="123" t="s">
        <v>222</v>
      </c>
      <c r="L444" s="20" t="s">
        <v>3</v>
      </c>
      <c r="M444" s="124" t="s">
        <v>129</v>
      </c>
      <c r="N444" s="61" t="s">
        <v>131</v>
      </c>
      <c r="O444" s="61" t="s">
        <v>131</v>
      </c>
      <c r="P444" s="61" t="s">
        <v>131</v>
      </c>
      <c r="Q444" s="59" t="s">
        <v>131</v>
      </c>
      <c r="R444" s="59" t="s">
        <v>131</v>
      </c>
      <c r="S444" s="59" t="s">
        <v>295</v>
      </c>
      <c r="T444" s="59" t="s">
        <v>26</v>
      </c>
      <c r="U444" s="59"/>
      <c r="V444" s="59"/>
      <c r="W444" s="59"/>
      <c r="X444" s="59"/>
      <c r="Y444" s="59" t="s">
        <v>5</v>
      </c>
      <c r="Z444" s="59"/>
      <c r="AA444" s="59"/>
      <c r="AB444" s="57"/>
    </row>
    <row r="445" spans="1:28" s="1" customFormat="1" ht="33" customHeight="1" x14ac:dyDescent="0.3">
      <c r="A445" s="16">
        <v>14</v>
      </c>
      <c r="B445" s="23">
        <v>4</v>
      </c>
      <c r="C445" s="27" t="str">
        <f t="shared" si="17"/>
        <v>14.04</v>
      </c>
      <c r="D445" s="18"/>
      <c r="E445" s="64" t="str">
        <f>IF(ISBLANK(D445)=TRUE,"",VLOOKUP(D445,Krav!$C:$F,4,FALSE))</f>
        <v/>
      </c>
      <c r="F445" s="53" t="s">
        <v>225</v>
      </c>
      <c r="G445" s="19" t="s">
        <v>523</v>
      </c>
      <c r="H445" s="25" t="s">
        <v>539</v>
      </c>
      <c r="I445" s="65" t="s">
        <v>540</v>
      </c>
      <c r="J445" s="67" t="s">
        <v>222</v>
      </c>
      <c r="K445" s="123" t="s">
        <v>222</v>
      </c>
      <c r="L445" s="20" t="s">
        <v>3</v>
      </c>
      <c r="M445" s="124" t="s">
        <v>129</v>
      </c>
      <c r="N445" s="61" t="s">
        <v>131</v>
      </c>
      <c r="O445" s="61" t="s">
        <v>131</v>
      </c>
      <c r="P445" s="61" t="s">
        <v>131</v>
      </c>
      <c r="Q445" s="59" t="s">
        <v>131</v>
      </c>
      <c r="R445" s="59" t="s">
        <v>131</v>
      </c>
      <c r="S445" s="59" t="s">
        <v>295</v>
      </c>
      <c r="T445" s="59" t="s">
        <v>26</v>
      </c>
      <c r="U445" s="59"/>
      <c r="V445" s="59"/>
      <c r="W445" s="59"/>
      <c r="X445" s="59"/>
      <c r="Y445" s="59" t="s">
        <v>5</v>
      </c>
      <c r="Z445" s="59"/>
      <c r="AA445" s="59"/>
      <c r="AB445" s="57"/>
    </row>
    <row r="446" spans="1:28" s="1" customFormat="1" ht="33" customHeight="1" x14ac:dyDescent="0.3">
      <c r="A446" s="16">
        <v>14</v>
      </c>
      <c r="B446" s="23">
        <v>5</v>
      </c>
      <c r="C446" s="27" t="str">
        <f t="shared" si="17"/>
        <v>14.05</v>
      </c>
      <c r="D446" s="18"/>
      <c r="E446" s="64" t="str">
        <f>IF(ISBLANK(D446)=TRUE,"",VLOOKUP(D446,Krav!$C:$F,4,FALSE))</f>
        <v/>
      </c>
      <c r="F446" s="53" t="s">
        <v>225</v>
      </c>
      <c r="G446" s="19" t="s">
        <v>524</v>
      </c>
      <c r="H446" s="25" t="s">
        <v>541</v>
      </c>
      <c r="I446" s="65" t="s">
        <v>542</v>
      </c>
      <c r="J446" s="67" t="s">
        <v>222</v>
      </c>
      <c r="K446" s="123" t="s">
        <v>222</v>
      </c>
      <c r="L446" s="20" t="s">
        <v>3</v>
      </c>
      <c r="M446" s="124" t="s">
        <v>129</v>
      </c>
      <c r="N446" s="61" t="s">
        <v>131</v>
      </c>
      <c r="O446" s="61" t="s">
        <v>131</v>
      </c>
      <c r="P446" s="61" t="s">
        <v>131</v>
      </c>
      <c r="Q446" s="59" t="s">
        <v>131</v>
      </c>
      <c r="R446" s="59" t="s">
        <v>131</v>
      </c>
      <c r="S446" s="59" t="s">
        <v>295</v>
      </c>
      <c r="T446" s="59" t="s">
        <v>26</v>
      </c>
      <c r="U446" s="59"/>
      <c r="V446" s="59"/>
      <c r="W446" s="59"/>
      <c r="X446" s="59"/>
      <c r="Y446" s="59" t="s">
        <v>5</v>
      </c>
      <c r="Z446" s="59"/>
      <c r="AA446" s="59"/>
      <c r="AB446" s="57"/>
    </row>
    <row r="447" spans="1:28" s="1" customFormat="1" ht="33" customHeight="1" x14ac:dyDescent="0.3">
      <c r="A447" s="16">
        <v>14</v>
      </c>
      <c r="B447" s="23">
        <v>6</v>
      </c>
      <c r="C447" s="27" t="str">
        <f t="shared" si="17"/>
        <v>14.06</v>
      </c>
      <c r="D447" s="18"/>
      <c r="E447" s="64" t="str">
        <f>IF(ISBLANK(D447)=TRUE,"",VLOOKUP(D447,Krav!$C:$F,4,FALSE))</f>
        <v/>
      </c>
      <c r="F447" s="53" t="s">
        <v>225</v>
      </c>
      <c r="G447" s="19" t="s">
        <v>525</v>
      </c>
      <c r="H447" s="25" t="s">
        <v>543</v>
      </c>
      <c r="I447" s="65" t="s">
        <v>544</v>
      </c>
      <c r="J447" s="67" t="s">
        <v>222</v>
      </c>
      <c r="K447" s="123" t="s">
        <v>222</v>
      </c>
      <c r="L447" s="20" t="s">
        <v>3</v>
      </c>
      <c r="M447" s="124" t="s">
        <v>129</v>
      </c>
      <c r="N447" s="61" t="s">
        <v>131</v>
      </c>
      <c r="O447" s="61" t="s">
        <v>131</v>
      </c>
      <c r="P447" s="61" t="s">
        <v>131</v>
      </c>
      <c r="Q447" s="59" t="s">
        <v>131</v>
      </c>
      <c r="R447" s="59" t="s">
        <v>131</v>
      </c>
      <c r="S447" s="59" t="s">
        <v>295</v>
      </c>
      <c r="T447" s="59" t="s">
        <v>26</v>
      </c>
      <c r="U447" s="59"/>
      <c r="V447" s="59"/>
      <c r="W447" s="59"/>
      <c r="X447" s="59"/>
      <c r="Y447" s="59" t="s">
        <v>5</v>
      </c>
      <c r="Z447" s="59"/>
      <c r="AA447" s="59"/>
      <c r="AB447" s="57"/>
    </row>
    <row r="448" spans="1:28" s="1" customFormat="1" ht="33" customHeight="1" x14ac:dyDescent="0.3">
      <c r="A448" s="16">
        <v>14</v>
      </c>
      <c r="B448" s="23">
        <v>7</v>
      </c>
      <c r="C448" s="27" t="str">
        <f t="shared" si="17"/>
        <v>14.07</v>
      </c>
      <c r="D448" s="18"/>
      <c r="E448" s="64" t="str">
        <f>IF(ISBLANK(D448)=TRUE,"",VLOOKUP(D448,Krav!$C:$F,4,FALSE))</f>
        <v/>
      </c>
      <c r="F448" s="53" t="s">
        <v>225</v>
      </c>
      <c r="G448" s="19" t="s">
        <v>526</v>
      </c>
      <c r="H448" s="25" t="s">
        <v>543</v>
      </c>
      <c r="I448" s="65" t="s">
        <v>545</v>
      </c>
      <c r="J448" s="67" t="s">
        <v>222</v>
      </c>
      <c r="K448" s="123" t="s">
        <v>222</v>
      </c>
      <c r="L448" s="20" t="s">
        <v>3</v>
      </c>
      <c r="M448" s="124" t="s">
        <v>129</v>
      </c>
      <c r="N448" s="61" t="s">
        <v>131</v>
      </c>
      <c r="O448" s="61" t="s">
        <v>131</v>
      </c>
      <c r="P448" s="61" t="s">
        <v>131</v>
      </c>
      <c r="Q448" s="59" t="s">
        <v>131</v>
      </c>
      <c r="R448" s="59" t="s">
        <v>131</v>
      </c>
      <c r="S448" s="59" t="s">
        <v>295</v>
      </c>
      <c r="T448" s="59" t="s">
        <v>26</v>
      </c>
      <c r="U448" s="59"/>
      <c r="V448" s="59"/>
      <c r="W448" s="59"/>
      <c r="X448" s="59"/>
      <c r="Y448" s="59" t="s">
        <v>5</v>
      </c>
      <c r="Z448" s="59"/>
      <c r="AA448" s="59"/>
      <c r="AB448" s="57"/>
    </row>
    <row r="449" spans="1:28" s="1" customFormat="1" ht="33" customHeight="1" x14ac:dyDescent="0.3">
      <c r="A449" s="16">
        <v>14</v>
      </c>
      <c r="B449" s="23">
        <v>8</v>
      </c>
      <c r="C449" s="27" t="str">
        <f t="shared" si="17"/>
        <v>14.08</v>
      </c>
      <c r="D449" s="18"/>
      <c r="E449" s="64" t="str">
        <f>IF(ISBLANK(D449)=TRUE,"",VLOOKUP(D449,Krav!$C:$F,4,FALSE))</f>
        <v/>
      </c>
      <c r="F449" s="91" t="s">
        <v>418</v>
      </c>
      <c r="G449" s="91" t="s">
        <v>445</v>
      </c>
      <c r="H449" s="91" t="s">
        <v>546</v>
      </c>
      <c r="I449" s="91" t="s">
        <v>129</v>
      </c>
      <c r="J449" s="96" t="s">
        <v>222</v>
      </c>
      <c r="K449" s="125" t="s">
        <v>222</v>
      </c>
      <c r="L449" s="20" t="s">
        <v>3</v>
      </c>
      <c r="M449" s="124" t="s">
        <v>129</v>
      </c>
      <c r="N449" s="61" t="s">
        <v>131</v>
      </c>
      <c r="O449" s="61" t="s">
        <v>131</v>
      </c>
      <c r="P449" s="61" t="s">
        <v>131</v>
      </c>
      <c r="Q449" s="59" t="s">
        <v>131</v>
      </c>
      <c r="R449" s="59" t="s">
        <v>131</v>
      </c>
      <c r="S449" s="59" t="s">
        <v>295</v>
      </c>
      <c r="T449" s="59" t="s">
        <v>26</v>
      </c>
      <c r="U449" s="59"/>
      <c r="V449" s="59"/>
      <c r="W449" s="59"/>
      <c r="X449" s="59"/>
      <c r="Y449" s="59" t="s">
        <v>5</v>
      </c>
      <c r="Z449" s="59"/>
      <c r="AA449" s="59"/>
      <c r="AB449" s="57"/>
    </row>
    <row r="450" spans="1:28" s="1" customFormat="1" ht="33" customHeight="1" x14ac:dyDescent="0.3">
      <c r="A450" s="16">
        <v>14</v>
      </c>
      <c r="B450" s="23">
        <v>9</v>
      </c>
      <c r="C450" s="27" t="str">
        <f t="shared" si="17"/>
        <v>14.09</v>
      </c>
      <c r="D450" s="18" t="s">
        <v>827</v>
      </c>
      <c r="E450" s="64" t="str">
        <f>IF(ISBLANK(D450)=TRUE,"",VLOOKUP(D450,Krav!$C:$F,4,FALSE))</f>
        <v>10.a.1.1.1.6 - Hvis forfaldsdato er valgt: Regel R0047 aktiveres</v>
      </c>
      <c r="F450" s="53" t="s">
        <v>226</v>
      </c>
      <c r="G450" s="53" t="s">
        <v>308</v>
      </c>
      <c r="H450" s="25" t="s">
        <v>1293</v>
      </c>
      <c r="I450" s="65" t="s">
        <v>240</v>
      </c>
      <c r="J450" s="67" t="s">
        <v>222</v>
      </c>
      <c r="K450" s="123" t="s">
        <v>222</v>
      </c>
      <c r="L450" s="20" t="s">
        <v>3</v>
      </c>
      <c r="M450" s="124" t="s">
        <v>129</v>
      </c>
      <c r="N450" s="61" t="s">
        <v>131</v>
      </c>
      <c r="O450" s="61" t="s">
        <v>131</v>
      </c>
      <c r="P450" s="61" t="s">
        <v>131</v>
      </c>
      <c r="Q450" s="61" t="s">
        <v>131</v>
      </c>
      <c r="R450" s="61" t="s">
        <v>131</v>
      </c>
      <c r="S450" s="59" t="s">
        <v>295</v>
      </c>
      <c r="T450" s="59" t="s">
        <v>26</v>
      </c>
      <c r="U450" s="59"/>
      <c r="V450" s="59"/>
      <c r="W450" s="59"/>
      <c r="X450" s="59" t="s">
        <v>1288</v>
      </c>
      <c r="Y450" s="59" t="s">
        <v>5</v>
      </c>
      <c r="Z450" s="59"/>
      <c r="AA450" s="59"/>
      <c r="AB450" s="57"/>
    </row>
    <row r="451" spans="1:28" s="1" customFormat="1" ht="33" customHeight="1" x14ac:dyDescent="0.3">
      <c r="A451" s="16">
        <v>14</v>
      </c>
      <c r="B451" s="23">
        <v>10</v>
      </c>
      <c r="C451" s="27" t="str">
        <f t="shared" si="17"/>
        <v>14.10</v>
      </c>
      <c r="D451" s="18" t="s">
        <v>829</v>
      </c>
      <c r="E451" s="64" t="str">
        <f>IF(ISBLANK(D451)=TRUE,"",VLOOKUP(D451,Krav!$C:$F,4,FALSE))</f>
        <v>10.a.1.1.1.7 - Hvis forfaldsdato er valgt: Regel R0048 aktiveres</v>
      </c>
      <c r="F451" s="53" t="s">
        <v>226</v>
      </c>
      <c r="G451" s="53" t="s">
        <v>308</v>
      </c>
      <c r="H451" s="25" t="s">
        <v>1293</v>
      </c>
      <c r="I451" s="65" t="s">
        <v>240</v>
      </c>
      <c r="J451" s="67" t="s">
        <v>222</v>
      </c>
      <c r="K451" s="123" t="s">
        <v>222</v>
      </c>
      <c r="L451" s="20" t="s">
        <v>3</v>
      </c>
      <c r="M451" s="124" t="s">
        <v>129</v>
      </c>
      <c r="N451" s="61" t="s">
        <v>131</v>
      </c>
      <c r="O451" s="61" t="s">
        <v>131</v>
      </c>
      <c r="P451" s="61" t="s">
        <v>131</v>
      </c>
      <c r="Q451" s="61" t="s">
        <v>131</v>
      </c>
      <c r="R451" s="61" t="s">
        <v>131</v>
      </c>
      <c r="S451" s="59" t="s">
        <v>295</v>
      </c>
      <c r="T451" s="59" t="s">
        <v>26</v>
      </c>
      <c r="U451" s="59"/>
      <c r="V451" s="59"/>
      <c r="W451" s="59"/>
      <c r="X451" s="59" t="s">
        <v>1289</v>
      </c>
      <c r="Y451" s="59" t="s">
        <v>5</v>
      </c>
      <c r="Z451" s="59"/>
      <c r="AA451" s="59"/>
      <c r="AB451" s="57"/>
    </row>
    <row r="452" spans="1:28" s="1" customFormat="1" ht="33" customHeight="1" x14ac:dyDescent="0.3">
      <c r="A452" s="16">
        <v>14</v>
      </c>
      <c r="B452" s="23">
        <v>11</v>
      </c>
      <c r="C452" s="27" t="str">
        <f t="shared" si="17"/>
        <v>14.11</v>
      </c>
      <c r="D452" s="18" t="s">
        <v>831</v>
      </c>
      <c r="E452" s="64" t="str">
        <f>IF(ISBLANK(D452)=TRUE,"",VLOOKUP(D452,Krav!$C:$F,4,FALSE))</f>
        <v>10.a.1.1.1.8 - Hvis forfaldsdato er valgt: Regel R0049 aktiveres</v>
      </c>
      <c r="F452" s="53" t="s">
        <v>226</v>
      </c>
      <c r="G452" s="53" t="s">
        <v>308</v>
      </c>
      <c r="H452" s="25" t="s">
        <v>1293</v>
      </c>
      <c r="I452" s="65" t="s">
        <v>240</v>
      </c>
      <c r="J452" s="67" t="s">
        <v>222</v>
      </c>
      <c r="K452" s="123" t="s">
        <v>222</v>
      </c>
      <c r="L452" s="20" t="s">
        <v>3</v>
      </c>
      <c r="M452" s="124" t="s">
        <v>129</v>
      </c>
      <c r="N452" s="61" t="s">
        <v>131</v>
      </c>
      <c r="O452" s="61" t="s">
        <v>131</v>
      </c>
      <c r="P452" s="61" t="s">
        <v>131</v>
      </c>
      <c r="Q452" s="61" t="s">
        <v>131</v>
      </c>
      <c r="R452" s="61" t="s">
        <v>131</v>
      </c>
      <c r="S452" s="59" t="s">
        <v>295</v>
      </c>
      <c r="T452" s="59" t="s">
        <v>26</v>
      </c>
      <c r="U452" s="59"/>
      <c r="V452" s="59"/>
      <c r="W452" s="59"/>
      <c r="X452" s="59" t="s">
        <v>1290</v>
      </c>
      <c r="Y452" s="59" t="s">
        <v>5</v>
      </c>
      <c r="Z452" s="59"/>
      <c r="AA452" s="59"/>
      <c r="AB452" s="57"/>
    </row>
    <row r="453" spans="1:28" s="1" customFormat="1" ht="33" customHeight="1" x14ac:dyDescent="0.3">
      <c r="A453" s="16">
        <v>14</v>
      </c>
      <c r="B453" s="23">
        <v>12</v>
      </c>
      <c r="C453" s="27" t="str">
        <f t="shared" si="17"/>
        <v>14.12</v>
      </c>
      <c r="D453" s="18" t="s">
        <v>833</v>
      </c>
      <c r="E453" s="64" t="str">
        <f>IF(ISBLANK(D453)=TRUE,"",VLOOKUP(D453,Krav!$C:$F,4,FALSE))</f>
        <v>10.a.1.1.1.9 - Hvis forfaldsdato er valgt: Regel R0050 aktiveres</v>
      </c>
      <c r="F453" s="53" t="s">
        <v>226</v>
      </c>
      <c r="G453" s="53" t="s">
        <v>308</v>
      </c>
      <c r="H453" s="25" t="s">
        <v>1293</v>
      </c>
      <c r="I453" s="65" t="s">
        <v>240</v>
      </c>
      <c r="J453" s="67" t="s">
        <v>222</v>
      </c>
      <c r="K453" s="123" t="s">
        <v>222</v>
      </c>
      <c r="L453" s="20" t="s">
        <v>3</v>
      </c>
      <c r="M453" s="124" t="s">
        <v>129</v>
      </c>
      <c r="N453" s="61" t="s">
        <v>131</v>
      </c>
      <c r="O453" s="61" t="s">
        <v>131</v>
      </c>
      <c r="P453" s="61" t="s">
        <v>131</v>
      </c>
      <c r="Q453" s="61" t="s">
        <v>131</v>
      </c>
      <c r="R453" s="61" t="s">
        <v>131</v>
      </c>
      <c r="S453" s="59" t="s">
        <v>295</v>
      </c>
      <c r="T453" s="59" t="s">
        <v>26</v>
      </c>
      <c r="U453" s="59"/>
      <c r="V453" s="59"/>
      <c r="W453" s="59"/>
      <c r="X453" s="59" t="s">
        <v>1291</v>
      </c>
      <c r="Y453" s="59" t="s">
        <v>5</v>
      </c>
      <c r="Z453" s="59"/>
      <c r="AA453" s="59"/>
      <c r="AB453" s="57"/>
    </row>
    <row r="454" spans="1:28" s="1" customFormat="1" ht="33" customHeight="1" x14ac:dyDescent="0.3">
      <c r="A454" s="16">
        <v>14</v>
      </c>
      <c r="B454" s="23">
        <v>13</v>
      </c>
      <c r="C454" s="27" t="str">
        <f t="shared" si="17"/>
        <v>14.13</v>
      </c>
      <c r="D454" s="18" t="s">
        <v>867</v>
      </c>
      <c r="E454" s="64" t="str">
        <f>IF(ISBLANK(D454)=TRUE,"",VLOOKUP(D454,Krav!$C:$F,4,FALSE))</f>
        <v>10.a.1.1.1.26 - Hvis ForfaldsDato er valgt: Regel R0067 aktiveres</v>
      </c>
      <c r="F454" s="53" t="s">
        <v>226</v>
      </c>
      <c r="G454" s="53" t="s">
        <v>308</v>
      </c>
      <c r="H454" s="25" t="s">
        <v>1293</v>
      </c>
      <c r="I454" s="65" t="s">
        <v>240</v>
      </c>
      <c r="J454" s="67" t="s">
        <v>222</v>
      </c>
      <c r="K454" s="125" t="s">
        <v>222</v>
      </c>
      <c r="L454" s="20" t="s">
        <v>3</v>
      </c>
      <c r="M454" s="124" t="s">
        <v>129</v>
      </c>
      <c r="N454" s="61" t="s">
        <v>131</v>
      </c>
      <c r="O454" s="61" t="s">
        <v>131</v>
      </c>
      <c r="P454" s="61" t="s">
        <v>131</v>
      </c>
      <c r="Q454" s="61" t="s">
        <v>131</v>
      </c>
      <c r="R454" s="61" t="s">
        <v>131</v>
      </c>
      <c r="S454" s="59" t="s">
        <v>295</v>
      </c>
      <c r="T454" s="59" t="s">
        <v>26</v>
      </c>
      <c r="U454" s="59"/>
      <c r="V454" s="59"/>
      <c r="W454" s="59"/>
      <c r="X454" s="59" t="s">
        <v>1292</v>
      </c>
      <c r="Y454" s="59" t="s">
        <v>5</v>
      </c>
      <c r="Z454" s="59"/>
      <c r="AA454" s="59"/>
      <c r="AB454" s="57"/>
    </row>
    <row r="455" spans="1:28" s="1" customFormat="1" ht="33" customHeight="1" x14ac:dyDescent="0.3">
      <c r="A455" s="16">
        <v>14</v>
      </c>
      <c r="B455" s="23">
        <v>14</v>
      </c>
      <c r="C455" s="27" t="str">
        <f t="shared" si="17"/>
        <v>14.14</v>
      </c>
      <c r="D455" s="18" t="s">
        <v>909</v>
      </c>
      <c r="E455" s="64" t="str">
        <f>IF(ISBLANK(D455)=TRUE,"",VLOOKUP(D455,Krav!$C:$F,4,FALSE))</f>
        <v>10.a.1.1.1.47 - Hvis SRBDato ikke er valgt: Regel R0063 deaktiveres</v>
      </c>
      <c r="F455" s="53" t="s">
        <v>226</v>
      </c>
      <c r="G455" s="53" t="s">
        <v>308</v>
      </c>
      <c r="H455" s="25" t="s">
        <v>1321</v>
      </c>
      <c r="I455" s="65" t="s">
        <v>241</v>
      </c>
      <c r="J455" s="67" t="s">
        <v>222</v>
      </c>
      <c r="K455" s="123" t="s">
        <v>222</v>
      </c>
      <c r="L455" s="20" t="s">
        <v>3</v>
      </c>
      <c r="M455" s="124" t="s">
        <v>129</v>
      </c>
      <c r="N455" s="61" t="s">
        <v>131</v>
      </c>
      <c r="O455" s="61" t="s">
        <v>131</v>
      </c>
      <c r="P455" s="61" t="s">
        <v>131</v>
      </c>
      <c r="Q455" s="61" t="s">
        <v>131</v>
      </c>
      <c r="R455" s="61" t="s">
        <v>131</v>
      </c>
      <c r="S455" s="59" t="s">
        <v>295</v>
      </c>
      <c r="T455" s="59" t="s">
        <v>26</v>
      </c>
      <c r="U455" s="59"/>
      <c r="V455" s="59"/>
      <c r="W455" s="59"/>
      <c r="X455" s="59" t="s">
        <v>1294</v>
      </c>
      <c r="Y455" s="59" t="s">
        <v>5</v>
      </c>
      <c r="Z455" s="59"/>
      <c r="AA455" s="59"/>
      <c r="AB455" s="57"/>
    </row>
    <row r="456" spans="1:28" s="1" customFormat="1" ht="33" customHeight="1" x14ac:dyDescent="0.3">
      <c r="A456" s="16">
        <v>14</v>
      </c>
      <c r="B456" s="23">
        <v>15</v>
      </c>
      <c r="C456" s="27" t="str">
        <f t="shared" si="17"/>
        <v>14.15</v>
      </c>
      <c r="D456" s="18" t="s">
        <v>911</v>
      </c>
      <c r="E456" s="64" t="str">
        <f>IF(ISBLANK(D456)=TRUE,"",VLOOKUP(D456,Krav!$C:$F,4,FALSE))</f>
        <v>10.a.1.1.1.48 - Hvis SRBDato ikke er valgt: Regel R0064 deaktiveres</v>
      </c>
      <c r="F456" s="53" t="s">
        <v>226</v>
      </c>
      <c r="G456" s="53" t="s">
        <v>308</v>
      </c>
      <c r="H456" s="25" t="s">
        <v>1321</v>
      </c>
      <c r="I456" s="65" t="s">
        <v>241</v>
      </c>
      <c r="J456" s="67" t="s">
        <v>222</v>
      </c>
      <c r="K456" s="123" t="s">
        <v>222</v>
      </c>
      <c r="L456" s="20" t="s">
        <v>3</v>
      </c>
      <c r="M456" s="124" t="s">
        <v>129</v>
      </c>
      <c r="N456" s="61" t="s">
        <v>131</v>
      </c>
      <c r="O456" s="61" t="s">
        <v>131</v>
      </c>
      <c r="P456" s="61" t="s">
        <v>131</v>
      </c>
      <c r="Q456" s="61" t="s">
        <v>131</v>
      </c>
      <c r="R456" s="61" t="s">
        <v>131</v>
      </c>
      <c r="S456" s="59" t="s">
        <v>295</v>
      </c>
      <c r="T456" s="59" t="s">
        <v>26</v>
      </c>
      <c r="U456" s="59"/>
      <c r="V456" s="59"/>
      <c r="W456" s="59"/>
      <c r="X456" s="59" t="s">
        <v>1295</v>
      </c>
      <c r="Y456" s="59" t="s">
        <v>5</v>
      </c>
      <c r="Z456" s="59"/>
      <c r="AA456" s="59"/>
      <c r="AB456" s="57"/>
    </row>
    <row r="457" spans="1:28" s="1" customFormat="1" ht="33" customHeight="1" x14ac:dyDescent="0.3">
      <c r="A457" s="16">
        <v>14</v>
      </c>
      <c r="B457" s="23">
        <v>16</v>
      </c>
      <c r="C457" s="27" t="str">
        <f t="shared" si="17"/>
        <v>14.16</v>
      </c>
      <c r="D457" s="18" t="s">
        <v>913</v>
      </c>
      <c r="E457" s="64" t="str">
        <f>IF(ISBLANK(D457)=TRUE,"",VLOOKUP(D457,Krav!$C:$F,4,FALSE))</f>
        <v>10.a.1.1.1.49 - Hvis SRBDato ikke er valgt: Regel R0065 deaktiveres</v>
      </c>
      <c r="F457" s="53" t="s">
        <v>226</v>
      </c>
      <c r="G457" s="53" t="s">
        <v>308</v>
      </c>
      <c r="H457" s="25" t="s">
        <v>1321</v>
      </c>
      <c r="I457" s="65" t="s">
        <v>241</v>
      </c>
      <c r="J457" s="67" t="s">
        <v>222</v>
      </c>
      <c r="K457" s="123" t="s">
        <v>222</v>
      </c>
      <c r="L457" s="20" t="s">
        <v>3</v>
      </c>
      <c r="M457" s="124" t="s">
        <v>129</v>
      </c>
      <c r="N457" s="61" t="s">
        <v>131</v>
      </c>
      <c r="O457" s="61" t="s">
        <v>131</v>
      </c>
      <c r="P457" s="61" t="s">
        <v>131</v>
      </c>
      <c r="Q457" s="61" t="s">
        <v>131</v>
      </c>
      <c r="R457" s="61" t="s">
        <v>131</v>
      </c>
      <c r="S457" s="59" t="s">
        <v>295</v>
      </c>
      <c r="T457" s="59" t="s">
        <v>26</v>
      </c>
      <c r="U457" s="59"/>
      <c r="V457" s="59"/>
      <c r="W457" s="59"/>
      <c r="X457" s="59" t="s">
        <v>1296</v>
      </c>
      <c r="Y457" s="59" t="s">
        <v>5</v>
      </c>
      <c r="Z457" s="59"/>
      <c r="AA457" s="59"/>
      <c r="AB457" s="57"/>
    </row>
    <row r="458" spans="1:28" s="1" customFormat="1" ht="33" customHeight="1" x14ac:dyDescent="0.3">
      <c r="A458" s="16">
        <v>14</v>
      </c>
      <c r="B458" s="23">
        <v>17</v>
      </c>
      <c r="C458" s="27" t="str">
        <f t="shared" si="17"/>
        <v>14.17</v>
      </c>
      <c r="D458" s="18" t="s">
        <v>915</v>
      </c>
      <c r="E458" s="64" t="str">
        <f>IF(ISBLANK(D458)=TRUE,"",VLOOKUP(D458,Krav!$C:$F,4,FALSE))</f>
        <v>10.a.1.1.1.50 - Hvis SRBDato ikke er valgt: Regel R0066 deaktiveres</v>
      </c>
      <c r="F458" s="53" t="s">
        <v>226</v>
      </c>
      <c r="G458" s="53" t="s">
        <v>308</v>
      </c>
      <c r="H458" s="25" t="s">
        <v>1321</v>
      </c>
      <c r="I458" s="65" t="s">
        <v>241</v>
      </c>
      <c r="J458" s="67" t="s">
        <v>222</v>
      </c>
      <c r="K458" s="123" t="s">
        <v>222</v>
      </c>
      <c r="L458" s="20" t="s">
        <v>3</v>
      </c>
      <c r="M458" s="124" t="s">
        <v>129</v>
      </c>
      <c r="N458" s="61" t="s">
        <v>131</v>
      </c>
      <c r="O458" s="61" t="s">
        <v>131</v>
      </c>
      <c r="P458" s="61" t="s">
        <v>131</v>
      </c>
      <c r="Q458" s="61" t="s">
        <v>131</v>
      </c>
      <c r="R458" s="61" t="s">
        <v>131</v>
      </c>
      <c r="S458" s="59" t="s">
        <v>295</v>
      </c>
      <c r="T458" s="59" t="s">
        <v>26</v>
      </c>
      <c r="U458" s="59"/>
      <c r="V458" s="59"/>
      <c r="W458" s="59"/>
      <c r="X458" s="59" t="s">
        <v>1297</v>
      </c>
      <c r="Y458" s="59" t="s">
        <v>5</v>
      </c>
      <c r="Z458" s="59"/>
      <c r="AA458" s="59"/>
      <c r="AB458" s="57"/>
    </row>
    <row r="459" spans="1:28" s="1" customFormat="1" ht="33" customHeight="1" x14ac:dyDescent="0.3">
      <c r="A459" s="16">
        <v>14</v>
      </c>
      <c r="B459" s="23">
        <v>18</v>
      </c>
      <c r="C459" s="27" t="str">
        <f t="shared" si="17"/>
        <v>14.18</v>
      </c>
      <c r="D459" s="18" t="s">
        <v>925</v>
      </c>
      <c r="E459" s="64" t="str">
        <f>IF(ISBLANK(D459)=TRUE,"",VLOOKUP(D459,Krav!$C:$F,4,FALSE))</f>
        <v>10.a.1.1.1.55 - Hvis SRBDato ikke er valgt: Regel R0071 deaktiveres</v>
      </c>
      <c r="F459" s="53" t="s">
        <v>226</v>
      </c>
      <c r="G459" s="53" t="s">
        <v>308</v>
      </c>
      <c r="H459" s="25" t="s">
        <v>1321</v>
      </c>
      <c r="I459" s="65" t="s">
        <v>241</v>
      </c>
      <c r="J459" s="67" t="s">
        <v>222</v>
      </c>
      <c r="K459" s="123" t="s">
        <v>222</v>
      </c>
      <c r="L459" s="20" t="s">
        <v>3</v>
      </c>
      <c r="M459" s="124" t="s">
        <v>129</v>
      </c>
      <c r="N459" s="61" t="s">
        <v>131</v>
      </c>
      <c r="O459" s="61" t="s">
        <v>131</v>
      </c>
      <c r="P459" s="61" t="s">
        <v>131</v>
      </c>
      <c r="Q459" s="61" t="s">
        <v>131</v>
      </c>
      <c r="R459" s="61" t="s">
        <v>131</v>
      </c>
      <c r="S459" s="59" t="s">
        <v>295</v>
      </c>
      <c r="T459" s="59" t="s">
        <v>26</v>
      </c>
      <c r="U459" s="59"/>
      <c r="V459" s="59"/>
      <c r="W459" s="59"/>
      <c r="X459" s="59" t="s">
        <v>1298</v>
      </c>
      <c r="Y459" s="59" t="s">
        <v>5</v>
      </c>
      <c r="Z459" s="59"/>
      <c r="AA459" s="59"/>
      <c r="AB459" s="57"/>
    </row>
    <row r="460" spans="1:28" s="1" customFormat="1" ht="33" customHeight="1" x14ac:dyDescent="0.3">
      <c r="A460" s="16">
        <v>14</v>
      </c>
      <c r="B460" s="23">
        <v>19</v>
      </c>
      <c r="C460" s="27" t="str">
        <f t="shared" si="17"/>
        <v>14.19</v>
      </c>
      <c r="D460" s="18" t="s">
        <v>885</v>
      </c>
      <c r="E460" s="64" t="str">
        <f>IF(ISBLANK(D460)=TRUE,"",VLOOKUP(D460,Krav!$C:$F,4,FALSE))</f>
        <v>10.a.1.1.1.35 - Hvis stiftelsesdato ikke er valgt: Regel R0051 deaktiveres</v>
      </c>
      <c r="F460" s="53" t="s">
        <v>226</v>
      </c>
      <c r="G460" s="53" t="s">
        <v>308</v>
      </c>
      <c r="H460" s="25" t="s">
        <v>1320</v>
      </c>
      <c r="I460" s="65" t="s">
        <v>241</v>
      </c>
      <c r="J460" s="67" t="s">
        <v>222</v>
      </c>
      <c r="K460" s="123" t="s">
        <v>222</v>
      </c>
      <c r="L460" s="20" t="s">
        <v>3</v>
      </c>
      <c r="M460" s="124" t="s">
        <v>129</v>
      </c>
      <c r="N460" s="61" t="s">
        <v>131</v>
      </c>
      <c r="O460" s="61" t="s">
        <v>131</v>
      </c>
      <c r="P460" s="61" t="s">
        <v>131</v>
      </c>
      <c r="Q460" s="61" t="s">
        <v>131</v>
      </c>
      <c r="R460" s="61" t="s">
        <v>131</v>
      </c>
      <c r="S460" s="59" t="s">
        <v>295</v>
      </c>
      <c r="T460" s="59" t="s">
        <v>26</v>
      </c>
      <c r="U460" s="59"/>
      <c r="V460" s="59"/>
      <c r="W460" s="59"/>
      <c r="X460" s="59" t="s">
        <v>1299</v>
      </c>
      <c r="Y460" s="59" t="s">
        <v>5</v>
      </c>
      <c r="Z460" s="59"/>
      <c r="AA460" s="59"/>
      <c r="AB460" s="57"/>
    </row>
    <row r="461" spans="1:28" s="1" customFormat="1" ht="33" customHeight="1" x14ac:dyDescent="0.3">
      <c r="A461" s="16">
        <v>14</v>
      </c>
      <c r="B461" s="23">
        <v>20</v>
      </c>
      <c r="C461" s="27" t="str">
        <f t="shared" si="17"/>
        <v>14.20</v>
      </c>
      <c r="D461" s="18" t="s">
        <v>887</v>
      </c>
      <c r="E461" s="64" t="str">
        <f>IF(ISBLANK(D461)=TRUE,"",VLOOKUP(D461,Krav!$C:$F,4,FALSE))</f>
        <v>10.a.1.1.1.36 - Hvis stiftelsesdato ikke er valgt: Regel R0052 deaktiveres</v>
      </c>
      <c r="F461" s="53" t="s">
        <v>226</v>
      </c>
      <c r="G461" s="53" t="s">
        <v>308</v>
      </c>
      <c r="H461" s="25" t="s">
        <v>1320</v>
      </c>
      <c r="I461" s="65" t="s">
        <v>241</v>
      </c>
      <c r="J461" s="67" t="s">
        <v>222</v>
      </c>
      <c r="K461" s="123" t="s">
        <v>222</v>
      </c>
      <c r="L461" s="20" t="s">
        <v>3</v>
      </c>
      <c r="M461" s="124" t="s">
        <v>129</v>
      </c>
      <c r="N461" s="61" t="s">
        <v>131</v>
      </c>
      <c r="O461" s="61" t="s">
        <v>131</v>
      </c>
      <c r="P461" s="61" t="s">
        <v>131</v>
      </c>
      <c r="Q461" s="61" t="s">
        <v>131</v>
      </c>
      <c r="R461" s="61" t="s">
        <v>131</v>
      </c>
      <c r="S461" s="59" t="s">
        <v>295</v>
      </c>
      <c r="T461" s="59" t="s">
        <v>26</v>
      </c>
      <c r="U461" s="59"/>
      <c r="V461" s="59"/>
      <c r="W461" s="59"/>
      <c r="X461" s="59" t="s">
        <v>1300</v>
      </c>
      <c r="Y461" s="59" t="s">
        <v>5</v>
      </c>
      <c r="Z461" s="59"/>
      <c r="AA461" s="59"/>
      <c r="AB461" s="57"/>
    </row>
    <row r="462" spans="1:28" s="1" customFormat="1" ht="33" customHeight="1" x14ac:dyDescent="0.3">
      <c r="A462" s="16">
        <v>14</v>
      </c>
      <c r="B462" s="23">
        <v>21</v>
      </c>
      <c r="C462" s="27" t="str">
        <f t="shared" si="17"/>
        <v>14.21</v>
      </c>
      <c r="D462" s="18" t="s">
        <v>889</v>
      </c>
      <c r="E462" s="64" t="str">
        <f>IF(ISBLANK(D462)=TRUE,"",VLOOKUP(D462,Krav!$C:$F,4,FALSE))</f>
        <v>10.a.1.1.1.37 - Hvis stiftelsesdato ikke er valgt: Regel R0053 deaktiveres</v>
      </c>
      <c r="F462" s="53" t="s">
        <v>226</v>
      </c>
      <c r="G462" s="53" t="s">
        <v>308</v>
      </c>
      <c r="H462" s="25" t="s">
        <v>1320</v>
      </c>
      <c r="I462" s="65" t="s">
        <v>241</v>
      </c>
      <c r="J462" s="67" t="s">
        <v>222</v>
      </c>
      <c r="K462" s="123" t="s">
        <v>222</v>
      </c>
      <c r="L462" s="20" t="s">
        <v>3</v>
      </c>
      <c r="M462" s="124" t="s">
        <v>129</v>
      </c>
      <c r="N462" s="61" t="s">
        <v>131</v>
      </c>
      <c r="O462" s="61" t="s">
        <v>131</v>
      </c>
      <c r="P462" s="61" t="s">
        <v>131</v>
      </c>
      <c r="Q462" s="61" t="s">
        <v>131</v>
      </c>
      <c r="R462" s="61" t="s">
        <v>131</v>
      </c>
      <c r="S462" s="59" t="s">
        <v>295</v>
      </c>
      <c r="T462" s="59" t="s">
        <v>26</v>
      </c>
      <c r="U462" s="59"/>
      <c r="V462" s="59"/>
      <c r="W462" s="59"/>
      <c r="X462" s="59" t="s">
        <v>1301</v>
      </c>
      <c r="Y462" s="59" t="s">
        <v>5</v>
      </c>
      <c r="Z462" s="59"/>
      <c r="AA462" s="59"/>
      <c r="AB462" s="57"/>
    </row>
    <row r="463" spans="1:28" s="1" customFormat="1" ht="33" customHeight="1" x14ac:dyDescent="0.3">
      <c r="A463" s="16">
        <v>14</v>
      </c>
      <c r="B463" s="23">
        <v>22</v>
      </c>
      <c r="C463" s="27" t="str">
        <f t="shared" si="17"/>
        <v>14.22</v>
      </c>
      <c r="D463" s="18" t="s">
        <v>891</v>
      </c>
      <c r="E463" s="64" t="str">
        <f>IF(ISBLANK(D463)=TRUE,"",VLOOKUP(D463,Krav!$C:$F,4,FALSE))</f>
        <v>10.a.1.1.1.38 - Hvis stiftelsesdato ikke er valgt: Regel R0054 deaktiveres</v>
      </c>
      <c r="F463" s="53" t="s">
        <v>226</v>
      </c>
      <c r="G463" s="53" t="s">
        <v>308</v>
      </c>
      <c r="H463" s="25" t="s">
        <v>1320</v>
      </c>
      <c r="I463" s="65" t="s">
        <v>241</v>
      </c>
      <c r="J463" s="67" t="s">
        <v>222</v>
      </c>
      <c r="K463" s="123" t="s">
        <v>222</v>
      </c>
      <c r="L463" s="20" t="s">
        <v>3</v>
      </c>
      <c r="M463" s="124" t="s">
        <v>129</v>
      </c>
      <c r="N463" s="61" t="s">
        <v>131</v>
      </c>
      <c r="O463" s="61" t="s">
        <v>131</v>
      </c>
      <c r="P463" s="61" t="s">
        <v>131</v>
      </c>
      <c r="Q463" s="61" t="s">
        <v>131</v>
      </c>
      <c r="R463" s="61" t="s">
        <v>131</v>
      </c>
      <c r="S463" s="59" t="s">
        <v>295</v>
      </c>
      <c r="T463" s="59" t="s">
        <v>26</v>
      </c>
      <c r="U463" s="59"/>
      <c r="V463" s="59"/>
      <c r="W463" s="59"/>
      <c r="X463" s="59" t="s">
        <v>1302</v>
      </c>
      <c r="Y463" s="59" t="s">
        <v>5</v>
      </c>
      <c r="Z463" s="59"/>
      <c r="AA463" s="59"/>
      <c r="AB463" s="57"/>
    </row>
    <row r="464" spans="1:28" s="1" customFormat="1" ht="33" customHeight="1" x14ac:dyDescent="0.3">
      <c r="A464" s="16">
        <v>14</v>
      </c>
      <c r="B464" s="23">
        <v>23</v>
      </c>
      <c r="C464" s="27" t="str">
        <f t="shared" si="17"/>
        <v>14.23</v>
      </c>
      <c r="D464" s="18" t="s">
        <v>919</v>
      </c>
      <c r="E464" s="64" t="str">
        <f>IF(ISBLANK(D464)=TRUE,"",VLOOKUP(D464,Krav!$C:$F,4,FALSE))</f>
        <v>10.a.1.1.1.52 - Hvis StiftelsesDato ikke er valgt: Regel R0068 deaktiveres</v>
      </c>
      <c r="F464" s="53" t="s">
        <v>226</v>
      </c>
      <c r="G464" s="53" t="s">
        <v>308</v>
      </c>
      <c r="H464" s="25" t="s">
        <v>1320</v>
      </c>
      <c r="I464" s="65" t="s">
        <v>241</v>
      </c>
      <c r="J464" s="67" t="s">
        <v>222</v>
      </c>
      <c r="K464" s="123" t="s">
        <v>222</v>
      </c>
      <c r="L464" s="20" t="s">
        <v>3</v>
      </c>
      <c r="M464" s="124" t="s">
        <v>129</v>
      </c>
      <c r="N464" s="61" t="s">
        <v>131</v>
      </c>
      <c r="O464" s="61" t="s">
        <v>131</v>
      </c>
      <c r="P464" s="61" t="s">
        <v>131</v>
      </c>
      <c r="Q464" s="61" t="s">
        <v>131</v>
      </c>
      <c r="R464" s="61" t="s">
        <v>131</v>
      </c>
      <c r="S464" s="59" t="s">
        <v>295</v>
      </c>
      <c r="T464" s="59" t="s">
        <v>26</v>
      </c>
      <c r="U464" s="59"/>
      <c r="V464" s="59"/>
      <c r="W464" s="59"/>
      <c r="X464" s="59" t="s">
        <v>1303</v>
      </c>
      <c r="Y464" s="59" t="s">
        <v>5</v>
      </c>
      <c r="Z464" s="59"/>
      <c r="AA464" s="59"/>
      <c r="AB464" s="57"/>
    </row>
    <row r="465" spans="1:28" s="1" customFormat="1" ht="33" customHeight="1" x14ac:dyDescent="0.3">
      <c r="A465" s="16">
        <v>14</v>
      </c>
      <c r="B465" s="23">
        <v>24</v>
      </c>
      <c r="C465" s="27" t="str">
        <f t="shared" si="17"/>
        <v>14.24</v>
      </c>
      <c r="D465" s="18" t="s">
        <v>893</v>
      </c>
      <c r="E465" s="64" t="str">
        <f>IF(ISBLANK(D465)=TRUE,"",VLOOKUP(D465,Krav!$C:$F,4,FALSE))</f>
        <v>10.a.1.1.1.39 - Hvis FordringsStartDato ikke er valgt: Regel R0055 deaktiveres</v>
      </c>
      <c r="F465" s="53" t="s">
        <v>226</v>
      </c>
      <c r="G465" s="53" t="s">
        <v>308</v>
      </c>
      <c r="H465" s="25" t="s">
        <v>1319</v>
      </c>
      <c r="I465" s="65" t="s">
        <v>241</v>
      </c>
      <c r="J465" s="67" t="s">
        <v>222</v>
      </c>
      <c r="K465" s="123" t="s">
        <v>222</v>
      </c>
      <c r="L465" s="20" t="s">
        <v>3</v>
      </c>
      <c r="M465" s="124" t="s">
        <v>129</v>
      </c>
      <c r="N465" s="61" t="s">
        <v>131</v>
      </c>
      <c r="O465" s="61" t="s">
        <v>131</v>
      </c>
      <c r="P465" s="61" t="s">
        <v>131</v>
      </c>
      <c r="Q465" s="61" t="s">
        <v>131</v>
      </c>
      <c r="R465" s="61" t="s">
        <v>131</v>
      </c>
      <c r="S465" s="59" t="s">
        <v>295</v>
      </c>
      <c r="T465" s="59" t="s">
        <v>26</v>
      </c>
      <c r="U465" s="59"/>
      <c r="V465" s="59"/>
      <c r="W465" s="59"/>
      <c r="X465" s="59" t="s">
        <v>1308</v>
      </c>
      <c r="Y465" s="59" t="s">
        <v>5</v>
      </c>
      <c r="Z465" s="59"/>
      <c r="AA465" s="59"/>
      <c r="AB465" s="57"/>
    </row>
    <row r="466" spans="1:28" s="1" customFormat="1" ht="33" customHeight="1" x14ac:dyDescent="0.3">
      <c r="A466" s="16">
        <v>14</v>
      </c>
      <c r="B466" s="23">
        <v>25</v>
      </c>
      <c r="C466" s="27" t="str">
        <f t="shared" si="17"/>
        <v>14.25</v>
      </c>
      <c r="D466" s="18" t="s">
        <v>895</v>
      </c>
      <c r="E466" s="64" t="str">
        <f>IF(ISBLANK(D466)=TRUE,"",VLOOKUP(D466,Krav!$C:$F,4,FALSE))</f>
        <v>10.a.1.1.1.40 - Hvis FordringsStartDato ikke er valgt: Regel R0056 deaktiveres</v>
      </c>
      <c r="F466" s="53" t="s">
        <v>226</v>
      </c>
      <c r="G466" s="53" t="s">
        <v>308</v>
      </c>
      <c r="H466" s="25" t="s">
        <v>1319</v>
      </c>
      <c r="I466" s="65" t="s">
        <v>241</v>
      </c>
      <c r="J466" s="67" t="s">
        <v>222</v>
      </c>
      <c r="K466" s="123" t="s">
        <v>222</v>
      </c>
      <c r="L466" s="20" t="s">
        <v>3</v>
      </c>
      <c r="M466" s="124" t="s">
        <v>129</v>
      </c>
      <c r="N466" s="61" t="s">
        <v>131</v>
      </c>
      <c r="O466" s="61" t="s">
        <v>131</v>
      </c>
      <c r="P466" s="61" t="s">
        <v>131</v>
      </c>
      <c r="Q466" s="61" t="s">
        <v>131</v>
      </c>
      <c r="R466" s="61" t="s">
        <v>131</v>
      </c>
      <c r="S466" s="59" t="s">
        <v>295</v>
      </c>
      <c r="T466" s="59" t="s">
        <v>26</v>
      </c>
      <c r="U466" s="59"/>
      <c r="V466" s="59"/>
      <c r="W466" s="59"/>
      <c r="X466" s="59" t="s">
        <v>1309</v>
      </c>
      <c r="Y466" s="59" t="s">
        <v>5</v>
      </c>
      <c r="Z466" s="59"/>
      <c r="AA466" s="59"/>
      <c r="AB466" s="57"/>
    </row>
    <row r="467" spans="1:28" s="1" customFormat="1" ht="33" customHeight="1" x14ac:dyDescent="0.3">
      <c r="A467" s="16">
        <v>14</v>
      </c>
      <c r="B467" s="23">
        <v>26</v>
      </c>
      <c r="C467" s="27" t="str">
        <f t="shared" si="17"/>
        <v>14.26</v>
      </c>
      <c r="D467" s="18" t="s">
        <v>897</v>
      </c>
      <c r="E467" s="64" t="str">
        <f>IF(ISBLANK(D467)=TRUE,"",VLOOKUP(D467,Krav!$C:$F,4,FALSE))</f>
        <v>10.a.1.1.1.41 - Hvis FordringsStartDato ikke er valgt: Regel R0057 deaktiveres</v>
      </c>
      <c r="F467" s="53" t="s">
        <v>226</v>
      </c>
      <c r="G467" s="53" t="s">
        <v>308</v>
      </c>
      <c r="H467" s="25" t="s">
        <v>1319</v>
      </c>
      <c r="I467" s="65" t="s">
        <v>241</v>
      </c>
      <c r="J467" s="67" t="s">
        <v>222</v>
      </c>
      <c r="K467" s="123" t="s">
        <v>222</v>
      </c>
      <c r="L467" s="20" t="s">
        <v>3</v>
      </c>
      <c r="M467" s="124" t="s">
        <v>129</v>
      </c>
      <c r="N467" s="61" t="s">
        <v>131</v>
      </c>
      <c r="O467" s="61" t="s">
        <v>131</v>
      </c>
      <c r="P467" s="61" t="s">
        <v>131</v>
      </c>
      <c r="Q467" s="61" t="s">
        <v>131</v>
      </c>
      <c r="R467" s="61" t="s">
        <v>131</v>
      </c>
      <c r="S467" s="59" t="s">
        <v>295</v>
      </c>
      <c r="T467" s="59" t="s">
        <v>26</v>
      </c>
      <c r="U467" s="59"/>
      <c r="V467" s="59"/>
      <c r="W467" s="59"/>
      <c r="X467" s="59" t="s">
        <v>1310</v>
      </c>
      <c r="Y467" s="59" t="s">
        <v>5</v>
      </c>
      <c r="Z467" s="59"/>
      <c r="AA467" s="59"/>
      <c r="AB467" s="57"/>
    </row>
    <row r="468" spans="1:28" s="1" customFormat="1" ht="33" customHeight="1" x14ac:dyDescent="0.3">
      <c r="A468" s="16">
        <v>14</v>
      </c>
      <c r="B468" s="23">
        <v>27</v>
      </c>
      <c r="C468" s="27" t="str">
        <f t="shared" si="17"/>
        <v>14.27</v>
      </c>
      <c r="D468" s="18" t="s">
        <v>899</v>
      </c>
      <c r="E468" s="64" t="str">
        <f>IF(ISBLANK(D468)=TRUE,"",VLOOKUP(D468,Krav!$C:$F,4,FALSE))</f>
        <v>10.a.1.1.1.42 - Hvis FordringsStartDato ikke er valgt: Regel R0058 deaktiveres</v>
      </c>
      <c r="F468" s="53" t="s">
        <v>226</v>
      </c>
      <c r="G468" s="53" t="s">
        <v>308</v>
      </c>
      <c r="H468" s="25" t="s">
        <v>1319</v>
      </c>
      <c r="I468" s="65" t="s">
        <v>241</v>
      </c>
      <c r="J468" s="67" t="s">
        <v>222</v>
      </c>
      <c r="K468" s="123" t="s">
        <v>222</v>
      </c>
      <c r="L468" s="20" t="s">
        <v>3</v>
      </c>
      <c r="M468" s="124" t="s">
        <v>129</v>
      </c>
      <c r="N468" s="61" t="s">
        <v>131</v>
      </c>
      <c r="O468" s="61" t="s">
        <v>131</v>
      </c>
      <c r="P468" s="61" t="s">
        <v>131</v>
      </c>
      <c r="Q468" s="61" t="s">
        <v>131</v>
      </c>
      <c r="R468" s="61" t="s">
        <v>131</v>
      </c>
      <c r="S468" s="59" t="s">
        <v>295</v>
      </c>
      <c r="T468" s="59" t="s">
        <v>26</v>
      </c>
      <c r="U468" s="59"/>
      <c r="V468" s="59"/>
      <c r="W468" s="59"/>
      <c r="X468" s="59" t="s">
        <v>1311</v>
      </c>
      <c r="Y468" s="59" t="s">
        <v>5</v>
      </c>
      <c r="Z468" s="59"/>
      <c r="AA468" s="59"/>
      <c r="AB468" s="57"/>
    </row>
    <row r="469" spans="1:28" s="1" customFormat="1" ht="33" customHeight="1" x14ac:dyDescent="0.3">
      <c r="A469" s="16">
        <v>14</v>
      </c>
      <c r="B469" s="23">
        <v>28</v>
      </c>
      <c r="C469" s="27" t="str">
        <f t="shared" si="17"/>
        <v>14.28</v>
      </c>
      <c r="D469" s="18" t="s">
        <v>921</v>
      </c>
      <c r="E469" s="64" t="str">
        <f>IF(ISBLANK(D469)=TRUE,"",VLOOKUP(D469,Krav!$C:$F,4,FALSE))</f>
        <v>10.a.1.1.1.53 - Hvis FordringsStartDato ikke er valgt: Regel R0069 deaktiveres</v>
      </c>
      <c r="F469" s="53" t="s">
        <v>226</v>
      </c>
      <c r="G469" s="53" t="s">
        <v>308</v>
      </c>
      <c r="H469" s="25" t="s">
        <v>1319</v>
      </c>
      <c r="I469" s="65" t="s">
        <v>241</v>
      </c>
      <c r="J469" s="67" t="s">
        <v>222</v>
      </c>
      <c r="K469" s="123" t="s">
        <v>222</v>
      </c>
      <c r="L469" s="20" t="s">
        <v>3</v>
      </c>
      <c r="M469" s="124" t="s">
        <v>129</v>
      </c>
      <c r="N469" s="61" t="s">
        <v>131</v>
      </c>
      <c r="O469" s="61" t="s">
        <v>131</v>
      </c>
      <c r="P469" s="61" t="s">
        <v>131</v>
      </c>
      <c r="Q469" s="61" t="s">
        <v>131</v>
      </c>
      <c r="R469" s="61" t="s">
        <v>131</v>
      </c>
      <c r="S469" s="59" t="s">
        <v>295</v>
      </c>
      <c r="T469" s="59" t="s">
        <v>26</v>
      </c>
      <c r="U469" s="59"/>
      <c r="V469" s="59"/>
      <c r="W469" s="59"/>
      <c r="X469" s="59" t="s">
        <v>1312</v>
      </c>
      <c r="Y469" s="59" t="s">
        <v>5</v>
      </c>
      <c r="Z469" s="59"/>
      <c r="AA469" s="59"/>
      <c r="AB469" s="57"/>
    </row>
    <row r="470" spans="1:28" s="1" customFormat="1" ht="33" customHeight="1" x14ac:dyDescent="0.3">
      <c r="A470" s="16">
        <v>14</v>
      </c>
      <c r="B470" s="23">
        <v>29</v>
      </c>
      <c r="C470" s="27" t="str">
        <f t="shared" si="17"/>
        <v>14.29</v>
      </c>
      <c r="D470" s="18" t="s">
        <v>901</v>
      </c>
      <c r="E470" s="64" t="str">
        <f>IF(ISBLANK(D470)=TRUE,"",VLOOKUP(D470,Krav!$C:$F,4,FALSE))</f>
        <v>10.a.1.1.1.43 - Hvis FordringsSlutDato ikke er valgt: Regel R0059 deaktiveres</v>
      </c>
      <c r="F470" s="53" t="s">
        <v>226</v>
      </c>
      <c r="G470" s="53" t="s">
        <v>308</v>
      </c>
      <c r="H470" s="25" t="s">
        <v>1318</v>
      </c>
      <c r="I470" s="65" t="s">
        <v>241</v>
      </c>
      <c r="J470" s="67" t="s">
        <v>222</v>
      </c>
      <c r="K470" s="123" t="s">
        <v>222</v>
      </c>
      <c r="L470" s="20" t="s">
        <v>3</v>
      </c>
      <c r="M470" s="124" t="s">
        <v>129</v>
      </c>
      <c r="N470" s="61" t="s">
        <v>131</v>
      </c>
      <c r="O470" s="61" t="s">
        <v>131</v>
      </c>
      <c r="P470" s="61" t="s">
        <v>131</v>
      </c>
      <c r="Q470" s="61" t="s">
        <v>131</v>
      </c>
      <c r="R470" s="61" t="s">
        <v>131</v>
      </c>
      <c r="S470" s="59" t="s">
        <v>295</v>
      </c>
      <c r="T470" s="59" t="s">
        <v>26</v>
      </c>
      <c r="U470" s="59"/>
      <c r="V470" s="59"/>
      <c r="W470" s="59"/>
      <c r="X470" s="59" t="s">
        <v>1314</v>
      </c>
      <c r="Y470" s="59" t="s">
        <v>5</v>
      </c>
      <c r="Z470" s="59"/>
      <c r="AA470" s="59"/>
      <c r="AB470" s="57"/>
    </row>
    <row r="471" spans="1:28" s="1" customFormat="1" ht="33" customHeight="1" x14ac:dyDescent="0.3">
      <c r="A471" s="16">
        <v>14</v>
      </c>
      <c r="B471" s="23">
        <v>30</v>
      </c>
      <c r="C471" s="27" t="str">
        <f t="shared" si="17"/>
        <v>14.30</v>
      </c>
      <c r="D471" s="18" t="s">
        <v>903</v>
      </c>
      <c r="E471" s="64" t="str">
        <f>IF(ISBLANK(D471)=TRUE,"",VLOOKUP(D471,Krav!$C:$F,4,FALSE))</f>
        <v>10.a.1.1.1.44 - Hvis FordringsSlutDato ikke er valgt: Regel R0060 deaktiveres</v>
      </c>
      <c r="F471" s="53" t="s">
        <v>226</v>
      </c>
      <c r="G471" s="53" t="s">
        <v>308</v>
      </c>
      <c r="H471" s="25" t="s">
        <v>1318</v>
      </c>
      <c r="I471" s="65" t="s">
        <v>241</v>
      </c>
      <c r="J471" s="67" t="s">
        <v>222</v>
      </c>
      <c r="K471" s="123" t="s">
        <v>222</v>
      </c>
      <c r="L471" s="20" t="s">
        <v>3</v>
      </c>
      <c r="M471" s="124" t="s">
        <v>129</v>
      </c>
      <c r="N471" s="61" t="s">
        <v>131</v>
      </c>
      <c r="O471" s="61" t="s">
        <v>131</v>
      </c>
      <c r="P471" s="61" t="s">
        <v>131</v>
      </c>
      <c r="Q471" s="61" t="s">
        <v>131</v>
      </c>
      <c r="R471" s="61" t="s">
        <v>131</v>
      </c>
      <c r="S471" s="59" t="s">
        <v>295</v>
      </c>
      <c r="T471" s="59" t="s">
        <v>26</v>
      </c>
      <c r="U471" s="59"/>
      <c r="V471" s="59"/>
      <c r="W471" s="59"/>
      <c r="X471" s="59" t="s">
        <v>1315</v>
      </c>
      <c r="Y471" s="59" t="s">
        <v>5</v>
      </c>
      <c r="Z471" s="59"/>
      <c r="AA471" s="59"/>
      <c r="AB471" s="57"/>
    </row>
    <row r="472" spans="1:28" s="1" customFormat="1" ht="33" customHeight="1" x14ac:dyDescent="0.3">
      <c r="A472" s="16">
        <v>14</v>
      </c>
      <c r="B472" s="23">
        <v>31</v>
      </c>
      <c r="C472" s="27" t="str">
        <f t="shared" si="17"/>
        <v>14.31</v>
      </c>
      <c r="D472" s="18" t="s">
        <v>905</v>
      </c>
      <c r="E472" s="64" t="str">
        <f>IF(ISBLANK(D472)=TRUE,"",VLOOKUP(D472,Krav!$C:$F,4,FALSE))</f>
        <v>10.a.1.1.1.45 - Hvis FordringsSlutDato ikke er valgt: Regel R0061 deaktiveres</v>
      </c>
      <c r="F472" s="53" t="s">
        <v>226</v>
      </c>
      <c r="G472" s="53" t="s">
        <v>308</v>
      </c>
      <c r="H472" s="25" t="s">
        <v>1318</v>
      </c>
      <c r="I472" s="65" t="s">
        <v>241</v>
      </c>
      <c r="J472" s="67" t="s">
        <v>222</v>
      </c>
      <c r="K472" s="123" t="s">
        <v>222</v>
      </c>
      <c r="L472" s="20" t="s">
        <v>3</v>
      </c>
      <c r="M472" s="124" t="s">
        <v>129</v>
      </c>
      <c r="N472" s="61" t="s">
        <v>131</v>
      </c>
      <c r="O472" s="61" t="s">
        <v>131</v>
      </c>
      <c r="P472" s="61" t="s">
        <v>131</v>
      </c>
      <c r="Q472" s="61" t="s">
        <v>131</v>
      </c>
      <c r="R472" s="61" t="s">
        <v>131</v>
      </c>
      <c r="S472" s="59" t="s">
        <v>295</v>
      </c>
      <c r="T472" s="59" t="s">
        <v>26</v>
      </c>
      <c r="U472" s="59"/>
      <c r="V472" s="59"/>
      <c r="W472" s="59"/>
      <c r="X472" s="59" t="s">
        <v>1316</v>
      </c>
      <c r="Y472" s="59" t="s">
        <v>5</v>
      </c>
      <c r="Z472" s="59"/>
      <c r="AA472" s="59"/>
      <c r="AB472" s="57"/>
    </row>
    <row r="473" spans="1:28" s="1" customFormat="1" ht="33" customHeight="1" x14ac:dyDescent="0.3">
      <c r="A473" s="16">
        <v>14</v>
      </c>
      <c r="B473" s="23">
        <v>32</v>
      </c>
      <c r="C473" s="27" t="str">
        <f t="shared" si="17"/>
        <v>14.32</v>
      </c>
      <c r="D473" s="18" t="s">
        <v>907</v>
      </c>
      <c r="E473" s="64" t="str">
        <f>IF(ISBLANK(D473)=TRUE,"",VLOOKUP(D473,Krav!$C:$F,4,FALSE))</f>
        <v>10.a.1.1.1.46 - Hvis FordringsSlutDato ikke er valgt: Regel R0062 deaktiveres</v>
      </c>
      <c r="F473" s="53" t="s">
        <v>226</v>
      </c>
      <c r="G473" s="53" t="s">
        <v>308</v>
      </c>
      <c r="H473" s="25" t="s">
        <v>1318</v>
      </c>
      <c r="I473" s="65" t="s">
        <v>241</v>
      </c>
      <c r="J473" s="67" t="s">
        <v>222</v>
      </c>
      <c r="K473" s="123" t="s">
        <v>222</v>
      </c>
      <c r="L473" s="20" t="s">
        <v>3</v>
      </c>
      <c r="M473" s="124" t="s">
        <v>129</v>
      </c>
      <c r="N473" s="61" t="s">
        <v>131</v>
      </c>
      <c r="O473" s="61" t="s">
        <v>131</v>
      </c>
      <c r="P473" s="61" t="s">
        <v>131</v>
      </c>
      <c r="Q473" s="61" t="s">
        <v>131</v>
      </c>
      <c r="R473" s="61" t="s">
        <v>131</v>
      </c>
      <c r="S473" s="59" t="s">
        <v>295</v>
      </c>
      <c r="T473" s="59" t="s">
        <v>26</v>
      </c>
      <c r="U473" s="59"/>
      <c r="V473" s="59"/>
      <c r="W473" s="59"/>
      <c r="X473" s="59" t="s">
        <v>1317</v>
      </c>
      <c r="Y473" s="59" t="s">
        <v>5</v>
      </c>
      <c r="Z473" s="59"/>
      <c r="AA473" s="59"/>
      <c r="AB473" s="57"/>
    </row>
    <row r="474" spans="1:28" s="1" customFormat="1" ht="33" customHeight="1" x14ac:dyDescent="0.3">
      <c r="A474" s="16">
        <v>14</v>
      </c>
      <c r="B474" s="23">
        <v>33</v>
      </c>
      <c r="C474" s="27" t="str">
        <f t="shared" si="17"/>
        <v>14.33</v>
      </c>
      <c r="D474" s="18" t="s">
        <v>923</v>
      </c>
      <c r="E474" s="64" t="str">
        <f>IF(ISBLANK(D474)=TRUE,"",VLOOKUP(D474,Krav!$C:$F,4,FALSE))</f>
        <v>10.a.1.1.1.54 - Hvis FordringsSlutDato ikke er valgt: Regel R0070 deaktiveres</v>
      </c>
      <c r="F474" s="53" t="s">
        <v>226</v>
      </c>
      <c r="G474" s="53" t="s">
        <v>308</v>
      </c>
      <c r="H474" s="25" t="s">
        <v>1318</v>
      </c>
      <c r="I474" s="65" t="s">
        <v>241</v>
      </c>
      <c r="J474" s="67" t="s">
        <v>222</v>
      </c>
      <c r="K474" s="123" t="s">
        <v>222</v>
      </c>
      <c r="L474" s="20" t="s">
        <v>3</v>
      </c>
      <c r="M474" s="124" t="s">
        <v>129</v>
      </c>
      <c r="N474" s="61" t="s">
        <v>131</v>
      </c>
      <c r="O474" s="61" t="s">
        <v>131</v>
      </c>
      <c r="P474" s="61" t="s">
        <v>131</v>
      </c>
      <c r="Q474" s="61" t="s">
        <v>131</v>
      </c>
      <c r="R474" s="61" t="s">
        <v>131</v>
      </c>
      <c r="S474" s="59" t="s">
        <v>295</v>
      </c>
      <c r="T474" s="59" t="s">
        <v>26</v>
      </c>
      <c r="U474" s="59"/>
      <c r="V474" s="59"/>
      <c r="W474" s="59"/>
      <c r="X474" s="59" t="s">
        <v>1313</v>
      </c>
      <c r="Y474" s="59" t="s">
        <v>5</v>
      </c>
      <c r="Z474" s="59"/>
      <c r="AA474" s="59"/>
      <c r="AB474" s="57"/>
    </row>
    <row r="475" spans="1:28" s="1" customFormat="1" ht="33" customHeight="1" x14ac:dyDescent="0.3">
      <c r="A475" s="16">
        <v>14</v>
      </c>
      <c r="B475" s="23">
        <v>34</v>
      </c>
      <c r="C475" s="27" t="str">
        <f t="shared" si="17"/>
        <v>14.34</v>
      </c>
      <c r="D475" s="18" t="s">
        <v>547</v>
      </c>
      <c r="E475" s="64" t="str">
        <f>IF(ISBLANK(D475)=TRUE,"",VLOOKUP(D475,Krav!$C:$F,4,FALSE))</f>
        <v>10.6 - Såfremt brugeren vælger et eller flere af stamdatafelterne, hvor sidste rettidige betalingsdato er i blandt, skal brugeren ledes til spørgsmål 10.a via form 32</v>
      </c>
      <c r="F475" s="53" t="s">
        <v>143</v>
      </c>
      <c r="G475" s="19"/>
      <c r="H475" s="25" t="s">
        <v>548</v>
      </c>
      <c r="I475" s="65" t="s">
        <v>549</v>
      </c>
      <c r="J475" s="67" t="s">
        <v>222</v>
      </c>
      <c r="K475" s="123" t="s">
        <v>222</v>
      </c>
      <c r="L475" s="20" t="s">
        <v>3</v>
      </c>
      <c r="M475" s="61" t="s">
        <v>131</v>
      </c>
      <c r="N475" s="124" t="s">
        <v>129</v>
      </c>
      <c r="O475" s="61" t="s">
        <v>131</v>
      </c>
      <c r="P475" s="61" t="s">
        <v>131</v>
      </c>
      <c r="Q475" s="61" t="s">
        <v>131</v>
      </c>
      <c r="R475" s="61" t="s">
        <v>131</v>
      </c>
      <c r="S475" s="59" t="s">
        <v>295</v>
      </c>
      <c r="T475" s="59" t="s">
        <v>26</v>
      </c>
      <c r="U475" s="59"/>
      <c r="V475" s="59"/>
      <c r="W475" s="59"/>
      <c r="X475" s="59"/>
      <c r="Y475" s="59" t="s">
        <v>5</v>
      </c>
      <c r="Z475" s="59"/>
      <c r="AA475" s="59"/>
      <c r="AB475" s="57"/>
    </row>
    <row r="476" spans="1:28" s="1" customFormat="1" ht="33" customHeight="1" x14ac:dyDescent="0.3">
      <c r="A476" s="16">
        <v>14</v>
      </c>
      <c r="B476" s="23">
        <v>35</v>
      </c>
      <c r="C476" s="27" t="str">
        <f t="shared" si="17"/>
        <v>14.35</v>
      </c>
      <c r="D476" s="18"/>
      <c r="E476" s="64" t="str">
        <f>IF(ISBLANK(D476)=TRUE,"",VLOOKUP(D476,Krav!$C:$F,4,FALSE))</f>
        <v/>
      </c>
      <c r="F476" s="53" t="s">
        <v>225</v>
      </c>
      <c r="G476" s="19" t="s">
        <v>521</v>
      </c>
      <c r="H476" s="25" t="s">
        <v>535</v>
      </c>
      <c r="I476" s="65" t="s">
        <v>550</v>
      </c>
      <c r="J476" s="67" t="s">
        <v>222</v>
      </c>
      <c r="K476" s="123" t="s">
        <v>222</v>
      </c>
      <c r="L476" s="20" t="s">
        <v>3</v>
      </c>
      <c r="M476" s="61" t="s">
        <v>131</v>
      </c>
      <c r="N476" s="124" t="s">
        <v>129</v>
      </c>
      <c r="O476" s="61" t="s">
        <v>131</v>
      </c>
      <c r="P476" s="61" t="s">
        <v>131</v>
      </c>
      <c r="Q476" s="61" t="s">
        <v>131</v>
      </c>
      <c r="R476" s="61" t="s">
        <v>131</v>
      </c>
      <c r="S476" s="59" t="s">
        <v>295</v>
      </c>
      <c r="T476" s="59" t="s">
        <v>26</v>
      </c>
      <c r="U476" s="59"/>
      <c r="V476" s="59"/>
      <c r="W476" s="59"/>
      <c r="X476" s="59"/>
      <c r="Y476" s="59" t="s">
        <v>5</v>
      </c>
      <c r="Z476" s="59"/>
      <c r="AA476" s="59"/>
      <c r="AB476" s="57"/>
    </row>
    <row r="477" spans="1:28" s="1" customFormat="1" ht="33" customHeight="1" x14ac:dyDescent="0.3">
      <c r="A477" s="16">
        <v>14</v>
      </c>
      <c r="B477" s="23">
        <v>36</v>
      </c>
      <c r="C477" s="27" t="str">
        <f t="shared" si="17"/>
        <v>14.36</v>
      </c>
      <c r="D477" s="18"/>
      <c r="E477" s="64" t="str">
        <f>IF(ISBLANK(D477)=TRUE,"",VLOOKUP(D477,Krav!$C:$F,4,FALSE))</f>
        <v/>
      </c>
      <c r="F477" s="53" t="s">
        <v>225</v>
      </c>
      <c r="G477" s="19" t="s">
        <v>522</v>
      </c>
      <c r="H477" s="25" t="s">
        <v>537</v>
      </c>
      <c r="I477" s="65" t="s">
        <v>551</v>
      </c>
      <c r="J477" s="67" t="s">
        <v>222</v>
      </c>
      <c r="K477" s="123" t="s">
        <v>222</v>
      </c>
      <c r="L477" s="20" t="s">
        <v>3</v>
      </c>
      <c r="M477" s="61" t="s">
        <v>131</v>
      </c>
      <c r="N477" s="124" t="s">
        <v>129</v>
      </c>
      <c r="O477" s="61" t="s">
        <v>131</v>
      </c>
      <c r="P477" s="61" t="s">
        <v>131</v>
      </c>
      <c r="Q477" s="61" t="s">
        <v>131</v>
      </c>
      <c r="R477" s="61" t="s">
        <v>131</v>
      </c>
      <c r="S477" s="59" t="s">
        <v>295</v>
      </c>
      <c r="T477" s="59" t="s">
        <v>26</v>
      </c>
      <c r="U477" s="59"/>
      <c r="V477" s="59"/>
      <c r="W477" s="59"/>
      <c r="X477" s="59"/>
      <c r="Y477" s="59" t="s">
        <v>5</v>
      </c>
      <c r="Z477" s="59"/>
      <c r="AA477" s="59"/>
      <c r="AB477" s="57"/>
    </row>
    <row r="478" spans="1:28" s="1" customFormat="1" ht="33" customHeight="1" x14ac:dyDescent="0.3">
      <c r="A478" s="16">
        <v>14</v>
      </c>
      <c r="B478" s="23">
        <v>37</v>
      </c>
      <c r="C478" s="27" t="str">
        <f t="shared" si="17"/>
        <v>14.37</v>
      </c>
      <c r="D478" s="18"/>
      <c r="E478" s="64" t="str">
        <f>IF(ISBLANK(D478)=TRUE,"",VLOOKUP(D478,Krav!$C:$F,4,FALSE))</f>
        <v/>
      </c>
      <c r="F478" s="53" t="s">
        <v>225</v>
      </c>
      <c r="G478" s="19" t="s">
        <v>523</v>
      </c>
      <c r="H478" s="25" t="s">
        <v>539</v>
      </c>
      <c r="I478" s="65" t="s">
        <v>540</v>
      </c>
      <c r="J478" s="67" t="s">
        <v>222</v>
      </c>
      <c r="K478" s="123" t="s">
        <v>222</v>
      </c>
      <c r="L478" s="20" t="s">
        <v>3</v>
      </c>
      <c r="M478" s="61" t="s">
        <v>131</v>
      </c>
      <c r="N478" s="124" t="s">
        <v>129</v>
      </c>
      <c r="O478" s="61" t="s">
        <v>131</v>
      </c>
      <c r="P478" s="61" t="s">
        <v>131</v>
      </c>
      <c r="Q478" s="61" t="s">
        <v>131</v>
      </c>
      <c r="R478" s="61" t="s">
        <v>131</v>
      </c>
      <c r="S478" s="59" t="s">
        <v>295</v>
      </c>
      <c r="T478" s="59" t="s">
        <v>26</v>
      </c>
      <c r="U478" s="59"/>
      <c r="V478" s="59"/>
      <c r="W478" s="59"/>
      <c r="X478" s="59"/>
      <c r="Y478" s="59" t="s">
        <v>5</v>
      </c>
      <c r="Z478" s="59"/>
      <c r="AA478" s="59"/>
      <c r="AB478" s="57"/>
    </row>
    <row r="479" spans="1:28" s="1" customFormat="1" ht="33" customHeight="1" x14ac:dyDescent="0.3">
      <c r="A479" s="16">
        <v>14</v>
      </c>
      <c r="B479" s="23">
        <v>38</v>
      </c>
      <c r="C479" s="27" t="str">
        <f t="shared" si="17"/>
        <v>14.38</v>
      </c>
      <c r="D479" s="18"/>
      <c r="E479" s="64" t="str">
        <f>IF(ISBLANK(D479)=TRUE,"",VLOOKUP(D479,Krav!$C:$F,4,FALSE))</f>
        <v/>
      </c>
      <c r="F479" s="53" t="s">
        <v>225</v>
      </c>
      <c r="G479" s="19" t="s">
        <v>524</v>
      </c>
      <c r="H479" s="25" t="s">
        <v>541</v>
      </c>
      <c r="I479" s="65" t="s">
        <v>542</v>
      </c>
      <c r="J479" s="67" t="s">
        <v>222</v>
      </c>
      <c r="K479" s="123" t="s">
        <v>222</v>
      </c>
      <c r="L479" s="20" t="s">
        <v>3</v>
      </c>
      <c r="M479" s="61" t="s">
        <v>131</v>
      </c>
      <c r="N479" s="124" t="s">
        <v>129</v>
      </c>
      <c r="O479" s="61" t="s">
        <v>131</v>
      </c>
      <c r="P479" s="61" t="s">
        <v>131</v>
      </c>
      <c r="Q479" s="61" t="s">
        <v>131</v>
      </c>
      <c r="R479" s="61" t="s">
        <v>131</v>
      </c>
      <c r="S479" s="59" t="s">
        <v>295</v>
      </c>
      <c r="T479" s="59" t="s">
        <v>26</v>
      </c>
      <c r="U479" s="59"/>
      <c r="V479" s="59"/>
      <c r="W479" s="59"/>
      <c r="X479" s="59"/>
      <c r="Y479" s="59" t="s">
        <v>5</v>
      </c>
      <c r="Z479" s="59"/>
      <c r="AA479" s="59"/>
      <c r="AB479" s="57"/>
    </row>
    <row r="480" spans="1:28" s="1" customFormat="1" ht="33" customHeight="1" x14ac:dyDescent="0.3">
      <c r="A480" s="16">
        <v>14</v>
      </c>
      <c r="B480" s="23">
        <v>39</v>
      </c>
      <c r="C480" s="27" t="str">
        <f t="shared" si="17"/>
        <v>14.39</v>
      </c>
      <c r="D480" s="18"/>
      <c r="E480" s="64" t="str">
        <f>IF(ISBLANK(D480)=TRUE,"",VLOOKUP(D480,Krav!$C:$F,4,FALSE))</f>
        <v/>
      </c>
      <c r="F480" s="53" t="s">
        <v>225</v>
      </c>
      <c r="G480" s="19" t="s">
        <v>525</v>
      </c>
      <c r="H480" s="25" t="s">
        <v>543</v>
      </c>
      <c r="I480" s="65" t="s">
        <v>544</v>
      </c>
      <c r="J480" s="67" t="s">
        <v>222</v>
      </c>
      <c r="K480" s="123" t="s">
        <v>222</v>
      </c>
      <c r="L480" s="20" t="s">
        <v>3</v>
      </c>
      <c r="M480" s="61" t="s">
        <v>131</v>
      </c>
      <c r="N480" s="124" t="s">
        <v>129</v>
      </c>
      <c r="O480" s="61" t="s">
        <v>131</v>
      </c>
      <c r="P480" s="61" t="s">
        <v>131</v>
      </c>
      <c r="Q480" s="61" t="s">
        <v>131</v>
      </c>
      <c r="R480" s="61" t="s">
        <v>131</v>
      </c>
      <c r="S480" s="59" t="s">
        <v>295</v>
      </c>
      <c r="T480" s="59" t="s">
        <v>26</v>
      </c>
      <c r="U480" s="59"/>
      <c r="V480" s="59"/>
      <c r="W480" s="59"/>
      <c r="X480" s="59"/>
      <c r="Y480" s="59" t="s">
        <v>5</v>
      </c>
      <c r="Z480" s="59"/>
      <c r="AA480" s="59"/>
      <c r="AB480" s="57"/>
    </row>
    <row r="481" spans="1:28" s="1" customFormat="1" ht="33" customHeight="1" x14ac:dyDescent="0.3">
      <c r="A481" s="16">
        <v>14</v>
      </c>
      <c r="B481" s="23">
        <v>40</v>
      </c>
      <c r="C481" s="27" t="str">
        <f t="shared" si="17"/>
        <v>14.40</v>
      </c>
      <c r="D481" s="18"/>
      <c r="E481" s="64" t="str">
        <f>IF(ISBLANK(D481)=TRUE,"",VLOOKUP(D481,Krav!$C:$F,4,FALSE))</f>
        <v/>
      </c>
      <c r="F481" s="53" t="s">
        <v>225</v>
      </c>
      <c r="G481" s="19" t="s">
        <v>526</v>
      </c>
      <c r="H481" s="25" t="s">
        <v>543</v>
      </c>
      <c r="I481" s="65" t="s">
        <v>545</v>
      </c>
      <c r="J481" s="67" t="s">
        <v>222</v>
      </c>
      <c r="K481" s="123" t="s">
        <v>222</v>
      </c>
      <c r="L481" s="20" t="s">
        <v>3</v>
      </c>
      <c r="M481" s="61" t="s">
        <v>131</v>
      </c>
      <c r="N481" s="124" t="s">
        <v>129</v>
      </c>
      <c r="O481" s="61" t="s">
        <v>131</v>
      </c>
      <c r="P481" s="61" t="s">
        <v>131</v>
      </c>
      <c r="Q481" s="61" t="s">
        <v>131</v>
      </c>
      <c r="R481" s="61" t="s">
        <v>131</v>
      </c>
      <c r="S481" s="59" t="s">
        <v>295</v>
      </c>
      <c r="T481" s="59" t="s">
        <v>26</v>
      </c>
      <c r="U481" s="59"/>
      <c r="V481" s="59"/>
      <c r="W481" s="59"/>
      <c r="X481" s="59"/>
      <c r="Y481" s="59" t="s">
        <v>5</v>
      </c>
      <c r="Z481" s="59"/>
      <c r="AA481" s="59"/>
      <c r="AB481" s="57"/>
    </row>
    <row r="482" spans="1:28" s="1" customFormat="1" ht="33" customHeight="1" x14ac:dyDescent="0.3">
      <c r="A482" s="16">
        <v>14</v>
      </c>
      <c r="B482" s="23">
        <v>41</v>
      </c>
      <c r="C482" s="27" t="str">
        <f t="shared" si="17"/>
        <v>14.41</v>
      </c>
      <c r="D482" s="18"/>
      <c r="E482" s="64" t="str">
        <f>IF(ISBLANK(D482)=TRUE,"",VLOOKUP(D482,Krav!$C:$F,4,FALSE))</f>
        <v/>
      </c>
      <c r="F482" s="91" t="s">
        <v>418</v>
      </c>
      <c r="G482" s="91" t="s">
        <v>445</v>
      </c>
      <c r="H482" s="91" t="s">
        <v>552</v>
      </c>
      <c r="I482" s="91" t="s">
        <v>129</v>
      </c>
      <c r="J482" s="96" t="s">
        <v>222</v>
      </c>
      <c r="K482" s="125" t="s">
        <v>222</v>
      </c>
      <c r="L482" s="20" t="s">
        <v>3</v>
      </c>
      <c r="M482" s="61" t="s">
        <v>131</v>
      </c>
      <c r="N482" s="124" t="s">
        <v>129</v>
      </c>
      <c r="O482" s="61" t="s">
        <v>131</v>
      </c>
      <c r="P482" s="61" t="s">
        <v>131</v>
      </c>
      <c r="Q482" s="61" t="s">
        <v>131</v>
      </c>
      <c r="R482" s="61" t="s">
        <v>131</v>
      </c>
      <c r="S482" s="59" t="s">
        <v>295</v>
      </c>
      <c r="T482" s="59" t="s">
        <v>26</v>
      </c>
      <c r="U482" s="59"/>
      <c r="V482" s="59"/>
      <c r="W482" s="59"/>
      <c r="X482" s="59"/>
      <c r="Y482" s="59" t="s">
        <v>5</v>
      </c>
      <c r="Z482" s="59"/>
      <c r="AA482" s="59"/>
      <c r="AB482" s="57"/>
    </row>
    <row r="483" spans="1:28" s="1" customFormat="1" ht="33" customHeight="1" x14ac:dyDescent="0.3">
      <c r="A483" s="16">
        <v>14</v>
      </c>
      <c r="B483" s="23">
        <v>42</v>
      </c>
      <c r="C483" s="27" t="str">
        <f t="shared" si="17"/>
        <v>14.42</v>
      </c>
      <c r="D483" s="18" t="s">
        <v>877</v>
      </c>
      <c r="E483" s="64" t="str">
        <f>IF(ISBLANK(D483)=TRUE,"",VLOOKUP(D483,Krav!$C:$F,4,FALSE))</f>
        <v>10.a.1.1.1.31 - Hvis forfaldsdato ikke er valgt: Regel R0047 deaktiveres</v>
      </c>
      <c r="F483" s="53" t="s">
        <v>226</v>
      </c>
      <c r="G483" s="53" t="s">
        <v>308</v>
      </c>
      <c r="H483" s="25" t="s">
        <v>1322</v>
      </c>
      <c r="I483" s="65" t="s">
        <v>241</v>
      </c>
      <c r="J483" s="67" t="s">
        <v>222</v>
      </c>
      <c r="K483" s="123" t="s">
        <v>222</v>
      </c>
      <c r="L483" s="20" t="s">
        <v>3</v>
      </c>
      <c r="M483" s="61" t="s">
        <v>131</v>
      </c>
      <c r="N483" s="124" t="s">
        <v>129</v>
      </c>
      <c r="O483" s="61" t="s">
        <v>131</v>
      </c>
      <c r="P483" s="61" t="s">
        <v>131</v>
      </c>
      <c r="Q483" s="61" t="s">
        <v>131</v>
      </c>
      <c r="R483" s="61" t="s">
        <v>131</v>
      </c>
      <c r="S483" s="59" t="s">
        <v>295</v>
      </c>
      <c r="T483" s="59" t="s">
        <v>26</v>
      </c>
      <c r="U483" s="59"/>
      <c r="V483" s="59"/>
      <c r="W483" s="59"/>
      <c r="X483" s="59" t="s">
        <v>1288</v>
      </c>
      <c r="Y483" s="59" t="s">
        <v>5</v>
      </c>
      <c r="Z483" s="59"/>
      <c r="AA483" s="59"/>
      <c r="AB483" s="57"/>
    </row>
    <row r="484" spans="1:28" s="1" customFormat="1" ht="33" customHeight="1" x14ac:dyDescent="0.3">
      <c r="A484" s="16">
        <v>14</v>
      </c>
      <c r="B484" s="23">
        <v>43</v>
      </c>
      <c r="C484" s="27" t="str">
        <f t="shared" si="17"/>
        <v>14.43</v>
      </c>
      <c r="D484" s="18" t="s">
        <v>879</v>
      </c>
      <c r="E484" s="64" t="str">
        <f>IF(ISBLANK(D484)=TRUE,"",VLOOKUP(D484,Krav!$C:$F,4,FALSE))</f>
        <v>10.a.1.1.1.32 - Hvis forfaldsdato ikke er valgt: Regel R0048 deaktiveres</v>
      </c>
      <c r="F484" s="53" t="s">
        <v>226</v>
      </c>
      <c r="G484" s="53" t="s">
        <v>308</v>
      </c>
      <c r="H484" s="25" t="s">
        <v>1322</v>
      </c>
      <c r="I484" s="65" t="s">
        <v>241</v>
      </c>
      <c r="J484" s="67" t="s">
        <v>222</v>
      </c>
      <c r="K484" s="123" t="s">
        <v>222</v>
      </c>
      <c r="L484" s="20" t="s">
        <v>3</v>
      </c>
      <c r="M484" s="61" t="s">
        <v>131</v>
      </c>
      <c r="N484" s="124" t="s">
        <v>129</v>
      </c>
      <c r="O484" s="61" t="s">
        <v>131</v>
      </c>
      <c r="P484" s="61" t="s">
        <v>131</v>
      </c>
      <c r="Q484" s="61" t="s">
        <v>131</v>
      </c>
      <c r="R484" s="61" t="s">
        <v>131</v>
      </c>
      <c r="S484" s="59" t="s">
        <v>295</v>
      </c>
      <c r="T484" s="59" t="s">
        <v>26</v>
      </c>
      <c r="U484" s="59"/>
      <c r="V484" s="59"/>
      <c r="W484" s="59"/>
      <c r="X484" s="59" t="s">
        <v>1289</v>
      </c>
      <c r="Y484" s="59" t="s">
        <v>5</v>
      </c>
      <c r="Z484" s="59"/>
      <c r="AA484" s="59"/>
      <c r="AB484" s="57"/>
    </row>
    <row r="485" spans="1:28" s="1" customFormat="1" ht="33" customHeight="1" x14ac:dyDescent="0.3">
      <c r="A485" s="16">
        <v>14</v>
      </c>
      <c r="B485" s="23">
        <v>44</v>
      </c>
      <c r="C485" s="27" t="str">
        <f t="shared" si="17"/>
        <v>14.44</v>
      </c>
      <c r="D485" s="18" t="s">
        <v>881</v>
      </c>
      <c r="E485" s="64" t="str">
        <f>IF(ISBLANK(D485)=TRUE,"",VLOOKUP(D485,Krav!$C:$F,4,FALSE))</f>
        <v>10.a.1.1.1.33 - Hvis forfaldsdato ikke er valgt: Regel R0049 deaktiveres</v>
      </c>
      <c r="F485" s="53" t="s">
        <v>226</v>
      </c>
      <c r="G485" s="53" t="s">
        <v>308</v>
      </c>
      <c r="H485" s="25" t="s">
        <v>1322</v>
      </c>
      <c r="I485" s="65" t="s">
        <v>241</v>
      </c>
      <c r="J485" s="67" t="s">
        <v>222</v>
      </c>
      <c r="K485" s="123" t="s">
        <v>222</v>
      </c>
      <c r="L485" s="20" t="s">
        <v>3</v>
      </c>
      <c r="M485" s="61" t="s">
        <v>131</v>
      </c>
      <c r="N485" s="124" t="s">
        <v>129</v>
      </c>
      <c r="O485" s="61" t="s">
        <v>131</v>
      </c>
      <c r="P485" s="61" t="s">
        <v>131</v>
      </c>
      <c r="Q485" s="61" t="s">
        <v>131</v>
      </c>
      <c r="R485" s="61" t="s">
        <v>131</v>
      </c>
      <c r="S485" s="59" t="s">
        <v>295</v>
      </c>
      <c r="T485" s="59" t="s">
        <v>26</v>
      </c>
      <c r="U485" s="59"/>
      <c r="V485" s="59"/>
      <c r="W485" s="59"/>
      <c r="X485" s="59" t="s">
        <v>1290</v>
      </c>
      <c r="Y485" s="59" t="s">
        <v>5</v>
      </c>
      <c r="Z485" s="59"/>
      <c r="AA485" s="59"/>
      <c r="AB485" s="57"/>
    </row>
    <row r="486" spans="1:28" s="1" customFormat="1" ht="33" customHeight="1" x14ac:dyDescent="0.3">
      <c r="A486" s="16">
        <v>14</v>
      </c>
      <c r="B486" s="23">
        <v>45</v>
      </c>
      <c r="C486" s="27" t="str">
        <f t="shared" si="17"/>
        <v>14.45</v>
      </c>
      <c r="D486" s="18" t="s">
        <v>883</v>
      </c>
      <c r="E486" s="64" t="str">
        <f>IF(ISBLANK(D486)=TRUE,"",VLOOKUP(D486,Krav!$C:$F,4,FALSE))</f>
        <v>10.a.1.1.1.34 - Hvis forfaldsdato ikke er valgt: Regel R0050 deaktiveres</v>
      </c>
      <c r="F486" s="53" t="s">
        <v>226</v>
      </c>
      <c r="G486" s="53" t="s">
        <v>308</v>
      </c>
      <c r="H486" s="25" t="s">
        <v>1322</v>
      </c>
      <c r="I486" s="65" t="s">
        <v>241</v>
      </c>
      <c r="J486" s="67" t="s">
        <v>222</v>
      </c>
      <c r="K486" s="123" t="s">
        <v>222</v>
      </c>
      <c r="L486" s="20" t="s">
        <v>3</v>
      </c>
      <c r="M486" s="61" t="s">
        <v>131</v>
      </c>
      <c r="N486" s="124" t="s">
        <v>129</v>
      </c>
      <c r="O486" s="61" t="s">
        <v>131</v>
      </c>
      <c r="P486" s="61" t="s">
        <v>131</v>
      </c>
      <c r="Q486" s="61" t="s">
        <v>131</v>
      </c>
      <c r="R486" s="61" t="s">
        <v>131</v>
      </c>
      <c r="S486" s="59" t="s">
        <v>295</v>
      </c>
      <c r="T486" s="59" t="s">
        <v>26</v>
      </c>
      <c r="U486" s="59"/>
      <c r="V486" s="59"/>
      <c r="W486" s="59"/>
      <c r="X486" s="59" t="s">
        <v>1291</v>
      </c>
      <c r="Y486" s="59" t="s">
        <v>5</v>
      </c>
      <c r="Z486" s="59"/>
      <c r="AA486" s="59"/>
      <c r="AB486" s="57"/>
    </row>
    <row r="487" spans="1:28" s="1" customFormat="1" ht="33" customHeight="1" x14ac:dyDescent="0.3">
      <c r="A487" s="16">
        <v>14</v>
      </c>
      <c r="B487" s="23">
        <v>46</v>
      </c>
      <c r="C487" s="27" t="str">
        <f t="shared" si="17"/>
        <v>14.46</v>
      </c>
      <c r="D487" s="18" t="s">
        <v>917</v>
      </c>
      <c r="E487" s="64" t="str">
        <f>IF(ISBLANK(D487)=TRUE,"",VLOOKUP(D487,Krav!$C:$F,4,FALSE))</f>
        <v>10.a.1.1.1.51 - Hvis ForfaldsDato ikke er valgt: Regel R0067 deaktiveres</v>
      </c>
      <c r="F487" s="53" t="s">
        <v>226</v>
      </c>
      <c r="G487" s="53" t="s">
        <v>308</v>
      </c>
      <c r="H487" s="25" t="s">
        <v>1322</v>
      </c>
      <c r="I487" s="65" t="s">
        <v>241</v>
      </c>
      <c r="J487" s="67" t="s">
        <v>222</v>
      </c>
      <c r="K487" s="125" t="s">
        <v>222</v>
      </c>
      <c r="L487" s="20" t="s">
        <v>3</v>
      </c>
      <c r="M487" s="61" t="s">
        <v>131</v>
      </c>
      <c r="N487" s="124" t="s">
        <v>129</v>
      </c>
      <c r="O487" s="61" t="s">
        <v>131</v>
      </c>
      <c r="P487" s="61" t="s">
        <v>131</v>
      </c>
      <c r="Q487" s="61" t="s">
        <v>131</v>
      </c>
      <c r="R487" s="61" t="s">
        <v>131</v>
      </c>
      <c r="S487" s="59" t="s">
        <v>295</v>
      </c>
      <c r="T487" s="59" t="s">
        <v>26</v>
      </c>
      <c r="U487" s="59"/>
      <c r="V487" s="59"/>
      <c r="W487" s="59"/>
      <c r="X487" s="59" t="s">
        <v>1292</v>
      </c>
      <c r="Y487" s="59" t="s">
        <v>5</v>
      </c>
      <c r="Z487" s="59"/>
      <c r="AA487" s="59"/>
      <c r="AB487" s="57"/>
    </row>
    <row r="488" spans="1:28" s="1" customFormat="1" ht="33" customHeight="1" x14ac:dyDescent="0.3">
      <c r="A488" s="16">
        <v>14</v>
      </c>
      <c r="B488" s="23">
        <v>47</v>
      </c>
      <c r="C488" s="27" t="str">
        <f>IF(B488&lt;10,_xlfn.CONCAT(A488,".0",B488),_xlfn.CONCAT(A488,".",B488))</f>
        <v>14.47</v>
      </c>
      <c r="D488" s="18" t="s">
        <v>859</v>
      </c>
      <c r="E488" s="64" t="str">
        <f>IF(ISBLANK(D488)=TRUE,"",VLOOKUP(D488,Krav!$C:$F,4,FALSE))</f>
        <v>10.a.1.1.1.22 - Hvis SRBDato er valgt: Regel R0063 aktiveres</v>
      </c>
      <c r="F488" s="53" t="s">
        <v>226</v>
      </c>
      <c r="G488" s="53" t="s">
        <v>308</v>
      </c>
      <c r="H488" s="25" t="s">
        <v>1305</v>
      </c>
      <c r="I488" s="65" t="s">
        <v>240</v>
      </c>
      <c r="J488" s="67" t="s">
        <v>222</v>
      </c>
      <c r="K488" s="125" t="s">
        <v>222</v>
      </c>
      <c r="L488" s="20" t="s">
        <v>3</v>
      </c>
      <c r="M488" s="61" t="s">
        <v>131</v>
      </c>
      <c r="N488" s="124" t="s">
        <v>129</v>
      </c>
      <c r="O488" s="61" t="s">
        <v>131</v>
      </c>
      <c r="P488" s="61" t="s">
        <v>131</v>
      </c>
      <c r="Q488" s="61" t="s">
        <v>131</v>
      </c>
      <c r="R488" s="61" t="s">
        <v>131</v>
      </c>
      <c r="S488" s="59" t="s">
        <v>295</v>
      </c>
      <c r="T488" s="59" t="s">
        <v>26</v>
      </c>
      <c r="U488" s="59"/>
      <c r="V488" s="59"/>
      <c r="W488" s="59"/>
      <c r="X488" s="59" t="s">
        <v>1294</v>
      </c>
      <c r="Y488" s="59" t="s">
        <v>5</v>
      </c>
      <c r="Z488" s="59"/>
      <c r="AA488" s="59"/>
      <c r="AB488" s="57"/>
    </row>
    <row r="489" spans="1:28" s="1" customFormat="1" ht="33" customHeight="1" x14ac:dyDescent="0.3">
      <c r="A489" s="16">
        <v>14</v>
      </c>
      <c r="B489" s="23">
        <v>48</v>
      </c>
      <c r="C489" s="27" t="str">
        <f>IF(B489&lt;10,_xlfn.CONCAT(A489,".0",B489),_xlfn.CONCAT(A489,".",B489))</f>
        <v>14.48</v>
      </c>
      <c r="D489" s="18" t="s">
        <v>861</v>
      </c>
      <c r="E489" s="64" t="str">
        <f>IF(ISBLANK(D489)=TRUE,"",VLOOKUP(D489,Krav!$C:$F,4,FALSE))</f>
        <v>10.a.1.1.1.23 - Hvis SRBDato er valgt: Regel R0064 aktiveres</v>
      </c>
      <c r="F489" s="53" t="s">
        <v>226</v>
      </c>
      <c r="G489" s="53" t="s">
        <v>308</v>
      </c>
      <c r="H489" s="25" t="s">
        <v>1305</v>
      </c>
      <c r="I489" s="65" t="s">
        <v>240</v>
      </c>
      <c r="J489" s="67" t="s">
        <v>222</v>
      </c>
      <c r="K489" s="123" t="s">
        <v>222</v>
      </c>
      <c r="L489" s="20" t="s">
        <v>3</v>
      </c>
      <c r="M489" s="61" t="s">
        <v>131</v>
      </c>
      <c r="N489" s="124" t="s">
        <v>129</v>
      </c>
      <c r="O489" s="61" t="s">
        <v>131</v>
      </c>
      <c r="P489" s="61" t="s">
        <v>131</v>
      </c>
      <c r="Q489" s="61" t="s">
        <v>131</v>
      </c>
      <c r="R489" s="61" t="s">
        <v>131</v>
      </c>
      <c r="S489" s="59" t="s">
        <v>295</v>
      </c>
      <c r="T489" s="59" t="s">
        <v>26</v>
      </c>
      <c r="U489" s="59"/>
      <c r="V489" s="59"/>
      <c r="W489" s="59"/>
      <c r="X489" s="59" t="s">
        <v>1295</v>
      </c>
      <c r="Y489" s="59" t="s">
        <v>5</v>
      </c>
      <c r="Z489" s="59"/>
      <c r="AA489" s="59"/>
      <c r="AB489" s="57"/>
    </row>
    <row r="490" spans="1:28" s="1" customFormat="1" ht="33" customHeight="1" x14ac:dyDescent="0.3">
      <c r="A490" s="16">
        <v>14</v>
      </c>
      <c r="B490" s="23">
        <v>49</v>
      </c>
      <c r="C490" s="27" t="str">
        <f>IF(B490&lt;10,_xlfn.CONCAT(A490,".0",B490),_xlfn.CONCAT(A490,".",B490))</f>
        <v>14.49</v>
      </c>
      <c r="D490" s="18" t="s">
        <v>863</v>
      </c>
      <c r="E490" s="64" t="str">
        <f>IF(ISBLANK(D490)=TRUE,"",VLOOKUP(D490,Krav!$C:$F,4,FALSE))</f>
        <v>10.a.1.1.1.24 - Hvis SRBDato er valgt: Regel R0065 aktiveres</v>
      </c>
      <c r="F490" s="53" t="s">
        <v>226</v>
      </c>
      <c r="G490" s="53" t="s">
        <v>308</v>
      </c>
      <c r="H490" s="25" t="s">
        <v>1305</v>
      </c>
      <c r="I490" s="65" t="s">
        <v>240</v>
      </c>
      <c r="J490" s="67" t="s">
        <v>222</v>
      </c>
      <c r="K490" s="123" t="s">
        <v>222</v>
      </c>
      <c r="L490" s="20" t="s">
        <v>3</v>
      </c>
      <c r="M490" s="61" t="s">
        <v>131</v>
      </c>
      <c r="N490" s="124" t="s">
        <v>129</v>
      </c>
      <c r="O490" s="61" t="s">
        <v>131</v>
      </c>
      <c r="P490" s="61" t="s">
        <v>131</v>
      </c>
      <c r="Q490" s="61" t="s">
        <v>131</v>
      </c>
      <c r="R490" s="61" t="s">
        <v>131</v>
      </c>
      <c r="S490" s="59" t="s">
        <v>295</v>
      </c>
      <c r="T490" s="59" t="s">
        <v>26</v>
      </c>
      <c r="U490" s="59"/>
      <c r="V490" s="59"/>
      <c r="W490" s="59"/>
      <c r="X490" s="59" t="s">
        <v>1296</v>
      </c>
      <c r="Y490" s="59" t="s">
        <v>5</v>
      </c>
      <c r="Z490" s="59"/>
      <c r="AA490" s="59"/>
      <c r="AB490" s="57"/>
    </row>
    <row r="491" spans="1:28" s="1" customFormat="1" ht="33" customHeight="1" x14ac:dyDescent="0.3">
      <c r="A491" s="16">
        <v>14</v>
      </c>
      <c r="B491" s="23">
        <v>50</v>
      </c>
      <c r="C491" s="27" t="str">
        <f>IF(B491&lt;10,_xlfn.CONCAT(A491,".0",B491),_xlfn.CONCAT(A491,".",B491))</f>
        <v>14.50</v>
      </c>
      <c r="D491" s="18" t="s">
        <v>865</v>
      </c>
      <c r="E491" s="64" t="str">
        <f>IF(ISBLANK(D491)=TRUE,"",VLOOKUP(D491,Krav!$C:$F,4,FALSE))</f>
        <v>10.a.1.1.1.25 - Hvis SRBDato er valgt: Regel R0066 aktiveres</v>
      </c>
      <c r="F491" s="53" t="s">
        <v>226</v>
      </c>
      <c r="G491" s="53" t="s">
        <v>308</v>
      </c>
      <c r="H491" s="25" t="s">
        <v>1305</v>
      </c>
      <c r="I491" s="65" t="s">
        <v>240</v>
      </c>
      <c r="J491" s="67" t="s">
        <v>222</v>
      </c>
      <c r="K491" s="123" t="s">
        <v>222</v>
      </c>
      <c r="L491" s="20" t="s">
        <v>3</v>
      </c>
      <c r="M491" s="61" t="s">
        <v>131</v>
      </c>
      <c r="N491" s="124" t="s">
        <v>129</v>
      </c>
      <c r="O491" s="61" t="s">
        <v>131</v>
      </c>
      <c r="P491" s="61" t="s">
        <v>131</v>
      </c>
      <c r="Q491" s="61" t="s">
        <v>131</v>
      </c>
      <c r="R491" s="61" t="s">
        <v>131</v>
      </c>
      <c r="S491" s="59" t="s">
        <v>295</v>
      </c>
      <c r="T491" s="59" t="s">
        <v>26</v>
      </c>
      <c r="U491" s="59"/>
      <c r="V491" s="59"/>
      <c r="W491" s="59"/>
      <c r="X491" s="59" t="s">
        <v>1297</v>
      </c>
      <c r="Y491" s="59" t="s">
        <v>5</v>
      </c>
      <c r="Z491" s="59"/>
      <c r="AA491" s="59"/>
      <c r="AB491" s="57"/>
    </row>
    <row r="492" spans="1:28" s="1" customFormat="1" ht="33" customHeight="1" x14ac:dyDescent="0.3">
      <c r="A492" s="16">
        <v>14</v>
      </c>
      <c r="B492" s="23">
        <v>51</v>
      </c>
      <c r="C492" s="27" t="str">
        <f>IF(B492&lt;10,_xlfn.CONCAT(A492,".0",B492),_xlfn.CONCAT(A492,".",B492))</f>
        <v>14.51</v>
      </c>
      <c r="D492" s="18" t="s">
        <v>875</v>
      </c>
      <c r="E492" s="64" t="str">
        <f>IF(ISBLANK(D492)=TRUE,"",VLOOKUP(D492,Krav!$C:$F,4,FALSE))</f>
        <v>10.a.1.1.1.30 - Hvis SRBDato er valgt: Regel R0071 aktiveres</v>
      </c>
      <c r="F492" s="53" t="s">
        <v>226</v>
      </c>
      <c r="G492" s="53" t="s">
        <v>308</v>
      </c>
      <c r="H492" s="25" t="s">
        <v>1305</v>
      </c>
      <c r="I492" s="65" t="s">
        <v>240</v>
      </c>
      <c r="J492" s="67" t="s">
        <v>222</v>
      </c>
      <c r="K492" s="123" t="s">
        <v>222</v>
      </c>
      <c r="L492" s="20" t="s">
        <v>3</v>
      </c>
      <c r="M492" s="61" t="s">
        <v>131</v>
      </c>
      <c r="N492" s="124" t="s">
        <v>129</v>
      </c>
      <c r="O492" s="61" t="s">
        <v>131</v>
      </c>
      <c r="P492" s="61" t="s">
        <v>131</v>
      </c>
      <c r="Q492" s="61" t="s">
        <v>131</v>
      </c>
      <c r="R492" s="61" t="s">
        <v>131</v>
      </c>
      <c r="S492" s="59" t="s">
        <v>295</v>
      </c>
      <c r="T492" s="59" t="s">
        <v>26</v>
      </c>
      <c r="U492" s="59"/>
      <c r="V492" s="59"/>
      <c r="W492" s="59"/>
      <c r="X492" s="59" t="s">
        <v>1298</v>
      </c>
      <c r="Y492" s="59" t="s">
        <v>5</v>
      </c>
      <c r="Z492" s="59"/>
      <c r="AA492" s="59"/>
      <c r="AB492" s="57"/>
    </row>
    <row r="493" spans="1:28" s="1" customFormat="1" ht="33" customHeight="1" x14ac:dyDescent="0.3">
      <c r="A493" s="16">
        <v>14</v>
      </c>
      <c r="B493" s="23">
        <v>52</v>
      </c>
      <c r="C493" s="27" t="str">
        <f t="shared" si="17"/>
        <v>14.52</v>
      </c>
      <c r="D493" s="18" t="s">
        <v>885</v>
      </c>
      <c r="E493" s="64" t="str">
        <f>IF(ISBLANK(D493)=TRUE,"",VLOOKUP(D493,Krav!$C:$F,4,FALSE))</f>
        <v>10.a.1.1.1.35 - Hvis stiftelsesdato ikke er valgt: Regel R0051 deaktiveres</v>
      </c>
      <c r="F493" s="53" t="s">
        <v>226</v>
      </c>
      <c r="G493" s="53" t="s">
        <v>308</v>
      </c>
      <c r="H493" s="25" t="s">
        <v>1320</v>
      </c>
      <c r="I493" s="65" t="s">
        <v>241</v>
      </c>
      <c r="J493" s="67" t="s">
        <v>222</v>
      </c>
      <c r="K493" s="123" t="s">
        <v>222</v>
      </c>
      <c r="L493" s="20" t="s">
        <v>3</v>
      </c>
      <c r="M493" s="61" t="s">
        <v>131</v>
      </c>
      <c r="N493" s="124" t="s">
        <v>129</v>
      </c>
      <c r="O493" s="61" t="s">
        <v>131</v>
      </c>
      <c r="P493" s="61" t="s">
        <v>131</v>
      </c>
      <c r="Q493" s="61" t="s">
        <v>131</v>
      </c>
      <c r="R493" s="61" t="s">
        <v>131</v>
      </c>
      <c r="S493" s="59" t="s">
        <v>295</v>
      </c>
      <c r="T493" s="59" t="s">
        <v>26</v>
      </c>
      <c r="U493" s="59"/>
      <c r="V493" s="59"/>
      <c r="W493" s="59"/>
      <c r="X493" s="59" t="s">
        <v>1299</v>
      </c>
      <c r="Y493" s="59" t="s">
        <v>5</v>
      </c>
      <c r="Z493" s="59"/>
      <c r="AA493" s="59"/>
      <c r="AB493" s="57"/>
    </row>
    <row r="494" spans="1:28" s="1" customFormat="1" ht="33" customHeight="1" x14ac:dyDescent="0.3">
      <c r="A494" s="16">
        <v>14</v>
      </c>
      <c r="B494" s="23">
        <v>53</v>
      </c>
      <c r="C494" s="27" t="str">
        <f t="shared" si="17"/>
        <v>14.53</v>
      </c>
      <c r="D494" s="18" t="s">
        <v>887</v>
      </c>
      <c r="E494" s="64" t="str">
        <f>IF(ISBLANK(D494)=TRUE,"",VLOOKUP(D494,Krav!$C:$F,4,FALSE))</f>
        <v>10.a.1.1.1.36 - Hvis stiftelsesdato ikke er valgt: Regel R0052 deaktiveres</v>
      </c>
      <c r="F494" s="53" t="s">
        <v>226</v>
      </c>
      <c r="G494" s="53" t="s">
        <v>308</v>
      </c>
      <c r="H494" s="25" t="s">
        <v>1320</v>
      </c>
      <c r="I494" s="65" t="s">
        <v>241</v>
      </c>
      <c r="J494" s="67" t="s">
        <v>222</v>
      </c>
      <c r="K494" s="123" t="s">
        <v>222</v>
      </c>
      <c r="L494" s="20" t="s">
        <v>3</v>
      </c>
      <c r="M494" s="61" t="s">
        <v>131</v>
      </c>
      <c r="N494" s="124" t="s">
        <v>129</v>
      </c>
      <c r="O494" s="61" t="s">
        <v>131</v>
      </c>
      <c r="P494" s="61" t="s">
        <v>131</v>
      </c>
      <c r="Q494" s="61" t="s">
        <v>131</v>
      </c>
      <c r="R494" s="61" t="s">
        <v>131</v>
      </c>
      <c r="S494" s="59" t="s">
        <v>295</v>
      </c>
      <c r="T494" s="59" t="s">
        <v>26</v>
      </c>
      <c r="U494" s="59"/>
      <c r="V494" s="59"/>
      <c r="W494" s="59"/>
      <c r="X494" s="59" t="s">
        <v>1300</v>
      </c>
      <c r="Y494" s="59" t="s">
        <v>5</v>
      </c>
      <c r="Z494" s="59"/>
      <c r="AA494" s="59"/>
      <c r="AB494" s="57"/>
    </row>
    <row r="495" spans="1:28" s="1" customFormat="1" ht="33" customHeight="1" x14ac:dyDescent="0.3">
      <c r="A495" s="16">
        <v>14</v>
      </c>
      <c r="B495" s="23">
        <v>54</v>
      </c>
      <c r="C495" s="27" t="str">
        <f t="shared" si="17"/>
        <v>14.54</v>
      </c>
      <c r="D495" s="18" t="s">
        <v>889</v>
      </c>
      <c r="E495" s="64" t="str">
        <f>IF(ISBLANK(D495)=TRUE,"",VLOOKUP(D495,Krav!$C:$F,4,FALSE))</f>
        <v>10.a.1.1.1.37 - Hvis stiftelsesdato ikke er valgt: Regel R0053 deaktiveres</v>
      </c>
      <c r="F495" s="53" t="s">
        <v>226</v>
      </c>
      <c r="G495" s="53" t="s">
        <v>308</v>
      </c>
      <c r="H495" s="25" t="s">
        <v>1320</v>
      </c>
      <c r="I495" s="65" t="s">
        <v>241</v>
      </c>
      <c r="J495" s="67" t="s">
        <v>222</v>
      </c>
      <c r="K495" s="123" t="s">
        <v>222</v>
      </c>
      <c r="L495" s="20" t="s">
        <v>3</v>
      </c>
      <c r="M495" s="61" t="s">
        <v>131</v>
      </c>
      <c r="N495" s="124" t="s">
        <v>129</v>
      </c>
      <c r="O495" s="61" t="s">
        <v>131</v>
      </c>
      <c r="P495" s="61" t="s">
        <v>131</v>
      </c>
      <c r="Q495" s="61" t="s">
        <v>131</v>
      </c>
      <c r="R495" s="61" t="s">
        <v>131</v>
      </c>
      <c r="S495" s="59" t="s">
        <v>295</v>
      </c>
      <c r="T495" s="59" t="s">
        <v>26</v>
      </c>
      <c r="U495" s="59"/>
      <c r="V495" s="59"/>
      <c r="W495" s="59"/>
      <c r="X495" s="59" t="s">
        <v>1301</v>
      </c>
      <c r="Y495" s="59" t="s">
        <v>5</v>
      </c>
      <c r="Z495" s="59"/>
      <c r="AA495" s="59"/>
      <c r="AB495" s="57"/>
    </row>
    <row r="496" spans="1:28" s="1" customFormat="1" ht="33" customHeight="1" x14ac:dyDescent="0.3">
      <c r="A496" s="16">
        <v>14</v>
      </c>
      <c r="B496" s="23">
        <v>55</v>
      </c>
      <c r="C496" s="27" t="str">
        <f t="shared" si="17"/>
        <v>14.55</v>
      </c>
      <c r="D496" s="18" t="s">
        <v>891</v>
      </c>
      <c r="E496" s="64" t="str">
        <f>IF(ISBLANK(D496)=TRUE,"",VLOOKUP(D496,Krav!$C:$F,4,FALSE))</f>
        <v>10.a.1.1.1.38 - Hvis stiftelsesdato ikke er valgt: Regel R0054 deaktiveres</v>
      </c>
      <c r="F496" s="53" t="s">
        <v>226</v>
      </c>
      <c r="G496" s="53" t="s">
        <v>308</v>
      </c>
      <c r="H496" s="25" t="s">
        <v>1320</v>
      </c>
      <c r="I496" s="65" t="s">
        <v>241</v>
      </c>
      <c r="J496" s="67" t="s">
        <v>222</v>
      </c>
      <c r="K496" s="123" t="s">
        <v>222</v>
      </c>
      <c r="L496" s="20" t="s">
        <v>3</v>
      </c>
      <c r="M496" s="61" t="s">
        <v>131</v>
      </c>
      <c r="N496" s="124" t="s">
        <v>129</v>
      </c>
      <c r="O496" s="61" t="s">
        <v>131</v>
      </c>
      <c r="P496" s="61" t="s">
        <v>131</v>
      </c>
      <c r="Q496" s="61" t="s">
        <v>131</v>
      </c>
      <c r="R496" s="61" t="s">
        <v>131</v>
      </c>
      <c r="S496" s="59" t="s">
        <v>295</v>
      </c>
      <c r="T496" s="59" t="s">
        <v>26</v>
      </c>
      <c r="U496" s="59"/>
      <c r="V496" s="59"/>
      <c r="W496" s="59"/>
      <c r="X496" s="59" t="s">
        <v>1302</v>
      </c>
      <c r="Y496" s="59" t="s">
        <v>5</v>
      </c>
      <c r="Z496" s="59"/>
      <c r="AA496" s="59"/>
      <c r="AB496" s="57"/>
    </row>
    <row r="497" spans="1:28" s="1" customFormat="1" ht="33" customHeight="1" x14ac:dyDescent="0.3">
      <c r="A497" s="16">
        <v>14</v>
      </c>
      <c r="B497" s="23">
        <v>56</v>
      </c>
      <c r="C497" s="27" t="str">
        <f t="shared" si="17"/>
        <v>14.56</v>
      </c>
      <c r="D497" s="18" t="s">
        <v>919</v>
      </c>
      <c r="E497" s="64" t="str">
        <f>IF(ISBLANK(D497)=TRUE,"",VLOOKUP(D497,Krav!$C:$F,4,FALSE))</f>
        <v>10.a.1.1.1.52 - Hvis StiftelsesDato ikke er valgt: Regel R0068 deaktiveres</v>
      </c>
      <c r="F497" s="53" t="s">
        <v>226</v>
      </c>
      <c r="G497" s="53" t="s">
        <v>308</v>
      </c>
      <c r="H497" s="25" t="s">
        <v>1320</v>
      </c>
      <c r="I497" s="65" t="s">
        <v>241</v>
      </c>
      <c r="J497" s="67" t="s">
        <v>222</v>
      </c>
      <c r="K497" s="123" t="s">
        <v>222</v>
      </c>
      <c r="L497" s="20" t="s">
        <v>3</v>
      </c>
      <c r="M497" s="61" t="s">
        <v>131</v>
      </c>
      <c r="N497" s="124" t="s">
        <v>129</v>
      </c>
      <c r="O497" s="61" t="s">
        <v>131</v>
      </c>
      <c r="P497" s="61" t="s">
        <v>131</v>
      </c>
      <c r="Q497" s="61" t="s">
        <v>131</v>
      </c>
      <c r="R497" s="61" t="s">
        <v>131</v>
      </c>
      <c r="S497" s="59" t="s">
        <v>295</v>
      </c>
      <c r="T497" s="59" t="s">
        <v>26</v>
      </c>
      <c r="U497" s="59"/>
      <c r="V497" s="59"/>
      <c r="W497" s="59"/>
      <c r="X497" s="59" t="s">
        <v>1303</v>
      </c>
      <c r="Y497" s="59" t="s">
        <v>5</v>
      </c>
      <c r="Z497" s="59"/>
      <c r="AA497" s="59"/>
      <c r="AB497" s="57"/>
    </row>
    <row r="498" spans="1:28" s="1" customFormat="1" ht="33" customHeight="1" x14ac:dyDescent="0.3">
      <c r="A498" s="16">
        <v>14</v>
      </c>
      <c r="B498" s="23">
        <v>57</v>
      </c>
      <c r="C498" s="27" t="str">
        <f t="shared" si="17"/>
        <v>14.57</v>
      </c>
      <c r="D498" s="18" t="s">
        <v>893</v>
      </c>
      <c r="E498" s="64" t="str">
        <f>IF(ISBLANK(D498)=TRUE,"",VLOOKUP(D498,Krav!$C:$F,4,FALSE))</f>
        <v>10.a.1.1.1.39 - Hvis FordringsStartDato ikke er valgt: Regel R0055 deaktiveres</v>
      </c>
      <c r="F498" s="53" t="s">
        <v>226</v>
      </c>
      <c r="G498" s="53" t="s">
        <v>308</v>
      </c>
      <c r="H498" s="25" t="s">
        <v>1319</v>
      </c>
      <c r="I498" s="65" t="s">
        <v>241</v>
      </c>
      <c r="J498" s="67" t="s">
        <v>222</v>
      </c>
      <c r="K498" s="123" t="s">
        <v>222</v>
      </c>
      <c r="L498" s="20" t="s">
        <v>3</v>
      </c>
      <c r="M498" s="61" t="s">
        <v>131</v>
      </c>
      <c r="N498" s="124" t="s">
        <v>129</v>
      </c>
      <c r="O498" s="61" t="s">
        <v>131</v>
      </c>
      <c r="P498" s="61" t="s">
        <v>131</v>
      </c>
      <c r="Q498" s="61" t="s">
        <v>131</v>
      </c>
      <c r="R498" s="61" t="s">
        <v>131</v>
      </c>
      <c r="S498" s="59" t="s">
        <v>295</v>
      </c>
      <c r="T498" s="59" t="s">
        <v>26</v>
      </c>
      <c r="U498" s="59"/>
      <c r="V498" s="59"/>
      <c r="W498" s="59"/>
      <c r="X498" s="59" t="s">
        <v>1308</v>
      </c>
      <c r="Y498" s="59" t="s">
        <v>5</v>
      </c>
      <c r="Z498" s="59"/>
      <c r="AA498" s="59"/>
      <c r="AB498" s="57"/>
    </row>
    <row r="499" spans="1:28" s="1" customFormat="1" ht="33" customHeight="1" x14ac:dyDescent="0.3">
      <c r="A499" s="16">
        <v>14</v>
      </c>
      <c r="B499" s="23">
        <v>58</v>
      </c>
      <c r="C499" s="27" t="str">
        <f t="shared" si="17"/>
        <v>14.58</v>
      </c>
      <c r="D499" s="18" t="s">
        <v>895</v>
      </c>
      <c r="E499" s="64" t="str">
        <f>IF(ISBLANK(D499)=TRUE,"",VLOOKUP(D499,Krav!$C:$F,4,FALSE))</f>
        <v>10.a.1.1.1.40 - Hvis FordringsStartDato ikke er valgt: Regel R0056 deaktiveres</v>
      </c>
      <c r="F499" s="53" t="s">
        <v>226</v>
      </c>
      <c r="G499" s="53" t="s">
        <v>308</v>
      </c>
      <c r="H499" s="25" t="s">
        <v>1319</v>
      </c>
      <c r="I499" s="65" t="s">
        <v>241</v>
      </c>
      <c r="J499" s="67" t="s">
        <v>222</v>
      </c>
      <c r="K499" s="123" t="s">
        <v>222</v>
      </c>
      <c r="L499" s="20" t="s">
        <v>3</v>
      </c>
      <c r="M499" s="61" t="s">
        <v>131</v>
      </c>
      <c r="N499" s="124" t="s">
        <v>129</v>
      </c>
      <c r="O499" s="61" t="s">
        <v>131</v>
      </c>
      <c r="P499" s="61" t="s">
        <v>131</v>
      </c>
      <c r="Q499" s="61" t="s">
        <v>131</v>
      </c>
      <c r="R499" s="61" t="s">
        <v>131</v>
      </c>
      <c r="S499" s="59" t="s">
        <v>295</v>
      </c>
      <c r="T499" s="59" t="s">
        <v>26</v>
      </c>
      <c r="U499" s="59"/>
      <c r="V499" s="59"/>
      <c r="W499" s="59"/>
      <c r="X499" s="59" t="s">
        <v>1309</v>
      </c>
      <c r="Y499" s="59" t="s">
        <v>5</v>
      </c>
      <c r="Z499" s="59"/>
      <c r="AA499" s="59"/>
      <c r="AB499" s="57"/>
    </row>
    <row r="500" spans="1:28" s="1" customFormat="1" ht="33" customHeight="1" x14ac:dyDescent="0.3">
      <c r="A500" s="16">
        <v>14</v>
      </c>
      <c r="B500" s="23">
        <v>59</v>
      </c>
      <c r="C500" s="27" t="str">
        <f t="shared" si="17"/>
        <v>14.59</v>
      </c>
      <c r="D500" s="18" t="s">
        <v>897</v>
      </c>
      <c r="E500" s="64" t="str">
        <f>IF(ISBLANK(D500)=TRUE,"",VLOOKUP(D500,Krav!$C:$F,4,FALSE))</f>
        <v>10.a.1.1.1.41 - Hvis FordringsStartDato ikke er valgt: Regel R0057 deaktiveres</v>
      </c>
      <c r="F500" s="53" t="s">
        <v>226</v>
      </c>
      <c r="G500" s="53" t="s">
        <v>308</v>
      </c>
      <c r="H500" s="25" t="s">
        <v>1319</v>
      </c>
      <c r="I500" s="65" t="s">
        <v>241</v>
      </c>
      <c r="J500" s="67" t="s">
        <v>222</v>
      </c>
      <c r="K500" s="123" t="s">
        <v>222</v>
      </c>
      <c r="L500" s="20" t="s">
        <v>3</v>
      </c>
      <c r="M500" s="61" t="s">
        <v>131</v>
      </c>
      <c r="N500" s="124" t="s">
        <v>129</v>
      </c>
      <c r="O500" s="61" t="s">
        <v>131</v>
      </c>
      <c r="P500" s="61" t="s">
        <v>131</v>
      </c>
      <c r="Q500" s="61" t="s">
        <v>131</v>
      </c>
      <c r="R500" s="61" t="s">
        <v>131</v>
      </c>
      <c r="S500" s="59" t="s">
        <v>295</v>
      </c>
      <c r="T500" s="59" t="s">
        <v>26</v>
      </c>
      <c r="U500" s="59"/>
      <c r="V500" s="59"/>
      <c r="W500" s="59"/>
      <c r="X500" s="59" t="s">
        <v>1310</v>
      </c>
      <c r="Y500" s="59" t="s">
        <v>5</v>
      </c>
      <c r="Z500" s="59"/>
      <c r="AA500" s="59"/>
      <c r="AB500" s="57"/>
    </row>
    <row r="501" spans="1:28" s="1" customFormat="1" ht="33" customHeight="1" x14ac:dyDescent="0.3">
      <c r="A501" s="16">
        <v>14</v>
      </c>
      <c r="B501" s="23">
        <v>60</v>
      </c>
      <c r="C501" s="27" t="str">
        <f t="shared" si="17"/>
        <v>14.60</v>
      </c>
      <c r="D501" s="18" t="s">
        <v>899</v>
      </c>
      <c r="E501" s="64" t="str">
        <f>IF(ISBLANK(D501)=TRUE,"",VLOOKUP(D501,Krav!$C:$F,4,FALSE))</f>
        <v>10.a.1.1.1.42 - Hvis FordringsStartDato ikke er valgt: Regel R0058 deaktiveres</v>
      </c>
      <c r="F501" s="53" t="s">
        <v>226</v>
      </c>
      <c r="G501" s="53" t="s">
        <v>308</v>
      </c>
      <c r="H501" s="25" t="s">
        <v>1319</v>
      </c>
      <c r="I501" s="65" t="s">
        <v>241</v>
      </c>
      <c r="J501" s="67" t="s">
        <v>222</v>
      </c>
      <c r="K501" s="123" t="s">
        <v>222</v>
      </c>
      <c r="L501" s="20" t="s">
        <v>3</v>
      </c>
      <c r="M501" s="61" t="s">
        <v>131</v>
      </c>
      <c r="N501" s="124" t="s">
        <v>129</v>
      </c>
      <c r="O501" s="61" t="s">
        <v>131</v>
      </c>
      <c r="P501" s="61" t="s">
        <v>131</v>
      </c>
      <c r="Q501" s="61" t="s">
        <v>131</v>
      </c>
      <c r="R501" s="61" t="s">
        <v>131</v>
      </c>
      <c r="S501" s="59" t="s">
        <v>295</v>
      </c>
      <c r="T501" s="59" t="s">
        <v>26</v>
      </c>
      <c r="U501" s="59"/>
      <c r="V501" s="59"/>
      <c r="W501" s="59"/>
      <c r="X501" s="59" t="s">
        <v>1311</v>
      </c>
      <c r="Y501" s="59" t="s">
        <v>5</v>
      </c>
      <c r="Z501" s="59"/>
      <c r="AA501" s="59"/>
      <c r="AB501" s="57"/>
    </row>
    <row r="502" spans="1:28" s="1" customFormat="1" ht="33" customHeight="1" x14ac:dyDescent="0.3">
      <c r="A502" s="16">
        <v>14</v>
      </c>
      <c r="B502" s="23">
        <v>61</v>
      </c>
      <c r="C502" s="27" t="str">
        <f t="shared" si="17"/>
        <v>14.61</v>
      </c>
      <c r="D502" s="18" t="s">
        <v>921</v>
      </c>
      <c r="E502" s="64" t="str">
        <f>IF(ISBLANK(D502)=TRUE,"",VLOOKUP(D502,Krav!$C:$F,4,FALSE))</f>
        <v>10.a.1.1.1.53 - Hvis FordringsStartDato ikke er valgt: Regel R0069 deaktiveres</v>
      </c>
      <c r="F502" s="53" t="s">
        <v>226</v>
      </c>
      <c r="G502" s="53" t="s">
        <v>308</v>
      </c>
      <c r="H502" s="25" t="s">
        <v>1319</v>
      </c>
      <c r="I502" s="65" t="s">
        <v>241</v>
      </c>
      <c r="J502" s="67" t="s">
        <v>222</v>
      </c>
      <c r="K502" s="123" t="s">
        <v>222</v>
      </c>
      <c r="L502" s="20" t="s">
        <v>3</v>
      </c>
      <c r="M502" s="61" t="s">
        <v>131</v>
      </c>
      <c r="N502" s="124" t="s">
        <v>129</v>
      </c>
      <c r="O502" s="61" t="s">
        <v>131</v>
      </c>
      <c r="P502" s="61" t="s">
        <v>131</v>
      </c>
      <c r="Q502" s="61" t="s">
        <v>131</v>
      </c>
      <c r="R502" s="61" t="s">
        <v>131</v>
      </c>
      <c r="S502" s="59" t="s">
        <v>295</v>
      </c>
      <c r="T502" s="59" t="s">
        <v>26</v>
      </c>
      <c r="U502" s="59"/>
      <c r="V502" s="59"/>
      <c r="W502" s="59"/>
      <c r="X502" s="59" t="s">
        <v>1312</v>
      </c>
      <c r="Y502" s="59" t="s">
        <v>5</v>
      </c>
      <c r="Z502" s="59"/>
      <c r="AA502" s="59"/>
      <c r="AB502" s="57"/>
    </row>
    <row r="503" spans="1:28" s="1" customFormat="1" ht="33" customHeight="1" x14ac:dyDescent="0.3">
      <c r="A503" s="16">
        <v>14</v>
      </c>
      <c r="B503" s="23">
        <v>62</v>
      </c>
      <c r="C503" s="27" t="str">
        <f t="shared" si="17"/>
        <v>14.62</v>
      </c>
      <c r="D503" s="18" t="s">
        <v>901</v>
      </c>
      <c r="E503" s="64" t="str">
        <f>IF(ISBLANK(D503)=TRUE,"",VLOOKUP(D503,Krav!$C:$F,4,FALSE))</f>
        <v>10.a.1.1.1.43 - Hvis FordringsSlutDato ikke er valgt: Regel R0059 deaktiveres</v>
      </c>
      <c r="F503" s="53" t="s">
        <v>226</v>
      </c>
      <c r="G503" s="53" t="s">
        <v>308</v>
      </c>
      <c r="H503" s="25" t="s">
        <v>1318</v>
      </c>
      <c r="I503" s="65" t="s">
        <v>241</v>
      </c>
      <c r="J503" s="67" t="s">
        <v>222</v>
      </c>
      <c r="K503" s="123" t="s">
        <v>222</v>
      </c>
      <c r="L503" s="20" t="s">
        <v>3</v>
      </c>
      <c r="M503" s="61" t="s">
        <v>131</v>
      </c>
      <c r="N503" s="124" t="s">
        <v>129</v>
      </c>
      <c r="O503" s="61" t="s">
        <v>131</v>
      </c>
      <c r="P503" s="61" t="s">
        <v>131</v>
      </c>
      <c r="Q503" s="61" t="s">
        <v>131</v>
      </c>
      <c r="R503" s="61" t="s">
        <v>131</v>
      </c>
      <c r="S503" s="59" t="s">
        <v>295</v>
      </c>
      <c r="T503" s="59" t="s">
        <v>26</v>
      </c>
      <c r="U503" s="59"/>
      <c r="V503" s="59"/>
      <c r="W503" s="59"/>
      <c r="X503" s="59" t="s">
        <v>1314</v>
      </c>
      <c r="Y503" s="59" t="s">
        <v>5</v>
      </c>
      <c r="Z503" s="59"/>
      <c r="AA503" s="59"/>
      <c r="AB503" s="57"/>
    </row>
    <row r="504" spans="1:28" s="1" customFormat="1" ht="33" customHeight="1" x14ac:dyDescent="0.3">
      <c r="A504" s="16">
        <v>14</v>
      </c>
      <c r="B504" s="23">
        <v>63</v>
      </c>
      <c r="C504" s="27" t="str">
        <f t="shared" si="17"/>
        <v>14.63</v>
      </c>
      <c r="D504" s="18" t="s">
        <v>903</v>
      </c>
      <c r="E504" s="64" t="str">
        <f>IF(ISBLANK(D504)=TRUE,"",VLOOKUP(D504,Krav!$C:$F,4,FALSE))</f>
        <v>10.a.1.1.1.44 - Hvis FordringsSlutDato ikke er valgt: Regel R0060 deaktiveres</v>
      </c>
      <c r="F504" s="53" t="s">
        <v>226</v>
      </c>
      <c r="G504" s="53" t="s">
        <v>308</v>
      </c>
      <c r="H504" s="25" t="s">
        <v>1318</v>
      </c>
      <c r="I504" s="65" t="s">
        <v>241</v>
      </c>
      <c r="J504" s="67" t="s">
        <v>222</v>
      </c>
      <c r="K504" s="123" t="s">
        <v>222</v>
      </c>
      <c r="L504" s="20" t="s">
        <v>3</v>
      </c>
      <c r="M504" s="61" t="s">
        <v>131</v>
      </c>
      <c r="N504" s="124" t="s">
        <v>129</v>
      </c>
      <c r="O504" s="61" t="s">
        <v>131</v>
      </c>
      <c r="P504" s="61" t="s">
        <v>131</v>
      </c>
      <c r="Q504" s="61" t="s">
        <v>131</v>
      </c>
      <c r="R504" s="61" t="s">
        <v>131</v>
      </c>
      <c r="S504" s="59" t="s">
        <v>295</v>
      </c>
      <c r="T504" s="59" t="s">
        <v>26</v>
      </c>
      <c r="U504" s="59"/>
      <c r="V504" s="59"/>
      <c r="W504" s="59"/>
      <c r="X504" s="59" t="s">
        <v>1315</v>
      </c>
      <c r="Y504" s="59" t="s">
        <v>5</v>
      </c>
      <c r="Z504" s="59"/>
      <c r="AA504" s="59"/>
      <c r="AB504" s="57"/>
    </row>
    <row r="505" spans="1:28" s="1" customFormat="1" ht="33" customHeight="1" x14ac:dyDescent="0.3">
      <c r="A505" s="16">
        <v>14</v>
      </c>
      <c r="B505" s="23">
        <v>64</v>
      </c>
      <c r="C505" s="27" t="str">
        <f t="shared" si="17"/>
        <v>14.64</v>
      </c>
      <c r="D505" s="18" t="s">
        <v>905</v>
      </c>
      <c r="E505" s="64" t="str">
        <f>IF(ISBLANK(D505)=TRUE,"",VLOOKUP(D505,Krav!$C:$F,4,FALSE))</f>
        <v>10.a.1.1.1.45 - Hvis FordringsSlutDato ikke er valgt: Regel R0061 deaktiveres</v>
      </c>
      <c r="F505" s="53" t="s">
        <v>226</v>
      </c>
      <c r="G505" s="53" t="s">
        <v>308</v>
      </c>
      <c r="H505" s="25" t="s">
        <v>1318</v>
      </c>
      <c r="I505" s="65" t="s">
        <v>241</v>
      </c>
      <c r="J505" s="67" t="s">
        <v>222</v>
      </c>
      <c r="K505" s="123" t="s">
        <v>222</v>
      </c>
      <c r="L505" s="20" t="s">
        <v>3</v>
      </c>
      <c r="M505" s="61" t="s">
        <v>131</v>
      </c>
      <c r="N505" s="124" t="s">
        <v>129</v>
      </c>
      <c r="O505" s="61" t="s">
        <v>131</v>
      </c>
      <c r="P505" s="61" t="s">
        <v>131</v>
      </c>
      <c r="Q505" s="61" t="s">
        <v>131</v>
      </c>
      <c r="R505" s="61" t="s">
        <v>131</v>
      </c>
      <c r="S505" s="59" t="s">
        <v>295</v>
      </c>
      <c r="T505" s="59" t="s">
        <v>26</v>
      </c>
      <c r="U505" s="59"/>
      <c r="V505" s="59"/>
      <c r="W505" s="59"/>
      <c r="X505" s="59" t="s">
        <v>1316</v>
      </c>
      <c r="Y505" s="59" t="s">
        <v>5</v>
      </c>
      <c r="Z505" s="59"/>
      <c r="AA505" s="59"/>
      <c r="AB505" s="57"/>
    </row>
    <row r="506" spans="1:28" s="1" customFormat="1" ht="33" customHeight="1" x14ac:dyDescent="0.3">
      <c r="A506" s="16">
        <v>14</v>
      </c>
      <c r="B506" s="23">
        <v>65</v>
      </c>
      <c r="C506" s="27" t="str">
        <f t="shared" si="17"/>
        <v>14.65</v>
      </c>
      <c r="D506" s="18" t="s">
        <v>907</v>
      </c>
      <c r="E506" s="64" t="str">
        <f>IF(ISBLANK(D506)=TRUE,"",VLOOKUP(D506,Krav!$C:$F,4,FALSE))</f>
        <v>10.a.1.1.1.46 - Hvis FordringsSlutDato ikke er valgt: Regel R0062 deaktiveres</v>
      </c>
      <c r="F506" s="53" t="s">
        <v>226</v>
      </c>
      <c r="G506" s="53" t="s">
        <v>308</v>
      </c>
      <c r="H506" s="25" t="s">
        <v>1318</v>
      </c>
      <c r="I506" s="65" t="s">
        <v>241</v>
      </c>
      <c r="J506" s="67" t="s">
        <v>222</v>
      </c>
      <c r="K506" s="123" t="s">
        <v>222</v>
      </c>
      <c r="L506" s="20" t="s">
        <v>3</v>
      </c>
      <c r="M506" s="61" t="s">
        <v>131</v>
      </c>
      <c r="N506" s="124" t="s">
        <v>129</v>
      </c>
      <c r="O506" s="61" t="s">
        <v>131</v>
      </c>
      <c r="P506" s="61" t="s">
        <v>131</v>
      </c>
      <c r="Q506" s="61" t="s">
        <v>131</v>
      </c>
      <c r="R506" s="61" t="s">
        <v>131</v>
      </c>
      <c r="S506" s="59" t="s">
        <v>295</v>
      </c>
      <c r="T506" s="59" t="s">
        <v>26</v>
      </c>
      <c r="U506" s="59"/>
      <c r="V506" s="59"/>
      <c r="W506" s="59"/>
      <c r="X506" s="59" t="s">
        <v>1317</v>
      </c>
      <c r="Y506" s="59" t="s">
        <v>5</v>
      </c>
      <c r="Z506" s="59"/>
      <c r="AA506" s="59"/>
      <c r="AB506" s="57"/>
    </row>
    <row r="507" spans="1:28" s="1" customFormat="1" ht="33" customHeight="1" x14ac:dyDescent="0.3">
      <c r="A507" s="16">
        <v>14</v>
      </c>
      <c r="B507" s="23">
        <v>66</v>
      </c>
      <c r="C507" s="27" t="str">
        <f t="shared" si="17"/>
        <v>14.66</v>
      </c>
      <c r="D507" s="18" t="s">
        <v>923</v>
      </c>
      <c r="E507" s="64" t="str">
        <f>IF(ISBLANK(D507)=TRUE,"",VLOOKUP(D507,Krav!$C:$F,4,FALSE))</f>
        <v>10.a.1.1.1.54 - Hvis FordringsSlutDato ikke er valgt: Regel R0070 deaktiveres</v>
      </c>
      <c r="F507" s="53" t="s">
        <v>226</v>
      </c>
      <c r="G507" s="53" t="s">
        <v>308</v>
      </c>
      <c r="H507" s="25" t="s">
        <v>1318</v>
      </c>
      <c r="I507" s="65" t="s">
        <v>241</v>
      </c>
      <c r="J507" s="67" t="s">
        <v>222</v>
      </c>
      <c r="K507" s="123" t="s">
        <v>222</v>
      </c>
      <c r="L507" s="20" t="s">
        <v>3</v>
      </c>
      <c r="M507" s="61" t="s">
        <v>131</v>
      </c>
      <c r="N507" s="124" t="s">
        <v>129</v>
      </c>
      <c r="O507" s="61" t="s">
        <v>131</v>
      </c>
      <c r="P507" s="61" t="s">
        <v>131</v>
      </c>
      <c r="Q507" s="61" t="s">
        <v>131</v>
      </c>
      <c r="R507" s="61" t="s">
        <v>131</v>
      </c>
      <c r="S507" s="59" t="s">
        <v>295</v>
      </c>
      <c r="T507" s="59" t="s">
        <v>26</v>
      </c>
      <c r="U507" s="59"/>
      <c r="V507" s="59"/>
      <c r="W507" s="59"/>
      <c r="X507" s="59" t="s">
        <v>1313</v>
      </c>
      <c r="Y507" s="59" t="s">
        <v>5</v>
      </c>
      <c r="Z507" s="59"/>
      <c r="AA507" s="59"/>
      <c r="AB507" s="57"/>
    </row>
    <row r="508" spans="1:28" s="1" customFormat="1" ht="33" customHeight="1" x14ac:dyDescent="0.3">
      <c r="A508" s="16">
        <v>14</v>
      </c>
      <c r="B508" s="23">
        <v>67</v>
      </c>
      <c r="C508" s="27" t="str">
        <f t="shared" si="17"/>
        <v>14.67</v>
      </c>
      <c r="D508" s="18" t="s">
        <v>553</v>
      </c>
      <c r="E508" s="64" t="str">
        <f>IF(ISBLANK(D508)=TRUE,"",VLOOKUP(D508,Krav!$C:$F,4,FALSE))</f>
        <v>10.4 - Såfremt brugeren vælger et eller flere af stamdatafelterne, hvor stiftelsesdato er i blandt, skal brugeren ledes til spørgsmål 10.a via form 29</v>
      </c>
      <c r="F508" s="53" t="s">
        <v>143</v>
      </c>
      <c r="G508" s="19"/>
      <c r="H508" s="25" t="s">
        <v>554</v>
      </c>
      <c r="I508" s="65" t="s">
        <v>555</v>
      </c>
      <c r="J508" s="67" t="s">
        <v>222</v>
      </c>
      <c r="K508" s="123" t="s">
        <v>222</v>
      </c>
      <c r="L508" s="20" t="s">
        <v>3</v>
      </c>
      <c r="M508" s="61" t="s">
        <v>131</v>
      </c>
      <c r="N508" s="61" t="s">
        <v>131</v>
      </c>
      <c r="O508" s="124" t="s">
        <v>129</v>
      </c>
      <c r="P508" s="61" t="s">
        <v>131</v>
      </c>
      <c r="Q508" s="61" t="s">
        <v>131</v>
      </c>
      <c r="R508" s="61" t="s">
        <v>131</v>
      </c>
      <c r="S508" s="59" t="s">
        <v>295</v>
      </c>
      <c r="T508" s="59" t="s">
        <v>26</v>
      </c>
      <c r="U508" s="59"/>
      <c r="V508" s="59"/>
      <c r="W508" s="59"/>
      <c r="X508" s="59"/>
      <c r="Y508" s="59" t="s">
        <v>5</v>
      </c>
      <c r="Z508" s="59"/>
      <c r="AA508" s="59"/>
      <c r="AB508" s="57"/>
    </row>
    <row r="509" spans="1:28" s="1" customFormat="1" ht="33" customHeight="1" x14ac:dyDescent="0.3">
      <c r="A509" s="16">
        <v>14</v>
      </c>
      <c r="B509" s="23">
        <v>68</v>
      </c>
      <c r="C509" s="27" t="str">
        <f t="shared" si="17"/>
        <v>14.68</v>
      </c>
      <c r="D509" s="18"/>
      <c r="E509" s="64" t="str">
        <f>IF(ISBLANK(D509)=TRUE,"",VLOOKUP(D509,Krav!$C:$F,4,FALSE))</f>
        <v/>
      </c>
      <c r="F509" s="53" t="s">
        <v>225</v>
      </c>
      <c r="G509" s="19" t="s">
        <v>521</v>
      </c>
      <c r="H509" s="25" t="s">
        <v>535</v>
      </c>
      <c r="I509" s="65" t="s">
        <v>550</v>
      </c>
      <c r="J509" s="67" t="s">
        <v>222</v>
      </c>
      <c r="K509" s="123" t="s">
        <v>222</v>
      </c>
      <c r="L509" s="20" t="s">
        <v>3</v>
      </c>
      <c r="M509" s="61" t="s">
        <v>131</v>
      </c>
      <c r="N509" s="61" t="s">
        <v>131</v>
      </c>
      <c r="O509" s="124" t="s">
        <v>129</v>
      </c>
      <c r="P509" s="61" t="s">
        <v>131</v>
      </c>
      <c r="Q509" s="61" t="s">
        <v>131</v>
      </c>
      <c r="R509" s="61" t="s">
        <v>131</v>
      </c>
      <c r="S509" s="59" t="s">
        <v>295</v>
      </c>
      <c r="T509" s="59" t="s">
        <v>26</v>
      </c>
      <c r="U509" s="59"/>
      <c r="V509" s="59"/>
      <c r="W509" s="59"/>
      <c r="X509" s="59"/>
      <c r="Y509" s="59" t="s">
        <v>5</v>
      </c>
      <c r="Z509" s="59"/>
      <c r="AA509" s="59"/>
      <c r="AB509" s="57"/>
    </row>
    <row r="510" spans="1:28" s="1" customFormat="1" ht="33" customHeight="1" x14ac:dyDescent="0.3">
      <c r="A510" s="16">
        <v>14</v>
      </c>
      <c r="B510" s="23">
        <v>69</v>
      </c>
      <c r="C510" s="27" t="str">
        <f t="shared" si="17"/>
        <v>14.69</v>
      </c>
      <c r="D510" s="18"/>
      <c r="E510" s="64" t="str">
        <f>IF(ISBLANK(D510)=TRUE,"",VLOOKUP(D510,Krav!$C:$F,4,FALSE))</f>
        <v/>
      </c>
      <c r="F510" s="53" t="s">
        <v>225</v>
      </c>
      <c r="G510" s="19" t="s">
        <v>522</v>
      </c>
      <c r="H510" s="25" t="s">
        <v>537</v>
      </c>
      <c r="I510" s="65" t="s">
        <v>538</v>
      </c>
      <c r="J510" s="67" t="s">
        <v>222</v>
      </c>
      <c r="K510" s="123" t="s">
        <v>222</v>
      </c>
      <c r="L510" s="20" t="s">
        <v>3</v>
      </c>
      <c r="M510" s="61" t="s">
        <v>131</v>
      </c>
      <c r="N510" s="61" t="s">
        <v>131</v>
      </c>
      <c r="O510" s="124" t="s">
        <v>129</v>
      </c>
      <c r="P510" s="61" t="s">
        <v>131</v>
      </c>
      <c r="Q510" s="61" t="s">
        <v>131</v>
      </c>
      <c r="R510" s="61" t="s">
        <v>131</v>
      </c>
      <c r="S510" s="59" t="s">
        <v>295</v>
      </c>
      <c r="T510" s="59" t="s">
        <v>26</v>
      </c>
      <c r="U510" s="59"/>
      <c r="V510" s="59"/>
      <c r="W510" s="59"/>
      <c r="X510" s="59"/>
      <c r="Y510" s="59" t="s">
        <v>5</v>
      </c>
      <c r="Z510" s="59"/>
      <c r="AA510" s="59"/>
      <c r="AB510" s="57"/>
    </row>
    <row r="511" spans="1:28" s="1" customFormat="1" ht="33" customHeight="1" x14ac:dyDescent="0.3">
      <c r="A511" s="16">
        <v>14</v>
      </c>
      <c r="B511" s="23">
        <v>70</v>
      </c>
      <c r="C511" s="27" t="str">
        <f t="shared" si="17"/>
        <v>14.70</v>
      </c>
      <c r="D511" s="18"/>
      <c r="E511" s="64" t="str">
        <f>IF(ISBLANK(D511)=TRUE,"",VLOOKUP(D511,Krav!$C:$F,4,FALSE))</f>
        <v/>
      </c>
      <c r="F511" s="53" t="s">
        <v>225</v>
      </c>
      <c r="G511" s="19" t="s">
        <v>523</v>
      </c>
      <c r="H511" s="25" t="s">
        <v>539</v>
      </c>
      <c r="I511" s="65" t="s">
        <v>556</v>
      </c>
      <c r="J511" s="67" t="s">
        <v>222</v>
      </c>
      <c r="K511" s="123" t="s">
        <v>222</v>
      </c>
      <c r="L511" s="20" t="s">
        <v>3</v>
      </c>
      <c r="M511" s="61" t="s">
        <v>131</v>
      </c>
      <c r="N511" s="61" t="s">
        <v>131</v>
      </c>
      <c r="O511" s="124" t="s">
        <v>129</v>
      </c>
      <c r="P511" s="61" t="s">
        <v>131</v>
      </c>
      <c r="Q511" s="61" t="s">
        <v>131</v>
      </c>
      <c r="R511" s="61" t="s">
        <v>131</v>
      </c>
      <c r="S511" s="59" t="s">
        <v>295</v>
      </c>
      <c r="T511" s="59" t="s">
        <v>26</v>
      </c>
      <c r="U511" s="59"/>
      <c r="V511" s="59"/>
      <c r="W511" s="59"/>
      <c r="X511" s="59"/>
      <c r="Y511" s="59" t="s">
        <v>5</v>
      </c>
      <c r="Z511" s="59"/>
      <c r="AA511" s="59"/>
      <c r="AB511" s="57"/>
    </row>
    <row r="512" spans="1:28" s="1" customFormat="1" ht="33" customHeight="1" x14ac:dyDescent="0.3">
      <c r="A512" s="16">
        <v>14</v>
      </c>
      <c r="B512" s="23">
        <v>71</v>
      </c>
      <c r="C512" s="27" t="str">
        <f t="shared" si="17"/>
        <v>14.71</v>
      </c>
      <c r="D512" s="18"/>
      <c r="E512" s="64" t="str">
        <f>IF(ISBLANK(D512)=TRUE,"",VLOOKUP(D512,Krav!$C:$F,4,FALSE))</f>
        <v/>
      </c>
      <c r="F512" s="53" t="s">
        <v>225</v>
      </c>
      <c r="G512" s="19" t="s">
        <v>524</v>
      </c>
      <c r="H512" s="25" t="s">
        <v>541</v>
      </c>
      <c r="I512" s="65" t="s">
        <v>542</v>
      </c>
      <c r="J512" s="67" t="s">
        <v>222</v>
      </c>
      <c r="K512" s="123" t="s">
        <v>222</v>
      </c>
      <c r="L512" s="20" t="s">
        <v>3</v>
      </c>
      <c r="M512" s="61" t="s">
        <v>131</v>
      </c>
      <c r="N512" s="61" t="s">
        <v>131</v>
      </c>
      <c r="O512" s="124" t="s">
        <v>129</v>
      </c>
      <c r="P512" s="61" t="s">
        <v>131</v>
      </c>
      <c r="Q512" s="61" t="s">
        <v>131</v>
      </c>
      <c r="R512" s="61" t="s">
        <v>131</v>
      </c>
      <c r="S512" s="59" t="s">
        <v>295</v>
      </c>
      <c r="T512" s="59" t="s">
        <v>26</v>
      </c>
      <c r="U512" s="59"/>
      <c r="V512" s="59"/>
      <c r="W512" s="59"/>
      <c r="X512" s="59"/>
      <c r="Y512" s="59" t="s">
        <v>5</v>
      </c>
      <c r="Z512" s="59"/>
      <c r="AA512" s="59"/>
      <c r="AB512" s="57"/>
    </row>
    <row r="513" spans="1:28" s="1" customFormat="1" ht="33" customHeight="1" x14ac:dyDescent="0.3">
      <c r="A513" s="16">
        <v>14</v>
      </c>
      <c r="B513" s="23">
        <v>72</v>
      </c>
      <c r="C513" s="27" t="str">
        <f t="shared" si="17"/>
        <v>14.72</v>
      </c>
      <c r="D513" s="18"/>
      <c r="E513" s="64" t="str">
        <f>IF(ISBLANK(D513)=TRUE,"",VLOOKUP(D513,Krav!$C:$F,4,FALSE))</f>
        <v/>
      </c>
      <c r="F513" s="53" t="s">
        <v>225</v>
      </c>
      <c r="G513" s="19" t="s">
        <v>525</v>
      </c>
      <c r="H513" s="25" t="s">
        <v>543</v>
      </c>
      <c r="I513" s="65" t="s">
        <v>544</v>
      </c>
      <c r="J513" s="67" t="s">
        <v>222</v>
      </c>
      <c r="K513" s="123" t="s">
        <v>222</v>
      </c>
      <c r="L513" s="20" t="s">
        <v>3</v>
      </c>
      <c r="M513" s="61" t="s">
        <v>131</v>
      </c>
      <c r="N513" s="61" t="s">
        <v>131</v>
      </c>
      <c r="O513" s="124" t="s">
        <v>129</v>
      </c>
      <c r="P513" s="61" t="s">
        <v>131</v>
      </c>
      <c r="Q513" s="61" t="s">
        <v>131</v>
      </c>
      <c r="R513" s="61" t="s">
        <v>131</v>
      </c>
      <c r="S513" s="59" t="s">
        <v>295</v>
      </c>
      <c r="T513" s="59" t="s">
        <v>26</v>
      </c>
      <c r="U513" s="59"/>
      <c r="V513" s="59"/>
      <c r="W513" s="59"/>
      <c r="X513" s="59"/>
      <c r="Y513" s="59" t="s">
        <v>5</v>
      </c>
      <c r="Z513" s="59"/>
      <c r="AA513" s="59"/>
      <c r="AB513" s="57"/>
    </row>
    <row r="514" spans="1:28" s="1" customFormat="1" ht="33" customHeight="1" x14ac:dyDescent="0.3">
      <c r="A514" s="16">
        <v>14</v>
      </c>
      <c r="B514" s="23">
        <v>73</v>
      </c>
      <c r="C514" s="27" t="str">
        <f t="shared" si="17"/>
        <v>14.73</v>
      </c>
      <c r="D514" s="18"/>
      <c r="E514" s="64" t="str">
        <f>IF(ISBLANK(D514)=TRUE,"",VLOOKUP(D514,Krav!$C:$F,4,FALSE))</f>
        <v/>
      </c>
      <c r="F514" s="53" t="s">
        <v>225</v>
      </c>
      <c r="G514" s="19" t="s">
        <v>526</v>
      </c>
      <c r="H514" s="25" t="s">
        <v>543</v>
      </c>
      <c r="I514" s="65" t="s">
        <v>545</v>
      </c>
      <c r="J514" s="67" t="s">
        <v>222</v>
      </c>
      <c r="K514" s="123" t="s">
        <v>222</v>
      </c>
      <c r="L514" s="20" t="s">
        <v>3</v>
      </c>
      <c r="M514" s="61" t="s">
        <v>131</v>
      </c>
      <c r="N514" s="61" t="s">
        <v>131</v>
      </c>
      <c r="O514" s="124" t="s">
        <v>129</v>
      </c>
      <c r="P514" s="61" t="s">
        <v>131</v>
      </c>
      <c r="Q514" s="61" t="s">
        <v>131</v>
      </c>
      <c r="R514" s="61" t="s">
        <v>131</v>
      </c>
      <c r="S514" s="59" t="s">
        <v>295</v>
      </c>
      <c r="T514" s="59" t="s">
        <v>26</v>
      </c>
      <c r="U514" s="59"/>
      <c r="V514" s="59"/>
      <c r="W514" s="59"/>
      <c r="X514" s="59"/>
      <c r="Y514" s="59" t="s">
        <v>5</v>
      </c>
      <c r="Z514" s="59"/>
      <c r="AA514" s="59"/>
      <c r="AB514" s="57"/>
    </row>
    <row r="515" spans="1:28" s="1" customFormat="1" ht="33" customHeight="1" x14ac:dyDescent="0.3">
      <c r="A515" s="16">
        <v>14</v>
      </c>
      <c r="B515" s="23">
        <v>74</v>
      </c>
      <c r="C515" s="27" t="str">
        <f t="shared" si="17"/>
        <v>14.74</v>
      </c>
      <c r="D515" s="18"/>
      <c r="E515" s="64" t="str">
        <f>IF(ISBLANK(D515)=TRUE,"",VLOOKUP(D515,Krav!$C:$F,4,FALSE))</f>
        <v/>
      </c>
      <c r="F515" s="91" t="s">
        <v>418</v>
      </c>
      <c r="G515" s="91" t="s">
        <v>445</v>
      </c>
      <c r="H515" s="91" t="s">
        <v>557</v>
      </c>
      <c r="I515" s="91" t="s">
        <v>129</v>
      </c>
      <c r="J515" s="96" t="s">
        <v>222</v>
      </c>
      <c r="K515" s="125" t="s">
        <v>222</v>
      </c>
      <c r="L515" s="20" t="s">
        <v>3</v>
      </c>
      <c r="M515" s="61" t="s">
        <v>131</v>
      </c>
      <c r="N515" s="61" t="s">
        <v>131</v>
      </c>
      <c r="O515" s="124" t="s">
        <v>129</v>
      </c>
      <c r="P515" s="61" t="s">
        <v>131</v>
      </c>
      <c r="Q515" s="61" t="s">
        <v>131</v>
      </c>
      <c r="R515" s="61" t="s">
        <v>131</v>
      </c>
      <c r="S515" s="59" t="s">
        <v>295</v>
      </c>
      <c r="T515" s="59" t="s">
        <v>26</v>
      </c>
      <c r="U515" s="59"/>
      <c r="V515" s="59"/>
      <c r="W515" s="59"/>
      <c r="X515" s="59"/>
      <c r="Y515" s="59" t="s">
        <v>5</v>
      </c>
      <c r="Z515" s="59"/>
      <c r="AA515" s="59"/>
      <c r="AB515" s="57"/>
    </row>
    <row r="516" spans="1:28" s="1" customFormat="1" ht="33" customHeight="1" x14ac:dyDescent="0.3">
      <c r="A516" s="16">
        <v>14</v>
      </c>
      <c r="B516" s="23">
        <v>75</v>
      </c>
      <c r="C516" s="27" t="str">
        <f t="shared" si="17"/>
        <v>14.75</v>
      </c>
      <c r="D516" s="18" t="s">
        <v>877</v>
      </c>
      <c r="E516" s="64" t="str">
        <f>IF(ISBLANK(D516)=TRUE,"",VLOOKUP(D516,Krav!$C:$F,4,FALSE))</f>
        <v>10.a.1.1.1.31 - Hvis forfaldsdato ikke er valgt: Regel R0047 deaktiveres</v>
      </c>
      <c r="F516" s="53" t="s">
        <v>226</v>
      </c>
      <c r="G516" s="53" t="s">
        <v>308</v>
      </c>
      <c r="H516" s="25" t="s">
        <v>1322</v>
      </c>
      <c r="I516" s="65" t="s">
        <v>241</v>
      </c>
      <c r="J516" s="67" t="s">
        <v>222</v>
      </c>
      <c r="K516" s="125" t="s">
        <v>222</v>
      </c>
      <c r="L516" s="20" t="s">
        <v>3</v>
      </c>
      <c r="M516" s="61" t="s">
        <v>131</v>
      </c>
      <c r="N516" s="61" t="s">
        <v>131</v>
      </c>
      <c r="O516" s="124" t="s">
        <v>129</v>
      </c>
      <c r="P516" s="61" t="s">
        <v>131</v>
      </c>
      <c r="Q516" s="61" t="s">
        <v>131</v>
      </c>
      <c r="R516" s="61" t="s">
        <v>131</v>
      </c>
      <c r="S516" s="59" t="s">
        <v>295</v>
      </c>
      <c r="T516" s="59" t="s">
        <v>26</v>
      </c>
      <c r="U516" s="59"/>
      <c r="V516" s="59"/>
      <c r="W516" s="59"/>
      <c r="X516" s="59" t="s">
        <v>1288</v>
      </c>
      <c r="Y516" s="59" t="s">
        <v>5</v>
      </c>
      <c r="Z516" s="59"/>
      <c r="AA516" s="59"/>
      <c r="AB516" s="57"/>
    </row>
    <row r="517" spans="1:28" s="1" customFormat="1" ht="33" customHeight="1" x14ac:dyDescent="0.3">
      <c r="A517" s="16">
        <v>14</v>
      </c>
      <c r="B517" s="23">
        <v>76</v>
      </c>
      <c r="C517" s="27" t="str">
        <f t="shared" si="17"/>
        <v>14.76</v>
      </c>
      <c r="D517" s="18" t="s">
        <v>879</v>
      </c>
      <c r="E517" s="64" t="str">
        <f>IF(ISBLANK(D517)=TRUE,"",VLOOKUP(D517,Krav!$C:$F,4,FALSE))</f>
        <v>10.a.1.1.1.32 - Hvis forfaldsdato ikke er valgt: Regel R0048 deaktiveres</v>
      </c>
      <c r="F517" s="53" t="s">
        <v>226</v>
      </c>
      <c r="G517" s="53" t="s">
        <v>308</v>
      </c>
      <c r="H517" s="25" t="s">
        <v>1322</v>
      </c>
      <c r="I517" s="65" t="s">
        <v>241</v>
      </c>
      <c r="J517" s="67" t="s">
        <v>222</v>
      </c>
      <c r="K517" s="125" t="s">
        <v>222</v>
      </c>
      <c r="L517" s="20" t="s">
        <v>3</v>
      </c>
      <c r="M517" s="61" t="s">
        <v>131</v>
      </c>
      <c r="N517" s="61" t="s">
        <v>131</v>
      </c>
      <c r="O517" s="124" t="s">
        <v>129</v>
      </c>
      <c r="P517" s="61" t="s">
        <v>131</v>
      </c>
      <c r="Q517" s="61" t="s">
        <v>131</v>
      </c>
      <c r="R517" s="61" t="s">
        <v>131</v>
      </c>
      <c r="S517" s="59" t="s">
        <v>295</v>
      </c>
      <c r="T517" s="59" t="s">
        <v>26</v>
      </c>
      <c r="U517" s="59"/>
      <c r="V517" s="59"/>
      <c r="W517" s="59"/>
      <c r="X517" s="59" t="s">
        <v>1289</v>
      </c>
      <c r="Y517" s="59" t="s">
        <v>5</v>
      </c>
      <c r="Z517" s="59"/>
      <c r="AA517" s="59"/>
      <c r="AB517" s="57"/>
    </row>
    <row r="518" spans="1:28" s="1" customFormat="1" ht="33" customHeight="1" x14ac:dyDescent="0.3">
      <c r="A518" s="16">
        <v>14</v>
      </c>
      <c r="B518" s="23">
        <v>77</v>
      </c>
      <c r="C518" s="27" t="str">
        <f t="shared" si="17"/>
        <v>14.77</v>
      </c>
      <c r="D518" s="18" t="s">
        <v>881</v>
      </c>
      <c r="E518" s="64" t="str">
        <f>IF(ISBLANK(D518)=TRUE,"",VLOOKUP(D518,Krav!$C:$F,4,FALSE))</f>
        <v>10.a.1.1.1.33 - Hvis forfaldsdato ikke er valgt: Regel R0049 deaktiveres</v>
      </c>
      <c r="F518" s="53" t="s">
        <v>226</v>
      </c>
      <c r="G518" s="53" t="s">
        <v>308</v>
      </c>
      <c r="H518" s="25" t="s">
        <v>1322</v>
      </c>
      <c r="I518" s="65" t="s">
        <v>241</v>
      </c>
      <c r="J518" s="67" t="s">
        <v>222</v>
      </c>
      <c r="K518" s="125" t="s">
        <v>222</v>
      </c>
      <c r="L518" s="20" t="s">
        <v>3</v>
      </c>
      <c r="M518" s="61" t="s">
        <v>131</v>
      </c>
      <c r="N518" s="61" t="s">
        <v>131</v>
      </c>
      <c r="O518" s="124" t="s">
        <v>129</v>
      </c>
      <c r="P518" s="61" t="s">
        <v>131</v>
      </c>
      <c r="Q518" s="61" t="s">
        <v>131</v>
      </c>
      <c r="R518" s="61" t="s">
        <v>131</v>
      </c>
      <c r="S518" s="59" t="s">
        <v>295</v>
      </c>
      <c r="T518" s="59" t="s">
        <v>26</v>
      </c>
      <c r="U518" s="59"/>
      <c r="V518" s="59"/>
      <c r="W518" s="59"/>
      <c r="X518" s="59" t="s">
        <v>1290</v>
      </c>
      <c r="Y518" s="59" t="s">
        <v>5</v>
      </c>
      <c r="Z518" s="59"/>
      <c r="AA518" s="59"/>
      <c r="AB518" s="57"/>
    </row>
    <row r="519" spans="1:28" s="1" customFormat="1" ht="33" customHeight="1" x14ac:dyDescent="0.3">
      <c r="A519" s="16">
        <v>14</v>
      </c>
      <c r="B519" s="23">
        <v>78</v>
      </c>
      <c r="C519" s="27" t="str">
        <f t="shared" si="17"/>
        <v>14.78</v>
      </c>
      <c r="D519" s="18" t="s">
        <v>883</v>
      </c>
      <c r="E519" s="64" t="str">
        <f>IF(ISBLANK(D519)=TRUE,"",VLOOKUP(D519,Krav!$C:$F,4,FALSE))</f>
        <v>10.a.1.1.1.34 - Hvis forfaldsdato ikke er valgt: Regel R0050 deaktiveres</v>
      </c>
      <c r="F519" s="53" t="s">
        <v>226</v>
      </c>
      <c r="G519" s="53" t="s">
        <v>308</v>
      </c>
      <c r="H519" s="25" t="s">
        <v>1322</v>
      </c>
      <c r="I519" s="65" t="s">
        <v>241</v>
      </c>
      <c r="J519" s="67" t="s">
        <v>222</v>
      </c>
      <c r="K519" s="125" t="s">
        <v>222</v>
      </c>
      <c r="L519" s="20" t="s">
        <v>3</v>
      </c>
      <c r="M519" s="61" t="s">
        <v>131</v>
      </c>
      <c r="N519" s="61" t="s">
        <v>131</v>
      </c>
      <c r="O519" s="124" t="s">
        <v>129</v>
      </c>
      <c r="P519" s="61" t="s">
        <v>131</v>
      </c>
      <c r="Q519" s="61" t="s">
        <v>131</v>
      </c>
      <c r="R519" s="61" t="s">
        <v>131</v>
      </c>
      <c r="S519" s="59" t="s">
        <v>295</v>
      </c>
      <c r="T519" s="59" t="s">
        <v>26</v>
      </c>
      <c r="U519" s="59"/>
      <c r="V519" s="59"/>
      <c r="W519" s="59"/>
      <c r="X519" s="59" t="s">
        <v>1291</v>
      </c>
      <c r="Y519" s="59" t="s">
        <v>5</v>
      </c>
      <c r="Z519" s="59"/>
      <c r="AA519" s="59"/>
      <c r="AB519" s="57"/>
    </row>
    <row r="520" spans="1:28" s="1" customFormat="1" ht="33" customHeight="1" x14ac:dyDescent="0.3">
      <c r="A520" s="16">
        <v>14</v>
      </c>
      <c r="B520" s="23">
        <v>79</v>
      </c>
      <c r="C520" s="27" t="str">
        <f t="shared" si="17"/>
        <v>14.79</v>
      </c>
      <c r="D520" s="18" t="s">
        <v>917</v>
      </c>
      <c r="E520" s="64" t="str">
        <f>IF(ISBLANK(D520)=TRUE,"",VLOOKUP(D520,Krav!$C:$F,4,FALSE))</f>
        <v>10.a.1.1.1.51 - Hvis ForfaldsDato ikke er valgt: Regel R0067 deaktiveres</v>
      </c>
      <c r="F520" s="53" t="s">
        <v>226</v>
      </c>
      <c r="G520" s="53" t="s">
        <v>308</v>
      </c>
      <c r="H520" s="25" t="s">
        <v>1322</v>
      </c>
      <c r="I520" s="65" t="s">
        <v>241</v>
      </c>
      <c r="J520" s="67" t="s">
        <v>222</v>
      </c>
      <c r="K520" s="123" t="s">
        <v>222</v>
      </c>
      <c r="L520" s="20" t="s">
        <v>3</v>
      </c>
      <c r="M520" s="61" t="s">
        <v>131</v>
      </c>
      <c r="N520" s="61" t="s">
        <v>131</v>
      </c>
      <c r="O520" s="124" t="s">
        <v>129</v>
      </c>
      <c r="P520" s="61" t="s">
        <v>131</v>
      </c>
      <c r="Q520" s="61" t="s">
        <v>131</v>
      </c>
      <c r="R520" s="61" t="s">
        <v>131</v>
      </c>
      <c r="S520" s="59" t="s">
        <v>295</v>
      </c>
      <c r="T520" s="59" t="s">
        <v>26</v>
      </c>
      <c r="U520" s="59"/>
      <c r="V520" s="59"/>
      <c r="W520" s="59"/>
      <c r="X520" s="59" t="s">
        <v>1292</v>
      </c>
      <c r="Y520" s="59" t="s">
        <v>5</v>
      </c>
      <c r="Z520" s="59"/>
      <c r="AA520" s="59"/>
      <c r="AB520" s="57"/>
    </row>
    <row r="521" spans="1:28" s="1" customFormat="1" ht="33" customHeight="1" x14ac:dyDescent="0.3">
      <c r="A521" s="16">
        <v>14</v>
      </c>
      <c r="B521" s="23">
        <v>80</v>
      </c>
      <c r="C521" s="27" t="str">
        <f t="shared" si="17"/>
        <v>14.80</v>
      </c>
      <c r="D521" s="18" t="s">
        <v>909</v>
      </c>
      <c r="E521" s="64" t="str">
        <f>IF(ISBLANK(D521)=TRUE,"",VLOOKUP(D521,Krav!$C:$F,4,FALSE))</f>
        <v>10.a.1.1.1.47 - Hvis SRBDato ikke er valgt: Regel R0063 deaktiveres</v>
      </c>
      <c r="F521" s="53" t="s">
        <v>226</v>
      </c>
      <c r="G521" s="53" t="s">
        <v>308</v>
      </c>
      <c r="H521" s="25" t="s">
        <v>1321</v>
      </c>
      <c r="I521" s="65" t="s">
        <v>241</v>
      </c>
      <c r="J521" s="67" t="s">
        <v>222</v>
      </c>
      <c r="K521" s="123" t="s">
        <v>222</v>
      </c>
      <c r="L521" s="20" t="s">
        <v>3</v>
      </c>
      <c r="M521" s="61" t="s">
        <v>131</v>
      </c>
      <c r="N521" s="61" t="s">
        <v>131</v>
      </c>
      <c r="O521" s="124" t="s">
        <v>129</v>
      </c>
      <c r="P521" s="61" t="s">
        <v>131</v>
      </c>
      <c r="Q521" s="61" t="s">
        <v>131</v>
      </c>
      <c r="R521" s="61" t="s">
        <v>131</v>
      </c>
      <c r="S521" s="59" t="s">
        <v>295</v>
      </c>
      <c r="T521" s="59" t="s">
        <v>26</v>
      </c>
      <c r="U521" s="59"/>
      <c r="V521" s="59"/>
      <c r="W521" s="59"/>
      <c r="X521" s="59" t="s">
        <v>1294</v>
      </c>
      <c r="Y521" s="59" t="s">
        <v>5</v>
      </c>
      <c r="Z521" s="59"/>
      <c r="AA521" s="59"/>
      <c r="AB521" s="57"/>
    </row>
    <row r="522" spans="1:28" s="1" customFormat="1" ht="33" customHeight="1" x14ac:dyDescent="0.3">
      <c r="A522" s="16">
        <v>14</v>
      </c>
      <c r="B522" s="23">
        <v>81</v>
      </c>
      <c r="C522" s="27" t="str">
        <f t="shared" si="17"/>
        <v>14.81</v>
      </c>
      <c r="D522" s="18" t="s">
        <v>911</v>
      </c>
      <c r="E522" s="64" t="str">
        <f>IF(ISBLANK(D522)=TRUE,"",VLOOKUP(D522,Krav!$C:$F,4,FALSE))</f>
        <v>10.a.1.1.1.48 - Hvis SRBDato ikke er valgt: Regel R0064 deaktiveres</v>
      </c>
      <c r="F522" s="53" t="s">
        <v>226</v>
      </c>
      <c r="G522" s="53" t="s">
        <v>308</v>
      </c>
      <c r="H522" s="25" t="s">
        <v>1321</v>
      </c>
      <c r="I522" s="65" t="s">
        <v>241</v>
      </c>
      <c r="J522" s="67" t="s">
        <v>222</v>
      </c>
      <c r="K522" s="123" t="s">
        <v>222</v>
      </c>
      <c r="L522" s="20" t="s">
        <v>3</v>
      </c>
      <c r="M522" s="61" t="s">
        <v>131</v>
      </c>
      <c r="N522" s="61" t="s">
        <v>131</v>
      </c>
      <c r="O522" s="124" t="s">
        <v>129</v>
      </c>
      <c r="P522" s="61" t="s">
        <v>131</v>
      </c>
      <c r="Q522" s="61" t="s">
        <v>131</v>
      </c>
      <c r="R522" s="61" t="s">
        <v>131</v>
      </c>
      <c r="S522" s="59" t="s">
        <v>295</v>
      </c>
      <c r="T522" s="59" t="s">
        <v>26</v>
      </c>
      <c r="U522" s="59"/>
      <c r="V522" s="59"/>
      <c r="W522" s="59"/>
      <c r="X522" s="59" t="s">
        <v>1295</v>
      </c>
      <c r="Y522" s="59" t="s">
        <v>5</v>
      </c>
      <c r="Z522" s="59"/>
      <c r="AA522" s="59"/>
      <c r="AB522" s="57"/>
    </row>
    <row r="523" spans="1:28" s="1" customFormat="1" ht="33" customHeight="1" x14ac:dyDescent="0.3">
      <c r="A523" s="16">
        <v>14</v>
      </c>
      <c r="B523" s="23">
        <v>82</v>
      </c>
      <c r="C523" s="27" t="str">
        <f t="shared" si="17"/>
        <v>14.82</v>
      </c>
      <c r="D523" s="18" t="s">
        <v>913</v>
      </c>
      <c r="E523" s="64" t="str">
        <f>IF(ISBLANK(D523)=TRUE,"",VLOOKUP(D523,Krav!$C:$F,4,FALSE))</f>
        <v>10.a.1.1.1.49 - Hvis SRBDato ikke er valgt: Regel R0065 deaktiveres</v>
      </c>
      <c r="F523" s="53" t="s">
        <v>226</v>
      </c>
      <c r="G523" s="53" t="s">
        <v>308</v>
      </c>
      <c r="H523" s="25" t="s">
        <v>1321</v>
      </c>
      <c r="I523" s="65" t="s">
        <v>241</v>
      </c>
      <c r="J523" s="67" t="s">
        <v>222</v>
      </c>
      <c r="K523" s="123" t="s">
        <v>222</v>
      </c>
      <c r="L523" s="20" t="s">
        <v>3</v>
      </c>
      <c r="M523" s="61" t="s">
        <v>131</v>
      </c>
      <c r="N523" s="61" t="s">
        <v>131</v>
      </c>
      <c r="O523" s="124" t="s">
        <v>129</v>
      </c>
      <c r="P523" s="61" t="s">
        <v>131</v>
      </c>
      <c r="Q523" s="61" t="s">
        <v>131</v>
      </c>
      <c r="R523" s="61" t="s">
        <v>131</v>
      </c>
      <c r="S523" s="59" t="s">
        <v>295</v>
      </c>
      <c r="T523" s="59" t="s">
        <v>26</v>
      </c>
      <c r="U523" s="59"/>
      <c r="V523" s="59"/>
      <c r="W523" s="59"/>
      <c r="X523" s="59" t="s">
        <v>1296</v>
      </c>
      <c r="Y523" s="59" t="s">
        <v>5</v>
      </c>
      <c r="Z523" s="59"/>
      <c r="AA523" s="59"/>
      <c r="AB523" s="57"/>
    </row>
    <row r="524" spans="1:28" s="1" customFormat="1" ht="33" customHeight="1" x14ac:dyDescent="0.3">
      <c r="A524" s="16">
        <v>14</v>
      </c>
      <c r="B524" s="23">
        <v>83</v>
      </c>
      <c r="C524" s="27" t="str">
        <f t="shared" si="17"/>
        <v>14.83</v>
      </c>
      <c r="D524" s="18" t="s">
        <v>915</v>
      </c>
      <c r="E524" s="64" t="str">
        <f>IF(ISBLANK(D524)=TRUE,"",VLOOKUP(D524,Krav!$C:$F,4,FALSE))</f>
        <v>10.a.1.1.1.50 - Hvis SRBDato ikke er valgt: Regel R0066 deaktiveres</v>
      </c>
      <c r="F524" s="53" t="s">
        <v>226</v>
      </c>
      <c r="G524" s="53" t="s">
        <v>308</v>
      </c>
      <c r="H524" s="25" t="s">
        <v>1321</v>
      </c>
      <c r="I524" s="65" t="s">
        <v>241</v>
      </c>
      <c r="J524" s="67" t="s">
        <v>222</v>
      </c>
      <c r="K524" s="123" t="s">
        <v>222</v>
      </c>
      <c r="L524" s="20" t="s">
        <v>3</v>
      </c>
      <c r="M524" s="61" t="s">
        <v>131</v>
      </c>
      <c r="N524" s="61" t="s">
        <v>131</v>
      </c>
      <c r="O524" s="124" t="s">
        <v>129</v>
      </c>
      <c r="P524" s="61" t="s">
        <v>131</v>
      </c>
      <c r="Q524" s="61" t="s">
        <v>131</v>
      </c>
      <c r="R524" s="61" t="s">
        <v>131</v>
      </c>
      <c r="S524" s="59" t="s">
        <v>295</v>
      </c>
      <c r="T524" s="59" t="s">
        <v>26</v>
      </c>
      <c r="U524" s="59"/>
      <c r="V524" s="59"/>
      <c r="W524" s="59"/>
      <c r="X524" s="59" t="s">
        <v>1297</v>
      </c>
      <c r="Y524" s="59" t="s">
        <v>5</v>
      </c>
      <c r="Z524" s="59"/>
      <c r="AA524" s="59"/>
      <c r="AB524" s="57"/>
    </row>
    <row r="525" spans="1:28" s="1" customFormat="1" ht="33" customHeight="1" x14ac:dyDescent="0.3">
      <c r="A525" s="16">
        <v>14</v>
      </c>
      <c r="B525" s="23">
        <v>84</v>
      </c>
      <c r="C525" s="27" t="str">
        <f t="shared" si="17"/>
        <v>14.84</v>
      </c>
      <c r="D525" s="18" t="s">
        <v>925</v>
      </c>
      <c r="E525" s="64" t="str">
        <f>IF(ISBLANK(D525)=TRUE,"",VLOOKUP(D525,Krav!$C:$F,4,FALSE))</f>
        <v>10.a.1.1.1.55 - Hvis SRBDato ikke er valgt: Regel R0071 deaktiveres</v>
      </c>
      <c r="F525" s="53" t="s">
        <v>226</v>
      </c>
      <c r="G525" s="53" t="s">
        <v>308</v>
      </c>
      <c r="H525" s="25" t="s">
        <v>1321</v>
      </c>
      <c r="I525" s="65" t="s">
        <v>241</v>
      </c>
      <c r="J525" s="67" t="s">
        <v>222</v>
      </c>
      <c r="K525" s="123" t="s">
        <v>222</v>
      </c>
      <c r="L525" s="20" t="s">
        <v>3</v>
      </c>
      <c r="M525" s="61" t="s">
        <v>131</v>
      </c>
      <c r="N525" s="61" t="s">
        <v>131</v>
      </c>
      <c r="O525" s="124" t="s">
        <v>129</v>
      </c>
      <c r="P525" s="61" t="s">
        <v>131</v>
      </c>
      <c r="Q525" s="61" t="s">
        <v>131</v>
      </c>
      <c r="R525" s="61" t="s">
        <v>131</v>
      </c>
      <c r="S525" s="59" t="s">
        <v>295</v>
      </c>
      <c r="T525" s="59" t="s">
        <v>26</v>
      </c>
      <c r="U525" s="59"/>
      <c r="V525" s="59"/>
      <c r="W525" s="59"/>
      <c r="X525" s="59" t="s">
        <v>1298</v>
      </c>
      <c r="Y525" s="59" t="s">
        <v>5</v>
      </c>
      <c r="Z525" s="59"/>
      <c r="AA525" s="59"/>
      <c r="AB525" s="57"/>
    </row>
    <row r="526" spans="1:28" s="1" customFormat="1" ht="33" customHeight="1" x14ac:dyDescent="0.3">
      <c r="A526" s="16">
        <v>14</v>
      </c>
      <c r="B526" s="23">
        <v>85</v>
      </c>
      <c r="C526" s="27" t="str">
        <f t="shared" si="17"/>
        <v>14.85</v>
      </c>
      <c r="D526" s="18" t="s">
        <v>835</v>
      </c>
      <c r="E526" s="64" t="str">
        <f>IF(ISBLANK(D526)=TRUE,"",VLOOKUP(D526,Krav!$C:$F,4,FALSE))</f>
        <v>10.a.1.1.1.10 - Hvis stiftelsesdato er valgt: Regel R0051 aktiveres</v>
      </c>
      <c r="F526" s="53" t="s">
        <v>226</v>
      </c>
      <c r="G526" s="53" t="s">
        <v>308</v>
      </c>
      <c r="H526" s="25" t="s">
        <v>1304</v>
      </c>
      <c r="I526" s="65" t="s">
        <v>240</v>
      </c>
      <c r="J526" s="67" t="s">
        <v>222</v>
      </c>
      <c r="K526" s="123" t="s">
        <v>222</v>
      </c>
      <c r="L526" s="20" t="s">
        <v>3</v>
      </c>
      <c r="M526" s="61" t="s">
        <v>131</v>
      </c>
      <c r="N526" s="61" t="s">
        <v>131</v>
      </c>
      <c r="O526" s="124" t="s">
        <v>129</v>
      </c>
      <c r="P526" s="61" t="s">
        <v>131</v>
      </c>
      <c r="Q526" s="61" t="s">
        <v>131</v>
      </c>
      <c r="R526" s="61" t="s">
        <v>131</v>
      </c>
      <c r="S526" s="59" t="s">
        <v>295</v>
      </c>
      <c r="T526" s="59" t="s">
        <v>26</v>
      </c>
      <c r="U526" s="59"/>
      <c r="V526" s="59"/>
      <c r="W526" s="59"/>
      <c r="X526" s="59" t="s">
        <v>1299</v>
      </c>
      <c r="Y526" s="59" t="s">
        <v>5</v>
      </c>
      <c r="Z526" s="59"/>
      <c r="AA526" s="59"/>
      <c r="AB526" s="57"/>
    </row>
    <row r="527" spans="1:28" s="1" customFormat="1" ht="33" customHeight="1" x14ac:dyDescent="0.3">
      <c r="A527" s="16">
        <v>14</v>
      </c>
      <c r="B527" s="23">
        <v>86</v>
      </c>
      <c r="C527" s="27" t="str">
        <f t="shared" si="17"/>
        <v>14.86</v>
      </c>
      <c r="D527" s="18" t="s">
        <v>837</v>
      </c>
      <c r="E527" s="64" t="str">
        <f>IF(ISBLANK(D527)=TRUE,"",VLOOKUP(D527,Krav!$C:$F,4,FALSE))</f>
        <v>10.a.1.1.1.11 - Hvis stiftelsesdato er valgt: Regel R0052 aktiveres</v>
      </c>
      <c r="F527" s="53" t="s">
        <v>226</v>
      </c>
      <c r="G527" s="53" t="s">
        <v>308</v>
      </c>
      <c r="H527" s="25" t="s">
        <v>1304</v>
      </c>
      <c r="I527" s="65" t="s">
        <v>240</v>
      </c>
      <c r="J527" s="67" t="s">
        <v>222</v>
      </c>
      <c r="K527" s="123" t="s">
        <v>222</v>
      </c>
      <c r="L527" s="20" t="s">
        <v>3</v>
      </c>
      <c r="M527" s="61" t="s">
        <v>131</v>
      </c>
      <c r="N527" s="61" t="s">
        <v>131</v>
      </c>
      <c r="O527" s="124" t="s">
        <v>129</v>
      </c>
      <c r="P527" s="61" t="s">
        <v>131</v>
      </c>
      <c r="Q527" s="61" t="s">
        <v>131</v>
      </c>
      <c r="R527" s="61" t="s">
        <v>131</v>
      </c>
      <c r="S527" s="59" t="s">
        <v>295</v>
      </c>
      <c r="T527" s="59" t="s">
        <v>26</v>
      </c>
      <c r="U527" s="59"/>
      <c r="V527" s="59"/>
      <c r="W527" s="59"/>
      <c r="X527" s="59" t="s">
        <v>1300</v>
      </c>
      <c r="Y527" s="59" t="s">
        <v>5</v>
      </c>
      <c r="Z527" s="59"/>
      <c r="AA527" s="59"/>
      <c r="AB527" s="57"/>
    </row>
    <row r="528" spans="1:28" s="1" customFormat="1" ht="33" customHeight="1" x14ac:dyDescent="0.3">
      <c r="A528" s="16">
        <v>14</v>
      </c>
      <c r="B528" s="23">
        <v>87</v>
      </c>
      <c r="C528" s="27" t="str">
        <f t="shared" si="17"/>
        <v>14.87</v>
      </c>
      <c r="D528" s="18" t="s">
        <v>839</v>
      </c>
      <c r="E528" s="64" t="str">
        <f>IF(ISBLANK(D528)=TRUE,"",VLOOKUP(D528,Krav!$C:$F,4,FALSE))</f>
        <v>10.a.1.1.1.12 - Hvis stiftelsesdato er valgt: Regel R0053 aktiveres</v>
      </c>
      <c r="F528" s="53" t="s">
        <v>226</v>
      </c>
      <c r="G528" s="53" t="s">
        <v>308</v>
      </c>
      <c r="H528" s="25" t="s">
        <v>1304</v>
      </c>
      <c r="I528" s="65" t="s">
        <v>240</v>
      </c>
      <c r="J528" s="67" t="s">
        <v>222</v>
      </c>
      <c r="K528" s="123" t="s">
        <v>222</v>
      </c>
      <c r="L528" s="20" t="s">
        <v>3</v>
      </c>
      <c r="M528" s="61" t="s">
        <v>131</v>
      </c>
      <c r="N528" s="61" t="s">
        <v>131</v>
      </c>
      <c r="O528" s="124" t="s">
        <v>129</v>
      </c>
      <c r="P528" s="61" t="s">
        <v>131</v>
      </c>
      <c r="Q528" s="61" t="s">
        <v>131</v>
      </c>
      <c r="R528" s="61" t="s">
        <v>131</v>
      </c>
      <c r="S528" s="59" t="s">
        <v>295</v>
      </c>
      <c r="T528" s="59" t="s">
        <v>26</v>
      </c>
      <c r="U528" s="59"/>
      <c r="V528" s="59"/>
      <c r="W528" s="59"/>
      <c r="X528" s="59" t="s">
        <v>1301</v>
      </c>
      <c r="Y528" s="59" t="s">
        <v>5</v>
      </c>
      <c r="Z528" s="59"/>
      <c r="AA528" s="59"/>
      <c r="AB528" s="57"/>
    </row>
    <row r="529" spans="1:28" s="1" customFormat="1" ht="33" customHeight="1" x14ac:dyDescent="0.3">
      <c r="A529" s="16">
        <v>14</v>
      </c>
      <c r="B529" s="23">
        <v>88</v>
      </c>
      <c r="C529" s="27" t="str">
        <f t="shared" si="17"/>
        <v>14.88</v>
      </c>
      <c r="D529" s="18" t="s">
        <v>841</v>
      </c>
      <c r="E529" s="64" t="str">
        <f>IF(ISBLANK(D529)=TRUE,"",VLOOKUP(D529,Krav!$C:$F,4,FALSE))</f>
        <v>10.a.1.1.1.13 - Hvis stiftelsesdato er valgt: Regel R0054 aktiveres</v>
      </c>
      <c r="F529" s="53" t="s">
        <v>226</v>
      </c>
      <c r="G529" s="53" t="s">
        <v>308</v>
      </c>
      <c r="H529" s="25" t="s">
        <v>1304</v>
      </c>
      <c r="I529" s="65" t="s">
        <v>240</v>
      </c>
      <c r="J529" s="67" t="s">
        <v>222</v>
      </c>
      <c r="K529" s="123" t="s">
        <v>222</v>
      </c>
      <c r="L529" s="20" t="s">
        <v>3</v>
      </c>
      <c r="M529" s="61" t="s">
        <v>131</v>
      </c>
      <c r="N529" s="61" t="s">
        <v>131</v>
      </c>
      <c r="O529" s="124" t="s">
        <v>129</v>
      </c>
      <c r="P529" s="61" t="s">
        <v>131</v>
      </c>
      <c r="Q529" s="61" t="s">
        <v>131</v>
      </c>
      <c r="R529" s="61" t="s">
        <v>131</v>
      </c>
      <c r="S529" s="59" t="s">
        <v>295</v>
      </c>
      <c r="T529" s="59" t="s">
        <v>26</v>
      </c>
      <c r="U529" s="59"/>
      <c r="V529" s="59"/>
      <c r="W529" s="59"/>
      <c r="X529" s="59" t="s">
        <v>1302</v>
      </c>
      <c r="Y529" s="59" t="s">
        <v>5</v>
      </c>
      <c r="Z529" s="59"/>
      <c r="AA529" s="59"/>
      <c r="AB529" s="57"/>
    </row>
    <row r="530" spans="1:28" s="1" customFormat="1" ht="33" customHeight="1" x14ac:dyDescent="0.3">
      <c r="A530" s="16">
        <v>14</v>
      </c>
      <c r="B530" s="23">
        <v>89</v>
      </c>
      <c r="C530" s="27" t="str">
        <f t="shared" si="17"/>
        <v>14.89</v>
      </c>
      <c r="D530" s="18" t="s">
        <v>869</v>
      </c>
      <c r="E530" s="64" t="str">
        <f>IF(ISBLANK(D530)=TRUE,"",VLOOKUP(D530,Krav!$C:$F,4,FALSE))</f>
        <v>10.a.1.1.1.27 - Hvis StiftelsesDato er valgt: Regel R0068 aktiveres</v>
      </c>
      <c r="F530" s="53" t="s">
        <v>226</v>
      </c>
      <c r="G530" s="53" t="s">
        <v>308</v>
      </c>
      <c r="H530" s="25" t="s">
        <v>1304</v>
      </c>
      <c r="I530" s="65" t="s">
        <v>240</v>
      </c>
      <c r="J530" s="67" t="s">
        <v>222</v>
      </c>
      <c r="K530" s="123" t="s">
        <v>222</v>
      </c>
      <c r="L530" s="20" t="s">
        <v>3</v>
      </c>
      <c r="M530" s="61" t="s">
        <v>131</v>
      </c>
      <c r="N530" s="61" t="s">
        <v>131</v>
      </c>
      <c r="O530" s="124" t="s">
        <v>129</v>
      </c>
      <c r="P530" s="61" t="s">
        <v>131</v>
      </c>
      <c r="Q530" s="61" t="s">
        <v>131</v>
      </c>
      <c r="R530" s="61" t="s">
        <v>131</v>
      </c>
      <c r="S530" s="59" t="s">
        <v>295</v>
      </c>
      <c r="T530" s="59" t="s">
        <v>26</v>
      </c>
      <c r="U530" s="59"/>
      <c r="V530" s="59"/>
      <c r="W530" s="59"/>
      <c r="X530" s="59" t="s">
        <v>1303</v>
      </c>
      <c r="Y530" s="59" t="s">
        <v>5</v>
      </c>
      <c r="Z530" s="59"/>
      <c r="AA530" s="59"/>
      <c r="AB530" s="57"/>
    </row>
    <row r="531" spans="1:28" s="1" customFormat="1" ht="33" customHeight="1" x14ac:dyDescent="0.3">
      <c r="A531" s="16">
        <v>14</v>
      </c>
      <c r="B531" s="23">
        <v>90</v>
      </c>
      <c r="C531" s="27" t="str">
        <f t="shared" si="17"/>
        <v>14.90</v>
      </c>
      <c r="D531" s="18" t="s">
        <v>893</v>
      </c>
      <c r="E531" s="64" t="str">
        <f>IF(ISBLANK(D531)=TRUE,"",VLOOKUP(D531,Krav!$C:$F,4,FALSE))</f>
        <v>10.a.1.1.1.39 - Hvis FordringsStartDato ikke er valgt: Regel R0055 deaktiveres</v>
      </c>
      <c r="F531" s="53" t="s">
        <v>226</v>
      </c>
      <c r="G531" s="53" t="s">
        <v>308</v>
      </c>
      <c r="H531" s="25" t="s">
        <v>1319</v>
      </c>
      <c r="I531" s="65" t="s">
        <v>241</v>
      </c>
      <c r="J531" s="67" t="s">
        <v>222</v>
      </c>
      <c r="K531" s="123" t="s">
        <v>222</v>
      </c>
      <c r="L531" s="20" t="s">
        <v>3</v>
      </c>
      <c r="M531" s="61" t="s">
        <v>131</v>
      </c>
      <c r="N531" s="61" t="s">
        <v>131</v>
      </c>
      <c r="O531" s="124" t="s">
        <v>129</v>
      </c>
      <c r="P531" s="61" t="s">
        <v>131</v>
      </c>
      <c r="Q531" s="61" t="s">
        <v>131</v>
      </c>
      <c r="R531" s="61" t="s">
        <v>131</v>
      </c>
      <c r="S531" s="59" t="s">
        <v>295</v>
      </c>
      <c r="T531" s="59" t="s">
        <v>26</v>
      </c>
      <c r="U531" s="59"/>
      <c r="V531" s="59"/>
      <c r="W531" s="59"/>
      <c r="X531" s="59" t="s">
        <v>1308</v>
      </c>
      <c r="Y531" s="59" t="s">
        <v>5</v>
      </c>
      <c r="Z531" s="59"/>
      <c r="AA531" s="59"/>
      <c r="AB531" s="57"/>
    </row>
    <row r="532" spans="1:28" s="1" customFormat="1" ht="33" customHeight="1" x14ac:dyDescent="0.3">
      <c r="A532" s="16">
        <v>14</v>
      </c>
      <c r="B532" s="23">
        <v>91</v>
      </c>
      <c r="C532" s="27" t="str">
        <f t="shared" si="17"/>
        <v>14.91</v>
      </c>
      <c r="D532" s="18" t="s">
        <v>895</v>
      </c>
      <c r="E532" s="64" t="str">
        <f>IF(ISBLANK(D532)=TRUE,"",VLOOKUP(D532,Krav!$C:$F,4,FALSE))</f>
        <v>10.a.1.1.1.40 - Hvis FordringsStartDato ikke er valgt: Regel R0056 deaktiveres</v>
      </c>
      <c r="F532" s="53" t="s">
        <v>226</v>
      </c>
      <c r="G532" s="53" t="s">
        <v>308</v>
      </c>
      <c r="H532" s="25" t="s">
        <v>1319</v>
      </c>
      <c r="I532" s="65" t="s">
        <v>241</v>
      </c>
      <c r="J532" s="67" t="s">
        <v>222</v>
      </c>
      <c r="K532" s="123" t="s">
        <v>222</v>
      </c>
      <c r="L532" s="20" t="s">
        <v>3</v>
      </c>
      <c r="M532" s="61" t="s">
        <v>131</v>
      </c>
      <c r="N532" s="61" t="s">
        <v>131</v>
      </c>
      <c r="O532" s="124" t="s">
        <v>129</v>
      </c>
      <c r="P532" s="61" t="s">
        <v>131</v>
      </c>
      <c r="Q532" s="61" t="s">
        <v>131</v>
      </c>
      <c r="R532" s="61" t="s">
        <v>131</v>
      </c>
      <c r="S532" s="59" t="s">
        <v>295</v>
      </c>
      <c r="T532" s="59" t="s">
        <v>26</v>
      </c>
      <c r="U532" s="59"/>
      <c r="V532" s="59"/>
      <c r="W532" s="59"/>
      <c r="X532" s="59" t="s">
        <v>1309</v>
      </c>
      <c r="Y532" s="59" t="s">
        <v>5</v>
      </c>
      <c r="Z532" s="59"/>
      <c r="AA532" s="59"/>
      <c r="AB532" s="57"/>
    </row>
    <row r="533" spans="1:28" s="1" customFormat="1" ht="33" customHeight="1" x14ac:dyDescent="0.3">
      <c r="A533" s="16">
        <v>14</v>
      </c>
      <c r="B533" s="23">
        <v>92</v>
      </c>
      <c r="C533" s="27" t="str">
        <f t="shared" si="17"/>
        <v>14.92</v>
      </c>
      <c r="D533" s="18" t="s">
        <v>897</v>
      </c>
      <c r="E533" s="64" t="str">
        <f>IF(ISBLANK(D533)=TRUE,"",VLOOKUP(D533,Krav!$C:$F,4,FALSE))</f>
        <v>10.a.1.1.1.41 - Hvis FordringsStartDato ikke er valgt: Regel R0057 deaktiveres</v>
      </c>
      <c r="F533" s="53" t="s">
        <v>226</v>
      </c>
      <c r="G533" s="53" t="s">
        <v>308</v>
      </c>
      <c r="H533" s="25" t="s">
        <v>1319</v>
      </c>
      <c r="I533" s="65" t="s">
        <v>241</v>
      </c>
      <c r="J533" s="67" t="s">
        <v>222</v>
      </c>
      <c r="K533" s="123" t="s">
        <v>222</v>
      </c>
      <c r="L533" s="20" t="s">
        <v>3</v>
      </c>
      <c r="M533" s="61" t="s">
        <v>131</v>
      </c>
      <c r="N533" s="61" t="s">
        <v>131</v>
      </c>
      <c r="O533" s="124" t="s">
        <v>129</v>
      </c>
      <c r="P533" s="61" t="s">
        <v>131</v>
      </c>
      <c r="Q533" s="61" t="s">
        <v>131</v>
      </c>
      <c r="R533" s="61" t="s">
        <v>131</v>
      </c>
      <c r="S533" s="59" t="s">
        <v>295</v>
      </c>
      <c r="T533" s="59" t="s">
        <v>26</v>
      </c>
      <c r="U533" s="59"/>
      <c r="V533" s="59"/>
      <c r="W533" s="59"/>
      <c r="X533" s="59" t="s">
        <v>1310</v>
      </c>
      <c r="Y533" s="59" t="s">
        <v>5</v>
      </c>
      <c r="Z533" s="59"/>
      <c r="AA533" s="59"/>
      <c r="AB533" s="57"/>
    </row>
    <row r="534" spans="1:28" s="1" customFormat="1" ht="33" customHeight="1" x14ac:dyDescent="0.3">
      <c r="A534" s="16">
        <v>14</v>
      </c>
      <c r="B534" s="23">
        <v>93</v>
      </c>
      <c r="C534" s="27" t="str">
        <f t="shared" si="17"/>
        <v>14.93</v>
      </c>
      <c r="D534" s="18" t="s">
        <v>899</v>
      </c>
      <c r="E534" s="64" t="str">
        <f>IF(ISBLANK(D534)=TRUE,"",VLOOKUP(D534,Krav!$C:$F,4,FALSE))</f>
        <v>10.a.1.1.1.42 - Hvis FordringsStartDato ikke er valgt: Regel R0058 deaktiveres</v>
      </c>
      <c r="F534" s="53" t="s">
        <v>226</v>
      </c>
      <c r="G534" s="53" t="s">
        <v>308</v>
      </c>
      <c r="H534" s="25" t="s">
        <v>1319</v>
      </c>
      <c r="I534" s="65" t="s">
        <v>241</v>
      </c>
      <c r="J534" s="67" t="s">
        <v>222</v>
      </c>
      <c r="K534" s="123" t="s">
        <v>222</v>
      </c>
      <c r="L534" s="20" t="s">
        <v>3</v>
      </c>
      <c r="M534" s="61" t="s">
        <v>131</v>
      </c>
      <c r="N534" s="61" t="s">
        <v>131</v>
      </c>
      <c r="O534" s="124" t="s">
        <v>129</v>
      </c>
      <c r="P534" s="61" t="s">
        <v>131</v>
      </c>
      <c r="Q534" s="61" t="s">
        <v>131</v>
      </c>
      <c r="R534" s="61" t="s">
        <v>131</v>
      </c>
      <c r="S534" s="59" t="s">
        <v>295</v>
      </c>
      <c r="T534" s="59" t="s">
        <v>26</v>
      </c>
      <c r="U534" s="59"/>
      <c r="V534" s="59"/>
      <c r="W534" s="59"/>
      <c r="X534" s="59" t="s">
        <v>1311</v>
      </c>
      <c r="Y534" s="59" t="s">
        <v>5</v>
      </c>
      <c r="Z534" s="59"/>
      <c r="AA534" s="59"/>
      <c r="AB534" s="57"/>
    </row>
    <row r="535" spans="1:28" s="1" customFormat="1" ht="33" customHeight="1" x14ac:dyDescent="0.3">
      <c r="A535" s="16">
        <v>14</v>
      </c>
      <c r="B535" s="23">
        <v>94</v>
      </c>
      <c r="C535" s="27" t="str">
        <f t="shared" si="17"/>
        <v>14.94</v>
      </c>
      <c r="D535" s="18" t="s">
        <v>921</v>
      </c>
      <c r="E535" s="64" t="str">
        <f>IF(ISBLANK(D535)=TRUE,"",VLOOKUP(D535,Krav!$C:$F,4,FALSE))</f>
        <v>10.a.1.1.1.53 - Hvis FordringsStartDato ikke er valgt: Regel R0069 deaktiveres</v>
      </c>
      <c r="F535" s="53" t="s">
        <v>226</v>
      </c>
      <c r="G535" s="53" t="s">
        <v>308</v>
      </c>
      <c r="H535" s="25" t="s">
        <v>1319</v>
      </c>
      <c r="I535" s="65" t="s">
        <v>241</v>
      </c>
      <c r="J535" s="67" t="s">
        <v>222</v>
      </c>
      <c r="K535" s="123" t="s">
        <v>222</v>
      </c>
      <c r="L535" s="20" t="s">
        <v>3</v>
      </c>
      <c r="M535" s="61" t="s">
        <v>131</v>
      </c>
      <c r="N535" s="61" t="s">
        <v>131</v>
      </c>
      <c r="O535" s="124" t="s">
        <v>129</v>
      </c>
      <c r="P535" s="61" t="s">
        <v>131</v>
      </c>
      <c r="Q535" s="61" t="s">
        <v>131</v>
      </c>
      <c r="R535" s="61" t="s">
        <v>131</v>
      </c>
      <c r="S535" s="59" t="s">
        <v>295</v>
      </c>
      <c r="T535" s="59" t="s">
        <v>26</v>
      </c>
      <c r="U535" s="59"/>
      <c r="V535" s="59"/>
      <c r="W535" s="59"/>
      <c r="X535" s="59" t="s">
        <v>1312</v>
      </c>
      <c r="Y535" s="59" t="s">
        <v>5</v>
      </c>
      <c r="Z535" s="59"/>
      <c r="AA535" s="59"/>
      <c r="AB535" s="57"/>
    </row>
    <row r="536" spans="1:28" s="1" customFormat="1" ht="33" customHeight="1" x14ac:dyDescent="0.3">
      <c r="A536" s="16">
        <v>14</v>
      </c>
      <c r="B536" s="23">
        <v>95</v>
      </c>
      <c r="C536" s="27" t="str">
        <f t="shared" si="17"/>
        <v>14.95</v>
      </c>
      <c r="D536" s="18" t="s">
        <v>901</v>
      </c>
      <c r="E536" s="64" t="str">
        <f>IF(ISBLANK(D536)=TRUE,"",VLOOKUP(D536,Krav!$C:$F,4,FALSE))</f>
        <v>10.a.1.1.1.43 - Hvis FordringsSlutDato ikke er valgt: Regel R0059 deaktiveres</v>
      </c>
      <c r="F536" s="53" t="s">
        <v>226</v>
      </c>
      <c r="G536" s="53" t="s">
        <v>308</v>
      </c>
      <c r="H536" s="25" t="s">
        <v>1318</v>
      </c>
      <c r="I536" s="65" t="s">
        <v>241</v>
      </c>
      <c r="J536" s="67" t="s">
        <v>222</v>
      </c>
      <c r="K536" s="123" t="s">
        <v>222</v>
      </c>
      <c r="L536" s="20" t="s">
        <v>3</v>
      </c>
      <c r="M536" s="61" t="s">
        <v>131</v>
      </c>
      <c r="N536" s="61" t="s">
        <v>131</v>
      </c>
      <c r="O536" s="124" t="s">
        <v>129</v>
      </c>
      <c r="P536" s="61" t="s">
        <v>131</v>
      </c>
      <c r="Q536" s="61" t="s">
        <v>131</v>
      </c>
      <c r="R536" s="61" t="s">
        <v>131</v>
      </c>
      <c r="S536" s="59" t="s">
        <v>295</v>
      </c>
      <c r="T536" s="59" t="s">
        <v>26</v>
      </c>
      <c r="U536" s="59"/>
      <c r="V536" s="59"/>
      <c r="W536" s="59"/>
      <c r="X536" s="59" t="s">
        <v>1314</v>
      </c>
      <c r="Y536" s="59" t="s">
        <v>5</v>
      </c>
      <c r="Z536" s="59"/>
      <c r="AA536" s="59"/>
      <c r="AB536" s="57"/>
    </row>
    <row r="537" spans="1:28" s="1" customFormat="1" ht="33" customHeight="1" x14ac:dyDescent="0.3">
      <c r="A537" s="16">
        <v>14</v>
      </c>
      <c r="B537" s="23">
        <v>96</v>
      </c>
      <c r="C537" s="27" t="str">
        <f t="shared" si="17"/>
        <v>14.96</v>
      </c>
      <c r="D537" s="18" t="s">
        <v>903</v>
      </c>
      <c r="E537" s="64" t="str">
        <f>IF(ISBLANK(D537)=TRUE,"",VLOOKUP(D537,Krav!$C:$F,4,FALSE))</f>
        <v>10.a.1.1.1.44 - Hvis FordringsSlutDato ikke er valgt: Regel R0060 deaktiveres</v>
      </c>
      <c r="F537" s="53" t="s">
        <v>226</v>
      </c>
      <c r="G537" s="53" t="s">
        <v>308</v>
      </c>
      <c r="H537" s="25" t="s">
        <v>1318</v>
      </c>
      <c r="I537" s="65" t="s">
        <v>241</v>
      </c>
      <c r="J537" s="67" t="s">
        <v>222</v>
      </c>
      <c r="K537" s="123" t="s">
        <v>222</v>
      </c>
      <c r="L537" s="20" t="s">
        <v>3</v>
      </c>
      <c r="M537" s="61" t="s">
        <v>131</v>
      </c>
      <c r="N537" s="61" t="s">
        <v>131</v>
      </c>
      <c r="O537" s="124" t="s">
        <v>129</v>
      </c>
      <c r="P537" s="61" t="s">
        <v>131</v>
      </c>
      <c r="Q537" s="61" t="s">
        <v>131</v>
      </c>
      <c r="R537" s="61" t="s">
        <v>131</v>
      </c>
      <c r="S537" s="59" t="s">
        <v>295</v>
      </c>
      <c r="T537" s="59" t="s">
        <v>26</v>
      </c>
      <c r="U537" s="59"/>
      <c r="V537" s="59"/>
      <c r="W537" s="59"/>
      <c r="X537" s="59" t="s">
        <v>1315</v>
      </c>
      <c r="Y537" s="59" t="s">
        <v>5</v>
      </c>
      <c r="Z537" s="59"/>
      <c r="AA537" s="59"/>
      <c r="AB537" s="57"/>
    </row>
    <row r="538" spans="1:28" s="1" customFormat="1" ht="33" customHeight="1" x14ac:dyDescent="0.3">
      <c r="A538" s="16">
        <v>14</v>
      </c>
      <c r="B538" s="23">
        <v>97</v>
      </c>
      <c r="C538" s="27" t="str">
        <f t="shared" si="17"/>
        <v>14.97</v>
      </c>
      <c r="D538" s="18" t="s">
        <v>905</v>
      </c>
      <c r="E538" s="64" t="str">
        <f>IF(ISBLANK(D538)=TRUE,"",VLOOKUP(D538,Krav!$C:$F,4,FALSE))</f>
        <v>10.a.1.1.1.45 - Hvis FordringsSlutDato ikke er valgt: Regel R0061 deaktiveres</v>
      </c>
      <c r="F538" s="53" t="s">
        <v>226</v>
      </c>
      <c r="G538" s="53" t="s">
        <v>308</v>
      </c>
      <c r="H538" s="25" t="s">
        <v>1318</v>
      </c>
      <c r="I538" s="65" t="s">
        <v>241</v>
      </c>
      <c r="J538" s="67" t="s">
        <v>222</v>
      </c>
      <c r="K538" s="123" t="s">
        <v>222</v>
      </c>
      <c r="L538" s="20" t="s">
        <v>3</v>
      </c>
      <c r="M538" s="61" t="s">
        <v>131</v>
      </c>
      <c r="N538" s="61" t="s">
        <v>131</v>
      </c>
      <c r="O538" s="124" t="s">
        <v>129</v>
      </c>
      <c r="P538" s="61" t="s">
        <v>131</v>
      </c>
      <c r="Q538" s="61" t="s">
        <v>131</v>
      </c>
      <c r="R538" s="61" t="s">
        <v>131</v>
      </c>
      <c r="S538" s="59" t="s">
        <v>295</v>
      </c>
      <c r="T538" s="59" t="s">
        <v>26</v>
      </c>
      <c r="U538" s="59"/>
      <c r="V538" s="59"/>
      <c r="W538" s="59"/>
      <c r="X538" s="59" t="s">
        <v>1316</v>
      </c>
      <c r="Y538" s="59" t="s">
        <v>5</v>
      </c>
      <c r="Z538" s="59"/>
      <c r="AA538" s="59"/>
      <c r="AB538" s="57"/>
    </row>
    <row r="539" spans="1:28" s="1" customFormat="1" ht="33" customHeight="1" x14ac:dyDescent="0.3">
      <c r="A539" s="16">
        <v>14</v>
      </c>
      <c r="B539" s="23">
        <v>98</v>
      </c>
      <c r="C539" s="27" t="str">
        <f t="shared" si="17"/>
        <v>14.98</v>
      </c>
      <c r="D539" s="18" t="s">
        <v>907</v>
      </c>
      <c r="E539" s="64" t="str">
        <f>IF(ISBLANK(D539)=TRUE,"",VLOOKUP(D539,Krav!$C:$F,4,FALSE))</f>
        <v>10.a.1.1.1.46 - Hvis FordringsSlutDato ikke er valgt: Regel R0062 deaktiveres</v>
      </c>
      <c r="F539" s="53" t="s">
        <v>226</v>
      </c>
      <c r="G539" s="53" t="s">
        <v>308</v>
      </c>
      <c r="H539" s="25" t="s">
        <v>1318</v>
      </c>
      <c r="I539" s="65" t="s">
        <v>241</v>
      </c>
      <c r="J539" s="67" t="s">
        <v>222</v>
      </c>
      <c r="K539" s="123" t="s">
        <v>222</v>
      </c>
      <c r="L539" s="20" t="s">
        <v>3</v>
      </c>
      <c r="M539" s="61" t="s">
        <v>131</v>
      </c>
      <c r="N539" s="61" t="s">
        <v>131</v>
      </c>
      <c r="O539" s="124" t="s">
        <v>129</v>
      </c>
      <c r="P539" s="61" t="s">
        <v>131</v>
      </c>
      <c r="Q539" s="61" t="s">
        <v>131</v>
      </c>
      <c r="R539" s="61" t="s">
        <v>131</v>
      </c>
      <c r="S539" s="59" t="s">
        <v>295</v>
      </c>
      <c r="T539" s="59" t="s">
        <v>26</v>
      </c>
      <c r="U539" s="59"/>
      <c r="V539" s="59"/>
      <c r="W539" s="59"/>
      <c r="X539" s="59" t="s">
        <v>1317</v>
      </c>
      <c r="Y539" s="59" t="s">
        <v>5</v>
      </c>
      <c r="Z539" s="59"/>
      <c r="AA539" s="59"/>
      <c r="AB539" s="57"/>
    </row>
    <row r="540" spans="1:28" s="1" customFormat="1" ht="33" customHeight="1" x14ac:dyDescent="0.3">
      <c r="A540" s="16">
        <v>14</v>
      </c>
      <c r="B540" s="23">
        <v>99</v>
      </c>
      <c r="C540" s="27" t="str">
        <f t="shared" si="17"/>
        <v>14.99</v>
      </c>
      <c r="D540" s="18" t="s">
        <v>923</v>
      </c>
      <c r="E540" s="64" t="str">
        <f>IF(ISBLANK(D540)=TRUE,"",VLOOKUP(D540,Krav!$C:$F,4,FALSE))</f>
        <v>10.a.1.1.1.54 - Hvis FordringsSlutDato ikke er valgt: Regel R0070 deaktiveres</v>
      </c>
      <c r="F540" s="53" t="s">
        <v>226</v>
      </c>
      <c r="G540" s="53" t="s">
        <v>308</v>
      </c>
      <c r="H540" s="25" t="s">
        <v>1318</v>
      </c>
      <c r="I540" s="65" t="s">
        <v>241</v>
      </c>
      <c r="J540" s="67" t="s">
        <v>222</v>
      </c>
      <c r="K540" s="123" t="s">
        <v>222</v>
      </c>
      <c r="L540" s="20" t="s">
        <v>3</v>
      </c>
      <c r="M540" s="61" t="s">
        <v>131</v>
      </c>
      <c r="N540" s="61" t="s">
        <v>131</v>
      </c>
      <c r="O540" s="124" t="s">
        <v>129</v>
      </c>
      <c r="P540" s="61" t="s">
        <v>131</v>
      </c>
      <c r="Q540" s="61" t="s">
        <v>131</v>
      </c>
      <c r="R540" s="61" t="s">
        <v>131</v>
      </c>
      <c r="S540" s="59" t="s">
        <v>295</v>
      </c>
      <c r="T540" s="59" t="s">
        <v>26</v>
      </c>
      <c r="U540" s="59"/>
      <c r="V540" s="59"/>
      <c r="W540" s="59"/>
      <c r="X540" s="59" t="s">
        <v>1313</v>
      </c>
      <c r="Y540" s="59" t="s">
        <v>5</v>
      </c>
      <c r="Z540" s="59"/>
      <c r="AA540" s="59"/>
      <c r="AB540" s="57"/>
    </row>
    <row r="541" spans="1:28" s="1" customFormat="1" ht="33" customHeight="1" x14ac:dyDescent="0.3">
      <c r="A541" s="16">
        <v>14</v>
      </c>
      <c r="B541" s="23">
        <v>100</v>
      </c>
      <c r="C541" s="27" t="str">
        <f t="shared" si="17"/>
        <v>14.100</v>
      </c>
      <c r="D541" s="18" t="s">
        <v>558</v>
      </c>
      <c r="E541" s="64" t="str">
        <f>IF(ISBLANK(D541)=TRUE,"",VLOOKUP(D541,Krav!$C:$F,4,FALSE))</f>
        <v>10.7 - Såfremt brugeren vælger et eller flere af stamdatafelterne, hvor periode start er i blandt, skal brugeren ledes til spørgsmål 10.a via form 30</v>
      </c>
      <c r="F541" s="53" t="s">
        <v>143</v>
      </c>
      <c r="G541" s="19"/>
      <c r="H541" s="25" t="s">
        <v>559</v>
      </c>
      <c r="I541" s="65" t="s">
        <v>560</v>
      </c>
      <c r="J541" s="67" t="s">
        <v>222</v>
      </c>
      <c r="K541" s="125" t="s">
        <v>222</v>
      </c>
      <c r="L541" s="20" t="s">
        <v>3</v>
      </c>
      <c r="M541" s="61" t="s">
        <v>131</v>
      </c>
      <c r="N541" s="61" t="s">
        <v>131</v>
      </c>
      <c r="O541" s="61" t="s">
        <v>131</v>
      </c>
      <c r="P541" s="124" t="s">
        <v>129</v>
      </c>
      <c r="Q541" s="61" t="s">
        <v>131</v>
      </c>
      <c r="R541" s="61" t="s">
        <v>131</v>
      </c>
      <c r="S541" s="59" t="s">
        <v>295</v>
      </c>
      <c r="T541" s="59" t="s">
        <v>26</v>
      </c>
      <c r="U541" s="59"/>
      <c r="V541" s="59"/>
      <c r="W541" s="59"/>
      <c r="X541" s="59"/>
      <c r="Y541" s="59" t="s">
        <v>5</v>
      </c>
      <c r="Z541" s="59"/>
      <c r="AA541" s="59"/>
      <c r="AB541" s="57"/>
    </row>
    <row r="542" spans="1:28" s="1" customFormat="1" ht="33" customHeight="1" x14ac:dyDescent="0.3">
      <c r="A542" s="16">
        <v>14</v>
      </c>
      <c r="B542" s="23">
        <v>101</v>
      </c>
      <c r="C542" s="27" t="str">
        <f t="shared" si="17"/>
        <v>14.101</v>
      </c>
      <c r="D542" s="18"/>
      <c r="E542" s="64" t="str">
        <f>IF(ISBLANK(D542)=TRUE,"",VLOOKUP(D542,Krav!$C:$F,4,FALSE))</f>
        <v/>
      </c>
      <c r="F542" s="53" t="s">
        <v>225</v>
      </c>
      <c r="G542" s="19" t="s">
        <v>521</v>
      </c>
      <c r="H542" s="25" t="s">
        <v>535</v>
      </c>
      <c r="I542" s="65" t="s">
        <v>550</v>
      </c>
      <c r="J542" s="67" t="s">
        <v>222</v>
      </c>
      <c r="K542" s="123" t="s">
        <v>222</v>
      </c>
      <c r="L542" s="20" t="s">
        <v>3</v>
      </c>
      <c r="M542" s="61" t="s">
        <v>131</v>
      </c>
      <c r="N542" s="61" t="s">
        <v>131</v>
      </c>
      <c r="O542" s="61" t="s">
        <v>131</v>
      </c>
      <c r="P542" s="124" t="s">
        <v>129</v>
      </c>
      <c r="Q542" s="61" t="s">
        <v>131</v>
      </c>
      <c r="R542" s="61" t="s">
        <v>131</v>
      </c>
      <c r="S542" s="59" t="s">
        <v>295</v>
      </c>
      <c r="T542" s="59" t="s">
        <v>26</v>
      </c>
      <c r="U542" s="59"/>
      <c r="V542" s="59"/>
      <c r="W542" s="59"/>
      <c r="X542" s="59"/>
      <c r="Y542" s="59" t="s">
        <v>5</v>
      </c>
      <c r="Z542" s="59"/>
      <c r="AA542" s="59"/>
      <c r="AB542" s="57"/>
    </row>
    <row r="543" spans="1:28" s="1" customFormat="1" ht="33" customHeight="1" x14ac:dyDescent="0.3">
      <c r="A543" s="16">
        <v>14</v>
      </c>
      <c r="B543" s="23">
        <v>102</v>
      </c>
      <c r="C543" s="27" t="str">
        <f t="shared" si="17"/>
        <v>14.102</v>
      </c>
      <c r="D543" s="18"/>
      <c r="E543" s="64" t="str">
        <f>IF(ISBLANK(D543)=TRUE,"",VLOOKUP(D543,Krav!$C:$F,4,FALSE))</f>
        <v/>
      </c>
      <c r="F543" s="53" t="s">
        <v>225</v>
      </c>
      <c r="G543" s="19" t="s">
        <v>522</v>
      </c>
      <c r="H543" s="25" t="s">
        <v>537</v>
      </c>
      <c r="I543" s="65" t="s">
        <v>538</v>
      </c>
      <c r="J543" s="67" t="s">
        <v>222</v>
      </c>
      <c r="K543" s="123" t="s">
        <v>222</v>
      </c>
      <c r="L543" s="20" t="s">
        <v>3</v>
      </c>
      <c r="M543" s="61" t="s">
        <v>131</v>
      </c>
      <c r="N543" s="61" t="s">
        <v>131</v>
      </c>
      <c r="O543" s="61" t="s">
        <v>131</v>
      </c>
      <c r="P543" s="124" t="s">
        <v>129</v>
      </c>
      <c r="Q543" s="61" t="s">
        <v>131</v>
      </c>
      <c r="R543" s="61" t="s">
        <v>131</v>
      </c>
      <c r="S543" s="59" t="s">
        <v>295</v>
      </c>
      <c r="T543" s="59" t="s">
        <v>26</v>
      </c>
      <c r="U543" s="59"/>
      <c r="V543" s="59"/>
      <c r="W543" s="59"/>
      <c r="X543" s="59"/>
      <c r="Y543" s="59" t="s">
        <v>5</v>
      </c>
      <c r="Z543" s="59"/>
      <c r="AA543" s="59"/>
      <c r="AB543" s="57"/>
    </row>
    <row r="544" spans="1:28" s="1" customFormat="1" ht="33" customHeight="1" x14ac:dyDescent="0.3">
      <c r="A544" s="16">
        <v>14</v>
      </c>
      <c r="B544" s="23">
        <v>103</v>
      </c>
      <c r="C544" s="27" t="str">
        <f t="shared" si="17"/>
        <v>14.103</v>
      </c>
      <c r="D544" s="18"/>
      <c r="E544" s="64" t="str">
        <f>IF(ISBLANK(D544)=TRUE,"",VLOOKUP(D544,Krav!$C:$F,4,FALSE))</f>
        <v/>
      </c>
      <c r="F544" s="53" t="s">
        <v>225</v>
      </c>
      <c r="G544" s="19" t="s">
        <v>523</v>
      </c>
      <c r="H544" s="25" t="s">
        <v>539</v>
      </c>
      <c r="I544" s="65" t="s">
        <v>540</v>
      </c>
      <c r="J544" s="67" t="s">
        <v>222</v>
      </c>
      <c r="K544" s="123" t="s">
        <v>222</v>
      </c>
      <c r="L544" s="20" t="s">
        <v>3</v>
      </c>
      <c r="M544" s="61" t="s">
        <v>131</v>
      </c>
      <c r="N544" s="61" t="s">
        <v>131</v>
      </c>
      <c r="O544" s="61" t="s">
        <v>131</v>
      </c>
      <c r="P544" s="124" t="s">
        <v>129</v>
      </c>
      <c r="Q544" s="61" t="s">
        <v>131</v>
      </c>
      <c r="R544" s="61" t="s">
        <v>131</v>
      </c>
      <c r="S544" s="59" t="s">
        <v>295</v>
      </c>
      <c r="T544" s="59" t="s">
        <v>26</v>
      </c>
      <c r="U544" s="59"/>
      <c r="V544" s="59"/>
      <c r="W544" s="59"/>
      <c r="X544" s="59"/>
      <c r="Y544" s="59" t="s">
        <v>5</v>
      </c>
      <c r="Z544" s="59"/>
      <c r="AA544" s="59"/>
      <c r="AB544" s="57"/>
    </row>
    <row r="545" spans="1:28" s="1" customFormat="1" ht="33" customHeight="1" x14ac:dyDescent="0.3">
      <c r="A545" s="16">
        <v>14</v>
      </c>
      <c r="B545" s="23">
        <v>104</v>
      </c>
      <c r="C545" s="27" t="str">
        <f t="shared" si="17"/>
        <v>14.104</v>
      </c>
      <c r="D545" s="18"/>
      <c r="E545" s="64" t="str">
        <f>IF(ISBLANK(D545)=TRUE,"",VLOOKUP(D545,Krav!$C:$F,4,FALSE))</f>
        <v/>
      </c>
      <c r="F545" s="53" t="s">
        <v>225</v>
      </c>
      <c r="G545" s="19" t="s">
        <v>524</v>
      </c>
      <c r="H545" s="25" t="s">
        <v>541</v>
      </c>
      <c r="I545" s="65" t="s">
        <v>561</v>
      </c>
      <c r="J545" s="67" t="s">
        <v>222</v>
      </c>
      <c r="K545" s="123" t="s">
        <v>222</v>
      </c>
      <c r="L545" s="20" t="s">
        <v>3</v>
      </c>
      <c r="M545" s="61" t="s">
        <v>131</v>
      </c>
      <c r="N545" s="61" t="s">
        <v>131</v>
      </c>
      <c r="O545" s="61" t="s">
        <v>131</v>
      </c>
      <c r="P545" s="124" t="s">
        <v>129</v>
      </c>
      <c r="Q545" s="61" t="s">
        <v>131</v>
      </c>
      <c r="R545" s="61" t="s">
        <v>131</v>
      </c>
      <c r="S545" s="59" t="s">
        <v>295</v>
      </c>
      <c r="T545" s="59" t="s">
        <v>26</v>
      </c>
      <c r="U545" s="59"/>
      <c r="V545" s="59"/>
      <c r="W545" s="59"/>
      <c r="X545" s="59"/>
      <c r="Y545" s="59" t="s">
        <v>5</v>
      </c>
      <c r="Z545" s="59"/>
      <c r="AA545" s="59"/>
      <c r="AB545" s="57"/>
    </row>
    <row r="546" spans="1:28" s="1" customFormat="1" ht="33" customHeight="1" x14ac:dyDescent="0.3">
      <c r="A546" s="16">
        <v>14</v>
      </c>
      <c r="B546" s="23">
        <v>105</v>
      </c>
      <c r="C546" s="27" t="str">
        <f t="shared" si="17"/>
        <v>14.105</v>
      </c>
      <c r="D546" s="18"/>
      <c r="E546" s="64" t="str">
        <f>IF(ISBLANK(D546)=TRUE,"",VLOOKUP(D546,Krav!$C:$F,4,FALSE))</f>
        <v/>
      </c>
      <c r="F546" s="53" t="s">
        <v>225</v>
      </c>
      <c r="G546" s="19" t="s">
        <v>525</v>
      </c>
      <c r="H546" s="25" t="s">
        <v>543</v>
      </c>
      <c r="I546" s="65" t="s">
        <v>544</v>
      </c>
      <c r="J546" s="67" t="s">
        <v>222</v>
      </c>
      <c r="K546" s="123" t="s">
        <v>222</v>
      </c>
      <c r="L546" s="20" t="s">
        <v>3</v>
      </c>
      <c r="M546" s="61" t="s">
        <v>131</v>
      </c>
      <c r="N546" s="61" t="s">
        <v>131</v>
      </c>
      <c r="O546" s="61" t="s">
        <v>131</v>
      </c>
      <c r="P546" s="124" t="s">
        <v>129</v>
      </c>
      <c r="Q546" s="61" t="s">
        <v>131</v>
      </c>
      <c r="R546" s="61" t="s">
        <v>131</v>
      </c>
      <c r="S546" s="59" t="s">
        <v>295</v>
      </c>
      <c r="T546" s="59" t="s">
        <v>26</v>
      </c>
      <c r="U546" s="59"/>
      <c r="V546" s="59"/>
      <c r="W546" s="59"/>
      <c r="X546" s="59"/>
      <c r="Y546" s="59" t="s">
        <v>5</v>
      </c>
      <c r="Z546" s="59"/>
      <c r="AA546" s="59"/>
      <c r="AB546" s="57"/>
    </row>
    <row r="547" spans="1:28" s="1" customFormat="1" ht="33" customHeight="1" x14ac:dyDescent="0.3">
      <c r="A547" s="16">
        <v>14</v>
      </c>
      <c r="B547" s="23">
        <v>106</v>
      </c>
      <c r="C547" s="27" t="str">
        <f t="shared" si="17"/>
        <v>14.106</v>
      </c>
      <c r="D547" s="18"/>
      <c r="E547" s="64" t="str">
        <f>IF(ISBLANK(D547)=TRUE,"",VLOOKUP(D547,Krav!$C:$F,4,FALSE))</f>
        <v/>
      </c>
      <c r="F547" s="53" t="s">
        <v>225</v>
      </c>
      <c r="G547" s="19" t="s">
        <v>526</v>
      </c>
      <c r="H547" s="25" t="s">
        <v>543</v>
      </c>
      <c r="I547" s="65" t="s">
        <v>545</v>
      </c>
      <c r="J547" s="67" t="s">
        <v>222</v>
      </c>
      <c r="K547" s="123" t="s">
        <v>222</v>
      </c>
      <c r="L547" s="20" t="s">
        <v>3</v>
      </c>
      <c r="M547" s="61" t="s">
        <v>131</v>
      </c>
      <c r="N547" s="61" t="s">
        <v>131</v>
      </c>
      <c r="O547" s="61" t="s">
        <v>131</v>
      </c>
      <c r="P547" s="124" t="s">
        <v>129</v>
      </c>
      <c r="Q547" s="61" t="s">
        <v>131</v>
      </c>
      <c r="R547" s="61" t="s">
        <v>131</v>
      </c>
      <c r="S547" s="59" t="s">
        <v>295</v>
      </c>
      <c r="T547" s="59" t="s">
        <v>26</v>
      </c>
      <c r="U547" s="59"/>
      <c r="V547" s="59"/>
      <c r="W547" s="59"/>
      <c r="X547" s="59"/>
      <c r="Y547" s="59" t="s">
        <v>5</v>
      </c>
      <c r="Z547" s="59"/>
      <c r="AA547" s="59"/>
      <c r="AB547" s="57"/>
    </row>
    <row r="548" spans="1:28" s="1" customFormat="1" ht="33" customHeight="1" x14ac:dyDescent="0.3">
      <c r="A548" s="16">
        <v>14</v>
      </c>
      <c r="B548" s="23">
        <v>107</v>
      </c>
      <c r="C548" s="27" t="str">
        <f t="shared" si="17"/>
        <v>14.107</v>
      </c>
      <c r="D548" s="18"/>
      <c r="E548" s="64" t="str">
        <f>IF(ISBLANK(D548)=TRUE,"",VLOOKUP(D548,Krav!$C:$F,4,FALSE))</f>
        <v/>
      </c>
      <c r="F548" s="91" t="s">
        <v>418</v>
      </c>
      <c r="G548" s="91" t="s">
        <v>445</v>
      </c>
      <c r="H548" s="91" t="s">
        <v>562</v>
      </c>
      <c r="I548" s="91" t="s">
        <v>129</v>
      </c>
      <c r="J548" s="96" t="s">
        <v>222</v>
      </c>
      <c r="K548" s="125" t="s">
        <v>222</v>
      </c>
      <c r="L548" s="20" t="s">
        <v>3</v>
      </c>
      <c r="M548" s="61" t="s">
        <v>131</v>
      </c>
      <c r="N548" s="61" t="s">
        <v>131</v>
      </c>
      <c r="O548" s="61" t="s">
        <v>131</v>
      </c>
      <c r="P548" s="124" t="s">
        <v>129</v>
      </c>
      <c r="Q548" s="61" t="s">
        <v>131</v>
      </c>
      <c r="R548" s="61" t="s">
        <v>131</v>
      </c>
      <c r="S548" s="59" t="s">
        <v>295</v>
      </c>
      <c r="T548" s="59" t="s">
        <v>26</v>
      </c>
      <c r="U548" s="59"/>
      <c r="V548" s="59"/>
      <c r="W548" s="59"/>
      <c r="X548" s="59"/>
      <c r="Y548" s="59" t="s">
        <v>5</v>
      </c>
      <c r="Z548" s="59"/>
      <c r="AA548" s="59"/>
      <c r="AB548" s="57"/>
    </row>
    <row r="549" spans="1:28" s="1" customFormat="1" ht="33" customHeight="1" x14ac:dyDescent="0.3">
      <c r="A549" s="16">
        <v>14</v>
      </c>
      <c r="B549" s="23">
        <v>108</v>
      </c>
      <c r="C549" s="27" t="str">
        <f t="shared" si="17"/>
        <v>14.108</v>
      </c>
      <c r="D549" s="18" t="s">
        <v>877</v>
      </c>
      <c r="E549" s="64" t="str">
        <f>IF(ISBLANK(D549)=TRUE,"",VLOOKUP(D549,Krav!$C:$F,4,FALSE))</f>
        <v>10.a.1.1.1.31 - Hvis forfaldsdato ikke er valgt: Regel R0047 deaktiveres</v>
      </c>
      <c r="F549" s="53" t="s">
        <v>226</v>
      </c>
      <c r="G549" s="53" t="s">
        <v>308</v>
      </c>
      <c r="H549" s="25" t="s">
        <v>1322</v>
      </c>
      <c r="I549" s="65" t="s">
        <v>241</v>
      </c>
      <c r="J549" s="67" t="s">
        <v>222</v>
      </c>
      <c r="K549" s="123" t="s">
        <v>222</v>
      </c>
      <c r="L549" s="20" t="s">
        <v>3</v>
      </c>
      <c r="M549" s="61" t="s">
        <v>131</v>
      </c>
      <c r="N549" s="61" t="s">
        <v>131</v>
      </c>
      <c r="O549" s="61" t="s">
        <v>131</v>
      </c>
      <c r="P549" s="124" t="s">
        <v>129</v>
      </c>
      <c r="Q549" s="61" t="s">
        <v>131</v>
      </c>
      <c r="R549" s="61" t="s">
        <v>131</v>
      </c>
      <c r="S549" s="59" t="s">
        <v>295</v>
      </c>
      <c r="T549" s="59" t="s">
        <v>26</v>
      </c>
      <c r="U549" s="59"/>
      <c r="V549" s="59"/>
      <c r="W549" s="59"/>
      <c r="X549" s="59" t="s">
        <v>1288</v>
      </c>
      <c r="Y549" s="59" t="s">
        <v>5</v>
      </c>
      <c r="Z549" s="59"/>
      <c r="AA549" s="59"/>
      <c r="AB549" s="57"/>
    </row>
    <row r="550" spans="1:28" s="1" customFormat="1" ht="33" customHeight="1" x14ac:dyDescent="0.3">
      <c r="A550" s="16">
        <v>14</v>
      </c>
      <c r="B550" s="23">
        <v>109</v>
      </c>
      <c r="C550" s="27" t="str">
        <f t="shared" si="17"/>
        <v>14.109</v>
      </c>
      <c r="D550" s="18" t="s">
        <v>879</v>
      </c>
      <c r="E550" s="64" t="str">
        <f>IF(ISBLANK(D550)=TRUE,"",VLOOKUP(D550,Krav!$C:$F,4,FALSE))</f>
        <v>10.a.1.1.1.32 - Hvis forfaldsdato ikke er valgt: Regel R0048 deaktiveres</v>
      </c>
      <c r="F550" s="53" t="s">
        <v>226</v>
      </c>
      <c r="G550" s="53" t="s">
        <v>308</v>
      </c>
      <c r="H550" s="25" t="s">
        <v>1322</v>
      </c>
      <c r="I550" s="65" t="s">
        <v>241</v>
      </c>
      <c r="J550" s="67" t="s">
        <v>222</v>
      </c>
      <c r="K550" s="123" t="s">
        <v>222</v>
      </c>
      <c r="L550" s="20" t="s">
        <v>3</v>
      </c>
      <c r="M550" s="61" t="s">
        <v>131</v>
      </c>
      <c r="N550" s="61" t="s">
        <v>131</v>
      </c>
      <c r="O550" s="61" t="s">
        <v>131</v>
      </c>
      <c r="P550" s="124" t="s">
        <v>129</v>
      </c>
      <c r="Q550" s="61" t="s">
        <v>131</v>
      </c>
      <c r="R550" s="61" t="s">
        <v>131</v>
      </c>
      <c r="S550" s="59" t="s">
        <v>295</v>
      </c>
      <c r="T550" s="59" t="s">
        <v>26</v>
      </c>
      <c r="U550" s="59"/>
      <c r="V550" s="59"/>
      <c r="W550" s="59"/>
      <c r="X550" s="59" t="s">
        <v>1289</v>
      </c>
      <c r="Y550" s="59" t="s">
        <v>5</v>
      </c>
      <c r="Z550" s="59"/>
      <c r="AA550" s="59"/>
      <c r="AB550" s="57"/>
    </row>
    <row r="551" spans="1:28" s="1" customFormat="1" ht="33" customHeight="1" x14ac:dyDescent="0.3">
      <c r="A551" s="16">
        <v>14</v>
      </c>
      <c r="B551" s="23">
        <v>110</v>
      </c>
      <c r="C551" s="27" t="str">
        <f t="shared" si="17"/>
        <v>14.110</v>
      </c>
      <c r="D551" s="18" t="s">
        <v>881</v>
      </c>
      <c r="E551" s="64" t="str">
        <f>IF(ISBLANK(D551)=TRUE,"",VLOOKUP(D551,Krav!$C:$F,4,FALSE))</f>
        <v>10.a.1.1.1.33 - Hvis forfaldsdato ikke er valgt: Regel R0049 deaktiveres</v>
      </c>
      <c r="F551" s="53" t="s">
        <v>226</v>
      </c>
      <c r="G551" s="53" t="s">
        <v>308</v>
      </c>
      <c r="H551" s="25" t="s">
        <v>1322</v>
      </c>
      <c r="I551" s="65" t="s">
        <v>241</v>
      </c>
      <c r="J551" s="67" t="s">
        <v>222</v>
      </c>
      <c r="K551" s="123" t="s">
        <v>222</v>
      </c>
      <c r="L551" s="20" t="s">
        <v>3</v>
      </c>
      <c r="M551" s="61" t="s">
        <v>131</v>
      </c>
      <c r="N551" s="61" t="s">
        <v>131</v>
      </c>
      <c r="O551" s="61" t="s">
        <v>131</v>
      </c>
      <c r="P551" s="124" t="s">
        <v>129</v>
      </c>
      <c r="Q551" s="61" t="s">
        <v>131</v>
      </c>
      <c r="R551" s="61" t="s">
        <v>131</v>
      </c>
      <c r="S551" s="59" t="s">
        <v>295</v>
      </c>
      <c r="T551" s="59" t="s">
        <v>26</v>
      </c>
      <c r="U551" s="59"/>
      <c r="V551" s="59"/>
      <c r="W551" s="59"/>
      <c r="X551" s="59" t="s">
        <v>1290</v>
      </c>
      <c r="Y551" s="59" t="s">
        <v>5</v>
      </c>
      <c r="Z551" s="59"/>
      <c r="AA551" s="59"/>
      <c r="AB551" s="57"/>
    </row>
    <row r="552" spans="1:28" s="1" customFormat="1" ht="33" customHeight="1" x14ac:dyDescent="0.3">
      <c r="A552" s="16">
        <v>14</v>
      </c>
      <c r="B552" s="23">
        <v>111</v>
      </c>
      <c r="C552" s="27" t="str">
        <f t="shared" si="17"/>
        <v>14.111</v>
      </c>
      <c r="D552" s="18" t="s">
        <v>883</v>
      </c>
      <c r="E552" s="64" t="str">
        <f>IF(ISBLANK(D552)=TRUE,"",VLOOKUP(D552,Krav!$C:$F,4,FALSE))</f>
        <v>10.a.1.1.1.34 - Hvis forfaldsdato ikke er valgt: Regel R0050 deaktiveres</v>
      </c>
      <c r="F552" s="53" t="s">
        <v>226</v>
      </c>
      <c r="G552" s="53" t="s">
        <v>308</v>
      </c>
      <c r="H552" s="25" t="s">
        <v>1322</v>
      </c>
      <c r="I552" s="65" t="s">
        <v>241</v>
      </c>
      <c r="J552" s="67" t="s">
        <v>222</v>
      </c>
      <c r="K552" s="123" t="s">
        <v>222</v>
      </c>
      <c r="L552" s="20" t="s">
        <v>3</v>
      </c>
      <c r="M552" s="61" t="s">
        <v>131</v>
      </c>
      <c r="N552" s="61" t="s">
        <v>131</v>
      </c>
      <c r="O552" s="61" t="s">
        <v>131</v>
      </c>
      <c r="P552" s="124" t="s">
        <v>129</v>
      </c>
      <c r="Q552" s="61" t="s">
        <v>131</v>
      </c>
      <c r="R552" s="61" t="s">
        <v>131</v>
      </c>
      <c r="S552" s="59" t="s">
        <v>295</v>
      </c>
      <c r="T552" s="59" t="s">
        <v>26</v>
      </c>
      <c r="U552" s="59"/>
      <c r="V552" s="59"/>
      <c r="W552" s="59"/>
      <c r="X552" s="59" t="s">
        <v>1291</v>
      </c>
      <c r="Y552" s="59" t="s">
        <v>5</v>
      </c>
      <c r="Z552" s="59"/>
      <c r="AA552" s="59"/>
      <c r="AB552" s="57"/>
    </row>
    <row r="553" spans="1:28" s="1" customFormat="1" ht="33" customHeight="1" x14ac:dyDescent="0.3">
      <c r="A553" s="16">
        <v>14</v>
      </c>
      <c r="B553" s="23">
        <v>112</v>
      </c>
      <c r="C553" s="27" t="str">
        <f t="shared" si="17"/>
        <v>14.112</v>
      </c>
      <c r="D553" s="18" t="s">
        <v>917</v>
      </c>
      <c r="E553" s="64" t="str">
        <f>IF(ISBLANK(D553)=TRUE,"",VLOOKUP(D553,Krav!$C:$F,4,FALSE))</f>
        <v>10.a.1.1.1.51 - Hvis ForfaldsDato ikke er valgt: Regel R0067 deaktiveres</v>
      </c>
      <c r="F553" s="53" t="s">
        <v>226</v>
      </c>
      <c r="G553" s="53" t="s">
        <v>308</v>
      </c>
      <c r="H553" s="25" t="s">
        <v>1322</v>
      </c>
      <c r="I553" s="65" t="s">
        <v>241</v>
      </c>
      <c r="J553" s="67" t="s">
        <v>222</v>
      </c>
      <c r="K553" s="123" t="s">
        <v>222</v>
      </c>
      <c r="L553" s="20" t="s">
        <v>3</v>
      </c>
      <c r="M553" s="61" t="s">
        <v>131</v>
      </c>
      <c r="N553" s="61" t="s">
        <v>131</v>
      </c>
      <c r="O553" s="61" t="s">
        <v>131</v>
      </c>
      <c r="P553" s="124" t="s">
        <v>129</v>
      </c>
      <c r="Q553" s="61" t="s">
        <v>131</v>
      </c>
      <c r="R553" s="61" t="s">
        <v>131</v>
      </c>
      <c r="S553" s="59" t="s">
        <v>295</v>
      </c>
      <c r="T553" s="59" t="s">
        <v>26</v>
      </c>
      <c r="U553" s="59"/>
      <c r="V553" s="59"/>
      <c r="W553" s="59"/>
      <c r="X553" s="59" t="s">
        <v>1292</v>
      </c>
      <c r="Y553" s="59" t="s">
        <v>5</v>
      </c>
      <c r="Z553" s="59"/>
      <c r="AA553" s="59"/>
      <c r="AB553" s="57"/>
    </row>
    <row r="554" spans="1:28" s="1" customFormat="1" ht="33" customHeight="1" x14ac:dyDescent="0.3">
      <c r="A554" s="16">
        <v>14</v>
      </c>
      <c r="B554" s="23">
        <v>113</v>
      </c>
      <c r="C554" s="27" t="str">
        <f t="shared" si="17"/>
        <v>14.113</v>
      </c>
      <c r="D554" s="18" t="s">
        <v>909</v>
      </c>
      <c r="E554" s="64" t="str">
        <f>IF(ISBLANK(D554)=TRUE,"",VLOOKUP(D554,Krav!$C:$F,4,FALSE))</f>
        <v>10.a.1.1.1.47 - Hvis SRBDato ikke er valgt: Regel R0063 deaktiveres</v>
      </c>
      <c r="F554" s="53" t="s">
        <v>226</v>
      </c>
      <c r="G554" s="53" t="s">
        <v>308</v>
      </c>
      <c r="H554" s="25" t="s">
        <v>1321</v>
      </c>
      <c r="I554" s="65" t="s">
        <v>241</v>
      </c>
      <c r="J554" s="67" t="s">
        <v>222</v>
      </c>
      <c r="K554" s="123" t="s">
        <v>222</v>
      </c>
      <c r="L554" s="20" t="s">
        <v>3</v>
      </c>
      <c r="M554" s="61" t="s">
        <v>131</v>
      </c>
      <c r="N554" s="61" t="s">
        <v>131</v>
      </c>
      <c r="O554" s="61" t="s">
        <v>131</v>
      </c>
      <c r="P554" s="124" t="s">
        <v>129</v>
      </c>
      <c r="Q554" s="61" t="s">
        <v>131</v>
      </c>
      <c r="R554" s="61" t="s">
        <v>131</v>
      </c>
      <c r="S554" s="59" t="s">
        <v>295</v>
      </c>
      <c r="T554" s="59" t="s">
        <v>26</v>
      </c>
      <c r="U554" s="59"/>
      <c r="V554" s="59"/>
      <c r="W554" s="59"/>
      <c r="X554" s="59" t="s">
        <v>1294</v>
      </c>
      <c r="Y554" s="59" t="s">
        <v>5</v>
      </c>
      <c r="Z554" s="59"/>
      <c r="AA554" s="59"/>
      <c r="AB554" s="57"/>
    </row>
    <row r="555" spans="1:28" s="1" customFormat="1" ht="33" customHeight="1" x14ac:dyDescent="0.3">
      <c r="A555" s="16">
        <v>14</v>
      </c>
      <c r="B555" s="23">
        <v>114</v>
      </c>
      <c r="C555" s="27" t="str">
        <f t="shared" si="17"/>
        <v>14.114</v>
      </c>
      <c r="D555" s="18" t="s">
        <v>911</v>
      </c>
      <c r="E555" s="64" t="str">
        <f>IF(ISBLANK(D555)=TRUE,"",VLOOKUP(D555,Krav!$C:$F,4,FALSE))</f>
        <v>10.a.1.1.1.48 - Hvis SRBDato ikke er valgt: Regel R0064 deaktiveres</v>
      </c>
      <c r="F555" s="53" t="s">
        <v>226</v>
      </c>
      <c r="G555" s="53" t="s">
        <v>308</v>
      </c>
      <c r="H555" s="25" t="s">
        <v>1321</v>
      </c>
      <c r="I555" s="65" t="s">
        <v>241</v>
      </c>
      <c r="J555" s="67" t="s">
        <v>222</v>
      </c>
      <c r="K555" s="123" t="s">
        <v>222</v>
      </c>
      <c r="L555" s="20" t="s">
        <v>3</v>
      </c>
      <c r="M555" s="61" t="s">
        <v>131</v>
      </c>
      <c r="N555" s="61" t="s">
        <v>131</v>
      </c>
      <c r="O555" s="61" t="s">
        <v>131</v>
      </c>
      <c r="P555" s="124" t="s">
        <v>129</v>
      </c>
      <c r="Q555" s="61" t="s">
        <v>131</v>
      </c>
      <c r="R555" s="61" t="s">
        <v>131</v>
      </c>
      <c r="S555" s="59" t="s">
        <v>295</v>
      </c>
      <c r="T555" s="59" t="s">
        <v>26</v>
      </c>
      <c r="U555" s="59"/>
      <c r="V555" s="59"/>
      <c r="W555" s="59"/>
      <c r="X555" s="59" t="s">
        <v>1295</v>
      </c>
      <c r="Y555" s="59" t="s">
        <v>5</v>
      </c>
      <c r="Z555" s="59"/>
      <c r="AA555" s="59"/>
      <c r="AB555" s="57"/>
    </row>
    <row r="556" spans="1:28" s="1" customFormat="1" ht="33" customHeight="1" x14ac:dyDescent="0.3">
      <c r="A556" s="16">
        <v>14</v>
      </c>
      <c r="B556" s="23">
        <v>115</v>
      </c>
      <c r="C556" s="27" t="str">
        <f t="shared" si="17"/>
        <v>14.115</v>
      </c>
      <c r="D556" s="18" t="s">
        <v>913</v>
      </c>
      <c r="E556" s="64" t="str">
        <f>IF(ISBLANK(D556)=TRUE,"",VLOOKUP(D556,Krav!$C:$F,4,FALSE))</f>
        <v>10.a.1.1.1.49 - Hvis SRBDato ikke er valgt: Regel R0065 deaktiveres</v>
      </c>
      <c r="F556" s="53" t="s">
        <v>226</v>
      </c>
      <c r="G556" s="53" t="s">
        <v>308</v>
      </c>
      <c r="H556" s="25" t="s">
        <v>1321</v>
      </c>
      <c r="I556" s="65" t="s">
        <v>241</v>
      </c>
      <c r="J556" s="67" t="s">
        <v>222</v>
      </c>
      <c r="K556" s="123" t="s">
        <v>222</v>
      </c>
      <c r="L556" s="20" t="s">
        <v>3</v>
      </c>
      <c r="M556" s="61" t="s">
        <v>131</v>
      </c>
      <c r="N556" s="61" t="s">
        <v>131</v>
      </c>
      <c r="O556" s="61" t="s">
        <v>131</v>
      </c>
      <c r="P556" s="124" t="s">
        <v>129</v>
      </c>
      <c r="Q556" s="61" t="s">
        <v>131</v>
      </c>
      <c r="R556" s="61" t="s">
        <v>131</v>
      </c>
      <c r="S556" s="59" t="s">
        <v>295</v>
      </c>
      <c r="T556" s="59" t="s">
        <v>26</v>
      </c>
      <c r="U556" s="59"/>
      <c r="V556" s="59"/>
      <c r="W556" s="59"/>
      <c r="X556" s="59" t="s">
        <v>1296</v>
      </c>
      <c r="Y556" s="59" t="s">
        <v>5</v>
      </c>
      <c r="Z556" s="59"/>
      <c r="AA556" s="59"/>
      <c r="AB556" s="57"/>
    </row>
    <row r="557" spans="1:28" s="1" customFormat="1" ht="33" customHeight="1" x14ac:dyDescent="0.3">
      <c r="A557" s="16">
        <v>14</v>
      </c>
      <c r="B557" s="23">
        <v>116</v>
      </c>
      <c r="C557" s="27" t="str">
        <f t="shared" si="17"/>
        <v>14.116</v>
      </c>
      <c r="D557" s="18" t="s">
        <v>915</v>
      </c>
      <c r="E557" s="64" t="str">
        <f>IF(ISBLANK(D557)=TRUE,"",VLOOKUP(D557,Krav!$C:$F,4,FALSE))</f>
        <v>10.a.1.1.1.50 - Hvis SRBDato ikke er valgt: Regel R0066 deaktiveres</v>
      </c>
      <c r="F557" s="53" t="s">
        <v>226</v>
      </c>
      <c r="G557" s="53" t="s">
        <v>308</v>
      </c>
      <c r="H557" s="25" t="s">
        <v>1321</v>
      </c>
      <c r="I557" s="65" t="s">
        <v>241</v>
      </c>
      <c r="J557" s="67" t="s">
        <v>222</v>
      </c>
      <c r="K557" s="123" t="s">
        <v>222</v>
      </c>
      <c r="L557" s="20" t="s">
        <v>3</v>
      </c>
      <c r="M557" s="61" t="s">
        <v>131</v>
      </c>
      <c r="N557" s="61" t="s">
        <v>131</v>
      </c>
      <c r="O557" s="61" t="s">
        <v>131</v>
      </c>
      <c r="P557" s="124" t="s">
        <v>129</v>
      </c>
      <c r="Q557" s="61" t="s">
        <v>131</v>
      </c>
      <c r="R557" s="61" t="s">
        <v>131</v>
      </c>
      <c r="S557" s="59" t="s">
        <v>295</v>
      </c>
      <c r="T557" s="59" t="s">
        <v>26</v>
      </c>
      <c r="U557" s="59"/>
      <c r="V557" s="59"/>
      <c r="W557" s="59"/>
      <c r="X557" s="59" t="s">
        <v>1297</v>
      </c>
      <c r="Y557" s="59" t="s">
        <v>5</v>
      </c>
      <c r="Z557" s="59"/>
      <c r="AA557" s="59"/>
      <c r="AB557" s="57"/>
    </row>
    <row r="558" spans="1:28" s="1" customFormat="1" ht="33" customHeight="1" x14ac:dyDescent="0.3">
      <c r="A558" s="16">
        <v>14</v>
      </c>
      <c r="B558" s="23">
        <v>117</v>
      </c>
      <c r="C558" s="27" t="str">
        <f t="shared" si="17"/>
        <v>14.117</v>
      </c>
      <c r="D558" s="18" t="s">
        <v>925</v>
      </c>
      <c r="E558" s="64" t="str">
        <f>IF(ISBLANK(D558)=TRUE,"",VLOOKUP(D558,Krav!$C:$F,4,FALSE))</f>
        <v>10.a.1.1.1.55 - Hvis SRBDato ikke er valgt: Regel R0071 deaktiveres</v>
      </c>
      <c r="F558" s="53" t="s">
        <v>226</v>
      </c>
      <c r="G558" s="53" t="s">
        <v>308</v>
      </c>
      <c r="H558" s="25" t="s">
        <v>1321</v>
      </c>
      <c r="I558" s="65" t="s">
        <v>241</v>
      </c>
      <c r="J558" s="67" t="s">
        <v>222</v>
      </c>
      <c r="K558" s="123" t="s">
        <v>222</v>
      </c>
      <c r="L558" s="20" t="s">
        <v>3</v>
      </c>
      <c r="M558" s="61" t="s">
        <v>131</v>
      </c>
      <c r="N558" s="61" t="s">
        <v>131</v>
      </c>
      <c r="O558" s="61" t="s">
        <v>131</v>
      </c>
      <c r="P558" s="124" t="s">
        <v>129</v>
      </c>
      <c r="Q558" s="61" t="s">
        <v>131</v>
      </c>
      <c r="R558" s="61" t="s">
        <v>131</v>
      </c>
      <c r="S558" s="59" t="s">
        <v>295</v>
      </c>
      <c r="T558" s="59" t="s">
        <v>26</v>
      </c>
      <c r="U558" s="59"/>
      <c r="V558" s="59"/>
      <c r="W558" s="59"/>
      <c r="X558" s="59" t="s">
        <v>1298</v>
      </c>
      <c r="Y558" s="59" t="s">
        <v>5</v>
      </c>
      <c r="Z558" s="59"/>
      <c r="AA558" s="59"/>
      <c r="AB558" s="57"/>
    </row>
    <row r="559" spans="1:28" s="1" customFormat="1" ht="33" customHeight="1" x14ac:dyDescent="0.3">
      <c r="A559" s="16">
        <v>14</v>
      </c>
      <c r="B559" s="23">
        <v>118</v>
      </c>
      <c r="C559" s="27" t="str">
        <f t="shared" si="17"/>
        <v>14.118</v>
      </c>
      <c r="D559" s="18" t="s">
        <v>885</v>
      </c>
      <c r="E559" s="64" t="str">
        <f>IF(ISBLANK(D559)=TRUE,"",VLOOKUP(D559,Krav!$C:$F,4,FALSE))</f>
        <v>10.a.1.1.1.35 - Hvis stiftelsesdato ikke er valgt: Regel R0051 deaktiveres</v>
      </c>
      <c r="F559" s="53" t="s">
        <v>226</v>
      </c>
      <c r="G559" s="53" t="s">
        <v>308</v>
      </c>
      <c r="H559" s="25" t="s">
        <v>1320</v>
      </c>
      <c r="I559" s="65" t="s">
        <v>241</v>
      </c>
      <c r="J559" s="67" t="s">
        <v>222</v>
      </c>
      <c r="K559" s="123" t="s">
        <v>222</v>
      </c>
      <c r="L559" s="20" t="s">
        <v>3</v>
      </c>
      <c r="M559" s="61" t="s">
        <v>131</v>
      </c>
      <c r="N559" s="61" t="s">
        <v>131</v>
      </c>
      <c r="O559" s="61" t="s">
        <v>131</v>
      </c>
      <c r="P559" s="124" t="s">
        <v>129</v>
      </c>
      <c r="Q559" s="61" t="s">
        <v>131</v>
      </c>
      <c r="R559" s="61" t="s">
        <v>131</v>
      </c>
      <c r="S559" s="59" t="s">
        <v>295</v>
      </c>
      <c r="T559" s="59" t="s">
        <v>26</v>
      </c>
      <c r="U559" s="59"/>
      <c r="V559" s="59"/>
      <c r="W559" s="59"/>
      <c r="X559" s="59" t="s">
        <v>1299</v>
      </c>
      <c r="Y559" s="59" t="s">
        <v>5</v>
      </c>
      <c r="Z559" s="59"/>
      <c r="AA559" s="59"/>
      <c r="AB559" s="57"/>
    </row>
    <row r="560" spans="1:28" s="1" customFormat="1" ht="33" customHeight="1" x14ac:dyDescent="0.3">
      <c r="A560" s="16">
        <v>14</v>
      </c>
      <c r="B560" s="23">
        <v>119</v>
      </c>
      <c r="C560" s="27" t="str">
        <f t="shared" si="17"/>
        <v>14.119</v>
      </c>
      <c r="D560" s="18" t="s">
        <v>887</v>
      </c>
      <c r="E560" s="64" t="str">
        <f>IF(ISBLANK(D560)=TRUE,"",VLOOKUP(D560,Krav!$C:$F,4,FALSE))</f>
        <v>10.a.1.1.1.36 - Hvis stiftelsesdato ikke er valgt: Regel R0052 deaktiveres</v>
      </c>
      <c r="F560" s="53" t="s">
        <v>226</v>
      </c>
      <c r="G560" s="53" t="s">
        <v>308</v>
      </c>
      <c r="H560" s="25" t="s">
        <v>1320</v>
      </c>
      <c r="I560" s="65" t="s">
        <v>241</v>
      </c>
      <c r="J560" s="67" t="s">
        <v>222</v>
      </c>
      <c r="K560" s="123" t="s">
        <v>222</v>
      </c>
      <c r="L560" s="20" t="s">
        <v>3</v>
      </c>
      <c r="M560" s="61" t="s">
        <v>131</v>
      </c>
      <c r="N560" s="61" t="s">
        <v>131</v>
      </c>
      <c r="O560" s="61" t="s">
        <v>131</v>
      </c>
      <c r="P560" s="124" t="s">
        <v>129</v>
      </c>
      <c r="Q560" s="61" t="s">
        <v>131</v>
      </c>
      <c r="R560" s="61" t="s">
        <v>131</v>
      </c>
      <c r="S560" s="59" t="s">
        <v>295</v>
      </c>
      <c r="T560" s="59" t="s">
        <v>26</v>
      </c>
      <c r="U560" s="59"/>
      <c r="V560" s="59"/>
      <c r="W560" s="59"/>
      <c r="X560" s="59" t="s">
        <v>1300</v>
      </c>
      <c r="Y560" s="59" t="s">
        <v>5</v>
      </c>
      <c r="Z560" s="59"/>
      <c r="AA560" s="59"/>
      <c r="AB560" s="57"/>
    </row>
    <row r="561" spans="1:28" s="1" customFormat="1" ht="33" customHeight="1" x14ac:dyDescent="0.3">
      <c r="A561" s="16">
        <v>14</v>
      </c>
      <c r="B561" s="23">
        <v>120</v>
      </c>
      <c r="C561" s="27" t="str">
        <f t="shared" si="17"/>
        <v>14.120</v>
      </c>
      <c r="D561" s="18" t="s">
        <v>889</v>
      </c>
      <c r="E561" s="64" t="str">
        <f>IF(ISBLANK(D561)=TRUE,"",VLOOKUP(D561,Krav!$C:$F,4,FALSE))</f>
        <v>10.a.1.1.1.37 - Hvis stiftelsesdato ikke er valgt: Regel R0053 deaktiveres</v>
      </c>
      <c r="F561" s="53" t="s">
        <v>226</v>
      </c>
      <c r="G561" s="53" t="s">
        <v>308</v>
      </c>
      <c r="H561" s="25" t="s">
        <v>1320</v>
      </c>
      <c r="I561" s="65" t="s">
        <v>241</v>
      </c>
      <c r="J561" s="67" t="s">
        <v>222</v>
      </c>
      <c r="K561" s="123" t="s">
        <v>222</v>
      </c>
      <c r="L561" s="20" t="s">
        <v>3</v>
      </c>
      <c r="M561" s="61" t="s">
        <v>131</v>
      </c>
      <c r="N561" s="61" t="s">
        <v>131</v>
      </c>
      <c r="O561" s="61" t="s">
        <v>131</v>
      </c>
      <c r="P561" s="124" t="s">
        <v>129</v>
      </c>
      <c r="Q561" s="61" t="s">
        <v>131</v>
      </c>
      <c r="R561" s="61" t="s">
        <v>131</v>
      </c>
      <c r="S561" s="59" t="s">
        <v>295</v>
      </c>
      <c r="T561" s="59" t="s">
        <v>26</v>
      </c>
      <c r="U561" s="59"/>
      <c r="V561" s="59"/>
      <c r="W561" s="59"/>
      <c r="X561" s="59" t="s">
        <v>1301</v>
      </c>
      <c r="Y561" s="59" t="s">
        <v>5</v>
      </c>
      <c r="Z561" s="59"/>
      <c r="AA561" s="59"/>
      <c r="AB561" s="57"/>
    </row>
    <row r="562" spans="1:28" s="1" customFormat="1" ht="33" customHeight="1" x14ac:dyDescent="0.3">
      <c r="A562" s="16">
        <v>14</v>
      </c>
      <c r="B562" s="23">
        <v>121</v>
      </c>
      <c r="C562" s="27" t="str">
        <f t="shared" si="17"/>
        <v>14.121</v>
      </c>
      <c r="D562" s="18" t="s">
        <v>891</v>
      </c>
      <c r="E562" s="64" t="str">
        <f>IF(ISBLANK(D562)=TRUE,"",VLOOKUP(D562,Krav!$C:$F,4,FALSE))</f>
        <v>10.a.1.1.1.38 - Hvis stiftelsesdato ikke er valgt: Regel R0054 deaktiveres</v>
      </c>
      <c r="F562" s="53" t="s">
        <v>226</v>
      </c>
      <c r="G562" s="53" t="s">
        <v>308</v>
      </c>
      <c r="H562" s="25" t="s">
        <v>1320</v>
      </c>
      <c r="I562" s="65" t="s">
        <v>241</v>
      </c>
      <c r="J562" s="67" t="s">
        <v>222</v>
      </c>
      <c r="K562" s="123" t="s">
        <v>222</v>
      </c>
      <c r="L562" s="20" t="s">
        <v>3</v>
      </c>
      <c r="M562" s="61" t="s">
        <v>131</v>
      </c>
      <c r="N562" s="61" t="s">
        <v>131</v>
      </c>
      <c r="O562" s="61" t="s">
        <v>131</v>
      </c>
      <c r="P562" s="124" t="s">
        <v>129</v>
      </c>
      <c r="Q562" s="61" t="s">
        <v>131</v>
      </c>
      <c r="R562" s="61" t="s">
        <v>131</v>
      </c>
      <c r="S562" s="59" t="s">
        <v>295</v>
      </c>
      <c r="T562" s="59" t="s">
        <v>26</v>
      </c>
      <c r="U562" s="59"/>
      <c r="V562" s="59"/>
      <c r="W562" s="59"/>
      <c r="X562" s="59" t="s">
        <v>1302</v>
      </c>
      <c r="Y562" s="59" t="s">
        <v>5</v>
      </c>
      <c r="Z562" s="59"/>
      <c r="AA562" s="59"/>
      <c r="AB562" s="57"/>
    </row>
    <row r="563" spans="1:28" s="1" customFormat="1" ht="33" customHeight="1" x14ac:dyDescent="0.3">
      <c r="A563" s="16">
        <v>14</v>
      </c>
      <c r="B563" s="23">
        <v>122</v>
      </c>
      <c r="C563" s="27" t="str">
        <f t="shared" si="17"/>
        <v>14.122</v>
      </c>
      <c r="D563" s="18" t="s">
        <v>919</v>
      </c>
      <c r="E563" s="64" t="str">
        <f>IF(ISBLANK(D563)=TRUE,"",VLOOKUP(D563,Krav!$C:$F,4,FALSE))</f>
        <v>10.a.1.1.1.52 - Hvis StiftelsesDato ikke er valgt: Regel R0068 deaktiveres</v>
      </c>
      <c r="F563" s="53" t="s">
        <v>226</v>
      </c>
      <c r="G563" s="53" t="s">
        <v>308</v>
      </c>
      <c r="H563" s="25" t="s">
        <v>1320</v>
      </c>
      <c r="I563" s="65" t="s">
        <v>241</v>
      </c>
      <c r="J563" s="67" t="s">
        <v>222</v>
      </c>
      <c r="K563" s="123" t="s">
        <v>222</v>
      </c>
      <c r="L563" s="20" t="s">
        <v>3</v>
      </c>
      <c r="M563" s="61" t="s">
        <v>131</v>
      </c>
      <c r="N563" s="61" t="s">
        <v>131</v>
      </c>
      <c r="O563" s="61" t="s">
        <v>131</v>
      </c>
      <c r="P563" s="124" t="s">
        <v>129</v>
      </c>
      <c r="Q563" s="61" t="s">
        <v>131</v>
      </c>
      <c r="R563" s="61" t="s">
        <v>131</v>
      </c>
      <c r="S563" s="59" t="s">
        <v>295</v>
      </c>
      <c r="T563" s="59" t="s">
        <v>26</v>
      </c>
      <c r="U563" s="59"/>
      <c r="V563" s="59"/>
      <c r="W563" s="59"/>
      <c r="X563" s="59" t="s">
        <v>1303</v>
      </c>
      <c r="Y563" s="59" t="s">
        <v>5</v>
      </c>
      <c r="Z563" s="59"/>
      <c r="AA563" s="59"/>
      <c r="AB563" s="57"/>
    </row>
    <row r="564" spans="1:28" s="1" customFormat="1" ht="33" customHeight="1" x14ac:dyDescent="0.3">
      <c r="A564" s="16">
        <v>14</v>
      </c>
      <c r="B564" s="23">
        <v>123</v>
      </c>
      <c r="C564" s="27" t="str">
        <f t="shared" si="17"/>
        <v>14.123</v>
      </c>
      <c r="D564" s="18" t="s">
        <v>843</v>
      </c>
      <c r="E564" s="64" t="str">
        <f>IF(ISBLANK(D564)=TRUE,"",VLOOKUP(D564,Krav!$C:$F,4,FALSE))</f>
        <v>10.a.1.1.1.14 - Hvis FordringsStartDato er valgt: Regel R0055 aktiveres</v>
      </c>
      <c r="F564" s="53" t="s">
        <v>226</v>
      </c>
      <c r="G564" s="53" t="s">
        <v>308</v>
      </c>
      <c r="H564" s="25" t="s">
        <v>1307</v>
      </c>
      <c r="I564" s="65" t="s">
        <v>240</v>
      </c>
      <c r="J564" s="67" t="s">
        <v>222</v>
      </c>
      <c r="K564" s="123" t="s">
        <v>222</v>
      </c>
      <c r="L564" s="20" t="s">
        <v>3</v>
      </c>
      <c r="M564" s="61" t="s">
        <v>131</v>
      </c>
      <c r="N564" s="61" t="s">
        <v>131</v>
      </c>
      <c r="O564" s="61" t="s">
        <v>131</v>
      </c>
      <c r="P564" s="124" t="s">
        <v>129</v>
      </c>
      <c r="Q564" s="61" t="s">
        <v>131</v>
      </c>
      <c r="R564" s="61" t="s">
        <v>131</v>
      </c>
      <c r="S564" s="59" t="s">
        <v>295</v>
      </c>
      <c r="T564" s="59" t="s">
        <v>26</v>
      </c>
      <c r="U564" s="59"/>
      <c r="V564" s="59"/>
      <c r="W564" s="59"/>
      <c r="X564" s="59" t="s">
        <v>1308</v>
      </c>
      <c r="Y564" s="59" t="s">
        <v>5</v>
      </c>
      <c r="Z564" s="59"/>
      <c r="AA564" s="59"/>
      <c r="AB564" s="57"/>
    </row>
    <row r="565" spans="1:28" s="1" customFormat="1" ht="33" customHeight="1" x14ac:dyDescent="0.3">
      <c r="A565" s="16">
        <v>14</v>
      </c>
      <c r="B565" s="23">
        <v>124</v>
      </c>
      <c r="C565" s="27" t="str">
        <f t="shared" si="17"/>
        <v>14.124</v>
      </c>
      <c r="D565" s="18" t="s">
        <v>845</v>
      </c>
      <c r="E565" s="64" t="str">
        <f>IF(ISBLANK(D565)=TRUE,"",VLOOKUP(D565,Krav!$C:$F,4,FALSE))</f>
        <v>10.a.1.1.1.15 - Hvis FordringsStartDato er valgt: Regel R0056 aktiveres</v>
      </c>
      <c r="F565" s="53" t="s">
        <v>226</v>
      </c>
      <c r="G565" s="53" t="s">
        <v>308</v>
      </c>
      <c r="H565" s="25" t="s">
        <v>1307</v>
      </c>
      <c r="I565" s="65" t="s">
        <v>240</v>
      </c>
      <c r="J565" s="67" t="s">
        <v>222</v>
      </c>
      <c r="K565" s="123" t="s">
        <v>222</v>
      </c>
      <c r="L565" s="20" t="s">
        <v>3</v>
      </c>
      <c r="M565" s="61" t="s">
        <v>131</v>
      </c>
      <c r="N565" s="61" t="s">
        <v>131</v>
      </c>
      <c r="O565" s="61" t="s">
        <v>131</v>
      </c>
      <c r="P565" s="124" t="s">
        <v>129</v>
      </c>
      <c r="Q565" s="61" t="s">
        <v>131</v>
      </c>
      <c r="R565" s="61" t="s">
        <v>131</v>
      </c>
      <c r="S565" s="59" t="s">
        <v>295</v>
      </c>
      <c r="T565" s="59" t="s">
        <v>26</v>
      </c>
      <c r="U565" s="59"/>
      <c r="V565" s="59"/>
      <c r="W565" s="59"/>
      <c r="X565" s="59" t="s">
        <v>1309</v>
      </c>
      <c r="Y565" s="59" t="s">
        <v>5</v>
      </c>
      <c r="Z565" s="59"/>
      <c r="AA565" s="59"/>
      <c r="AB565" s="57"/>
    </row>
    <row r="566" spans="1:28" s="1" customFormat="1" ht="33" customHeight="1" x14ac:dyDescent="0.3">
      <c r="A566" s="16">
        <v>14</v>
      </c>
      <c r="B566" s="23">
        <v>125</v>
      </c>
      <c r="C566" s="27" t="str">
        <f t="shared" si="17"/>
        <v>14.125</v>
      </c>
      <c r="D566" s="18" t="s">
        <v>847</v>
      </c>
      <c r="E566" s="64" t="str">
        <f>IF(ISBLANK(D566)=TRUE,"",VLOOKUP(D566,Krav!$C:$F,4,FALSE))</f>
        <v>10.a.1.1.1.16 - Hvis FordringsStartDato er valgt: Regel R0057 aktiveres</v>
      </c>
      <c r="F566" s="53" t="s">
        <v>226</v>
      </c>
      <c r="G566" s="53" t="s">
        <v>308</v>
      </c>
      <c r="H566" s="25" t="s">
        <v>1307</v>
      </c>
      <c r="I566" s="65" t="s">
        <v>240</v>
      </c>
      <c r="J566" s="67" t="s">
        <v>222</v>
      </c>
      <c r="K566" s="123" t="s">
        <v>222</v>
      </c>
      <c r="L566" s="20" t="s">
        <v>3</v>
      </c>
      <c r="M566" s="61" t="s">
        <v>131</v>
      </c>
      <c r="N566" s="61" t="s">
        <v>131</v>
      </c>
      <c r="O566" s="61" t="s">
        <v>131</v>
      </c>
      <c r="P566" s="124" t="s">
        <v>129</v>
      </c>
      <c r="Q566" s="61" t="s">
        <v>131</v>
      </c>
      <c r="R566" s="61" t="s">
        <v>131</v>
      </c>
      <c r="S566" s="59" t="s">
        <v>295</v>
      </c>
      <c r="T566" s="59" t="s">
        <v>26</v>
      </c>
      <c r="U566" s="59"/>
      <c r="V566" s="59"/>
      <c r="W566" s="59"/>
      <c r="X566" s="59" t="s">
        <v>1310</v>
      </c>
      <c r="Y566" s="59" t="s">
        <v>5</v>
      </c>
      <c r="Z566" s="59"/>
      <c r="AA566" s="59"/>
      <c r="AB566" s="57"/>
    </row>
    <row r="567" spans="1:28" s="1" customFormat="1" ht="33" customHeight="1" x14ac:dyDescent="0.3">
      <c r="A567" s="16">
        <v>14</v>
      </c>
      <c r="B567" s="23">
        <v>126</v>
      </c>
      <c r="C567" s="27" t="str">
        <f t="shared" si="17"/>
        <v>14.126</v>
      </c>
      <c r="D567" s="18" t="s">
        <v>849</v>
      </c>
      <c r="E567" s="64" t="str">
        <f>IF(ISBLANK(D567)=TRUE,"",VLOOKUP(D567,Krav!$C:$F,4,FALSE))</f>
        <v>10.a.1.1.1.17 - Hvis FordringsStartDato er valgt: Regel R0058 aktiveres</v>
      </c>
      <c r="F567" s="53" t="s">
        <v>226</v>
      </c>
      <c r="G567" s="53" t="s">
        <v>308</v>
      </c>
      <c r="H567" s="25" t="s">
        <v>1307</v>
      </c>
      <c r="I567" s="65" t="s">
        <v>240</v>
      </c>
      <c r="J567" s="67" t="s">
        <v>222</v>
      </c>
      <c r="K567" s="123" t="s">
        <v>222</v>
      </c>
      <c r="L567" s="20" t="s">
        <v>3</v>
      </c>
      <c r="M567" s="61" t="s">
        <v>131</v>
      </c>
      <c r="N567" s="61" t="s">
        <v>131</v>
      </c>
      <c r="O567" s="61" t="s">
        <v>131</v>
      </c>
      <c r="P567" s="124" t="s">
        <v>129</v>
      </c>
      <c r="Q567" s="61" t="s">
        <v>131</v>
      </c>
      <c r="R567" s="61" t="s">
        <v>131</v>
      </c>
      <c r="S567" s="59" t="s">
        <v>295</v>
      </c>
      <c r="T567" s="59" t="s">
        <v>26</v>
      </c>
      <c r="U567" s="59"/>
      <c r="V567" s="59"/>
      <c r="W567" s="59"/>
      <c r="X567" s="59" t="s">
        <v>1311</v>
      </c>
      <c r="Y567" s="59" t="s">
        <v>5</v>
      </c>
      <c r="Z567" s="59"/>
      <c r="AA567" s="59"/>
      <c r="AB567" s="57"/>
    </row>
    <row r="568" spans="1:28" s="1" customFormat="1" ht="33" customHeight="1" x14ac:dyDescent="0.3">
      <c r="A568" s="16">
        <v>14</v>
      </c>
      <c r="B568" s="23">
        <v>127</v>
      </c>
      <c r="C568" s="27" t="str">
        <f t="shared" si="17"/>
        <v>14.127</v>
      </c>
      <c r="D568" s="18" t="s">
        <v>871</v>
      </c>
      <c r="E568" s="64" t="str">
        <f>IF(ISBLANK(D568)=TRUE,"",VLOOKUP(D568,Krav!$C:$F,4,FALSE))</f>
        <v>10.a.1.1.1.28 - Hvis FordringsStartDato er valgt: Regel R0069 aktiveres</v>
      </c>
      <c r="F568" s="53" t="s">
        <v>226</v>
      </c>
      <c r="G568" s="53" t="s">
        <v>308</v>
      </c>
      <c r="H568" s="25" t="s">
        <v>1307</v>
      </c>
      <c r="I568" s="65" t="s">
        <v>240</v>
      </c>
      <c r="J568" s="67" t="s">
        <v>222</v>
      </c>
      <c r="K568" s="123" t="s">
        <v>222</v>
      </c>
      <c r="L568" s="20" t="s">
        <v>3</v>
      </c>
      <c r="M568" s="61" t="s">
        <v>131</v>
      </c>
      <c r="N568" s="61" t="s">
        <v>131</v>
      </c>
      <c r="O568" s="61" t="s">
        <v>131</v>
      </c>
      <c r="P568" s="124" t="s">
        <v>129</v>
      </c>
      <c r="Q568" s="61" t="s">
        <v>131</v>
      </c>
      <c r="R568" s="61" t="s">
        <v>131</v>
      </c>
      <c r="S568" s="59" t="s">
        <v>295</v>
      </c>
      <c r="T568" s="59" t="s">
        <v>26</v>
      </c>
      <c r="U568" s="59"/>
      <c r="V568" s="59"/>
      <c r="W568" s="59"/>
      <c r="X568" s="59" t="s">
        <v>1312</v>
      </c>
      <c r="Y568" s="59" t="s">
        <v>5</v>
      </c>
      <c r="Z568" s="59"/>
      <c r="AA568" s="59"/>
      <c r="AB568" s="57"/>
    </row>
    <row r="569" spans="1:28" s="1" customFormat="1" ht="33" customHeight="1" x14ac:dyDescent="0.3">
      <c r="A569" s="16">
        <v>14</v>
      </c>
      <c r="B569" s="23">
        <v>128</v>
      </c>
      <c r="C569" s="27" t="str">
        <f t="shared" si="17"/>
        <v>14.128</v>
      </c>
      <c r="D569" s="18" t="s">
        <v>901</v>
      </c>
      <c r="E569" s="64" t="str">
        <f>IF(ISBLANK(D569)=TRUE,"",VLOOKUP(D569,Krav!$C:$F,4,FALSE))</f>
        <v>10.a.1.1.1.43 - Hvis FordringsSlutDato ikke er valgt: Regel R0059 deaktiveres</v>
      </c>
      <c r="F569" s="53" t="s">
        <v>226</v>
      </c>
      <c r="G569" s="53" t="s">
        <v>308</v>
      </c>
      <c r="H569" s="25" t="s">
        <v>1318</v>
      </c>
      <c r="I569" s="65" t="s">
        <v>241</v>
      </c>
      <c r="J569" s="67" t="s">
        <v>222</v>
      </c>
      <c r="K569" s="123" t="s">
        <v>222</v>
      </c>
      <c r="L569" s="20" t="s">
        <v>3</v>
      </c>
      <c r="M569" s="61" t="s">
        <v>131</v>
      </c>
      <c r="N569" s="61" t="s">
        <v>131</v>
      </c>
      <c r="O569" s="61" t="s">
        <v>131</v>
      </c>
      <c r="P569" s="124" t="s">
        <v>129</v>
      </c>
      <c r="Q569" s="61" t="s">
        <v>131</v>
      </c>
      <c r="R569" s="61" t="s">
        <v>131</v>
      </c>
      <c r="S569" s="59" t="s">
        <v>295</v>
      </c>
      <c r="T569" s="59" t="s">
        <v>26</v>
      </c>
      <c r="U569" s="59"/>
      <c r="V569" s="59"/>
      <c r="W569" s="59"/>
      <c r="X569" s="59" t="s">
        <v>1314</v>
      </c>
      <c r="Y569" s="59" t="s">
        <v>5</v>
      </c>
      <c r="Z569" s="59"/>
      <c r="AA569" s="59"/>
      <c r="AB569" s="57"/>
    </row>
    <row r="570" spans="1:28" s="1" customFormat="1" ht="33" customHeight="1" x14ac:dyDescent="0.3">
      <c r="A570" s="16">
        <v>14</v>
      </c>
      <c r="B570" s="23">
        <v>129</v>
      </c>
      <c r="C570" s="27" t="str">
        <f t="shared" si="17"/>
        <v>14.129</v>
      </c>
      <c r="D570" s="18" t="s">
        <v>903</v>
      </c>
      <c r="E570" s="64" t="str">
        <f>IF(ISBLANK(D570)=TRUE,"",VLOOKUP(D570,Krav!$C:$F,4,FALSE))</f>
        <v>10.a.1.1.1.44 - Hvis FordringsSlutDato ikke er valgt: Regel R0060 deaktiveres</v>
      </c>
      <c r="F570" s="53" t="s">
        <v>226</v>
      </c>
      <c r="G570" s="53" t="s">
        <v>308</v>
      </c>
      <c r="H570" s="25" t="s">
        <v>1318</v>
      </c>
      <c r="I570" s="65" t="s">
        <v>241</v>
      </c>
      <c r="J570" s="67" t="s">
        <v>222</v>
      </c>
      <c r="K570" s="123" t="s">
        <v>222</v>
      </c>
      <c r="L570" s="20" t="s">
        <v>3</v>
      </c>
      <c r="M570" s="61" t="s">
        <v>131</v>
      </c>
      <c r="N570" s="61" t="s">
        <v>131</v>
      </c>
      <c r="O570" s="61" t="s">
        <v>131</v>
      </c>
      <c r="P570" s="124" t="s">
        <v>129</v>
      </c>
      <c r="Q570" s="61" t="s">
        <v>131</v>
      </c>
      <c r="R570" s="61" t="s">
        <v>131</v>
      </c>
      <c r="S570" s="59" t="s">
        <v>295</v>
      </c>
      <c r="T570" s="59" t="s">
        <v>26</v>
      </c>
      <c r="U570" s="59"/>
      <c r="V570" s="59"/>
      <c r="W570" s="59"/>
      <c r="X570" s="59" t="s">
        <v>1315</v>
      </c>
      <c r="Y570" s="59" t="s">
        <v>5</v>
      </c>
      <c r="Z570" s="59"/>
      <c r="AA570" s="59"/>
      <c r="AB570" s="57"/>
    </row>
    <row r="571" spans="1:28" s="1" customFormat="1" ht="33" customHeight="1" x14ac:dyDescent="0.3">
      <c r="A571" s="16">
        <v>14</v>
      </c>
      <c r="B571" s="23">
        <v>130</v>
      </c>
      <c r="C571" s="27" t="str">
        <f t="shared" si="17"/>
        <v>14.130</v>
      </c>
      <c r="D571" s="18" t="s">
        <v>905</v>
      </c>
      <c r="E571" s="64" t="str">
        <f>IF(ISBLANK(D571)=TRUE,"",VLOOKUP(D571,Krav!$C:$F,4,FALSE))</f>
        <v>10.a.1.1.1.45 - Hvis FordringsSlutDato ikke er valgt: Regel R0061 deaktiveres</v>
      </c>
      <c r="F571" s="53" t="s">
        <v>226</v>
      </c>
      <c r="G571" s="53" t="s">
        <v>308</v>
      </c>
      <c r="H571" s="25" t="s">
        <v>1318</v>
      </c>
      <c r="I571" s="65" t="s">
        <v>241</v>
      </c>
      <c r="J571" s="67" t="s">
        <v>222</v>
      </c>
      <c r="K571" s="123" t="s">
        <v>222</v>
      </c>
      <c r="L571" s="20" t="s">
        <v>3</v>
      </c>
      <c r="M571" s="61" t="s">
        <v>131</v>
      </c>
      <c r="N571" s="61" t="s">
        <v>131</v>
      </c>
      <c r="O571" s="61" t="s">
        <v>131</v>
      </c>
      <c r="P571" s="124" t="s">
        <v>129</v>
      </c>
      <c r="Q571" s="61" t="s">
        <v>131</v>
      </c>
      <c r="R571" s="61" t="s">
        <v>131</v>
      </c>
      <c r="S571" s="59" t="s">
        <v>295</v>
      </c>
      <c r="T571" s="59" t="s">
        <v>26</v>
      </c>
      <c r="U571" s="59"/>
      <c r="V571" s="59"/>
      <c r="W571" s="59"/>
      <c r="X571" s="59" t="s">
        <v>1316</v>
      </c>
      <c r="Y571" s="59" t="s">
        <v>5</v>
      </c>
      <c r="Z571" s="59"/>
      <c r="AA571" s="59"/>
      <c r="AB571" s="57"/>
    </row>
    <row r="572" spans="1:28" s="1" customFormat="1" ht="33" customHeight="1" x14ac:dyDescent="0.3">
      <c r="A572" s="16">
        <v>14</v>
      </c>
      <c r="B572" s="23">
        <v>131</v>
      </c>
      <c r="C572" s="27" t="str">
        <f t="shared" si="17"/>
        <v>14.131</v>
      </c>
      <c r="D572" s="18" t="s">
        <v>907</v>
      </c>
      <c r="E572" s="64" t="str">
        <f>IF(ISBLANK(D572)=TRUE,"",VLOOKUP(D572,Krav!$C:$F,4,FALSE))</f>
        <v>10.a.1.1.1.46 - Hvis FordringsSlutDato ikke er valgt: Regel R0062 deaktiveres</v>
      </c>
      <c r="F572" s="53" t="s">
        <v>226</v>
      </c>
      <c r="G572" s="53" t="s">
        <v>308</v>
      </c>
      <c r="H572" s="25" t="s">
        <v>1318</v>
      </c>
      <c r="I572" s="65" t="s">
        <v>241</v>
      </c>
      <c r="J572" s="67" t="s">
        <v>222</v>
      </c>
      <c r="K572" s="123" t="s">
        <v>222</v>
      </c>
      <c r="L572" s="20" t="s">
        <v>3</v>
      </c>
      <c r="M572" s="61" t="s">
        <v>131</v>
      </c>
      <c r="N572" s="61" t="s">
        <v>131</v>
      </c>
      <c r="O572" s="61" t="s">
        <v>131</v>
      </c>
      <c r="P572" s="124" t="s">
        <v>129</v>
      </c>
      <c r="Q572" s="61" t="s">
        <v>131</v>
      </c>
      <c r="R572" s="61" t="s">
        <v>131</v>
      </c>
      <c r="S572" s="59" t="s">
        <v>295</v>
      </c>
      <c r="T572" s="59" t="s">
        <v>26</v>
      </c>
      <c r="U572" s="59"/>
      <c r="V572" s="59"/>
      <c r="W572" s="59"/>
      <c r="X572" s="59" t="s">
        <v>1317</v>
      </c>
      <c r="Y572" s="59" t="s">
        <v>5</v>
      </c>
      <c r="Z572" s="59"/>
      <c r="AA572" s="59"/>
      <c r="AB572" s="57"/>
    </row>
    <row r="573" spans="1:28" s="1" customFormat="1" ht="33" customHeight="1" x14ac:dyDescent="0.3">
      <c r="A573" s="16">
        <v>14</v>
      </c>
      <c r="B573" s="23">
        <v>132</v>
      </c>
      <c r="C573" s="27" t="str">
        <f t="shared" si="17"/>
        <v>14.132</v>
      </c>
      <c r="D573" s="18" t="s">
        <v>923</v>
      </c>
      <c r="E573" s="64" t="str">
        <f>IF(ISBLANK(D573)=TRUE,"",VLOOKUP(D573,Krav!$C:$F,4,FALSE))</f>
        <v>10.a.1.1.1.54 - Hvis FordringsSlutDato ikke er valgt: Regel R0070 deaktiveres</v>
      </c>
      <c r="F573" s="53" t="s">
        <v>226</v>
      </c>
      <c r="G573" s="53" t="s">
        <v>308</v>
      </c>
      <c r="H573" s="25" t="s">
        <v>1318</v>
      </c>
      <c r="I573" s="65" t="s">
        <v>241</v>
      </c>
      <c r="J573" s="67" t="s">
        <v>222</v>
      </c>
      <c r="K573" s="123" t="s">
        <v>222</v>
      </c>
      <c r="L573" s="20" t="s">
        <v>3</v>
      </c>
      <c r="M573" s="61" t="s">
        <v>131</v>
      </c>
      <c r="N573" s="61" t="s">
        <v>131</v>
      </c>
      <c r="O573" s="61" t="s">
        <v>131</v>
      </c>
      <c r="P573" s="124" t="s">
        <v>129</v>
      </c>
      <c r="Q573" s="61" t="s">
        <v>131</v>
      </c>
      <c r="R573" s="61" t="s">
        <v>131</v>
      </c>
      <c r="S573" s="59" t="s">
        <v>295</v>
      </c>
      <c r="T573" s="59" t="s">
        <v>26</v>
      </c>
      <c r="U573" s="59"/>
      <c r="V573" s="59"/>
      <c r="W573" s="59"/>
      <c r="X573" s="59" t="s">
        <v>1313</v>
      </c>
      <c r="Y573" s="59" t="s">
        <v>5</v>
      </c>
      <c r="Z573" s="59"/>
      <c r="AA573" s="59"/>
      <c r="AB573" s="57"/>
    </row>
    <row r="574" spans="1:28" s="1" customFormat="1" ht="33" customHeight="1" x14ac:dyDescent="0.3">
      <c r="A574" s="16">
        <v>14</v>
      </c>
      <c r="B574" s="23">
        <v>133</v>
      </c>
      <c r="C574" s="27" t="str">
        <f t="shared" si="17"/>
        <v>14.133</v>
      </c>
      <c r="D574" s="18" t="s">
        <v>563</v>
      </c>
      <c r="E574" s="64" t="str">
        <f>IF(ISBLANK(D574)=TRUE,"",VLOOKUP(D574,Krav!$C:$F,4,FALSE))</f>
        <v>10.8 - Såfremt brugeren vælger et eller flere af stamdatafelterne, hvor periode slut er i blandt, skal brugeren ledes til spørgsmål 10.a via form 31</v>
      </c>
      <c r="F574" s="53" t="s">
        <v>143</v>
      </c>
      <c r="G574" s="19"/>
      <c r="H574" s="25" t="s">
        <v>564</v>
      </c>
      <c r="I574" s="65" t="s">
        <v>565</v>
      </c>
      <c r="J574" s="67" t="s">
        <v>222</v>
      </c>
      <c r="K574" s="123" t="s">
        <v>222</v>
      </c>
      <c r="L574" s="20" t="s">
        <v>3</v>
      </c>
      <c r="M574" s="61" t="s">
        <v>131</v>
      </c>
      <c r="N574" s="61" t="s">
        <v>131</v>
      </c>
      <c r="O574" s="61" t="s">
        <v>131</v>
      </c>
      <c r="P574" s="61" t="s">
        <v>131</v>
      </c>
      <c r="Q574" s="124" t="s">
        <v>129</v>
      </c>
      <c r="R574" s="61" t="s">
        <v>131</v>
      </c>
      <c r="S574" s="59" t="s">
        <v>295</v>
      </c>
      <c r="T574" s="59" t="s">
        <v>26</v>
      </c>
      <c r="U574" s="59"/>
      <c r="V574" s="59"/>
      <c r="W574" s="59"/>
      <c r="X574" s="59"/>
      <c r="Y574" s="59" t="s">
        <v>5</v>
      </c>
      <c r="Z574" s="59"/>
      <c r="AA574" s="59"/>
      <c r="AB574" s="57"/>
    </row>
    <row r="575" spans="1:28" s="1" customFormat="1" ht="33" customHeight="1" x14ac:dyDescent="0.3">
      <c r="A575" s="16">
        <v>14</v>
      </c>
      <c r="B575" s="23">
        <v>134</v>
      </c>
      <c r="C575" s="27" t="str">
        <f t="shared" si="17"/>
        <v>14.134</v>
      </c>
      <c r="D575" s="18"/>
      <c r="E575" s="64" t="str">
        <f>IF(ISBLANK(D575)=TRUE,"",VLOOKUP(D575,Krav!$C:$F,4,FALSE))</f>
        <v/>
      </c>
      <c r="F575" s="53" t="s">
        <v>225</v>
      </c>
      <c r="G575" s="19" t="s">
        <v>521</v>
      </c>
      <c r="H575" s="25" t="s">
        <v>535</v>
      </c>
      <c r="I575" s="65" t="s">
        <v>550</v>
      </c>
      <c r="J575" s="67" t="s">
        <v>222</v>
      </c>
      <c r="K575" s="123" t="s">
        <v>222</v>
      </c>
      <c r="L575" s="20" t="s">
        <v>3</v>
      </c>
      <c r="M575" s="61" t="s">
        <v>131</v>
      </c>
      <c r="N575" s="61" t="s">
        <v>131</v>
      </c>
      <c r="O575" s="61" t="s">
        <v>131</v>
      </c>
      <c r="P575" s="61" t="s">
        <v>131</v>
      </c>
      <c r="Q575" s="124" t="s">
        <v>129</v>
      </c>
      <c r="R575" s="61" t="s">
        <v>131</v>
      </c>
      <c r="S575" s="59" t="s">
        <v>295</v>
      </c>
      <c r="T575" s="59" t="s">
        <v>26</v>
      </c>
      <c r="U575" s="59"/>
      <c r="V575" s="59"/>
      <c r="W575" s="59"/>
      <c r="X575" s="59"/>
      <c r="Y575" s="59" t="s">
        <v>5</v>
      </c>
      <c r="Z575" s="59"/>
      <c r="AA575" s="59"/>
      <c r="AB575" s="57"/>
    </row>
    <row r="576" spans="1:28" s="1" customFormat="1" ht="33" customHeight="1" x14ac:dyDescent="0.3">
      <c r="A576" s="16">
        <v>14</v>
      </c>
      <c r="B576" s="23">
        <v>135</v>
      </c>
      <c r="C576" s="27" t="str">
        <f t="shared" si="17"/>
        <v>14.135</v>
      </c>
      <c r="D576" s="18"/>
      <c r="E576" s="64" t="str">
        <f>IF(ISBLANK(D576)=TRUE,"",VLOOKUP(D576,Krav!$C:$F,4,FALSE))</f>
        <v/>
      </c>
      <c r="F576" s="53" t="s">
        <v>225</v>
      </c>
      <c r="G576" s="19" t="s">
        <v>522</v>
      </c>
      <c r="H576" s="25" t="s">
        <v>537</v>
      </c>
      <c r="I576" s="65" t="s">
        <v>538</v>
      </c>
      <c r="J576" s="67" t="s">
        <v>222</v>
      </c>
      <c r="K576" s="123" t="s">
        <v>222</v>
      </c>
      <c r="L576" s="20" t="s">
        <v>3</v>
      </c>
      <c r="M576" s="61" t="s">
        <v>131</v>
      </c>
      <c r="N576" s="61" t="s">
        <v>131</v>
      </c>
      <c r="O576" s="61" t="s">
        <v>131</v>
      </c>
      <c r="P576" s="61" t="s">
        <v>131</v>
      </c>
      <c r="Q576" s="124" t="s">
        <v>129</v>
      </c>
      <c r="R576" s="61" t="s">
        <v>131</v>
      </c>
      <c r="S576" s="59" t="s">
        <v>295</v>
      </c>
      <c r="T576" s="59" t="s">
        <v>26</v>
      </c>
      <c r="U576" s="59"/>
      <c r="V576" s="59"/>
      <c r="W576" s="59"/>
      <c r="X576" s="59"/>
      <c r="Y576" s="59" t="s">
        <v>5</v>
      </c>
      <c r="Z576" s="59"/>
      <c r="AA576" s="59"/>
      <c r="AB576" s="57"/>
    </row>
    <row r="577" spans="1:28" s="1" customFormat="1" ht="33" customHeight="1" x14ac:dyDescent="0.3">
      <c r="A577" s="16">
        <v>14</v>
      </c>
      <c r="B577" s="23">
        <v>136</v>
      </c>
      <c r="C577" s="27" t="str">
        <f t="shared" si="17"/>
        <v>14.136</v>
      </c>
      <c r="D577" s="18"/>
      <c r="E577" s="64" t="str">
        <f>IF(ISBLANK(D577)=TRUE,"",VLOOKUP(D577,Krav!$C:$F,4,FALSE))</f>
        <v/>
      </c>
      <c r="F577" s="53" t="s">
        <v>225</v>
      </c>
      <c r="G577" s="19" t="s">
        <v>523</v>
      </c>
      <c r="H577" s="25" t="s">
        <v>539</v>
      </c>
      <c r="I577" s="65" t="s">
        <v>540</v>
      </c>
      <c r="J577" s="67" t="s">
        <v>222</v>
      </c>
      <c r="K577" s="123" t="s">
        <v>222</v>
      </c>
      <c r="L577" s="20" t="s">
        <v>3</v>
      </c>
      <c r="M577" s="61" t="s">
        <v>131</v>
      </c>
      <c r="N577" s="61" t="s">
        <v>131</v>
      </c>
      <c r="O577" s="61" t="s">
        <v>131</v>
      </c>
      <c r="P577" s="61" t="s">
        <v>131</v>
      </c>
      <c r="Q577" s="124" t="s">
        <v>129</v>
      </c>
      <c r="R577" s="61" t="s">
        <v>131</v>
      </c>
      <c r="S577" s="59" t="s">
        <v>295</v>
      </c>
      <c r="T577" s="59" t="s">
        <v>26</v>
      </c>
      <c r="U577" s="59"/>
      <c r="V577" s="59"/>
      <c r="W577" s="59"/>
      <c r="X577" s="59"/>
      <c r="Y577" s="59" t="s">
        <v>5</v>
      </c>
      <c r="Z577" s="59"/>
      <c r="AA577" s="59"/>
      <c r="AB577" s="57"/>
    </row>
    <row r="578" spans="1:28" s="1" customFormat="1" ht="33" customHeight="1" x14ac:dyDescent="0.3">
      <c r="A578" s="16">
        <v>14</v>
      </c>
      <c r="B578" s="23">
        <v>137</v>
      </c>
      <c r="C578" s="27" t="str">
        <f t="shared" si="17"/>
        <v>14.137</v>
      </c>
      <c r="D578" s="18"/>
      <c r="E578" s="64" t="str">
        <f>IF(ISBLANK(D578)=TRUE,"",VLOOKUP(D578,Krav!$C:$F,4,FALSE))</f>
        <v/>
      </c>
      <c r="F578" s="53" t="s">
        <v>225</v>
      </c>
      <c r="G578" s="19" t="s">
        <v>524</v>
      </c>
      <c r="H578" s="25" t="s">
        <v>541</v>
      </c>
      <c r="I578" s="65" t="s">
        <v>542</v>
      </c>
      <c r="J578" s="67" t="s">
        <v>222</v>
      </c>
      <c r="K578" s="123" t="s">
        <v>222</v>
      </c>
      <c r="L578" s="20" t="s">
        <v>3</v>
      </c>
      <c r="M578" s="61" t="s">
        <v>131</v>
      </c>
      <c r="N578" s="61" t="s">
        <v>131</v>
      </c>
      <c r="O578" s="61" t="s">
        <v>131</v>
      </c>
      <c r="P578" s="61" t="s">
        <v>131</v>
      </c>
      <c r="Q578" s="124" t="s">
        <v>129</v>
      </c>
      <c r="R578" s="61" t="s">
        <v>131</v>
      </c>
      <c r="S578" s="59" t="s">
        <v>295</v>
      </c>
      <c r="T578" s="59" t="s">
        <v>26</v>
      </c>
      <c r="U578" s="59"/>
      <c r="V578" s="59"/>
      <c r="W578" s="59"/>
      <c r="X578" s="59"/>
      <c r="Y578" s="59" t="s">
        <v>5</v>
      </c>
      <c r="Z578" s="59"/>
      <c r="AA578" s="59"/>
      <c r="AB578" s="57"/>
    </row>
    <row r="579" spans="1:28" s="1" customFormat="1" ht="33" customHeight="1" x14ac:dyDescent="0.3">
      <c r="A579" s="16">
        <v>14</v>
      </c>
      <c r="B579" s="23">
        <v>138</v>
      </c>
      <c r="C579" s="27" t="str">
        <f t="shared" si="17"/>
        <v>14.138</v>
      </c>
      <c r="D579" s="18"/>
      <c r="E579" s="64" t="str">
        <f>IF(ISBLANK(D579)=TRUE,"",VLOOKUP(D579,Krav!$C:$F,4,FALSE))</f>
        <v/>
      </c>
      <c r="F579" s="53" t="s">
        <v>225</v>
      </c>
      <c r="G579" s="19" t="s">
        <v>525</v>
      </c>
      <c r="H579" s="25" t="s">
        <v>543</v>
      </c>
      <c r="I579" s="65" t="s">
        <v>566</v>
      </c>
      <c r="J579" s="67" t="s">
        <v>222</v>
      </c>
      <c r="K579" s="123" t="s">
        <v>222</v>
      </c>
      <c r="L579" s="20" t="s">
        <v>3</v>
      </c>
      <c r="M579" s="61" t="s">
        <v>131</v>
      </c>
      <c r="N579" s="61" t="s">
        <v>131</v>
      </c>
      <c r="O579" s="61" t="s">
        <v>131</v>
      </c>
      <c r="P579" s="61" t="s">
        <v>131</v>
      </c>
      <c r="Q579" s="124" t="s">
        <v>129</v>
      </c>
      <c r="R579" s="61" t="s">
        <v>131</v>
      </c>
      <c r="S579" s="59" t="s">
        <v>295</v>
      </c>
      <c r="T579" s="59" t="s">
        <v>26</v>
      </c>
      <c r="U579" s="59"/>
      <c r="V579" s="59"/>
      <c r="W579" s="59"/>
      <c r="X579" s="59"/>
      <c r="Y579" s="59" t="s">
        <v>5</v>
      </c>
      <c r="Z579" s="59"/>
      <c r="AA579" s="59"/>
      <c r="AB579" s="57"/>
    </row>
    <row r="580" spans="1:28" s="1" customFormat="1" ht="33" customHeight="1" x14ac:dyDescent="0.3">
      <c r="A580" s="16">
        <v>14</v>
      </c>
      <c r="B580" s="23">
        <v>139</v>
      </c>
      <c r="C580" s="27" t="str">
        <f t="shared" si="17"/>
        <v>14.139</v>
      </c>
      <c r="D580" s="18"/>
      <c r="E580" s="64" t="str">
        <f>IF(ISBLANK(D580)=TRUE,"",VLOOKUP(D580,Krav!$C:$F,4,FALSE))</f>
        <v/>
      </c>
      <c r="F580" s="53" t="s">
        <v>225</v>
      </c>
      <c r="G580" s="19" t="s">
        <v>526</v>
      </c>
      <c r="H580" s="25" t="s">
        <v>543</v>
      </c>
      <c r="I580" s="65" t="s">
        <v>545</v>
      </c>
      <c r="J580" s="67" t="s">
        <v>222</v>
      </c>
      <c r="K580" s="123" t="s">
        <v>222</v>
      </c>
      <c r="L580" s="20" t="s">
        <v>3</v>
      </c>
      <c r="M580" s="61" t="s">
        <v>131</v>
      </c>
      <c r="N580" s="61" t="s">
        <v>131</v>
      </c>
      <c r="O580" s="61" t="s">
        <v>131</v>
      </c>
      <c r="P580" s="61" t="s">
        <v>131</v>
      </c>
      <c r="Q580" s="124" t="s">
        <v>129</v>
      </c>
      <c r="R580" s="61" t="s">
        <v>131</v>
      </c>
      <c r="S580" s="59" t="s">
        <v>295</v>
      </c>
      <c r="T580" s="59" t="s">
        <v>26</v>
      </c>
      <c r="U580" s="59"/>
      <c r="V580" s="59"/>
      <c r="W580" s="59"/>
      <c r="X580" s="59"/>
      <c r="Y580" s="59" t="s">
        <v>5</v>
      </c>
      <c r="Z580" s="59"/>
      <c r="AA580" s="59"/>
      <c r="AB580" s="57"/>
    </row>
    <row r="581" spans="1:28" s="1" customFormat="1" ht="33" customHeight="1" x14ac:dyDescent="0.3">
      <c r="A581" s="16">
        <v>14</v>
      </c>
      <c r="B581" s="23">
        <v>140</v>
      </c>
      <c r="C581" s="27" t="str">
        <f t="shared" si="17"/>
        <v>14.140</v>
      </c>
      <c r="D581" s="18"/>
      <c r="E581" s="64" t="str">
        <f>IF(ISBLANK(D581)=TRUE,"",VLOOKUP(D581,Krav!$C:$F,4,FALSE))</f>
        <v/>
      </c>
      <c r="F581" s="91" t="s">
        <v>418</v>
      </c>
      <c r="G581" s="91" t="s">
        <v>445</v>
      </c>
      <c r="H581" s="91" t="s">
        <v>567</v>
      </c>
      <c r="I581" s="91" t="s">
        <v>129</v>
      </c>
      <c r="J581" s="96" t="s">
        <v>222</v>
      </c>
      <c r="K581" s="125" t="s">
        <v>222</v>
      </c>
      <c r="L581" s="20" t="s">
        <v>3</v>
      </c>
      <c r="M581" s="61" t="s">
        <v>131</v>
      </c>
      <c r="N581" s="61" t="s">
        <v>131</v>
      </c>
      <c r="O581" s="61" t="s">
        <v>131</v>
      </c>
      <c r="P581" s="61" t="s">
        <v>131</v>
      </c>
      <c r="Q581" s="124" t="s">
        <v>129</v>
      </c>
      <c r="R581" s="61" t="s">
        <v>131</v>
      </c>
      <c r="S581" s="59" t="s">
        <v>295</v>
      </c>
      <c r="T581" s="59" t="s">
        <v>26</v>
      </c>
      <c r="U581" s="59"/>
      <c r="V581" s="59"/>
      <c r="W581" s="59"/>
      <c r="X581" s="59"/>
      <c r="Y581" s="59" t="s">
        <v>5</v>
      </c>
      <c r="Z581" s="59"/>
      <c r="AA581" s="59"/>
      <c r="AB581" s="57"/>
    </row>
    <row r="582" spans="1:28" s="1" customFormat="1" ht="33" customHeight="1" x14ac:dyDescent="0.3">
      <c r="A582" s="16">
        <v>14</v>
      </c>
      <c r="B582" s="23">
        <v>141</v>
      </c>
      <c r="C582" s="27" t="str">
        <f t="shared" si="17"/>
        <v>14.141</v>
      </c>
      <c r="D582" s="18" t="s">
        <v>877</v>
      </c>
      <c r="E582" s="64" t="str">
        <f>IF(ISBLANK(D582)=TRUE,"",VLOOKUP(D582,Krav!$C:$F,4,FALSE))</f>
        <v>10.a.1.1.1.31 - Hvis forfaldsdato ikke er valgt: Regel R0047 deaktiveres</v>
      </c>
      <c r="F582" s="53" t="s">
        <v>226</v>
      </c>
      <c r="G582" s="53" t="s">
        <v>308</v>
      </c>
      <c r="H582" s="25" t="s">
        <v>1322</v>
      </c>
      <c r="I582" s="65" t="s">
        <v>241</v>
      </c>
      <c r="J582" s="67" t="s">
        <v>222</v>
      </c>
      <c r="K582" s="123" t="s">
        <v>222</v>
      </c>
      <c r="L582" s="20" t="s">
        <v>3</v>
      </c>
      <c r="M582" s="61" t="s">
        <v>131</v>
      </c>
      <c r="N582" s="61" t="s">
        <v>131</v>
      </c>
      <c r="O582" s="61" t="s">
        <v>131</v>
      </c>
      <c r="P582" s="61" t="s">
        <v>131</v>
      </c>
      <c r="Q582" s="124" t="s">
        <v>129</v>
      </c>
      <c r="R582" s="61" t="s">
        <v>131</v>
      </c>
      <c r="S582" s="59" t="s">
        <v>295</v>
      </c>
      <c r="T582" s="59" t="s">
        <v>26</v>
      </c>
      <c r="U582" s="59"/>
      <c r="V582" s="59"/>
      <c r="W582" s="59"/>
      <c r="X582" s="59" t="s">
        <v>1288</v>
      </c>
      <c r="Y582" s="59" t="s">
        <v>5</v>
      </c>
      <c r="Z582" s="59"/>
      <c r="AA582" s="59"/>
      <c r="AB582" s="57"/>
    </row>
    <row r="583" spans="1:28" s="1" customFormat="1" ht="33" customHeight="1" x14ac:dyDescent="0.3">
      <c r="A583" s="16">
        <v>14</v>
      </c>
      <c r="B583" s="23">
        <v>142</v>
      </c>
      <c r="C583" s="27" t="str">
        <f t="shared" si="17"/>
        <v>14.142</v>
      </c>
      <c r="D583" s="18" t="s">
        <v>879</v>
      </c>
      <c r="E583" s="64" t="str">
        <f>IF(ISBLANK(D583)=TRUE,"",VLOOKUP(D583,Krav!$C:$F,4,FALSE))</f>
        <v>10.a.1.1.1.32 - Hvis forfaldsdato ikke er valgt: Regel R0048 deaktiveres</v>
      </c>
      <c r="F583" s="53" t="s">
        <v>226</v>
      </c>
      <c r="G583" s="53" t="s">
        <v>308</v>
      </c>
      <c r="H583" s="25" t="s">
        <v>1322</v>
      </c>
      <c r="I583" s="65" t="s">
        <v>241</v>
      </c>
      <c r="J583" s="67" t="s">
        <v>222</v>
      </c>
      <c r="K583" s="123" t="s">
        <v>222</v>
      </c>
      <c r="L583" s="20" t="s">
        <v>3</v>
      </c>
      <c r="M583" s="61" t="s">
        <v>131</v>
      </c>
      <c r="N583" s="61" t="s">
        <v>131</v>
      </c>
      <c r="O583" s="61" t="s">
        <v>131</v>
      </c>
      <c r="P583" s="61" t="s">
        <v>131</v>
      </c>
      <c r="Q583" s="124" t="s">
        <v>129</v>
      </c>
      <c r="R583" s="61" t="s">
        <v>131</v>
      </c>
      <c r="S583" s="59" t="s">
        <v>295</v>
      </c>
      <c r="T583" s="59" t="s">
        <v>26</v>
      </c>
      <c r="U583" s="59"/>
      <c r="V583" s="59"/>
      <c r="W583" s="59"/>
      <c r="X583" s="59" t="s">
        <v>1289</v>
      </c>
      <c r="Y583" s="59" t="s">
        <v>5</v>
      </c>
      <c r="Z583" s="59"/>
      <c r="AA583" s="59"/>
      <c r="AB583" s="57"/>
    </row>
    <row r="584" spans="1:28" s="1" customFormat="1" ht="33" customHeight="1" x14ac:dyDescent="0.3">
      <c r="A584" s="16">
        <v>14</v>
      </c>
      <c r="B584" s="23">
        <v>143</v>
      </c>
      <c r="C584" s="27" t="str">
        <f t="shared" si="17"/>
        <v>14.143</v>
      </c>
      <c r="D584" s="18" t="s">
        <v>881</v>
      </c>
      <c r="E584" s="64" t="str">
        <f>IF(ISBLANK(D584)=TRUE,"",VLOOKUP(D584,Krav!$C:$F,4,FALSE))</f>
        <v>10.a.1.1.1.33 - Hvis forfaldsdato ikke er valgt: Regel R0049 deaktiveres</v>
      </c>
      <c r="F584" s="53" t="s">
        <v>226</v>
      </c>
      <c r="G584" s="53" t="s">
        <v>308</v>
      </c>
      <c r="H584" s="25" t="s">
        <v>1322</v>
      </c>
      <c r="I584" s="65" t="s">
        <v>241</v>
      </c>
      <c r="J584" s="67" t="s">
        <v>222</v>
      </c>
      <c r="K584" s="123" t="s">
        <v>222</v>
      </c>
      <c r="L584" s="20" t="s">
        <v>3</v>
      </c>
      <c r="M584" s="61" t="s">
        <v>131</v>
      </c>
      <c r="N584" s="61" t="s">
        <v>131</v>
      </c>
      <c r="O584" s="61" t="s">
        <v>131</v>
      </c>
      <c r="P584" s="61" t="s">
        <v>131</v>
      </c>
      <c r="Q584" s="124" t="s">
        <v>129</v>
      </c>
      <c r="R584" s="61" t="s">
        <v>131</v>
      </c>
      <c r="S584" s="59" t="s">
        <v>295</v>
      </c>
      <c r="T584" s="59" t="s">
        <v>26</v>
      </c>
      <c r="U584" s="59"/>
      <c r="V584" s="59"/>
      <c r="W584" s="59"/>
      <c r="X584" s="59" t="s">
        <v>1290</v>
      </c>
      <c r="Y584" s="59" t="s">
        <v>5</v>
      </c>
      <c r="Z584" s="59"/>
      <c r="AA584" s="59"/>
      <c r="AB584" s="57"/>
    </row>
    <row r="585" spans="1:28" s="1" customFormat="1" ht="33" customHeight="1" x14ac:dyDescent="0.3">
      <c r="A585" s="16">
        <v>14</v>
      </c>
      <c r="B585" s="23">
        <v>144</v>
      </c>
      <c r="C585" s="27" t="str">
        <f t="shared" si="17"/>
        <v>14.144</v>
      </c>
      <c r="D585" s="18" t="s">
        <v>883</v>
      </c>
      <c r="E585" s="64" t="str">
        <f>IF(ISBLANK(D585)=TRUE,"",VLOOKUP(D585,Krav!$C:$F,4,FALSE))</f>
        <v>10.a.1.1.1.34 - Hvis forfaldsdato ikke er valgt: Regel R0050 deaktiveres</v>
      </c>
      <c r="F585" s="53" t="s">
        <v>226</v>
      </c>
      <c r="G585" s="53" t="s">
        <v>308</v>
      </c>
      <c r="H585" s="25" t="s">
        <v>1322</v>
      </c>
      <c r="I585" s="65" t="s">
        <v>241</v>
      </c>
      <c r="J585" s="67" t="s">
        <v>222</v>
      </c>
      <c r="K585" s="123" t="s">
        <v>222</v>
      </c>
      <c r="L585" s="20" t="s">
        <v>3</v>
      </c>
      <c r="M585" s="61" t="s">
        <v>131</v>
      </c>
      <c r="N585" s="61" t="s">
        <v>131</v>
      </c>
      <c r="O585" s="61" t="s">
        <v>131</v>
      </c>
      <c r="P585" s="61" t="s">
        <v>131</v>
      </c>
      <c r="Q585" s="124" t="s">
        <v>129</v>
      </c>
      <c r="R585" s="61" t="s">
        <v>131</v>
      </c>
      <c r="S585" s="59" t="s">
        <v>295</v>
      </c>
      <c r="T585" s="59" t="s">
        <v>26</v>
      </c>
      <c r="U585" s="59"/>
      <c r="V585" s="59"/>
      <c r="W585" s="59"/>
      <c r="X585" s="59" t="s">
        <v>1291</v>
      </c>
      <c r="Y585" s="59" t="s">
        <v>5</v>
      </c>
      <c r="Z585" s="59"/>
      <c r="AA585" s="59"/>
      <c r="AB585" s="57"/>
    </row>
    <row r="586" spans="1:28" s="1" customFormat="1" ht="33" customHeight="1" x14ac:dyDescent="0.3">
      <c r="A586" s="16">
        <v>14</v>
      </c>
      <c r="B586" s="23">
        <v>145</v>
      </c>
      <c r="C586" s="27" t="str">
        <f t="shared" si="17"/>
        <v>14.145</v>
      </c>
      <c r="D586" s="18" t="s">
        <v>917</v>
      </c>
      <c r="E586" s="64" t="str">
        <f>IF(ISBLANK(D586)=TRUE,"",VLOOKUP(D586,Krav!$C:$F,4,FALSE))</f>
        <v>10.a.1.1.1.51 - Hvis ForfaldsDato ikke er valgt: Regel R0067 deaktiveres</v>
      </c>
      <c r="F586" s="53" t="s">
        <v>226</v>
      </c>
      <c r="G586" s="53" t="s">
        <v>308</v>
      </c>
      <c r="H586" s="25" t="s">
        <v>1322</v>
      </c>
      <c r="I586" s="65" t="s">
        <v>241</v>
      </c>
      <c r="J586" s="67" t="s">
        <v>222</v>
      </c>
      <c r="K586" s="123" t="s">
        <v>222</v>
      </c>
      <c r="L586" s="20" t="s">
        <v>3</v>
      </c>
      <c r="M586" s="61" t="s">
        <v>131</v>
      </c>
      <c r="N586" s="61" t="s">
        <v>131</v>
      </c>
      <c r="O586" s="61" t="s">
        <v>131</v>
      </c>
      <c r="P586" s="61" t="s">
        <v>131</v>
      </c>
      <c r="Q586" s="124" t="s">
        <v>129</v>
      </c>
      <c r="R586" s="61" t="s">
        <v>131</v>
      </c>
      <c r="S586" s="59" t="s">
        <v>295</v>
      </c>
      <c r="T586" s="59" t="s">
        <v>26</v>
      </c>
      <c r="U586" s="59"/>
      <c r="V586" s="59"/>
      <c r="W586" s="59"/>
      <c r="X586" s="59" t="s">
        <v>1292</v>
      </c>
      <c r="Y586" s="59" t="s">
        <v>5</v>
      </c>
      <c r="Z586" s="59"/>
      <c r="AA586" s="59"/>
      <c r="AB586" s="57"/>
    </row>
    <row r="587" spans="1:28" s="1" customFormat="1" ht="33" customHeight="1" x14ac:dyDescent="0.3">
      <c r="A587" s="16">
        <v>14</v>
      </c>
      <c r="B587" s="23">
        <v>146</v>
      </c>
      <c r="C587" s="27" t="str">
        <f t="shared" si="17"/>
        <v>14.146</v>
      </c>
      <c r="D587" s="18" t="s">
        <v>909</v>
      </c>
      <c r="E587" s="64" t="str">
        <f>IF(ISBLANK(D587)=TRUE,"",VLOOKUP(D587,Krav!$C:$F,4,FALSE))</f>
        <v>10.a.1.1.1.47 - Hvis SRBDato ikke er valgt: Regel R0063 deaktiveres</v>
      </c>
      <c r="F587" s="53" t="s">
        <v>226</v>
      </c>
      <c r="G587" s="53" t="s">
        <v>308</v>
      </c>
      <c r="H587" s="25" t="s">
        <v>1321</v>
      </c>
      <c r="I587" s="65" t="s">
        <v>241</v>
      </c>
      <c r="J587" s="67" t="s">
        <v>222</v>
      </c>
      <c r="K587" s="125" t="s">
        <v>222</v>
      </c>
      <c r="L587" s="20" t="s">
        <v>3</v>
      </c>
      <c r="M587" s="61" t="s">
        <v>131</v>
      </c>
      <c r="N587" s="61" t="s">
        <v>131</v>
      </c>
      <c r="O587" s="61" t="s">
        <v>131</v>
      </c>
      <c r="P587" s="61" t="s">
        <v>131</v>
      </c>
      <c r="Q587" s="124" t="s">
        <v>129</v>
      </c>
      <c r="R587" s="61" t="s">
        <v>131</v>
      </c>
      <c r="S587" s="59" t="s">
        <v>295</v>
      </c>
      <c r="T587" s="59" t="s">
        <v>26</v>
      </c>
      <c r="U587" s="59"/>
      <c r="V587" s="59"/>
      <c r="W587" s="59"/>
      <c r="X587" s="59" t="s">
        <v>1294</v>
      </c>
      <c r="Y587" s="59" t="s">
        <v>5</v>
      </c>
      <c r="Z587" s="59"/>
      <c r="AA587" s="59"/>
      <c r="AB587" s="57"/>
    </row>
    <row r="588" spans="1:28" s="1" customFormat="1" ht="33" customHeight="1" x14ac:dyDescent="0.3">
      <c r="A588" s="16">
        <v>14</v>
      </c>
      <c r="B588" s="23">
        <v>147</v>
      </c>
      <c r="C588" s="27" t="str">
        <f t="shared" si="17"/>
        <v>14.147</v>
      </c>
      <c r="D588" s="18" t="s">
        <v>911</v>
      </c>
      <c r="E588" s="64" t="str">
        <f>IF(ISBLANK(D588)=TRUE,"",VLOOKUP(D588,Krav!$C:$F,4,FALSE))</f>
        <v>10.a.1.1.1.48 - Hvis SRBDato ikke er valgt: Regel R0064 deaktiveres</v>
      </c>
      <c r="F588" s="53" t="s">
        <v>226</v>
      </c>
      <c r="G588" s="53" t="s">
        <v>308</v>
      </c>
      <c r="H588" s="25" t="s">
        <v>1321</v>
      </c>
      <c r="I588" s="65" t="s">
        <v>241</v>
      </c>
      <c r="J588" s="67" t="s">
        <v>222</v>
      </c>
      <c r="K588" s="123" t="s">
        <v>222</v>
      </c>
      <c r="L588" s="20" t="s">
        <v>3</v>
      </c>
      <c r="M588" s="61" t="s">
        <v>131</v>
      </c>
      <c r="N588" s="61" t="s">
        <v>131</v>
      </c>
      <c r="O588" s="61" t="s">
        <v>131</v>
      </c>
      <c r="P588" s="61" t="s">
        <v>131</v>
      </c>
      <c r="Q588" s="124" t="s">
        <v>129</v>
      </c>
      <c r="R588" s="61" t="s">
        <v>131</v>
      </c>
      <c r="S588" s="59" t="s">
        <v>295</v>
      </c>
      <c r="T588" s="59" t="s">
        <v>26</v>
      </c>
      <c r="U588" s="59"/>
      <c r="V588" s="59"/>
      <c r="W588" s="59"/>
      <c r="X588" s="59" t="s">
        <v>1295</v>
      </c>
      <c r="Y588" s="59" t="s">
        <v>5</v>
      </c>
      <c r="Z588" s="59"/>
      <c r="AA588" s="59"/>
      <c r="AB588" s="57"/>
    </row>
    <row r="589" spans="1:28" s="1" customFormat="1" ht="33" customHeight="1" x14ac:dyDescent="0.3">
      <c r="A589" s="16">
        <v>14</v>
      </c>
      <c r="B589" s="23">
        <v>148</v>
      </c>
      <c r="C589" s="27" t="str">
        <f t="shared" si="17"/>
        <v>14.148</v>
      </c>
      <c r="D589" s="18" t="s">
        <v>913</v>
      </c>
      <c r="E589" s="64" t="str">
        <f>IF(ISBLANK(D589)=TRUE,"",VLOOKUP(D589,Krav!$C:$F,4,FALSE))</f>
        <v>10.a.1.1.1.49 - Hvis SRBDato ikke er valgt: Regel R0065 deaktiveres</v>
      </c>
      <c r="F589" s="53" t="s">
        <v>226</v>
      </c>
      <c r="G589" s="53" t="s">
        <v>308</v>
      </c>
      <c r="H589" s="25" t="s">
        <v>1321</v>
      </c>
      <c r="I589" s="65" t="s">
        <v>241</v>
      </c>
      <c r="J589" s="67" t="s">
        <v>222</v>
      </c>
      <c r="K589" s="123" t="s">
        <v>222</v>
      </c>
      <c r="L589" s="20" t="s">
        <v>3</v>
      </c>
      <c r="M589" s="61" t="s">
        <v>131</v>
      </c>
      <c r="N589" s="61" t="s">
        <v>131</v>
      </c>
      <c r="O589" s="61" t="s">
        <v>131</v>
      </c>
      <c r="P589" s="61" t="s">
        <v>131</v>
      </c>
      <c r="Q589" s="124" t="s">
        <v>129</v>
      </c>
      <c r="R589" s="61" t="s">
        <v>131</v>
      </c>
      <c r="S589" s="59" t="s">
        <v>295</v>
      </c>
      <c r="T589" s="59" t="s">
        <v>26</v>
      </c>
      <c r="U589" s="59"/>
      <c r="V589" s="59"/>
      <c r="W589" s="59"/>
      <c r="X589" s="59" t="s">
        <v>1296</v>
      </c>
      <c r="Y589" s="59" t="s">
        <v>5</v>
      </c>
      <c r="Z589" s="59"/>
      <c r="AA589" s="59"/>
      <c r="AB589" s="57"/>
    </row>
    <row r="590" spans="1:28" s="1" customFormat="1" ht="33" customHeight="1" x14ac:dyDescent="0.3">
      <c r="A590" s="16">
        <v>14</v>
      </c>
      <c r="B590" s="23">
        <v>149</v>
      </c>
      <c r="C590" s="27" t="str">
        <f t="shared" si="17"/>
        <v>14.149</v>
      </c>
      <c r="D590" s="18" t="s">
        <v>915</v>
      </c>
      <c r="E590" s="64" t="str">
        <f>IF(ISBLANK(D590)=TRUE,"",VLOOKUP(D590,Krav!$C:$F,4,FALSE))</f>
        <v>10.a.1.1.1.50 - Hvis SRBDato ikke er valgt: Regel R0066 deaktiveres</v>
      </c>
      <c r="F590" s="53" t="s">
        <v>226</v>
      </c>
      <c r="G590" s="53" t="s">
        <v>308</v>
      </c>
      <c r="H590" s="25" t="s">
        <v>1321</v>
      </c>
      <c r="I590" s="65" t="s">
        <v>241</v>
      </c>
      <c r="J590" s="67" t="s">
        <v>222</v>
      </c>
      <c r="K590" s="123" t="s">
        <v>222</v>
      </c>
      <c r="L590" s="20" t="s">
        <v>3</v>
      </c>
      <c r="M590" s="61" t="s">
        <v>131</v>
      </c>
      <c r="N590" s="61" t="s">
        <v>131</v>
      </c>
      <c r="O590" s="61" t="s">
        <v>131</v>
      </c>
      <c r="P590" s="61" t="s">
        <v>131</v>
      </c>
      <c r="Q590" s="124" t="s">
        <v>129</v>
      </c>
      <c r="R590" s="61" t="s">
        <v>131</v>
      </c>
      <c r="S590" s="59" t="s">
        <v>295</v>
      </c>
      <c r="T590" s="59" t="s">
        <v>26</v>
      </c>
      <c r="U590" s="59"/>
      <c r="V590" s="59"/>
      <c r="W590" s="59"/>
      <c r="X590" s="59" t="s">
        <v>1297</v>
      </c>
      <c r="Y590" s="59" t="s">
        <v>5</v>
      </c>
      <c r="Z590" s="59"/>
      <c r="AA590" s="59"/>
      <c r="AB590" s="57"/>
    </row>
    <row r="591" spans="1:28" s="1" customFormat="1" ht="33" customHeight="1" x14ac:dyDescent="0.3">
      <c r="A591" s="16">
        <v>14</v>
      </c>
      <c r="B591" s="23">
        <v>150</v>
      </c>
      <c r="C591" s="27" t="str">
        <f t="shared" si="17"/>
        <v>14.150</v>
      </c>
      <c r="D591" s="18" t="s">
        <v>925</v>
      </c>
      <c r="E591" s="64" t="str">
        <f>IF(ISBLANK(D591)=TRUE,"",VLOOKUP(D591,Krav!$C:$F,4,FALSE))</f>
        <v>10.a.1.1.1.55 - Hvis SRBDato ikke er valgt: Regel R0071 deaktiveres</v>
      </c>
      <c r="F591" s="53" t="s">
        <v>226</v>
      </c>
      <c r="G591" s="53" t="s">
        <v>308</v>
      </c>
      <c r="H591" s="25" t="s">
        <v>1321</v>
      </c>
      <c r="I591" s="65" t="s">
        <v>241</v>
      </c>
      <c r="J591" s="67" t="s">
        <v>222</v>
      </c>
      <c r="K591" s="123" t="s">
        <v>222</v>
      </c>
      <c r="L591" s="20" t="s">
        <v>3</v>
      </c>
      <c r="M591" s="61" t="s">
        <v>131</v>
      </c>
      <c r="N591" s="61" t="s">
        <v>131</v>
      </c>
      <c r="O591" s="61" t="s">
        <v>131</v>
      </c>
      <c r="P591" s="61" t="s">
        <v>131</v>
      </c>
      <c r="Q591" s="124" t="s">
        <v>129</v>
      </c>
      <c r="R591" s="61" t="s">
        <v>131</v>
      </c>
      <c r="S591" s="59" t="s">
        <v>295</v>
      </c>
      <c r="T591" s="59" t="s">
        <v>26</v>
      </c>
      <c r="U591" s="59"/>
      <c r="V591" s="59"/>
      <c r="W591" s="59"/>
      <c r="X591" s="59" t="s">
        <v>1298</v>
      </c>
      <c r="Y591" s="59" t="s">
        <v>5</v>
      </c>
      <c r="Z591" s="59"/>
      <c r="AA591" s="59"/>
      <c r="AB591" s="57"/>
    </row>
    <row r="592" spans="1:28" s="1" customFormat="1" ht="33" customHeight="1" x14ac:dyDescent="0.3">
      <c r="A592" s="16">
        <v>14</v>
      </c>
      <c r="B592" s="23">
        <v>151</v>
      </c>
      <c r="C592" s="27" t="str">
        <f t="shared" si="17"/>
        <v>14.151</v>
      </c>
      <c r="D592" s="18" t="s">
        <v>885</v>
      </c>
      <c r="E592" s="64" t="str">
        <f>IF(ISBLANK(D592)=TRUE,"",VLOOKUP(D592,Krav!$C:$F,4,FALSE))</f>
        <v>10.a.1.1.1.35 - Hvis stiftelsesdato ikke er valgt: Regel R0051 deaktiveres</v>
      </c>
      <c r="F592" s="53" t="s">
        <v>226</v>
      </c>
      <c r="G592" s="53" t="s">
        <v>308</v>
      </c>
      <c r="H592" s="25" t="s">
        <v>1320</v>
      </c>
      <c r="I592" s="65" t="s">
        <v>241</v>
      </c>
      <c r="J592" s="67" t="s">
        <v>222</v>
      </c>
      <c r="K592" s="123" t="s">
        <v>222</v>
      </c>
      <c r="L592" s="20" t="s">
        <v>3</v>
      </c>
      <c r="M592" s="61" t="s">
        <v>131</v>
      </c>
      <c r="N592" s="61" t="s">
        <v>131</v>
      </c>
      <c r="O592" s="61" t="s">
        <v>131</v>
      </c>
      <c r="P592" s="61" t="s">
        <v>131</v>
      </c>
      <c r="Q592" s="124" t="s">
        <v>129</v>
      </c>
      <c r="R592" s="61" t="s">
        <v>131</v>
      </c>
      <c r="S592" s="59" t="s">
        <v>295</v>
      </c>
      <c r="T592" s="59" t="s">
        <v>26</v>
      </c>
      <c r="U592" s="59"/>
      <c r="V592" s="59"/>
      <c r="W592" s="59"/>
      <c r="X592" s="59" t="s">
        <v>1299</v>
      </c>
      <c r="Y592" s="59" t="s">
        <v>5</v>
      </c>
      <c r="Z592" s="59"/>
      <c r="AA592" s="59"/>
      <c r="AB592" s="57"/>
    </row>
    <row r="593" spans="1:28" s="1" customFormat="1" ht="33" customHeight="1" x14ac:dyDescent="0.3">
      <c r="A593" s="16">
        <v>14</v>
      </c>
      <c r="B593" s="23">
        <v>152</v>
      </c>
      <c r="C593" s="27" t="str">
        <f t="shared" si="17"/>
        <v>14.152</v>
      </c>
      <c r="D593" s="18" t="s">
        <v>887</v>
      </c>
      <c r="E593" s="64" t="str">
        <f>IF(ISBLANK(D593)=TRUE,"",VLOOKUP(D593,Krav!$C:$F,4,FALSE))</f>
        <v>10.a.1.1.1.36 - Hvis stiftelsesdato ikke er valgt: Regel R0052 deaktiveres</v>
      </c>
      <c r="F593" s="53" t="s">
        <v>226</v>
      </c>
      <c r="G593" s="53" t="s">
        <v>308</v>
      </c>
      <c r="H593" s="25" t="s">
        <v>1320</v>
      </c>
      <c r="I593" s="65" t="s">
        <v>241</v>
      </c>
      <c r="J593" s="67" t="s">
        <v>222</v>
      </c>
      <c r="K593" s="123" t="s">
        <v>222</v>
      </c>
      <c r="L593" s="20" t="s">
        <v>3</v>
      </c>
      <c r="M593" s="61" t="s">
        <v>131</v>
      </c>
      <c r="N593" s="61" t="s">
        <v>131</v>
      </c>
      <c r="O593" s="61" t="s">
        <v>131</v>
      </c>
      <c r="P593" s="61" t="s">
        <v>131</v>
      </c>
      <c r="Q593" s="124" t="s">
        <v>129</v>
      </c>
      <c r="R593" s="61" t="s">
        <v>131</v>
      </c>
      <c r="S593" s="59" t="s">
        <v>295</v>
      </c>
      <c r="T593" s="59" t="s">
        <v>26</v>
      </c>
      <c r="U593" s="59"/>
      <c r="V593" s="59"/>
      <c r="W593" s="59"/>
      <c r="X593" s="59" t="s">
        <v>1300</v>
      </c>
      <c r="Y593" s="59" t="s">
        <v>5</v>
      </c>
      <c r="Z593" s="59"/>
      <c r="AA593" s="59"/>
      <c r="AB593" s="57"/>
    </row>
    <row r="594" spans="1:28" s="1" customFormat="1" ht="33" customHeight="1" x14ac:dyDescent="0.3">
      <c r="A594" s="16">
        <v>14</v>
      </c>
      <c r="B594" s="23">
        <v>153</v>
      </c>
      <c r="C594" s="27" t="str">
        <f t="shared" si="17"/>
        <v>14.153</v>
      </c>
      <c r="D594" s="18" t="s">
        <v>889</v>
      </c>
      <c r="E594" s="64" t="str">
        <f>IF(ISBLANK(D594)=TRUE,"",VLOOKUP(D594,Krav!$C:$F,4,FALSE))</f>
        <v>10.a.1.1.1.37 - Hvis stiftelsesdato ikke er valgt: Regel R0053 deaktiveres</v>
      </c>
      <c r="F594" s="53" t="s">
        <v>226</v>
      </c>
      <c r="G594" s="53" t="s">
        <v>308</v>
      </c>
      <c r="H594" s="25" t="s">
        <v>1320</v>
      </c>
      <c r="I594" s="65" t="s">
        <v>241</v>
      </c>
      <c r="J594" s="67" t="s">
        <v>222</v>
      </c>
      <c r="K594" s="123" t="s">
        <v>222</v>
      </c>
      <c r="L594" s="20" t="s">
        <v>3</v>
      </c>
      <c r="M594" s="61" t="s">
        <v>131</v>
      </c>
      <c r="N594" s="61" t="s">
        <v>131</v>
      </c>
      <c r="O594" s="61" t="s">
        <v>131</v>
      </c>
      <c r="P594" s="61" t="s">
        <v>131</v>
      </c>
      <c r="Q594" s="124" t="s">
        <v>129</v>
      </c>
      <c r="R594" s="61" t="s">
        <v>131</v>
      </c>
      <c r="S594" s="59" t="s">
        <v>295</v>
      </c>
      <c r="T594" s="59" t="s">
        <v>26</v>
      </c>
      <c r="U594" s="59"/>
      <c r="V594" s="59"/>
      <c r="W594" s="59"/>
      <c r="X594" s="59" t="s">
        <v>1301</v>
      </c>
      <c r="Y594" s="59" t="s">
        <v>5</v>
      </c>
      <c r="Z594" s="59"/>
      <c r="AA594" s="59"/>
      <c r="AB594" s="57"/>
    </row>
    <row r="595" spans="1:28" s="1" customFormat="1" ht="33" customHeight="1" x14ac:dyDescent="0.3">
      <c r="A595" s="16">
        <v>14</v>
      </c>
      <c r="B595" s="23">
        <v>154</v>
      </c>
      <c r="C595" s="27" t="str">
        <f t="shared" si="17"/>
        <v>14.154</v>
      </c>
      <c r="D595" s="18" t="s">
        <v>891</v>
      </c>
      <c r="E595" s="64" t="str">
        <f>IF(ISBLANK(D595)=TRUE,"",VLOOKUP(D595,Krav!$C:$F,4,FALSE))</f>
        <v>10.a.1.1.1.38 - Hvis stiftelsesdato ikke er valgt: Regel R0054 deaktiveres</v>
      </c>
      <c r="F595" s="53" t="s">
        <v>226</v>
      </c>
      <c r="G595" s="53" t="s">
        <v>308</v>
      </c>
      <c r="H595" s="25" t="s">
        <v>1320</v>
      </c>
      <c r="I595" s="65" t="s">
        <v>241</v>
      </c>
      <c r="J595" s="67" t="s">
        <v>222</v>
      </c>
      <c r="K595" s="123" t="s">
        <v>222</v>
      </c>
      <c r="L595" s="20" t="s">
        <v>3</v>
      </c>
      <c r="M595" s="61" t="s">
        <v>131</v>
      </c>
      <c r="N595" s="61" t="s">
        <v>131</v>
      </c>
      <c r="O595" s="61" t="s">
        <v>131</v>
      </c>
      <c r="P595" s="61" t="s">
        <v>131</v>
      </c>
      <c r="Q595" s="124" t="s">
        <v>129</v>
      </c>
      <c r="R595" s="61" t="s">
        <v>131</v>
      </c>
      <c r="S595" s="59" t="s">
        <v>295</v>
      </c>
      <c r="T595" s="59" t="s">
        <v>26</v>
      </c>
      <c r="U595" s="59"/>
      <c r="V595" s="59"/>
      <c r="W595" s="59"/>
      <c r="X595" s="59" t="s">
        <v>1302</v>
      </c>
      <c r="Y595" s="59" t="s">
        <v>5</v>
      </c>
      <c r="Z595" s="59"/>
      <c r="AA595" s="59"/>
      <c r="AB595" s="57"/>
    </row>
    <row r="596" spans="1:28" s="1" customFormat="1" ht="33" customHeight="1" x14ac:dyDescent="0.3">
      <c r="A596" s="16">
        <v>14</v>
      </c>
      <c r="B596" s="23">
        <v>155</v>
      </c>
      <c r="C596" s="27" t="str">
        <f t="shared" si="17"/>
        <v>14.155</v>
      </c>
      <c r="D596" s="18" t="s">
        <v>919</v>
      </c>
      <c r="E596" s="64" t="str">
        <f>IF(ISBLANK(D596)=TRUE,"",VLOOKUP(D596,Krav!$C:$F,4,FALSE))</f>
        <v>10.a.1.1.1.52 - Hvis StiftelsesDato ikke er valgt: Regel R0068 deaktiveres</v>
      </c>
      <c r="F596" s="53" t="s">
        <v>226</v>
      </c>
      <c r="G596" s="53" t="s">
        <v>308</v>
      </c>
      <c r="H596" s="25" t="s">
        <v>1320</v>
      </c>
      <c r="I596" s="65" t="s">
        <v>241</v>
      </c>
      <c r="J596" s="67" t="s">
        <v>222</v>
      </c>
      <c r="K596" s="123" t="s">
        <v>222</v>
      </c>
      <c r="L596" s="20" t="s">
        <v>3</v>
      </c>
      <c r="M596" s="61" t="s">
        <v>131</v>
      </c>
      <c r="N596" s="61" t="s">
        <v>131</v>
      </c>
      <c r="O596" s="61" t="s">
        <v>131</v>
      </c>
      <c r="P596" s="61" t="s">
        <v>131</v>
      </c>
      <c r="Q596" s="124" t="s">
        <v>129</v>
      </c>
      <c r="R596" s="61" t="s">
        <v>131</v>
      </c>
      <c r="S596" s="59" t="s">
        <v>295</v>
      </c>
      <c r="T596" s="59" t="s">
        <v>26</v>
      </c>
      <c r="U596" s="59"/>
      <c r="V596" s="59"/>
      <c r="W596" s="59"/>
      <c r="X596" s="59" t="s">
        <v>1303</v>
      </c>
      <c r="Y596" s="59" t="s">
        <v>5</v>
      </c>
      <c r="Z596" s="59"/>
      <c r="AA596" s="59"/>
      <c r="AB596" s="57"/>
    </row>
    <row r="597" spans="1:28" s="1" customFormat="1" ht="33" customHeight="1" x14ac:dyDescent="0.3">
      <c r="A597" s="16">
        <v>14</v>
      </c>
      <c r="B597" s="23">
        <v>156</v>
      </c>
      <c r="C597" s="27" t="str">
        <f t="shared" si="17"/>
        <v>14.156</v>
      </c>
      <c r="D597" s="18" t="s">
        <v>893</v>
      </c>
      <c r="E597" s="64" t="str">
        <f>IF(ISBLANK(D597)=TRUE,"",VLOOKUP(D597,Krav!$C:$F,4,FALSE))</f>
        <v>10.a.1.1.1.39 - Hvis FordringsStartDato ikke er valgt: Regel R0055 deaktiveres</v>
      </c>
      <c r="F597" s="53" t="s">
        <v>226</v>
      </c>
      <c r="G597" s="53" t="s">
        <v>308</v>
      </c>
      <c r="H597" s="25" t="s">
        <v>1319</v>
      </c>
      <c r="I597" s="65" t="s">
        <v>241</v>
      </c>
      <c r="J597" s="67" t="s">
        <v>222</v>
      </c>
      <c r="K597" s="123" t="s">
        <v>222</v>
      </c>
      <c r="L597" s="20" t="s">
        <v>3</v>
      </c>
      <c r="M597" s="61" t="s">
        <v>131</v>
      </c>
      <c r="N597" s="61" t="s">
        <v>131</v>
      </c>
      <c r="O597" s="61" t="s">
        <v>131</v>
      </c>
      <c r="P597" s="61" t="s">
        <v>131</v>
      </c>
      <c r="Q597" s="124" t="s">
        <v>129</v>
      </c>
      <c r="R597" s="61" t="s">
        <v>131</v>
      </c>
      <c r="S597" s="59" t="s">
        <v>295</v>
      </c>
      <c r="T597" s="59" t="s">
        <v>26</v>
      </c>
      <c r="U597" s="59"/>
      <c r="V597" s="59"/>
      <c r="W597" s="59"/>
      <c r="X597" s="59" t="s">
        <v>1308</v>
      </c>
      <c r="Y597" s="59" t="s">
        <v>5</v>
      </c>
      <c r="Z597" s="59"/>
      <c r="AA597" s="59"/>
      <c r="AB597" s="57"/>
    </row>
    <row r="598" spans="1:28" s="1" customFormat="1" ht="33" customHeight="1" x14ac:dyDescent="0.3">
      <c r="A598" s="16">
        <v>14</v>
      </c>
      <c r="B598" s="23">
        <v>157</v>
      </c>
      <c r="C598" s="27" t="str">
        <f t="shared" si="17"/>
        <v>14.157</v>
      </c>
      <c r="D598" s="18" t="s">
        <v>895</v>
      </c>
      <c r="E598" s="64" t="str">
        <f>IF(ISBLANK(D598)=TRUE,"",VLOOKUP(D598,Krav!$C:$F,4,FALSE))</f>
        <v>10.a.1.1.1.40 - Hvis FordringsStartDato ikke er valgt: Regel R0056 deaktiveres</v>
      </c>
      <c r="F598" s="53" t="s">
        <v>226</v>
      </c>
      <c r="G598" s="53" t="s">
        <v>308</v>
      </c>
      <c r="H598" s="25" t="s">
        <v>1319</v>
      </c>
      <c r="I598" s="65" t="s">
        <v>241</v>
      </c>
      <c r="J598" s="67" t="s">
        <v>222</v>
      </c>
      <c r="K598" s="123" t="s">
        <v>222</v>
      </c>
      <c r="L598" s="20" t="s">
        <v>3</v>
      </c>
      <c r="M598" s="61" t="s">
        <v>131</v>
      </c>
      <c r="N598" s="61" t="s">
        <v>131</v>
      </c>
      <c r="O598" s="61" t="s">
        <v>131</v>
      </c>
      <c r="P598" s="61" t="s">
        <v>131</v>
      </c>
      <c r="Q598" s="124" t="s">
        <v>129</v>
      </c>
      <c r="R598" s="61" t="s">
        <v>131</v>
      </c>
      <c r="S598" s="59" t="s">
        <v>295</v>
      </c>
      <c r="T598" s="59" t="s">
        <v>26</v>
      </c>
      <c r="U598" s="59"/>
      <c r="V598" s="59"/>
      <c r="W598" s="59"/>
      <c r="X598" s="59" t="s">
        <v>1309</v>
      </c>
      <c r="Y598" s="59" t="s">
        <v>5</v>
      </c>
      <c r="Z598" s="59"/>
      <c r="AA598" s="59"/>
      <c r="AB598" s="57"/>
    </row>
    <row r="599" spans="1:28" s="1" customFormat="1" ht="33" customHeight="1" x14ac:dyDescent="0.3">
      <c r="A599" s="16">
        <v>14</v>
      </c>
      <c r="B599" s="23">
        <v>158</v>
      </c>
      <c r="C599" s="27" t="str">
        <f t="shared" si="17"/>
        <v>14.158</v>
      </c>
      <c r="D599" s="18" t="s">
        <v>897</v>
      </c>
      <c r="E599" s="64" t="str">
        <f>IF(ISBLANK(D599)=TRUE,"",VLOOKUP(D599,Krav!$C:$F,4,FALSE))</f>
        <v>10.a.1.1.1.41 - Hvis FordringsStartDato ikke er valgt: Regel R0057 deaktiveres</v>
      </c>
      <c r="F599" s="53" t="s">
        <v>226</v>
      </c>
      <c r="G599" s="53" t="s">
        <v>308</v>
      </c>
      <c r="H599" s="25" t="s">
        <v>1319</v>
      </c>
      <c r="I599" s="65" t="s">
        <v>241</v>
      </c>
      <c r="J599" s="67" t="s">
        <v>222</v>
      </c>
      <c r="K599" s="123" t="s">
        <v>222</v>
      </c>
      <c r="L599" s="20" t="s">
        <v>3</v>
      </c>
      <c r="M599" s="61" t="s">
        <v>131</v>
      </c>
      <c r="N599" s="61" t="s">
        <v>131</v>
      </c>
      <c r="O599" s="61" t="s">
        <v>131</v>
      </c>
      <c r="P599" s="61" t="s">
        <v>131</v>
      </c>
      <c r="Q599" s="124" t="s">
        <v>129</v>
      </c>
      <c r="R599" s="61" t="s">
        <v>131</v>
      </c>
      <c r="S599" s="59" t="s">
        <v>295</v>
      </c>
      <c r="T599" s="59" t="s">
        <v>26</v>
      </c>
      <c r="U599" s="59"/>
      <c r="V599" s="59"/>
      <c r="W599" s="59"/>
      <c r="X599" s="59" t="s">
        <v>1310</v>
      </c>
      <c r="Y599" s="59" t="s">
        <v>5</v>
      </c>
      <c r="Z599" s="59"/>
      <c r="AA599" s="59"/>
      <c r="AB599" s="57"/>
    </row>
    <row r="600" spans="1:28" s="1" customFormat="1" ht="33" customHeight="1" x14ac:dyDescent="0.3">
      <c r="A600" s="16">
        <v>14</v>
      </c>
      <c r="B600" s="23">
        <v>159</v>
      </c>
      <c r="C600" s="27" t="str">
        <f t="shared" si="17"/>
        <v>14.159</v>
      </c>
      <c r="D600" s="18" t="s">
        <v>899</v>
      </c>
      <c r="E600" s="64" t="str">
        <f>IF(ISBLANK(D600)=TRUE,"",VLOOKUP(D600,Krav!$C:$F,4,FALSE))</f>
        <v>10.a.1.1.1.42 - Hvis FordringsStartDato ikke er valgt: Regel R0058 deaktiveres</v>
      </c>
      <c r="F600" s="53" t="s">
        <v>226</v>
      </c>
      <c r="G600" s="53" t="s">
        <v>308</v>
      </c>
      <c r="H600" s="25" t="s">
        <v>1319</v>
      </c>
      <c r="I600" s="65" t="s">
        <v>241</v>
      </c>
      <c r="J600" s="67" t="s">
        <v>222</v>
      </c>
      <c r="K600" s="123" t="s">
        <v>222</v>
      </c>
      <c r="L600" s="20" t="s">
        <v>3</v>
      </c>
      <c r="M600" s="61" t="s">
        <v>131</v>
      </c>
      <c r="N600" s="61" t="s">
        <v>131</v>
      </c>
      <c r="O600" s="61" t="s">
        <v>131</v>
      </c>
      <c r="P600" s="61" t="s">
        <v>131</v>
      </c>
      <c r="Q600" s="124" t="s">
        <v>129</v>
      </c>
      <c r="R600" s="61" t="s">
        <v>131</v>
      </c>
      <c r="S600" s="59" t="s">
        <v>295</v>
      </c>
      <c r="T600" s="59" t="s">
        <v>26</v>
      </c>
      <c r="U600" s="59"/>
      <c r="V600" s="59"/>
      <c r="W600" s="59"/>
      <c r="X600" s="59" t="s">
        <v>1311</v>
      </c>
      <c r="Y600" s="59" t="s">
        <v>5</v>
      </c>
      <c r="Z600" s="59"/>
      <c r="AA600" s="59"/>
      <c r="AB600" s="57"/>
    </row>
    <row r="601" spans="1:28" s="1" customFormat="1" ht="33" customHeight="1" x14ac:dyDescent="0.3">
      <c r="A601" s="16">
        <v>14</v>
      </c>
      <c r="B601" s="23">
        <v>160</v>
      </c>
      <c r="C601" s="27" t="str">
        <f t="shared" si="17"/>
        <v>14.160</v>
      </c>
      <c r="D601" s="18" t="s">
        <v>921</v>
      </c>
      <c r="E601" s="64" t="str">
        <f>IF(ISBLANK(D601)=TRUE,"",VLOOKUP(D601,Krav!$C:$F,4,FALSE))</f>
        <v>10.a.1.1.1.53 - Hvis FordringsStartDato ikke er valgt: Regel R0069 deaktiveres</v>
      </c>
      <c r="F601" s="53" t="s">
        <v>226</v>
      </c>
      <c r="G601" s="53" t="s">
        <v>308</v>
      </c>
      <c r="H601" s="25" t="s">
        <v>1319</v>
      </c>
      <c r="I601" s="65" t="s">
        <v>241</v>
      </c>
      <c r="J601" s="67" t="s">
        <v>222</v>
      </c>
      <c r="K601" s="123" t="s">
        <v>222</v>
      </c>
      <c r="L601" s="20" t="s">
        <v>3</v>
      </c>
      <c r="M601" s="61" t="s">
        <v>131</v>
      </c>
      <c r="N601" s="61" t="s">
        <v>131</v>
      </c>
      <c r="O601" s="61" t="s">
        <v>131</v>
      </c>
      <c r="P601" s="61" t="s">
        <v>131</v>
      </c>
      <c r="Q601" s="124" t="s">
        <v>129</v>
      </c>
      <c r="R601" s="61" t="s">
        <v>131</v>
      </c>
      <c r="S601" s="59" t="s">
        <v>295</v>
      </c>
      <c r="T601" s="59" t="s">
        <v>26</v>
      </c>
      <c r="U601" s="59"/>
      <c r="V601" s="59"/>
      <c r="W601" s="59"/>
      <c r="X601" s="59" t="s">
        <v>1312</v>
      </c>
      <c r="Y601" s="59" t="s">
        <v>5</v>
      </c>
      <c r="Z601" s="59"/>
      <c r="AA601" s="59"/>
      <c r="AB601" s="57"/>
    </row>
    <row r="602" spans="1:28" s="1" customFormat="1" ht="33" customHeight="1" x14ac:dyDescent="0.3">
      <c r="A602" s="16">
        <v>14</v>
      </c>
      <c r="B602" s="23">
        <v>161</v>
      </c>
      <c r="C602" s="27" t="str">
        <f t="shared" si="17"/>
        <v>14.161</v>
      </c>
      <c r="D602" s="18" t="s">
        <v>851</v>
      </c>
      <c r="E602" s="64" t="str">
        <f>IF(ISBLANK(D602)=TRUE,"",VLOOKUP(D602,Krav!$C:$F,4,FALSE))</f>
        <v>10.a.1.1.1.18 - Hvis FordringsSlutDato er valgt: Regel R0059 aktiveres</v>
      </c>
      <c r="F602" s="53" t="s">
        <v>226</v>
      </c>
      <c r="G602" s="53" t="s">
        <v>308</v>
      </c>
      <c r="H602" s="25" t="s">
        <v>1306</v>
      </c>
      <c r="I602" s="65" t="s">
        <v>240</v>
      </c>
      <c r="J602" s="67" t="s">
        <v>222</v>
      </c>
      <c r="K602" s="123" t="s">
        <v>222</v>
      </c>
      <c r="L602" s="20" t="s">
        <v>3</v>
      </c>
      <c r="M602" s="61" t="s">
        <v>131</v>
      </c>
      <c r="N602" s="61" t="s">
        <v>131</v>
      </c>
      <c r="O602" s="61" t="s">
        <v>131</v>
      </c>
      <c r="P602" s="61" t="s">
        <v>131</v>
      </c>
      <c r="Q602" s="124" t="s">
        <v>129</v>
      </c>
      <c r="R602" s="61" t="s">
        <v>131</v>
      </c>
      <c r="S602" s="59" t="s">
        <v>295</v>
      </c>
      <c r="T602" s="59" t="s">
        <v>26</v>
      </c>
      <c r="U602" s="59"/>
      <c r="V602" s="59"/>
      <c r="W602" s="59"/>
      <c r="X602" s="59" t="s">
        <v>1314</v>
      </c>
      <c r="Y602" s="59" t="s">
        <v>5</v>
      </c>
      <c r="Z602" s="59"/>
      <c r="AA602" s="59"/>
      <c r="AB602" s="57"/>
    </row>
    <row r="603" spans="1:28" s="1" customFormat="1" ht="33" customHeight="1" x14ac:dyDescent="0.3">
      <c r="A603" s="16">
        <v>14</v>
      </c>
      <c r="B603" s="23">
        <v>162</v>
      </c>
      <c r="C603" s="27" t="str">
        <f t="shared" si="17"/>
        <v>14.162</v>
      </c>
      <c r="D603" s="18" t="s">
        <v>853</v>
      </c>
      <c r="E603" s="64" t="str">
        <f>IF(ISBLANK(D603)=TRUE,"",VLOOKUP(D603,Krav!$C:$F,4,FALSE))</f>
        <v>10.a.1.1.1.19 - Hvis FordringsSlutDato er valgt: Regel R0060 aktiveres</v>
      </c>
      <c r="F603" s="53" t="s">
        <v>226</v>
      </c>
      <c r="G603" s="53" t="s">
        <v>308</v>
      </c>
      <c r="H603" s="25" t="s">
        <v>1306</v>
      </c>
      <c r="I603" s="65" t="s">
        <v>240</v>
      </c>
      <c r="J603" s="67" t="s">
        <v>222</v>
      </c>
      <c r="K603" s="123" t="s">
        <v>222</v>
      </c>
      <c r="L603" s="20" t="s">
        <v>3</v>
      </c>
      <c r="M603" s="61" t="s">
        <v>131</v>
      </c>
      <c r="N603" s="61" t="s">
        <v>131</v>
      </c>
      <c r="O603" s="61" t="s">
        <v>131</v>
      </c>
      <c r="P603" s="61" t="s">
        <v>131</v>
      </c>
      <c r="Q603" s="124" t="s">
        <v>129</v>
      </c>
      <c r="R603" s="61" t="s">
        <v>131</v>
      </c>
      <c r="S603" s="59" t="s">
        <v>295</v>
      </c>
      <c r="T603" s="59" t="s">
        <v>26</v>
      </c>
      <c r="U603" s="59"/>
      <c r="V603" s="59"/>
      <c r="W603" s="59"/>
      <c r="X603" s="59" t="s">
        <v>1315</v>
      </c>
      <c r="Y603" s="59" t="s">
        <v>5</v>
      </c>
      <c r="Z603" s="59"/>
      <c r="AA603" s="59"/>
      <c r="AB603" s="57"/>
    </row>
    <row r="604" spans="1:28" s="1" customFormat="1" ht="33" customHeight="1" x14ac:dyDescent="0.3">
      <c r="A604" s="16">
        <v>14</v>
      </c>
      <c r="B604" s="23">
        <v>163</v>
      </c>
      <c r="C604" s="27" t="str">
        <f t="shared" si="17"/>
        <v>14.163</v>
      </c>
      <c r="D604" s="18" t="s">
        <v>855</v>
      </c>
      <c r="E604" s="64" t="str">
        <f>IF(ISBLANK(D604)=TRUE,"",VLOOKUP(D604,Krav!$C:$F,4,FALSE))</f>
        <v>10.a.1.1.1.20 - Hvis FordringsSlutDato er valgt: Regel R0061 aktiveres</v>
      </c>
      <c r="F604" s="53" t="s">
        <v>226</v>
      </c>
      <c r="G604" s="53" t="s">
        <v>308</v>
      </c>
      <c r="H604" s="25" t="s">
        <v>1306</v>
      </c>
      <c r="I604" s="65" t="s">
        <v>240</v>
      </c>
      <c r="J604" s="67" t="s">
        <v>222</v>
      </c>
      <c r="K604" s="123" t="s">
        <v>222</v>
      </c>
      <c r="L604" s="20" t="s">
        <v>3</v>
      </c>
      <c r="M604" s="61" t="s">
        <v>131</v>
      </c>
      <c r="N604" s="61" t="s">
        <v>131</v>
      </c>
      <c r="O604" s="61" t="s">
        <v>131</v>
      </c>
      <c r="P604" s="61" t="s">
        <v>131</v>
      </c>
      <c r="Q604" s="124" t="s">
        <v>129</v>
      </c>
      <c r="R604" s="61" t="s">
        <v>131</v>
      </c>
      <c r="S604" s="59" t="s">
        <v>295</v>
      </c>
      <c r="T604" s="59" t="s">
        <v>26</v>
      </c>
      <c r="U604" s="59"/>
      <c r="V604" s="59"/>
      <c r="W604" s="59"/>
      <c r="X604" s="59" t="s">
        <v>1316</v>
      </c>
      <c r="Y604" s="59" t="s">
        <v>5</v>
      </c>
      <c r="Z604" s="59"/>
      <c r="AA604" s="59"/>
      <c r="AB604" s="57"/>
    </row>
    <row r="605" spans="1:28" s="1" customFormat="1" ht="33" customHeight="1" x14ac:dyDescent="0.3">
      <c r="A605" s="16">
        <v>14</v>
      </c>
      <c r="B605" s="23">
        <v>164</v>
      </c>
      <c r="C605" s="27" t="str">
        <f t="shared" si="17"/>
        <v>14.164</v>
      </c>
      <c r="D605" s="18" t="s">
        <v>857</v>
      </c>
      <c r="E605" s="64" t="str">
        <f>IF(ISBLANK(D605)=TRUE,"",VLOOKUP(D605,Krav!$C:$F,4,FALSE))</f>
        <v>10.a.1.1.1.21 - Hvis FordringsSlutDato er valgt: Regel R0062 aktiveres</v>
      </c>
      <c r="F605" s="53" t="s">
        <v>226</v>
      </c>
      <c r="G605" s="53" t="s">
        <v>308</v>
      </c>
      <c r="H605" s="25" t="s">
        <v>1306</v>
      </c>
      <c r="I605" s="65" t="s">
        <v>240</v>
      </c>
      <c r="J605" s="67" t="s">
        <v>222</v>
      </c>
      <c r="K605" s="123" t="s">
        <v>222</v>
      </c>
      <c r="L605" s="20" t="s">
        <v>3</v>
      </c>
      <c r="M605" s="61" t="s">
        <v>131</v>
      </c>
      <c r="N605" s="61" t="s">
        <v>131</v>
      </c>
      <c r="O605" s="61" t="s">
        <v>131</v>
      </c>
      <c r="P605" s="61" t="s">
        <v>131</v>
      </c>
      <c r="Q605" s="124" t="s">
        <v>129</v>
      </c>
      <c r="R605" s="61" t="s">
        <v>131</v>
      </c>
      <c r="S605" s="59" t="s">
        <v>295</v>
      </c>
      <c r="T605" s="59" t="s">
        <v>26</v>
      </c>
      <c r="U605" s="59"/>
      <c r="V605" s="59"/>
      <c r="W605" s="59"/>
      <c r="X605" s="59" t="s">
        <v>1317</v>
      </c>
      <c r="Y605" s="59" t="s">
        <v>5</v>
      </c>
      <c r="Z605" s="59"/>
      <c r="AA605" s="59"/>
      <c r="AB605" s="57"/>
    </row>
    <row r="606" spans="1:28" s="1" customFormat="1" ht="33" customHeight="1" x14ac:dyDescent="0.3">
      <c r="A606" s="16">
        <v>14</v>
      </c>
      <c r="B606" s="23">
        <v>165</v>
      </c>
      <c r="C606" s="27" t="str">
        <f t="shared" si="17"/>
        <v>14.165</v>
      </c>
      <c r="D606" s="18" t="s">
        <v>873</v>
      </c>
      <c r="E606" s="64" t="str">
        <f>IF(ISBLANK(D606)=TRUE,"",VLOOKUP(D606,Krav!$C:$F,4,FALSE))</f>
        <v>10.a.1.1.1.29 - Hvis FordringsSlutDato er valgt: Regel R0070 aktiveres</v>
      </c>
      <c r="F606" s="53" t="s">
        <v>226</v>
      </c>
      <c r="G606" s="53" t="s">
        <v>308</v>
      </c>
      <c r="H606" s="25" t="s">
        <v>1306</v>
      </c>
      <c r="I606" s="65" t="s">
        <v>240</v>
      </c>
      <c r="J606" s="67" t="s">
        <v>222</v>
      </c>
      <c r="K606" s="123" t="s">
        <v>222</v>
      </c>
      <c r="L606" s="20" t="s">
        <v>3</v>
      </c>
      <c r="M606" s="61" t="s">
        <v>131</v>
      </c>
      <c r="N606" s="61" t="s">
        <v>131</v>
      </c>
      <c r="O606" s="61" t="s">
        <v>131</v>
      </c>
      <c r="P606" s="61" t="s">
        <v>131</v>
      </c>
      <c r="Q606" s="124" t="s">
        <v>129</v>
      </c>
      <c r="R606" s="61" t="s">
        <v>131</v>
      </c>
      <c r="S606" s="59" t="s">
        <v>295</v>
      </c>
      <c r="T606" s="59" t="s">
        <v>26</v>
      </c>
      <c r="U606" s="59"/>
      <c r="V606" s="59"/>
      <c r="W606" s="59"/>
      <c r="X606" s="59" t="s">
        <v>1313</v>
      </c>
      <c r="Y606" s="59" t="s">
        <v>5</v>
      </c>
      <c r="Z606" s="59"/>
      <c r="AA606" s="59"/>
      <c r="AB606" s="57"/>
    </row>
    <row r="607" spans="1:28" s="1" customFormat="1" ht="33" customHeight="1" x14ac:dyDescent="0.3">
      <c r="A607" s="16">
        <v>14</v>
      </c>
      <c r="B607" s="23">
        <v>166</v>
      </c>
      <c r="C607" s="27" t="str">
        <f t="shared" ref="C607:C670" si="18">IF(B607&lt;10,_xlfn.CONCAT(A607,".0",B607),_xlfn.CONCAT(A607,".",B607))</f>
        <v>14.166</v>
      </c>
      <c r="D607" s="27"/>
      <c r="E607" s="64" t="str">
        <f>IF(ISBLANK(D607)=TRUE,"",VLOOKUP(D607,Krav!$C:$F,4,FALSE))</f>
        <v/>
      </c>
      <c r="F607" s="53" t="s">
        <v>143</v>
      </c>
      <c r="G607" s="53" t="s">
        <v>568</v>
      </c>
      <c r="H607" s="53" t="s">
        <v>569</v>
      </c>
      <c r="I607" s="53" t="s">
        <v>570</v>
      </c>
      <c r="J607" s="67" t="s">
        <v>222</v>
      </c>
      <c r="K607" s="125" t="s">
        <v>222</v>
      </c>
      <c r="L607" s="20" t="s">
        <v>3</v>
      </c>
      <c r="M607" s="61" t="s">
        <v>131</v>
      </c>
      <c r="N607" s="61" t="s">
        <v>131</v>
      </c>
      <c r="O607" s="61" t="s">
        <v>131</v>
      </c>
      <c r="P607" s="61" t="s">
        <v>131</v>
      </c>
      <c r="Q607" s="61" t="s">
        <v>131</v>
      </c>
      <c r="R607" s="124" t="s">
        <v>129</v>
      </c>
      <c r="S607" s="59" t="s">
        <v>294</v>
      </c>
      <c r="T607" s="59"/>
      <c r="U607" s="59"/>
      <c r="V607" s="59"/>
      <c r="W607" s="59"/>
      <c r="X607" s="59"/>
      <c r="Y607" s="59" t="s">
        <v>5</v>
      </c>
      <c r="Z607" s="59" t="s">
        <v>571</v>
      </c>
      <c r="AA607" s="59"/>
      <c r="AB607" s="57"/>
    </row>
    <row r="608" spans="1:28" s="1" customFormat="1" ht="33" customHeight="1" x14ac:dyDescent="0.3">
      <c r="A608" s="16">
        <v>14</v>
      </c>
      <c r="B608" s="23">
        <v>167</v>
      </c>
      <c r="C608" s="27" t="str">
        <f t="shared" si="18"/>
        <v>14.167</v>
      </c>
      <c r="D608" s="27" t="s">
        <v>572</v>
      </c>
      <c r="E608" s="64" t="str">
        <f>IF(ISBLANK(D608)=TRUE,"",VLOOKUP(D608,Krav!$C:$F,4,FALSE))</f>
        <v>10.b.4 -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608" s="53" t="s">
        <v>228</v>
      </c>
      <c r="G608" s="53" t="s">
        <v>526</v>
      </c>
      <c r="H608" s="53" t="s">
        <v>573</v>
      </c>
      <c r="I608" s="53" t="s">
        <v>574</v>
      </c>
      <c r="J608" s="67" t="s">
        <v>222</v>
      </c>
      <c r="K608" s="125" t="s">
        <v>222</v>
      </c>
      <c r="L608" s="20" t="s">
        <v>3</v>
      </c>
      <c r="M608" s="61" t="s">
        <v>131</v>
      </c>
      <c r="N608" s="61" t="s">
        <v>131</v>
      </c>
      <c r="O608" s="61" t="s">
        <v>131</v>
      </c>
      <c r="P608" s="61" t="s">
        <v>131</v>
      </c>
      <c r="Q608" s="61" t="s">
        <v>131</v>
      </c>
      <c r="R608" s="124" t="s">
        <v>129</v>
      </c>
      <c r="S608" s="59" t="s">
        <v>294</v>
      </c>
      <c r="T608" s="59"/>
      <c r="U608" s="59"/>
      <c r="V608" s="59"/>
      <c r="W608" s="59"/>
      <c r="X608" s="59"/>
      <c r="Y608" s="59" t="s">
        <v>5</v>
      </c>
      <c r="Z608" s="59"/>
      <c r="AA608" s="59"/>
      <c r="AB608" s="57"/>
    </row>
    <row r="609" spans="1:28" s="1" customFormat="1" ht="33" customHeight="1" x14ac:dyDescent="0.3">
      <c r="A609" s="16">
        <v>14</v>
      </c>
      <c r="B609" s="23">
        <v>168</v>
      </c>
      <c r="C609" s="27" t="str">
        <f t="shared" si="18"/>
        <v>14.168</v>
      </c>
      <c r="D609" s="27" t="s">
        <v>575</v>
      </c>
      <c r="E609" s="64" t="str">
        <f>IF(ISBLANK(D609)=TRUE,"",VLOOKUP(D609,Krav!$C:$F,4,FALSE))</f>
        <v>10.b.1 - Hvis der er svaret "I visse tilfælde" i spørgsmål 9 og hvis der er svaret "Ja" i enten 9.b.1, 9.b.2.1 eller 9.b.2.2.1 skal brugeren ledes til spørgsmål 11</v>
      </c>
      <c r="F609" s="53" t="s">
        <v>143</v>
      </c>
      <c r="G609" s="53" t="s">
        <v>568</v>
      </c>
      <c r="H609" s="53" t="s">
        <v>576</v>
      </c>
      <c r="I609" s="53" t="s">
        <v>570</v>
      </c>
      <c r="J609" s="67" t="s">
        <v>222</v>
      </c>
      <c r="K609" s="125" t="s">
        <v>222</v>
      </c>
      <c r="L609" s="20" t="s">
        <v>3</v>
      </c>
      <c r="M609" s="61" t="s">
        <v>131</v>
      </c>
      <c r="N609" s="61" t="s">
        <v>131</v>
      </c>
      <c r="O609" s="61" t="s">
        <v>131</v>
      </c>
      <c r="P609" s="61" t="s">
        <v>131</v>
      </c>
      <c r="Q609" s="61" t="s">
        <v>131</v>
      </c>
      <c r="R609" s="124" t="s">
        <v>129</v>
      </c>
      <c r="S609" s="59" t="s">
        <v>295</v>
      </c>
      <c r="T609" s="59" t="s">
        <v>26</v>
      </c>
      <c r="U609" s="59"/>
      <c r="V609" s="59"/>
      <c r="W609" s="59"/>
      <c r="X609" s="59"/>
      <c r="Y609" s="59" t="s">
        <v>5</v>
      </c>
      <c r="Z609" s="59"/>
      <c r="AA609" s="59"/>
      <c r="AB609" s="57"/>
    </row>
    <row r="610" spans="1:28" s="1" customFormat="1" ht="33" customHeight="1" x14ac:dyDescent="0.3">
      <c r="A610" s="16">
        <v>14</v>
      </c>
      <c r="B610" s="23">
        <v>169</v>
      </c>
      <c r="C610" s="27" t="str">
        <f t="shared" si="18"/>
        <v>14.169</v>
      </c>
      <c r="D610" s="27" t="s">
        <v>572</v>
      </c>
      <c r="E610" s="64" t="str">
        <f>IF(ISBLANK(D610)=TRUE,"",VLOOKUP(D610,Krav!$C:$F,4,FALSE))</f>
        <v>10.b.4 -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610" s="53" t="s">
        <v>228</v>
      </c>
      <c r="G610" s="53" t="s">
        <v>526</v>
      </c>
      <c r="H610" s="53" t="s">
        <v>577</v>
      </c>
      <c r="I610" s="53" t="s">
        <v>574</v>
      </c>
      <c r="J610" s="67" t="s">
        <v>222</v>
      </c>
      <c r="K610" s="125" t="s">
        <v>222</v>
      </c>
      <c r="L610" s="20" t="s">
        <v>3</v>
      </c>
      <c r="M610" s="61" t="s">
        <v>131</v>
      </c>
      <c r="N610" s="61" t="s">
        <v>131</v>
      </c>
      <c r="O610" s="61" t="s">
        <v>131</v>
      </c>
      <c r="P610" s="61" t="s">
        <v>131</v>
      </c>
      <c r="Q610" s="61" t="s">
        <v>131</v>
      </c>
      <c r="R610" s="124" t="s">
        <v>129</v>
      </c>
      <c r="S610" s="59" t="s">
        <v>295</v>
      </c>
      <c r="T610" s="59" t="s">
        <v>26</v>
      </c>
      <c r="U610" s="59"/>
      <c r="V610" s="59"/>
      <c r="W610" s="59"/>
      <c r="X610" s="59"/>
      <c r="Y610" s="59" t="s">
        <v>5</v>
      </c>
      <c r="Z610" s="59"/>
      <c r="AA610" s="59"/>
      <c r="AB610" s="57"/>
    </row>
    <row r="611" spans="1:28" s="1" customFormat="1" ht="33" customHeight="1" x14ac:dyDescent="0.3">
      <c r="A611" s="16">
        <v>14</v>
      </c>
      <c r="B611" s="23">
        <v>170</v>
      </c>
      <c r="C611" s="27" t="str">
        <f t="shared" si="18"/>
        <v>14.170</v>
      </c>
      <c r="D611" s="27" t="s">
        <v>575</v>
      </c>
      <c r="E611" s="64" t="str">
        <f>IF(ISBLANK(D611)=TRUE,"",VLOOKUP(D611,Krav!$C:$F,4,FALSE))</f>
        <v>10.b.1 - Hvis der er svaret "I visse tilfælde" i spørgsmål 9 og hvis der er svaret "Ja" i enten 9.b.1, 9.b.2.1 eller 9.b.2.2.1 skal brugeren ledes til spørgsmål 11</v>
      </c>
      <c r="F611" s="53" t="s">
        <v>143</v>
      </c>
      <c r="G611" s="53" t="s">
        <v>568</v>
      </c>
      <c r="H611" s="53" t="s">
        <v>578</v>
      </c>
      <c r="I611" s="53" t="s">
        <v>570</v>
      </c>
      <c r="J611" s="67" t="s">
        <v>222</v>
      </c>
      <c r="K611" s="125" t="s">
        <v>222</v>
      </c>
      <c r="L611" s="20" t="s">
        <v>3</v>
      </c>
      <c r="M611" s="61" t="s">
        <v>131</v>
      </c>
      <c r="N611" s="61" t="s">
        <v>131</v>
      </c>
      <c r="O611" s="61" t="s">
        <v>131</v>
      </c>
      <c r="P611" s="61" t="s">
        <v>131</v>
      </c>
      <c r="Q611" s="61" t="s">
        <v>131</v>
      </c>
      <c r="R611" s="124" t="s">
        <v>129</v>
      </c>
      <c r="S611" s="59" t="s">
        <v>295</v>
      </c>
      <c r="T611" s="59" t="s">
        <v>166</v>
      </c>
      <c r="U611" s="59" t="s">
        <v>26</v>
      </c>
      <c r="V611" s="59"/>
      <c r="W611" s="59"/>
      <c r="X611" s="59"/>
      <c r="Y611" s="59" t="s">
        <v>5</v>
      </c>
      <c r="Z611" s="59"/>
      <c r="AA611" s="59"/>
      <c r="AB611" s="57"/>
    </row>
    <row r="612" spans="1:28" s="1" customFormat="1" ht="33" customHeight="1" x14ac:dyDescent="0.3">
      <c r="A612" s="16">
        <v>14</v>
      </c>
      <c r="B612" s="23">
        <v>171</v>
      </c>
      <c r="C612" s="27" t="str">
        <f t="shared" si="18"/>
        <v>14.171</v>
      </c>
      <c r="D612" s="27" t="s">
        <v>572</v>
      </c>
      <c r="E612" s="64" t="str">
        <f>IF(ISBLANK(D612)=TRUE,"",VLOOKUP(D612,Krav!$C:$F,4,FALSE))</f>
        <v>10.b.4 -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612" s="53" t="s">
        <v>228</v>
      </c>
      <c r="G612" s="53" t="s">
        <v>526</v>
      </c>
      <c r="H612" s="53" t="s">
        <v>577</v>
      </c>
      <c r="I612" s="53" t="s">
        <v>574</v>
      </c>
      <c r="J612" s="67" t="s">
        <v>222</v>
      </c>
      <c r="K612" s="125" t="s">
        <v>222</v>
      </c>
      <c r="L612" s="20" t="s">
        <v>3</v>
      </c>
      <c r="M612" s="61" t="s">
        <v>131</v>
      </c>
      <c r="N612" s="61" t="s">
        <v>131</v>
      </c>
      <c r="O612" s="61" t="s">
        <v>131</v>
      </c>
      <c r="P612" s="61" t="s">
        <v>131</v>
      </c>
      <c r="Q612" s="61" t="s">
        <v>131</v>
      </c>
      <c r="R612" s="124" t="s">
        <v>129</v>
      </c>
      <c r="S612" s="59" t="s">
        <v>295</v>
      </c>
      <c r="T612" s="59" t="s">
        <v>166</v>
      </c>
      <c r="U612" s="59" t="s">
        <v>26</v>
      </c>
      <c r="V612" s="59"/>
      <c r="W612" s="59"/>
      <c r="X612" s="59"/>
      <c r="Y612" s="59" t="s">
        <v>5</v>
      </c>
      <c r="Z612" s="59"/>
      <c r="AA612" s="59"/>
      <c r="AB612" s="57"/>
    </row>
    <row r="613" spans="1:28" s="1" customFormat="1" ht="33" customHeight="1" x14ac:dyDescent="0.3">
      <c r="A613" s="16">
        <v>14</v>
      </c>
      <c r="B613" s="23">
        <v>172</v>
      </c>
      <c r="C613" s="27" t="str">
        <f t="shared" si="18"/>
        <v>14.172</v>
      </c>
      <c r="D613" s="27" t="s">
        <v>575</v>
      </c>
      <c r="E613" s="64" t="str">
        <f>IF(ISBLANK(D613)=TRUE,"",VLOOKUP(D613,Krav!$C:$F,4,FALSE))</f>
        <v>10.b.1 - Hvis der er svaret "I visse tilfælde" i spørgsmål 9 og hvis der er svaret "Ja" i enten 9.b.1, 9.b.2.1 eller 9.b.2.2.1 skal brugeren ledes til spørgsmål 11</v>
      </c>
      <c r="F613" s="53" t="s">
        <v>143</v>
      </c>
      <c r="G613" s="53" t="s">
        <v>568</v>
      </c>
      <c r="H613" s="53" t="s">
        <v>579</v>
      </c>
      <c r="I613" s="53" t="s">
        <v>570</v>
      </c>
      <c r="J613" s="67" t="s">
        <v>222</v>
      </c>
      <c r="K613" s="125" t="s">
        <v>222</v>
      </c>
      <c r="L613" s="20" t="s">
        <v>3</v>
      </c>
      <c r="M613" s="61" t="s">
        <v>131</v>
      </c>
      <c r="N613" s="61" t="s">
        <v>131</v>
      </c>
      <c r="O613" s="61" t="s">
        <v>131</v>
      </c>
      <c r="P613" s="61" t="s">
        <v>131</v>
      </c>
      <c r="Q613" s="61" t="s">
        <v>131</v>
      </c>
      <c r="R613" s="124" t="s">
        <v>129</v>
      </c>
      <c r="S613" s="59" t="s">
        <v>295</v>
      </c>
      <c r="T613" s="59" t="s">
        <v>166</v>
      </c>
      <c r="U613" s="59" t="s">
        <v>166</v>
      </c>
      <c r="V613" s="59" t="s">
        <v>580</v>
      </c>
      <c r="W613" s="59"/>
      <c r="X613" s="59"/>
      <c r="Y613" s="59" t="s">
        <v>5</v>
      </c>
      <c r="Z613" s="59"/>
      <c r="AA613" s="59"/>
      <c r="AB613" s="57"/>
    </row>
    <row r="614" spans="1:28" s="1" customFormat="1" ht="33" customHeight="1" x14ac:dyDescent="0.3">
      <c r="A614" s="16">
        <v>14</v>
      </c>
      <c r="B614" s="23">
        <v>173</v>
      </c>
      <c r="C614" s="27" t="str">
        <f t="shared" si="18"/>
        <v>14.173</v>
      </c>
      <c r="D614" s="27" t="s">
        <v>572</v>
      </c>
      <c r="E614" s="64" t="str">
        <f>IF(ISBLANK(D614)=TRUE,"",VLOOKUP(D614,Krav!$C:$F,4,FALSE))</f>
        <v>10.b.4 -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614" s="53" t="s">
        <v>228</v>
      </c>
      <c r="G614" s="53" t="s">
        <v>526</v>
      </c>
      <c r="H614" s="53" t="s">
        <v>577</v>
      </c>
      <c r="I614" s="53" t="s">
        <v>574</v>
      </c>
      <c r="J614" s="67" t="s">
        <v>222</v>
      </c>
      <c r="K614" s="125" t="s">
        <v>222</v>
      </c>
      <c r="L614" s="20" t="s">
        <v>3</v>
      </c>
      <c r="M614" s="61" t="s">
        <v>131</v>
      </c>
      <c r="N614" s="61" t="s">
        <v>131</v>
      </c>
      <c r="O614" s="61" t="s">
        <v>131</v>
      </c>
      <c r="P614" s="61" t="s">
        <v>131</v>
      </c>
      <c r="Q614" s="61" t="s">
        <v>131</v>
      </c>
      <c r="R614" s="124" t="s">
        <v>129</v>
      </c>
      <c r="S614" s="59" t="s">
        <v>295</v>
      </c>
      <c r="T614" s="59" t="s">
        <v>166</v>
      </c>
      <c r="U614" s="59" t="s">
        <v>166</v>
      </c>
      <c r="V614" s="59" t="s">
        <v>580</v>
      </c>
      <c r="W614" s="59"/>
      <c r="X614" s="59"/>
      <c r="Y614" s="59" t="s">
        <v>5</v>
      </c>
      <c r="Z614" s="59"/>
      <c r="AA614" s="59"/>
      <c r="AB614" s="57"/>
    </row>
    <row r="615" spans="1:28" s="1" customFormat="1" ht="33" customHeight="1" x14ac:dyDescent="0.3">
      <c r="A615" s="16">
        <v>14</v>
      </c>
      <c r="B615" s="23">
        <v>174</v>
      </c>
      <c r="C615" s="27" t="str">
        <f t="shared" si="18"/>
        <v>14.174</v>
      </c>
      <c r="D615" s="27"/>
      <c r="E615" s="64" t="str">
        <f>IF(ISBLANK(D615)=TRUE,"",VLOOKUP(D615,Krav!$C:$F,4,FALSE))</f>
        <v/>
      </c>
      <c r="F615" s="84" t="s">
        <v>174</v>
      </c>
      <c r="G615" s="53"/>
      <c r="H615" s="53" t="s">
        <v>581</v>
      </c>
      <c r="I615" s="53" t="s">
        <v>582</v>
      </c>
      <c r="J615" s="67" t="s">
        <v>222</v>
      </c>
      <c r="K615" s="125" t="s">
        <v>222</v>
      </c>
      <c r="L615" s="20" t="s">
        <v>4</v>
      </c>
      <c r="M615" s="61" t="s">
        <v>131</v>
      </c>
      <c r="N615" s="61" t="s">
        <v>131</v>
      </c>
      <c r="O615" s="61" t="s">
        <v>131</v>
      </c>
      <c r="P615" s="61" t="s">
        <v>131</v>
      </c>
      <c r="Q615" s="61" t="s">
        <v>131</v>
      </c>
      <c r="R615" s="124" t="s">
        <v>129</v>
      </c>
      <c r="S615" s="59" t="s">
        <v>295</v>
      </c>
      <c r="T615" s="59" t="s">
        <v>166</v>
      </c>
      <c r="U615" s="59" t="s">
        <v>166</v>
      </c>
      <c r="V615" s="59" t="s">
        <v>369</v>
      </c>
      <c r="W615" s="59"/>
      <c r="X615" s="59"/>
      <c r="Y615" s="59" t="s">
        <v>5</v>
      </c>
      <c r="Z615" s="59"/>
      <c r="AA615" s="59"/>
      <c r="AB615" s="57"/>
    </row>
    <row r="616" spans="1:28" s="1" customFormat="1" ht="33" customHeight="1" x14ac:dyDescent="0.3">
      <c r="A616" s="16">
        <v>14</v>
      </c>
      <c r="B616" s="23">
        <v>175</v>
      </c>
      <c r="C616" s="27" t="str">
        <f t="shared" si="18"/>
        <v>14.175</v>
      </c>
      <c r="D616" s="27"/>
      <c r="E616" s="64" t="str">
        <f>IF(ISBLANK(D616)=TRUE,"",VLOOKUP(D616,Krav!$C:$F,4,FALSE))</f>
        <v/>
      </c>
      <c r="F616" s="91" t="s">
        <v>418</v>
      </c>
      <c r="G616" s="91" t="s">
        <v>419</v>
      </c>
      <c r="H616" s="91" t="s">
        <v>583</v>
      </c>
      <c r="I616" s="91" t="s">
        <v>129</v>
      </c>
      <c r="J616" s="96" t="s">
        <v>222</v>
      </c>
      <c r="K616" s="125" t="s">
        <v>222</v>
      </c>
      <c r="L616" s="20" t="s">
        <v>4</v>
      </c>
      <c r="M616" s="61" t="s">
        <v>131</v>
      </c>
      <c r="N616" s="61" t="s">
        <v>131</v>
      </c>
      <c r="O616" s="61" t="s">
        <v>131</v>
      </c>
      <c r="P616" s="61" t="s">
        <v>131</v>
      </c>
      <c r="Q616" s="61" t="s">
        <v>131</v>
      </c>
      <c r="R616" s="124" t="s">
        <v>129</v>
      </c>
      <c r="S616" s="59" t="s">
        <v>295</v>
      </c>
      <c r="T616" s="59" t="s">
        <v>166</v>
      </c>
      <c r="U616" s="59" t="s">
        <v>166</v>
      </c>
      <c r="V616" s="59" t="s">
        <v>369</v>
      </c>
      <c r="W616" s="59"/>
      <c r="X616" s="59"/>
      <c r="Y616" s="59" t="s">
        <v>5</v>
      </c>
      <c r="Z616" s="59"/>
      <c r="AA616" s="59"/>
      <c r="AB616" s="57"/>
    </row>
    <row r="617" spans="1:28" s="1" customFormat="1" ht="33" customHeight="1" x14ac:dyDescent="0.3">
      <c r="A617" s="16">
        <v>14</v>
      </c>
      <c r="B617" s="23">
        <v>176</v>
      </c>
      <c r="C617" s="27" t="str">
        <f t="shared" si="18"/>
        <v>14.176</v>
      </c>
      <c r="D617" s="27" t="s">
        <v>1270</v>
      </c>
      <c r="E617" s="64" t="str">
        <f>IF(ISBLANK(D617)=TRUE,"",VLOOKUP(D617,Krav!$C:$F,4,FALSE))</f>
        <v xml:space="preserve">10.b.5 - Hvis fordringshaver har svaret ”aldrig” i spm. 9, kan der ikke opsættes en FLEX-filter konfiguration for populationen. </v>
      </c>
      <c r="F617" s="84" t="s">
        <v>174</v>
      </c>
      <c r="G617" s="53"/>
      <c r="H617" s="76" t="s">
        <v>584</v>
      </c>
      <c r="I617" s="65" t="s">
        <v>582</v>
      </c>
      <c r="J617" s="67" t="s">
        <v>222</v>
      </c>
      <c r="K617" s="125" t="s">
        <v>222</v>
      </c>
      <c r="L617" s="20" t="s">
        <v>4</v>
      </c>
      <c r="M617" s="61" t="s">
        <v>131</v>
      </c>
      <c r="N617" s="61" t="s">
        <v>131</v>
      </c>
      <c r="O617" s="61" t="s">
        <v>131</v>
      </c>
      <c r="P617" s="61" t="s">
        <v>131</v>
      </c>
      <c r="Q617" s="61" t="s">
        <v>131</v>
      </c>
      <c r="R617" s="124" t="s">
        <v>129</v>
      </c>
      <c r="S617" s="59" t="s">
        <v>303</v>
      </c>
      <c r="T617" s="59"/>
      <c r="U617" s="59"/>
      <c r="V617" s="59"/>
      <c r="W617" s="59"/>
      <c r="X617" s="59"/>
      <c r="Y617" s="59" t="s">
        <v>5</v>
      </c>
      <c r="Z617" s="59"/>
      <c r="AA617" s="59"/>
      <c r="AB617" s="57"/>
    </row>
    <row r="618" spans="1:28" s="1" customFormat="1" ht="33" customHeight="1" x14ac:dyDescent="0.3">
      <c r="A618" s="16">
        <v>14</v>
      </c>
      <c r="B618" s="23">
        <v>177</v>
      </c>
      <c r="C618" s="27" t="str">
        <f t="shared" si="18"/>
        <v>14.177</v>
      </c>
      <c r="D618" s="27"/>
      <c r="E618" s="64" t="str">
        <f>IF(ISBLANK(D618)=TRUE,"",VLOOKUP(D618,Krav!$C:$F,4,FALSE))</f>
        <v/>
      </c>
      <c r="F618" s="91" t="s">
        <v>418</v>
      </c>
      <c r="G618" s="91" t="s">
        <v>419</v>
      </c>
      <c r="H618" s="91" t="s">
        <v>583</v>
      </c>
      <c r="I618" s="91" t="s">
        <v>129</v>
      </c>
      <c r="J618" s="96" t="s">
        <v>222</v>
      </c>
      <c r="K618" s="125" t="s">
        <v>222</v>
      </c>
      <c r="L618" s="20" t="s">
        <v>4</v>
      </c>
      <c r="M618" s="61" t="s">
        <v>131</v>
      </c>
      <c r="N618" s="61" t="s">
        <v>131</v>
      </c>
      <c r="O618" s="61" t="s">
        <v>131</v>
      </c>
      <c r="P618" s="61" t="s">
        <v>131</v>
      </c>
      <c r="Q618" s="61" t="s">
        <v>131</v>
      </c>
      <c r="R618" s="124" t="s">
        <v>129</v>
      </c>
      <c r="S618" s="59" t="s">
        <v>303</v>
      </c>
      <c r="T618" s="59"/>
      <c r="U618" s="59"/>
      <c r="V618" s="59"/>
      <c r="W618" s="59"/>
      <c r="X618" s="59"/>
      <c r="Y618" s="59" t="s">
        <v>5</v>
      </c>
      <c r="Z618" s="59"/>
      <c r="AA618" s="59"/>
      <c r="AB618" s="57"/>
    </row>
    <row r="619" spans="1:28" s="1" customFormat="1" ht="33" customHeight="1" x14ac:dyDescent="0.3">
      <c r="A619" s="16">
        <v>14</v>
      </c>
      <c r="B619" s="23">
        <v>178</v>
      </c>
      <c r="C619" s="27" t="str">
        <f t="shared" si="18"/>
        <v>14.178</v>
      </c>
      <c r="D619" s="18" t="s">
        <v>585</v>
      </c>
      <c r="E619" s="64" t="str">
        <f>IF(ISBLANK(D619)=TRUE,"",VLOOKUP(D619,Krav!$C:$F,4,FALSE))</f>
        <v>10.9 - Såfremt brugeren vælger "Ingen" skal brugeren ledes til spørgsmål 10.b</v>
      </c>
      <c r="F619" s="53" t="s">
        <v>143</v>
      </c>
      <c r="G619" s="19" t="s">
        <v>586</v>
      </c>
      <c r="H619" s="25" t="s">
        <v>587</v>
      </c>
      <c r="I619" s="65" t="s">
        <v>468</v>
      </c>
      <c r="J619" s="67" t="s">
        <v>222</v>
      </c>
      <c r="K619" s="125" t="s">
        <v>222</v>
      </c>
      <c r="L619" s="20" t="s">
        <v>3</v>
      </c>
      <c r="M619" s="61" t="s">
        <v>131</v>
      </c>
      <c r="N619" s="61" t="s">
        <v>131</v>
      </c>
      <c r="O619" s="61" t="s">
        <v>131</v>
      </c>
      <c r="P619" s="61" t="s">
        <v>131</v>
      </c>
      <c r="Q619" s="61" t="s">
        <v>131</v>
      </c>
      <c r="R619" s="124" t="s">
        <v>129</v>
      </c>
      <c r="S619" s="59" t="s">
        <v>295</v>
      </c>
      <c r="T619" s="59" t="s">
        <v>26</v>
      </c>
      <c r="U619" s="59"/>
      <c r="V619" s="59"/>
      <c r="W619" s="59"/>
      <c r="X619" s="59"/>
      <c r="Y619" s="59" t="s">
        <v>5</v>
      </c>
      <c r="Z619" s="59"/>
      <c r="AA619" s="59"/>
      <c r="AB619" s="57"/>
    </row>
    <row r="620" spans="1:28" s="1" customFormat="1" ht="33" customHeight="1" x14ac:dyDescent="0.3">
      <c r="A620" s="16">
        <v>14</v>
      </c>
      <c r="B620" s="23">
        <v>179</v>
      </c>
      <c r="C620" s="27" t="str">
        <f t="shared" si="18"/>
        <v>14.179</v>
      </c>
      <c r="D620" s="18"/>
      <c r="E620" s="64" t="str">
        <f>IF(ISBLANK(D620)=TRUE,"",VLOOKUP(D620,Krav!$C:$F,4,FALSE))</f>
        <v/>
      </c>
      <c r="F620" s="53" t="s">
        <v>225</v>
      </c>
      <c r="G620" s="19" t="s">
        <v>521</v>
      </c>
      <c r="H620" s="25" t="s">
        <v>535</v>
      </c>
      <c r="I620" s="65" t="s">
        <v>550</v>
      </c>
      <c r="J620" s="67" t="s">
        <v>222</v>
      </c>
      <c r="K620" s="123" t="s">
        <v>222</v>
      </c>
      <c r="L620" s="20" t="s">
        <v>3</v>
      </c>
      <c r="M620" s="61" t="s">
        <v>131</v>
      </c>
      <c r="N620" s="61" t="s">
        <v>131</v>
      </c>
      <c r="O620" s="61" t="s">
        <v>131</v>
      </c>
      <c r="P620" s="61" t="s">
        <v>131</v>
      </c>
      <c r="Q620" s="61" t="s">
        <v>131</v>
      </c>
      <c r="R620" s="124" t="s">
        <v>129</v>
      </c>
      <c r="S620" s="59" t="s">
        <v>295</v>
      </c>
      <c r="T620" s="59" t="s">
        <v>26</v>
      </c>
      <c r="U620" s="59"/>
      <c r="V620" s="59"/>
      <c r="W620" s="59"/>
      <c r="X620" s="59"/>
      <c r="Y620" s="59" t="s">
        <v>5</v>
      </c>
      <c r="Z620" s="59"/>
      <c r="AA620" s="59"/>
      <c r="AB620" s="57"/>
    </row>
    <row r="621" spans="1:28" s="1" customFormat="1" ht="33" customHeight="1" x14ac:dyDescent="0.3">
      <c r="A621" s="16">
        <v>14</v>
      </c>
      <c r="B621" s="23">
        <v>180</v>
      </c>
      <c r="C621" s="27" t="str">
        <f t="shared" si="18"/>
        <v>14.180</v>
      </c>
      <c r="D621" s="18"/>
      <c r="E621" s="64" t="str">
        <f>IF(ISBLANK(D621)=TRUE,"",VLOOKUP(D621,Krav!$C:$F,4,FALSE))</f>
        <v/>
      </c>
      <c r="F621" s="53" t="s">
        <v>225</v>
      </c>
      <c r="G621" s="19" t="s">
        <v>522</v>
      </c>
      <c r="H621" s="25" t="s">
        <v>537</v>
      </c>
      <c r="I621" s="65" t="s">
        <v>538</v>
      </c>
      <c r="J621" s="67" t="s">
        <v>222</v>
      </c>
      <c r="K621" s="123" t="s">
        <v>222</v>
      </c>
      <c r="L621" s="20" t="s">
        <v>3</v>
      </c>
      <c r="M621" s="61" t="s">
        <v>131</v>
      </c>
      <c r="N621" s="61" t="s">
        <v>131</v>
      </c>
      <c r="O621" s="61" t="s">
        <v>131</v>
      </c>
      <c r="P621" s="61" t="s">
        <v>131</v>
      </c>
      <c r="Q621" s="61" t="s">
        <v>131</v>
      </c>
      <c r="R621" s="124" t="s">
        <v>129</v>
      </c>
      <c r="S621" s="59" t="s">
        <v>295</v>
      </c>
      <c r="T621" s="59" t="s">
        <v>26</v>
      </c>
      <c r="U621" s="59"/>
      <c r="V621" s="59"/>
      <c r="W621" s="59"/>
      <c r="X621" s="59"/>
      <c r="Y621" s="59" t="s">
        <v>5</v>
      </c>
      <c r="Z621" s="59"/>
      <c r="AA621" s="59"/>
      <c r="AB621" s="57"/>
    </row>
    <row r="622" spans="1:28" s="1" customFormat="1" ht="33" customHeight="1" x14ac:dyDescent="0.3">
      <c r="A622" s="16">
        <v>14</v>
      </c>
      <c r="B622" s="23">
        <v>181</v>
      </c>
      <c r="C622" s="27" t="str">
        <f t="shared" si="18"/>
        <v>14.181</v>
      </c>
      <c r="D622" s="18"/>
      <c r="E622" s="64" t="str">
        <f>IF(ISBLANK(D622)=TRUE,"",VLOOKUP(D622,Krav!$C:$F,4,FALSE))</f>
        <v/>
      </c>
      <c r="F622" s="53" t="s">
        <v>225</v>
      </c>
      <c r="G622" s="19" t="s">
        <v>523</v>
      </c>
      <c r="H622" s="25" t="s">
        <v>539</v>
      </c>
      <c r="I622" s="65" t="s">
        <v>540</v>
      </c>
      <c r="J622" s="67" t="s">
        <v>222</v>
      </c>
      <c r="K622" s="123" t="s">
        <v>222</v>
      </c>
      <c r="L622" s="20" t="s">
        <v>3</v>
      </c>
      <c r="M622" s="61" t="s">
        <v>131</v>
      </c>
      <c r="N622" s="61" t="s">
        <v>131</v>
      </c>
      <c r="O622" s="61" t="s">
        <v>131</v>
      </c>
      <c r="P622" s="61" t="s">
        <v>131</v>
      </c>
      <c r="Q622" s="61" t="s">
        <v>131</v>
      </c>
      <c r="R622" s="124" t="s">
        <v>129</v>
      </c>
      <c r="S622" s="59" t="s">
        <v>295</v>
      </c>
      <c r="T622" s="59" t="s">
        <v>26</v>
      </c>
      <c r="U622" s="59"/>
      <c r="V622" s="59"/>
      <c r="W622" s="59"/>
      <c r="X622" s="59"/>
      <c r="Y622" s="59" t="s">
        <v>5</v>
      </c>
      <c r="Z622" s="59"/>
      <c r="AA622" s="59"/>
      <c r="AB622" s="57"/>
    </row>
    <row r="623" spans="1:28" s="1" customFormat="1" ht="33" customHeight="1" x14ac:dyDescent="0.3">
      <c r="A623" s="16">
        <v>14</v>
      </c>
      <c r="B623" s="23">
        <v>182</v>
      </c>
      <c r="C623" s="27" t="str">
        <f t="shared" si="18"/>
        <v>14.182</v>
      </c>
      <c r="D623" s="18"/>
      <c r="E623" s="64" t="str">
        <f>IF(ISBLANK(D623)=TRUE,"",VLOOKUP(D623,Krav!$C:$F,4,FALSE))</f>
        <v/>
      </c>
      <c r="F623" s="53" t="s">
        <v>225</v>
      </c>
      <c r="G623" s="19" t="s">
        <v>524</v>
      </c>
      <c r="H623" s="25" t="s">
        <v>541</v>
      </c>
      <c r="I623" s="65" t="s">
        <v>542</v>
      </c>
      <c r="J623" s="67" t="s">
        <v>222</v>
      </c>
      <c r="K623" s="123" t="s">
        <v>222</v>
      </c>
      <c r="L623" s="20" t="s">
        <v>3</v>
      </c>
      <c r="M623" s="61" t="s">
        <v>131</v>
      </c>
      <c r="N623" s="61" t="s">
        <v>131</v>
      </c>
      <c r="O623" s="61" t="s">
        <v>131</v>
      </c>
      <c r="P623" s="61" t="s">
        <v>131</v>
      </c>
      <c r="Q623" s="61" t="s">
        <v>131</v>
      </c>
      <c r="R623" s="124" t="s">
        <v>129</v>
      </c>
      <c r="S623" s="59" t="s">
        <v>295</v>
      </c>
      <c r="T623" s="59" t="s">
        <v>26</v>
      </c>
      <c r="U623" s="59"/>
      <c r="V623" s="59"/>
      <c r="W623" s="59"/>
      <c r="X623" s="59"/>
      <c r="Y623" s="59" t="s">
        <v>5</v>
      </c>
      <c r="Z623" s="59"/>
      <c r="AA623" s="59"/>
      <c r="AB623" s="57"/>
    </row>
    <row r="624" spans="1:28" s="1" customFormat="1" ht="33" customHeight="1" x14ac:dyDescent="0.3">
      <c r="A624" s="16">
        <v>14</v>
      </c>
      <c r="B624" s="23">
        <v>183</v>
      </c>
      <c r="C624" s="27" t="str">
        <f t="shared" si="18"/>
        <v>14.183</v>
      </c>
      <c r="D624" s="18"/>
      <c r="E624" s="64" t="str">
        <f>IF(ISBLANK(D624)=TRUE,"",VLOOKUP(D624,Krav!$C:$F,4,FALSE))</f>
        <v/>
      </c>
      <c r="F624" s="53" t="s">
        <v>225</v>
      </c>
      <c r="G624" s="19" t="s">
        <v>525</v>
      </c>
      <c r="H624" s="25" t="s">
        <v>543</v>
      </c>
      <c r="I624" s="65" t="s">
        <v>544</v>
      </c>
      <c r="J624" s="67" t="s">
        <v>222</v>
      </c>
      <c r="K624" s="123" t="s">
        <v>222</v>
      </c>
      <c r="L624" s="20" t="s">
        <v>3</v>
      </c>
      <c r="M624" s="61" t="s">
        <v>131</v>
      </c>
      <c r="N624" s="61" t="s">
        <v>131</v>
      </c>
      <c r="O624" s="61" t="s">
        <v>131</v>
      </c>
      <c r="P624" s="61" t="s">
        <v>131</v>
      </c>
      <c r="Q624" s="61" t="s">
        <v>131</v>
      </c>
      <c r="R624" s="124" t="s">
        <v>129</v>
      </c>
      <c r="S624" s="59" t="s">
        <v>295</v>
      </c>
      <c r="T624" s="59" t="s">
        <v>26</v>
      </c>
      <c r="U624" s="59"/>
      <c r="V624" s="59"/>
      <c r="W624" s="59"/>
      <c r="X624" s="59"/>
      <c r="Y624" s="59" t="s">
        <v>5</v>
      </c>
      <c r="Z624" s="59"/>
      <c r="AA624" s="59"/>
      <c r="AB624" s="57"/>
    </row>
    <row r="625" spans="1:28" s="1" customFormat="1" ht="33" customHeight="1" x14ac:dyDescent="0.3">
      <c r="A625" s="16">
        <v>14</v>
      </c>
      <c r="B625" s="23">
        <v>184</v>
      </c>
      <c r="C625" s="27" t="str">
        <f t="shared" si="18"/>
        <v>14.184</v>
      </c>
      <c r="D625" s="18"/>
      <c r="E625" s="64" t="str">
        <f>IF(ISBLANK(D625)=TRUE,"",VLOOKUP(D625,Krav!$C:$F,4,FALSE))</f>
        <v/>
      </c>
      <c r="F625" s="53" t="s">
        <v>225</v>
      </c>
      <c r="G625" s="19" t="s">
        <v>526</v>
      </c>
      <c r="H625" s="25" t="s">
        <v>543</v>
      </c>
      <c r="I625" s="65" t="s">
        <v>588</v>
      </c>
      <c r="J625" s="67" t="s">
        <v>222</v>
      </c>
      <c r="K625" s="123" t="s">
        <v>222</v>
      </c>
      <c r="L625" s="20" t="s">
        <v>3</v>
      </c>
      <c r="M625" s="61" t="s">
        <v>131</v>
      </c>
      <c r="N625" s="61" t="s">
        <v>131</v>
      </c>
      <c r="O625" s="61" t="s">
        <v>131</v>
      </c>
      <c r="P625" s="61" t="s">
        <v>131</v>
      </c>
      <c r="Q625" s="61" t="s">
        <v>131</v>
      </c>
      <c r="R625" s="124" t="s">
        <v>129</v>
      </c>
      <c r="S625" s="59" t="s">
        <v>295</v>
      </c>
      <c r="T625" s="59" t="s">
        <v>26</v>
      </c>
      <c r="U625" s="59"/>
      <c r="V625" s="59"/>
      <c r="W625" s="59"/>
      <c r="X625" s="59"/>
      <c r="Y625" s="59" t="s">
        <v>5</v>
      </c>
      <c r="Z625" s="59"/>
      <c r="AA625" s="59"/>
      <c r="AB625" s="57"/>
    </row>
    <row r="626" spans="1:28" s="1" customFormat="1" ht="33" customHeight="1" x14ac:dyDescent="0.3">
      <c r="A626" s="16">
        <v>14</v>
      </c>
      <c r="B626" s="23">
        <v>185</v>
      </c>
      <c r="C626" s="27" t="str">
        <f t="shared" si="18"/>
        <v>14.185</v>
      </c>
      <c r="D626" s="18" t="s">
        <v>589</v>
      </c>
      <c r="E626" s="64" t="str">
        <f>IF(ISBLANK(D626)=TRUE,"",VLOOKUP(D626,Krav!$C:$F,4,FALSE))</f>
        <v>10.b.2 - Der angives et "NEJ" i i populationen under ”vil RIM beregne en tidligst mulig forældelsesdato?"</v>
      </c>
      <c r="F626" s="53" t="s">
        <v>221</v>
      </c>
      <c r="G626" s="19" t="s">
        <v>353</v>
      </c>
      <c r="H626" s="25" t="s">
        <v>1352</v>
      </c>
      <c r="I626" s="67" t="s">
        <v>241</v>
      </c>
      <c r="J626" s="67" t="s">
        <v>222</v>
      </c>
      <c r="K626" s="125" t="s">
        <v>222</v>
      </c>
      <c r="L626" s="20" t="s">
        <v>3</v>
      </c>
      <c r="M626" s="61" t="s">
        <v>131</v>
      </c>
      <c r="N626" s="61" t="s">
        <v>131</v>
      </c>
      <c r="O626" s="61" t="s">
        <v>131</v>
      </c>
      <c r="P626" s="61" t="s">
        <v>131</v>
      </c>
      <c r="Q626" s="61" t="s">
        <v>131</v>
      </c>
      <c r="R626" s="124" t="s">
        <v>129</v>
      </c>
      <c r="S626" s="59" t="s">
        <v>295</v>
      </c>
      <c r="T626" s="59" t="s">
        <v>26</v>
      </c>
      <c r="U626" s="59"/>
      <c r="V626" s="59"/>
      <c r="W626" s="59"/>
      <c r="X626" s="59"/>
      <c r="Y626" s="59" t="s">
        <v>5</v>
      </c>
      <c r="Z626" s="59"/>
      <c r="AA626" s="59"/>
      <c r="AB626" s="57"/>
    </row>
    <row r="627" spans="1:28" s="1" customFormat="1" ht="33" customHeight="1" x14ac:dyDescent="0.3">
      <c r="A627" s="16">
        <v>14</v>
      </c>
      <c r="B627" s="23">
        <v>186</v>
      </c>
      <c r="C627" s="27" t="str">
        <f t="shared" si="18"/>
        <v>14.186</v>
      </c>
      <c r="D627" s="27" t="s">
        <v>590</v>
      </c>
      <c r="E627" s="64" t="str">
        <f>IF(ISBLANK(D627)=TRUE,"",VLOOKUP(D627,Krav!$C:$F,4,FALSE))</f>
        <v>10.b.3 - Gruppe 1 deaktiveres</v>
      </c>
      <c r="F627" s="53" t="s">
        <v>227</v>
      </c>
      <c r="G627" s="53" t="s">
        <v>342</v>
      </c>
      <c r="H627" s="25" t="s">
        <v>591</v>
      </c>
      <c r="I627" s="67" t="s">
        <v>241</v>
      </c>
      <c r="J627" s="67" t="s">
        <v>222</v>
      </c>
      <c r="K627" s="125" t="s">
        <v>222</v>
      </c>
      <c r="L627" s="20" t="s">
        <v>3</v>
      </c>
      <c r="M627" s="61" t="s">
        <v>131</v>
      </c>
      <c r="N627" s="61" t="s">
        <v>131</v>
      </c>
      <c r="O627" s="61" t="s">
        <v>131</v>
      </c>
      <c r="P627" s="61" t="s">
        <v>131</v>
      </c>
      <c r="Q627" s="61" t="s">
        <v>131</v>
      </c>
      <c r="R627" s="124" t="s">
        <v>129</v>
      </c>
      <c r="S627" s="59" t="s">
        <v>295</v>
      </c>
      <c r="T627" s="59" t="s">
        <v>26</v>
      </c>
      <c r="U627" s="59"/>
      <c r="V627" s="59"/>
      <c r="W627" s="59" t="s">
        <v>412</v>
      </c>
      <c r="X627" s="59"/>
      <c r="Y627" s="59" t="s">
        <v>5</v>
      </c>
      <c r="Z627" s="59"/>
      <c r="AA627" s="59"/>
      <c r="AB627" s="57"/>
    </row>
    <row r="628" spans="1:28" s="1" customFormat="1" ht="33" customHeight="1" x14ac:dyDescent="0.3">
      <c r="A628" s="16">
        <v>14</v>
      </c>
      <c r="B628" s="23">
        <v>187</v>
      </c>
      <c r="C628" s="27" t="str">
        <f t="shared" si="18"/>
        <v>14.187</v>
      </c>
      <c r="D628" s="18" t="s">
        <v>877</v>
      </c>
      <c r="E628" s="64" t="str">
        <f>IF(ISBLANK(D628)=TRUE,"",VLOOKUP(D628,Krav!$C:$F,4,FALSE))</f>
        <v>10.a.1.1.1.31 - Hvis forfaldsdato ikke er valgt: Regel R0047 deaktiveres</v>
      </c>
      <c r="F628" s="53" t="s">
        <v>226</v>
      </c>
      <c r="G628" s="53" t="s">
        <v>308</v>
      </c>
      <c r="H628" s="25" t="s">
        <v>1322</v>
      </c>
      <c r="I628" s="65" t="s">
        <v>241</v>
      </c>
      <c r="J628" s="67" t="s">
        <v>222</v>
      </c>
      <c r="K628" s="123" t="s">
        <v>222</v>
      </c>
      <c r="L628" s="20" t="s">
        <v>3</v>
      </c>
      <c r="M628" s="61" t="s">
        <v>131</v>
      </c>
      <c r="N628" s="61" t="s">
        <v>131</v>
      </c>
      <c r="O628" s="61" t="s">
        <v>131</v>
      </c>
      <c r="P628" s="61" t="s">
        <v>131</v>
      </c>
      <c r="Q628" s="61" t="s">
        <v>131</v>
      </c>
      <c r="R628" s="124" t="s">
        <v>129</v>
      </c>
      <c r="S628" s="59" t="s">
        <v>295</v>
      </c>
      <c r="T628" s="59" t="s">
        <v>26</v>
      </c>
      <c r="U628" s="59"/>
      <c r="V628" s="59"/>
      <c r="W628" s="59"/>
      <c r="X628" s="59" t="s">
        <v>1288</v>
      </c>
      <c r="Y628" s="59" t="s">
        <v>5</v>
      </c>
      <c r="Z628" s="59"/>
      <c r="AA628" s="59"/>
      <c r="AB628" s="57"/>
    </row>
    <row r="629" spans="1:28" s="1" customFormat="1" ht="33" customHeight="1" x14ac:dyDescent="0.3">
      <c r="A629" s="16">
        <v>14</v>
      </c>
      <c r="B629" s="23">
        <v>188</v>
      </c>
      <c r="C629" s="27" t="str">
        <f t="shared" si="18"/>
        <v>14.188</v>
      </c>
      <c r="D629" s="18" t="s">
        <v>879</v>
      </c>
      <c r="E629" s="64" t="str">
        <f>IF(ISBLANK(D629)=TRUE,"",VLOOKUP(D629,Krav!$C:$F,4,FALSE))</f>
        <v>10.a.1.1.1.32 - Hvis forfaldsdato ikke er valgt: Regel R0048 deaktiveres</v>
      </c>
      <c r="F629" s="53" t="s">
        <v>226</v>
      </c>
      <c r="G629" s="53" t="s">
        <v>308</v>
      </c>
      <c r="H629" s="25" t="s">
        <v>1322</v>
      </c>
      <c r="I629" s="65" t="s">
        <v>241</v>
      </c>
      <c r="J629" s="67" t="s">
        <v>222</v>
      </c>
      <c r="K629" s="123" t="s">
        <v>222</v>
      </c>
      <c r="L629" s="20" t="s">
        <v>3</v>
      </c>
      <c r="M629" s="61" t="s">
        <v>131</v>
      </c>
      <c r="N629" s="61" t="s">
        <v>131</v>
      </c>
      <c r="O629" s="61" t="s">
        <v>131</v>
      </c>
      <c r="P629" s="61" t="s">
        <v>131</v>
      </c>
      <c r="Q629" s="61" t="s">
        <v>131</v>
      </c>
      <c r="R629" s="124" t="s">
        <v>129</v>
      </c>
      <c r="S629" s="59" t="s">
        <v>295</v>
      </c>
      <c r="T629" s="59" t="s">
        <v>26</v>
      </c>
      <c r="U629" s="59"/>
      <c r="V629" s="59"/>
      <c r="W629" s="59"/>
      <c r="X629" s="59" t="s">
        <v>1289</v>
      </c>
      <c r="Y629" s="59" t="s">
        <v>5</v>
      </c>
      <c r="Z629" s="59"/>
      <c r="AA629" s="59"/>
      <c r="AB629" s="57"/>
    </row>
    <row r="630" spans="1:28" s="1" customFormat="1" ht="33" customHeight="1" x14ac:dyDescent="0.3">
      <c r="A630" s="16">
        <v>14</v>
      </c>
      <c r="B630" s="23">
        <v>189</v>
      </c>
      <c r="C630" s="27" t="str">
        <f t="shared" si="18"/>
        <v>14.189</v>
      </c>
      <c r="D630" s="18" t="s">
        <v>881</v>
      </c>
      <c r="E630" s="64" t="str">
        <f>IF(ISBLANK(D630)=TRUE,"",VLOOKUP(D630,Krav!$C:$F,4,FALSE))</f>
        <v>10.a.1.1.1.33 - Hvis forfaldsdato ikke er valgt: Regel R0049 deaktiveres</v>
      </c>
      <c r="F630" s="53" t="s">
        <v>226</v>
      </c>
      <c r="G630" s="53" t="s">
        <v>308</v>
      </c>
      <c r="H630" s="25" t="s">
        <v>1322</v>
      </c>
      <c r="I630" s="65" t="s">
        <v>241</v>
      </c>
      <c r="J630" s="67" t="s">
        <v>222</v>
      </c>
      <c r="K630" s="123" t="s">
        <v>222</v>
      </c>
      <c r="L630" s="20" t="s">
        <v>3</v>
      </c>
      <c r="M630" s="61" t="s">
        <v>131</v>
      </c>
      <c r="N630" s="61" t="s">
        <v>131</v>
      </c>
      <c r="O630" s="61" t="s">
        <v>131</v>
      </c>
      <c r="P630" s="61" t="s">
        <v>131</v>
      </c>
      <c r="Q630" s="61" t="s">
        <v>131</v>
      </c>
      <c r="R630" s="124" t="s">
        <v>129</v>
      </c>
      <c r="S630" s="59" t="s">
        <v>295</v>
      </c>
      <c r="T630" s="59" t="s">
        <v>26</v>
      </c>
      <c r="U630" s="59"/>
      <c r="V630" s="59"/>
      <c r="W630" s="59"/>
      <c r="X630" s="59" t="s">
        <v>1290</v>
      </c>
      <c r="Y630" s="59" t="s">
        <v>5</v>
      </c>
      <c r="Z630" s="59"/>
      <c r="AA630" s="59"/>
      <c r="AB630" s="57"/>
    </row>
    <row r="631" spans="1:28" s="1" customFormat="1" ht="33" customHeight="1" x14ac:dyDescent="0.3">
      <c r="A631" s="16">
        <v>14</v>
      </c>
      <c r="B631" s="23">
        <v>190</v>
      </c>
      <c r="C631" s="27" t="str">
        <f t="shared" si="18"/>
        <v>14.190</v>
      </c>
      <c r="D631" s="18" t="s">
        <v>883</v>
      </c>
      <c r="E631" s="64" t="str">
        <f>IF(ISBLANK(D631)=TRUE,"",VLOOKUP(D631,Krav!$C:$F,4,FALSE))</f>
        <v>10.a.1.1.1.34 - Hvis forfaldsdato ikke er valgt: Regel R0050 deaktiveres</v>
      </c>
      <c r="F631" s="53" t="s">
        <v>226</v>
      </c>
      <c r="G631" s="53" t="s">
        <v>308</v>
      </c>
      <c r="H631" s="25" t="s">
        <v>1322</v>
      </c>
      <c r="I631" s="65" t="s">
        <v>241</v>
      </c>
      <c r="J631" s="67" t="s">
        <v>222</v>
      </c>
      <c r="K631" s="123" t="s">
        <v>222</v>
      </c>
      <c r="L631" s="20" t="s">
        <v>3</v>
      </c>
      <c r="M631" s="61" t="s">
        <v>131</v>
      </c>
      <c r="N631" s="61" t="s">
        <v>131</v>
      </c>
      <c r="O631" s="61" t="s">
        <v>131</v>
      </c>
      <c r="P631" s="61" t="s">
        <v>131</v>
      </c>
      <c r="Q631" s="61" t="s">
        <v>131</v>
      </c>
      <c r="R631" s="124" t="s">
        <v>129</v>
      </c>
      <c r="S631" s="59" t="s">
        <v>295</v>
      </c>
      <c r="T631" s="59" t="s">
        <v>26</v>
      </c>
      <c r="U631" s="59"/>
      <c r="V631" s="59"/>
      <c r="W631" s="59"/>
      <c r="X631" s="59" t="s">
        <v>1291</v>
      </c>
      <c r="Y631" s="59" t="s">
        <v>5</v>
      </c>
      <c r="Z631" s="59"/>
      <c r="AA631" s="59"/>
      <c r="AB631" s="57"/>
    </row>
    <row r="632" spans="1:28" s="1" customFormat="1" ht="33" customHeight="1" x14ac:dyDescent="0.3">
      <c r="A632" s="16">
        <v>14</v>
      </c>
      <c r="B632" s="23">
        <v>191</v>
      </c>
      <c r="C632" s="27" t="str">
        <f t="shared" si="18"/>
        <v>14.191</v>
      </c>
      <c r="D632" s="18" t="s">
        <v>917</v>
      </c>
      <c r="E632" s="64" t="str">
        <f>IF(ISBLANK(D632)=TRUE,"",VLOOKUP(D632,Krav!$C:$F,4,FALSE))</f>
        <v>10.a.1.1.1.51 - Hvis ForfaldsDato ikke er valgt: Regel R0067 deaktiveres</v>
      </c>
      <c r="F632" s="53" t="s">
        <v>226</v>
      </c>
      <c r="G632" s="53" t="s">
        <v>308</v>
      </c>
      <c r="H632" s="25" t="s">
        <v>1322</v>
      </c>
      <c r="I632" s="65" t="s">
        <v>241</v>
      </c>
      <c r="J632" s="67" t="s">
        <v>222</v>
      </c>
      <c r="K632" s="123" t="s">
        <v>222</v>
      </c>
      <c r="L632" s="20" t="s">
        <v>3</v>
      </c>
      <c r="M632" s="61" t="s">
        <v>131</v>
      </c>
      <c r="N632" s="61" t="s">
        <v>131</v>
      </c>
      <c r="O632" s="61" t="s">
        <v>131</v>
      </c>
      <c r="P632" s="61" t="s">
        <v>131</v>
      </c>
      <c r="Q632" s="61" t="s">
        <v>131</v>
      </c>
      <c r="R632" s="124" t="s">
        <v>129</v>
      </c>
      <c r="S632" s="59" t="s">
        <v>295</v>
      </c>
      <c r="T632" s="59" t="s">
        <v>26</v>
      </c>
      <c r="U632" s="59"/>
      <c r="V632" s="59"/>
      <c r="W632" s="59"/>
      <c r="X632" s="59" t="s">
        <v>1292</v>
      </c>
      <c r="Y632" s="59" t="s">
        <v>5</v>
      </c>
      <c r="Z632" s="59"/>
      <c r="AA632" s="59"/>
      <c r="AB632" s="57"/>
    </row>
    <row r="633" spans="1:28" s="1" customFormat="1" ht="33" customHeight="1" x14ac:dyDescent="0.3">
      <c r="A633" s="16">
        <v>14</v>
      </c>
      <c r="B633" s="23">
        <v>192</v>
      </c>
      <c r="C633" s="27" t="str">
        <f t="shared" si="18"/>
        <v>14.192</v>
      </c>
      <c r="D633" s="18" t="s">
        <v>909</v>
      </c>
      <c r="E633" s="64" t="str">
        <f>IF(ISBLANK(D633)=TRUE,"",VLOOKUP(D633,Krav!$C:$F,4,FALSE))</f>
        <v>10.a.1.1.1.47 - Hvis SRBDato ikke er valgt: Regel R0063 deaktiveres</v>
      </c>
      <c r="F633" s="53" t="s">
        <v>226</v>
      </c>
      <c r="G633" s="53" t="s">
        <v>308</v>
      </c>
      <c r="H633" s="25" t="s">
        <v>1321</v>
      </c>
      <c r="I633" s="65" t="s">
        <v>241</v>
      </c>
      <c r="J633" s="67" t="s">
        <v>222</v>
      </c>
      <c r="K633" s="123" t="s">
        <v>222</v>
      </c>
      <c r="L633" s="20" t="s">
        <v>3</v>
      </c>
      <c r="M633" s="61" t="s">
        <v>131</v>
      </c>
      <c r="N633" s="61" t="s">
        <v>131</v>
      </c>
      <c r="O633" s="61" t="s">
        <v>131</v>
      </c>
      <c r="P633" s="61" t="s">
        <v>131</v>
      </c>
      <c r="Q633" s="61" t="s">
        <v>131</v>
      </c>
      <c r="R633" s="124" t="s">
        <v>129</v>
      </c>
      <c r="S633" s="59" t="s">
        <v>295</v>
      </c>
      <c r="T633" s="59" t="s">
        <v>26</v>
      </c>
      <c r="U633" s="59"/>
      <c r="V633" s="59"/>
      <c r="W633" s="59"/>
      <c r="X633" s="59" t="s">
        <v>1294</v>
      </c>
      <c r="Y633" s="59" t="s">
        <v>5</v>
      </c>
      <c r="Z633" s="59"/>
      <c r="AA633" s="59"/>
      <c r="AB633" s="57"/>
    </row>
    <row r="634" spans="1:28" s="1" customFormat="1" ht="33" customHeight="1" x14ac:dyDescent="0.3">
      <c r="A634" s="16">
        <v>14</v>
      </c>
      <c r="B634" s="23">
        <v>193</v>
      </c>
      <c r="C634" s="27" t="str">
        <f t="shared" si="18"/>
        <v>14.193</v>
      </c>
      <c r="D634" s="18" t="s">
        <v>911</v>
      </c>
      <c r="E634" s="64" t="str">
        <f>IF(ISBLANK(D634)=TRUE,"",VLOOKUP(D634,Krav!$C:$F,4,FALSE))</f>
        <v>10.a.1.1.1.48 - Hvis SRBDato ikke er valgt: Regel R0064 deaktiveres</v>
      </c>
      <c r="F634" s="53" t="s">
        <v>226</v>
      </c>
      <c r="G634" s="53" t="s">
        <v>308</v>
      </c>
      <c r="H634" s="25" t="s">
        <v>1321</v>
      </c>
      <c r="I634" s="65" t="s">
        <v>241</v>
      </c>
      <c r="J634" s="67" t="s">
        <v>222</v>
      </c>
      <c r="K634" s="123" t="s">
        <v>222</v>
      </c>
      <c r="L634" s="20" t="s">
        <v>3</v>
      </c>
      <c r="M634" s="61" t="s">
        <v>131</v>
      </c>
      <c r="N634" s="61" t="s">
        <v>131</v>
      </c>
      <c r="O634" s="61" t="s">
        <v>131</v>
      </c>
      <c r="P634" s="61" t="s">
        <v>131</v>
      </c>
      <c r="Q634" s="61" t="s">
        <v>131</v>
      </c>
      <c r="R634" s="124" t="s">
        <v>129</v>
      </c>
      <c r="S634" s="59" t="s">
        <v>295</v>
      </c>
      <c r="T634" s="59" t="s">
        <v>26</v>
      </c>
      <c r="U634" s="59"/>
      <c r="V634" s="59"/>
      <c r="W634" s="59"/>
      <c r="X634" s="59" t="s">
        <v>1295</v>
      </c>
      <c r="Y634" s="59" t="s">
        <v>5</v>
      </c>
      <c r="Z634" s="59"/>
      <c r="AA634" s="59"/>
      <c r="AB634" s="57"/>
    </row>
    <row r="635" spans="1:28" s="1" customFormat="1" ht="33" customHeight="1" x14ac:dyDescent="0.3">
      <c r="A635" s="16">
        <v>14</v>
      </c>
      <c r="B635" s="23">
        <v>194</v>
      </c>
      <c r="C635" s="27" t="str">
        <f t="shared" si="18"/>
        <v>14.194</v>
      </c>
      <c r="D635" s="18" t="s">
        <v>913</v>
      </c>
      <c r="E635" s="64" t="str">
        <f>IF(ISBLANK(D635)=TRUE,"",VLOOKUP(D635,Krav!$C:$F,4,FALSE))</f>
        <v>10.a.1.1.1.49 - Hvis SRBDato ikke er valgt: Regel R0065 deaktiveres</v>
      </c>
      <c r="F635" s="53" t="s">
        <v>226</v>
      </c>
      <c r="G635" s="53" t="s">
        <v>308</v>
      </c>
      <c r="H635" s="25" t="s">
        <v>1321</v>
      </c>
      <c r="I635" s="65" t="s">
        <v>241</v>
      </c>
      <c r="J635" s="67" t="s">
        <v>222</v>
      </c>
      <c r="K635" s="123" t="s">
        <v>222</v>
      </c>
      <c r="L635" s="20" t="s">
        <v>3</v>
      </c>
      <c r="M635" s="61" t="s">
        <v>131</v>
      </c>
      <c r="N635" s="61" t="s">
        <v>131</v>
      </c>
      <c r="O635" s="61" t="s">
        <v>131</v>
      </c>
      <c r="P635" s="61" t="s">
        <v>131</v>
      </c>
      <c r="Q635" s="61" t="s">
        <v>131</v>
      </c>
      <c r="R635" s="124" t="s">
        <v>129</v>
      </c>
      <c r="S635" s="59" t="s">
        <v>295</v>
      </c>
      <c r="T635" s="59" t="s">
        <v>26</v>
      </c>
      <c r="U635" s="59"/>
      <c r="V635" s="59"/>
      <c r="W635" s="59"/>
      <c r="X635" s="59" t="s">
        <v>1296</v>
      </c>
      <c r="Y635" s="59" t="s">
        <v>5</v>
      </c>
      <c r="Z635" s="59"/>
      <c r="AA635" s="59"/>
      <c r="AB635" s="57"/>
    </row>
    <row r="636" spans="1:28" s="1" customFormat="1" ht="33" customHeight="1" x14ac:dyDescent="0.3">
      <c r="A636" s="16">
        <v>14</v>
      </c>
      <c r="B636" s="23">
        <v>195</v>
      </c>
      <c r="C636" s="27" t="str">
        <f t="shared" si="18"/>
        <v>14.195</v>
      </c>
      <c r="D636" s="18" t="s">
        <v>915</v>
      </c>
      <c r="E636" s="64" t="str">
        <f>IF(ISBLANK(D636)=TRUE,"",VLOOKUP(D636,Krav!$C:$F,4,FALSE))</f>
        <v>10.a.1.1.1.50 - Hvis SRBDato ikke er valgt: Regel R0066 deaktiveres</v>
      </c>
      <c r="F636" s="53" t="s">
        <v>226</v>
      </c>
      <c r="G636" s="53" t="s">
        <v>308</v>
      </c>
      <c r="H636" s="25" t="s">
        <v>1321</v>
      </c>
      <c r="I636" s="65" t="s">
        <v>241</v>
      </c>
      <c r="J636" s="67" t="s">
        <v>222</v>
      </c>
      <c r="K636" s="123" t="s">
        <v>222</v>
      </c>
      <c r="L636" s="20" t="s">
        <v>3</v>
      </c>
      <c r="M636" s="61" t="s">
        <v>131</v>
      </c>
      <c r="N636" s="61" t="s">
        <v>131</v>
      </c>
      <c r="O636" s="61" t="s">
        <v>131</v>
      </c>
      <c r="P636" s="61" t="s">
        <v>131</v>
      </c>
      <c r="Q636" s="61" t="s">
        <v>131</v>
      </c>
      <c r="R636" s="124" t="s">
        <v>129</v>
      </c>
      <c r="S636" s="59" t="s">
        <v>295</v>
      </c>
      <c r="T636" s="59" t="s">
        <v>26</v>
      </c>
      <c r="U636" s="59"/>
      <c r="V636" s="59"/>
      <c r="W636" s="59"/>
      <c r="X636" s="59" t="s">
        <v>1297</v>
      </c>
      <c r="Y636" s="59" t="s">
        <v>5</v>
      </c>
      <c r="Z636" s="59"/>
      <c r="AA636" s="59"/>
      <c r="AB636" s="57"/>
    </row>
    <row r="637" spans="1:28" s="1" customFormat="1" ht="33" customHeight="1" x14ac:dyDescent="0.3">
      <c r="A637" s="16">
        <v>14</v>
      </c>
      <c r="B637" s="23">
        <v>196</v>
      </c>
      <c r="C637" s="27" t="str">
        <f t="shared" si="18"/>
        <v>14.196</v>
      </c>
      <c r="D637" s="18" t="s">
        <v>925</v>
      </c>
      <c r="E637" s="64" t="str">
        <f>IF(ISBLANK(D637)=TRUE,"",VLOOKUP(D637,Krav!$C:$F,4,FALSE))</f>
        <v>10.a.1.1.1.55 - Hvis SRBDato ikke er valgt: Regel R0071 deaktiveres</v>
      </c>
      <c r="F637" s="53" t="s">
        <v>226</v>
      </c>
      <c r="G637" s="53" t="s">
        <v>308</v>
      </c>
      <c r="H637" s="25" t="s">
        <v>1321</v>
      </c>
      <c r="I637" s="65" t="s">
        <v>241</v>
      </c>
      <c r="J637" s="67" t="s">
        <v>222</v>
      </c>
      <c r="K637" s="123" t="s">
        <v>222</v>
      </c>
      <c r="L637" s="20" t="s">
        <v>3</v>
      </c>
      <c r="M637" s="61" t="s">
        <v>131</v>
      </c>
      <c r="N637" s="61" t="s">
        <v>131</v>
      </c>
      <c r="O637" s="61" t="s">
        <v>131</v>
      </c>
      <c r="P637" s="61" t="s">
        <v>131</v>
      </c>
      <c r="Q637" s="61" t="s">
        <v>131</v>
      </c>
      <c r="R637" s="124" t="s">
        <v>129</v>
      </c>
      <c r="S637" s="59" t="s">
        <v>295</v>
      </c>
      <c r="T637" s="59" t="s">
        <v>26</v>
      </c>
      <c r="U637" s="59"/>
      <c r="V637" s="59"/>
      <c r="W637" s="59"/>
      <c r="X637" s="59" t="s">
        <v>1298</v>
      </c>
      <c r="Y637" s="59" t="s">
        <v>5</v>
      </c>
      <c r="Z637" s="59"/>
      <c r="AA637" s="59"/>
      <c r="AB637" s="57"/>
    </row>
    <row r="638" spans="1:28" s="1" customFormat="1" ht="33" customHeight="1" x14ac:dyDescent="0.3">
      <c r="A638" s="16">
        <v>14</v>
      </c>
      <c r="B638" s="23">
        <v>197</v>
      </c>
      <c r="C638" s="27" t="str">
        <f t="shared" si="18"/>
        <v>14.197</v>
      </c>
      <c r="D638" s="18" t="s">
        <v>885</v>
      </c>
      <c r="E638" s="64" t="str">
        <f>IF(ISBLANK(D638)=TRUE,"",VLOOKUP(D638,Krav!$C:$F,4,FALSE))</f>
        <v>10.a.1.1.1.35 - Hvis stiftelsesdato ikke er valgt: Regel R0051 deaktiveres</v>
      </c>
      <c r="F638" s="53" t="s">
        <v>226</v>
      </c>
      <c r="G638" s="53" t="s">
        <v>308</v>
      </c>
      <c r="H638" s="25" t="s">
        <v>1320</v>
      </c>
      <c r="I638" s="65" t="s">
        <v>241</v>
      </c>
      <c r="J638" s="67" t="s">
        <v>222</v>
      </c>
      <c r="K638" s="123" t="s">
        <v>222</v>
      </c>
      <c r="L638" s="20" t="s">
        <v>3</v>
      </c>
      <c r="M638" s="61" t="s">
        <v>131</v>
      </c>
      <c r="N638" s="61" t="s">
        <v>131</v>
      </c>
      <c r="O638" s="61" t="s">
        <v>131</v>
      </c>
      <c r="P638" s="61" t="s">
        <v>131</v>
      </c>
      <c r="Q638" s="61" t="s">
        <v>131</v>
      </c>
      <c r="R638" s="124" t="s">
        <v>129</v>
      </c>
      <c r="S638" s="59" t="s">
        <v>295</v>
      </c>
      <c r="T638" s="59" t="s">
        <v>26</v>
      </c>
      <c r="U638" s="59"/>
      <c r="V638" s="59"/>
      <c r="W638" s="59"/>
      <c r="X638" s="59" t="s">
        <v>1299</v>
      </c>
      <c r="Y638" s="59" t="s">
        <v>5</v>
      </c>
      <c r="Z638" s="59"/>
      <c r="AA638" s="59"/>
      <c r="AB638" s="57"/>
    </row>
    <row r="639" spans="1:28" s="1" customFormat="1" ht="33" customHeight="1" x14ac:dyDescent="0.3">
      <c r="A639" s="16">
        <v>14</v>
      </c>
      <c r="B639" s="23">
        <v>198</v>
      </c>
      <c r="C639" s="27" t="str">
        <f t="shared" si="18"/>
        <v>14.198</v>
      </c>
      <c r="D639" s="18" t="s">
        <v>887</v>
      </c>
      <c r="E639" s="64" t="str">
        <f>IF(ISBLANK(D639)=TRUE,"",VLOOKUP(D639,Krav!$C:$F,4,FALSE))</f>
        <v>10.a.1.1.1.36 - Hvis stiftelsesdato ikke er valgt: Regel R0052 deaktiveres</v>
      </c>
      <c r="F639" s="53" t="s">
        <v>226</v>
      </c>
      <c r="G639" s="53" t="s">
        <v>308</v>
      </c>
      <c r="H639" s="25" t="s">
        <v>1320</v>
      </c>
      <c r="I639" s="65" t="s">
        <v>241</v>
      </c>
      <c r="J639" s="67" t="s">
        <v>222</v>
      </c>
      <c r="K639" s="123" t="s">
        <v>222</v>
      </c>
      <c r="L639" s="20" t="s">
        <v>3</v>
      </c>
      <c r="M639" s="61" t="s">
        <v>131</v>
      </c>
      <c r="N639" s="61" t="s">
        <v>131</v>
      </c>
      <c r="O639" s="61" t="s">
        <v>131</v>
      </c>
      <c r="P639" s="61" t="s">
        <v>131</v>
      </c>
      <c r="Q639" s="61" t="s">
        <v>131</v>
      </c>
      <c r="R639" s="124" t="s">
        <v>129</v>
      </c>
      <c r="S639" s="59" t="s">
        <v>295</v>
      </c>
      <c r="T639" s="59" t="s">
        <v>26</v>
      </c>
      <c r="U639" s="59"/>
      <c r="V639" s="59"/>
      <c r="W639" s="59"/>
      <c r="X639" s="59" t="s">
        <v>1300</v>
      </c>
      <c r="Y639" s="59" t="s">
        <v>5</v>
      </c>
      <c r="Z639" s="59"/>
      <c r="AA639" s="59"/>
      <c r="AB639" s="57"/>
    </row>
    <row r="640" spans="1:28" s="1" customFormat="1" ht="33" customHeight="1" x14ac:dyDescent="0.3">
      <c r="A640" s="16">
        <v>14</v>
      </c>
      <c r="B640" s="23">
        <v>199</v>
      </c>
      <c r="C640" s="27" t="str">
        <f t="shared" si="18"/>
        <v>14.199</v>
      </c>
      <c r="D640" s="18" t="s">
        <v>889</v>
      </c>
      <c r="E640" s="64" t="str">
        <f>IF(ISBLANK(D640)=TRUE,"",VLOOKUP(D640,Krav!$C:$F,4,FALSE))</f>
        <v>10.a.1.1.1.37 - Hvis stiftelsesdato ikke er valgt: Regel R0053 deaktiveres</v>
      </c>
      <c r="F640" s="53" t="s">
        <v>226</v>
      </c>
      <c r="G640" s="53" t="s">
        <v>308</v>
      </c>
      <c r="H640" s="25" t="s">
        <v>1320</v>
      </c>
      <c r="I640" s="65" t="s">
        <v>241</v>
      </c>
      <c r="J640" s="67" t="s">
        <v>222</v>
      </c>
      <c r="K640" s="123" t="s">
        <v>222</v>
      </c>
      <c r="L640" s="20" t="s">
        <v>3</v>
      </c>
      <c r="M640" s="61" t="s">
        <v>131</v>
      </c>
      <c r="N640" s="61" t="s">
        <v>131</v>
      </c>
      <c r="O640" s="61" t="s">
        <v>131</v>
      </c>
      <c r="P640" s="61" t="s">
        <v>131</v>
      </c>
      <c r="Q640" s="61" t="s">
        <v>131</v>
      </c>
      <c r="R640" s="124" t="s">
        <v>129</v>
      </c>
      <c r="S640" s="59" t="s">
        <v>295</v>
      </c>
      <c r="T640" s="59" t="s">
        <v>26</v>
      </c>
      <c r="U640" s="59"/>
      <c r="V640" s="59"/>
      <c r="W640" s="59"/>
      <c r="X640" s="59" t="s">
        <v>1301</v>
      </c>
      <c r="Y640" s="59" t="s">
        <v>5</v>
      </c>
      <c r="Z640" s="59"/>
      <c r="AA640" s="59"/>
      <c r="AB640" s="57"/>
    </row>
    <row r="641" spans="1:28" s="1" customFormat="1" ht="33" customHeight="1" x14ac:dyDescent="0.3">
      <c r="A641" s="16">
        <v>14</v>
      </c>
      <c r="B641" s="23">
        <v>200</v>
      </c>
      <c r="C641" s="27" t="str">
        <f t="shared" si="18"/>
        <v>14.200</v>
      </c>
      <c r="D641" s="18" t="s">
        <v>891</v>
      </c>
      <c r="E641" s="64" t="str">
        <f>IF(ISBLANK(D641)=TRUE,"",VLOOKUP(D641,Krav!$C:$F,4,FALSE))</f>
        <v>10.a.1.1.1.38 - Hvis stiftelsesdato ikke er valgt: Regel R0054 deaktiveres</v>
      </c>
      <c r="F641" s="53" t="s">
        <v>226</v>
      </c>
      <c r="G641" s="53" t="s">
        <v>308</v>
      </c>
      <c r="H641" s="25" t="s">
        <v>1320</v>
      </c>
      <c r="I641" s="65" t="s">
        <v>241</v>
      </c>
      <c r="J641" s="67" t="s">
        <v>222</v>
      </c>
      <c r="K641" s="123" t="s">
        <v>222</v>
      </c>
      <c r="L641" s="20" t="s">
        <v>3</v>
      </c>
      <c r="M641" s="61" t="s">
        <v>131</v>
      </c>
      <c r="N641" s="61" t="s">
        <v>131</v>
      </c>
      <c r="O641" s="61" t="s">
        <v>131</v>
      </c>
      <c r="P641" s="61" t="s">
        <v>131</v>
      </c>
      <c r="Q641" s="61" t="s">
        <v>131</v>
      </c>
      <c r="R641" s="124" t="s">
        <v>129</v>
      </c>
      <c r="S641" s="59" t="s">
        <v>295</v>
      </c>
      <c r="T641" s="59" t="s">
        <v>26</v>
      </c>
      <c r="U641" s="59"/>
      <c r="V641" s="59"/>
      <c r="W641" s="59"/>
      <c r="X641" s="59" t="s">
        <v>1302</v>
      </c>
      <c r="Y641" s="59" t="s">
        <v>5</v>
      </c>
      <c r="Z641" s="59"/>
      <c r="AA641" s="59"/>
      <c r="AB641" s="57"/>
    </row>
    <row r="642" spans="1:28" s="1" customFormat="1" ht="33" customHeight="1" x14ac:dyDescent="0.3">
      <c r="A642" s="16">
        <v>14</v>
      </c>
      <c r="B642" s="23">
        <v>201</v>
      </c>
      <c r="C642" s="27" t="str">
        <f t="shared" si="18"/>
        <v>14.201</v>
      </c>
      <c r="D642" s="18" t="s">
        <v>919</v>
      </c>
      <c r="E642" s="64" t="str">
        <f>IF(ISBLANK(D642)=TRUE,"",VLOOKUP(D642,Krav!$C:$F,4,FALSE))</f>
        <v>10.a.1.1.1.52 - Hvis StiftelsesDato ikke er valgt: Regel R0068 deaktiveres</v>
      </c>
      <c r="F642" s="53" t="s">
        <v>226</v>
      </c>
      <c r="G642" s="53" t="s">
        <v>308</v>
      </c>
      <c r="H642" s="25" t="s">
        <v>1320</v>
      </c>
      <c r="I642" s="65" t="s">
        <v>241</v>
      </c>
      <c r="J642" s="67" t="s">
        <v>222</v>
      </c>
      <c r="K642" s="123" t="s">
        <v>222</v>
      </c>
      <c r="L642" s="20" t="s">
        <v>3</v>
      </c>
      <c r="M642" s="61" t="s">
        <v>131</v>
      </c>
      <c r="N642" s="61" t="s">
        <v>131</v>
      </c>
      <c r="O642" s="61" t="s">
        <v>131</v>
      </c>
      <c r="P642" s="61" t="s">
        <v>131</v>
      </c>
      <c r="Q642" s="61" t="s">
        <v>131</v>
      </c>
      <c r="R642" s="124" t="s">
        <v>129</v>
      </c>
      <c r="S642" s="59" t="s">
        <v>295</v>
      </c>
      <c r="T642" s="59" t="s">
        <v>26</v>
      </c>
      <c r="U642" s="59"/>
      <c r="V642" s="59"/>
      <c r="W642" s="59"/>
      <c r="X642" s="59" t="s">
        <v>1303</v>
      </c>
      <c r="Y642" s="59" t="s">
        <v>5</v>
      </c>
      <c r="Z642" s="59"/>
      <c r="AA642" s="59"/>
      <c r="AB642" s="57"/>
    </row>
    <row r="643" spans="1:28" s="1" customFormat="1" ht="33" customHeight="1" x14ac:dyDescent="0.3">
      <c r="A643" s="16">
        <v>14</v>
      </c>
      <c r="B643" s="23">
        <v>202</v>
      </c>
      <c r="C643" s="27" t="str">
        <f t="shared" si="18"/>
        <v>14.202</v>
      </c>
      <c r="D643" s="18" t="s">
        <v>893</v>
      </c>
      <c r="E643" s="64" t="str">
        <f>IF(ISBLANK(D643)=TRUE,"",VLOOKUP(D643,Krav!$C:$F,4,FALSE))</f>
        <v>10.a.1.1.1.39 - Hvis FordringsStartDato ikke er valgt: Regel R0055 deaktiveres</v>
      </c>
      <c r="F643" s="53" t="s">
        <v>226</v>
      </c>
      <c r="G643" s="53" t="s">
        <v>308</v>
      </c>
      <c r="H643" s="25" t="s">
        <v>1319</v>
      </c>
      <c r="I643" s="65" t="s">
        <v>241</v>
      </c>
      <c r="J643" s="67" t="s">
        <v>222</v>
      </c>
      <c r="K643" s="123" t="s">
        <v>222</v>
      </c>
      <c r="L643" s="20" t="s">
        <v>3</v>
      </c>
      <c r="M643" s="61" t="s">
        <v>131</v>
      </c>
      <c r="N643" s="61" t="s">
        <v>131</v>
      </c>
      <c r="O643" s="61" t="s">
        <v>131</v>
      </c>
      <c r="P643" s="61" t="s">
        <v>131</v>
      </c>
      <c r="Q643" s="61" t="s">
        <v>131</v>
      </c>
      <c r="R643" s="124" t="s">
        <v>129</v>
      </c>
      <c r="S643" s="59" t="s">
        <v>295</v>
      </c>
      <c r="T643" s="59" t="s">
        <v>26</v>
      </c>
      <c r="U643" s="59"/>
      <c r="V643" s="59"/>
      <c r="W643" s="59"/>
      <c r="X643" s="59" t="s">
        <v>1308</v>
      </c>
      <c r="Y643" s="59" t="s">
        <v>5</v>
      </c>
      <c r="Z643" s="59"/>
      <c r="AA643" s="59"/>
      <c r="AB643" s="57"/>
    </row>
    <row r="644" spans="1:28" s="1" customFormat="1" ht="33" customHeight="1" x14ac:dyDescent="0.3">
      <c r="A644" s="16">
        <v>14</v>
      </c>
      <c r="B644" s="23">
        <v>203</v>
      </c>
      <c r="C644" s="27" t="str">
        <f t="shared" si="18"/>
        <v>14.203</v>
      </c>
      <c r="D644" s="18" t="s">
        <v>895</v>
      </c>
      <c r="E644" s="64" t="str">
        <f>IF(ISBLANK(D644)=TRUE,"",VLOOKUP(D644,Krav!$C:$F,4,FALSE))</f>
        <v>10.a.1.1.1.40 - Hvis FordringsStartDato ikke er valgt: Regel R0056 deaktiveres</v>
      </c>
      <c r="F644" s="53" t="s">
        <v>226</v>
      </c>
      <c r="G644" s="53" t="s">
        <v>308</v>
      </c>
      <c r="H644" s="25" t="s">
        <v>1319</v>
      </c>
      <c r="I644" s="65" t="s">
        <v>241</v>
      </c>
      <c r="J644" s="67" t="s">
        <v>222</v>
      </c>
      <c r="K644" s="123" t="s">
        <v>222</v>
      </c>
      <c r="L644" s="20" t="s">
        <v>3</v>
      </c>
      <c r="M644" s="61" t="s">
        <v>131</v>
      </c>
      <c r="N644" s="61" t="s">
        <v>131</v>
      </c>
      <c r="O644" s="61" t="s">
        <v>131</v>
      </c>
      <c r="P644" s="61" t="s">
        <v>131</v>
      </c>
      <c r="Q644" s="61" t="s">
        <v>131</v>
      </c>
      <c r="R644" s="124" t="s">
        <v>129</v>
      </c>
      <c r="S644" s="59" t="s">
        <v>295</v>
      </c>
      <c r="T644" s="59" t="s">
        <v>26</v>
      </c>
      <c r="U644" s="59"/>
      <c r="V644" s="59"/>
      <c r="W644" s="59"/>
      <c r="X644" s="59" t="s">
        <v>1309</v>
      </c>
      <c r="Y644" s="59" t="s">
        <v>5</v>
      </c>
      <c r="Z644" s="59"/>
      <c r="AA644" s="59"/>
      <c r="AB644" s="57"/>
    </row>
    <row r="645" spans="1:28" s="1" customFormat="1" ht="33" customHeight="1" x14ac:dyDescent="0.3">
      <c r="A645" s="16">
        <v>14</v>
      </c>
      <c r="B645" s="23">
        <v>204</v>
      </c>
      <c r="C645" s="27" t="str">
        <f t="shared" si="18"/>
        <v>14.204</v>
      </c>
      <c r="D645" s="18" t="s">
        <v>897</v>
      </c>
      <c r="E645" s="64" t="str">
        <f>IF(ISBLANK(D645)=TRUE,"",VLOOKUP(D645,Krav!$C:$F,4,FALSE))</f>
        <v>10.a.1.1.1.41 - Hvis FordringsStartDato ikke er valgt: Regel R0057 deaktiveres</v>
      </c>
      <c r="F645" s="53" t="s">
        <v>226</v>
      </c>
      <c r="G645" s="53" t="s">
        <v>308</v>
      </c>
      <c r="H645" s="25" t="s">
        <v>1319</v>
      </c>
      <c r="I645" s="65" t="s">
        <v>241</v>
      </c>
      <c r="J645" s="67" t="s">
        <v>222</v>
      </c>
      <c r="K645" s="123" t="s">
        <v>222</v>
      </c>
      <c r="L645" s="20" t="s">
        <v>3</v>
      </c>
      <c r="M645" s="61" t="s">
        <v>131</v>
      </c>
      <c r="N645" s="61" t="s">
        <v>131</v>
      </c>
      <c r="O645" s="61" t="s">
        <v>131</v>
      </c>
      <c r="P645" s="61" t="s">
        <v>131</v>
      </c>
      <c r="Q645" s="61" t="s">
        <v>131</v>
      </c>
      <c r="R645" s="124" t="s">
        <v>129</v>
      </c>
      <c r="S645" s="59" t="s">
        <v>295</v>
      </c>
      <c r="T645" s="59" t="s">
        <v>26</v>
      </c>
      <c r="U645" s="59"/>
      <c r="V645" s="59"/>
      <c r="W645" s="59"/>
      <c r="X645" s="59" t="s">
        <v>1310</v>
      </c>
      <c r="Y645" s="59" t="s">
        <v>5</v>
      </c>
      <c r="Z645" s="59"/>
      <c r="AA645" s="59"/>
      <c r="AB645" s="57"/>
    </row>
    <row r="646" spans="1:28" s="1" customFormat="1" ht="33" customHeight="1" x14ac:dyDescent="0.3">
      <c r="A646" s="16">
        <v>14</v>
      </c>
      <c r="B646" s="23">
        <v>205</v>
      </c>
      <c r="C646" s="27" t="str">
        <f t="shared" si="18"/>
        <v>14.205</v>
      </c>
      <c r="D646" s="18" t="s">
        <v>899</v>
      </c>
      <c r="E646" s="64" t="str">
        <f>IF(ISBLANK(D646)=TRUE,"",VLOOKUP(D646,Krav!$C:$F,4,FALSE))</f>
        <v>10.a.1.1.1.42 - Hvis FordringsStartDato ikke er valgt: Regel R0058 deaktiveres</v>
      </c>
      <c r="F646" s="53" t="s">
        <v>226</v>
      </c>
      <c r="G646" s="53" t="s">
        <v>308</v>
      </c>
      <c r="H646" s="25" t="s">
        <v>1319</v>
      </c>
      <c r="I646" s="65" t="s">
        <v>241</v>
      </c>
      <c r="J646" s="67" t="s">
        <v>222</v>
      </c>
      <c r="K646" s="123" t="s">
        <v>222</v>
      </c>
      <c r="L646" s="20" t="s">
        <v>3</v>
      </c>
      <c r="M646" s="61" t="s">
        <v>131</v>
      </c>
      <c r="N646" s="61" t="s">
        <v>131</v>
      </c>
      <c r="O646" s="61" t="s">
        <v>131</v>
      </c>
      <c r="P646" s="61" t="s">
        <v>131</v>
      </c>
      <c r="Q646" s="61" t="s">
        <v>131</v>
      </c>
      <c r="R646" s="124" t="s">
        <v>129</v>
      </c>
      <c r="S646" s="59" t="s">
        <v>295</v>
      </c>
      <c r="T646" s="59" t="s">
        <v>26</v>
      </c>
      <c r="U646" s="59"/>
      <c r="V646" s="59"/>
      <c r="W646" s="59"/>
      <c r="X646" s="59" t="s">
        <v>1311</v>
      </c>
      <c r="Y646" s="59" t="s">
        <v>5</v>
      </c>
      <c r="Z646" s="59"/>
      <c r="AA646" s="59"/>
      <c r="AB646" s="57"/>
    </row>
    <row r="647" spans="1:28" s="1" customFormat="1" ht="33" customHeight="1" x14ac:dyDescent="0.3">
      <c r="A647" s="16">
        <v>14</v>
      </c>
      <c r="B647" s="23">
        <v>206</v>
      </c>
      <c r="C647" s="27" t="str">
        <f t="shared" si="18"/>
        <v>14.206</v>
      </c>
      <c r="D647" s="18" t="s">
        <v>921</v>
      </c>
      <c r="E647" s="64" t="str">
        <f>IF(ISBLANK(D647)=TRUE,"",VLOOKUP(D647,Krav!$C:$F,4,FALSE))</f>
        <v>10.a.1.1.1.53 - Hvis FordringsStartDato ikke er valgt: Regel R0069 deaktiveres</v>
      </c>
      <c r="F647" s="53" t="s">
        <v>226</v>
      </c>
      <c r="G647" s="53" t="s">
        <v>308</v>
      </c>
      <c r="H647" s="25" t="s">
        <v>1319</v>
      </c>
      <c r="I647" s="65" t="s">
        <v>241</v>
      </c>
      <c r="J647" s="67" t="s">
        <v>222</v>
      </c>
      <c r="K647" s="123" t="s">
        <v>222</v>
      </c>
      <c r="L647" s="20" t="s">
        <v>3</v>
      </c>
      <c r="M647" s="61" t="s">
        <v>131</v>
      </c>
      <c r="N647" s="61" t="s">
        <v>131</v>
      </c>
      <c r="O647" s="61" t="s">
        <v>131</v>
      </c>
      <c r="P647" s="61" t="s">
        <v>131</v>
      </c>
      <c r="Q647" s="61" t="s">
        <v>131</v>
      </c>
      <c r="R647" s="124" t="s">
        <v>129</v>
      </c>
      <c r="S647" s="59" t="s">
        <v>295</v>
      </c>
      <c r="T647" s="59" t="s">
        <v>26</v>
      </c>
      <c r="U647" s="59"/>
      <c r="V647" s="59"/>
      <c r="W647" s="59"/>
      <c r="X647" s="59" t="s">
        <v>1312</v>
      </c>
      <c r="Y647" s="59" t="s">
        <v>5</v>
      </c>
      <c r="Z647" s="59"/>
      <c r="AA647" s="59"/>
      <c r="AB647" s="57"/>
    </row>
    <row r="648" spans="1:28" s="1" customFormat="1" ht="33" customHeight="1" x14ac:dyDescent="0.3">
      <c r="A648" s="16">
        <v>14</v>
      </c>
      <c r="B648" s="23">
        <v>207</v>
      </c>
      <c r="C648" s="27" t="str">
        <f t="shared" si="18"/>
        <v>14.207</v>
      </c>
      <c r="D648" s="18" t="s">
        <v>901</v>
      </c>
      <c r="E648" s="64" t="str">
        <f>IF(ISBLANK(D648)=TRUE,"",VLOOKUP(D648,Krav!$C:$F,4,FALSE))</f>
        <v>10.a.1.1.1.43 - Hvis FordringsSlutDato ikke er valgt: Regel R0059 deaktiveres</v>
      </c>
      <c r="F648" s="53" t="s">
        <v>226</v>
      </c>
      <c r="G648" s="53" t="s">
        <v>308</v>
      </c>
      <c r="H648" s="25" t="s">
        <v>1318</v>
      </c>
      <c r="I648" s="65" t="s">
        <v>241</v>
      </c>
      <c r="J648" s="67" t="s">
        <v>222</v>
      </c>
      <c r="K648" s="123" t="s">
        <v>222</v>
      </c>
      <c r="L648" s="20" t="s">
        <v>3</v>
      </c>
      <c r="M648" s="61" t="s">
        <v>131</v>
      </c>
      <c r="N648" s="61" t="s">
        <v>131</v>
      </c>
      <c r="O648" s="61" t="s">
        <v>131</v>
      </c>
      <c r="P648" s="61" t="s">
        <v>131</v>
      </c>
      <c r="Q648" s="61" t="s">
        <v>131</v>
      </c>
      <c r="R648" s="124" t="s">
        <v>129</v>
      </c>
      <c r="S648" s="59" t="s">
        <v>295</v>
      </c>
      <c r="T648" s="59" t="s">
        <v>26</v>
      </c>
      <c r="U648" s="59"/>
      <c r="V648" s="59"/>
      <c r="W648" s="59"/>
      <c r="X648" s="59" t="s">
        <v>1314</v>
      </c>
      <c r="Y648" s="59" t="s">
        <v>5</v>
      </c>
      <c r="Z648" s="59"/>
      <c r="AA648" s="59"/>
      <c r="AB648" s="57"/>
    </row>
    <row r="649" spans="1:28" s="1" customFormat="1" ht="33" customHeight="1" x14ac:dyDescent="0.3">
      <c r="A649" s="16">
        <v>14</v>
      </c>
      <c r="B649" s="23">
        <v>208</v>
      </c>
      <c r="C649" s="27" t="str">
        <f t="shared" si="18"/>
        <v>14.208</v>
      </c>
      <c r="D649" s="18" t="s">
        <v>903</v>
      </c>
      <c r="E649" s="64" t="str">
        <f>IF(ISBLANK(D649)=TRUE,"",VLOOKUP(D649,Krav!$C:$F,4,FALSE))</f>
        <v>10.a.1.1.1.44 - Hvis FordringsSlutDato ikke er valgt: Regel R0060 deaktiveres</v>
      </c>
      <c r="F649" s="53" t="s">
        <v>226</v>
      </c>
      <c r="G649" s="53" t="s">
        <v>308</v>
      </c>
      <c r="H649" s="25" t="s">
        <v>1318</v>
      </c>
      <c r="I649" s="65" t="s">
        <v>241</v>
      </c>
      <c r="J649" s="67" t="s">
        <v>222</v>
      </c>
      <c r="K649" s="123" t="s">
        <v>222</v>
      </c>
      <c r="L649" s="20" t="s">
        <v>3</v>
      </c>
      <c r="M649" s="61" t="s">
        <v>131</v>
      </c>
      <c r="N649" s="61" t="s">
        <v>131</v>
      </c>
      <c r="O649" s="61" t="s">
        <v>131</v>
      </c>
      <c r="P649" s="61" t="s">
        <v>131</v>
      </c>
      <c r="Q649" s="61" t="s">
        <v>131</v>
      </c>
      <c r="R649" s="124" t="s">
        <v>129</v>
      </c>
      <c r="S649" s="59" t="s">
        <v>295</v>
      </c>
      <c r="T649" s="59" t="s">
        <v>26</v>
      </c>
      <c r="U649" s="59"/>
      <c r="V649" s="59"/>
      <c r="W649" s="59"/>
      <c r="X649" s="59" t="s">
        <v>1315</v>
      </c>
      <c r="Y649" s="59" t="s">
        <v>5</v>
      </c>
      <c r="Z649" s="59"/>
      <c r="AA649" s="59"/>
      <c r="AB649" s="57"/>
    </row>
    <row r="650" spans="1:28" s="1" customFormat="1" ht="33" customHeight="1" x14ac:dyDescent="0.3">
      <c r="A650" s="16">
        <v>14</v>
      </c>
      <c r="B650" s="23">
        <v>209</v>
      </c>
      <c r="C650" s="27" t="str">
        <f t="shared" si="18"/>
        <v>14.209</v>
      </c>
      <c r="D650" s="18" t="s">
        <v>905</v>
      </c>
      <c r="E650" s="64" t="str">
        <f>IF(ISBLANK(D650)=TRUE,"",VLOOKUP(D650,Krav!$C:$F,4,FALSE))</f>
        <v>10.a.1.1.1.45 - Hvis FordringsSlutDato ikke er valgt: Regel R0061 deaktiveres</v>
      </c>
      <c r="F650" s="53" t="s">
        <v>226</v>
      </c>
      <c r="G650" s="53" t="s">
        <v>308</v>
      </c>
      <c r="H650" s="25" t="s">
        <v>1318</v>
      </c>
      <c r="I650" s="65" t="s">
        <v>241</v>
      </c>
      <c r="J650" s="67" t="s">
        <v>222</v>
      </c>
      <c r="K650" s="123" t="s">
        <v>222</v>
      </c>
      <c r="L650" s="20" t="s">
        <v>3</v>
      </c>
      <c r="M650" s="61" t="s">
        <v>131</v>
      </c>
      <c r="N650" s="61" t="s">
        <v>131</v>
      </c>
      <c r="O650" s="61" t="s">
        <v>131</v>
      </c>
      <c r="P650" s="61" t="s">
        <v>131</v>
      </c>
      <c r="Q650" s="61" t="s">
        <v>131</v>
      </c>
      <c r="R650" s="124" t="s">
        <v>129</v>
      </c>
      <c r="S650" s="59" t="s">
        <v>295</v>
      </c>
      <c r="T650" s="59" t="s">
        <v>26</v>
      </c>
      <c r="U650" s="59"/>
      <c r="V650" s="59"/>
      <c r="W650" s="59"/>
      <c r="X650" s="59" t="s">
        <v>1316</v>
      </c>
      <c r="Y650" s="59" t="s">
        <v>5</v>
      </c>
      <c r="Z650" s="59"/>
      <c r="AA650" s="59"/>
      <c r="AB650" s="57"/>
    </row>
    <row r="651" spans="1:28" s="1" customFormat="1" ht="33" customHeight="1" x14ac:dyDescent="0.3">
      <c r="A651" s="16">
        <v>14</v>
      </c>
      <c r="B651" s="23">
        <v>210</v>
      </c>
      <c r="C651" s="27" t="str">
        <f t="shared" si="18"/>
        <v>14.210</v>
      </c>
      <c r="D651" s="18" t="s">
        <v>907</v>
      </c>
      <c r="E651" s="64" t="str">
        <f>IF(ISBLANK(D651)=TRUE,"",VLOOKUP(D651,Krav!$C:$F,4,FALSE))</f>
        <v>10.a.1.1.1.46 - Hvis FordringsSlutDato ikke er valgt: Regel R0062 deaktiveres</v>
      </c>
      <c r="F651" s="53" t="s">
        <v>226</v>
      </c>
      <c r="G651" s="53" t="s">
        <v>308</v>
      </c>
      <c r="H651" s="25" t="s">
        <v>1318</v>
      </c>
      <c r="I651" s="65" t="s">
        <v>241</v>
      </c>
      <c r="J651" s="67" t="s">
        <v>222</v>
      </c>
      <c r="K651" s="123" t="s">
        <v>222</v>
      </c>
      <c r="L651" s="20" t="s">
        <v>3</v>
      </c>
      <c r="M651" s="61" t="s">
        <v>131</v>
      </c>
      <c r="N651" s="61" t="s">
        <v>131</v>
      </c>
      <c r="O651" s="61" t="s">
        <v>131</v>
      </c>
      <c r="P651" s="61" t="s">
        <v>131</v>
      </c>
      <c r="Q651" s="61" t="s">
        <v>131</v>
      </c>
      <c r="R651" s="124" t="s">
        <v>129</v>
      </c>
      <c r="S651" s="59" t="s">
        <v>295</v>
      </c>
      <c r="T651" s="59" t="s">
        <v>26</v>
      </c>
      <c r="U651" s="59"/>
      <c r="V651" s="59"/>
      <c r="W651" s="59"/>
      <c r="X651" s="59" t="s">
        <v>1317</v>
      </c>
      <c r="Y651" s="59" t="s">
        <v>5</v>
      </c>
      <c r="Z651" s="59"/>
      <c r="AA651" s="59"/>
      <c r="AB651" s="57"/>
    </row>
    <row r="652" spans="1:28" s="1" customFormat="1" ht="33" customHeight="1" x14ac:dyDescent="0.3">
      <c r="A652" s="16">
        <v>14</v>
      </c>
      <c r="B652" s="23">
        <v>211</v>
      </c>
      <c r="C652" s="27" t="str">
        <f t="shared" si="18"/>
        <v>14.211</v>
      </c>
      <c r="D652" s="18" t="s">
        <v>923</v>
      </c>
      <c r="E652" s="64" t="str">
        <f>IF(ISBLANK(D652)=TRUE,"",VLOOKUP(D652,Krav!$C:$F,4,FALSE))</f>
        <v>10.a.1.1.1.54 - Hvis FordringsSlutDato ikke er valgt: Regel R0070 deaktiveres</v>
      </c>
      <c r="F652" s="53" t="s">
        <v>226</v>
      </c>
      <c r="G652" s="53" t="s">
        <v>308</v>
      </c>
      <c r="H652" s="25" t="s">
        <v>1318</v>
      </c>
      <c r="I652" s="65" t="s">
        <v>241</v>
      </c>
      <c r="J652" s="67" t="s">
        <v>222</v>
      </c>
      <c r="K652" s="123" t="s">
        <v>222</v>
      </c>
      <c r="L652" s="20" t="s">
        <v>3</v>
      </c>
      <c r="M652" s="61" t="s">
        <v>131</v>
      </c>
      <c r="N652" s="61" t="s">
        <v>131</v>
      </c>
      <c r="O652" s="61" t="s">
        <v>131</v>
      </c>
      <c r="P652" s="61" t="s">
        <v>131</v>
      </c>
      <c r="Q652" s="61" t="s">
        <v>131</v>
      </c>
      <c r="R652" s="124" t="s">
        <v>129</v>
      </c>
      <c r="S652" s="59" t="s">
        <v>295</v>
      </c>
      <c r="T652" s="59" t="s">
        <v>26</v>
      </c>
      <c r="U652" s="59"/>
      <c r="V652" s="59"/>
      <c r="W652" s="59"/>
      <c r="X652" s="59" t="s">
        <v>1313</v>
      </c>
      <c r="Y652" s="59" t="s">
        <v>5</v>
      </c>
      <c r="Z652" s="59"/>
      <c r="AA652" s="59"/>
      <c r="AB652" s="57"/>
    </row>
    <row r="653" spans="1:28" s="1" customFormat="1" ht="33" customHeight="1" x14ac:dyDescent="0.3">
      <c r="A653" s="16">
        <v>14</v>
      </c>
      <c r="B653" s="23">
        <v>212</v>
      </c>
      <c r="C653" s="27" t="str">
        <f t="shared" si="18"/>
        <v>14.212</v>
      </c>
      <c r="D653" s="18"/>
      <c r="E653" s="64" t="str">
        <f>IF(ISBLANK(D653)=TRUE,"",VLOOKUP(D653,Krav!$C:$F,4,FALSE))</f>
        <v/>
      </c>
      <c r="F653" s="91" t="s">
        <v>418</v>
      </c>
      <c r="G653" s="91" t="s">
        <v>446</v>
      </c>
      <c r="H653" s="91" t="s">
        <v>592</v>
      </c>
      <c r="I653" s="91" t="s">
        <v>129</v>
      </c>
      <c r="J653" s="96" t="s">
        <v>222</v>
      </c>
      <c r="K653" s="125" t="s">
        <v>222</v>
      </c>
      <c r="L653" s="20" t="s">
        <v>3</v>
      </c>
      <c r="M653" s="61" t="s">
        <v>131</v>
      </c>
      <c r="N653" s="61" t="s">
        <v>131</v>
      </c>
      <c r="O653" s="61" t="s">
        <v>131</v>
      </c>
      <c r="P653" s="61" t="s">
        <v>131</v>
      </c>
      <c r="Q653" s="61" t="s">
        <v>131</v>
      </c>
      <c r="R653" s="124" t="s">
        <v>129</v>
      </c>
      <c r="S653" s="59" t="s">
        <v>295</v>
      </c>
      <c r="T653" s="59" t="s">
        <v>26</v>
      </c>
      <c r="U653" s="59"/>
      <c r="V653" s="59"/>
      <c r="W653" s="59"/>
      <c r="X653" s="59"/>
      <c r="Y653" s="59" t="s">
        <v>5</v>
      </c>
      <c r="Z653" s="59"/>
      <c r="AA653" s="59"/>
      <c r="AB653" s="57"/>
    </row>
    <row r="654" spans="1:28" s="1" customFormat="1" ht="33" customHeight="1" x14ac:dyDescent="0.3">
      <c r="A654" s="16">
        <v>14</v>
      </c>
      <c r="B654" s="23">
        <v>213</v>
      </c>
      <c r="C654" s="27" t="str">
        <f t="shared" si="18"/>
        <v>14.213</v>
      </c>
      <c r="D654" s="18"/>
      <c r="E654" s="64" t="str">
        <f>IF(ISBLANK(D654)=TRUE,"",VLOOKUP(D654,Krav!$C:$F,4,FALSE))</f>
        <v/>
      </c>
      <c r="F654" s="53" t="s">
        <v>143</v>
      </c>
      <c r="G654" s="19"/>
      <c r="H654" s="25" t="s">
        <v>1354</v>
      </c>
      <c r="I654" s="65" t="s">
        <v>534</v>
      </c>
      <c r="J654" s="67" t="s">
        <v>222</v>
      </c>
      <c r="K654" s="123" t="s">
        <v>222</v>
      </c>
      <c r="L654" s="20" t="s">
        <v>3</v>
      </c>
      <c r="M654" s="124" t="s">
        <v>129</v>
      </c>
      <c r="N654" s="124" t="s">
        <v>129</v>
      </c>
      <c r="O654" s="124" t="s">
        <v>129</v>
      </c>
      <c r="P654" s="124" t="s">
        <v>129</v>
      </c>
      <c r="Q654" s="124" t="s">
        <v>129</v>
      </c>
      <c r="R654" s="61" t="s">
        <v>131</v>
      </c>
      <c r="S654" s="59" t="s">
        <v>295</v>
      </c>
      <c r="T654" s="59" t="s">
        <v>26</v>
      </c>
      <c r="U654" s="59"/>
      <c r="V654" s="59"/>
      <c r="W654" s="59"/>
      <c r="X654" s="59"/>
      <c r="Y654" s="59" t="s">
        <v>5</v>
      </c>
      <c r="Z654" s="59"/>
      <c r="AA654" s="59"/>
      <c r="AB654" s="57"/>
    </row>
    <row r="655" spans="1:28" s="1" customFormat="1" ht="33" customHeight="1" x14ac:dyDescent="0.3">
      <c r="A655" s="16">
        <v>14</v>
      </c>
      <c r="B655" s="23">
        <v>214</v>
      </c>
      <c r="C655" s="27" t="str">
        <f t="shared" si="18"/>
        <v>14.214</v>
      </c>
      <c r="D655" s="18"/>
      <c r="E655" s="64" t="str">
        <f>IF(ISBLANK(D655)=TRUE,"",VLOOKUP(D655,Krav!$C:$F,4,FALSE))</f>
        <v/>
      </c>
      <c r="F655" s="53" t="s">
        <v>143</v>
      </c>
      <c r="G655" s="19"/>
      <c r="H655" s="25" t="s">
        <v>1353</v>
      </c>
      <c r="I655" s="65" t="s">
        <v>549</v>
      </c>
      <c r="J655" s="67" t="s">
        <v>222</v>
      </c>
      <c r="K655" s="125" t="s">
        <v>222</v>
      </c>
      <c r="L655" s="20" t="s">
        <v>3</v>
      </c>
      <c r="M655" s="61" t="s">
        <v>131</v>
      </c>
      <c r="N655" s="124" t="s">
        <v>129</v>
      </c>
      <c r="O655" s="124" t="s">
        <v>129</v>
      </c>
      <c r="P655" s="124" t="s">
        <v>129</v>
      </c>
      <c r="Q655" s="124" t="s">
        <v>129</v>
      </c>
      <c r="R655" s="61" t="s">
        <v>131</v>
      </c>
      <c r="S655" s="59" t="s">
        <v>295</v>
      </c>
      <c r="T655" s="59" t="s">
        <v>26</v>
      </c>
      <c r="U655" s="59"/>
      <c r="V655" s="59"/>
      <c r="W655" s="59"/>
      <c r="X655" s="59"/>
      <c r="Y655" s="59" t="s">
        <v>5</v>
      </c>
      <c r="Z655" s="59"/>
      <c r="AA655" s="59"/>
      <c r="AB655" s="57"/>
    </row>
    <row r="656" spans="1:28" s="1" customFormat="1" ht="33" customHeight="1" x14ac:dyDescent="0.3">
      <c r="A656" s="16">
        <v>14</v>
      </c>
      <c r="B656" s="23">
        <v>215</v>
      </c>
      <c r="C656" s="27" t="str">
        <f t="shared" si="18"/>
        <v>14.215</v>
      </c>
      <c r="D656" s="18"/>
      <c r="E656" s="64" t="str">
        <f>IF(ISBLANK(D656)=TRUE,"",VLOOKUP(D656,Krav!$C:$F,4,FALSE))</f>
        <v/>
      </c>
      <c r="F656" s="53" t="s">
        <v>143</v>
      </c>
      <c r="G656" s="19"/>
      <c r="H656" s="25" t="s">
        <v>1355</v>
      </c>
      <c r="I656" s="65" t="s">
        <v>555</v>
      </c>
      <c r="J656" s="67" t="s">
        <v>222</v>
      </c>
      <c r="K656" s="123" t="s">
        <v>222</v>
      </c>
      <c r="L656" s="20" t="s">
        <v>3</v>
      </c>
      <c r="M656" s="61" t="s">
        <v>131</v>
      </c>
      <c r="N656" s="61" t="s">
        <v>131</v>
      </c>
      <c r="O656" s="124" t="s">
        <v>129</v>
      </c>
      <c r="P656" s="124" t="s">
        <v>129</v>
      </c>
      <c r="Q656" s="124" t="s">
        <v>129</v>
      </c>
      <c r="R656" s="61" t="s">
        <v>131</v>
      </c>
      <c r="S656" s="59" t="s">
        <v>295</v>
      </c>
      <c r="T656" s="59" t="s">
        <v>26</v>
      </c>
      <c r="U656" s="59"/>
      <c r="V656" s="59"/>
      <c r="W656" s="59"/>
      <c r="X656" s="59"/>
      <c r="Y656" s="59" t="s">
        <v>5</v>
      </c>
      <c r="Z656" s="59"/>
      <c r="AA656" s="59"/>
      <c r="AB656" s="57"/>
    </row>
    <row r="657" spans="1:28" s="1" customFormat="1" ht="33" customHeight="1" x14ac:dyDescent="0.3">
      <c r="A657" s="16">
        <v>14</v>
      </c>
      <c r="B657" s="23">
        <v>216</v>
      </c>
      <c r="C657" s="27" t="str">
        <f t="shared" si="18"/>
        <v>14.216</v>
      </c>
      <c r="D657" s="18"/>
      <c r="E657" s="64" t="str">
        <f>IF(ISBLANK(D657)=TRUE,"",VLOOKUP(D657,Krav!$C:$F,4,FALSE))</f>
        <v/>
      </c>
      <c r="F657" s="76" t="s">
        <v>143</v>
      </c>
      <c r="G657" s="19"/>
      <c r="H657" s="76" t="s">
        <v>1356</v>
      </c>
      <c r="I657" s="66" t="s">
        <v>560</v>
      </c>
      <c r="J657" s="67" t="s">
        <v>222</v>
      </c>
      <c r="K657" s="125" t="s">
        <v>222</v>
      </c>
      <c r="L657" s="20" t="s">
        <v>3</v>
      </c>
      <c r="M657" s="60" t="s">
        <v>131</v>
      </c>
      <c r="N657" s="60" t="s">
        <v>131</v>
      </c>
      <c r="O657" s="60" t="s">
        <v>131</v>
      </c>
      <c r="P657" s="126" t="s">
        <v>129</v>
      </c>
      <c r="Q657" s="126" t="s">
        <v>129</v>
      </c>
      <c r="R657" s="60" t="s">
        <v>131</v>
      </c>
      <c r="S657" s="59" t="s">
        <v>295</v>
      </c>
      <c r="T657" s="59" t="s">
        <v>26</v>
      </c>
      <c r="U657" s="22"/>
      <c r="V657" s="22"/>
      <c r="W657" s="22"/>
      <c r="X657" s="22"/>
      <c r="Y657" s="22" t="s">
        <v>5</v>
      </c>
      <c r="Z657" s="22"/>
      <c r="AA657" s="22"/>
      <c r="AB657" s="57"/>
    </row>
    <row r="658" spans="1:28" s="90" customFormat="1" ht="16.5" customHeight="1" x14ac:dyDescent="0.3">
      <c r="A658" s="16">
        <v>14</v>
      </c>
      <c r="B658" s="23">
        <v>217</v>
      </c>
      <c r="C658" s="27" t="str">
        <f t="shared" si="18"/>
        <v>14.217</v>
      </c>
      <c r="D658" s="12"/>
      <c r="E658" s="64" t="str">
        <f>IF(ISBLANK(D658)=TRUE,"",VLOOKUP(D658,Krav!$C:$F,4,FALSE))</f>
        <v/>
      </c>
      <c r="F658" s="84" t="s">
        <v>174</v>
      </c>
      <c r="G658" s="12"/>
      <c r="H658" s="84" t="s">
        <v>328</v>
      </c>
      <c r="I658" s="87" t="s">
        <v>593</v>
      </c>
      <c r="J658" s="87" t="s">
        <v>222</v>
      </c>
      <c r="K658" s="128" t="s">
        <v>222</v>
      </c>
      <c r="L658" s="4" t="s">
        <v>4</v>
      </c>
      <c r="M658" s="61" t="s">
        <v>131</v>
      </c>
      <c r="N658" s="61" t="s">
        <v>131</v>
      </c>
      <c r="O658" s="61" t="s">
        <v>131</v>
      </c>
      <c r="P658" s="61" t="s">
        <v>131</v>
      </c>
      <c r="Q658" s="61" t="s">
        <v>131</v>
      </c>
      <c r="R658" s="61" t="s">
        <v>131</v>
      </c>
      <c r="S658" s="59" t="s">
        <v>295</v>
      </c>
      <c r="T658" s="59" t="s">
        <v>26</v>
      </c>
      <c r="U658" s="59"/>
      <c r="V658" s="59"/>
      <c r="W658" s="59"/>
      <c r="X658" s="59"/>
      <c r="Y658" s="59" t="s">
        <v>5</v>
      </c>
      <c r="Z658" s="59"/>
      <c r="AA658" s="59"/>
    </row>
    <row r="659" spans="1:28" s="90" customFormat="1" ht="16.5" customHeight="1" x14ac:dyDescent="0.3">
      <c r="A659" s="16">
        <v>14</v>
      </c>
      <c r="B659" s="23">
        <v>218</v>
      </c>
      <c r="C659" s="27" t="str">
        <f t="shared" si="18"/>
        <v>14.218</v>
      </c>
      <c r="D659" s="12"/>
      <c r="E659" s="64" t="str">
        <f>IF(ISBLANK(D659)=TRUE,"",VLOOKUP(D659,Krav!$C:$F,4,FALSE))</f>
        <v/>
      </c>
      <c r="F659" s="91" t="s">
        <v>418</v>
      </c>
      <c r="G659" s="91" t="s">
        <v>419</v>
      </c>
      <c r="H659" s="91" t="s">
        <v>440</v>
      </c>
      <c r="I659" s="91" t="s">
        <v>129</v>
      </c>
      <c r="J659" s="94" t="s">
        <v>222</v>
      </c>
      <c r="K659" s="127" t="s">
        <v>222</v>
      </c>
      <c r="L659" s="4" t="s">
        <v>4</v>
      </c>
      <c r="M659" s="61" t="s">
        <v>131</v>
      </c>
      <c r="N659" s="61" t="s">
        <v>131</v>
      </c>
      <c r="O659" s="61" t="s">
        <v>131</v>
      </c>
      <c r="P659" s="61" t="s">
        <v>131</v>
      </c>
      <c r="Q659" s="61" t="s">
        <v>131</v>
      </c>
      <c r="R659" s="61" t="s">
        <v>131</v>
      </c>
      <c r="S659" s="59" t="s">
        <v>295</v>
      </c>
      <c r="T659" s="59" t="s">
        <v>26</v>
      </c>
      <c r="U659" s="59"/>
      <c r="V659" s="59"/>
      <c r="W659" s="59"/>
      <c r="X659" s="59"/>
      <c r="Y659" s="59" t="s">
        <v>5</v>
      </c>
      <c r="Z659" s="59"/>
      <c r="AA659" s="59"/>
    </row>
    <row r="660" spans="1:28" s="90" customFormat="1" ht="16.5" customHeight="1" x14ac:dyDescent="0.3">
      <c r="A660" s="16">
        <v>14</v>
      </c>
      <c r="B660" s="23">
        <v>219</v>
      </c>
      <c r="C660" s="27" t="str">
        <f t="shared" si="18"/>
        <v>14.219</v>
      </c>
      <c r="D660" s="12"/>
      <c r="E660" s="64" t="str">
        <f>IF(ISBLANK(D660)=TRUE,"",VLOOKUP(D660,Krav!$C:$F,4,FALSE))</f>
        <v/>
      </c>
      <c r="F660" s="84" t="s">
        <v>185</v>
      </c>
      <c r="G660" s="12"/>
      <c r="H660" s="84" t="s">
        <v>594</v>
      </c>
      <c r="I660" s="84" t="s">
        <v>595</v>
      </c>
      <c r="J660" s="87" t="s">
        <v>222</v>
      </c>
      <c r="K660" s="127" t="s">
        <v>222</v>
      </c>
      <c r="L660" s="4" t="s">
        <v>3</v>
      </c>
      <c r="M660" s="61"/>
      <c r="N660" s="61"/>
      <c r="O660" s="61"/>
      <c r="P660" s="61"/>
      <c r="Q660" s="61"/>
      <c r="R660" s="61"/>
      <c r="S660" s="59"/>
      <c r="T660" s="59"/>
      <c r="U660" s="59"/>
      <c r="V660" s="59"/>
      <c r="W660" s="59"/>
      <c r="X660" s="59"/>
      <c r="Y660" s="59" t="s">
        <v>5</v>
      </c>
      <c r="Z660" s="59"/>
      <c r="AA660" s="59"/>
    </row>
    <row r="661" spans="1:28" s="90" customFormat="1" ht="16.5" customHeight="1" x14ac:dyDescent="0.3">
      <c r="A661" s="16">
        <v>14</v>
      </c>
      <c r="B661" s="23">
        <v>220</v>
      </c>
      <c r="C661" s="27" t="str">
        <f t="shared" si="18"/>
        <v>14.220</v>
      </c>
      <c r="D661" s="12"/>
      <c r="E661" s="64" t="str">
        <f>IF(ISBLANK(D661)=TRUE,"",VLOOKUP(D661,Krav!$C:$F,4,FALSE))</f>
        <v/>
      </c>
      <c r="F661" s="85" t="s">
        <v>418</v>
      </c>
      <c r="G661" s="85" t="s">
        <v>1364</v>
      </c>
      <c r="H661" s="85" t="s">
        <v>1365</v>
      </c>
      <c r="I661" s="87" t="s">
        <v>129</v>
      </c>
      <c r="J661" s="87" t="s">
        <v>222</v>
      </c>
      <c r="K661" s="128" t="s">
        <v>222</v>
      </c>
      <c r="L661" s="4" t="s">
        <v>3</v>
      </c>
      <c r="M661" s="61"/>
      <c r="N661" s="61"/>
      <c r="O661" s="61"/>
      <c r="P661" s="61"/>
      <c r="Q661" s="61"/>
      <c r="R661" s="61"/>
      <c r="S661" s="59"/>
      <c r="T661" s="59"/>
      <c r="U661" s="59"/>
      <c r="V661" s="59"/>
      <c r="W661" s="59"/>
      <c r="X661" s="59"/>
      <c r="Y661" s="59"/>
      <c r="Z661" s="59"/>
      <c r="AA661" s="59"/>
    </row>
    <row r="662" spans="1:28" s="90" customFormat="1" ht="16.5" customHeight="1" x14ac:dyDescent="0.3">
      <c r="A662" s="16">
        <v>14</v>
      </c>
      <c r="B662" s="23">
        <v>221</v>
      </c>
      <c r="C662" s="27" t="str">
        <f t="shared" si="18"/>
        <v>14.221</v>
      </c>
      <c r="D662" s="12"/>
      <c r="E662" s="64" t="str">
        <f>IF(ISBLANK(D662)=TRUE,"",VLOOKUP(D662,Krav!$C:$F,4,FALSE))</f>
        <v/>
      </c>
      <c r="F662" s="84" t="s">
        <v>224</v>
      </c>
      <c r="G662" s="12" t="s">
        <v>521</v>
      </c>
      <c r="H662" s="84" t="s">
        <v>596</v>
      </c>
      <c r="I662" s="84" t="s">
        <v>129</v>
      </c>
      <c r="J662" s="87" t="s">
        <v>222</v>
      </c>
      <c r="K662" s="128" t="s">
        <v>222</v>
      </c>
      <c r="L662" s="4" t="s">
        <v>3</v>
      </c>
      <c r="M662" s="124" t="s">
        <v>129</v>
      </c>
      <c r="N662" s="61" t="s">
        <v>131</v>
      </c>
      <c r="O662" s="61" t="s">
        <v>131</v>
      </c>
      <c r="P662" s="61" t="s">
        <v>131</v>
      </c>
      <c r="Q662" s="61" t="s">
        <v>131</v>
      </c>
      <c r="R662" s="61" t="s">
        <v>131</v>
      </c>
      <c r="S662" s="59"/>
      <c r="T662" s="59"/>
      <c r="U662" s="59"/>
      <c r="V662" s="59"/>
      <c r="W662" s="59"/>
      <c r="X662" s="59"/>
      <c r="Y662" s="59" t="s">
        <v>5</v>
      </c>
      <c r="Z662" s="59"/>
      <c r="AA662" s="59"/>
    </row>
    <row r="663" spans="1:28" s="90" customFormat="1" ht="16.5" customHeight="1" x14ac:dyDescent="0.3">
      <c r="A663" s="16">
        <v>14</v>
      </c>
      <c r="B663" s="23">
        <v>222</v>
      </c>
      <c r="C663" s="27" t="str">
        <f t="shared" si="18"/>
        <v>14.222</v>
      </c>
      <c r="D663" s="12"/>
      <c r="E663" s="64" t="str">
        <f>IF(ISBLANK(D663)=TRUE,"",VLOOKUP(D663,Krav!$C:$F,4,FALSE))</f>
        <v/>
      </c>
      <c r="F663" s="84" t="s">
        <v>224</v>
      </c>
      <c r="G663" s="12" t="s">
        <v>522</v>
      </c>
      <c r="H663" s="84" t="s">
        <v>596</v>
      </c>
      <c r="I663" s="84" t="s">
        <v>129</v>
      </c>
      <c r="J663" s="87" t="s">
        <v>222</v>
      </c>
      <c r="K663" s="128" t="s">
        <v>222</v>
      </c>
      <c r="L663" s="4" t="s">
        <v>3</v>
      </c>
      <c r="M663" s="61" t="s">
        <v>131</v>
      </c>
      <c r="N663" s="124" t="s">
        <v>129</v>
      </c>
      <c r="O663" s="61" t="s">
        <v>131</v>
      </c>
      <c r="P663" s="61" t="s">
        <v>131</v>
      </c>
      <c r="Q663" s="61" t="s">
        <v>131</v>
      </c>
      <c r="R663" s="61" t="s">
        <v>131</v>
      </c>
      <c r="S663" s="59"/>
      <c r="T663" s="59"/>
      <c r="U663" s="59"/>
      <c r="V663" s="59"/>
      <c r="W663" s="59"/>
      <c r="X663" s="59"/>
      <c r="Y663" s="59" t="s">
        <v>5</v>
      </c>
      <c r="Z663" s="59"/>
      <c r="AA663" s="59"/>
    </row>
    <row r="664" spans="1:28" s="90" customFormat="1" ht="16.5" customHeight="1" x14ac:dyDescent="0.3">
      <c r="A664" s="16">
        <v>14</v>
      </c>
      <c r="B664" s="23">
        <v>223</v>
      </c>
      <c r="C664" s="27" t="str">
        <f t="shared" si="18"/>
        <v>14.223</v>
      </c>
      <c r="D664" s="12"/>
      <c r="E664" s="64" t="str">
        <f>IF(ISBLANK(D664)=TRUE,"",VLOOKUP(D664,Krav!$C:$F,4,FALSE))</f>
        <v/>
      </c>
      <c r="F664" s="84" t="s">
        <v>224</v>
      </c>
      <c r="G664" s="12" t="s">
        <v>523</v>
      </c>
      <c r="H664" s="84" t="s">
        <v>596</v>
      </c>
      <c r="I664" s="84" t="s">
        <v>129</v>
      </c>
      <c r="J664" s="87" t="s">
        <v>222</v>
      </c>
      <c r="K664" s="128" t="s">
        <v>222</v>
      </c>
      <c r="L664" s="4" t="s">
        <v>3</v>
      </c>
      <c r="M664" s="61" t="s">
        <v>131</v>
      </c>
      <c r="N664" s="61" t="s">
        <v>131</v>
      </c>
      <c r="O664" s="124" t="s">
        <v>129</v>
      </c>
      <c r="P664" s="61" t="s">
        <v>131</v>
      </c>
      <c r="Q664" s="61" t="s">
        <v>131</v>
      </c>
      <c r="R664" s="61" t="s">
        <v>131</v>
      </c>
      <c r="S664" s="59"/>
      <c r="T664" s="59"/>
      <c r="U664" s="59"/>
      <c r="V664" s="59"/>
      <c r="W664" s="59"/>
      <c r="X664" s="59"/>
      <c r="Y664" s="59" t="s">
        <v>5</v>
      </c>
      <c r="Z664" s="59"/>
      <c r="AA664" s="59"/>
    </row>
    <row r="665" spans="1:28" s="90" customFormat="1" ht="16.5" customHeight="1" x14ac:dyDescent="0.3">
      <c r="A665" s="16">
        <v>14</v>
      </c>
      <c r="B665" s="23">
        <v>224</v>
      </c>
      <c r="C665" s="27" t="str">
        <f t="shared" si="18"/>
        <v>14.224</v>
      </c>
      <c r="D665" s="12"/>
      <c r="E665" s="64" t="str">
        <f>IF(ISBLANK(D665)=TRUE,"",VLOOKUP(D665,Krav!$C:$F,4,FALSE))</f>
        <v/>
      </c>
      <c r="F665" s="84" t="s">
        <v>224</v>
      </c>
      <c r="G665" s="12" t="s">
        <v>524</v>
      </c>
      <c r="H665" s="84" t="s">
        <v>596</v>
      </c>
      <c r="I665" s="84" t="s">
        <v>129</v>
      </c>
      <c r="J665" s="87" t="s">
        <v>222</v>
      </c>
      <c r="K665" s="128" t="s">
        <v>222</v>
      </c>
      <c r="L665" s="4" t="s">
        <v>3</v>
      </c>
      <c r="M665" s="61" t="s">
        <v>131</v>
      </c>
      <c r="N665" s="61" t="s">
        <v>131</v>
      </c>
      <c r="O665" s="61" t="s">
        <v>131</v>
      </c>
      <c r="P665" s="124" t="s">
        <v>129</v>
      </c>
      <c r="Q665" s="61" t="s">
        <v>131</v>
      </c>
      <c r="R665" s="61" t="s">
        <v>131</v>
      </c>
      <c r="S665" s="59"/>
      <c r="T665" s="59"/>
      <c r="U665" s="59"/>
      <c r="V665" s="59"/>
      <c r="W665" s="59"/>
      <c r="X665" s="59"/>
      <c r="Y665" s="59" t="s">
        <v>5</v>
      </c>
      <c r="Z665" s="59"/>
      <c r="AA665" s="59"/>
    </row>
    <row r="666" spans="1:28" s="90" customFormat="1" ht="16.5" customHeight="1" x14ac:dyDescent="0.3">
      <c r="A666" s="16">
        <v>14</v>
      </c>
      <c r="B666" s="23">
        <v>225</v>
      </c>
      <c r="C666" s="27" t="str">
        <f t="shared" si="18"/>
        <v>14.225</v>
      </c>
      <c r="D666" s="12"/>
      <c r="E666" s="64" t="str">
        <f>IF(ISBLANK(D666)=TRUE,"",VLOOKUP(D666,Krav!$C:$F,4,FALSE))</f>
        <v/>
      </c>
      <c r="F666" s="84" t="s">
        <v>224</v>
      </c>
      <c r="G666" s="12" t="s">
        <v>525</v>
      </c>
      <c r="H666" s="84" t="s">
        <v>596</v>
      </c>
      <c r="I666" s="84" t="s">
        <v>129</v>
      </c>
      <c r="J666" s="87" t="s">
        <v>222</v>
      </c>
      <c r="K666" s="128" t="s">
        <v>222</v>
      </c>
      <c r="L666" s="4" t="s">
        <v>3</v>
      </c>
      <c r="M666" s="61" t="s">
        <v>131</v>
      </c>
      <c r="N666" s="61" t="s">
        <v>131</v>
      </c>
      <c r="O666" s="61" t="s">
        <v>131</v>
      </c>
      <c r="P666" s="61" t="s">
        <v>131</v>
      </c>
      <c r="Q666" s="124" t="s">
        <v>129</v>
      </c>
      <c r="R666" s="61" t="s">
        <v>131</v>
      </c>
      <c r="S666" s="59"/>
      <c r="T666" s="59"/>
      <c r="U666" s="59"/>
      <c r="V666" s="59"/>
      <c r="W666" s="59"/>
      <c r="X666" s="59"/>
      <c r="Y666" s="59" t="s">
        <v>5</v>
      </c>
      <c r="Z666" s="59"/>
      <c r="AA666" s="59"/>
    </row>
    <row r="667" spans="1:28" s="90" customFormat="1" ht="16.5" customHeight="1" x14ac:dyDescent="0.3">
      <c r="A667" s="16">
        <v>14</v>
      </c>
      <c r="B667" s="23">
        <v>226</v>
      </c>
      <c r="C667" s="27" t="str">
        <f t="shared" si="18"/>
        <v>14.226</v>
      </c>
      <c r="D667" s="12"/>
      <c r="E667" s="64" t="str">
        <f>IF(ISBLANK(D667)=TRUE,"",VLOOKUP(D667,Krav!$C:$F,4,FALSE))</f>
        <v/>
      </c>
      <c r="F667" s="84" t="s">
        <v>224</v>
      </c>
      <c r="G667" s="12" t="s">
        <v>526</v>
      </c>
      <c r="H667" s="84" t="s">
        <v>596</v>
      </c>
      <c r="I667" s="84" t="s">
        <v>129</v>
      </c>
      <c r="J667" s="87" t="s">
        <v>222</v>
      </c>
      <c r="K667" s="127" t="s">
        <v>222</v>
      </c>
      <c r="L667" s="4" t="s">
        <v>3</v>
      </c>
      <c r="M667" s="61" t="s">
        <v>131</v>
      </c>
      <c r="N667" s="61" t="s">
        <v>131</v>
      </c>
      <c r="O667" s="61" t="s">
        <v>131</v>
      </c>
      <c r="P667" s="61" t="s">
        <v>131</v>
      </c>
      <c r="Q667" s="61" t="s">
        <v>131</v>
      </c>
      <c r="R667" s="124" t="s">
        <v>129</v>
      </c>
      <c r="S667" s="59"/>
      <c r="T667" s="59"/>
      <c r="U667" s="59"/>
      <c r="V667" s="59"/>
      <c r="W667" s="59"/>
      <c r="X667" s="59"/>
      <c r="Y667" s="59" t="s">
        <v>5</v>
      </c>
      <c r="Z667" s="59"/>
      <c r="AA667" s="59"/>
    </row>
    <row r="668" spans="1:28" s="90" customFormat="1" ht="16.5" customHeight="1" x14ac:dyDescent="0.3">
      <c r="A668" s="16">
        <v>14</v>
      </c>
      <c r="B668" s="23">
        <v>227</v>
      </c>
      <c r="C668" s="27" t="str">
        <f t="shared" si="18"/>
        <v>14.227</v>
      </c>
      <c r="D668" s="12"/>
      <c r="E668" s="64" t="str">
        <f>IF(ISBLANK(D668)=TRUE,"",VLOOKUP(D668,Krav!$C:$F,4,FALSE))</f>
        <v/>
      </c>
      <c r="F668" s="84" t="s">
        <v>224</v>
      </c>
      <c r="G668" s="12" t="s">
        <v>521</v>
      </c>
      <c r="H668" s="84" t="s">
        <v>596</v>
      </c>
      <c r="I668" s="84" t="s">
        <v>129</v>
      </c>
      <c r="J668" s="87" t="s">
        <v>222</v>
      </c>
      <c r="K668" s="128" t="s">
        <v>222</v>
      </c>
      <c r="L668" s="4" t="s">
        <v>3</v>
      </c>
      <c r="M668" s="124" t="s">
        <v>129</v>
      </c>
      <c r="N668" s="124" t="s">
        <v>129</v>
      </c>
      <c r="O668" s="124" t="s">
        <v>129</v>
      </c>
      <c r="P668" s="124" t="s">
        <v>129</v>
      </c>
      <c r="Q668" s="124" t="s">
        <v>129</v>
      </c>
      <c r="R668" s="61" t="s">
        <v>131</v>
      </c>
      <c r="S668" s="59"/>
      <c r="T668" s="59"/>
      <c r="U668" s="59"/>
      <c r="V668" s="59"/>
      <c r="W668" s="59"/>
      <c r="X668" s="59"/>
      <c r="Y668" s="59" t="s">
        <v>5</v>
      </c>
      <c r="Z668" s="59"/>
      <c r="AA668" s="59"/>
    </row>
    <row r="669" spans="1:28" s="90" customFormat="1" ht="16.5" customHeight="1" x14ac:dyDescent="0.3">
      <c r="A669" s="16">
        <v>14</v>
      </c>
      <c r="B669" s="23">
        <v>228</v>
      </c>
      <c r="C669" s="27" t="str">
        <f t="shared" si="18"/>
        <v>14.228</v>
      </c>
      <c r="D669" s="12"/>
      <c r="E669" s="64" t="str">
        <f>IF(ISBLANK(D669)=TRUE,"",VLOOKUP(D669,Krav!$C:$F,4,FALSE))</f>
        <v/>
      </c>
      <c r="F669" s="84" t="s">
        <v>224</v>
      </c>
      <c r="G669" s="12" t="s">
        <v>522</v>
      </c>
      <c r="H669" s="84" t="s">
        <v>596</v>
      </c>
      <c r="I669" s="84" t="s">
        <v>129</v>
      </c>
      <c r="J669" s="87" t="s">
        <v>222</v>
      </c>
      <c r="K669" s="128" t="s">
        <v>222</v>
      </c>
      <c r="L669" s="4" t="s">
        <v>3</v>
      </c>
      <c r="M669" s="124" t="s">
        <v>129</v>
      </c>
      <c r="N669" s="124" t="s">
        <v>129</v>
      </c>
      <c r="O669" s="124" t="s">
        <v>129</v>
      </c>
      <c r="P669" s="124" t="s">
        <v>129</v>
      </c>
      <c r="Q669" s="124" t="s">
        <v>129</v>
      </c>
      <c r="R669" s="61" t="s">
        <v>131</v>
      </c>
      <c r="S669" s="59"/>
      <c r="T669" s="59"/>
      <c r="U669" s="59"/>
      <c r="V669" s="59"/>
      <c r="W669" s="59"/>
      <c r="X669" s="59"/>
      <c r="Y669" s="59" t="s">
        <v>5</v>
      </c>
      <c r="Z669" s="59"/>
      <c r="AA669" s="59"/>
    </row>
    <row r="670" spans="1:28" s="90" customFormat="1" ht="16.5" customHeight="1" x14ac:dyDescent="0.3">
      <c r="A670" s="16">
        <v>14</v>
      </c>
      <c r="B670" s="23">
        <v>229</v>
      </c>
      <c r="C670" s="27" t="str">
        <f t="shared" si="18"/>
        <v>14.229</v>
      </c>
      <c r="D670" s="12"/>
      <c r="E670" s="64" t="str">
        <f>IF(ISBLANK(D670)=TRUE,"",VLOOKUP(D670,Krav!$C:$F,4,FALSE))</f>
        <v/>
      </c>
      <c r="F670" s="84" t="s">
        <v>224</v>
      </c>
      <c r="G670" s="12" t="s">
        <v>523</v>
      </c>
      <c r="H670" s="84" t="s">
        <v>596</v>
      </c>
      <c r="I670" s="84" t="s">
        <v>129</v>
      </c>
      <c r="J670" s="87" t="s">
        <v>222</v>
      </c>
      <c r="K670" s="128" t="s">
        <v>222</v>
      </c>
      <c r="L670" s="4" t="s">
        <v>3</v>
      </c>
      <c r="M670" s="124" t="s">
        <v>129</v>
      </c>
      <c r="N670" s="124" t="s">
        <v>129</v>
      </c>
      <c r="O670" s="124" t="s">
        <v>129</v>
      </c>
      <c r="P670" s="124" t="s">
        <v>129</v>
      </c>
      <c r="Q670" s="124" t="s">
        <v>129</v>
      </c>
      <c r="R670" s="61" t="s">
        <v>131</v>
      </c>
      <c r="S670" s="59"/>
      <c r="T670" s="59"/>
      <c r="U670" s="59"/>
      <c r="V670" s="59"/>
      <c r="W670" s="59"/>
      <c r="X670" s="59"/>
      <c r="Y670" s="59" t="s">
        <v>5</v>
      </c>
      <c r="Z670" s="59"/>
      <c r="AA670" s="59"/>
    </row>
    <row r="671" spans="1:28" s="90" customFormat="1" ht="16.5" customHeight="1" x14ac:dyDescent="0.3">
      <c r="A671" s="16">
        <v>14</v>
      </c>
      <c r="B671" s="23">
        <v>230</v>
      </c>
      <c r="C671" s="27" t="str">
        <f t="shared" ref="C671:C679" si="19">IF(B671&lt;10,_xlfn.CONCAT(A671,".0",B671),_xlfn.CONCAT(A671,".",B671))</f>
        <v>14.230</v>
      </c>
      <c r="D671" s="12"/>
      <c r="E671" s="64" t="str">
        <f>IF(ISBLANK(D671)=TRUE,"",VLOOKUP(D671,Krav!$C:$F,4,FALSE))</f>
        <v/>
      </c>
      <c r="F671" s="84" t="s">
        <v>224</v>
      </c>
      <c r="G671" s="12" t="s">
        <v>524</v>
      </c>
      <c r="H671" s="84" t="s">
        <v>596</v>
      </c>
      <c r="I671" s="84" t="s">
        <v>129</v>
      </c>
      <c r="J671" s="87" t="s">
        <v>222</v>
      </c>
      <c r="K671" s="128" t="s">
        <v>222</v>
      </c>
      <c r="L671" s="4" t="s">
        <v>3</v>
      </c>
      <c r="M671" s="124" t="s">
        <v>129</v>
      </c>
      <c r="N671" s="124" t="s">
        <v>129</v>
      </c>
      <c r="O671" s="124" t="s">
        <v>129</v>
      </c>
      <c r="P671" s="124" t="s">
        <v>129</v>
      </c>
      <c r="Q671" s="124" t="s">
        <v>129</v>
      </c>
      <c r="R671" s="61" t="s">
        <v>131</v>
      </c>
      <c r="S671" s="59"/>
      <c r="T671" s="59"/>
      <c r="U671" s="59"/>
      <c r="V671" s="59"/>
      <c r="W671" s="59"/>
      <c r="X671" s="59"/>
      <c r="Y671" s="59" t="s">
        <v>5</v>
      </c>
      <c r="Z671" s="59"/>
      <c r="AA671" s="59"/>
    </row>
    <row r="672" spans="1:28" s="90" customFormat="1" ht="16.5" customHeight="1" x14ac:dyDescent="0.3">
      <c r="A672" s="16">
        <v>14</v>
      </c>
      <c r="B672" s="23">
        <v>231</v>
      </c>
      <c r="C672" s="27" t="str">
        <f t="shared" si="19"/>
        <v>14.231</v>
      </c>
      <c r="D672" s="12"/>
      <c r="E672" s="64" t="str">
        <f>IF(ISBLANK(D672)=TRUE,"",VLOOKUP(D672,Krav!$C:$F,4,FALSE))</f>
        <v/>
      </c>
      <c r="F672" s="84" t="s">
        <v>224</v>
      </c>
      <c r="G672" s="12" t="s">
        <v>525</v>
      </c>
      <c r="H672" s="84" t="s">
        <v>596</v>
      </c>
      <c r="I672" s="84" t="s">
        <v>129</v>
      </c>
      <c r="J672" s="87" t="s">
        <v>222</v>
      </c>
      <c r="K672" s="128" t="s">
        <v>222</v>
      </c>
      <c r="L672" s="4" t="s">
        <v>3</v>
      </c>
      <c r="M672" s="124" t="s">
        <v>129</v>
      </c>
      <c r="N672" s="124" t="s">
        <v>129</v>
      </c>
      <c r="O672" s="124" t="s">
        <v>129</v>
      </c>
      <c r="P672" s="124" t="s">
        <v>129</v>
      </c>
      <c r="Q672" s="124" t="s">
        <v>129</v>
      </c>
      <c r="R672" s="61" t="s">
        <v>131</v>
      </c>
      <c r="S672" s="59"/>
      <c r="T672" s="59"/>
      <c r="U672" s="59"/>
      <c r="V672" s="59"/>
      <c r="W672" s="59"/>
      <c r="X672" s="59"/>
      <c r="Y672" s="59" t="s">
        <v>5</v>
      </c>
      <c r="Z672" s="59"/>
      <c r="AA672" s="59"/>
    </row>
    <row r="673" spans="1:30" s="90" customFormat="1" ht="16.5" customHeight="1" x14ac:dyDescent="0.3">
      <c r="A673" s="16">
        <v>14</v>
      </c>
      <c r="B673" s="23">
        <v>232</v>
      </c>
      <c r="C673" s="27" t="str">
        <f t="shared" si="19"/>
        <v>14.232</v>
      </c>
      <c r="D673" s="12"/>
      <c r="E673" s="64" t="str">
        <f>IF(ISBLANK(D673)=TRUE,"",VLOOKUP(D673,Krav!$C:$F,4,FALSE))</f>
        <v/>
      </c>
      <c r="F673" s="84" t="s">
        <v>224</v>
      </c>
      <c r="G673" s="12" t="s">
        <v>526</v>
      </c>
      <c r="H673" s="84" t="s">
        <v>596</v>
      </c>
      <c r="I673" s="87" t="s">
        <v>131</v>
      </c>
      <c r="J673" s="87" t="s">
        <v>222</v>
      </c>
      <c r="K673" s="128" t="s">
        <v>222</v>
      </c>
      <c r="L673" s="4" t="s">
        <v>3</v>
      </c>
      <c r="M673" s="124" t="s">
        <v>129</v>
      </c>
      <c r="N673" s="124" t="s">
        <v>129</v>
      </c>
      <c r="O673" s="124" t="s">
        <v>129</v>
      </c>
      <c r="P673" s="124" t="s">
        <v>129</v>
      </c>
      <c r="Q673" s="124" t="s">
        <v>129</v>
      </c>
      <c r="R673" s="61" t="s">
        <v>131</v>
      </c>
      <c r="S673" s="59"/>
      <c r="T673" s="59"/>
      <c r="U673" s="59"/>
      <c r="V673" s="59"/>
      <c r="W673" s="59"/>
      <c r="X673" s="59"/>
      <c r="Y673" s="59" t="s">
        <v>5</v>
      </c>
      <c r="Z673" s="59"/>
      <c r="AA673" s="59"/>
    </row>
    <row r="674" spans="1:30" s="90" customFormat="1" ht="16.5" customHeight="1" x14ac:dyDescent="0.3">
      <c r="A674" s="16">
        <v>14</v>
      </c>
      <c r="B674" s="23">
        <v>233</v>
      </c>
      <c r="C674" s="27" t="str">
        <f t="shared" si="19"/>
        <v>14.233</v>
      </c>
      <c r="D674" s="12"/>
      <c r="E674" s="64" t="str">
        <f>IF(ISBLANK(D674)=TRUE,"",VLOOKUP(D674,Krav!$C:$F,4,FALSE))</f>
        <v/>
      </c>
      <c r="F674" s="84" t="s">
        <v>224</v>
      </c>
      <c r="G674" s="12" t="s">
        <v>521</v>
      </c>
      <c r="H674" s="84" t="s">
        <v>597</v>
      </c>
      <c r="I674" s="87" t="s">
        <v>131</v>
      </c>
      <c r="J674" s="87" t="s">
        <v>222</v>
      </c>
      <c r="K674" s="128" t="s">
        <v>222</v>
      </c>
      <c r="L674" s="4" t="s">
        <v>3</v>
      </c>
      <c r="M674" s="124"/>
      <c r="N674" s="124"/>
      <c r="O674" s="124"/>
      <c r="P674" s="124"/>
      <c r="Q674" s="124"/>
      <c r="R674" s="61"/>
      <c r="S674" s="59"/>
      <c r="T674" s="59"/>
      <c r="U674" s="59"/>
      <c r="V674" s="59"/>
      <c r="W674" s="59"/>
      <c r="X674" s="59"/>
      <c r="Y674" s="59" t="s">
        <v>5</v>
      </c>
      <c r="Z674" s="59"/>
      <c r="AA674" s="59"/>
    </row>
    <row r="675" spans="1:30" s="90" customFormat="1" ht="16.5" customHeight="1" x14ac:dyDescent="0.3">
      <c r="A675" s="16">
        <v>14</v>
      </c>
      <c r="B675" s="23">
        <v>234</v>
      </c>
      <c r="C675" s="27" t="str">
        <f t="shared" si="19"/>
        <v>14.234</v>
      </c>
      <c r="D675" s="12"/>
      <c r="E675" s="64" t="str">
        <f>IF(ISBLANK(D675)=TRUE,"",VLOOKUP(D675,Krav!$C:$F,4,FALSE))</f>
        <v/>
      </c>
      <c r="F675" s="84" t="s">
        <v>224</v>
      </c>
      <c r="G675" s="12" t="s">
        <v>522</v>
      </c>
      <c r="H675" s="84" t="s">
        <v>597</v>
      </c>
      <c r="I675" s="87" t="s">
        <v>131</v>
      </c>
      <c r="J675" s="87" t="s">
        <v>222</v>
      </c>
      <c r="K675" s="128" t="s">
        <v>222</v>
      </c>
      <c r="L675" s="4" t="s">
        <v>3</v>
      </c>
      <c r="M675" s="124"/>
      <c r="N675" s="124"/>
      <c r="O675" s="124"/>
      <c r="P675" s="124"/>
      <c r="Q675" s="124"/>
      <c r="R675" s="61"/>
      <c r="S675" s="59"/>
      <c r="T675" s="59"/>
      <c r="U675" s="59"/>
      <c r="V675" s="59"/>
      <c r="W675" s="59"/>
      <c r="X675" s="59"/>
      <c r="Y675" s="59" t="s">
        <v>5</v>
      </c>
      <c r="Z675" s="59"/>
      <c r="AA675" s="59"/>
    </row>
    <row r="676" spans="1:30" s="90" customFormat="1" ht="16.5" customHeight="1" x14ac:dyDescent="0.3">
      <c r="A676" s="16">
        <v>14</v>
      </c>
      <c r="B676" s="23">
        <v>235</v>
      </c>
      <c r="C676" s="27" t="str">
        <f t="shared" si="19"/>
        <v>14.235</v>
      </c>
      <c r="D676" s="12"/>
      <c r="E676" s="64" t="str">
        <f>IF(ISBLANK(D676)=TRUE,"",VLOOKUP(D676,Krav!$C:$F,4,FALSE))</f>
        <v/>
      </c>
      <c r="F676" s="84" t="s">
        <v>224</v>
      </c>
      <c r="G676" s="12" t="s">
        <v>523</v>
      </c>
      <c r="H676" s="84" t="s">
        <v>597</v>
      </c>
      <c r="I676" s="87" t="s">
        <v>131</v>
      </c>
      <c r="J676" s="87" t="s">
        <v>222</v>
      </c>
      <c r="K676" s="128" t="s">
        <v>222</v>
      </c>
      <c r="L676" s="4" t="s">
        <v>3</v>
      </c>
      <c r="M676" s="124"/>
      <c r="N676" s="124"/>
      <c r="O676" s="124"/>
      <c r="P676" s="124"/>
      <c r="Q676" s="124"/>
      <c r="R676" s="61"/>
      <c r="S676" s="59"/>
      <c r="T676" s="59"/>
      <c r="U676" s="59"/>
      <c r="V676" s="59"/>
      <c r="W676" s="59"/>
      <c r="X676" s="59"/>
      <c r="Y676" s="59" t="s">
        <v>5</v>
      </c>
      <c r="Z676" s="59"/>
      <c r="AA676" s="59"/>
    </row>
    <row r="677" spans="1:30" s="90" customFormat="1" ht="16.5" customHeight="1" x14ac:dyDescent="0.3">
      <c r="A677" s="11">
        <v>14</v>
      </c>
      <c r="B677" s="23">
        <v>236</v>
      </c>
      <c r="C677" s="27" t="str">
        <f t="shared" si="19"/>
        <v>14.236</v>
      </c>
      <c r="D677" s="12"/>
      <c r="E677" s="64" t="str">
        <f>IF(ISBLANK(D677)=TRUE,"",VLOOKUP(D677,Krav!$C:$F,4,FALSE))</f>
        <v/>
      </c>
      <c r="F677" s="84" t="s">
        <v>224</v>
      </c>
      <c r="G677" s="12" t="s">
        <v>524</v>
      </c>
      <c r="H677" s="84" t="s">
        <v>597</v>
      </c>
      <c r="I677" s="87" t="s">
        <v>131</v>
      </c>
      <c r="J677" s="87" t="s">
        <v>222</v>
      </c>
      <c r="K677" s="128" t="s">
        <v>222</v>
      </c>
      <c r="L677" s="4" t="s">
        <v>3</v>
      </c>
      <c r="M677" s="124"/>
      <c r="N677" s="124"/>
      <c r="O677" s="124"/>
      <c r="P677" s="124"/>
      <c r="Q677" s="124"/>
      <c r="R677" s="61"/>
      <c r="S677" s="59"/>
      <c r="T677" s="59"/>
      <c r="U677" s="59"/>
      <c r="V677" s="59"/>
      <c r="W677" s="59"/>
      <c r="X677" s="59"/>
      <c r="Y677" s="59" t="s">
        <v>5</v>
      </c>
      <c r="Z677" s="59"/>
      <c r="AA677" s="59"/>
    </row>
    <row r="678" spans="1:30" s="90" customFormat="1" ht="16.5" customHeight="1" x14ac:dyDescent="0.3">
      <c r="A678" s="11">
        <v>14</v>
      </c>
      <c r="B678" s="23">
        <v>237</v>
      </c>
      <c r="C678" s="27" t="str">
        <f t="shared" si="19"/>
        <v>14.237</v>
      </c>
      <c r="D678" s="12"/>
      <c r="E678" s="64" t="str">
        <f>IF(ISBLANK(D678)=TRUE,"",VLOOKUP(D678,Krav!$C:$F,4,FALSE))</f>
        <v/>
      </c>
      <c r="F678" s="84" t="s">
        <v>224</v>
      </c>
      <c r="G678" s="12" t="s">
        <v>525</v>
      </c>
      <c r="H678" s="84" t="s">
        <v>597</v>
      </c>
      <c r="I678" s="87" t="s">
        <v>131</v>
      </c>
      <c r="J678" s="87" t="s">
        <v>222</v>
      </c>
      <c r="K678" s="128" t="s">
        <v>222</v>
      </c>
      <c r="L678" s="4" t="s">
        <v>3</v>
      </c>
      <c r="M678" s="124"/>
      <c r="N678" s="124"/>
      <c r="O678" s="124"/>
      <c r="P678" s="124"/>
      <c r="Q678" s="124"/>
      <c r="R678" s="61"/>
      <c r="S678" s="59"/>
      <c r="T678" s="59"/>
      <c r="U678" s="59"/>
      <c r="V678" s="59"/>
      <c r="W678" s="59"/>
      <c r="X678" s="59"/>
      <c r="Y678" s="59" t="s">
        <v>5</v>
      </c>
      <c r="Z678" s="59"/>
      <c r="AA678" s="59"/>
    </row>
    <row r="679" spans="1:30" s="90" customFormat="1" ht="16.5" customHeight="1" x14ac:dyDescent="0.3">
      <c r="A679" s="11">
        <v>14</v>
      </c>
      <c r="B679" s="23">
        <v>238</v>
      </c>
      <c r="C679" s="27" t="str">
        <f t="shared" si="19"/>
        <v>14.238</v>
      </c>
      <c r="D679" s="12"/>
      <c r="E679" s="64" t="str">
        <f>IF(ISBLANK(D679)=TRUE,"",VLOOKUP(D679,Krav!$C:$F,4,FALSE))</f>
        <v/>
      </c>
      <c r="F679" s="84" t="s">
        <v>224</v>
      </c>
      <c r="G679" s="12" t="s">
        <v>526</v>
      </c>
      <c r="H679" s="84" t="s">
        <v>597</v>
      </c>
      <c r="I679" s="87" t="s">
        <v>131</v>
      </c>
      <c r="J679" s="87" t="s">
        <v>222</v>
      </c>
      <c r="K679" s="128" t="s">
        <v>222</v>
      </c>
      <c r="L679" s="4" t="s">
        <v>3</v>
      </c>
      <c r="M679" s="124"/>
      <c r="N679" s="124"/>
      <c r="O679" s="124"/>
      <c r="P679" s="124"/>
      <c r="Q679" s="124"/>
      <c r="R679" s="61"/>
      <c r="S679" s="59"/>
      <c r="T679" s="59"/>
      <c r="U679" s="59"/>
      <c r="V679" s="59"/>
      <c r="W679" s="59"/>
      <c r="X679" s="59"/>
      <c r="Y679" s="59" t="s">
        <v>5</v>
      </c>
      <c r="Z679" s="59"/>
      <c r="AA679" s="59"/>
    </row>
    <row r="681" spans="1:30" s="57" customFormat="1" ht="16.5" customHeight="1" x14ac:dyDescent="0.3">
      <c r="E681" s="5"/>
      <c r="F681" s="5"/>
      <c r="H681" s="5"/>
      <c r="M681" s="62" t="s">
        <v>509</v>
      </c>
      <c r="N681" s="62" t="s">
        <v>1454</v>
      </c>
      <c r="O681" s="62" t="s">
        <v>1455</v>
      </c>
      <c r="P681" s="58" t="s">
        <v>510</v>
      </c>
      <c r="Q681" s="58" t="s">
        <v>1456</v>
      </c>
      <c r="R681" s="58" t="s">
        <v>1457</v>
      </c>
      <c r="S681" s="62" t="s">
        <v>511</v>
      </c>
      <c r="T681" s="62" t="s">
        <v>1458</v>
      </c>
      <c r="U681" s="62" t="s">
        <v>1459</v>
      </c>
      <c r="V681" s="62" t="s">
        <v>1460</v>
      </c>
      <c r="W681" s="62" t="s">
        <v>1461</v>
      </c>
      <c r="X681" s="62" t="s">
        <v>1462</v>
      </c>
      <c r="Y681" s="62" t="s">
        <v>1463</v>
      </c>
      <c r="Z681" s="62" t="s">
        <v>1464</v>
      </c>
      <c r="AA681" s="62" t="s">
        <v>1465</v>
      </c>
      <c r="AB681" s="58" t="s">
        <v>335</v>
      </c>
      <c r="AC681" s="58"/>
    </row>
    <row r="682" spans="1:30" s="57" customFormat="1" ht="16.5" customHeight="1" x14ac:dyDescent="0.3">
      <c r="E682" s="5"/>
      <c r="F682" s="5"/>
      <c r="H682" s="5"/>
      <c r="M682" s="58" t="s">
        <v>519</v>
      </c>
      <c r="N682" s="58" t="s">
        <v>1466</v>
      </c>
      <c r="O682" s="58" t="s">
        <v>1466</v>
      </c>
      <c r="P682" s="58" t="s">
        <v>519</v>
      </c>
      <c r="Q682" s="58" t="s">
        <v>1466</v>
      </c>
      <c r="R682" s="58" t="s">
        <v>1466</v>
      </c>
      <c r="S682" s="58" t="s">
        <v>519</v>
      </c>
      <c r="T682" s="58" t="s">
        <v>1466</v>
      </c>
      <c r="U682" s="58" t="s">
        <v>1466</v>
      </c>
      <c r="V682" s="58" t="s">
        <v>519</v>
      </c>
      <c r="W682" s="58" t="s">
        <v>1466</v>
      </c>
      <c r="X682" s="58" t="s">
        <v>1466</v>
      </c>
      <c r="Y682" s="58" t="s">
        <v>519</v>
      </c>
      <c r="Z682" s="58" t="s">
        <v>1466</v>
      </c>
      <c r="AA682" s="58" t="s">
        <v>1466</v>
      </c>
      <c r="AB682" s="58" t="s">
        <v>12</v>
      </c>
      <c r="AC682" s="58" t="s">
        <v>520</v>
      </c>
    </row>
    <row r="683" spans="1:30" s="1" customFormat="1" ht="15" customHeight="1" x14ac:dyDescent="0.3">
      <c r="A683" s="50" t="s">
        <v>6</v>
      </c>
      <c r="B683" s="51" t="s">
        <v>7</v>
      </c>
      <c r="C683" s="31" t="s">
        <v>0</v>
      </c>
      <c r="D683" s="31" t="s">
        <v>22</v>
      </c>
      <c r="E683" s="52" t="s">
        <v>99</v>
      </c>
      <c r="F683" s="52" t="s">
        <v>216</v>
      </c>
      <c r="G683" s="31" t="s">
        <v>217</v>
      </c>
      <c r="H683" s="52" t="s">
        <v>28</v>
      </c>
      <c r="I683" s="31" t="s">
        <v>218</v>
      </c>
      <c r="J683" s="31" t="s">
        <v>219</v>
      </c>
      <c r="K683" s="31" t="s">
        <v>220</v>
      </c>
      <c r="L683" s="31" t="s">
        <v>1</v>
      </c>
      <c r="M683" s="62" t="s">
        <v>521</v>
      </c>
      <c r="N683" s="62" t="s">
        <v>1467</v>
      </c>
      <c r="O683" s="62" t="s">
        <v>1468</v>
      </c>
      <c r="P683" s="62" t="s">
        <v>522</v>
      </c>
      <c r="Q683" s="62" t="s">
        <v>1469</v>
      </c>
      <c r="R683" s="62" t="s">
        <v>1470</v>
      </c>
      <c r="S683" s="62" t="s">
        <v>523</v>
      </c>
      <c r="T683" s="62" t="s">
        <v>1471</v>
      </c>
      <c r="U683" s="62" t="s">
        <v>1472</v>
      </c>
      <c r="V683" s="62" t="s">
        <v>1473</v>
      </c>
      <c r="W683" s="62" t="s">
        <v>1474</v>
      </c>
      <c r="X683" s="62" t="s">
        <v>1475</v>
      </c>
      <c r="Y683" s="62" t="s">
        <v>1476</v>
      </c>
      <c r="Z683" s="62" t="s">
        <v>1477</v>
      </c>
      <c r="AA683" s="62" t="s">
        <v>1478</v>
      </c>
      <c r="AB683" s="62" t="s">
        <v>233</v>
      </c>
      <c r="AC683" s="62"/>
      <c r="AD683" s="57"/>
    </row>
    <row r="684" spans="1:30" s="1" customFormat="1" ht="33" customHeight="1" x14ac:dyDescent="0.3">
      <c r="A684" s="16">
        <v>26</v>
      </c>
      <c r="B684" s="23">
        <v>1</v>
      </c>
      <c r="C684" s="27" t="str">
        <f>IF(B684&lt;10,_xlfn.CONCAT(A684,".0",B684),_xlfn.CONCAT(A684,".",B684))</f>
        <v>26.01</v>
      </c>
      <c r="D684" s="18" t="s">
        <v>1479</v>
      </c>
      <c r="E684" s="64" t="str">
        <f>IF(ISBLANK(D684)=TRUE,"",VLOOKUP(D684,Krav!$C:$F,4,FALSE))</f>
        <v>4.a.2.1.6 - Den indtastede "fra" periode for forfaldsdato skal gemmes i populationsarket</v>
      </c>
      <c r="F684" s="53" t="s">
        <v>221</v>
      </c>
      <c r="G684" s="53" t="s">
        <v>1467</v>
      </c>
      <c r="H684" s="25" t="s">
        <v>1480</v>
      </c>
      <c r="I684" s="65" t="s">
        <v>1481</v>
      </c>
      <c r="J684" s="67" t="s">
        <v>222</v>
      </c>
      <c r="K684" s="123" t="s">
        <v>222</v>
      </c>
      <c r="L684" s="20" t="s">
        <v>3</v>
      </c>
      <c r="M684" s="61" t="s">
        <v>129</v>
      </c>
      <c r="N684" s="61" t="s">
        <v>1481</v>
      </c>
      <c r="O684" s="61" t="s">
        <v>1482</v>
      </c>
      <c r="P684" s="61" t="s">
        <v>131</v>
      </c>
      <c r="Q684" s="61" t="s">
        <v>96</v>
      </c>
      <c r="R684" s="61" t="s">
        <v>96</v>
      </c>
      <c r="S684" s="61" t="s">
        <v>131</v>
      </c>
      <c r="T684" s="61" t="s">
        <v>96</v>
      </c>
      <c r="U684" s="61" t="s">
        <v>96</v>
      </c>
      <c r="V684" s="61" t="s">
        <v>131</v>
      </c>
      <c r="W684" s="61" t="s">
        <v>96</v>
      </c>
      <c r="X684" s="61" t="s">
        <v>96</v>
      </c>
      <c r="Y684" s="61" t="s">
        <v>131</v>
      </c>
      <c r="Z684" s="61" t="s">
        <v>96</v>
      </c>
      <c r="AA684" s="61" t="s">
        <v>96</v>
      </c>
      <c r="AB684" s="61">
        <v>1</v>
      </c>
    </row>
    <row r="685" spans="1:30" s="1" customFormat="1" ht="33" customHeight="1" x14ac:dyDescent="0.3">
      <c r="A685" s="16">
        <v>26</v>
      </c>
      <c r="B685" s="23">
        <v>2</v>
      </c>
      <c r="C685" s="27" t="str">
        <f>IF(B685&lt;10,_xlfn.CONCAT(A685,".0",B685),_xlfn.CONCAT(A685,".",B685))</f>
        <v>26.02</v>
      </c>
      <c r="D685" s="18" t="s">
        <v>1483</v>
      </c>
      <c r="E685" s="64" t="str">
        <f>IF(ISBLANK(D685)=TRUE,"",VLOOKUP(D685,Krav!$C:$F,4,FALSE))</f>
        <v>4.a.2.1.7 - Den indtastede "til" periode for forfaldsdato skal gemmes i populationsarket</v>
      </c>
      <c r="F685" s="53" t="s">
        <v>221</v>
      </c>
      <c r="G685" s="53" t="s">
        <v>1468</v>
      </c>
      <c r="H685" s="25" t="s">
        <v>1480</v>
      </c>
      <c r="I685" s="65" t="s">
        <v>1482</v>
      </c>
      <c r="J685" s="67" t="s">
        <v>222</v>
      </c>
      <c r="K685" s="123" t="s">
        <v>222</v>
      </c>
      <c r="L685" s="20" t="s">
        <v>3</v>
      </c>
      <c r="M685" s="61" t="s">
        <v>129</v>
      </c>
      <c r="N685" s="61" t="s">
        <v>1481</v>
      </c>
      <c r="O685" s="61" t="s">
        <v>1482</v>
      </c>
      <c r="P685" s="61" t="s">
        <v>131</v>
      </c>
      <c r="Q685" s="61" t="s">
        <v>96</v>
      </c>
      <c r="R685" s="61" t="s">
        <v>96</v>
      </c>
      <c r="S685" s="61" t="s">
        <v>131</v>
      </c>
      <c r="T685" s="61" t="s">
        <v>96</v>
      </c>
      <c r="U685" s="61" t="s">
        <v>96</v>
      </c>
      <c r="V685" s="61" t="s">
        <v>131</v>
      </c>
      <c r="W685" s="61" t="s">
        <v>96</v>
      </c>
      <c r="X685" s="61" t="s">
        <v>96</v>
      </c>
      <c r="Y685" s="61" t="s">
        <v>131</v>
      </c>
      <c r="Z685" s="61" t="s">
        <v>96</v>
      </c>
      <c r="AA685" s="61" t="s">
        <v>96</v>
      </c>
      <c r="AB685" s="61">
        <v>1</v>
      </c>
    </row>
    <row r="686" spans="1:30" s="1" customFormat="1" ht="33" customHeight="1" x14ac:dyDescent="0.3">
      <c r="A686" s="16">
        <v>26</v>
      </c>
      <c r="B686" s="23">
        <v>3</v>
      </c>
      <c r="C686" s="27" t="str">
        <f t="shared" ref="C686:C749" si="20">IF(B686&lt;10,_xlfn.CONCAT(A686,".0",B686),_xlfn.CONCAT(A686,".",B686))</f>
        <v>26.03</v>
      </c>
      <c r="D686" s="18" t="s">
        <v>1484</v>
      </c>
      <c r="E686" s="64" t="str">
        <f>IF(ISBLANK(D686)=TRUE,"",VLOOKUP(D686,Krav!$C:$F,4,FALSE))</f>
        <v>4.a.2.1.8 - Den indtastede "fra" periode for sidste rettidige betalingsdato skal gemmes i populationsarket</v>
      </c>
      <c r="F686" s="53" t="s">
        <v>221</v>
      </c>
      <c r="G686" s="53" t="s">
        <v>1469</v>
      </c>
      <c r="H686" s="25" t="s">
        <v>1485</v>
      </c>
      <c r="I686" s="65" t="s">
        <v>96</v>
      </c>
      <c r="J686" s="67" t="s">
        <v>222</v>
      </c>
      <c r="K686" s="123" t="s">
        <v>222</v>
      </c>
      <c r="L686" s="20" t="s">
        <v>3</v>
      </c>
      <c r="M686" s="61" t="s">
        <v>129</v>
      </c>
      <c r="N686" s="61" t="s">
        <v>1481</v>
      </c>
      <c r="O686" s="61" t="s">
        <v>1482</v>
      </c>
      <c r="P686" s="61" t="s">
        <v>131</v>
      </c>
      <c r="Q686" s="61" t="s">
        <v>96</v>
      </c>
      <c r="R686" s="61" t="s">
        <v>96</v>
      </c>
      <c r="S686" s="61" t="s">
        <v>131</v>
      </c>
      <c r="T686" s="61" t="s">
        <v>96</v>
      </c>
      <c r="U686" s="61" t="s">
        <v>96</v>
      </c>
      <c r="V686" s="61" t="s">
        <v>131</v>
      </c>
      <c r="W686" s="61" t="s">
        <v>96</v>
      </c>
      <c r="X686" s="61" t="s">
        <v>96</v>
      </c>
      <c r="Y686" s="61" t="s">
        <v>131</v>
      </c>
      <c r="Z686" s="61" t="s">
        <v>96</v>
      </c>
      <c r="AA686" s="61" t="s">
        <v>96</v>
      </c>
      <c r="AB686" s="61">
        <v>1</v>
      </c>
    </row>
    <row r="687" spans="1:30" s="1" customFormat="1" ht="33" customHeight="1" x14ac:dyDescent="0.3">
      <c r="A687" s="16">
        <v>26</v>
      </c>
      <c r="B687" s="23">
        <v>4</v>
      </c>
      <c r="C687" s="27" t="str">
        <f t="shared" si="20"/>
        <v>26.04</v>
      </c>
      <c r="D687" s="18" t="s">
        <v>1486</v>
      </c>
      <c r="E687" s="64" t="str">
        <f>IF(ISBLANK(D687)=TRUE,"",VLOOKUP(D687,Krav!$C:$F,4,FALSE))</f>
        <v>4.a.2.1.9 - Den indtastede "til" periode for sidste rettidige betalingsdato skal gemmes i populationsarket</v>
      </c>
      <c r="F687" s="53" t="s">
        <v>221</v>
      </c>
      <c r="G687" s="53" t="s">
        <v>1470</v>
      </c>
      <c r="H687" s="25" t="s">
        <v>1485</v>
      </c>
      <c r="I687" s="65" t="s">
        <v>96</v>
      </c>
      <c r="J687" s="67" t="s">
        <v>222</v>
      </c>
      <c r="K687" s="123" t="s">
        <v>222</v>
      </c>
      <c r="L687" s="20" t="s">
        <v>3</v>
      </c>
      <c r="M687" s="61" t="s">
        <v>129</v>
      </c>
      <c r="N687" s="61" t="s">
        <v>1481</v>
      </c>
      <c r="O687" s="61" t="s">
        <v>1482</v>
      </c>
      <c r="P687" s="61" t="s">
        <v>131</v>
      </c>
      <c r="Q687" s="61" t="s">
        <v>96</v>
      </c>
      <c r="R687" s="61" t="s">
        <v>96</v>
      </c>
      <c r="S687" s="61" t="s">
        <v>131</v>
      </c>
      <c r="T687" s="61" t="s">
        <v>96</v>
      </c>
      <c r="U687" s="61" t="s">
        <v>96</v>
      </c>
      <c r="V687" s="61" t="s">
        <v>131</v>
      </c>
      <c r="W687" s="61" t="s">
        <v>96</v>
      </c>
      <c r="X687" s="61" t="s">
        <v>96</v>
      </c>
      <c r="Y687" s="61" t="s">
        <v>131</v>
      </c>
      <c r="Z687" s="61" t="s">
        <v>96</v>
      </c>
      <c r="AA687" s="61" t="s">
        <v>96</v>
      </c>
      <c r="AB687" s="61">
        <v>1</v>
      </c>
    </row>
    <row r="688" spans="1:30" s="1" customFormat="1" ht="33" customHeight="1" x14ac:dyDescent="0.3">
      <c r="A688" s="16">
        <v>26</v>
      </c>
      <c r="B688" s="23">
        <v>5</v>
      </c>
      <c r="C688" s="27" t="str">
        <f t="shared" si="20"/>
        <v>26.05</v>
      </c>
      <c r="D688" s="18" t="s">
        <v>1487</v>
      </c>
      <c r="E688" s="64" t="str">
        <f>IF(ISBLANK(D688)=TRUE,"",VLOOKUP(D688,Krav!$C:$F,4,FALSE))</f>
        <v>4.a.2.1.3 - Den indtastede "fra" periode for stiftelsesdato skal gemmes i populationsarket</v>
      </c>
      <c r="F688" s="53" t="s">
        <v>221</v>
      </c>
      <c r="G688" s="53" t="s">
        <v>1471</v>
      </c>
      <c r="H688" s="25" t="s">
        <v>1488</v>
      </c>
      <c r="I688" s="65" t="s">
        <v>96</v>
      </c>
      <c r="J688" s="67" t="s">
        <v>222</v>
      </c>
      <c r="K688" s="123" t="s">
        <v>222</v>
      </c>
      <c r="L688" s="20" t="s">
        <v>3</v>
      </c>
      <c r="M688" s="61" t="s">
        <v>129</v>
      </c>
      <c r="N688" s="61" t="s">
        <v>1481</v>
      </c>
      <c r="O688" s="61" t="s">
        <v>1482</v>
      </c>
      <c r="P688" s="61" t="s">
        <v>131</v>
      </c>
      <c r="Q688" s="61" t="s">
        <v>96</v>
      </c>
      <c r="R688" s="61" t="s">
        <v>96</v>
      </c>
      <c r="S688" s="61" t="s">
        <v>131</v>
      </c>
      <c r="T688" s="61" t="s">
        <v>96</v>
      </c>
      <c r="U688" s="61" t="s">
        <v>96</v>
      </c>
      <c r="V688" s="61" t="s">
        <v>131</v>
      </c>
      <c r="W688" s="61" t="s">
        <v>96</v>
      </c>
      <c r="X688" s="61" t="s">
        <v>96</v>
      </c>
      <c r="Y688" s="61" t="s">
        <v>131</v>
      </c>
      <c r="Z688" s="61" t="s">
        <v>96</v>
      </c>
      <c r="AA688" s="61" t="s">
        <v>96</v>
      </c>
      <c r="AB688" s="61">
        <v>1</v>
      </c>
    </row>
    <row r="689" spans="1:28" s="1" customFormat="1" ht="33" customHeight="1" x14ac:dyDescent="0.3">
      <c r="A689" s="16">
        <v>26</v>
      </c>
      <c r="B689" s="23">
        <v>6</v>
      </c>
      <c r="C689" s="27" t="str">
        <f t="shared" si="20"/>
        <v>26.06</v>
      </c>
      <c r="D689" s="18" t="s">
        <v>1489</v>
      </c>
      <c r="E689" s="64" t="str">
        <f>IF(ISBLANK(D689)=TRUE,"",VLOOKUP(D689,Krav!$C:$F,4,FALSE))</f>
        <v>4.a.2.1.5 - Den indtastede "til" periode for stiftelsesdato skal gemmes i populationsarket</v>
      </c>
      <c r="F689" s="53" t="s">
        <v>221</v>
      </c>
      <c r="G689" s="53" t="s">
        <v>1472</v>
      </c>
      <c r="H689" s="25" t="s">
        <v>1488</v>
      </c>
      <c r="I689" s="65" t="s">
        <v>96</v>
      </c>
      <c r="J689" s="67" t="s">
        <v>222</v>
      </c>
      <c r="K689" s="123" t="s">
        <v>222</v>
      </c>
      <c r="L689" s="20" t="s">
        <v>3</v>
      </c>
      <c r="M689" s="61" t="s">
        <v>129</v>
      </c>
      <c r="N689" s="61" t="s">
        <v>1481</v>
      </c>
      <c r="O689" s="61" t="s">
        <v>1482</v>
      </c>
      <c r="P689" s="61" t="s">
        <v>131</v>
      </c>
      <c r="Q689" s="61" t="s">
        <v>96</v>
      </c>
      <c r="R689" s="61" t="s">
        <v>96</v>
      </c>
      <c r="S689" s="61" t="s">
        <v>131</v>
      </c>
      <c r="T689" s="61" t="s">
        <v>96</v>
      </c>
      <c r="U689" s="61" t="s">
        <v>96</v>
      </c>
      <c r="V689" s="61" t="s">
        <v>131</v>
      </c>
      <c r="W689" s="61" t="s">
        <v>96</v>
      </c>
      <c r="X689" s="61" t="s">
        <v>96</v>
      </c>
      <c r="Y689" s="61" t="s">
        <v>131</v>
      </c>
      <c r="Z689" s="61" t="s">
        <v>96</v>
      </c>
      <c r="AA689" s="61" t="s">
        <v>96</v>
      </c>
      <c r="AB689" s="61">
        <v>1</v>
      </c>
    </row>
    <row r="690" spans="1:28" s="1" customFormat="1" ht="33" customHeight="1" x14ac:dyDescent="0.3">
      <c r="A690" s="16">
        <v>26</v>
      </c>
      <c r="B690" s="23">
        <v>7</v>
      </c>
      <c r="C690" s="27" t="str">
        <f t="shared" si="20"/>
        <v>26.07</v>
      </c>
      <c r="D690" s="18" t="s">
        <v>1490</v>
      </c>
      <c r="E690" s="64" t="str">
        <f>IF(ISBLANK(D690)=TRUE,"",VLOOKUP(D690,Krav!$C:$F,4,FALSE))</f>
        <v>4.a.2.1.10 - Den indtastede "fra" periode for periode start skal gemmes i populationsarket</v>
      </c>
      <c r="F690" s="53" t="s">
        <v>221</v>
      </c>
      <c r="G690" s="53" t="s">
        <v>1474</v>
      </c>
      <c r="H690" s="25" t="s">
        <v>1491</v>
      </c>
      <c r="I690" s="65" t="s">
        <v>96</v>
      </c>
      <c r="J690" s="67" t="s">
        <v>222</v>
      </c>
      <c r="K690" s="123" t="s">
        <v>222</v>
      </c>
      <c r="L690" s="20" t="s">
        <v>3</v>
      </c>
      <c r="M690" s="61" t="s">
        <v>129</v>
      </c>
      <c r="N690" s="61" t="s">
        <v>1481</v>
      </c>
      <c r="O690" s="61" t="s">
        <v>1482</v>
      </c>
      <c r="P690" s="61" t="s">
        <v>131</v>
      </c>
      <c r="Q690" s="61" t="s">
        <v>96</v>
      </c>
      <c r="R690" s="61" t="s">
        <v>96</v>
      </c>
      <c r="S690" s="61" t="s">
        <v>131</v>
      </c>
      <c r="T690" s="61" t="s">
        <v>96</v>
      </c>
      <c r="U690" s="61" t="s">
        <v>96</v>
      </c>
      <c r="V690" s="61" t="s">
        <v>131</v>
      </c>
      <c r="W690" s="61" t="s">
        <v>96</v>
      </c>
      <c r="X690" s="61" t="s">
        <v>96</v>
      </c>
      <c r="Y690" s="61" t="s">
        <v>131</v>
      </c>
      <c r="Z690" s="61" t="s">
        <v>96</v>
      </c>
      <c r="AA690" s="61" t="s">
        <v>96</v>
      </c>
      <c r="AB690" s="61">
        <v>1</v>
      </c>
    </row>
    <row r="691" spans="1:28" s="1" customFormat="1" ht="33" customHeight="1" x14ac:dyDescent="0.3">
      <c r="A691" s="16">
        <v>26</v>
      </c>
      <c r="B691" s="23">
        <v>8</v>
      </c>
      <c r="C691" s="27" t="str">
        <f t="shared" si="20"/>
        <v>26.08</v>
      </c>
      <c r="D691" s="18" t="s">
        <v>1492</v>
      </c>
      <c r="E691" s="64" t="str">
        <f>IF(ISBLANK(D691)=TRUE,"",VLOOKUP(D691,Krav!$C:$F,4,FALSE))</f>
        <v>4.a.2.1.11 - Den indtastede "til" periode for periode start skal gemmes i populationsarket</v>
      </c>
      <c r="F691" s="53" t="s">
        <v>221</v>
      </c>
      <c r="G691" s="53" t="s">
        <v>1475</v>
      </c>
      <c r="H691" s="25" t="s">
        <v>1491</v>
      </c>
      <c r="I691" s="65" t="s">
        <v>96</v>
      </c>
      <c r="J691" s="67" t="s">
        <v>222</v>
      </c>
      <c r="K691" s="123" t="s">
        <v>222</v>
      </c>
      <c r="L691" s="20" t="s">
        <v>3</v>
      </c>
      <c r="M691" s="61" t="s">
        <v>129</v>
      </c>
      <c r="N691" s="61" t="s">
        <v>1481</v>
      </c>
      <c r="O691" s="61" t="s">
        <v>1482</v>
      </c>
      <c r="P691" s="61" t="s">
        <v>131</v>
      </c>
      <c r="Q691" s="61" t="s">
        <v>96</v>
      </c>
      <c r="R691" s="61" t="s">
        <v>96</v>
      </c>
      <c r="S691" s="61" t="s">
        <v>131</v>
      </c>
      <c r="T691" s="61" t="s">
        <v>96</v>
      </c>
      <c r="U691" s="61" t="s">
        <v>96</v>
      </c>
      <c r="V691" s="61" t="s">
        <v>131</v>
      </c>
      <c r="W691" s="61" t="s">
        <v>96</v>
      </c>
      <c r="X691" s="61" t="s">
        <v>96</v>
      </c>
      <c r="Y691" s="61" t="s">
        <v>131</v>
      </c>
      <c r="Z691" s="61" t="s">
        <v>96</v>
      </c>
      <c r="AA691" s="61" t="s">
        <v>96</v>
      </c>
      <c r="AB691" s="61">
        <v>1</v>
      </c>
    </row>
    <row r="692" spans="1:28" s="1" customFormat="1" ht="33" customHeight="1" x14ac:dyDescent="0.3">
      <c r="A692" s="16">
        <v>26</v>
      </c>
      <c r="B692" s="23">
        <v>9</v>
      </c>
      <c r="C692" s="27" t="str">
        <f t="shared" si="20"/>
        <v>26.09</v>
      </c>
      <c r="D692" s="18" t="s">
        <v>1493</v>
      </c>
      <c r="E692" s="64" t="str">
        <f>IF(ISBLANK(D692)=TRUE,"",VLOOKUP(D692,Krav!$C:$F,4,FALSE))</f>
        <v>4.a.2.1.12 - Den indtastede "fra" periode for periode slut skal gemmes i populationsarket</v>
      </c>
      <c r="F692" s="53" t="s">
        <v>221</v>
      </c>
      <c r="G692" s="53" t="s">
        <v>1477</v>
      </c>
      <c r="H692" s="25" t="s">
        <v>1494</v>
      </c>
      <c r="I692" s="65" t="s">
        <v>96</v>
      </c>
      <c r="J692" s="67" t="s">
        <v>222</v>
      </c>
      <c r="K692" s="123" t="s">
        <v>222</v>
      </c>
      <c r="L692" s="20" t="s">
        <v>3</v>
      </c>
      <c r="M692" s="61" t="s">
        <v>129</v>
      </c>
      <c r="N692" s="61" t="s">
        <v>1481</v>
      </c>
      <c r="O692" s="61" t="s">
        <v>1482</v>
      </c>
      <c r="P692" s="61" t="s">
        <v>131</v>
      </c>
      <c r="Q692" s="61" t="s">
        <v>96</v>
      </c>
      <c r="R692" s="61" t="s">
        <v>96</v>
      </c>
      <c r="S692" s="61" t="s">
        <v>131</v>
      </c>
      <c r="T692" s="61" t="s">
        <v>96</v>
      </c>
      <c r="U692" s="61" t="s">
        <v>96</v>
      </c>
      <c r="V692" s="61" t="s">
        <v>131</v>
      </c>
      <c r="W692" s="61" t="s">
        <v>96</v>
      </c>
      <c r="X692" s="61" t="s">
        <v>96</v>
      </c>
      <c r="Y692" s="61" t="s">
        <v>131</v>
      </c>
      <c r="Z692" s="61" t="s">
        <v>96</v>
      </c>
      <c r="AA692" s="61" t="s">
        <v>96</v>
      </c>
      <c r="AB692" s="61">
        <v>1</v>
      </c>
    </row>
    <row r="693" spans="1:28" s="1" customFormat="1" ht="33" customHeight="1" x14ac:dyDescent="0.3">
      <c r="A693" s="16">
        <v>26</v>
      </c>
      <c r="B693" s="23">
        <v>10</v>
      </c>
      <c r="C693" s="27" t="str">
        <f t="shared" si="20"/>
        <v>26.10</v>
      </c>
      <c r="D693" s="18" t="s">
        <v>1495</v>
      </c>
      <c r="E693" s="64" t="str">
        <f>IF(ISBLANK(D693)=TRUE,"",VLOOKUP(D693,Krav!$C:$F,4,FALSE))</f>
        <v>4.a.2.1.13 - Den indtastede "til" periode for periode slut skal gemmes i populationsarket</v>
      </c>
      <c r="F693" s="53" t="s">
        <v>221</v>
      </c>
      <c r="G693" s="53" t="s">
        <v>1478</v>
      </c>
      <c r="H693" s="25" t="s">
        <v>1494</v>
      </c>
      <c r="I693" s="65" t="s">
        <v>96</v>
      </c>
      <c r="J693" s="67" t="s">
        <v>222</v>
      </c>
      <c r="K693" s="123" t="s">
        <v>222</v>
      </c>
      <c r="L693" s="20" t="s">
        <v>3</v>
      </c>
      <c r="M693" s="61" t="s">
        <v>129</v>
      </c>
      <c r="N693" s="61" t="s">
        <v>1481</v>
      </c>
      <c r="O693" s="61" t="s">
        <v>1482</v>
      </c>
      <c r="P693" s="61" t="s">
        <v>131</v>
      </c>
      <c r="Q693" s="61" t="s">
        <v>96</v>
      </c>
      <c r="R693" s="61" t="s">
        <v>96</v>
      </c>
      <c r="S693" s="61" t="s">
        <v>131</v>
      </c>
      <c r="T693" s="61" t="s">
        <v>96</v>
      </c>
      <c r="U693" s="61" t="s">
        <v>96</v>
      </c>
      <c r="V693" s="61" t="s">
        <v>131</v>
      </c>
      <c r="W693" s="61" t="s">
        <v>96</v>
      </c>
      <c r="X693" s="61" t="s">
        <v>96</v>
      </c>
      <c r="Y693" s="61" t="s">
        <v>131</v>
      </c>
      <c r="Z693" s="61" t="s">
        <v>96</v>
      </c>
      <c r="AA693" s="61" t="s">
        <v>96</v>
      </c>
      <c r="AB693" s="61">
        <v>1</v>
      </c>
    </row>
    <row r="694" spans="1:28" s="1" customFormat="1" ht="33" customHeight="1" x14ac:dyDescent="0.3">
      <c r="A694" s="16">
        <v>26</v>
      </c>
      <c r="B694" s="23">
        <v>11</v>
      </c>
      <c r="C694" s="27" t="str">
        <f t="shared" si="20"/>
        <v>26.11</v>
      </c>
      <c r="D694" s="18"/>
      <c r="E694" s="64" t="str">
        <f>IF(ISBLANK(D694)=TRUE,"",VLOOKUP(D694,Krav!$C:$F,4,FALSE))</f>
        <v/>
      </c>
      <c r="F694" s="53" t="s">
        <v>225</v>
      </c>
      <c r="G694" s="53" t="s">
        <v>521</v>
      </c>
      <c r="H694" s="25" t="s">
        <v>1496</v>
      </c>
      <c r="I694" s="53" t="s">
        <v>509</v>
      </c>
      <c r="J694" s="67" t="s">
        <v>222</v>
      </c>
      <c r="K694" s="123" t="s">
        <v>222</v>
      </c>
      <c r="L694" s="20" t="s">
        <v>3</v>
      </c>
      <c r="M694" s="61" t="s">
        <v>129</v>
      </c>
      <c r="N694" s="61" t="s">
        <v>1481</v>
      </c>
      <c r="O694" s="61" t="s">
        <v>1482</v>
      </c>
      <c r="P694" s="61" t="s">
        <v>131</v>
      </c>
      <c r="Q694" s="61" t="s">
        <v>96</v>
      </c>
      <c r="R694" s="61" t="s">
        <v>96</v>
      </c>
      <c r="S694" s="61" t="s">
        <v>131</v>
      </c>
      <c r="T694" s="61" t="s">
        <v>96</v>
      </c>
      <c r="U694" s="61" t="s">
        <v>96</v>
      </c>
      <c r="V694" s="61" t="s">
        <v>131</v>
      </c>
      <c r="W694" s="61" t="s">
        <v>96</v>
      </c>
      <c r="X694" s="61" t="s">
        <v>96</v>
      </c>
      <c r="Y694" s="61" t="s">
        <v>131</v>
      </c>
      <c r="Z694" s="61" t="s">
        <v>96</v>
      </c>
      <c r="AA694" s="61" t="s">
        <v>96</v>
      </c>
      <c r="AB694" s="61">
        <v>1</v>
      </c>
    </row>
    <row r="695" spans="1:28" s="1" customFormat="1" ht="33" customHeight="1" x14ac:dyDescent="0.3">
      <c r="A695" s="16">
        <v>26</v>
      </c>
      <c r="B695" s="23">
        <v>12</v>
      </c>
      <c r="C695" s="27" t="str">
        <f t="shared" si="20"/>
        <v>26.12</v>
      </c>
      <c r="D695" s="18"/>
      <c r="E695" s="64" t="str">
        <f>IF(ISBLANK(D695)=TRUE,"",VLOOKUP(D695,Krav!$C:$F,4,FALSE))</f>
        <v/>
      </c>
      <c r="F695" s="53" t="s">
        <v>225</v>
      </c>
      <c r="G695" s="53" t="s">
        <v>1467</v>
      </c>
      <c r="H695" s="25" t="s">
        <v>1497</v>
      </c>
      <c r="I695" s="65" t="s">
        <v>1481</v>
      </c>
      <c r="J695" s="67" t="s">
        <v>222</v>
      </c>
      <c r="K695" s="123" t="s">
        <v>222</v>
      </c>
      <c r="L695" s="20" t="s">
        <v>3</v>
      </c>
      <c r="M695" s="61" t="s">
        <v>129</v>
      </c>
      <c r="N695" s="61" t="s">
        <v>1481</v>
      </c>
      <c r="O695" s="61" t="s">
        <v>1482</v>
      </c>
      <c r="P695" s="61" t="s">
        <v>131</v>
      </c>
      <c r="Q695" s="61" t="s">
        <v>96</v>
      </c>
      <c r="R695" s="61" t="s">
        <v>96</v>
      </c>
      <c r="S695" s="61" t="s">
        <v>131</v>
      </c>
      <c r="T695" s="61" t="s">
        <v>96</v>
      </c>
      <c r="U695" s="61" t="s">
        <v>96</v>
      </c>
      <c r="V695" s="61" t="s">
        <v>131</v>
      </c>
      <c r="W695" s="61" t="s">
        <v>96</v>
      </c>
      <c r="X695" s="61" t="s">
        <v>96</v>
      </c>
      <c r="Y695" s="61" t="s">
        <v>131</v>
      </c>
      <c r="Z695" s="61" t="s">
        <v>96</v>
      </c>
      <c r="AA695" s="61" t="s">
        <v>96</v>
      </c>
      <c r="AB695" s="61">
        <v>1</v>
      </c>
    </row>
    <row r="696" spans="1:28" s="1" customFormat="1" ht="33" customHeight="1" x14ac:dyDescent="0.3">
      <c r="A696" s="16">
        <v>26</v>
      </c>
      <c r="B696" s="23">
        <v>13</v>
      </c>
      <c r="C696" s="27" t="str">
        <f t="shared" si="20"/>
        <v>26.13</v>
      </c>
      <c r="D696" s="18"/>
      <c r="E696" s="64" t="str">
        <f>IF(ISBLANK(D696)=TRUE,"",VLOOKUP(D696,Krav!$C:$F,4,FALSE))</f>
        <v/>
      </c>
      <c r="F696" s="53" t="s">
        <v>225</v>
      </c>
      <c r="G696" s="53" t="s">
        <v>1468</v>
      </c>
      <c r="H696" s="25" t="s">
        <v>1497</v>
      </c>
      <c r="I696" s="65" t="s">
        <v>1482</v>
      </c>
      <c r="J696" s="67" t="s">
        <v>222</v>
      </c>
      <c r="K696" s="123" t="s">
        <v>222</v>
      </c>
      <c r="L696" s="20" t="s">
        <v>3</v>
      </c>
      <c r="M696" s="61" t="s">
        <v>129</v>
      </c>
      <c r="N696" s="61" t="s">
        <v>1481</v>
      </c>
      <c r="O696" s="61" t="s">
        <v>1482</v>
      </c>
      <c r="P696" s="61" t="s">
        <v>131</v>
      </c>
      <c r="Q696" s="61" t="s">
        <v>96</v>
      </c>
      <c r="R696" s="61" t="s">
        <v>96</v>
      </c>
      <c r="S696" s="61" t="s">
        <v>131</v>
      </c>
      <c r="T696" s="61" t="s">
        <v>96</v>
      </c>
      <c r="U696" s="61" t="s">
        <v>96</v>
      </c>
      <c r="V696" s="61" t="s">
        <v>131</v>
      </c>
      <c r="W696" s="61" t="s">
        <v>96</v>
      </c>
      <c r="X696" s="61" t="s">
        <v>96</v>
      </c>
      <c r="Y696" s="61" t="s">
        <v>131</v>
      </c>
      <c r="Z696" s="61" t="s">
        <v>96</v>
      </c>
      <c r="AA696" s="61" t="s">
        <v>96</v>
      </c>
      <c r="AB696" s="61">
        <v>1</v>
      </c>
    </row>
    <row r="697" spans="1:28" s="1" customFormat="1" ht="33" customHeight="1" x14ac:dyDescent="0.3">
      <c r="A697" s="16">
        <v>26</v>
      </c>
      <c r="B697" s="23">
        <v>14</v>
      </c>
      <c r="C697" s="27" t="str">
        <f t="shared" si="20"/>
        <v>26.14</v>
      </c>
      <c r="D697" s="18"/>
      <c r="E697" s="64" t="str">
        <f>IF(ISBLANK(D697)=TRUE,"",VLOOKUP(D697,Krav!$C:$F,4,FALSE))</f>
        <v/>
      </c>
      <c r="F697" s="53" t="s">
        <v>225</v>
      </c>
      <c r="G697" s="53" t="s">
        <v>522</v>
      </c>
      <c r="H697" s="25" t="s">
        <v>1498</v>
      </c>
      <c r="I697" s="65" t="s">
        <v>96</v>
      </c>
      <c r="J697" s="67" t="s">
        <v>222</v>
      </c>
      <c r="K697" s="123" t="s">
        <v>222</v>
      </c>
      <c r="L697" s="20" t="s">
        <v>3</v>
      </c>
      <c r="M697" s="61" t="s">
        <v>129</v>
      </c>
      <c r="N697" s="61" t="s">
        <v>1481</v>
      </c>
      <c r="O697" s="61" t="s">
        <v>1482</v>
      </c>
      <c r="P697" s="61" t="s">
        <v>131</v>
      </c>
      <c r="Q697" s="61" t="s">
        <v>96</v>
      </c>
      <c r="R697" s="61" t="s">
        <v>96</v>
      </c>
      <c r="S697" s="61" t="s">
        <v>131</v>
      </c>
      <c r="T697" s="61" t="s">
        <v>96</v>
      </c>
      <c r="U697" s="61" t="s">
        <v>96</v>
      </c>
      <c r="V697" s="61" t="s">
        <v>131</v>
      </c>
      <c r="W697" s="61" t="s">
        <v>96</v>
      </c>
      <c r="X697" s="61" t="s">
        <v>96</v>
      </c>
      <c r="Y697" s="61" t="s">
        <v>131</v>
      </c>
      <c r="Z697" s="61" t="s">
        <v>96</v>
      </c>
      <c r="AA697" s="61" t="s">
        <v>96</v>
      </c>
      <c r="AB697" s="61">
        <v>1</v>
      </c>
    </row>
    <row r="698" spans="1:28" s="1" customFormat="1" ht="33" customHeight="1" x14ac:dyDescent="0.3">
      <c r="A698" s="16">
        <v>26</v>
      </c>
      <c r="B698" s="23">
        <v>15</v>
      </c>
      <c r="C698" s="27" t="str">
        <f t="shared" si="20"/>
        <v>26.15</v>
      </c>
      <c r="D698" s="18"/>
      <c r="E698" s="64" t="str">
        <f>IF(ISBLANK(D698)=TRUE,"",VLOOKUP(D698,Krav!$C:$F,4,FALSE))</f>
        <v/>
      </c>
      <c r="F698" s="53" t="s">
        <v>225</v>
      </c>
      <c r="G698" s="53" t="s">
        <v>1469</v>
      </c>
      <c r="H698" s="25" t="s">
        <v>1499</v>
      </c>
      <c r="I698" s="65" t="s">
        <v>96</v>
      </c>
      <c r="J698" s="67" t="s">
        <v>222</v>
      </c>
      <c r="K698" s="123" t="s">
        <v>222</v>
      </c>
      <c r="L698" s="20" t="s">
        <v>3</v>
      </c>
      <c r="M698" s="61" t="s">
        <v>129</v>
      </c>
      <c r="N698" s="61" t="s">
        <v>1481</v>
      </c>
      <c r="O698" s="61" t="s">
        <v>1482</v>
      </c>
      <c r="P698" s="61" t="s">
        <v>131</v>
      </c>
      <c r="Q698" s="61" t="s">
        <v>96</v>
      </c>
      <c r="R698" s="61" t="s">
        <v>96</v>
      </c>
      <c r="S698" s="61" t="s">
        <v>131</v>
      </c>
      <c r="T698" s="61" t="s">
        <v>96</v>
      </c>
      <c r="U698" s="61" t="s">
        <v>96</v>
      </c>
      <c r="V698" s="61" t="s">
        <v>131</v>
      </c>
      <c r="W698" s="61" t="s">
        <v>96</v>
      </c>
      <c r="X698" s="61" t="s">
        <v>96</v>
      </c>
      <c r="Y698" s="61" t="s">
        <v>131</v>
      </c>
      <c r="Z698" s="61" t="s">
        <v>96</v>
      </c>
      <c r="AA698" s="61" t="s">
        <v>96</v>
      </c>
      <c r="AB698" s="61">
        <v>1</v>
      </c>
    </row>
    <row r="699" spans="1:28" s="1" customFormat="1" ht="33" customHeight="1" x14ac:dyDescent="0.3">
      <c r="A699" s="16">
        <v>26</v>
      </c>
      <c r="B699" s="23">
        <v>16</v>
      </c>
      <c r="C699" s="27" t="str">
        <f t="shared" si="20"/>
        <v>26.16</v>
      </c>
      <c r="D699" s="18"/>
      <c r="E699" s="64" t="str">
        <f>IF(ISBLANK(D699)=TRUE,"",VLOOKUP(D699,Krav!$C:$F,4,FALSE))</f>
        <v/>
      </c>
      <c r="F699" s="53" t="s">
        <v>225</v>
      </c>
      <c r="G699" s="53" t="s">
        <v>1470</v>
      </c>
      <c r="H699" s="25" t="s">
        <v>1499</v>
      </c>
      <c r="I699" s="65" t="s">
        <v>96</v>
      </c>
      <c r="J699" s="67" t="s">
        <v>222</v>
      </c>
      <c r="K699" s="123" t="s">
        <v>222</v>
      </c>
      <c r="L699" s="20" t="s">
        <v>3</v>
      </c>
      <c r="M699" s="61" t="s">
        <v>129</v>
      </c>
      <c r="N699" s="61" t="s">
        <v>1481</v>
      </c>
      <c r="O699" s="61" t="s">
        <v>1482</v>
      </c>
      <c r="P699" s="61" t="s">
        <v>131</v>
      </c>
      <c r="Q699" s="61" t="s">
        <v>96</v>
      </c>
      <c r="R699" s="61" t="s">
        <v>96</v>
      </c>
      <c r="S699" s="61" t="s">
        <v>131</v>
      </c>
      <c r="T699" s="61" t="s">
        <v>96</v>
      </c>
      <c r="U699" s="61" t="s">
        <v>96</v>
      </c>
      <c r="V699" s="61" t="s">
        <v>131</v>
      </c>
      <c r="W699" s="61" t="s">
        <v>96</v>
      </c>
      <c r="X699" s="61" t="s">
        <v>96</v>
      </c>
      <c r="Y699" s="61" t="s">
        <v>131</v>
      </c>
      <c r="Z699" s="61" t="s">
        <v>96</v>
      </c>
      <c r="AA699" s="61" t="s">
        <v>96</v>
      </c>
      <c r="AB699" s="61">
        <v>1</v>
      </c>
    </row>
    <row r="700" spans="1:28" s="1" customFormat="1" ht="33" customHeight="1" x14ac:dyDescent="0.3">
      <c r="A700" s="16">
        <v>26</v>
      </c>
      <c r="B700" s="23">
        <v>17</v>
      </c>
      <c r="C700" s="27" t="str">
        <f t="shared" si="20"/>
        <v>26.17</v>
      </c>
      <c r="D700" s="18"/>
      <c r="E700" s="64" t="str">
        <f>IF(ISBLANK(D700)=TRUE,"",VLOOKUP(D700,Krav!$C:$F,4,FALSE))</f>
        <v/>
      </c>
      <c r="F700" s="53" t="s">
        <v>225</v>
      </c>
      <c r="G700" s="53" t="s">
        <v>523</v>
      </c>
      <c r="H700" s="25" t="s">
        <v>1500</v>
      </c>
      <c r="I700" s="65" t="s">
        <v>96</v>
      </c>
      <c r="J700" s="67" t="s">
        <v>222</v>
      </c>
      <c r="K700" s="123" t="s">
        <v>222</v>
      </c>
      <c r="L700" s="20" t="s">
        <v>3</v>
      </c>
      <c r="M700" s="61" t="s">
        <v>129</v>
      </c>
      <c r="N700" s="61" t="s">
        <v>1481</v>
      </c>
      <c r="O700" s="61" t="s">
        <v>1482</v>
      </c>
      <c r="P700" s="61" t="s">
        <v>131</v>
      </c>
      <c r="Q700" s="61" t="s">
        <v>96</v>
      </c>
      <c r="R700" s="61" t="s">
        <v>96</v>
      </c>
      <c r="S700" s="61" t="s">
        <v>131</v>
      </c>
      <c r="T700" s="61" t="s">
        <v>96</v>
      </c>
      <c r="U700" s="61" t="s">
        <v>96</v>
      </c>
      <c r="V700" s="61" t="s">
        <v>131</v>
      </c>
      <c r="W700" s="61" t="s">
        <v>96</v>
      </c>
      <c r="X700" s="61" t="s">
        <v>96</v>
      </c>
      <c r="Y700" s="61" t="s">
        <v>131</v>
      </c>
      <c r="Z700" s="61" t="s">
        <v>96</v>
      </c>
      <c r="AA700" s="61" t="s">
        <v>96</v>
      </c>
      <c r="AB700" s="61">
        <v>1</v>
      </c>
    </row>
    <row r="701" spans="1:28" s="1" customFormat="1" ht="33" customHeight="1" x14ac:dyDescent="0.3">
      <c r="A701" s="16">
        <v>26</v>
      </c>
      <c r="B701" s="23">
        <v>18</v>
      </c>
      <c r="C701" s="27" t="str">
        <f t="shared" si="20"/>
        <v>26.18</v>
      </c>
      <c r="D701" s="18"/>
      <c r="E701" s="64" t="str">
        <f>IF(ISBLANK(D701)=TRUE,"",VLOOKUP(D701,Krav!$C:$F,4,FALSE))</f>
        <v/>
      </c>
      <c r="F701" s="53" t="s">
        <v>225</v>
      </c>
      <c r="G701" s="53" t="s">
        <v>1471</v>
      </c>
      <c r="H701" s="25" t="s">
        <v>1501</v>
      </c>
      <c r="I701" s="65" t="s">
        <v>96</v>
      </c>
      <c r="J701" s="67" t="s">
        <v>222</v>
      </c>
      <c r="K701" s="123" t="s">
        <v>222</v>
      </c>
      <c r="L701" s="20" t="s">
        <v>3</v>
      </c>
      <c r="M701" s="61" t="s">
        <v>129</v>
      </c>
      <c r="N701" s="61" t="s">
        <v>1481</v>
      </c>
      <c r="O701" s="61" t="s">
        <v>1482</v>
      </c>
      <c r="P701" s="61" t="s">
        <v>131</v>
      </c>
      <c r="Q701" s="61" t="s">
        <v>96</v>
      </c>
      <c r="R701" s="61" t="s">
        <v>96</v>
      </c>
      <c r="S701" s="61" t="s">
        <v>131</v>
      </c>
      <c r="T701" s="61" t="s">
        <v>96</v>
      </c>
      <c r="U701" s="61" t="s">
        <v>96</v>
      </c>
      <c r="V701" s="61" t="s">
        <v>131</v>
      </c>
      <c r="W701" s="61" t="s">
        <v>96</v>
      </c>
      <c r="X701" s="61" t="s">
        <v>96</v>
      </c>
      <c r="Y701" s="61" t="s">
        <v>131</v>
      </c>
      <c r="Z701" s="61" t="s">
        <v>96</v>
      </c>
      <c r="AA701" s="61" t="s">
        <v>96</v>
      </c>
      <c r="AB701" s="61">
        <v>1</v>
      </c>
    </row>
    <row r="702" spans="1:28" s="1" customFormat="1" ht="33" customHeight="1" x14ac:dyDescent="0.3">
      <c r="A702" s="16">
        <v>26</v>
      </c>
      <c r="B702" s="23">
        <v>19</v>
      </c>
      <c r="C702" s="27" t="str">
        <f t="shared" si="20"/>
        <v>26.19</v>
      </c>
      <c r="D702" s="18"/>
      <c r="E702" s="64" t="str">
        <f>IF(ISBLANK(D702)=TRUE,"",VLOOKUP(D702,Krav!$C:$F,4,FALSE))</f>
        <v/>
      </c>
      <c r="F702" s="53" t="s">
        <v>225</v>
      </c>
      <c r="G702" s="53" t="s">
        <v>1472</v>
      </c>
      <c r="H702" s="25" t="s">
        <v>1501</v>
      </c>
      <c r="I702" s="65" t="s">
        <v>96</v>
      </c>
      <c r="J702" s="67" t="s">
        <v>222</v>
      </c>
      <c r="K702" s="123" t="s">
        <v>222</v>
      </c>
      <c r="L702" s="20" t="s">
        <v>3</v>
      </c>
      <c r="M702" s="61" t="s">
        <v>129</v>
      </c>
      <c r="N702" s="61" t="s">
        <v>1481</v>
      </c>
      <c r="O702" s="61" t="s">
        <v>1482</v>
      </c>
      <c r="P702" s="61" t="s">
        <v>131</v>
      </c>
      <c r="Q702" s="61" t="s">
        <v>96</v>
      </c>
      <c r="R702" s="61" t="s">
        <v>96</v>
      </c>
      <c r="S702" s="61" t="s">
        <v>131</v>
      </c>
      <c r="T702" s="61" t="s">
        <v>96</v>
      </c>
      <c r="U702" s="61" t="s">
        <v>96</v>
      </c>
      <c r="V702" s="61" t="s">
        <v>131</v>
      </c>
      <c r="W702" s="61" t="s">
        <v>96</v>
      </c>
      <c r="X702" s="61" t="s">
        <v>96</v>
      </c>
      <c r="Y702" s="61" t="s">
        <v>131</v>
      </c>
      <c r="Z702" s="61" t="s">
        <v>96</v>
      </c>
      <c r="AA702" s="61" t="s">
        <v>96</v>
      </c>
      <c r="AB702" s="61">
        <v>1</v>
      </c>
    </row>
    <row r="703" spans="1:28" s="1" customFormat="1" ht="33" customHeight="1" x14ac:dyDescent="0.3">
      <c r="A703" s="16">
        <v>26</v>
      </c>
      <c r="B703" s="23">
        <v>20</v>
      </c>
      <c r="C703" s="27" t="str">
        <f t="shared" si="20"/>
        <v>26.20</v>
      </c>
      <c r="D703" s="18"/>
      <c r="E703" s="64" t="str">
        <f>IF(ISBLANK(D703)=TRUE,"",VLOOKUP(D703,Krav!$C:$F,4,FALSE))</f>
        <v/>
      </c>
      <c r="F703" s="53" t="s">
        <v>225</v>
      </c>
      <c r="G703" s="53" t="s">
        <v>1473</v>
      </c>
      <c r="H703" s="25" t="s">
        <v>1502</v>
      </c>
      <c r="I703" s="65" t="s">
        <v>96</v>
      </c>
      <c r="J703" s="67" t="s">
        <v>222</v>
      </c>
      <c r="K703" s="123" t="s">
        <v>222</v>
      </c>
      <c r="L703" s="20" t="s">
        <v>3</v>
      </c>
      <c r="M703" s="61" t="s">
        <v>129</v>
      </c>
      <c r="N703" s="61" t="s">
        <v>1481</v>
      </c>
      <c r="O703" s="61" t="s">
        <v>1482</v>
      </c>
      <c r="P703" s="61" t="s">
        <v>131</v>
      </c>
      <c r="Q703" s="61" t="s">
        <v>96</v>
      </c>
      <c r="R703" s="61" t="s">
        <v>96</v>
      </c>
      <c r="S703" s="61" t="s">
        <v>131</v>
      </c>
      <c r="T703" s="61" t="s">
        <v>96</v>
      </c>
      <c r="U703" s="61" t="s">
        <v>96</v>
      </c>
      <c r="V703" s="61" t="s">
        <v>131</v>
      </c>
      <c r="W703" s="61" t="s">
        <v>96</v>
      </c>
      <c r="X703" s="61" t="s">
        <v>96</v>
      </c>
      <c r="Y703" s="61" t="s">
        <v>131</v>
      </c>
      <c r="Z703" s="61" t="s">
        <v>96</v>
      </c>
      <c r="AA703" s="61" t="s">
        <v>96</v>
      </c>
      <c r="AB703" s="61">
        <v>1</v>
      </c>
    </row>
    <row r="704" spans="1:28" s="1" customFormat="1" ht="33" customHeight="1" x14ac:dyDescent="0.3">
      <c r="A704" s="16">
        <v>26</v>
      </c>
      <c r="B704" s="23">
        <v>21</v>
      </c>
      <c r="C704" s="27" t="str">
        <f t="shared" si="20"/>
        <v>26.21</v>
      </c>
      <c r="D704" s="18"/>
      <c r="E704" s="64" t="str">
        <f>IF(ISBLANK(D704)=TRUE,"",VLOOKUP(D704,Krav!$C:$F,4,FALSE))</f>
        <v/>
      </c>
      <c r="F704" s="53" t="s">
        <v>225</v>
      </c>
      <c r="G704" s="53" t="s">
        <v>1474</v>
      </c>
      <c r="H704" s="25" t="s">
        <v>1503</v>
      </c>
      <c r="I704" s="65" t="s">
        <v>96</v>
      </c>
      <c r="J704" s="67" t="s">
        <v>222</v>
      </c>
      <c r="K704" s="123" t="s">
        <v>222</v>
      </c>
      <c r="L704" s="20" t="s">
        <v>3</v>
      </c>
      <c r="M704" s="61" t="s">
        <v>129</v>
      </c>
      <c r="N704" s="61" t="s">
        <v>1481</v>
      </c>
      <c r="O704" s="61" t="s">
        <v>1482</v>
      </c>
      <c r="P704" s="61" t="s">
        <v>131</v>
      </c>
      <c r="Q704" s="61" t="s">
        <v>96</v>
      </c>
      <c r="R704" s="61" t="s">
        <v>96</v>
      </c>
      <c r="S704" s="61" t="s">
        <v>131</v>
      </c>
      <c r="T704" s="61" t="s">
        <v>96</v>
      </c>
      <c r="U704" s="61" t="s">
        <v>96</v>
      </c>
      <c r="V704" s="61" t="s">
        <v>131</v>
      </c>
      <c r="W704" s="61" t="s">
        <v>96</v>
      </c>
      <c r="X704" s="61" t="s">
        <v>96</v>
      </c>
      <c r="Y704" s="61" t="s">
        <v>131</v>
      </c>
      <c r="Z704" s="61" t="s">
        <v>96</v>
      </c>
      <c r="AA704" s="61" t="s">
        <v>96</v>
      </c>
      <c r="AB704" s="61">
        <v>1</v>
      </c>
    </row>
    <row r="705" spans="1:29" s="1" customFormat="1" ht="33" customHeight="1" x14ac:dyDescent="0.3">
      <c r="A705" s="16">
        <v>26</v>
      </c>
      <c r="B705" s="23">
        <v>22</v>
      </c>
      <c r="C705" s="27" t="str">
        <f t="shared" si="20"/>
        <v>26.22</v>
      </c>
      <c r="D705" s="18"/>
      <c r="E705" s="64" t="str">
        <f>IF(ISBLANK(D705)=TRUE,"",VLOOKUP(D705,Krav!$C:$F,4,FALSE))</f>
        <v/>
      </c>
      <c r="F705" s="53" t="s">
        <v>225</v>
      </c>
      <c r="G705" s="53" t="s">
        <v>1475</v>
      </c>
      <c r="H705" s="25" t="s">
        <v>1503</v>
      </c>
      <c r="I705" s="65" t="s">
        <v>96</v>
      </c>
      <c r="J705" s="67" t="s">
        <v>222</v>
      </c>
      <c r="K705" s="123" t="s">
        <v>222</v>
      </c>
      <c r="L705" s="20" t="s">
        <v>3</v>
      </c>
      <c r="M705" s="61" t="s">
        <v>129</v>
      </c>
      <c r="N705" s="61" t="s">
        <v>1481</v>
      </c>
      <c r="O705" s="61" t="s">
        <v>1482</v>
      </c>
      <c r="P705" s="61" t="s">
        <v>131</v>
      </c>
      <c r="Q705" s="61" t="s">
        <v>96</v>
      </c>
      <c r="R705" s="61" t="s">
        <v>96</v>
      </c>
      <c r="S705" s="61" t="s">
        <v>131</v>
      </c>
      <c r="T705" s="61" t="s">
        <v>96</v>
      </c>
      <c r="U705" s="61" t="s">
        <v>96</v>
      </c>
      <c r="V705" s="61" t="s">
        <v>131</v>
      </c>
      <c r="W705" s="61" t="s">
        <v>96</v>
      </c>
      <c r="X705" s="61" t="s">
        <v>96</v>
      </c>
      <c r="Y705" s="61" t="s">
        <v>131</v>
      </c>
      <c r="Z705" s="61" t="s">
        <v>96</v>
      </c>
      <c r="AA705" s="61" t="s">
        <v>96</v>
      </c>
      <c r="AB705" s="61">
        <v>1</v>
      </c>
    </row>
    <row r="706" spans="1:29" s="1" customFormat="1" ht="33" customHeight="1" x14ac:dyDescent="0.3">
      <c r="A706" s="16">
        <v>26</v>
      </c>
      <c r="B706" s="23">
        <v>23</v>
      </c>
      <c r="C706" s="27" t="str">
        <f t="shared" si="20"/>
        <v>26.23</v>
      </c>
      <c r="D706" s="18"/>
      <c r="E706" s="64" t="str">
        <f>IF(ISBLANK(D706)=TRUE,"",VLOOKUP(D706,Krav!$C:$F,4,FALSE))</f>
        <v/>
      </c>
      <c r="F706" s="53" t="s">
        <v>225</v>
      </c>
      <c r="G706" s="53" t="s">
        <v>1476</v>
      </c>
      <c r="H706" s="25" t="s">
        <v>1504</v>
      </c>
      <c r="I706" s="65" t="s">
        <v>96</v>
      </c>
      <c r="J706" s="67" t="s">
        <v>222</v>
      </c>
      <c r="K706" s="123" t="s">
        <v>222</v>
      </c>
      <c r="L706" s="20" t="s">
        <v>3</v>
      </c>
      <c r="M706" s="61" t="s">
        <v>129</v>
      </c>
      <c r="N706" s="61" t="s">
        <v>1481</v>
      </c>
      <c r="O706" s="61" t="s">
        <v>1482</v>
      </c>
      <c r="P706" s="61" t="s">
        <v>131</v>
      </c>
      <c r="Q706" s="61" t="s">
        <v>96</v>
      </c>
      <c r="R706" s="61" t="s">
        <v>96</v>
      </c>
      <c r="S706" s="61" t="s">
        <v>131</v>
      </c>
      <c r="T706" s="61" t="s">
        <v>96</v>
      </c>
      <c r="U706" s="61" t="s">
        <v>96</v>
      </c>
      <c r="V706" s="61" t="s">
        <v>131</v>
      </c>
      <c r="W706" s="61" t="s">
        <v>96</v>
      </c>
      <c r="X706" s="61" t="s">
        <v>96</v>
      </c>
      <c r="Y706" s="61" t="s">
        <v>131</v>
      </c>
      <c r="Z706" s="61" t="s">
        <v>96</v>
      </c>
      <c r="AA706" s="61" t="s">
        <v>96</v>
      </c>
      <c r="AB706" s="61">
        <v>1</v>
      </c>
    </row>
    <row r="707" spans="1:29" s="1" customFormat="1" ht="33" customHeight="1" x14ac:dyDescent="0.3">
      <c r="A707" s="16">
        <v>26</v>
      </c>
      <c r="B707" s="23">
        <v>24</v>
      </c>
      <c r="C707" s="27" t="str">
        <f t="shared" si="20"/>
        <v>26.24</v>
      </c>
      <c r="D707" s="18"/>
      <c r="E707" s="64" t="str">
        <f>IF(ISBLANK(D707)=TRUE,"",VLOOKUP(D707,Krav!$C:$F,4,FALSE))</f>
        <v/>
      </c>
      <c r="F707" s="53" t="s">
        <v>225</v>
      </c>
      <c r="G707" s="53" t="s">
        <v>1477</v>
      </c>
      <c r="H707" s="25" t="s">
        <v>1505</v>
      </c>
      <c r="I707" s="65" t="s">
        <v>96</v>
      </c>
      <c r="J707" s="67" t="s">
        <v>222</v>
      </c>
      <c r="K707" s="123" t="s">
        <v>222</v>
      </c>
      <c r="L707" s="20" t="s">
        <v>3</v>
      </c>
      <c r="M707" s="61" t="s">
        <v>129</v>
      </c>
      <c r="N707" s="61" t="s">
        <v>1481</v>
      </c>
      <c r="O707" s="61" t="s">
        <v>1482</v>
      </c>
      <c r="P707" s="61" t="s">
        <v>131</v>
      </c>
      <c r="Q707" s="61" t="s">
        <v>96</v>
      </c>
      <c r="R707" s="61" t="s">
        <v>96</v>
      </c>
      <c r="S707" s="61" t="s">
        <v>131</v>
      </c>
      <c r="T707" s="61" t="s">
        <v>96</v>
      </c>
      <c r="U707" s="61" t="s">
        <v>96</v>
      </c>
      <c r="V707" s="61" t="s">
        <v>131</v>
      </c>
      <c r="W707" s="61" t="s">
        <v>96</v>
      </c>
      <c r="X707" s="61" t="s">
        <v>96</v>
      </c>
      <c r="Y707" s="61" t="s">
        <v>131</v>
      </c>
      <c r="Z707" s="61" t="s">
        <v>96</v>
      </c>
      <c r="AA707" s="61" t="s">
        <v>96</v>
      </c>
      <c r="AB707" s="61">
        <v>1</v>
      </c>
    </row>
    <row r="708" spans="1:29" s="1" customFormat="1" ht="33" customHeight="1" x14ac:dyDescent="0.3">
      <c r="A708" s="16">
        <v>26</v>
      </c>
      <c r="B708" s="23">
        <v>25</v>
      </c>
      <c r="C708" s="27" t="str">
        <f t="shared" si="20"/>
        <v>26.25</v>
      </c>
      <c r="D708" s="18"/>
      <c r="E708" s="64" t="str">
        <f>IF(ISBLANK(D708)=TRUE,"",VLOOKUP(D708,Krav!$C:$F,4,FALSE))</f>
        <v/>
      </c>
      <c r="F708" s="53" t="s">
        <v>225</v>
      </c>
      <c r="G708" s="53" t="s">
        <v>1478</v>
      </c>
      <c r="H708" s="25" t="s">
        <v>1505</v>
      </c>
      <c r="I708" s="65" t="s">
        <v>96</v>
      </c>
      <c r="J708" s="67" t="s">
        <v>222</v>
      </c>
      <c r="K708" s="123" t="s">
        <v>222</v>
      </c>
      <c r="L708" s="20" t="s">
        <v>3</v>
      </c>
      <c r="M708" s="61" t="s">
        <v>129</v>
      </c>
      <c r="N708" s="61" t="s">
        <v>1481</v>
      </c>
      <c r="O708" s="61" t="s">
        <v>1482</v>
      </c>
      <c r="P708" s="61" t="s">
        <v>131</v>
      </c>
      <c r="Q708" s="61" t="s">
        <v>96</v>
      </c>
      <c r="R708" s="61" t="s">
        <v>96</v>
      </c>
      <c r="S708" s="61" t="s">
        <v>131</v>
      </c>
      <c r="T708" s="61" t="s">
        <v>96</v>
      </c>
      <c r="U708" s="61" t="s">
        <v>96</v>
      </c>
      <c r="V708" s="61" t="s">
        <v>131</v>
      </c>
      <c r="W708" s="61" t="s">
        <v>96</v>
      </c>
      <c r="X708" s="61" t="s">
        <v>96</v>
      </c>
      <c r="Y708" s="61" t="s">
        <v>131</v>
      </c>
      <c r="Z708" s="61" t="s">
        <v>96</v>
      </c>
      <c r="AA708" s="61" t="s">
        <v>96</v>
      </c>
      <c r="AB708" s="61">
        <v>1</v>
      </c>
    </row>
    <row r="709" spans="1:29" s="1" customFormat="1" ht="33" customHeight="1" x14ac:dyDescent="0.3">
      <c r="A709" s="16">
        <v>26</v>
      </c>
      <c r="B709" s="23">
        <v>26</v>
      </c>
      <c r="C709" s="27" t="str">
        <f t="shared" si="20"/>
        <v>26.26</v>
      </c>
      <c r="D709" s="18"/>
      <c r="E709" s="64" t="str">
        <f>IF(ISBLANK(D709)=TRUE,"",VLOOKUP(D709,Krav!$C:$F,4,FALSE))</f>
        <v/>
      </c>
      <c r="F709" s="53" t="s">
        <v>221</v>
      </c>
      <c r="G709" s="53" t="s">
        <v>1467</v>
      </c>
      <c r="H709" s="25" t="s">
        <v>1506</v>
      </c>
      <c r="I709" s="65" t="s">
        <v>1481</v>
      </c>
      <c r="J709" s="96" t="s">
        <v>222</v>
      </c>
      <c r="K709" s="329" t="s">
        <v>222</v>
      </c>
      <c r="L709" s="20" t="s">
        <v>3</v>
      </c>
      <c r="M709" s="61" t="s">
        <v>129</v>
      </c>
      <c r="N709" s="142" t="s">
        <v>1481</v>
      </c>
      <c r="O709" s="61"/>
      <c r="P709" s="61" t="s">
        <v>131</v>
      </c>
      <c r="Q709" s="61" t="s">
        <v>96</v>
      </c>
      <c r="R709" s="61" t="s">
        <v>96</v>
      </c>
      <c r="S709" s="61" t="s">
        <v>131</v>
      </c>
      <c r="T709" s="61" t="s">
        <v>96</v>
      </c>
      <c r="U709" s="61" t="s">
        <v>96</v>
      </c>
      <c r="V709" s="61" t="s">
        <v>131</v>
      </c>
      <c r="W709" s="61" t="s">
        <v>96</v>
      </c>
      <c r="X709" s="61" t="s">
        <v>96</v>
      </c>
      <c r="Y709" s="61" t="s">
        <v>131</v>
      </c>
      <c r="Z709" s="61" t="s">
        <v>96</v>
      </c>
      <c r="AA709" s="61" t="s">
        <v>96</v>
      </c>
      <c r="AB709" s="61">
        <v>1</v>
      </c>
    </row>
    <row r="710" spans="1:29" s="1" customFormat="1" ht="33" customHeight="1" x14ac:dyDescent="0.3">
      <c r="A710" s="16">
        <v>26</v>
      </c>
      <c r="B710" s="23">
        <v>27</v>
      </c>
      <c r="C710" s="27" t="str">
        <f t="shared" si="20"/>
        <v>26.27</v>
      </c>
      <c r="D710" s="18"/>
      <c r="E710" s="64" t="str">
        <f>IF(ISBLANK(D710)=TRUE,"",VLOOKUP(D710,Krav!$C:$F,4,FALSE))</f>
        <v/>
      </c>
      <c r="F710" s="53" t="s">
        <v>221</v>
      </c>
      <c r="G710" s="53" t="s">
        <v>1468</v>
      </c>
      <c r="H710" s="25" t="s">
        <v>2355</v>
      </c>
      <c r="I710" s="96" t="s">
        <v>96</v>
      </c>
      <c r="J710" s="96" t="s">
        <v>222</v>
      </c>
      <c r="K710" s="329" t="s">
        <v>222</v>
      </c>
      <c r="L710" s="20" t="s">
        <v>3</v>
      </c>
      <c r="M710" s="61" t="s">
        <v>129</v>
      </c>
      <c r="N710" s="142" t="s">
        <v>1481</v>
      </c>
      <c r="O710" s="61"/>
      <c r="P710" s="61" t="s">
        <v>131</v>
      </c>
      <c r="Q710" s="61" t="s">
        <v>96</v>
      </c>
      <c r="R710" s="61" t="s">
        <v>96</v>
      </c>
      <c r="S710" s="61" t="s">
        <v>131</v>
      </c>
      <c r="T710" s="61" t="s">
        <v>96</v>
      </c>
      <c r="U710" s="61" t="s">
        <v>96</v>
      </c>
      <c r="V710" s="61" t="s">
        <v>131</v>
      </c>
      <c r="W710" s="61" t="s">
        <v>96</v>
      </c>
      <c r="X710" s="61" t="s">
        <v>96</v>
      </c>
      <c r="Y710" s="61" t="s">
        <v>131</v>
      </c>
      <c r="Z710" s="61" t="s">
        <v>96</v>
      </c>
      <c r="AA710" s="61" t="s">
        <v>96</v>
      </c>
      <c r="AB710" s="61">
        <v>1</v>
      </c>
    </row>
    <row r="711" spans="1:29" s="1" customFormat="1" ht="33" customHeight="1" x14ac:dyDescent="0.3">
      <c r="A711" s="16">
        <v>26</v>
      </c>
      <c r="B711" s="23">
        <v>28</v>
      </c>
      <c r="C711" s="27" t="str">
        <f t="shared" si="20"/>
        <v>26.28</v>
      </c>
      <c r="D711" s="18"/>
      <c r="E711" s="64" t="str">
        <f>IF(ISBLANK(D711)=TRUE,"",VLOOKUP(D711,Krav!$C:$F,4,FALSE))</f>
        <v/>
      </c>
      <c r="F711" s="53" t="s">
        <v>225</v>
      </c>
      <c r="G711" s="53" t="s">
        <v>1467</v>
      </c>
      <c r="H711" s="25" t="s">
        <v>1507</v>
      </c>
      <c r="I711" s="65" t="s">
        <v>1481</v>
      </c>
      <c r="J711" s="96" t="s">
        <v>222</v>
      </c>
      <c r="K711" s="329" t="s">
        <v>222</v>
      </c>
      <c r="L711" s="20" t="s">
        <v>3</v>
      </c>
      <c r="M711" s="61" t="s">
        <v>129</v>
      </c>
      <c r="N711" s="142" t="s">
        <v>1481</v>
      </c>
      <c r="O711" s="61"/>
      <c r="P711" s="61" t="s">
        <v>131</v>
      </c>
      <c r="Q711" s="61" t="s">
        <v>96</v>
      </c>
      <c r="R711" s="61" t="s">
        <v>96</v>
      </c>
      <c r="S711" s="61" t="s">
        <v>131</v>
      </c>
      <c r="T711" s="61" t="s">
        <v>96</v>
      </c>
      <c r="U711" s="61" t="s">
        <v>96</v>
      </c>
      <c r="V711" s="61" t="s">
        <v>131</v>
      </c>
      <c r="W711" s="61" t="s">
        <v>96</v>
      </c>
      <c r="X711" s="61" t="s">
        <v>96</v>
      </c>
      <c r="Y711" s="61" t="s">
        <v>131</v>
      </c>
      <c r="Z711" s="61" t="s">
        <v>96</v>
      </c>
      <c r="AA711" s="61" t="s">
        <v>96</v>
      </c>
      <c r="AB711" s="61">
        <v>1</v>
      </c>
    </row>
    <row r="712" spans="1:29" s="1" customFormat="1" ht="33" customHeight="1" x14ac:dyDescent="0.3">
      <c r="A712" s="16">
        <v>26</v>
      </c>
      <c r="B712" s="23">
        <v>29</v>
      </c>
      <c r="C712" s="27" t="str">
        <f t="shared" si="20"/>
        <v>26.29</v>
      </c>
      <c r="D712" s="18"/>
      <c r="E712" s="64" t="str">
        <f>IF(ISBLANK(D712)=TRUE,"",VLOOKUP(D712,Krav!$C:$F,4,FALSE))</f>
        <v/>
      </c>
      <c r="F712" s="53" t="s">
        <v>225</v>
      </c>
      <c r="G712" s="53" t="s">
        <v>1468</v>
      </c>
      <c r="H712" s="25" t="s">
        <v>2356</v>
      </c>
      <c r="I712" s="96" t="s">
        <v>96</v>
      </c>
      <c r="J712" s="96" t="s">
        <v>222</v>
      </c>
      <c r="K712" s="329" t="s">
        <v>222</v>
      </c>
      <c r="L712" s="20" t="s">
        <v>3</v>
      </c>
      <c r="M712" s="61" t="s">
        <v>129</v>
      </c>
      <c r="N712" s="142" t="s">
        <v>1481</v>
      </c>
      <c r="O712" s="61"/>
      <c r="P712" s="61" t="s">
        <v>131</v>
      </c>
      <c r="Q712" s="61" t="s">
        <v>96</v>
      </c>
      <c r="R712" s="61" t="s">
        <v>96</v>
      </c>
      <c r="S712" s="61" t="s">
        <v>131</v>
      </c>
      <c r="T712" s="61" t="s">
        <v>96</v>
      </c>
      <c r="U712" s="61" t="s">
        <v>96</v>
      </c>
      <c r="V712" s="61" t="s">
        <v>131</v>
      </c>
      <c r="W712" s="61" t="s">
        <v>96</v>
      </c>
      <c r="X712" s="61" t="s">
        <v>96</v>
      </c>
      <c r="Y712" s="61" t="s">
        <v>131</v>
      </c>
      <c r="Z712" s="61" t="s">
        <v>96</v>
      </c>
      <c r="AA712" s="61" t="s">
        <v>96</v>
      </c>
      <c r="AB712" s="61">
        <v>1</v>
      </c>
    </row>
    <row r="713" spans="1:29" s="1" customFormat="1" ht="33" customHeight="1" x14ac:dyDescent="0.3">
      <c r="A713" s="16">
        <v>26</v>
      </c>
      <c r="B713" s="23">
        <v>30</v>
      </c>
      <c r="C713" s="27" t="str">
        <f t="shared" si="20"/>
        <v>26.30</v>
      </c>
      <c r="D713" s="18"/>
      <c r="E713" s="64" t="str">
        <f>IF(ISBLANK(D713)=TRUE,"",VLOOKUP(D713,Krav!$C:$F,4,FALSE))</f>
        <v/>
      </c>
      <c r="F713" s="53" t="s">
        <v>221</v>
      </c>
      <c r="G713" s="53" t="s">
        <v>1467</v>
      </c>
      <c r="H713" s="25" t="s">
        <v>1508</v>
      </c>
      <c r="I713" s="66" t="s">
        <v>96</v>
      </c>
      <c r="J713" s="96" t="s">
        <v>222</v>
      </c>
      <c r="K713" s="331" t="s">
        <v>222</v>
      </c>
      <c r="L713" s="20" t="s">
        <v>3</v>
      </c>
      <c r="M713" s="61" t="s">
        <v>129</v>
      </c>
      <c r="N713" s="142"/>
      <c r="O713" s="61" t="s">
        <v>1482</v>
      </c>
      <c r="P713" s="61" t="s">
        <v>131</v>
      </c>
      <c r="Q713" s="61" t="s">
        <v>96</v>
      </c>
      <c r="R713" s="61" t="s">
        <v>96</v>
      </c>
      <c r="S713" s="61" t="s">
        <v>131</v>
      </c>
      <c r="T713" s="61" t="s">
        <v>96</v>
      </c>
      <c r="U713" s="61" t="s">
        <v>96</v>
      </c>
      <c r="V713" s="61" t="s">
        <v>131</v>
      </c>
      <c r="W713" s="61" t="s">
        <v>96</v>
      </c>
      <c r="X713" s="61" t="s">
        <v>96</v>
      </c>
      <c r="Y713" s="61" t="s">
        <v>131</v>
      </c>
      <c r="Z713" s="61" t="s">
        <v>96</v>
      </c>
      <c r="AA713" s="61" t="s">
        <v>96</v>
      </c>
      <c r="AB713" s="61" t="s">
        <v>33</v>
      </c>
      <c r="AC713" s="1" t="s">
        <v>1509</v>
      </c>
    </row>
    <row r="714" spans="1:29" s="1" customFormat="1" ht="33" customHeight="1" x14ac:dyDescent="0.3">
      <c r="A714" s="16">
        <v>26</v>
      </c>
      <c r="B714" s="23">
        <v>31</v>
      </c>
      <c r="C714" s="27" t="str">
        <f t="shared" si="20"/>
        <v>26.31</v>
      </c>
      <c r="D714" s="18"/>
      <c r="E714" s="64" t="str">
        <f>IF(ISBLANK(D714)=TRUE,"",VLOOKUP(D714,Krav!$C:$F,4,FALSE))</f>
        <v/>
      </c>
      <c r="F714" s="53" t="s">
        <v>221</v>
      </c>
      <c r="G714" s="53" t="s">
        <v>1468</v>
      </c>
      <c r="H714" s="25" t="s">
        <v>1508</v>
      </c>
      <c r="I714" s="66" t="s">
        <v>1482</v>
      </c>
      <c r="J714" s="96" t="s">
        <v>222</v>
      </c>
      <c r="K714" s="331" t="s">
        <v>222</v>
      </c>
      <c r="L714" s="20" t="s">
        <v>3</v>
      </c>
      <c r="M714" s="61" t="s">
        <v>129</v>
      </c>
      <c r="N714" s="142"/>
      <c r="O714" s="61" t="s">
        <v>1482</v>
      </c>
      <c r="P714" s="61" t="s">
        <v>131</v>
      </c>
      <c r="Q714" s="61" t="s">
        <v>96</v>
      </c>
      <c r="R714" s="61" t="s">
        <v>96</v>
      </c>
      <c r="S714" s="61" t="s">
        <v>131</v>
      </c>
      <c r="T714" s="61" t="s">
        <v>96</v>
      </c>
      <c r="U714" s="61" t="s">
        <v>96</v>
      </c>
      <c r="V714" s="61" t="s">
        <v>131</v>
      </c>
      <c r="W714" s="61" t="s">
        <v>96</v>
      </c>
      <c r="X714" s="61" t="s">
        <v>96</v>
      </c>
      <c r="Y714" s="61" t="s">
        <v>131</v>
      </c>
      <c r="Z714" s="61" t="s">
        <v>96</v>
      </c>
      <c r="AA714" s="61" t="s">
        <v>96</v>
      </c>
      <c r="AB714" s="61" t="s">
        <v>33</v>
      </c>
      <c r="AC714" s="1" t="s">
        <v>1509</v>
      </c>
    </row>
    <row r="715" spans="1:29" s="1" customFormat="1" ht="33" customHeight="1" x14ac:dyDescent="0.3">
      <c r="A715" s="16">
        <v>26</v>
      </c>
      <c r="B715" s="23">
        <v>32</v>
      </c>
      <c r="C715" s="27" t="str">
        <f t="shared" si="20"/>
        <v>26.32</v>
      </c>
      <c r="D715" s="18"/>
      <c r="E715" s="64" t="str">
        <f>IF(ISBLANK(D715)=TRUE,"",VLOOKUP(D715,Krav!$C:$F,4,FALSE))</f>
        <v/>
      </c>
      <c r="F715" s="53" t="s">
        <v>225</v>
      </c>
      <c r="G715" s="53" t="s">
        <v>1467</v>
      </c>
      <c r="H715" s="25" t="s">
        <v>1510</v>
      </c>
      <c r="I715" s="66" t="s">
        <v>96</v>
      </c>
      <c r="J715" s="96" t="s">
        <v>222</v>
      </c>
      <c r="K715" s="331" t="s">
        <v>222</v>
      </c>
      <c r="L715" s="20" t="s">
        <v>3</v>
      </c>
      <c r="M715" s="61" t="s">
        <v>129</v>
      </c>
      <c r="N715" s="142"/>
      <c r="O715" s="61" t="s">
        <v>1482</v>
      </c>
      <c r="P715" s="61" t="s">
        <v>131</v>
      </c>
      <c r="Q715" s="61" t="s">
        <v>96</v>
      </c>
      <c r="R715" s="61" t="s">
        <v>96</v>
      </c>
      <c r="S715" s="61" t="s">
        <v>131</v>
      </c>
      <c r="T715" s="61" t="s">
        <v>96</v>
      </c>
      <c r="U715" s="61" t="s">
        <v>96</v>
      </c>
      <c r="V715" s="61" t="s">
        <v>131</v>
      </c>
      <c r="W715" s="61" t="s">
        <v>96</v>
      </c>
      <c r="X715" s="61" t="s">
        <v>96</v>
      </c>
      <c r="Y715" s="61" t="s">
        <v>131</v>
      </c>
      <c r="Z715" s="61" t="s">
        <v>96</v>
      </c>
      <c r="AA715" s="61" t="s">
        <v>96</v>
      </c>
      <c r="AB715" s="61" t="s">
        <v>33</v>
      </c>
      <c r="AC715" s="1" t="s">
        <v>1509</v>
      </c>
    </row>
    <row r="716" spans="1:29" s="1" customFormat="1" ht="33" customHeight="1" x14ac:dyDescent="0.3">
      <c r="A716" s="16">
        <v>26</v>
      </c>
      <c r="B716" s="23">
        <v>33</v>
      </c>
      <c r="C716" s="27" t="str">
        <f t="shared" si="20"/>
        <v>26.33</v>
      </c>
      <c r="D716" s="18"/>
      <c r="E716" s="64" t="str">
        <f>IF(ISBLANK(D716)=TRUE,"",VLOOKUP(D716,Krav!$C:$F,4,FALSE))</f>
        <v/>
      </c>
      <c r="F716" s="53" t="s">
        <v>225</v>
      </c>
      <c r="G716" s="53" t="s">
        <v>1468</v>
      </c>
      <c r="H716" s="25" t="s">
        <v>1510</v>
      </c>
      <c r="I716" s="66" t="s">
        <v>1482</v>
      </c>
      <c r="J716" s="96" t="s">
        <v>222</v>
      </c>
      <c r="K716" s="331" t="s">
        <v>222</v>
      </c>
      <c r="L716" s="20" t="s">
        <v>3</v>
      </c>
      <c r="M716" s="61" t="s">
        <v>129</v>
      </c>
      <c r="N716" s="142"/>
      <c r="O716" s="61" t="s">
        <v>1482</v>
      </c>
      <c r="P716" s="61" t="s">
        <v>131</v>
      </c>
      <c r="Q716" s="61" t="s">
        <v>96</v>
      </c>
      <c r="R716" s="61" t="s">
        <v>96</v>
      </c>
      <c r="S716" s="61" t="s">
        <v>131</v>
      </c>
      <c r="T716" s="61" t="s">
        <v>96</v>
      </c>
      <c r="U716" s="61" t="s">
        <v>96</v>
      </c>
      <c r="V716" s="61" t="s">
        <v>131</v>
      </c>
      <c r="W716" s="61" t="s">
        <v>96</v>
      </c>
      <c r="X716" s="61" t="s">
        <v>96</v>
      </c>
      <c r="Y716" s="61" t="s">
        <v>131</v>
      </c>
      <c r="Z716" s="61" t="s">
        <v>96</v>
      </c>
      <c r="AA716" s="61" t="s">
        <v>96</v>
      </c>
      <c r="AB716" s="61" t="s">
        <v>33</v>
      </c>
      <c r="AC716" s="1" t="s">
        <v>1509</v>
      </c>
    </row>
    <row r="717" spans="1:29" s="1" customFormat="1" ht="33" customHeight="1" x14ac:dyDescent="0.3">
      <c r="A717" s="16">
        <v>26</v>
      </c>
      <c r="B717" s="23">
        <v>34</v>
      </c>
      <c r="C717" s="27" t="str">
        <f t="shared" si="20"/>
        <v>26.34</v>
      </c>
      <c r="D717" s="18"/>
      <c r="E717" s="64" t="str">
        <f>IF(ISBLANK(D717)=TRUE,"",VLOOKUP(D717,Krav!$C:$F,4,FALSE))</f>
        <v/>
      </c>
      <c r="F717" s="53" t="s">
        <v>418</v>
      </c>
      <c r="G717" s="53" t="s">
        <v>445</v>
      </c>
      <c r="H717" s="25" t="s">
        <v>1511</v>
      </c>
      <c r="I717" s="65" t="s">
        <v>129</v>
      </c>
      <c r="J717" s="96" t="s">
        <v>222</v>
      </c>
      <c r="K717" s="123" t="s">
        <v>222</v>
      </c>
      <c r="L717" s="20" t="s">
        <v>3</v>
      </c>
      <c r="M717" s="61" t="s">
        <v>129</v>
      </c>
      <c r="N717" s="61" t="s">
        <v>1481</v>
      </c>
      <c r="O717" s="61" t="s">
        <v>1482</v>
      </c>
      <c r="P717" s="61" t="s">
        <v>131</v>
      </c>
      <c r="Q717" s="61" t="s">
        <v>96</v>
      </c>
      <c r="R717" s="61" t="s">
        <v>96</v>
      </c>
      <c r="S717" s="61" t="s">
        <v>131</v>
      </c>
      <c r="T717" s="61" t="s">
        <v>96</v>
      </c>
      <c r="U717" s="61" t="s">
        <v>96</v>
      </c>
      <c r="V717" s="61" t="s">
        <v>131</v>
      </c>
      <c r="W717" s="61" t="s">
        <v>96</v>
      </c>
      <c r="X717" s="61" t="s">
        <v>96</v>
      </c>
      <c r="Y717" s="61" t="s">
        <v>131</v>
      </c>
      <c r="Z717" s="61" t="s">
        <v>96</v>
      </c>
      <c r="AA717" s="61" t="s">
        <v>96</v>
      </c>
      <c r="AB717" s="61">
        <v>1</v>
      </c>
    </row>
    <row r="718" spans="1:29" s="57" customFormat="1" ht="18.75" customHeight="1" x14ac:dyDescent="0.3">
      <c r="A718" s="16">
        <v>26</v>
      </c>
      <c r="B718" s="23">
        <v>35</v>
      </c>
      <c r="C718" s="27" t="str">
        <f t="shared" si="20"/>
        <v>26.35</v>
      </c>
      <c r="D718" s="18" t="s">
        <v>1512</v>
      </c>
      <c r="E718" s="64" t="str">
        <f>IF(ISBLANK(D718)=TRUE,"",VLOOKUP(D718,Krav!$C:$F,4,FALSE))</f>
        <v>4.a.2.1.2 - Når brugeren klikker på Videre skal denne ledes til spørgsmål 5</v>
      </c>
      <c r="F718" s="139" t="s">
        <v>143</v>
      </c>
      <c r="G718" s="139"/>
      <c r="H718" s="76" t="s">
        <v>1513</v>
      </c>
      <c r="I718" s="76" t="s">
        <v>146</v>
      </c>
      <c r="J718" s="67" t="s">
        <v>222</v>
      </c>
      <c r="K718" s="123" t="s">
        <v>222</v>
      </c>
      <c r="L718" s="4" t="s">
        <v>3</v>
      </c>
      <c r="M718" s="61" t="s">
        <v>129</v>
      </c>
      <c r="N718" s="142" t="s">
        <v>1481</v>
      </c>
      <c r="O718" s="61" t="s">
        <v>1482</v>
      </c>
      <c r="P718" s="61" t="s">
        <v>131</v>
      </c>
      <c r="Q718" s="61" t="s">
        <v>96</v>
      </c>
      <c r="R718" s="61" t="s">
        <v>96</v>
      </c>
      <c r="S718" s="61" t="s">
        <v>131</v>
      </c>
      <c r="T718" s="61" t="s">
        <v>96</v>
      </c>
      <c r="U718" s="61" t="s">
        <v>96</v>
      </c>
      <c r="V718" s="61" t="s">
        <v>131</v>
      </c>
      <c r="W718" s="61" t="s">
        <v>96</v>
      </c>
      <c r="X718" s="61" t="s">
        <v>96</v>
      </c>
      <c r="Y718" s="61" t="s">
        <v>131</v>
      </c>
      <c r="Z718" s="61" t="s">
        <v>96</v>
      </c>
      <c r="AA718" s="61" t="s">
        <v>96</v>
      </c>
      <c r="AB718" s="61">
        <v>1</v>
      </c>
    </row>
    <row r="719" spans="1:29" s="57" customFormat="1" ht="43.2" x14ac:dyDescent="0.3">
      <c r="A719" s="16">
        <v>26</v>
      </c>
      <c r="B719" s="23">
        <v>36</v>
      </c>
      <c r="C719" s="27" t="str">
        <f t="shared" si="20"/>
        <v>26.36</v>
      </c>
      <c r="D719" s="18"/>
      <c r="E719" s="64" t="str">
        <f>IF(ISBLANK(D719)=TRUE,"",VLOOKUP(D719,Krav!$C:$F,4,FALSE))</f>
        <v/>
      </c>
      <c r="F719" s="139" t="s">
        <v>174</v>
      </c>
      <c r="G719" s="139"/>
      <c r="H719" s="76" t="s">
        <v>1514</v>
      </c>
      <c r="I719" s="332" t="s">
        <v>1362</v>
      </c>
      <c r="J719" s="67" t="s">
        <v>222</v>
      </c>
      <c r="K719" s="123" t="s">
        <v>222</v>
      </c>
      <c r="L719" s="4" t="s">
        <v>4</v>
      </c>
      <c r="M719" s="61" t="s">
        <v>129</v>
      </c>
      <c r="N719" s="143" t="s">
        <v>118</v>
      </c>
      <c r="O719" s="142" t="s">
        <v>119</v>
      </c>
      <c r="P719" s="61" t="s">
        <v>131</v>
      </c>
      <c r="Q719" s="61" t="s">
        <v>96</v>
      </c>
      <c r="R719" s="61" t="s">
        <v>96</v>
      </c>
      <c r="S719" s="61" t="s">
        <v>131</v>
      </c>
      <c r="T719" s="61" t="s">
        <v>96</v>
      </c>
      <c r="U719" s="61" t="s">
        <v>96</v>
      </c>
      <c r="V719" s="61" t="s">
        <v>131</v>
      </c>
      <c r="W719" s="61" t="s">
        <v>96</v>
      </c>
      <c r="X719" s="61" t="s">
        <v>96</v>
      </c>
      <c r="Y719" s="61" t="s">
        <v>131</v>
      </c>
      <c r="Z719" s="61" t="s">
        <v>96</v>
      </c>
      <c r="AA719" s="61" t="s">
        <v>96</v>
      </c>
      <c r="AB719" s="61">
        <v>1</v>
      </c>
    </row>
    <row r="720" spans="1:29" s="57" customFormat="1" ht="43.2" x14ac:dyDescent="0.3">
      <c r="A720" s="16">
        <v>26</v>
      </c>
      <c r="B720" s="23">
        <v>37</v>
      </c>
      <c r="C720" s="27" t="str">
        <f t="shared" si="20"/>
        <v>26.37</v>
      </c>
      <c r="D720" s="18"/>
      <c r="E720" s="64" t="str">
        <f>IF(ISBLANK(D720)=TRUE,"",VLOOKUP(D720,Krav!$C:$F,4,FALSE))</f>
        <v/>
      </c>
      <c r="F720" s="139" t="s">
        <v>418</v>
      </c>
      <c r="G720" s="139" t="s">
        <v>419</v>
      </c>
      <c r="H720" s="76" t="s">
        <v>1515</v>
      </c>
      <c r="I720" s="76" t="s">
        <v>129</v>
      </c>
      <c r="J720" s="67" t="s">
        <v>222</v>
      </c>
      <c r="K720" s="123" t="s">
        <v>222</v>
      </c>
      <c r="L720" s="4" t="s">
        <v>4</v>
      </c>
      <c r="M720" s="61" t="s">
        <v>129</v>
      </c>
      <c r="N720" s="143" t="s">
        <v>118</v>
      </c>
      <c r="O720" s="142" t="s">
        <v>119</v>
      </c>
      <c r="P720" s="61" t="s">
        <v>131</v>
      </c>
      <c r="Q720" s="61" t="s">
        <v>96</v>
      </c>
      <c r="R720" s="61" t="s">
        <v>96</v>
      </c>
      <c r="S720" s="61" t="s">
        <v>131</v>
      </c>
      <c r="T720" s="61" t="s">
        <v>96</v>
      </c>
      <c r="U720" s="61" t="s">
        <v>96</v>
      </c>
      <c r="V720" s="61" t="s">
        <v>131</v>
      </c>
      <c r="W720" s="61" t="s">
        <v>96</v>
      </c>
      <c r="X720" s="61" t="s">
        <v>96</v>
      </c>
      <c r="Y720" s="61" t="s">
        <v>131</v>
      </c>
      <c r="Z720" s="61" t="s">
        <v>96</v>
      </c>
      <c r="AA720" s="61" t="s">
        <v>96</v>
      </c>
      <c r="AB720" s="61">
        <v>1</v>
      </c>
    </row>
    <row r="721" spans="1:28" s="57" customFormat="1" ht="43.2" x14ac:dyDescent="0.3">
      <c r="A721" s="16">
        <v>26</v>
      </c>
      <c r="B721" s="23">
        <v>38</v>
      </c>
      <c r="C721" s="27" t="str">
        <f t="shared" si="20"/>
        <v>26.38</v>
      </c>
      <c r="D721" s="18"/>
      <c r="E721" s="64" t="str">
        <f>IF(ISBLANK(D721)=TRUE,"",VLOOKUP(D721,Krav!$C:$F,4,FALSE))</f>
        <v/>
      </c>
      <c r="F721" s="139" t="s">
        <v>174</v>
      </c>
      <c r="G721" s="139"/>
      <c r="H721" s="76" t="s">
        <v>1516</v>
      </c>
      <c r="I721" s="76" t="s">
        <v>456</v>
      </c>
      <c r="J721" s="67" t="s">
        <v>222</v>
      </c>
      <c r="K721" s="123" t="s">
        <v>222</v>
      </c>
      <c r="L721" s="4" t="s">
        <v>4</v>
      </c>
      <c r="M721" s="61" t="s">
        <v>129</v>
      </c>
      <c r="N721" s="142" t="s">
        <v>119</v>
      </c>
      <c r="O721" s="143" t="s">
        <v>120</v>
      </c>
      <c r="P721" s="61" t="s">
        <v>131</v>
      </c>
      <c r="Q721" s="61" t="s">
        <v>96</v>
      </c>
      <c r="R721" s="61" t="s">
        <v>96</v>
      </c>
      <c r="S721" s="61" t="s">
        <v>131</v>
      </c>
      <c r="T721" s="61" t="s">
        <v>96</v>
      </c>
      <c r="U721" s="61" t="s">
        <v>96</v>
      </c>
      <c r="V721" s="61" t="s">
        <v>131</v>
      </c>
      <c r="W721" s="61" t="s">
        <v>96</v>
      </c>
      <c r="X721" s="61" t="s">
        <v>96</v>
      </c>
      <c r="Y721" s="61" t="s">
        <v>131</v>
      </c>
      <c r="Z721" s="61" t="s">
        <v>96</v>
      </c>
      <c r="AA721" s="61" t="s">
        <v>96</v>
      </c>
      <c r="AB721" s="61">
        <v>1</v>
      </c>
    </row>
    <row r="722" spans="1:28" s="57" customFormat="1" ht="43.2" x14ac:dyDescent="0.3">
      <c r="A722" s="16">
        <v>26</v>
      </c>
      <c r="B722" s="23">
        <v>39</v>
      </c>
      <c r="C722" s="27" t="str">
        <f t="shared" si="20"/>
        <v>26.39</v>
      </c>
      <c r="D722" s="18"/>
      <c r="E722" s="64" t="str">
        <f>IF(ISBLANK(D722)=TRUE,"",VLOOKUP(D722,Krav!$C:$F,4,FALSE))</f>
        <v/>
      </c>
      <c r="F722" s="139" t="s">
        <v>418</v>
      </c>
      <c r="G722" s="139" t="s">
        <v>419</v>
      </c>
      <c r="H722" s="76" t="s">
        <v>1517</v>
      </c>
      <c r="I722" s="76" t="s">
        <v>129</v>
      </c>
      <c r="J722" s="67" t="s">
        <v>222</v>
      </c>
      <c r="K722" s="123" t="s">
        <v>222</v>
      </c>
      <c r="L722" s="4" t="s">
        <v>4</v>
      </c>
      <c r="M722" s="61" t="s">
        <v>129</v>
      </c>
      <c r="N722" s="142" t="s">
        <v>119</v>
      </c>
      <c r="O722" s="143" t="s">
        <v>120</v>
      </c>
      <c r="P722" s="61" t="s">
        <v>131</v>
      </c>
      <c r="Q722" s="61" t="s">
        <v>96</v>
      </c>
      <c r="R722" s="61" t="s">
        <v>96</v>
      </c>
      <c r="S722" s="61" t="s">
        <v>131</v>
      </c>
      <c r="T722" s="61" t="s">
        <v>96</v>
      </c>
      <c r="U722" s="61" t="s">
        <v>96</v>
      </c>
      <c r="V722" s="61" t="s">
        <v>131</v>
      </c>
      <c r="W722" s="61" t="s">
        <v>96</v>
      </c>
      <c r="X722" s="61" t="s">
        <v>96</v>
      </c>
      <c r="Y722" s="61" t="s">
        <v>131</v>
      </c>
      <c r="Z722" s="61" t="s">
        <v>96</v>
      </c>
      <c r="AA722" s="61" t="s">
        <v>96</v>
      </c>
      <c r="AB722" s="61">
        <v>1</v>
      </c>
    </row>
    <row r="723" spans="1:28" s="57" customFormat="1" ht="43.2" x14ac:dyDescent="0.3">
      <c r="A723" s="16">
        <v>26</v>
      </c>
      <c r="B723" s="23">
        <v>40</v>
      </c>
      <c r="C723" s="27" t="str">
        <f t="shared" si="20"/>
        <v>26.40</v>
      </c>
      <c r="D723" s="18"/>
      <c r="E723" s="64" t="str">
        <f>IF(ISBLANK(D723)=TRUE,"",VLOOKUP(D723,Krav!$C:$F,4,FALSE))</f>
        <v/>
      </c>
      <c r="F723" s="139" t="s">
        <v>174</v>
      </c>
      <c r="G723" s="139"/>
      <c r="H723" s="76" t="s">
        <v>1518</v>
      </c>
      <c r="I723" s="76" t="s">
        <v>457</v>
      </c>
      <c r="J723" s="67" t="s">
        <v>222</v>
      </c>
      <c r="K723" s="123" t="s">
        <v>222</v>
      </c>
      <c r="L723" s="4" t="s">
        <v>4</v>
      </c>
      <c r="M723" s="61" t="s">
        <v>129</v>
      </c>
      <c r="N723" s="143" t="s">
        <v>121</v>
      </c>
      <c r="O723" s="142" t="s">
        <v>115</v>
      </c>
      <c r="P723" s="61" t="s">
        <v>131</v>
      </c>
      <c r="Q723" s="61" t="s">
        <v>96</v>
      </c>
      <c r="R723" s="61" t="s">
        <v>96</v>
      </c>
      <c r="S723" s="61" t="s">
        <v>131</v>
      </c>
      <c r="T723" s="61" t="s">
        <v>96</v>
      </c>
      <c r="U723" s="61" t="s">
        <v>96</v>
      </c>
      <c r="V723" s="61" t="s">
        <v>131</v>
      </c>
      <c r="W723" s="61" t="s">
        <v>96</v>
      </c>
      <c r="X723" s="61" t="s">
        <v>96</v>
      </c>
      <c r="Y723" s="61" t="s">
        <v>131</v>
      </c>
      <c r="Z723" s="61" t="s">
        <v>96</v>
      </c>
      <c r="AA723" s="61" t="s">
        <v>96</v>
      </c>
      <c r="AB723" s="61">
        <v>1</v>
      </c>
    </row>
    <row r="724" spans="1:28" s="57" customFormat="1" ht="43.2" x14ac:dyDescent="0.3">
      <c r="A724" s="16">
        <v>26</v>
      </c>
      <c r="B724" s="23">
        <v>41</v>
      </c>
      <c r="C724" s="27" t="str">
        <f t="shared" si="20"/>
        <v>26.41</v>
      </c>
      <c r="D724" s="18"/>
      <c r="E724" s="64" t="str">
        <f>IF(ISBLANK(D724)=TRUE,"",VLOOKUP(D724,Krav!$C:$F,4,FALSE))</f>
        <v/>
      </c>
      <c r="F724" s="139" t="s">
        <v>418</v>
      </c>
      <c r="G724" s="139" t="s">
        <v>419</v>
      </c>
      <c r="H724" s="76" t="s">
        <v>1519</v>
      </c>
      <c r="I724" s="76" t="s">
        <v>129</v>
      </c>
      <c r="J724" s="67" t="s">
        <v>222</v>
      </c>
      <c r="K724" s="123" t="s">
        <v>222</v>
      </c>
      <c r="L724" s="4" t="s">
        <v>4</v>
      </c>
      <c r="M724" s="61" t="s">
        <v>129</v>
      </c>
      <c r="N724" s="143" t="s">
        <v>121</v>
      </c>
      <c r="O724" s="142" t="s">
        <v>115</v>
      </c>
      <c r="P724" s="61" t="s">
        <v>131</v>
      </c>
      <c r="Q724" s="61" t="s">
        <v>96</v>
      </c>
      <c r="R724" s="61" t="s">
        <v>96</v>
      </c>
      <c r="S724" s="61" t="s">
        <v>131</v>
      </c>
      <c r="T724" s="61" t="s">
        <v>96</v>
      </c>
      <c r="U724" s="61" t="s">
        <v>96</v>
      </c>
      <c r="V724" s="61" t="s">
        <v>131</v>
      </c>
      <c r="W724" s="61" t="s">
        <v>96</v>
      </c>
      <c r="X724" s="61" t="s">
        <v>96</v>
      </c>
      <c r="Y724" s="61" t="s">
        <v>131</v>
      </c>
      <c r="Z724" s="61" t="s">
        <v>96</v>
      </c>
      <c r="AA724" s="61" t="s">
        <v>96</v>
      </c>
      <c r="AB724" s="61">
        <v>1</v>
      </c>
    </row>
    <row r="725" spans="1:28" s="57" customFormat="1" ht="43.2" x14ac:dyDescent="0.3">
      <c r="A725" s="16">
        <v>26</v>
      </c>
      <c r="B725" s="23">
        <v>42</v>
      </c>
      <c r="C725" s="27" t="str">
        <f t="shared" si="20"/>
        <v>26.42</v>
      </c>
      <c r="D725" s="18"/>
      <c r="E725" s="64" t="str">
        <f>IF(ISBLANK(D725)=TRUE,"",VLOOKUP(D725,Krav!$C:$F,4,FALSE))</f>
        <v/>
      </c>
      <c r="F725" s="139" t="s">
        <v>174</v>
      </c>
      <c r="G725" s="139"/>
      <c r="H725" s="76" t="s">
        <v>1520</v>
      </c>
      <c r="I725" s="76" t="s">
        <v>457</v>
      </c>
      <c r="J725" s="67" t="s">
        <v>222</v>
      </c>
      <c r="K725" s="123" t="s">
        <v>222</v>
      </c>
      <c r="L725" s="4" t="s">
        <v>4</v>
      </c>
      <c r="M725" s="61" t="s">
        <v>129</v>
      </c>
      <c r="N725" s="142" t="s">
        <v>113</v>
      </c>
      <c r="O725" s="143" t="s">
        <v>122</v>
      </c>
      <c r="P725" s="61" t="s">
        <v>131</v>
      </c>
      <c r="Q725" s="61" t="s">
        <v>96</v>
      </c>
      <c r="R725" s="61" t="s">
        <v>96</v>
      </c>
      <c r="S725" s="61" t="s">
        <v>131</v>
      </c>
      <c r="T725" s="61" t="s">
        <v>96</v>
      </c>
      <c r="U725" s="61" t="s">
        <v>96</v>
      </c>
      <c r="V725" s="61" t="s">
        <v>131</v>
      </c>
      <c r="W725" s="61" t="s">
        <v>96</v>
      </c>
      <c r="X725" s="61" t="s">
        <v>96</v>
      </c>
      <c r="Y725" s="61" t="s">
        <v>131</v>
      </c>
      <c r="Z725" s="61" t="s">
        <v>96</v>
      </c>
      <c r="AA725" s="61" t="s">
        <v>96</v>
      </c>
      <c r="AB725" s="61">
        <v>1</v>
      </c>
    </row>
    <row r="726" spans="1:28" s="57" customFormat="1" ht="43.2" x14ac:dyDescent="0.3">
      <c r="A726" s="16">
        <v>26</v>
      </c>
      <c r="B726" s="23">
        <v>43</v>
      </c>
      <c r="C726" s="27" t="str">
        <f t="shared" si="20"/>
        <v>26.43</v>
      </c>
      <c r="D726" s="18"/>
      <c r="E726" s="64" t="str">
        <f>IF(ISBLANK(D726)=TRUE,"",VLOOKUP(D726,Krav!$C:$F,4,FALSE))</f>
        <v/>
      </c>
      <c r="F726" s="139" t="s">
        <v>418</v>
      </c>
      <c r="G726" s="139" t="s">
        <v>419</v>
      </c>
      <c r="H726" s="76" t="s">
        <v>1521</v>
      </c>
      <c r="I726" s="76" t="s">
        <v>129</v>
      </c>
      <c r="J726" s="67" t="s">
        <v>222</v>
      </c>
      <c r="K726" s="123" t="s">
        <v>222</v>
      </c>
      <c r="L726" s="4" t="s">
        <v>4</v>
      </c>
      <c r="M726" s="61" t="s">
        <v>129</v>
      </c>
      <c r="N726" s="142" t="s">
        <v>113</v>
      </c>
      <c r="O726" s="143" t="s">
        <v>122</v>
      </c>
      <c r="P726" s="61" t="s">
        <v>131</v>
      </c>
      <c r="Q726" s="61" t="s">
        <v>96</v>
      </c>
      <c r="R726" s="61" t="s">
        <v>96</v>
      </c>
      <c r="S726" s="61" t="s">
        <v>131</v>
      </c>
      <c r="T726" s="61" t="s">
        <v>96</v>
      </c>
      <c r="U726" s="61" t="s">
        <v>96</v>
      </c>
      <c r="V726" s="61" t="s">
        <v>131</v>
      </c>
      <c r="W726" s="61" t="s">
        <v>96</v>
      </c>
      <c r="X726" s="61" t="s">
        <v>96</v>
      </c>
      <c r="Y726" s="61" t="s">
        <v>131</v>
      </c>
      <c r="Z726" s="61" t="s">
        <v>96</v>
      </c>
      <c r="AA726" s="61" t="s">
        <v>96</v>
      </c>
      <c r="AB726" s="61">
        <v>1</v>
      </c>
    </row>
    <row r="727" spans="1:28" s="57" customFormat="1" ht="43.2" x14ac:dyDescent="0.3">
      <c r="A727" s="16">
        <v>26</v>
      </c>
      <c r="B727" s="23">
        <v>44</v>
      </c>
      <c r="C727" s="27" t="str">
        <f t="shared" si="20"/>
        <v>26.44</v>
      </c>
      <c r="D727" s="18"/>
      <c r="E727" s="64" t="str">
        <f>IF(ISBLANK(D727)=TRUE,"",VLOOKUP(D727,Krav!$C:$F,4,FALSE))</f>
        <v/>
      </c>
      <c r="F727" s="139" t="s">
        <v>174</v>
      </c>
      <c r="G727" s="139"/>
      <c r="H727" s="76" t="s">
        <v>1522</v>
      </c>
      <c r="I727" s="76" t="s">
        <v>1363</v>
      </c>
      <c r="J727" s="67" t="s">
        <v>222</v>
      </c>
      <c r="K727" s="123" t="s">
        <v>222</v>
      </c>
      <c r="L727" s="4" t="s">
        <v>4</v>
      </c>
      <c r="M727" s="61" t="s">
        <v>129</v>
      </c>
      <c r="N727" s="143" t="s">
        <v>123</v>
      </c>
      <c r="O727" s="142" t="s">
        <v>119</v>
      </c>
      <c r="P727" s="61" t="s">
        <v>131</v>
      </c>
      <c r="Q727" s="61" t="s">
        <v>96</v>
      </c>
      <c r="R727" s="61" t="s">
        <v>96</v>
      </c>
      <c r="S727" s="61" t="s">
        <v>131</v>
      </c>
      <c r="T727" s="61" t="s">
        <v>96</v>
      </c>
      <c r="U727" s="61" t="s">
        <v>96</v>
      </c>
      <c r="V727" s="61" t="s">
        <v>131</v>
      </c>
      <c r="W727" s="61" t="s">
        <v>96</v>
      </c>
      <c r="X727" s="61" t="s">
        <v>96</v>
      </c>
      <c r="Y727" s="61" t="s">
        <v>131</v>
      </c>
      <c r="Z727" s="61" t="s">
        <v>96</v>
      </c>
      <c r="AA727" s="61" t="s">
        <v>96</v>
      </c>
      <c r="AB727" s="61">
        <v>1</v>
      </c>
    </row>
    <row r="728" spans="1:28" s="57" customFormat="1" ht="43.2" x14ac:dyDescent="0.3">
      <c r="A728" s="16">
        <v>26</v>
      </c>
      <c r="B728" s="23">
        <v>45</v>
      </c>
      <c r="C728" s="27" t="str">
        <f t="shared" si="20"/>
        <v>26.45</v>
      </c>
      <c r="D728" s="18"/>
      <c r="E728" s="64" t="str">
        <f>IF(ISBLANK(D728)=TRUE,"",VLOOKUP(D728,Krav!$C:$F,4,FALSE))</f>
        <v/>
      </c>
      <c r="F728" s="139" t="s">
        <v>418</v>
      </c>
      <c r="G728" s="139" t="s">
        <v>419</v>
      </c>
      <c r="H728" s="76" t="s">
        <v>1523</v>
      </c>
      <c r="I728" s="76" t="s">
        <v>129</v>
      </c>
      <c r="J728" s="67" t="s">
        <v>222</v>
      </c>
      <c r="K728" s="123" t="s">
        <v>222</v>
      </c>
      <c r="L728" s="4" t="s">
        <v>4</v>
      </c>
      <c r="M728" s="61" t="s">
        <v>129</v>
      </c>
      <c r="N728" s="143" t="s">
        <v>123</v>
      </c>
      <c r="O728" s="142" t="s">
        <v>119</v>
      </c>
      <c r="P728" s="61" t="s">
        <v>131</v>
      </c>
      <c r="Q728" s="61" t="s">
        <v>96</v>
      </c>
      <c r="R728" s="61" t="s">
        <v>96</v>
      </c>
      <c r="S728" s="61" t="s">
        <v>131</v>
      </c>
      <c r="T728" s="61" t="s">
        <v>96</v>
      </c>
      <c r="U728" s="61" t="s">
        <v>96</v>
      </c>
      <c r="V728" s="61" t="s">
        <v>131</v>
      </c>
      <c r="W728" s="61" t="s">
        <v>96</v>
      </c>
      <c r="X728" s="61" t="s">
        <v>96</v>
      </c>
      <c r="Y728" s="61" t="s">
        <v>131</v>
      </c>
      <c r="Z728" s="61" t="s">
        <v>96</v>
      </c>
      <c r="AA728" s="61" t="s">
        <v>96</v>
      </c>
      <c r="AB728" s="61">
        <v>1</v>
      </c>
    </row>
    <row r="729" spans="1:28" s="57" customFormat="1" ht="43.2" x14ac:dyDescent="0.3">
      <c r="A729" s="16">
        <v>26</v>
      </c>
      <c r="B729" s="23">
        <v>46</v>
      </c>
      <c r="C729" s="27" t="str">
        <f t="shared" si="20"/>
        <v>26.46</v>
      </c>
      <c r="D729" s="18"/>
      <c r="E729" s="64" t="str">
        <f>IF(ISBLANK(D729)=TRUE,"",VLOOKUP(D729,Krav!$C:$F,4,FALSE))</f>
        <v/>
      </c>
      <c r="F729" s="139" t="s">
        <v>174</v>
      </c>
      <c r="G729" s="139"/>
      <c r="H729" s="76" t="s">
        <v>1524</v>
      </c>
      <c r="I729" s="76" t="s">
        <v>1363</v>
      </c>
      <c r="J729" s="67" t="s">
        <v>222</v>
      </c>
      <c r="K729" s="123" t="s">
        <v>222</v>
      </c>
      <c r="L729" s="4" t="s">
        <v>4</v>
      </c>
      <c r="M729" s="61" t="s">
        <v>129</v>
      </c>
      <c r="N729" s="142" t="s">
        <v>119</v>
      </c>
      <c r="O729" s="143" t="s">
        <v>124</v>
      </c>
      <c r="P729" s="61" t="s">
        <v>131</v>
      </c>
      <c r="Q729" s="61" t="s">
        <v>96</v>
      </c>
      <c r="R729" s="61" t="s">
        <v>96</v>
      </c>
      <c r="S729" s="61" t="s">
        <v>131</v>
      </c>
      <c r="T729" s="61" t="s">
        <v>96</v>
      </c>
      <c r="U729" s="61" t="s">
        <v>96</v>
      </c>
      <c r="V729" s="61" t="s">
        <v>131</v>
      </c>
      <c r="W729" s="61" t="s">
        <v>96</v>
      </c>
      <c r="X729" s="61" t="s">
        <v>96</v>
      </c>
      <c r="Y729" s="61" t="s">
        <v>131</v>
      </c>
      <c r="Z729" s="61" t="s">
        <v>96</v>
      </c>
      <c r="AA729" s="61" t="s">
        <v>96</v>
      </c>
      <c r="AB729" s="61">
        <v>1</v>
      </c>
    </row>
    <row r="730" spans="1:28" s="57" customFormat="1" ht="43.2" x14ac:dyDescent="0.3">
      <c r="A730" s="16">
        <v>26</v>
      </c>
      <c r="B730" s="23">
        <v>47</v>
      </c>
      <c r="C730" s="27" t="str">
        <f t="shared" si="20"/>
        <v>26.47</v>
      </c>
      <c r="D730" s="18"/>
      <c r="E730" s="64" t="str">
        <f>IF(ISBLANK(D730)=TRUE,"",VLOOKUP(D730,Krav!$C:$F,4,FALSE))</f>
        <v/>
      </c>
      <c r="F730" s="139" t="s">
        <v>418</v>
      </c>
      <c r="G730" s="139" t="s">
        <v>419</v>
      </c>
      <c r="H730" s="76" t="s">
        <v>1525</v>
      </c>
      <c r="I730" s="76" t="s">
        <v>129</v>
      </c>
      <c r="J730" s="67" t="s">
        <v>222</v>
      </c>
      <c r="K730" s="123" t="s">
        <v>222</v>
      </c>
      <c r="L730" s="4" t="s">
        <v>4</v>
      </c>
      <c r="M730" s="61" t="s">
        <v>129</v>
      </c>
      <c r="N730" s="142" t="s">
        <v>119</v>
      </c>
      <c r="O730" s="143" t="s">
        <v>124</v>
      </c>
      <c r="P730" s="61" t="s">
        <v>131</v>
      </c>
      <c r="Q730" s="61" t="s">
        <v>96</v>
      </c>
      <c r="R730" s="61" t="s">
        <v>96</v>
      </c>
      <c r="S730" s="61" t="s">
        <v>131</v>
      </c>
      <c r="T730" s="61" t="s">
        <v>96</v>
      </c>
      <c r="U730" s="61" t="s">
        <v>96</v>
      </c>
      <c r="V730" s="61" t="s">
        <v>131</v>
      </c>
      <c r="W730" s="61" t="s">
        <v>96</v>
      </c>
      <c r="X730" s="61" t="s">
        <v>96</v>
      </c>
      <c r="Y730" s="61" t="s">
        <v>131</v>
      </c>
      <c r="Z730" s="61" t="s">
        <v>96</v>
      </c>
      <c r="AA730" s="61" t="s">
        <v>96</v>
      </c>
      <c r="AB730" s="61">
        <v>1</v>
      </c>
    </row>
    <row r="731" spans="1:28" s="57" customFormat="1" ht="43.2" x14ac:dyDescent="0.3">
      <c r="A731" s="16">
        <v>26</v>
      </c>
      <c r="B731" s="23">
        <v>48</v>
      </c>
      <c r="C731" s="27" t="str">
        <f t="shared" si="20"/>
        <v>26.48</v>
      </c>
      <c r="D731" s="18"/>
      <c r="E731" s="64" t="str">
        <f>IF(ISBLANK(D731)=TRUE,"",VLOOKUP(D731,Krav!$C:$F,4,FALSE))</f>
        <v/>
      </c>
      <c r="F731" s="139" t="s">
        <v>174</v>
      </c>
      <c r="G731" s="139"/>
      <c r="H731" s="76" t="s">
        <v>1526</v>
      </c>
      <c r="I731" s="67" t="s">
        <v>1527</v>
      </c>
      <c r="J731" s="67" t="s">
        <v>222</v>
      </c>
      <c r="K731" s="123" t="s">
        <v>222</v>
      </c>
      <c r="L731" s="4" t="s">
        <v>4</v>
      </c>
      <c r="M731" s="61" t="s">
        <v>129</v>
      </c>
      <c r="N731" s="142" t="s">
        <v>119</v>
      </c>
      <c r="O731" s="143" t="s">
        <v>181</v>
      </c>
      <c r="P731" s="61" t="s">
        <v>131</v>
      </c>
      <c r="Q731" s="61" t="s">
        <v>96</v>
      </c>
      <c r="R731" s="61" t="s">
        <v>96</v>
      </c>
      <c r="S731" s="61" t="s">
        <v>131</v>
      </c>
      <c r="T731" s="61" t="s">
        <v>96</v>
      </c>
      <c r="U731" s="61" t="s">
        <v>96</v>
      </c>
      <c r="V731" s="61" t="s">
        <v>131</v>
      </c>
      <c r="W731" s="61" t="s">
        <v>96</v>
      </c>
      <c r="X731" s="61" t="s">
        <v>96</v>
      </c>
      <c r="Y731" s="61" t="s">
        <v>131</v>
      </c>
      <c r="Z731" s="61" t="s">
        <v>96</v>
      </c>
      <c r="AA731" s="61" t="s">
        <v>96</v>
      </c>
      <c r="AB731" s="61">
        <v>1</v>
      </c>
    </row>
    <row r="732" spans="1:28" s="57" customFormat="1" ht="43.2" x14ac:dyDescent="0.3">
      <c r="A732" s="16">
        <v>26</v>
      </c>
      <c r="B732" s="23">
        <v>49</v>
      </c>
      <c r="C732" s="27" t="str">
        <f t="shared" si="20"/>
        <v>26.49</v>
      </c>
      <c r="D732" s="18"/>
      <c r="E732" s="64" t="str">
        <f>IF(ISBLANK(D732)=TRUE,"",VLOOKUP(D732,Krav!$C:$F,4,FALSE))</f>
        <v/>
      </c>
      <c r="F732" s="139" t="s">
        <v>418</v>
      </c>
      <c r="G732" s="139" t="s">
        <v>419</v>
      </c>
      <c r="H732" s="76" t="s">
        <v>1528</v>
      </c>
      <c r="I732" s="76" t="s">
        <v>129</v>
      </c>
      <c r="J732" s="67" t="s">
        <v>222</v>
      </c>
      <c r="K732" s="123" t="s">
        <v>222</v>
      </c>
      <c r="L732" s="4" t="s">
        <v>4</v>
      </c>
      <c r="M732" s="61" t="s">
        <v>129</v>
      </c>
      <c r="N732" s="142" t="s">
        <v>119</v>
      </c>
      <c r="O732" s="143" t="s">
        <v>181</v>
      </c>
      <c r="P732" s="61" t="s">
        <v>131</v>
      </c>
      <c r="Q732" s="61" t="s">
        <v>96</v>
      </c>
      <c r="R732" s="61" t="s">
        <v>96</v>
      </c>
      <c r="S732" s="61" t="s">
        <v>131</v>
      </c>
      <c r="T732" s="61" t="s">
        <v>96</v>
      </c>
      <c r="U732" s="61" t="s">
        <v>96</v>
      </c>
      <c r="V732" s="61" t="s">
        <v>131</v>
      </c>
      <c r="W732" s="61" t="s">
        <v>96</v>
      </c>
      <c r="X732" s="61" t="s">
        <v>96</v>
      </c>
      <c r="Y732" s="61" t="s">
        <v>131</v>
      </c>
      <c r="Z732" s="61" t="s">
        <v>96</v>
      </c>
      <c r="AA732" s="61" t="s">
        <v>96</v>
      </c>
      <c r="AB732" s="61">
        <v>1</v>
      </c>
    </row>
    <row r="733" spans="1:28" s="1" customFormat="1" ht="33" customHeight="1" x14ac:dyDescent="0.3">
      <c r="A733" s="16">
        <v>26</v>
      </c>
      <c r="B733" s="23">
        <v>50</v>
      </c>
      <c r="C733" s="27" t="str">
        <f t="shared" si="20"/>
        <v>26.50</v>
      </c>
      <c r="D733" s="18" t="s">
        <v>1479</v>
      </c>
      <c r="E733" s="64" t="str">
        <f>IF(ISBLANK(D733)=TRUE,"",VLOOKUP(D733,Krav!$C:$F,4,FALSE))</f>
        <v>4.a.2.1.6 - Den indtastede "fra" periode for forfaldsdato skal gemmes i populationsarket</v>
      </c>
      <c r="F733" s="53" t="s">
        <v>221</v>
      </c>
      <c r="G733" s="53" t="s">
        <v>1467</v>
      </c>
      <c r="H733" s="25" t="s">
        <v>1529</v>
      </c>
      <c r="I733" s="65" t="s">
        <v>96</v>
      </c>
      <c r="J733" s="67" t="s">
        <v>222</v>
      </c>
      <c r="K733" s="123" t="s">
        <v>222</v>
      </c>
      <c r="L733" s="20" t="s">
        <v>3</v>
      </c>
      <c r="M733" s="61" t="s">
        <v>131</v>
      </c>
      <c r="N733" s="61" t="s">
        <v>96</v>
      </c>
      <c r="O733" s="61" t="s">
        <v>96</v>
      </c>
      <c r="P733" s="61" t="s">
        <v>129</v>
      </c>
      <c r="Q733" s="61" t="s">
        <v>1481</v>
      </c>
      <c r="R733" s="61" t="s">
        <v>1482</v>
      </c>
      <c r="S733" s="61" t="s">
        <v>131</v>
      </c>
      <c r="T733" s="61" t="s">
        <v>96</v>
      </c>
      <c r="U733" s="61" t="s">
        <v>96</v>
      </c>
      <c r="V733" s="61" t="s">
        <v>131</v>
      </c>
      <c r="W733" s="61" t="s">
        <v>96</v>
      </c>
      <c r="X733" s="61" t="s">
        <v>96</v>
      </c>
      <c r="Y733" s="61" t="s">
        <v>131</v>
      </c>
      <c r="Z733" s="61" t="s">
        <v>96</v>
      </c>
      <c r="AA733" s="61" t="s">
        <v>96</v>
      </c>
      <c r="AB733" s="61">
        <v>1</v>
      </c>
    </row>
    <row r="734" spans="1:28" s="1" customFormat="1" ht="33" customHeight="1" x14ac:dyDescent="0.3">
      <c r="A734" s="16">
        <v>26</v>
      </c>
      <c r="B734" s="23">
        <v>51</v>
      </c>
      <c r="C734" s="27" t="str">
        <f t="shared" si="20"/>
        <v>26.51</v>
      </c>
      <c r="D734" s="18" t="s">
        <v>1483</v>
      </c>
      <c r="E734" s="64" t="str">
        <f>IF(ISBLANK(D734)=TRUE,"",VLOOKUP(D734,Krav!$C:$F,4,FALSE))</f>
        <v>4.a.2.1.7 - Den indtastede "til" periode for forfaldsdato skal gemmes i populationsarket</v>
      </c>
      <c r="F734" s="53" t="s">
        <v>221</v>
      </c>
      <c r="G734" s="53" t="s">
        <v>1468</v>
      </c>
      <c r="H734" s="25" t="s">
        <v>1529</v>
      </c>
      <c r="I734" s="65" t="s">
        <v>96</v>
      </c>
      <c r="J734" s="67" t="s">
        <v>222</v>
      </c>
      <c r="K734" s="123" t="s">
        <v>222</v>
      </c>
      <c r="L734" s="20" t="s">
        <v>3</v>
      </c>
      <c r="M734" s="61" t="s">
        <v>131</v>
      </c>
      <c r="N734" s="61" t="s">
        <v>96</v>
      </c>
      <c r="O734" s="61" t="s">
        <v>96</v>
      </c>
      <c r="P734" s="61" t="s">
        <v>129</v>
      </c>
      <c r="Q734" s="61" t="s">
        <v>1481</v>
      </c>
      <c r="R734" s="61" t="s">
        <v>1482</v>
      </c>
      <c r="S734" s="61" t="s">
        <v>131</v>
      </c>
      <c r="T734" s="61" t="s">
        <v>96</v>
      </c>
      <c r="U734" s="61" t="s">
        <v>96</v>
      </c>
      <c r="V734" s="61" t="s">
        <v>131</v>
      </c>
      <c r="W734" s="61" t="s">
        <v>96</v>
      </c>
      <c r="X734" s="61" t="s">
        <v>96</v>
      </c>
      <c r="Y734" s="61" t="s">
        <v>131</v>
      </c>
      <c r="Z734" s="61" t="s">
        <v>96</v>
      </c>
      <c r="AA734" s="61" t="s">
        <v>96</v>
      </c>
      <c r="AB734" s="61">
        <v>1</v>
      </c>
    </row>
    <row r="735" spans="1:28" s="1" customFormat="1" ht="33" customHeight="1" x14ac:dyDescent="0.3">
      <c r="A735" s="16">
        <v>26</v>
      </c>
      <c r="B735" s="23">
        <v>52</v>
      </c>
      <c r="C735" s="27" t="str">
        <f t="shared" si="20"/>
        <v>26.52</v>
      </c>
      <c r="D735" s="18" t="s">
        <v>1484</v>
      </c>
      <c r="E735" s="64" t="str">
        <f>IF(ISBLANK(D735)=TRUE,"",VLOOKUP(D735,Krav!$C:$F,4,FALSE))</f>
        <v>4.a.2.1.8 - Den indtastede "fra" periode for sidste rettidige betalingsdato skal gemmes i populationsarket</v>
      </c>
      <c r="F735" s="53" t="s">
        <v>221</v>
      </c>
      <c r="G735" s="53" t="s">
        <v>1469</v>
      </c>
      <c r="H735" s="25" t="s">
        <v>1530</v>
      </c>
      <c r="I735" s="65" t="s">
        <v>1481</v>
      </c>
      <c r="J735" s="67" t="s">
        <v>222</v>
      </c>
      <c r="K735" s="123" t="s">
        <v>222</v>
      </c>
      <c r="L735" s="20" t="s">
        <v>3</v>
      </c>
      <c r="M735" s="61" t="s">
        <v>131</v>
      </c>
      <c r="N735" s="61" t="s">
        <v>96</v>
      </c>
      <c r="O735" s="61" t="s">
        <v>96</v>
      </c>
      <c r="P735" s="61" t="s">
        <v>129</v>
      </c>
      <c r="Q735" s="61" t="s">
        <v>1481</v>
      </c>
      <c r="R735" s="61" t="s">
        <v>1482</v>
      </c>
      <c r="S735" s="61" t="s">
        <v>131</v>
      </c>
      <c r="T735" s="61" t="s">
        <v>96</v>
      </c>
      <c r="U735" s="61" t="s">
        <v>96</v>
      </c>
      <c r="V735" s="61" t="s">
        <v>131</v>
      </c>
      <c r="W735" s="61" t="s">
        <v>96</v>
      </c>
      <c r="X735" s="61" t="s">
        <v>96</v>
      </c>
      <c r="Y735" s="61" t="s">
        <v>131</v>
      </c>
      <c r="Z735" s="61" t="s">
        <v>96</v>
      </c>
      <c r="AA735" s="61" t="s">
        <v>96</v>
      </c>
      <c r="AB735" s="61">
        <v>1</v>
      </c>
    </row>
    <row r="736" spans="1:28" s="1" customFormat="1" ht="33" customHeight="1" x14ac:dyDescent="0.3">
      <c r="A736" s="16">
        <v>26</v>
      </c>
      <c r="B736" s="23">
        <v>53</v>
      </c>
      <c r="C736" s="27" t="str">
        <f t="shared" si="20"/>
        <v>26.53</v>
      </c>
      <c r="D736" s="18" t="s">
        <v>1486</v>
      </c>
      <c r="E736" s="64" t="str">
        <f>IF(ISBLANK(D736)=TRUE,"",VLOOKUP(D736,Krav!$C:$F,4,FALSE))</f>
        <v>4.a.2.1.9 - Den indtastede "til" periode for sidste rettidige betalingsdato skal gemmes i populationsarket</v>
      </c>
      <c r="F736" s="53" t="s">
        <v>221</v>
      </c>
      <c r="G736" s="53" t="s">
        <v>1470</v>
      </c>
      <c r="H736" s="25" t="s">
        <v>1530</v>
      </c>
      <c r="I736" s="65" t="s">
        <v>1482</v>
      </c>
      <c r="J736" s="67" t="s">
        <v>222</v>
      </c>
      <c r="K736" s="123" t="s">
        <v>222</v>
      </c>
      <c r="L736" s="20" t="s">
        <v>3</v>
      </c>
      <c r="M736" s="61" t="s">
        <v>131</v>
      </c>
      <c r="N736" s="61" t="s">
        <v>96</v>
      </c>
      <c r="O736" s="61" t="s">
        <v>96</v>
      </c>
      <c r="P736" s="61" t="s">
        <v>129</v>
      </c>
      <c r="Q736" s="61" t="s">
        <v>1481</v>
      </c>
      <c r="R736" s="61" t="s">
        <v>1482</v>
      </c>
      <c r="S736" s="61" t="s">
        <v>131</v>
      </c>
      <c r="T736" s="61" t="s">
        <v>96</v>
      </c>
      <c r="U736" s="61" t="s">
        <v>96</v>
      </c>
      <c r="V736" s="61" t="s">
        <v>131</v>
      </c>
      <c r="W736" s="61" t="s">
        <v>96</v>
      </c>
      <c r="X736" s="61" t="s">
        <v>96</v>
      </c>
      <c r="Y736" s="61" t="s">
        <v>131</v>
      </c>
      <c r="Z736" s="61" t="s">
        <v>96</v>
      </c>
      <c r="AA736" s="61" t="s">
        <v>96</v>
      </c>
      <c r="AB736" s="61">
        <v>1</v>
      </c>
    </row>
    <row r="737" spans="1:28" s="1" customFormat="1" ht="33" customHeight="1" x14ac:dyDescent="0.3">
      <c r="A737" s="16">
        <v>26</v>
      </c>
      <c r="B737" s="23">
        <v>54</v>
      </c>
      <c r="C737" s="27" t="str">
        <f t="shared" si="20"/>
        <v>26.54</v>
      </c>
      <c r="D737" s="18" t="s">
        <v>1487</v>
      </c>
      <c r="E737" s="64" t="str">
        <f>IF(ISBLANK(D737)=TRUE,"",VLOOKUP(D737,Krav!$C:$F,4,FALSE))</f>
        <v>4.a.2.1.3 - Den indtastede "fra" periode for stiftelsesdato skal gemmes i populationsarket</v>
      </c>
      <c r="F737" s="53" t="s">
        <v>221</v>
      </c>
      <c r="G737" s="53" t="s">
        <v>1471</v>
      </c>
      <c r="H737" s="25" t="s">
        <v>1488</v>
      </c>
      <c r="I737" s="65" t="s">
        <v>96</v>
      </c>
      <c r="J737" s="67" t="s">
        <v>222</v>
      </c>
      <c r="K737" s="123" t="s">
        <v>222</v>
      </c>
      <c r="L737" s="20" t="s">
        <v>3</v>
      </c>
      <c r="M737" s="61" t="s">
        <v>131</v>
      </c>
      <c r="N737" s="61" t="s">
        <v>96</v>
      </c>
      <c r="O737" s="61" t="s">
        <v>96</v>
      </c>
      <c r="P737" s="61" t="s">
        <v>129</v>
      </c>
      <c r="Q737" s="61" t="s">
        <v>1481</v>
      </c>
      <c r="R737" s="61" t="s">
        <v>1482</v>
      </c>
      <c r="S737" s="61" t="s">
        <v>131</v>
      </c>
      <c r="T737" s="61" t="s">
        <v>96</v>
      </c>
      <c r="U737" s="61" t="s">
        <v>96</v>
      </c>
      <c r="V737" s="61" t="s">
        <v>131</v>
      </c>
      <c r="W737" s="61" t="s">
        <v>96</v>
      </c>
      <c r="X737" s="61" t="s">
        <v>96</v>
      </c>
      <c r="Y737" s="61" t="s">
        <v>131</v>
      </c>
      <c r="Z737" s="61" t="s">
        <v>96</v>
      </c>
      <c r="AA737" s="61" t="s">
        <v>96</v>
      </c>
      <c r="AB737" s="61">
        <v>1</v>
      </c>
    </row>
    <row r="738" spans="1:28" s="1" customFormat="1" ht="33" customHeight="1" x14ac:dyDescent="0.3">
      <c r="A738" s="16">
        <v>26</v>
      </c>
      <c r="B738" s="23">
        <v>55</v>
      </c>
      <c r="C738" s="27" t="str">
        <f t="shared" si="20"/>
        <v>26.55</v>
      </c>
      <c r="D738" s="18" t="s">
        <v>1489</v>
      </c>
      <c r="E738" s="64" t="str">
        <f>IF(ISBLANK(D738)=TRUE,"",VLOOKUP(D738,Krav!$C:$F,4,FALSE))</f>
        <v>4.a.2.1.5 - Den indtastede "til" periode for stiftelsesdato skal gemmes i populationsarket</v>
      </c>
      <c r="F738" s="53" t="s">
        <v>221</v>
      </c>
      <c r="G738" s="53" t="s">
        <v>1472</v>
      </c>
      <c r="H738" s="25" t="s">
        <v>1488</v>
      </c>
      <c r="I738" s="65" t="s">
        <v>96</v>
      </c>
      <c r="J738" s="67" t="s">
        <v>222</v>
      </c>
      <c r="K738" s="123" t="s">
        <v>222</v>
      </c>
      <c r="L738" s="20" t="s">
        <v>3</v>
      </c>
      <c r="M738" s="61" t="s">
        <v>131</v>
      </c>
      <c r="N738" s="61" t="s">
        <v>96</v>
      </c>
      <c r="O738" s="61" t="s">
        <v>96</v>
      </c>
      <c r="P738" s="61" t="s">
        <v>129</v>
      </c>
      <c r="Q738" s="61" t="s">
        <v>1481</v>
      </c>
      <c r="R738" s="61" t="s">
        <v>1482</v>
      </c>
      <c r="S738" s="61" t="s">
        <v>131</v>
      </c>
      <c r="T738" s="61" t="s">
        <v>96</v>
      </c>
      <c r="U738" s="61" t="s">
        <v>96</v>
      </c>
      <c r="V738" s="61" t="s">
        <v>131</v>
      </c>
      <c r="W738" s="61" t="s">
        <v>96</v>
      </c>
      <c r="X738" s="61" t="s">
        <v>96</v>
      </c>
      <c r="Y738" s="61" t="s">
        <v>131</v>
      </c>
      <c r="Z738" s="61" t="s">
        <v>96</v>
      </c>
      <c r="AA738" s="61" t="s">
        <v>96</v>
      </c>
      <c r="AB738" s="61">
        <v>1</v>
      </c>
    </row>
    <row r="739" spans="1:28" s="1" customFormat="1" ht="33" customHeight="1" x14ac:dyDescent="0.3">
      <c r="A739" s="16">
        <v>26</v>
      </c>
      <c r="B739" s="23">
        <v>56</v>
      </c>
      <c r="C739" s="27" t="str">
        <f t="shared" si="20"/>
        <v>26.56</v>
      </c>
      <c r="D739" s="18" t="s">
        <v>1490</v>
      </c>
      <c r="E739" s="64" t="str">
        <f>IF(ISBLANK(D739)=TRUE,"",VLOOKUP(D739,Krav!$C:$F,4,FALSE))</f>
        <v>4.a.2.1.10 - Den indtastede "fra" periode for periode start skal gemmes i populationsarket</v>
      </c>
      <c r="F739" s="53" t="s">
        <v>221</v>
      </c>
      <c r="G739" s="53" t="s">
        <v>1474</v>
      </c>
      <c r="H739" s="25" t="s">
        <v>1491</v>
      </c>
      <c r="I739" s="65" t="s">
        <v>96</v>
      </c>
      <c r="J739" s="67" t="s">
        <v>222</v>
      </c>
      <c r="K739" s="123" t="s">
        <v>222</v>
      </c>
      <c r="L739" s="20" t="s">
        <v>3</v>
      </c>
      <c r="M739" s="61" t="s">
        <v>131</v>
      </c>
      <c r="N739" s="61" t="s">
        <v>96</v>
      </c>
      <c r="O739" s="61" t="s">
        <v>96</v>
      </c>
      <c r="P739" s="61" t="s">
        <v>129</v>
      </c>
      <c r="Q739" s="61" t="s">
        <v>1481</v>
      </c>
      <c r="R739" s="61" t="s">
        <v>1482</v>
      </c>
      <c r="S739" s="61" t="s">
        <v>131</v>
      </c>
      <c r="T739" s="61" t="s">
        <v>96</v>
      </c>
      <c r="U739" s="61" t="s">
        <v>96</v>
      </c>
      <c r="V739" s="61" t="s">
        <v>131</v>
      </c>
      <c r="W739" s="61" t="s">
        <v>96</v>
      </c>
      <c r="X739" s="61" t="s">
        <v>96</v>
      </c>
      <c r="Y739" s="61" t="s">
        <v>131</v>
      </c>
      <c r="Z739" s="61" t="s">
        <v>96</v>
      </c>
      <c r="AA739" s="61" t="s">
        <v>96</v>
      </c>
      <c r="AB739" s="61">
        <v>1</v>
      </c>
    </row>
    <row r="740" spans="1:28" s="1" customFormat="1" ht="33" customHeight="1" x14ac:dyDescent="0.3">
      <c r="A740" s="16">
        <v>26</v>
      </c>
      <c r="B740" s="23">
        <v>57</v>
      </c>
      <c r="C740" s="27" t="str">
        <f t="shared" si="20"/>
        <v>26.57</v>
      </c>
      <c r="D740" s="18" t="s">
        <v>1492</v>
      </c>
      <c r="E740" s="64" t="str">
        <f>IF(ISBLANK(D740)=TRUE,"",VLOOKUP(D740,Krav!$C:$F,4,FALSE))</f>
        <v>4.a.2.1.11 - Den indtastede "til" periode for periode start skal gemmes i populationsarket</v>
      </c>
      <c r="F740" s="53" t="s">
        <v>221</v>
      </c>
      <c r="G740" s="53" t="s">
        <v>1475</v>
      </c>
      <c r="H740" s="25" t="s">
        <v>1491</v>
      </c>
      <c r="I740" s="65" t="s">
        <v>96</v>
      </c>
      <c r="J740" s="67" t="s">
        <v>222</v>
      </c>
      <c r="K740" s="123" t="s">
        <v>222</v>
      </c>
      <c r="L740" s="20" t="s">
        <v>3</v>
      </c>
      <c r="M740" s="61" t="s">
        <v>131</v>
      </c>
      <c r="N740" s="61" t="s">
        <v>96</v>
      </c>
      <c r="O740" s="61" t="s">
        <v>96</v>
      </c>
      <c r="P740" s="61" t="s">
        <v>129</v>
      </c>
      <c r="Q740" s="61" t="s">
        <v>1481</v>
      </c>
      <c r="R740" s="61" t="s">
        <v>1482</v>
      </c>
      <c r="S740" s="61" t="s">
        <v>131</v>
      </c>
      <c r="T740" s="61" t="s">
        <v>96</v>
      </c>
      <c r="U740" s="61" t="s">
        <v>96</v>
      </c>
      <c r="V740" s="61" t="s">
        <v>131</v>
      </c>
      <c r="W740" s="61" t="s">
        <v>96</v>
      </c>
      <c r="X740" s="61" t="s">
        <v>96</v>
      </c>
      <c r="Y740" s="61" t="s">
        <v>131</v>
      </c>
      <c r="Z740" s="61" t="s">
        <v>96</v>
      </c>
      <c r="AA740" s="61" t="s">
        <v>96</v>
      </c>
      <c r="AB740" s="61">
        <v>1</v>
      </c>
    </row>
    <row r="741" spans="1:28" s="1" customFormat="1" ht="33" customHeight="1" x14ac:dyDescent="0.3">
      <c r="A741" s="16">
        <v>26</v>
      </c>
      <c r="B741" s="23">
        <v>58</v>
      </c>
      <c r="C741" s="27" t="str">
        <f t="shared" si="20"/>
        <v>26.58</v>
      </c>
      <c r="D741" s="18" t="s">
        <v>1493</v>
      </c>
      <c r="E741" s="64" t="str">
        <f>IF(ISBLANK(D741)=TRUE,"",VLOOKUP(D741,Krav!$C:$F,4,FALSE))</f>
        <v>4.a.2.1.12 - Den indtastede "fra" periode for periode slut skal gemmes i populationsarket</v>
      </c>
      <c r="F741" s="53" t="s">
        <v>221</v>
      </c>
      <c r="G741" s="53" t="s">
        <v>1477</v>
      </c>
      <c r="H741" s="25" t="s">
        <v>1494</v>
      </c>
      <c r="I741" s="65" t="s">
        <v>96</v>
      </c>
      <c r="J741" s="67" t="s">
        <v>222</v>
      </c>
      <c r="K741" s="123" t="s">
        <v>222</v>
      </c>
      <c r="L741" s="20" t="s">
        <v>3</v>
      </c>
      <c r="M741" s="61" t="s">
        <v>131</v>
      </c>
      <c r="N741" s="61" t="s">
        <v>96</v>
      </c>
      <c r="O741" s="61" t="s">
        <v>96</v>
      </c>
      <c r="P741" s="61" t="s">
        <v>129</v>
      </c>
      <c r="Q741" s="61" t="s">
        <v>1481</v>
      </c>
      <c r="R741" s="61" t="s">
        <v>1482</v>
      </c>
      <c r="S741" s="61" t="s">
        <v>131</v>
      </c>
      <c r="T741" s="61" t="s">
        <v>96</v>
      </c>
      <c r="U741" s="61" t="s">
        <v>96</v>
      </c>
      <c r="V741" s="61" t="s">
        <v>131</v>
      </c>
      <c r="W741" s="61" t="s">
        <v>96</v>
      </c>
      <c r="X741" s="61" t="s">
        <v>96</v>
      </c>
      <c r="Y741" s="61" t="s">
        <v>131</v>
      </c>
      <c r="Z741" s="61" t="s">
        <v>96</v>
      </c>
      <c r="AA741" s="61" t="s">
        <v>96</v>
      </c>
      <c r="AB741" s="61">
        <v>1</v>
      </c>
    </row>
    <row r="742" spans="1:28" s="1" customFormat="1" ht="33" customHeight="1" x14ac:dyDescent="0.3">
      <c r="A742" s="16">
        <v>26</v>
      </c>
      <c r="B742" s="23">
        <v>59</v>
      </c>
      <c r="C742" s="27" t="str">
        <f t="shared" si="20"/>
        <v>26.59</v>
      </c>
      <c r="D742" s="18" t="s">
        <v>1495</v>
      </c>
      <c r="E742" s="64" t="str">
        <f>IF(ISBLANK(D742)=TRUE,"",VLOOKUP(D742,Krav!$C:$F,4,FALSE))</f>
        <v>4.a.2.1.13 - Den indtastede "til" periode for periode slut skal gemmes i populationsarket</v>
      </c>
      <c r="F742" s="53" t="s">
        <v>221</v>
      </c>
      <c r="G742" s="53" t="s">
        <v>1478</v>
      </c>
      <c r="H742" s="25" t="s">
        <v>1494</v>
      </c>
      <c r="I742" s="65" t="s">
        <v>96</v>
      </c>
      <c r="J742" s="67" t="s">
        <v>222</v>
      </c>
      <c r="K742" s="123" t="s">
        <v>222</v>
      </c>
      <c r="L742" s="20" t="s">
        <v>3</v>
      </c>
      <c r="M742" s="61" t="s">
        <v>131</v>
      </c>
      <c r="N742" s="61" t="s">
        <v>96</v>
      </c>
      <c r="O742" s="61" t="s">
        <v>96</v>
      </c>
      <c r="P742" s="61" t="s">
        <v>129</v>
      </c>
      <c r="Q742" s="61" t="s">
        <v>1481</v>
      </c>
      <c r="R742" s="61" t="s">
        <v>1482</v>
      </c>
      <c r="S742" s="61" t="s">
        <v>131</v>
      </c>
      <c r="T742" s="61" t="s">
        <v>96</v>
      </c>
      <c r="U742" s="61" t="s">
        <v>96</v>
      </c>
      <c r="V742" s="61" t="s">
        <v>131</v>
      </c>
      <c r="W742" s="61" t="s">
        <v>96</v>
      </c>
      <c r="X742" s="61" t="s">
        <v>96</v>
      </c>
      <c r="Y742" s="61" t="s">
        <v>131</v>
      </c>
      <c r="Z742" s="61" t="s">
        <v>96</v>
      </c>
      <c r="AA742" s="61" t="s">
        <v>96</v>
      </c>
      <c r="AB742" s="61">
        <v>1</v>
      </c>
    </row>
    <row r="743" spans="1:28" s="1" customFormat="1" ht="33" customHeight="1" x14ac:dyDescent="0.3">
      <c r="A743" s="16">
        <v>26</v>
      </c>
      <c r="B743" s="23">
        <v>60</v>
      </c>
      <c r="C743" s="27" t="str">
        <f t="shared" si="20"/>
        <v>26.60</v>
      </c>
      <c r="D743" s="18"/>
      <c r="E743" s="64" t="str">
        <f>IF(ISBLANK(D743)=TRUE,"",VLOOKUP(D743,Krav!$C:$F,4,FALSE))</f>
        <v/>
      </c>
      <c r="F743" s="53" t="s">
        <v>225</v>
      </c>
      <c r="G743" s="53" t="s">
        <v>521</v>
      </c>
      <c r="H743" s="25" t="s">
        <v>1531</v>
      </c>
      <c r="I743" s="65" t="s">
        <v>96</v>
      </c>
      <c r="J743" s="67" t="s">
        <v>222</v>
      </c>
      <c r="K743" s="123" t="s">
        <v>222</v>
      </c>
      <c r="L743" s="20" t="s">
        <v>3</v>
      </c>
      <c r="M743" s="61" t="s">
        <v>131</v>
      </c>
      <c r="N743" s="61" t="s">
        <v>96</v>
      </c>
      <c r="O743" s="61" t="s">
        <v>96</v>
      </c>
      <c r="P743" s="61" t="s">
        <v>129</v>
      </c>
      <c r="Q743" s="61" t="s">
        <v>1481</v>
      </c>
      <c r="R743" s="61" t="s">
        <v>1482</v>
      </c>
      <c r="S743" s="61" t="s">
        <v>131</v>
      </c>
      <c r="T743" s="61" t="s">
        <v>96</v>
      </c>
      <c r="U743" s="61" t="s">
        <v>96</v>
      </c>
      <c r="V743" s="61" t="s">
        <v>131</v>
      </c>
      <c r="W743" s="61" t="s">
        <v>96</v>
      </c>
      <c r="X743" s="61" t="s">
        <v>96</v>
      </c>
      <c r="Y743" s="61" t="s">
        <v>131</v>
      </c>
      <c r="Z743" s="61" t="s">
        <v>96</v>
      </c>
      <c r="AA743" s="61" t="s">
        <v>96</v>
      </c>
      <c r="AB743" s="61">
        <v>1</v>
      </c>
    </row>
    <row r="744" spans="1:28" s="1" customFormat="1" ht="33" customHeight="1" x14ac:dyDescent="0.3">
      <c r="A744" s="16">
        <v>26</v>
      </c>
      <c r="B744" s="23">
        <v>61</v>
      </c>
      <c r="C744" s="27" t="str">
        <f t="shared" si="20"/>
        <v>26.61</v>
      </c>
      <c r="D744" s="18"/>
      <c r="E744" s="64" t="str">
        <f>IF(ISBLANK(D744)=TRUE,"",VLOOKUP(D744,Krav!$C:$F,4,FALSE))</f>
        <v/>
      </c>
      <c r="F744" s="53" t="s">
        <v>225</v>
      </c>
      <c r="G744" s="53" t="s">
        <v>1467</v>
      </c>
      <c r="H744" s="25" t="s">
        <v>1532</v>
      </c>
      <c r="I744" s="65" t="s">
        <v>96</v>
      </c>
      <c r="J744" s="67" t="s">
        <v>222</v>
      </c>
      <c r="K744" s="123" t="s">
        <v>222</v>
      </c>
      <c r="L744" s="20" t="s">
        <v>3</v>
      </c>
      <c r="M744" s="61" t="s">
        <v>131</v>
      </c>
      <c r="N744" s="61" t="s">
        <v>96</v>
      </c>
      <c r="O744" s="61" t="s">
        <v>96</v>
      </c>
      <c r="P744" s="61" t="s">
        <v>129</v>
      </c>
      <c r="Q744" s="61" t="s">
        <v>1481</v>
      </c>
      <c r="R744" s="61" t="s">
        <v>1482</v>
      </c>
      <c r="S744" s="61" t="s">
        <v>131</v>
      </c>
      <c r="T744" s="61" t="s">
        <v>96</v>
      </c>
      <c r="U744" s="61" t="s">
        <v>96</v>
      </c>
      <c r="V744" s="61" t="s">
        <v>131</v>
      </c>
      <c r="W744" s="61" t="s">
        <v>96</v>
      </c>
      <c r="X744" s="61" t="s">
        <v>96</v>
      </c>
      <c r="Y744" s="61" t="s">
        <v>131</v>
      </c>
      <c r="Z744" s="61" t="s">
        <v>96</v>
      </c>
      <c r="AA744" s="61" t="s">
        <v>96</v>
      </c>
      <c r="AB744" s="61">
        <v>1</v>
      </c>
    </row>
    <row r="745" spans="1:28" s="1" customFormat="1" ht="33" customHeight="1" x14ac:dyDescent="0.3">
      <c r="A745" s="16">
        <v>26</v>
      </c>
      <c r="B745" s="23">
        <v>62</v>
      </c>
      <c r="C745" s="27" t="str">
        <f t="shared" si="20"/>
        <v>26.62</v>
      </c>
      <c r="D745" s="18"/>
      <c r="E745" s="64" t="str">
        <f>IF(ISBLANK(D745)=TRUE,"",VLOOKUP(D745,Krav!$C:$F,4,FALSE))</f>
        <v/>
      </c>
      <c r="F745" s="53" t="s">
        <v>225</v>
      </c>
      <c r="G745" s="53" t="s">
        <v>1468</v>
      </c>
      <c r="H745" s="25" t="s">
        <v>1532</v>
      </c>
      <c r="I745" s="65" t="s">
        <v>96</v>
      </c>
      <c r="J745" s="67" t="s">
        <v>222</v>
      </c>
      <c r="K745" s="123" t="s">
        <v>222</v>
      </c>
      <c r="L745" s="20" t="s">
        <v>3</v>
      </c>
      <c r="M745" s="61" t="s">
        <v>131</v>
      </c>
      <c r="N745" s="61" t="s">
        <v>96</v>
      </c>
      <c r="O745" s="61" t="s">
        <v>96</v>
      </c>
      <c r="P745" s="61" t="s">
        <v>129</v>
      </c>
      <c r="Q745" s="61" t="s">
        <v>1481</v>
      </c>
      <c r="R745" s="61" t="s">
        <v>1482</v>
      </c>
      <c r="S745" s="61" t="s">
        <v>131</v>
      </c>
      <c r="T745" s="61" t="s">
        <v>96</v>
      </c>
      <c r="U745" s="61" t="s">
        <v>96</v>
      </c>
      <c r="V745" s="61" t="s">
        <v>131</v>
      </c>
      <c r="W745" s="61" t="s">
        <v>96</v>
      </c>
      <c r="X745" s="61" t="s">
        <v>96</v>
      </c>
      <c r="Y745" s="61" t="s">
        <v>131</v>
      </c>
      <c r="Z745" s="61" t="s">
        <v>96</v>
      </c>
      <c r="AA745" s="61" t="s">
        <v>96</v>
      </c>
      <c r="AB745" s="61">
        <v>1</v>
      </c>
    </row>
    <row r="746" spans="1:28" s="1" customFormat="1" ht="33" customHeight="1" x14ac:dyDescent="0.3">
      <c r="A746" s="16">
        <v>26</v>
      </c>
      <c r="B746" s="23">
        <v>63</v>
      </c>
      <c r="C746" s="27" t="str">
        <f t="shared" si="20"/>
        <v>26.63</v>
      </c>
      <c r="D746" s="18"/>
      <c r="E746" s="64" t="str">
        <f>IF(ISBLANK(D746)=TRUE,"",VLOOKUP(D746,Krav!$C:$F,4,FALSE))</f>
        <v/>
      </c>
      <c r="F746" s="53" t="s">
        <v>225</v>
      </c>
      <c r="G746" s="53" t="s">
        <v>522</v>
      </c>
      <c r="H746" s="25" t="s">
        <v>1533</v>
      </c>
      <c r="I746" s="67" t="s">
        <v>1534</v>
      </c>
      <c r="J746" s="67" t="s">
        <v>222</v>
      </c>
      <c r="K746" s="123" t="s">
        <v>222</v>
      </c>
      <c r="L746" s="20" t="s">
        <v>3</v>
      </c>
      <c r="M746" s="61" t="s">
        <v>131</v>
      </c>
      <c r="N746" s="61" t="s">
        <v>96</v>
      </c>
      <c r="O746" s="61" t="s">
        <v>96</v>
      </c>
      <c r="P746" s="61" t="s">
        <v>129</v>
      </c>
      <c r="Q746" s="61" t="s">
        <v>1481</v>
      </c>
      <c r="R746" s="61" t="s">
        <v>1482</v>
      </c>
      <c r="S746" s="61" t="s">
        <v>131</v>
      </c>
      <c r="T746" s="61" t="s">
        <v>96</v>
      </c>
      <c r="U746" s="61" t="s">
        <v>96</v>
      </c>
      <c r="V746" s="61" t="s">
        <v>131</v>
      </c>
      <c r="W746" s="61" t="s">
        <v>96</v>
      </c>
      <c r="X746" s="61" t="s">
        <v>96</v>
      </c>
      <c r="Y746" s="61" t="s">
        <v>131</v>
      </c>
      <c r="Z746" s="61" t="s">
        <v>96</v>
      </c>
      <c r="AA746" s="61" t="s">
        <v>96</v>
      </c>
      <c r="AB746" s="61">
        <v>1</v>
      </c>
    </row>
    <row r="747" spans="1:28" s="1" customFormat="1" ht="33" customHeight="1" x14ac:dyDescent="0.3">
      <c r="A747" s="16">
        <v>26</v>
      </c>
      <c r="B747" s="23">
        <v>64</v>
      </c>
      <c r="C747" s="27" t="str">
        <f t="shared" si="20"/>
        <v>26.64</v>
      </c>
      <c r="D747" s="18"/>
      <c r="E747" s="64" t="str">
        <f>IF(ISBLANK(D747)=TRUE,"",VLOOKUP(D747,Krav!$C:$F,4,FALSE))</f>
        <v/>
      </c>
      <c r="F747" s="53" t="s">
        <v>225</v>
      </c>
      <c r="G747" s="53" t="s">
        <v>1469</v>
      </c>
      <c r="H747" s="25" t="s">
        <v>1535</v>
      </c>
      <c r="I747" s="65" t="s">
        <v>1481</v>
      </c>
      <c r="J747" s="67" t="s">
        <v>222</v>
      </c>
      <c r="K747" s="123" t="s">
        <v>222</v>
      </c>
      <c r="L747" s="20" t="s">
        <v>3</v>
      </c>
      <c r="M747" s="61" t="s">
        <v>131</v>
      </c>
      <c r="N747" s="61" t="s">
        <v>96</v>
      </c>
      <c r="O747" s="61" t="s">
        <v>96</v>
      </c>
      <c r="P747" s="61" t="s">
        <v>129</v>
      </c>
      <c r="Q747" s="61" t="s">
        <v>1481</v>
      </c>
      <c r="R747" s="61" t="s">
        <v>1482</v>
      </c>
      <c r="S747" s="61" t="s">
        <v>131</v>
      </c>
      <c r="T747" s="61" t="s">
        <v>96</v>
      </c>
      <c r="U747" s="61" t="s">
        <v>96</v>
      </c>
      <c r="V747" s="61" t="s">
        <v>131</v>
      </c>
      <c r="W747" s="61" t="s">
        <v>96</v>
      </c>
      <c r="X747" s="61" t="s">
        <v>96</v>
      </c>
      <c r="Y747" s="61" t="s">
        <v>131</v>
      </c>
      <c r="Z747" s="61" t="s">
        <v>96</v>
      </c>
      <c r="AA747" s="61" t="s">
        <v>96</v>
      </c>
      <c r="AB747" s="61">
        <v>1</v>
      </c>
    </row>
    <row r="748" spans="1:28" s="1" customFormat="1" ht="33" customHeight="1" x14ac:dyDescent="0.3">
      <c r="A748" s="16">
        <v>26</v>
      </c>
      <c r="B748" s="23">
        <v>65</v>
      </c>
      <c r="C748" s="27" t="str">
        <f t="shared" si="20"/>
        <v>26.65</v>
      </c>
      <c r="D748" s="18"/>
      <c r="E748" s="64" t="str">
        <f>IF(ISBLANK(D748)=TRUE,"",VLOOKUP(D748,Krav!$C:$F,4,FALSE))</f>
        <v/>
      </c>
      <c r="F748" s="53" t="s">
        <v>225</v>
      </c>
      <c r="G748" s="53" t="s">
        <v>1470</v>
      </c>
      <c r="H748" s="25" t="s">
        <v>1535</v>
      </c>
      <c r="I748" s="65" t="s">
        <v>1482</v>
      </c>
      <c r="J748" s="67" t="s">
        <v>222</v>
      </c>
      <c r="K748" s="123" t="s">
        <v>222</v>
      </c>
      <c r="L748" s="20" t="s">
        <v>3</v>
      </c>
      <c r="M748" s="61" t="s">
        <v>131</v>
      </c>
      <c r="N748" s="61" t="s">
        <v>96</v>
      </c>
      <c r="O748" s="61" t="s">
        <v>96</v>
      </c>
      <c r="P748" s="61" t="s">
        <v>129</v>
      </c>
      <c r="Q748" s="61" t="s">
        <v>1481</v>
      </c>
      <c r="R748" s="61" t="s">
        <v>1482</v>
      </c>
      <c r="S748" s="61" t="s">
        <v>131</v>
      </c>
      <c r="T748" s="61" t="s">
        <v>96</v>
      </c>
      <c r="U748" s="61" t="s">
        <v>96</v>
      </c>
      <c r="V748" s="61" t="s">
        <v>131</v>
      </c>
      <c r="W748" s="61" t="s">
        <v>96</v>
      </c>
      <c r="X748" s="61" t="s">
        <v>96</v>
      </c>
      <c r="Y748" s="61" t="s">
        <v>131</v>
      </c>
      <c r="Z748" s="61" t="s">
        <v>96</v>
      </c>
      <c r="AA748" s="61" t="s">
        <v>96</v>
      </c>
      <c r="AB748" s="61">
        <v>1</v>
      </c>
    </row>
    <row r="749" spans="1:28" s="1" customFormat="1" ht="33" customHeight="1" x14ac:dyDescent="0.3">
      <c r="A749" s="16">
        <v>26</v>
      </c>
      <c r="B749" s="23">
        <v>66</v>
      </c>
      <c r="C749" s="27" t="str">
        <f t="shared" si="20"/>
        <v>26.66</v>
      </c>
      <c r="D749" s="18"/>
      <c r="E749" s="64" t="str">
        <f>IF(ISBLANK(D749)=TRUE,"",VLOOKUP(D749,Krav!$C:$F,4,FALSE))</f>
        <v/>
      </c>
      <c r="F749" s="53" t="s">
        <v>225</v>
      </c>
      <c r="G749" s="53" t="s">
        <v>523</v>
      </c>
      <c r="H749" s="25" t="s">
        <v>1500</v>
      </c>
      <c r="I749" s="65" t="s">
        <v>96</v>
      </c>
      <c r="J749" s="67" t="s">
        <v>222</v>
      </c>
      <c r="K749" s="123" t="s">
        <v>222</v>
      </c>
      <c r="L749" s="20" t="s">
        <v>3</v>
      </c>
      <c r="M749" s="61" t="s">
        <v>131</v>
      </c>
      <c r="N749" s="61" t="s">
        <v>96</v>
      </c>
      <c r="O749" s="61" t="s">
        <v>96</v>
      </c>
      <c r="P749" s="61" t="s">
        <v>129</v>
      </c>
      <c r="Q749" s="61" t="s">
        <v>1481</v>
      </c>
      <c r="R749" s="61" t="s">
        <v>1482</v>
      </c>
      <c r="S749" s="61" t="s">
        <v>131</v>
      </c>
      <c r="T749" s="61" t="s">
        <v>96</v>
      </c>
      <c r="U749" s="61" t="s">
        <v>96</v>
      </c>
      <c r="V749" s="61" t="s">
        <v>131</v>
      </c>
      <c r="W749" s="61" t="s">
        <v>96</v>
      </c>
      <c r="X749" s="61" t="s">
        <v>96</v>
      </c>
      <c r="Y749" s="61" t="s">
        <v>131</v>
      </c>
      <c r="Z749" s="61" t="s">
        <v>96</v>
      </c>
      <c r="AA749" s="61" t="s">
        <v>96</v>
      </c>
      <c r="AB749" s="61">
        <v>1</v>
      </c>
    </row>
    <row r="750" spans="1:28" s="1" customFormat="1" ht="33" customHeight="1" x14ac:dyDescent="0.3">
      <c r="A750" s="16">
        <v>26</v>
      </c>
      <c r="B750" s="23">
        <v>67</v>
      </c>
      <c r="C750" s="27" t="str">
        <f t="shared" ref="C750:C813" si="21">IF(B750&lt;10,_xlfn.CONCAT(A750,".0",B750),_xlfn.CONCAT(A750,".",B750))</f>
        <v>26.67</v>
      </c>
      <c r="D750" s="18"/>
      <c r="E750" s="64" t="str">
        <f>IF(ISBLANK(D750)=TRUE,"",VLOOKUP(D750,Krav!$C:$F,4,FALSE))</f>
        <v/>
      </c>
      <c r="F750" s="53" t="s">
        <v>225</v>
      </c>
      <c r="G750" s="53" t="s">
        <v>1471</v>
      </c>
      <c r="H750" s="25" t="s">
        <v>1501</v>
      </c>
      <c r="I750" s="65" t="s">
        <v>96</v>
      </c>
      <c r="J750" s="67" t="s">
        <v>222</v>
      </c>
      <c r="K750" s="123" t="s">
        <v>222</v>
      </c>
      <c r="L750" s="20" t="s">
        <v>3</v>
      </c>
      <c r="M750" s="61" t="s">
        <v>131</v>
      </c>
      <c r="N750" s="61" t="s">
        <v>96</v>
      </c>
      <c r="O750" s="61" t="s">
        <v>96</v>
      </c>
      <c r="P750" s="61" t="s">
        <v>129</v>
      </c>
      <c r="Q750" s="61" t="s">
        <v>1481</v>
      </c>
      <c r="R750" s="61" t="s">
        <v>1482</v>
      </c>
      <c r="S750" s="61" t="s">
        <v>131</v>
      </c>
      <c r="T750" s="61" t="s">
        <v>96</v>
      </c>
      <c r="U750" s="61" t="s">
        <v>96</v>
      </c>
      <c r="V750" s="61" t="s">
        <v>131</v>
      </c>
      <c r="W750" s="61" t="s">
        <v>96</v>
      </c>
      <c r="X750" s="61" t="s">
        <v>96</v>
      </c>
      <c r="Y750" s="61" t="s">
        <v>131</v>
      </c>
      <c r="Z750" s="61" t="s">
        <v>96</v>
      </c>
      <c r="AA750" s="61" t="s">
        <v>96</v>
      </c>
      <c r="AB750" s="61">
        <v>1</v>
      </c>
    </row>
    <row r="751" spans="1:28" s="1" customFormat="1" ht="33" customHeight="1" x14ac:dyDescent="0.3">
      <c r="A751" s="16">
        <v>26</v>
      </c>
      <c r="B751" s="23">
        <v>68</v>
      </c>
      <c r="C751" s="27" t="str">
        <f t="shared" si="21"/>
        <v>26.68</v>
      </c>
      <c r="D751" s="18"/>
      <c r="E751" s="64" t="str">
        <f>IF(ISBLANK(D751)=TRUE,"",VLOOKUP(D751,Krav!$C:$F,4,FALSE))</f>
        <v/>
      </c>
      <c r="F751" s="53" t="s">
        <v>225</v>
      </c>
      <c r="G751" s="53" t="s">
        <v>1472</v>
      </c>
      <c r="H751" s="25" t="s">
        <v>1501</v>
      </c>
      <c r="I751" s="65" t="s">
        <v>96</v>
      </c>
      <c r="J751" s="67" t="s">
        <v>222</v>
      </c>
      <c r="K751" s="123" t="s">
        <v>222</v>
      </c>
      <c r="L751" s="20" t="s">
        <v>3</v>
      </c>
      <c r="M751" s="61" t="s">
        <v>131</v>
      </c>
      <c r="N751" s="61" t="s">
        <v>96</v>
      </c>
      <c r="O751" s="61" t="s">
        <v>96</v>
      </c>
      <c r="P751" s="61" t="s">
        <v>129</v>
      </c>
      <c r="Q751" s="61" t="s">
        <v>1481</v>
      </c>
      <c r="R751" s="61" t="s">
        <v>1482</v>
      </c>
      <c r="S751" s="61" t="s">
        <v>131</v>
      </c>
      <c r="T751" s="61" t="s">
        <v>96</v>
      </c>
      <c r="U751" s="61" t="s">
        <v>96</v>
      </c>
      <c r="V751" s="61" t="s">
        <v>131</v>
      </c>
      <c r="W751" s="61" t="s">
        <v>96</v>
      </c>
      <c r="X751" s="61" t="s">
        <v>96</v>
      </c>
      <c r="Y751" s="61" t="s">
        <v>131</v>
      </c>
      <c r="Z751" s="61" t="s">
        <v>96</v>
      </c>
      <c r="AA751" s="61" t="s">
        <v>96</v>
      </c>
      <c r="AB751" s="61">
        <v>1</v>
      </c>
    </row>
    <row r="752" spans="1:28" s="1" customFormat="1" ht="33" customHeight="1" x14ac:dyDescent="0.3">
      <c r="A752" s="16">
        <v>26</v>
      </c>
      <c r="B752" s="23">
        <v>69</v>
      </c>
      <c r="C752" s="27" t="str">
        <f t="shared" si="21"/>
        <v>26.69</v>
      </c>
      <c r="D752" s="18"/>
      <c r="E752" s="64" t="str">
        <f>IF(ISBLANK(D752)=TRUE,"",VLOOKUP(D752,Krav!$C:$F,4,FALSE))</f>
        <v/>
      </c>
      <c r="F752" s="53" t="s">
        <v>225</v>
      </c>
      <c r="G752" s="53" t="s">
        <v>1473</v>
      </c>
      <c r="H752" s="25" t="s">
        <v>1502</v>
      </c>
      <c r="I752" s="65" t="s">
        <v>96</v>
      </c>
      <c r="J752" s="67" t="s">
        <v>222</v>
      </c>
      <c r="K752" s="123" t="s">
        <v>222</v>
      </c>
      <c r="L752" s="20" t="s">
        <v>3</v>
      </c>
      <c r="M752" s="61" t="s">
        <v>131</v>
      </c>
      <c r="N752" s="61" t="s">
        <v>96</v>
      </c>
      <c r="O752" s="61" t="s">
        <v>96</v>
      </c>
      <c r="P752" s="61" t="s">
        <v>129</v>
      </c>
      <c r="Q752" s="61" t="s">
        <v>1481</v>
      </c>
      <c r="R752" s="61" t="s">
        <v>1482</v>
      </c>
      <c r="S752" s="61" t="s">
        <v>131</v>
      </c>
      <c r="T752" s="61" t="s">
        <v>96</v>
      </c>
      <c r="U752" s="61" t="s">
        <v>96</v>
      </c>
      <c r="V752" s="61" t="s">
        <v>131</v>
      </c>
      <c r="W752" s="61" t="s">
        <v>96</v>
      </c>
      <c r="X752" s="61" t="s">
        <v>96</v>
      </c>
      <c r="Y752" s="61" t="s">
        <v>131</v>
      </c>
      <c r="Z752" s="61" t="s">
        <v>96</v>
      </c>
      <c r="AA752" s="61" t="s">
        <v>96</v>
      </c>
      <c r="AB752" s="61">
        <v>1</v>
      </c>
    </row>
    <row r="753" spans="1:29" s="1" customFormat="1" ht="33" customHeight="1" x14ac:dyDescent="0.3">
      <c r="A753" s="16">
        <v>26</v>
      </c>
      <c r="B753" s="23">
        <v>70</v>
      </c>
      <c r="C753" s="27" t="str">
        <f t="shared" si="21"/>
        <v>26.70</v>
      </c>
      <c r="D753" s="18"/>
      <c r="E753" s="64" t="str">
        <f>IF(ISBLANK(D753)=TRUE,"",VLOOKUP(D753,Krav!$C:$F,4,FALSE))</f>
        <v/>
      </c>
      <c r="F753" s="53" t="s">
        <v>225</v>
      </c>
      <c r="G753" s="53" t="s">
        <v>1474</v>
      </c>
      <c r="H753" s="25" t="s">
        <v>1503</v>
      </c>
      <c r="I753" s="65" t="s">
        <v>96</v>
      </c>
      <c r="J753" s="67" t="s">
        <v>222</v>
      </c>
      <c r="K753" s="123" t="s">
        <v>222</v>
      </c>
      <c r="L753" s="20" t="s">
        <v>3</v>
      </c>
      <c r="M753" s="61" t="s">
        <v>131</v>
      </c>
      <c r="N753" s="61" t="s">
        <v>96</v>
      </c>
      <c r="O753" s="61" t="s">
        <v>96</v>
      </c>
      <c r="P753" s="61" t="s">
        <v>129</v>
      </c>
      <c r="Q753" s="61" t="s">
        <v>1481</v>
      </c>
      <c r="R753" s="61" t="s">
        <v>1482</v>
      </c>
      <c r="S753" s="61" t="s">
        <v>131</v>
      </c>
      <c r="T753" s="61" t="s">
        <v>96</v>
      </c>
      <c r="U753" s="61" t="s">
        <v>96</v>
      </c>
      <c r="V753" s="61" t="s">
        <v>131</v>
      </c>
      <c r="W753" s="61" t="s">
        <v>96</v>
      </c>
      <c r="X753" s="61" t="s">
        <v>96</v>
      </c>
      <c r="Y753" s="61" t="s">
        <v>131</v>
      </c>
      <c r="Z753" s="61" t="s">
        <v>96</v>
      </c>
      <c r="AA753" s="61" t="s">
        <v>96</v>
      </c>
      <c r="AB753" s="61">
        <v>1</v>
      </c>
    </row>
    <row r="754" spans="1:29" s="1" customFormat="1" ht="33" customHeight="1" x14ac:dyDescent="0.3">
      <c r="A754" s="16">
        <v>26</v>
      </c>
      <c r="B754" s="23">
        <v>71</v>
      </c>
      <c r="C754" s="27" t="str">
        <f t="shared" si="21"/>
        <v>26.71</v>
      </c>
      <c r="D754" s="18"/>
      <c r="E754" s="64" t="str">
        <f>IF(ISBLANK(D754)=TRUE,"",VLOOKUP(D754,Krav!$C:$F,4,FALSE))</f>
        <v/>
      </c>
      <c r="F754" s="53" t="s">
        <v>225</v>
      </c>
      <c r="G754" s="53" t="s">
        <v>1475</v>
      </c>
      <c r="H754" s="25" t="s">
        <v>1503</v>
      </c>
      <c r="I754" s="65" t="s">
        <v>96</v>
      </c>
      <c r="J754" s="67" t="s">
        <v>222</v>
      </c>
      <c r="K754" s="123" t="s">
        <v>222</v>
      </c>
      <c r="L754" s="20" t="s">
        <v>3</v>
      </c>
      <c r="M754" s="61" t="s">
        <v>131</v>
      </c>
      <c r="N754" s="61" t="s">
        <v>96</v>
      </c>
      <c r="O754" s="61" t="s">
        <v>96</v>
      </c>
      <c r="P754" s="61" t="s">
        <v>129</v>
      </c>
      <c r="Q754" s="61" t="s">
        <v>1481</v>
      </c>
      <c r="R754" s="61" t="s">
        <v>1482</v>
      </c>
      <c r="S754" s="61" t="s">
        <v>131</v>
      </c>
      <c r="T754" s="61" t="s">
        <v>96</v>
      </c>
      <c r="U754" s="61" t="s">
        <v>96</v>
      </c>
      <c r="V754" s="61" t="s">
        <v>131</v>
      </c>
      <c r="W754" s="61" t="s">
        <v>96</v>
      </c>
      <c r="X754" s="61" t="s">
        <v>96</v>
      </c>
      <c r="Y754" s="61" t="s">
        <v>131</v>
      </c>
      <c r="Z754" s="61" t="s">
        <v>96</v>
      </c>
      <c r="AA754" s="61" t="s">
        <v>96</v>
      </c>
      <c r="AB754" s="61">
        <v>1</v>
      </c>
    </row>
    <row r="755" spans="1:29" s="1" customFormat="1" ht="33" customHeight="1" x14ac:dyDescent="0.3">
      <c r="A755" s="16">
        <v>26</v>
      </c>
      <c r="B755" s="23">
        <v>72</v>
      </c>
      <c r="C755" s="27" t="str">
        <f t="shared" si="21"/>
        <v>26.72</v>
      </c>
      <c r="D755" s="18"/>
      <c r="E755" s="64" t="str">
        <f>IF(ISBLANK(D755)=TRUE,"",VLOOKUP(D755,Krav!$C:$F,4,FALSE))</f>
        <v/>
      </c>
      <c r="F755" s="53" t="s">
        <v>225</v>
      </c>
      <c r="G755" s="53" t="s">
        <v>1476</v>
      </c>
      <c r="H755" s="25" t="s">
        <v>1504</v>
      </c>
      <c r="I755" s="65" t="s">
        <v>96</v>
      </c>
      <c r="J755" s="67" t="s">
        <v>222</v>
      </c>
      <c r="K755" s="123" t="s">
        <v>222</v>
      </c>
      <c r="L755" s="20" t="s">
        <v>3</v>
      </c>
      <c r="M755" s="61" t="s">
        <v>131</v>
      </c>
      <c r="N755" s="61" t="s">
        <v>96</v>
      </c>
      <c r="O755" s="61" t="s">
        <v>96</v>
      </c>
      <c r="P755" s="61" t="s">
        <v>129</v>
      </c>
      <c r="Q755" s="61" t="s">
        <v>1481</v>
      </c>
      <c r="R755" s="61" t="s">
        <v>1482</v>
      </c>
      <c r="S755" s="61" t="s">
        <v>131</v>
      </c>
      <c r="T755" s="61" t="s">
        <v>96</v>
      </c>
      <c r="U755" s="61" t="s">
        <v>96</v>
      </c>
      <c r="V755" s="61" t="s">
        <v>131</v>
      </c>
      <c r="W755" s="61" t="s">
        <v>96</v>
      </c>
      <c r="X755" s="61" t="s">
        <v>96</v>
      </c>
      <c r="Y755" s="61" t="s">
        <v>131</v>
      </c>
      <c r="Z755" s="61" t="s">
        <v>96</v>
      </c>
      <c r="AA755" s="61" t="s">
        <v>96</v>
      </c>
      <c r="AB755" s="61">
        <v>1</v>
      </c>
    </row>
    <row r="756" spans="1:29" s="1" customFormat="1" ht="33" customHeight="1" x14ac:dyDescent="0.3">
      <c r="A756" s="16">
        <v>26</v>
      </c>
      <c r="B756" s="23">
        <v>73</v>
      </c>
      <c r="C756" s="27" t="str">
        <f t="shared" si="21"/>
        <v>26.73</v>
      </c>
      <c r="D756" s="18"/>
      <c r="E756" s="64" t="str">
        <f>IF(ISBLANK(D756)=TRUE,"",VLOOKUP(D756,Krav!$C:$F,4,FALSE))</f>
        <v/>
      </c>
      <c r="F756" s="53" t="s">
        <v>225</v>
      </c>
      <c r="G756" s="53" t="s">
        <v>1477</v>
      </c>
      <c r="H756" s="25" t="s">
        <v>1505</v>
      </c>
      <c r="I756" s="65" t="s">
        <v>96</v>
      </c>
      <c r="J756" s="67" t="s">
        <v>222</v>
      </c>
      <c r="K756" s="123" t="s">
        <v>222</v>
      </c>
      <c r="L756" s="20" t="s">
        <v>3</v>
      </c>
      <c r="M756" s="61" t="s">
        <v>131</v>
      </c>
      <c r="N756" s="61" t="s">
        <v>96</v>
      </c>
      <c r="O756" s="61" t="s">
        <v>96</v>
      </c>
      <c r="P756" s="61" t="s">
        <v>129</v>
      </c>
      <c r="Q756" s="61" t="s">
        <v>1481</v>
      </c>
      <c r="R756" s="61" t="s">
        <v>1482</v>
      </c>
      <c r="S756" s="61" t="s">
        <v>131</v>
      </c>
      <c r="T756" s="61" t="s">
        <v>96</v>
      </c>
      <c r="U756" s="61" t="s">
        <v>96</v>
      </c>
      <c r="V756" s="61" t="s">
        <v>131</v>
      </c>
      <c r="W756" s="61" t="s">
        <v>96</v>
      </c>
      <c r="X756" s="61" t="s">
        <v>96</v>
      </c>
      <c r="Y756" s="61" t="s">
        <v>131</v>
      </c>
      <c r="Z756" s="61" t="s">
        <v>96</v>
      </c>
      <c r="AA756" s="61" t="s">
        <v>96</v>
      </c>
      <c r="AB756" s="61">
        <v>1</v>
      </c>
    </row>
    <row r="757" spans="1:29" s="1" customFormat="1" ht="33" customHeight="1" x14ac:dyDescent="0.3">
      <c r="A757" s="16">
        <v>26</v>
      </c>
      <c r="B757" s="23">
        <v>74</v>
      </c>
      <c r="C757" s="27" t="str">
        <f t="shared" si="21"/>
        <v>26.74</v>
      </c>
      <c r="D757" s="18"/>
      <c r="E757" s="64" t="str">
        <f>IF(ISBLANK(D757)=TRUE,"",VLOOKUP(D757,Krav!$C:$F,4,FALSE))</f>
        <v/>
      </c>
      <c r="F757" s="53" t="s">
        <v>225</v>
      </c>
      <c r="G757" s="53" t="s">
        <v>1478</v>
      </c>
      <c r="H757" s="25" t="s">
        <v>1505</v>
      </c>
      <c r="I757" s="65" t="s">
        <v>96</v>
      </c>
      <c r="J757" s="67" t="s">
        <v>222</v>
      </c>
      <c r="K757" s="123" t="s">
        <v>222</v>
      </c>
      <c r="L757" s="20" t="s">
        <v>3</v>
      </c>
      <c r="M757" s="61" t="s">
        <v>131</v>
      </c>
      <c r="N757" s="61" t="s">
        <v>96</v>
      </c>
      <c r="O757" s="61" t="s">
        <v>96</v>
      </c>
      <c r="P757" s="61" t="s">
        <v>129</v>
      </c>
      <c r="Q757" s="61" t="s">
        <v>1481</v>
      </c>
      <c r="R757" s="61" t="s">
        <v>1482</v>
      </c>
      <c r="S757" s="61" t="s">
        <v>131</v>
      </c>
      <c r="T757" s="61" t="s">
        <v>96</v>
      </c>
      <c r="U757" s="61" t="s">
        <v>96</v>
      </c>
      <c r="V757" s="61" t="s">
        <v>131</v>
      </c>
      <c r="W757" s="61" t="s">
        <v>96</v>
      </c>
      <c r="X757" s="61" t="s">
        <v>96</v>
      </c>
      <c r="Y757" s="61" t="s">
        <v>131</v>
      </c>
      <c r="Z757" s="61" t="s">
        <v>96</v>
      </c>
      <c r="AA757" s="61" t="s">
        <v>96</v>
      </c>
      <c r="AB757" s="61">
        <v>1</v>
      </c>
    </row>
    <row r="758" spans="1:29" s="1" customFormat="1" ht="33" customHeight="1" x14ac:dyDescent="0.3">
      <c r="A758" s="16">
        <v>26</v>
      </c>
      <c r="B758" s="23">
        <v>75</v>
      </c>
      <c r="C758" s="27" t="str">
        <f t="shared" si="21"/>
        <v>26.75</v>
      </c>
      <c r="D758" s="18"/>
      <c r="E758" s="64" t="str">
        <f>IF(ISBLANK(D758)=TRUE,"",VLOOKUP(D758,Krav!$C:$F,4,FALSE))</f>
        <v/>
      </c>
      <c r="F758" s="53" t="s">
        <v>221</v>
      </c>
      <c r="G758" s="53" t="s">
        <v>1469</v>
      </c>
      <c r="H758" s="25" t="s">
        <v>1536</v>
      </c>
      <c r="I758" s="65" t="s">
        <v>1481</v>
      </c>
      <c r="J758" s="96" t="s">
        <v>222</v>
      </c>
      <c r="K758" s="329" t="s">
        <v>222</v>
      </c>
      <c r="L758" s="20" t="s">
        <v>3</v>
      </c>
      <c r="M758" s="61" t="s">
        <v>131</v>
      </c>
      <c r="N758" s="61" t="s">
        <v>96</v>
      </c>
      <c r="O758" s="61" t="s">
        <v>96</v>
      </c>
      <c r="P758" s="61" t="s">
        <v>129</v>
      </c>
      <c r="Q758" s="142" t="s">
        <v>1481</v>
      </c>
      <c r="R758" s="61"/>
      <c r="S758" s="61" t="s">
        <v>131</v>
      </c>
      <c r="T758" s="61" t="s">
        <v>96</v>
      </c>
      <c r="U758" s="61" t="s">
        <v>96</v>
      </c>
      <c r="V758" s="61" t="s">
        <v>131</v>
      </c>
      <c r="W758" s="61" t="s">
        <v>96</v>
      </c>
      <c r="X758" s="61" t="s">
        <v>96</v>
      </c>
      <c r="Y758" s="61" t="s">
        <v>131</v>
      </c>
      <c r="Z758" s="61" t="s">
        <v>96</v>
      </c>
      <c r="AA758" s="61" t="s">
        <v>96</v>
      </c>
      <c r="AB758" s="61">
        <v>1</v>
      </c>
    </row>
    <row r="759" spans="1:29" s="1" customFormat="1" ht="33" customHeight="1" x14ac:dyDescent="0.3">
      <c r="A759" s="16">
        <v>26</v>
      </c>
      <c r="B759" s="23">
        <v>76</v>
      </c>
      <c r="C759" s="27" t="str">
        <f t="shared" si="21"/>
        <v>26.76</v>
      </c>
      <c r="D759" s="18"/>
      <c r="E759" s="64" t="str">
        <f>IF(ISBLANK(D759)=TRUE,"",VLOOKUP(D759,Krav!$C:$F,4,FALSE))</f>
        <v/>
      </c>
      <c r="F759" s="53" t="s">
        <v>221</v>
      </c>
      <c r="G759" s="53" t="s">
        <v>1470</v>
      </c>
      <c r="H759" s="25" t="s">
        <v>2357</v>
      </c>
      <c r="I759" s="330" t="s">
        <v>96</v>
      </c>
      <c r="J759" s="96" t="s">
        <v>222</v>
      </c>
      <c r="K759" s="329" t="s">
        <v>222</v>
      </c>
      <c r="L759" s="20" t="s">
        <v>3</v>
      </c>
      <c r="M759" s="61" t="s">
        <v>131</v>
      </c>
      <c r="N759" s="61" t="s">
        <v>96</v>
      </c>
      <c r="O759" s="61" t="s">
        <v>96</v>
      </c>
      <c r="P759" s="61" t="s">
        <v>129</v>
      </c>
      <c r="Q759" s="142" t="s">
        <v>1481</v>
      </c>
      <c r="R759" s="61"/>
      <c r="S759" s="61" t="s">
        <v>131</v>
      </c>
      <c r="T759" s="61" t="s">
        <v>96</v>
      </c>
      <c r="U759" s="61" t="s">
        <v>96</v>
      </c>
      <c r="V759" s="61" t="s">
        <v>131</v>
      </c>
      <c r="W759" s="61" t="s">
        <v>96</v>
      </c>
      <c r="X759" s="61" t="s">
        <v>96</v>
      </c>
      <c r="Y759" s="61" t="s">
        <v>131</v>
      </c>
      <c r="Z759" s="61" t="s">
        <v>96</v>
      </c>
      <c r="AA759" s="61" t="s">
        <v>96</v>
      </c>
      <c r="AB759" s="61">
        <v>1</v>
      </c>
    </row>
    <row r="760" spans="1:29" s="1" customFormat="1" ht="33" customHeight="1" x14ac:dyDescent="0.3">
      <c r="A760" s="16">
        <v>26</v>
      </c>
      <c r="B760" s="23">
        <v>77</v>
      </c>
      <c r="C760" s="27" t="str">
        <f t="shared" si="21"/>
        <v>26.77</v>
      </c>
      <c r="D760" s="18"/>
      <c r="E760" s="64" t="str">
        <f>IF(ISBLANK(D760)=TRUE,"",VLOOKUP(D760,Krav!$C:$F,4,FALSE))</f>
        <v/>
      </c>
      <c r="F760" s="53" t="s">
        <v>225</v>
      </c>
      <c r="G760" s="53" t="s">
        <v>1469</v>
      </c>
      <c r="H760" s="25" t="s">
        <v>1537</v>
      </c>
      <c r="I760" s="65" t="s">
        <v>1481</v>
      </c>
      <c r="J760" s="96" t="s">
        <v>222</v>
      </c>
      <c r="K760" s="329" t="s">
        <v>222</v>
      </c>
      <c r="L760" s="20" t="s">
        <v>3</v>
      </c>
      <c r="M760" s="61" t="s">
        <v>131</v>
      </c>
      <c r="N760" s="61" t="s">
        <v>96</v>
      </c>
      <c r="O760" s="61" t="s">
        <v>96</v>
      </c>
      <c r="P760" s="61" t="s">
        <v>129</v>
      </c>
      <c r="Q760" s="142" t="s">
        <v>1481</v>
      </c>
      <c r="R760" s="61"/>
      <c r="S760" s="61" t="s">
        <v>131</v>
      </c>
      <c r="T760" s="61" t="s">
        <v>96</v>
      </c>
      <c r="U760" s="61" t="s">
        <v>96</v>
      </c>
      <c r="V760" s="61" t="s">
        <v>131</v>
      </c>
      <c r="W760" s="61" t="s">
        <v>96</v>
      </c>
      <c r="X760" s="61" t="s">
        <v>96</v>
      </c>
      <c r="Y760" s="61" t="s">
        <v>131</v>
      </c>
      <c r="Z760" s="61" t="s">
        <v>96</v>
      </c>
      <c r="AA760" s="61" t="s">
        <v>96</v>
      </c>
      <c r="AB760" s="61">
        <v>1</v>
      </c>
    </row>
    <row r="761" spans="1:29" s="1" customFormat="1" ht="33" customHeight="1" x14ac:dyDescent="0.3">
      <c r="A761" s="16">
        <v>26</v>
      </c>
      <c r="B761" s="23">
        <v>78</v>
      </c>
      <c r="C761" s="27" t="str">
        <f t="shared" si="21"/>
        <v>26.78</v>
      </c>
      <c r="D761" s="18"/>
      <c r="E761" s="64" t="str">
        <f>IF(ISBLANK(D761)=TRUE,"",VLOOKUP(D761,Krav!$C:$F,4,FALSE))</f>
        <v/>
      </c>
      <c r="F761" s="53" t="s">
        <v>225</v>
      </c>
      <c r="G761" s="53" t="s">
        <v>1470</v>
      </c>
      <c r="H761" s="25" t="s">
        <v>2358</v>
      </c>
      <c r="I761" s="330" t="s">
        <v>96</v>
      </c>
      <c r="J761" s="96" t="s">
        <v>222</v>
      </c>
      <c r="K761" s="329" t="s">
        <v>222</v>
      </c>
      <c r="L761" s="20" t="s">
        <v>3</v>
      </c>
      <c r="M761" s="61" t="s">
        <v>131</v>
      </c>
      <c r="N761" s="61" t="s">
        <v>96</v>
      </c>
      <c r="O761" s="61" t="s">
        <v>96</v>
      </c>
      <c r="P761" s="61" t="s">
        <v>129</v>
      </c>
      <c r="Q761" s="142" t="s">
        <v>1481</v>
      </c>
      <c r="R761" s="61"/>
      <c r="S761" s="61" t="s">
        <v>131</v>
      </c>
      <c r="T761" s="61" t="s">
        <v>96</v>
      </c>
      <c r="U761" s="61" t="s">
        <v>96</v>
      </c>
      <c r="V761" s="61" t="s">
        <v>131</v>
      </c>
      <c r="W761" s="61" t="s">
        <v>96</v>
      </c>
      <c r="X761" s="61" t="s">
        <v>96</v>
      </c>
      <c r="Y761" s="61" t="s">
        <v>131</v>
      </c>
      <c r="Z761" s="61" t="s">
        <v>96</v>
      </c>
      <c r="AA761" s="61" t="s">
        <v>96</v>
      </c>
      <c r="AB761" s="61">
        <v>1</v>
      </c>
    </row>
    <row r="762" spans="1:29" s="1" customFormat="1" ht="33" customHeight="1" x14ac:dyDescent="0.3">
      <c r="A762" s="16">
        <v>26</v>
      </c>
      <c r="B762" s="23">
        <v>79</v>
      </c>
      <c r="C762" s="27" t="str">
        <f t="shared" si="21"/>
        <v>26.79</v>
      </c>
      <c r="D762" s="18"/>
      <c r="E762" s="64" t="str">
        <f>IF(ISBLANK(D762)=TRUE,"",VLOOKUP(D762,Krav!$C:$F,4,FALSE))</f>
        <v/>
      </c>
      <c r="F762" s="53" t="s">
        <v>221</v>
      </c>
      <c r="G762" s="53" t="s">
        <v>1469</v>
      </c>
      <c r="H762" s="25" t="s">
        <v>1538</v>
      </c>
      <c r="I762" s="66" t="s">
        <v>96</v>
      </c>
      <c r="J762" s="96" t="s">
        <v>222</v>
      </c>
      <c r="K762" s="329" t="s">
        <v>222</v>
      </c>
      <c r="L762" s="20" t="s">
        <v>3</v>
      </c>
      <c r="M762" s="61" t="s">
        <v>131</v>
      </c>
      <c r="N762" s="61" t="s">
        <v>96</v>
      </c>
      <c r="O762" s="61" t="s">
        <v>96</v>
      </c>
      <c r="P762" s="61" t="s">
        <v>129</v>
      </c>
      <c r="Q762" s="142"/>
      <c r="R762" s="61" t="s">
        <v>1482</v>
      </c>
      <c r="S762" s="61" t="s">
        <v>131</v>
      </c>
      <c r="T762" s="61" t="s">
        <v>96</v>
      </c>
      <c r="U762" s="61" t="s">
        <v>96</v>
      </c>
      <c r="V762" s="61" t="s">
        <v>131</v>
      </c>
      <c r="W762" s="61" t="s">
        <v>96</v>
      </c>
      <c r="X762" s="61" t="s">
        <v>96</v>
      </c>
      <c r="Y762" s="61" t="s">
        <v>131</v>
      </c>
      <c r="Z762" s="61" t="s">
        <v>96</v>
      </c>
      <c r="AA762" s="61" t="s">
        <v>96</v>
      </c>
      <c r="AB762" s="61" t="s">
        <v>33</v>
      </c>
      <c r="AC762" s="1" t="s">
        <v>1509</v>
      </c>
    </row>
    <row r="763" spans="1:29" s="1" customFormat="1" ht="33" customHeight="1" x14ac:dyDescent="0.3">
      <c r="A763" s="16">
        <v>26</v>
      </c>
      <c r="B763" s="23">
        <v>80</v>
      </c>
      <c r="C763" s="27" t="str">
        <f t="shared" si="21"/>
        <v>26.80</v>
      </c>
      <c r="D763" s="18"/>
      <c r="E763" s="64" t="str">
        <f>IF(ISBLANK(D763)=TRUE,"",VLOOKUP(D763,Krav!$C:$F,4,FALSE))</f>
        <v/>
      </c>
      <c r="F763" s="53" t="s">
        <v>221</v>
      </c>
      <c r="G763" s="53" t="s">
        <v>1470</v>
      </c>
      <c r="H763" s="25" t="s">
        <v>1538</v>
      </c>
      <c r="I763" s="66" t="s">
        <v>1482</v>
      </c>
      <c r="J763" s="96" t="s">
        <v>222</v>
      </c>
      <c r="K763" s="329" t="s">
        <v>222</v>
      </c>
      <c r="L763" s="20" t="s">
        <v>3</v>
      </c>
      <c r="M763" s="61" t="s">
        <v>131</v>
      </c>
      <c r="N763" s="61" t="s">
        <v>96</v>
      </c>
      <c r="O763" s="61" t="s">
        <v>96</v>
      </c>
      <c r="P763" s="61" t="s">
        <v>129</v>
      </c>
      <c r="Q763" s="142"/>
      <c r="R763" s="61" t="s">
        <v>1482</v>
      </c>
      <c r="S763" s="61" t="s">
        <v>131</v>
      </c>
      <c r="T763" s="61" t="s">
        <v>96</v>
      </c>
      <c r="U763" s="61" t="s">
        <v>96</v>
      </c>
      <c r="V763" s="61" t="s">
        <v>131</v>
      </c>
      <c r="W763" s="61" t="s">
        <v>96</v>
      </c>
      <c r="X763" s="61" t="s">
        <v>96</v>
      </c>
      <c r="Y763" s="61" t="s">
        <v>131</v>
      </c>
      <c r="Z763" s="61" t="s">
        <v>96</v>
      </c>
      <c r="AA763" s="61" t="s">
        <v>96</v>
      </c>
      <c r="AB763" s="61" t="s">
        <v>33</v>
      </c>
      <c r="AC763" s="1" t="s">
        <v>1509</v>
      </c>
    </row>
    <row r="764" spans="1:29" s="1" customFormat="1" ht="33" customHeight="1" x14ac:dyDescent="0.3">
      <c r="A764" s="16">
        <v>26</v>
      </c>
      <c r="B764" s="23">
        <v>81</v>
      </c>
      <c r="C764" s="27" t="str">
        <f t="shared" si="21"/>
        <v>26.81</v>
      </c>
      <c r="D764" s="18"/>
      <c r="E764" s="64" t="str">
        <f>IF(ISBLANK(D764)=TRUE,"",VLOOKUP(D764,Krav!$C:$F,4,FALSE))</f>
        <v/>
      </c>
      <c r="F764" s="53" t="s">
        <v>225</v>
      </c>
      <c r="G764" s="53" t="s">
        <v>1469</v>
      </c>
      <c r="H764" s="25" t="s">
        <v>1539</v>
      </c>
      <c r="I764" s="66" t="s">
        <v>96</v>
      </c>
      <c r="J764" s="96" t="s">
        <v>222</v>
      </c>
      <c r="K764" s="329" t="s">
        <v>222</v>
      </c>
      <c r="L764" s="20" t="s">
        <v>3</v>
      </c>
      <c r="M764" s="61" t="s">
        <v>131</v>
      </c>
      <c r="N764" s="61" t="s">
        <v>96</v>
      </c>
      <c r="O764" s="61" t="s">
        <v>96</v>
      </c>
      <c r="P764" s="61" t="s">
        <v>129</v>
      </c>
      <c r="Q764" s="142"/>
      <c r="R764" s="61" t="s">
        <v>1482</v>
      </c>
      <c r="S764" s="61" t="s">
        <v>131</v>
      </c>
      <c r="T764" s="61" t="s">
        <v>96</v>
      </c>
      <c r="U764" s="61" t="s">
        <v>96</v>
      </c>
      <c r="V764" s="61" t="s">
        <v>131</v>
      </c>
      <c r="W764" s="61" t="s">
        <v>96</v>
      </c>
      <c r="X764" s="61" t="s">
        <v>96</v>
      </c>
      <c r="Y764" s="61" t="s">
        <v>131</v>
      </c>
      <c r="Z764" s="61" t="s">
        <v>96</v>
      </c>
      <c r="AA764" s="61" t="s">
        <v>96</v>
      </c>
      <c r="AB764" s="61" t="s">
        <v>33</v>
      </c>
      <c r="AC764" s="1" t="s">
        <v>1509</v>
      </c>
    </row>
    <row r="765" spans="1:29" s="1" customFormat="1" ht="33" customHeight="1" x14ac:dyDescent="0.3">
      <c r="A765" s="16">
        <v>26</v>
      </c>
      <c r="B765" s="23">
        <v>82</v>
      </c>
      <c r="C765" s="27" t="str">
        <f t="shared" si="21"/>
        <v>26.82</v>
      </c>
      <c r="D765" s="18"/>
      <c r="E765" s="64" t="str">
        <f>IF(ISBLANK(D765)=TRUE,"",VLOOKUP(D765,Krav!$C:$F,4,FALSE))</f>
        <v/>
      </c>
      <c r="F765" s="53" t="s">
        <v>225</v>
      </c>
      <c r="G765" s="53" t="s">
        <v>1470</v>
      </c>
      <c r="H765" s="25" t="s">
        <v>1539</v>
      </c>
      <c r="I765" s="66" t="s">
        <v>1482</v>
      </c>
      <c r="J765" s="96" t="s">
        <v>222</v>
      </c>
      <c r="K765" s="329" t="s">
        <v>222</v>
      </c>
      <c r="L765" s="20" t="s">
        <v>3</v>
      </c>
      <c r="M765" s="61" t="s">
        <v>131</v>
      </c>
      <c r="N765" s="61" t="s">
        <v>96</v>
      </c>
      <c r="O765" s="61" t="s">
        <v>96</v>
      </c>
      <c r="P765" s="61" t="s">
        <v>129</v>
      </c>
      <c r="Q765" s="142"/>
      <c r="R765" s="61" t="s">
        <v>1482</v>
      </c>
      <c r="S765" s="61" t="s">
        <v>131</v>
      </c>
      <c r="T765" s="61" t="s">
        <v>96</v>
      </c>
      <c r="U765" s="61" t="s">
        <v>96</v>
      </c>
      <c r="V765" s="61" t="s">
        <v>131</v>
      </c>
      <c r="W765" s="61" t="s">
        <v>96</v>
      </c>
      <c r="X765" s="61" t="s">
        <v>96</v>
      </c>
      <c r="Y765" s="61" t="s">
        <v>131</v>
      </c>
      <c r="Z765" s="61" t="s">
        <v>96</v>
      </c>
      <c r="AA765" s="61" t="s">
        <v>96</v>
      </c>
      <c r="AB765" s="61" t="s">
        <v>33</v>
      </c>
      <c r="AC765" s="1" t="s">
        <v>1509</v>
      </c>
    </row>
    <row r="766" spans="1:29" s="1" customFormat="1" ht="33" customHeight="1" x14ac:dyDescent="0.3">
      <c r="A766" s="16">
        <v>26</v>
      </c>
      <c r="B766" s="23">
        <v>83</v>
      </c>
      <c r="C766" s="27" t="str">
        <f t="shared" si="21"/>
        <v>26.83</v>
      </c>
      <c r="D766" s="18"/>
      <c r="E766" s="64" t="str">
        <f>IF(ISBLANK(D766)=TRUE,"",VLOOKUP(D766,Krav!$C:$F,4,FALSE))</f>
        <v/>
      </c>
      <c r="F766" s="53" t="s">
        <v>418</v>
      </c>
      <c r="G766" s="53" t="s">
        <v>445</v>
      </c>
      <c r="H766" s="25" t="s">
        <v>1540</v>
      </c>
      <c r="I766" s="65" t="s">
        <v>129</v>
      </c>
      <c r="J766" s="96" t="s">
        <v>222</v>
      </c>
      <c r="K766" s="123" t="s">
        <v>222</v>
      </c>
      <c r="L766" s="20" t="s">
        <v>3</v>
      </c>
      <c r="M766" s="61" t="s">
        <v>131</v>
      </c>
      <c r="N766" s="61" t="s">
        <v>96</v>
      </c>
      <c r="O766" s="61" t="s">
        <v>96</v>
      </c>
      <c r="P766" s="61" t="s">
        <v>129</v>
      </c>
      <c r="Q766" s="61" t="s">
        <v>1481</v>
      </c>
      <c r="R766" s="61" t="s">
        <v>1482</v>
      </c>
      <c r="S766" s="61" t="s">
        <v>131</v>
      </c>
      <c r="T766" s="61" t="s">
        <v>96</v>
      </c>
      <c r="U766" s="61" t="s">
        <v>96</v>
      </c>
      <c r="V766" s="61" t="s">
        <v>131</v>
      </c>
      <c r="W766" s="61" t="s">
        <v>96</v>
      </c>
      <c r="X766" s="61" t="s">
        <v>96</v>
      </c>
      <c r="Y766" s="61" t="s">
        <v>131</v>
      </c>
      <c r="Z766" s="61" t="s">
        <v>96</v>
      </c>
      <c r="AA766" s="61" t="s">
        <v>96</v>
      </c>
      <c r="AB766" s="61">
        <v>1</v>
      </c>
    </row>
    <row r="767" spans="1:29" s="57" customFormat="1" ht="18.75" customHeight="1" x14ac:dyDescent="0.3">
      <c r="A767" s="16">
        <v>26</v>
      </c>
      <c r="B767" s="23">
        <v>84</v>
      </c>
      <c r="C767" s="27" t="str">
        <f t="shared" si="21"/>
        <v>26.84</v>
      </c>
      <c r="D767" s="18" t="s">
        <v>1512</v>
      </c>
      <c r="E767" s="64" t="str">
        <f>IF(ISBLANK(D767)=TRUE,"",VLOOKUP(D767,Krav!$C:$F,4,FALSE))</f>
        <v>4.a.2.1.2 - Når brugeren klikker på Videre skal denne ledes til spørgsmål 5</v>
      </c>
      <c r="F767" s="139" t="s">
        <v>143</v>
      </c>
      <c r="G767" s="139"/>
      <c r="H767" s="76" t="s">
        <v>1513</v>
      </c>
      <c r="I767" s="76" t="s">
        <v>146</v>
      </c>
      <c r="J767" s="67" t="s">
        <v>222</v>
      </c>
      <c r="K767" s="123" t="s">
        <v>222</v>
      </c>
      <c r="L767" s="4" t="s">
        <v>3</v>
      </c>
      <c r="M767" s="61" t="s">
        <v>131</v>
      </c>
      <c r="N767" s="61" t="s">
        <v>96</v>
      </c>
      <c r="O767" s="61" t="s">
        <v>96</v>
      </c>
      <c r="P767" s="61" t="s">
        <v>129</v>
      </c>
      <c r="Q767" s="142" t="s">
        <v>1481</v>
      </c>
      <c r="R767" s="61" t="s">
        <v>1482</v>
      </c>
      <c r="S767" s="61" t="s">
        <v>131</v>
      </c>
      <c r="T767" s="61" t="s">
        <v>96</v>
      </c>
      <c r="U767" s="61" t="s">
        <v>96</v>
      </c>
      <c r="V767" s="61" t="s">
        <v>131</v>
      </c>
      <c r="W767" s="61" t="s">
        <v>96</v>
      </c>
      <c r="X767" s="61" t="s">
        <v>96</v>
      </c>
      <c r="Y767" s="61" t="s">
        <v>131</v>
      </c>
      <c r="Z767" s="61" t="s">
        <v>96</v>
      </c>
      <c r="AA767" s="61" t="s">
        <v>96</v>
      </c>
      <c r="AB767" s="61">
        <v>1</v>
      </c>
    </row>
    <row r="768" spans="1:29" s="57" customFormat="1" ht="43.2" x14ac:dyDescent="0.3">
      <c r="A768" s="16">
        <v>26</v>
      </c>
      <c r="B768" s="23">
        <v>85</v>
      </c>
      <c r="C768" s="27" t="str">
        <f t="shared" si="21"/>
        <v>26.85</v>
      </c>
      <c r="D768" s="18"/>
      <c r="E768" s="64" t="str">
        <f>IF(ISBLANK(D768)=TRUE,"",VLOOKUP(D768,Krav!$C:$F,4,FALSE))</f>
        <v/>
      </c>
      <c r="F768" s="139" t="s">
        <v>174</v>
      </c>
      <c r="G768" s="139"/>
      <c r="H768" s="76" t="s">
        <v>1514</v>
      </c>
      <c r="I768" s="332" t="s">
        <v>1362</v>
      </c>
      <c r="J768" s="67" t="s">
        <v>222</v>
      </c>
      <c r="K768" s="123" t="s">
        <v>222</v>
      </c>
      <c r="L768" s="4" t="s">
        <v>4</v>
      </c>
      <c r="M768" s="61" t="s">
        <v>131</v>
      </c>
      <c r="N768" s="61" t="s">
        <v>96</v>
      </c>
      <c r="O768" s="61" t="s">
        <v>96</v>
      </c>
      <c r="P768" s="61" t="s">
        <v>129</v>
      </c>
      <c r="Q768" s="143" t="s">
        <v>118</v>
      </c>
      <c r="R768" s="142" t="s">
        <v>119</v>
      </c>
      <c r="S768" s="61" t="s">
        <v>131</v>
      </c>
      <c r="T768" s="61" t="s">
        <v>96</v>
      </c>
      <c r="U768" s="61" t="s">
        <v>96</v>
      </c>
      <c r="V768" s="61" t="s">
        <v>131</v>
      </c>
      <c r="W768" s="61" t="s">
        <v>96</v>
      </c>
      <c r="X768" s="61" t="s">
        <v>96</v>
      </c>
      <c r="Y768" s="61" t="s">
        <v>131</v>
      </c>
      <c r="Z768" s="61" t="s">
        <v>96</v>
      </c>
      <c r="AA768" s="61" t="s">
        <v>96</v>
      </c>
      <c r="AB768" s="61">
        <v>1</v>
      </c>
    </row>
    <row r="769" spans="1:28" s="57" customFormat="1" ht="43.2" x14ac:dyDescent="0.3">
      <c r="A769" s="16">
        <v>26</v>
      </c>
      <c r="B769" s="23">
        <v>86</v>
      </c>
      <c r="C769" s="27" t="str">
        <f t="shared" si="21"/>
        <v>26.86</v>
      </c>
      <c r="D769" s="18"/>
      <c r="E769" s="64" t="str">
        <f>IF(ISBLANK(D769)=TRUE,"",VLOOKUP(D769,Krav!$C:$F,4,FALSE))</f>
        <v/>
      </c>
      <c r="F769" s="139" t="s">
        <v>418</v>
      </c>
      <c r="G769" s="139" t="s">
        <v>419</v>
      </c>
      <c r="H769" s="76" t="s">
        <v>1515</v>
      </c>
      <c r="I769" s="76" t="s">
        <v>129</v>
      </c>
      <c r="J769" s="67" t="s">
        <v>222</v>
      </c>
      <c r="K769" s="123" t="s">
        <v>222</v>
      </c>
      <c r="L769" s="4" t="s">
        <v>4</v>
      </c>
      <c r="M769" s="61" t="s">
        <v>131</v>
      </c>
      <c r="N769" s="61" t="s">
        <v>96</v>
      </c>
      <c r="O769" s="61" t="s">
        <v>96</v>
      </c>
      <c r="P769" s="61" t="s">
        <v>129</v>
      </c>
      <c r="Q769" s="143" t="s">
        <v>118</v>
      </c>
      <c r="R769" s="142" t="s">
        <v>119</v>
      </c>
      <c r="S769" s="61" t="s">
        <v>131</v>
      </c>
      <c r="T769" s="61" t="s">
        <v>96</v>
      </c>
      <c r="U769" s="61" t="s">
        <v>96</v>
      </c>
      <c r="V769" s="61" t="s">
        <v>131</v>
      </c>
      <c r="W769" s="61" t="s">
        <v>96</v>
      </c>
      <c r="X769" s="61" t="s">
        <v>96</v>
      </c>
      <c r="Y769" s="61" t="s">
        <v>131</v>
      </c>
      <c r="Z769" s="61" t="s">
        <v>96</v>
      </c>
      <c r="AA769" s="61" t="s">
        <v>96</v>
      </c>
      <c r="AB769" s="61">
        <v>1</v>
      </c>
    </row>
    <row r="770" spans="1:28" s="57" customFormat="1" ht="43.2" x14ac:dyDescent="0.3">
      <c r="A770" s="16">
        <v>26</v>
      </c>
      <c r="B770" s="23">
        <v>87</v>
      </c>
      <c r="C770" s="27" t="str">
        <f t="shared" si="21"/>
        <v>26.87</v>
      </c>
      <c r="D770" s="18"/>
      <c r="E770" s="64" t="str">
        <f>IF(ISBLANK(D770)=TRUE,"",VLOOKUP(D770,Krav!$C:$F,4,FALSE))</f>
        <v/>
      </c>
      <c r="F770" s="139" t="s">
        <v>174</v>
      </c>
      <c r="G770" s="139"/>
      <c r="H770" s="76" t="s">
        <v>1516</v>
      </c>
      <c r="I770" s="76" t="s">
        <v>456</v>
      </c>
      <c r="J770" s="67" t="s">
        <v>222</v>
      </c>
      <c r="K770" s="123" t="s">
        <v>222</v>
      </c>
      <c r="L770" s="4" t="s">
        <v>4</v>
      </c>
      <c r="M770" s="61" t="s">
        <v>131</v>
      </c>
      <c r="N770" s="61" t="s">
        <v>96</v>
      </c>
      <c r="O770" s="61" t="s">
        <v>96</v>
      </c>
      <c r="P770" s="61" t="s">
        <v>129</v>
      </c>
      <c r="Q770" s="142" t="s">
        <v>119</v>
      </c>
      <c r="R770" s="143" t="s">
        <v>120</v>
      </c>
      <c r="S770" s="61" t="s">
        <v>131</v>
      </c>
      <c r="T770" s="61" t="s">
        <v>96</v>
      </c>
      <c r="U770" s="61" t="s">
        <v>96</v>
      </c>
      <c r="V770" s="61" t="s">
        <v>131</v>
      </c>
      <c r="W770" s="61" t="s">
        <v>96</v>
      </c>
      <c r="X770" s="61" t="s">
        <v>96</v>
      </c>
      <c r="Y770" s="61" t="s">
        <v>131</v>
      </c>
      <c r="Z770" s="61" t="s">
        <v>96</v>
      </c>
      <c r="AA770" s="61" t="s">
        <v>96</v>
      </c>
      <c r="AB770" s="61">
        <v>1</v>
      </c>
    </row>
    <row r="771" spans="1:28" s="57" customFormat="1" ht="43.2" x14ac:dyDescent="0.3">
      <c r="A771" s="16">
        <v>26</v>
      </c>
      <c r="B771" s="23">
        <v>88</v>
      </c>
      <c r="C771" s="27" t="str">
        <f t="shared" si="21"/>
        <v>26.88</v>
      </c>
      <c r="D771" s="18"/>
      <c r="E771" s="64" t="str">
        <f>IF(ISBLANK(D771)=TRUE,"",VLOOKUP(D771,Krav!$C:$F,4,FALSE))</f>
        <v/>
      </c>
      <c r="F771" s="139" t="s">
        <v>418</v>
      </c>
      <c r="G771" s="139" t="s">
        <v>419</v>
      </c>
      <c r="H771" s="76" t="s">
        <v>1517</v>
      </c>
      <c r="I771" s="76" t="s">
        <v>129</v>
      </c>
      <c r="J771" s="67" t="s">
        <v>222</v>
      </c>
      <c r="K771" s="123" t="s">
        <v>222</v>
      </c>
      <c r="L771" s="4" t="s">
        <v>4</v>
      </c>
      <c r="M771" s="61" t="s">
        <v>131</v>
      </c>
      <c r="N771" s="61" t="s">
        <v>96</v>
      </c>
      <c r="O771" s="61" t="s">
        <v>96</v>
      </c>
      <c r="P771" s="61" t="s">
        <v>129</v>
      </c>
      <c r="Q771" s="142" t="s">
        <v>119</v>
      </c>
      <c r="R771" s="143" t="s">
        <v>120</v>
      </c>
      <c r="S771" s="61" t="s">
        <v>131</v>
      </c>
      <c r="T771" s="61" t="s">
        <v>96</v>
      </c>
      <c r="U771" s="61" t="s">
        <v>96</v>
      </c>
      <c r="V771" s="61" t="s">
        <v>131</v>
      </c>
      <c r="W771" s="61" t="s">
        <v>96</v>
      </c>
      <c r="X771" s="61" t="s">
        <v>96</v>
      </c>
      <c r="Y771" s="61" t="s">
        <v>131</v>
      </c>
      <c r="Z771" s="61" t="s">
        <v>96</v>
      </c>
      <c r="AA771" s="61" t="s">
        <v>96</v>
      </c>
      <c r="AB771" s="61">
        <v>1</v>
      </c>
    </row>
    <row r="772" spans="1:28" s="57" customFormat="1" ht="43.2" x14ac:dyDescent="0.3">
      <c r="A772" s="16">
        <v>26</v>
      </c>
      <c r="B772" s="23">
        <v>89</v>
      </c>
      <c r="C772" s="27" t="str">
        <f t="shared" si="21"/>
        <v>26.89</v>
      </c>
      <c r="D772" s="18"/>
      <c r="E772" s="64" t="str">
        <f>IF(ISBLANK(D772)=TRUE,"",VLOOKUP(D772,Krav!$C:$F,4,FALSE))</f>
        <v/>
      </c>
      <c r="F772" s="139" t="s">
        <v>174</v>
      </c>
      <c r="G772" s="139"/>
      <c r="H772" s="76" t="s">
        <v>1518</v>
      </c>
      <c r="I772" s="76" t="s">
        <v>457</v>
      </c>
      <c r="J772" s="67" t="s">
        <v>222</v>
      </c>
      <c r="K772" s="123" t="s">
        <v>222</v>
      </c>
      <c r="L772" s="4" t="s">
        <v>4</v>
      </c>
      <c r="M772" s="61" t="s">
        <v>131</v>
      </c>
      <c r="N772" s="61" t="s">
        <v>96</v>
      </c>
      <c r="O772" s="61" t="s">
        <v>96</v>
      </c>
      <c r="P772" s="61" t="s">
        <v>129</v>
      </c>
      <c r="Q772" s="143" t="s">
        <v>121</v>
      </c>
      <c r="R772" s="142" t="s">
        <v>115</v>
      </c>
      <c r="S772" s="61" t="s">
        <v>131</v>
      </c>
      <c r="T772" s="61" t="s">
        <v>96</v>
      </c>
      <c r="U772" s="61" t="s">
        <v>96</v>
      </c>
      <c r="V772" s="61" t="s">
        <v>131</v>
      </c>
      <c r="W772" s="61" t="s">
        <v>96</v>
      </c>
      <c r="X772" s="61" t="s">
        <v>96</v>
      </c>
      <c r="Y772" s="61" t="s">
        <v>131</v>
      </c>
      <c r="Z772" s="61" t="s">
        <v>96</v>
      </c>
      <c r="AA772" s="61" t="s">
        <v>96</v>
      </c>
      <c r="AB772" s="61">
        <v>1</v>
      </c>
    </row>
    <row r="773" spans="1:28" s="57" customFormat="1" ht="43.2" x14ac:dyDescent="0.3">
      <c r="A773" s="16">
        <v>26</v>
      </c>
      <c r="B773" s="23">
        <v>90</v>
      </c>
      <c r="C773" s="27" t="str">
        <f t="shared" si="21"/>
        <v>26.90</v>
      </c>
      <c r="D773" s="18"/>
      <c r="E773" s="64" t="str">
        <f>IF(ISBLANK(D773)=TRUE,"",VLOOKUP(D773,Krav!$C:$F,4,FALSE))</f>
        <v/>
      </c>
      <c r="F773" s="139" t="s">
        <v>418</v>
      </c>
      <c r="G773" s="139" t="s">
        <v>419</v>
      </c>
      <c r="H773" s="76" t="s">
        <v>1519</v>
      </c>
      <c r="I773" s="76" t="s">
        <v>129</v>
      </c>
      <c r="J773" s="67" t="s">
        <v>222</v>
      </c>
      <c r="K773" s="123" t="s">
        <v>222</v>
      </c>
      <c r="L773" s="4" t="s">
        <v>4</v>
      </c>
      <c r="M773" s="61" t="s">
        <v>131</v>
      </c>
      <c r="N773" s="61" t="s">
        <v>96</v>
      </c>
      <c r="O773" s="61" t="s">
        <v>96</v>
      </c>
      <c r="P773" s="61" t="s">
        <v>129</v>
      </c>
      <c r="Q773" s="143" t="s">
        <v>121</v>
      </c>
      <c r="R773" s="142" t="s">
        <v>115</v>
      </c>
      <c r="S773" s="61" t="s">
        <v>131</v>
      </c>
      <c r="T773" s="61" t="s">
        <v>96</v>
      </c>
      <c r="U773" s="61" t="s">
        <v>96</v>
      </c>
      <c r="V773" s="61" t="s">
        <v>131</v>
      </c>
      <c r="W773" s="61" t="s">
        <v>96</v>
      </c>
      <c r="X773" s="61" t="s">
        <v>96</v>
      </c>
      <c r="Y773" s="61" t="s">
        <v>131</v>
      </c>
      <c r="Z773" s="61" t="s">
        <v>96</v>
      </c>
      <c r="AA773" s="61" t="s">
        <v>96</v>
      </c>
      <c r="AB773" s="61">
        <v>1</v>
      </c>
    </row>
    <row r="774" spans="1:28" s="57" customFormat="1" ht="43.2" x14ac:dyDescent="0.3">
      <c r="A774" s="16">
        <v>26</v>
      </c>
      <c r="B774" s="23">
        <v>91</v>
      </c>
      <c r="C774" s="27" t="str">
        <f t="shared" si="21"/>
        <v>26.91</v>
      </c>
      <c r="D774" s="18"/>
      <c r="E774" s="64" t="str">
        <f>IF(ISBLANK(D774)=TRUE,"",VLOOKUP(D774,Krav!$C:$F,4,FALSE))</f>
        <v/>
      </c>
      <c r="F774" s="139" t="s">
        <v>174</v>
      </c>
      <c r="G774" s="139"/>
      <c r="H774" s="76" t="s">
        <v>1520</v>
      </c>
      <c r="I774" s="76" t="s">
        <v>457</v>
      </c>
      <c r="J774" s="67" t="s">
        <v>222</v>
      </c>
      <c r="K774" s="123" t="s">
        <v>222</v>
      </c>
      <c r="L774" s="4" t="s">
        <v>4</v>
      </c>
      <c r="M774" s="61" t="s">
        <v>131</v>
      </c>
      <c r="N774" s="61" t="s">
        <v>96</v>
      </c>
      <c r="O774" s="61" t="s">
        <v>96</v>
      </c>
      <c r="P774" s="61" t="s">
        <v>129</v>
      </c>
      <c r="Q774" s="142" t="s">
        <v>113</v>
      </c>
      <c r="R774" s="143" t="s">
        <v>122</v>
      </c>
      <c r="S774" s="61" t="s">
        <v>131</v>
      </c>
      <c r="T774" s="61" t="s">
        <v>96</v>
      </c>
      <c r="U774" s="61" t="s">
        <v>96</v>
      </c>
      <c r="V774" s="61" t="s">
        <v>131</v>
      </c>
      <c r="W774" s="61" t="s">
        <v>96</v>
      </c>
      <c r="X774" s="61" t="s">
        <v>96</v>
      </c>
      <c r="Y774" s="61" t="s">
        <v>131</v>
      </c>
      <c r="Z774" s="61" t="s">
        <v>96</v>
      </c>
      <c r="AA774" s="61" t="s">
        <v>96</v>
      </c>
      <c r="AB774" s="61">
        <v>1</v>
      </c>
    </row>
    <row r="775" spans="1:28" s="57" customFormat="1" ht="43.2" x14ac:dyDescent="0.3">
      <c r="A775" s="16">
        <v>26</v>
      </c>
      <c r="B775" s="23">
        <v>92</v>
      </c>
      <c r="C775" s="27" t="str">
        <f t="shared" si="21"/>
        <v>26.92</v>
      </c>
      <c r="D775" s="18"/>
      <c r="E775" s="64" t="str">
        <f>IF(ISBLANK(D775)=TRUE,"",VLOOKUP(D775,Krav!$C:$F,4,FALSE))</f>
        <v/>
      </c>
      <c r="F775" s="139" t="s">
        <v>418</v>
      </c>
      <c r="G775" s="139" t="s">
        <v>419</v>
      </c>
      <c r="H775" s="76" t="s">
        <v>1521</v>
      </c>
      <c r="I775" s="76" t="s">
        <v>129</v>
      </c>
      <c r="J775" s="67" t="s">
        <v>222</v>
      </c>
      <c r="K775" s="123" t="s">
        <v>222</v>
      </c>
      <c r="L775" s="4" t="s">
        <v>4</v>
      </c>
      <c r="M775" s="61" t="s">
        <v>131</v>
      </c>
      <c r="N775" s="61" t="s">
        <v>96</v>
      </c>
      <c r="O775" s="61" t="s">
        <v>96</v>
      </c>
      <c r="P775" s="61" t="s">
        <v>129</v>
      </c>
      <c r="Q775" s="142" t="s">
        <v>113</v>
      </c>
      <c r="R775" s="143" t="s">
        <v>122</v>
      </c>
      <c r="S775" s="61" t="s">
        <v>131</v>
      </c>
      <c r="T775" s="61" t="s">
        <v>96</v>
      </c>
      <c r="U775" s="61" t="s">
        <v>96</v>
      </c>
      <c r="V775" s="61" t="s">
        <v>131</v>
      </c>
      <c r="W775" s="61" t="s">
        <v>96</v>
      </c>
      <c r="X775" s="61" t="s">
        <v>96</v>
      </c>
      <c r="Y775" s="61" t="s">
        <v>131</v>
      </c>
      <c r="Z775" s="61" t="s">
        <v>96</v>
      </c>
      <c r="AA775" s="61" t="s">
        <v>96</v>
      </c>
      <c r="AB775" s="61">
        <v>1</v>
      </c>
    </row>
    <row r="776" spans="1:28" s="57" customFormat="1" ht="43.2" x14ac:dyDescent="0.3">
      <c r="A776" s="16">
        <v>26</v>
      </c>
      <c r="B776" s="23">
        <v>93</v>
      </c>
      <c r="C776" s="27" t="str">
        <f t="shared" si="21"/>
        <v>26.93</v>
      </c>
      <c r="D776" s="18"/>
      <c r="E776" s="64" t="str">
        <f>IF(ISBLANK(D776)=TRUE,"",VLOOKUP(D776,Krav!$C:$F,4,FALSE))</f>
        <v/>
      </c>
      <c r="F776" s="139" t="s">
        <v>174</v>
      </c>
      <c r="G776" s="139"/>
      <c r="H776" s="76" t="s">
        <v>1522</v>
      </c>
      <c r="I776" s="76" t="s">
        <v>1363</v>
      </c>
      <c r="J776" s="67" t="s">
        <v>222</v>
      </c>
      <c r="K776" s="123" t="s">
        <v>222</v>
      </c>
      <c r="L776" s="4" t="s">
        <v>4</v>
      </c>
      <c r="M776" s="61" t="s">
        <v>131</v>
      </c>
      <c r="N776" s="61" t="s">
        <v>96</v>
      </c>
      <c r="O776" s="61" t="s">
        <v>96</v>
      </c>
      <c r="P776" s="61" t="s">
        <v>129</v>
      </c>
      <c r="Q776" s="143" t="s">
        <v>123</v>
      </c>
      <c r="R776" s="142" t="s">
        <v>119</v>
      </c>
      <c r="S776" s="61" t="s">
        <v>131</v>
      </c>
      <c r="T776" s="61" t="s">
        <v>96</v>
      </c>
      <c r="U776" s="61" t="s">
        <v>96</v>
      </c>
      <c r="V776" s="61" t="s">
        <v>131</v>
      </c>
      <c r="W776" s="61" t="s">
        <v>96</v>
      </c>
      <c r="X776" s="61" t="s">
        <v>96</v>
      </c>
      <c r="Y776" s="61" t="s">
        <v>131</v>
      </c>
      <c r="Z776" s="61" t="s">
        <v>96</v>
      </c>
      <c r="AA776" s="61" t="s">
        <v>96</v>
      </c>
      <c r="AB776" s="61">
        <v>1</v>
      </c>
    </row>
    <row r="777" spans="1:28" s="57" customFormat="1" ht="43.2" x14ac:dyDescent="0.3">
      <c r="A777" s="16">
        <v>26</v>
      </c>
      <c r="B777" s="23">
        <v>94</v>
      </c>
      <c r="C777" s="27" t="str">
        <f t="shared" si="21"/>
        <v>26.94</v>
      </c>
      <c r="D777" s="18"/>
      <c r="E777" s="64" t="str">
        <f>IF(ISBLANK(D777)=TRUE,"",VLOOKUP(D777,Krav!$C:$F,4,FALSE))</f>
        <v/>
      </c>
      <c r="F777" s="139" t="s">
        <v>418</v>
      </c>
      <c r="G777" s="139" t="s">
        <v>419</v>
      </c>
      <c r="H777" s="76" t="s">
        <v>1523</v>
      </c>
      <c r="I777" s="76" t="s">
        <v>129</v>
      </c>
      <c r="J777" s="67" t="s">
        <v>222</v>
      </c>
      <c r="K777" s="123" t="s">
        <v>222</v>
      </c>
      <c r="L777" s="4" t="s">
        <v>4</v>
      </c>
      <c r="M777" s="61" t="s">
        <v>131</v>
      </c>
      <c r="N777" s="61" t="s">
        <v>96</v>
      </c>
      <c r="O777" s="61" t="s">
        <v>96</v>
      </c>
      <c r="P777" s="61" t="s">
        <v>129</v>
      </c>
      <c r="Q777" s="143" t="s">
        <v>123</v>
      </c>
      <c r="R777" s="142" t="s">
        <v>119</v>
      </c>
      <c r="S777" s="61" t="s">
        <v>131</v>
      </c>
      <c r="T777" s="61" t="s">
        <v>96</v>
      </c>
      <c r="U777" s="61" t="s">
        <v>96</v>
      </c>
      <c r="V777" s="61" t="s">
        <v>131</v>
      </c>
      <c r="W777" s="61" t="s">
        <v>96</v>
      </c>
      <c r="X777" s="61" t="s">
        <v>96</v>
      </c>
      <c r="Y777" s="61" t="s">
        <v>131</v>
      </c>
      <c r="Z777" s="61" t="s">
        <v>96</v>
      </c>
      <c r="AA777" s="61" t="s">
        <v>96</v>
      </c>
      <c r="AB777" s="61">
        <v>1</v>
      </c>
    </row>
    <row r="778" spans="1:28" s="57" customFormat="1" ht="43.2" x14ac:dyDescent="0.3">
      <c r="A778" s="16">
        <v>26</v>
      </c>
      <c r="B778" s="23">
        <v>95</v>
      </c>
      <c r="C778" s="27" t="str">
        <f t="shared" si="21"/>
        <v>26.95</v>
      </c>
      <c r="D778" s="18"/>
      <c r="E778" s="64" t="str">
        <f>IF(ISBLANK(D778)=TRUE,"",VLOOKUP(D778,Krav!$C:$F,4,FALSE))</f>
        <v/>
      </c>
      <c r="F778" s="139" t="s">
        <v>174</v>
      </c>
      <c r="G778" s="139"/>
      <c r="H778" s="76" t="s">
        <v>1524</v>
      </c>
      <c r="I778" s="76" t="s">
        <v>1363</v>
      </c>
      <c r="J778" s="67" t="s">
        <v>222</v>
      </c>
      <c r="K778" s="123" t="s">
        <v>222</v>
      </c>
      <c r="L778" s="4" t="s">
        <v>4</v>
      </c>
      <c r="M778" s="61" t="s">
        <v>131</v>
      </c>
      <c r="N778" s="61" t="s">
        <v>96</v>
      </c>
      <c r="O778" s="61" t="s">
        <v>96</v>
      </c>
      <c r="P778" s="61" t="s">
        <v>129</v>
      </c>
      <c r="Q778" s="142" t="s">
        <v>119</v>
      </c>
      <c r="R778" s="143" t="s">
        <v>124</v>
      </c>
      <c r="S778" s="61" t="s">
        <v>131</v>
      </c>
      <c r="T778" s="61" t="s">
        <v>96</v>
      </c>
      <c r="U778" s="61" t="s">
        <v>96</v>
      </c>
      <c r="V778" s="61" t="s">
        <v>131</v>
      </c>
      <c r="W778" s="61" t="s">
        <v>96</v>
      </c>
      <c r="X778" s="61" t="s">
        <v>96</v>
      </c>
      <c r="Y778" s="61" t="s">
        <v>131</v>
      </c>
      <c r="Z778" s="61" t="s">
        <v>96</v>
      </c>
      <c r="AA778" s="61" t="s">
        <v>96</v>
      </c>
      <c r="AB778" s="61">
        <v>1</v>
      </c>
    </row>
    <row r="779" spans="1:28" s="57" customFormat="1" ht="43.2" x14ac:dyDescent="0.3">
      <c r="A779" s="16">
        <v>26</v>
      </c>
      <c r="B779" s="23">
        <v>96</v>
      </c>
      <c r="C779" s="27" t="str">
        <f t="shared" si="21"/>
        <v>26.96</v>
      </c>
      <c r="D779" s="18"/>
      <c r="E779" s="64" t="str">
        <f>IF(ISBLANK(D779)=TRUE,"",VLOOKUP(D779,Krav!$C:$F,4,FALSE))</f>
        <v/>
      </c>
      <c r="F779" s="139" t="s">
        <v>418</v>
      </c>
      <c r="G779" s="139" t="s">
        <v>419</v>
      </c>
      <c r="H779" s="76" t="s">
        <v>1525</v>
      </c>
      <c r="I779" s="76" t="s">
        <v>129</v>
      </c>
      <c r="J779" s="67" t="s">
        <v>222</v>
      </c>
      <c r="K779" s="123" t="s">
        <v>222</v>
      </c>
      <c r="L779" s="4" t="s">
        <v>4</v>
      </c>
      <c r="M779" s="61" t="s">
        <v>131</v>
      </c>
      <c r="N779" s="61" t="s">
        <v>96</v>
      </c>
      <c r="O779" s="61" t="s">
        <v>96</v>
      </c>
      <c r="P779" s="61" t="s">
        <v>129</v>
      </c>
      <c r="Q779" s="142" t="s">
        <v>119</v>
      </c>
      <c r="R779" s="143" t="s">
        <v>124</v>
      </c>
      <c r="S779" s="61" t="s">
        <v>131</v>
      </c>
      <c r="T779" s="61" t="s">
        <v>96</v>
      </c>
      <c r="U779" s="61" t="s">
        <v>96</v>
      </c>
      <c r="V779" s="61" t="s">
        <v>131</v>
      </c>
      <c r="W779" s="61" t="s">
        <v>96</v>
      </c>
      <c r="X779" s="61" t="s">
        <v>96</v>
      </c>
      <c r="Y779" s="61" t="s">
        <v>131</v>
      </c>
      <c r="Z779" s="61" t="s">
        <v>96</v>
      </c>
      <c r="AA779" s="61" t="s">
        <v>96</v>
      </c>
      <c r="AB779" s="61">
        <v>1</v>
      </c>
    </row>
    <row r="780" spans="1:28" s="57" customFormat="1" ht="43.2" x14ac:dyDescent="0.3">
      <c r="A780" s="16">
        <v>26</v>
      </c>
      <c r="B780" s="23">
        <v>97</v>
      </c>
      <c r="C780" s="27" t="str">
        <f t="shared" si="21"/>
        <v>26.97</v>
      </c>
      <c r="D780" s="18"/>
      <c r="E780" s="64" t="str">
        <f>IF(ISBLANK(D780)=TRUE,"",VLOOKUP(D780,Krav!$C:$F,4,FALSE))</f>
        <v/>
      </c>
      <c r="F780" s="139" t="s">
        <v>174</v>
      </c>
      <c r="G780" s="139"/>
      <c r="H780" s="76" t="s">
        <v>1526</v>
      </c>
      <c r="I780" s="67" t="s">
        <v>1527</v>
      </c>
      <c r="J780" s="67" t="s">
        <v>222</v>
      </c>
      <c r="K780" s="123" t="s">
        <v>222</v>
      </c>
      <c r="L780" s="4" t="s">
        <v>4</v>
      </c>
      <c r="M780" s="61" t="s">
        <v>131</v>
      </c>
      <c r="N780" s="61" t="s">
        <v>96</v>
      </c>
      <c r="O780" s="61" t="s">
        <v>96</v>
      </c>
      <c r="P780" s="61" t="s">
        <v>129</v>
      </c>
      <c r="Q780" s="142" t="s">
        <v>119</v>
      </c>
      <c r="R780" s="143" t="s">
        <v>181</v>
      </c>
      <c r="S780" s="61" t="s">
        <v>131</v>
      </c>
      <c r="T780" s="61" t="s">
        <v>96</v>
      </c>
      <c r="U780" s="61" t="s">
        <v>96</v>
      </c>
      <c r="V780" s="61" t="s">
        <v>131</v>
      </c>
      <c r="W780" s="61" t="s">
        <v>96</v>
      </c>
      <c r="X780" s="61" t="s">
        <v>96</v>
      </c>
      <c r="Y780" s="61" t="s">
        <v>131</v>
      </c>
      <c r="Z780" s="61" t="s">
        <v>96</v>
      </c>
      <c r="AA780" s="61" t="s">
        <v>96</v>
      </c>
      <c r="AB780" s="61">
        <v>1</v>
      </c>
    </row>
    <row r="781" spans="1:28" s="57" customFormat="1" ht="43.2" x14ac:dyDescent="0.3">
      <c r="A781" s="16">
        <v>26</v>
      </c>
      <c r="B781" s="23">
        <v>98</v>
      </c>
      <c r="C781" s="27" t="str">
        <f t="shared" si="21"/>
        <v>26.98</v>
      </c>
      <c r="D781" s="18"/>
      <c r="E781" s="64" t="str">
        <f>IF(ISBLANK(D781)=TRUE,"",VLOOKUP(D781,Krav!$C:$F,4,FALSE))</f>
        <v/>
      </c>
      <c r="F781" s="139" t="s">
        <v>418</v>
      </c>
      <c r="G781" s="139" t="s">
        <v>419</v>
      </c>
      <c r="H781" s="76" t="s">
        <v>1528</v>
      </c>
      <c r="I781" s="76" t="s">
        <v>129</v>
      </c>
      <c r="J781" s="67" t="s">
        <v>222</v>
      </c>
      <c r="K781" s="123" t="s">
        <v>222</v>
      </c>
      <c r="L781" s="4" t="s">
        <v>4</v>
      </c>
      <c r="M781" s="61" t="s">
        <v>131</v>
      </c>
      <c r="N781" s="61" t="s">
        <v>96</v>
      </c>
      <c r="O781" s="61" t="s">
        <v>96</v>
      </c>
      <c r="P781" s="61" t="s">
        <v>129</v>
      </c>
      <c r="Q781" s="142" t="s">
        <v>119</v>
      </c>
      <c r="R781" s="143" t="s">
        <v>181</v>
      </c>
      <c r="S781" s="61" t="s">
        <v>131</v>
      </c>
      <c r="T781" s="61" t="s">
        <v>96</v>
      </c>
      <c r="U781" s="61" t="s">
        <v>96</v>
      </c>
      <c r="V781" s="61" t="s">
        <v>131</v>
      </c>
      <c r="W781" s="61" t="s">
        <v>96</v>
      </c>
      <c r="X781" s="61" t="s">
        <v>96</v>
      </c>
      <c r="Y781" s="61" t="s">
        <v>131</v>
      </c>
      <c r="Z781" s="61" t="s">
        <v>96</v>
      </c>
      <c r="AA781" s="61" t="s">
        <v>96</v>
      </c>
      <c r="AB781" s="61">
        <v>1</v>
      </c>
    </row>
    <row r="782" spans="1:28" s="1" customFormat="1" ht="33" customHeight="1" x14ac:dyDescent="0.3">
      <c r="A782" s="16">
        <v>26</v>
      </c>
      <c r="B782" s="23">
        <v>99</v>
      </c>
      <c r="C782" s="27" t="str">
        <f t="shared" si="21"/>
        <v>26.99</v>
      </c>
      <c r="D782" s="18" t="s">
        <v>1479</v>
      </c>
      <c r="E782" s="64" t="str">
        <f>IF(ISBLANK(D782)=TRUE,"",VLOOKUP(D782,Krav!$C:$F,4,FALSE))</f>
        <v>4.a.2.1.6 - Den indtastede "fra" periode for forfaldsdato skal gemmes i populationsarket</v>
      </c>
      <c r="F782" s="53" t="s">
        <v>221</v>
      </c>
      <c r="G782" s="53" t="s">
        <v>1467</v>
      </c>
      <c r="H782" s="25" t="s">
        <v>1529</v>
      </c>
      <c r="I782" s="65" t="s">
        <v>96</v>
      </c>
      <c r="J782" s="67" t="s">
        <v>222</v>
      </c>
      <c r="K782" s="123" t="s">
        <v>222</v>
      </c>
      <c r="L782" s="20" t="s">
        <v>3</v>
      </c>
      <c r="M782" s="61" t="s">
        <v>131</v>
      </c>
      <c r="N782" s="61" t="s">
        <v>96</v>
      </c>
      <c r="O782" s="61" t="s">
        <v>96</v>
      </c>
      <c r="P782" s="61" t="s">
        <v>131</v>
      </c>
      <c r="Q782" s="61" t="s">
        <v>96</v>
      </c>
      <c r="R782" s="61" t="s">
        <v>96</v>
      </c>
      <c r="S782" s="61" t="s">
        <v>129</v>
      </c>
      <c r="T782" s="61" t="s">
        <v>1481</v>
      </c>
      <c r="U782" s="61" t="s">
        <v>1482</v>
      </c>
      <c r="V782" s="61" t="s">
        <v>131</v>
      </c>
      <c r="W782" s="61" t="s">
        <v>96</v>
      </c>
      <c r="X782" s="61" t="s">
        <v>96</v>
      </c>
      <c r="Y782" s="61" t="s">
        <v>131</v>
      </c>
      <c r="Z782" s="61" t="s">
        <v>96</v>
      </c>
      <c r="AA782" s="61" t="s">
        <v>96</v>
      </c>
      <c r="AB782" s="61">
        <v>1</v>
      </c>
    </row>
    <row r="783" spans="1:28" s="1" customFormat="1" ht="33" customHeight="1" x14ac:dyDescent="0.3">
      <c r="A783" s="16">
        <v>26</v>
      </c>
      <c r="B783" s="23">
        <v>100</v>
      </c>
      <c r="C783" s="27" t="str">
        <f t="shared" si="21"/>
        <v>26.100</v>
      </c>
      <c r="D783" s="18" t="s">
        <v>1483</v>
      </c>
      <c r="E783" s="64" t="str">
        <f>IF(ISBLANK(D783)=TRUE,"",VLOOKUP(D783,Krav!$C:$F,4,FALSE))</f>
        <v>4.a.2.1.7 - Den indtastede "til" periode for forfaldsdato skal gemmes i populationsarket</v>
      </c>
      <c r="F783" s="53" t="s">
        <v>221</v>
      </c>
      <c r="G783" s="53" t="s">
        <v>1468</v>
      </c>
      <c r="H783" s="25" t="s">
        <v>1529</v>
      </c>
      <c r="I783" s="65" t="s">
        <v>96</v>
      </c>
      <c r="J783" s="67" t="s">
        <v>222</v>
      </c>
      <c r="K783" s="123" t="s">
        <v>222</v>
      </c>
      <c r="L783" s="20" t="s">
        <v>3</v>
      </c>
      <c r="M783" s="61" t="s">
        <v>131</v>
      </c>
      <c r="N783" s="61" t="s">
        <v>96</v>
      </c>
      <c r="O783" s="61" t="s">
        <v>96</v>
      </c>
      <c r="P783" s="61" t="s">
        <v>131</v>
      </c>
      <c r="Q783" s="61" t="s">
        <v>96</v>
      </c>
      <c r="R783" s="61" t="s">
        <v>96</v>
      </c>
      <c r="S783" s="61" t="s">
        <v>129</v>
      </c>
      <c r="T783" s="61" t="s">
        <v>1481</v>
      </c>
      <c r="U783" s="61" t="s">
        <v>1482</v>
      </c>
      <c r="V783" s="61" t="s">
        <v>131</v>
      </c>
      <c r="W783" s="61" t="s">
        <v>96</v>
      </c>
      <c r="X783" s="61" t="s">
        <v>96</v>
      </c>
      <c r="Y783" s="61" t="s">
        <v>131</v>
      </c>
      <c r="Z783" s="61" t="s">
        <v>96</v>
      </c>
      <c r="AA783" s="61" t="s">
        <v>96</v>
      </c>
      <c r="AB783" s="61">
        <v>1</v>
      </c>
    </row>
    <row r="784" spans="1:28" s="1" customFormat="1" ht="33" customHeight="1" x14ac:dyDescent="0.3">
      <c r="A784" s="16">
        <v>26</v>
      </c>
      <c r="B784" s="23">
        <v>101</v>
      </c>
      <c r="C784" s="27" t="str">
        <f t="shared" si="21"/>
        <v>26.101</v>
      </c>
      <c r="D784" s="18" t="s">
        <v>1484</v>
      </c>
      <c r="E784" s="64" t="str">
        <f>IF(ISBLANK(D784)=TRUE,"",VLOOKUP(D784,Krav!$C:$F,4,FALSE))</f>
        <v>4.a.2.1.8 - Den indtastede "fra" periode for sidste rettidige betalingsdato skal gemmes i populationsarket</v>
      </c>
      <c r="F784" s="53" t="s">
        <v>221</v>
      </c>
      <c r="G784" s="53" t="s">
        <v>1469</v>
      </c>
      <c r="H784" s="25" t="s">
        <v>1485</v>
      </c>
      <c r="I784" s="65" t="s">
        <v>96</v>
      </c>
      <c r="J784" s="67" t="s">
        <v>222</v>
      </c>
      <c r="K784" s="123" t="s">
        <v>222</v>
      </c>
      <c r="L784" s="20" t="s">
        <v>3</v>
      </c>
      <c r="M784" s="61" t="s">
        <v>131</v>
      </c>
      <c r="N784" s="61" t="s">
        <v>96</v>
      </c>
      <c r="O784" s="61" t="s">
        <v>96</v>
      </c>
      <c r="P784" s="61" t="s">
        <v>131</v>
      </c>
      <c r="Q784" s="61" t="s">
        <v>96</v>
      </c>
      <c r="R784" s="61" t="s">
        <v>96</v>
      </c>
      <c r="S784" s="61" t="s">
        <v>129</v>
      </c>
      <c r="T784" s="61" t="s">
        <v>1481</v>
      </c>
      <c r="U784" s="61" t="s">
        <v>1482</v>
      </c>
      <c r="V784" s="61" t="s">
        <v>131</v>
      </c>
      <c r="W784" s="61" t="s">
        <v>96</v>
      </c>
      <c r="X784" s="61" t="s">
        <v>96</v>
      </c>
      <c r="Y784" s="61" t="s">
        <v>131</v>
      </c>
      <c r="Z784" s="61" t="s">
        <v>96</v>
      </c>
      <c r="AA784" s="61" t="s">
        <v>96</v>
      </c>
      <c r="AB784" s="61">
        <v>1</v>
      </c>
    </row>
    <row r="785" spans="1:28" s="1" customFormat="1" ht="33" customHeight="1" x14ac:dyDescent="0.3">
      <c r="A785" s="16">
        <v>26</v>
      </c>
      <c r="B785" s="23">
        <v>102</v>
      </c>
      <c r="C785" s="27" t="str">
        <f t="shared" si="21"/>
        <v>26.102</v>
      </c>
      <c r="D785" s="18" t="s">
        <v>1486</v>
      </c>
      <c r="E785" s="64" t="str">
        <f>IF(ISBLANK(D785)=TRUE,"",VLOOKUP(D785,Krav!$C:$F,4,FALSE))</f>
        <v>4.a.2.1.9 - Den indtastede "til" periode for sidste rettidige betalingsdato skal gemmes i populationsarket</v>
      </c>
      <c r="F785" s="53" t="s">
        <v>221</v>
      </c>
      <c r="G785" s="53" t="s">
        <v>1470</v>
      </c>
      <c r="H785" s="25" t="s">
        <v>1485</v>
      </c>
      <c r="I785" s="65" t="s">
        <v>96</v>
      </c>
      <c r="J785" s="67" t="s">
        <v>222</v>
      </c>
      <c r="K785" s="123" t="s">
        <v>222</v>
      </c>
      <c r="L785" s="20" t="s">
        <v>3</v>
      </c>
      <c r="M785" s="61" t="s">
        <v>131</v>
      </c>
      <c r="N785" s="61" t="s">
        <v>96</v>
      </c>
      <c r="O785" s="61" t="s">
        <v>96</v>
      </c>
      <c r="P785" s="61" t="s">
        <v>131</v>
      </c>
      <c r="Q785" s="61" t="s">
        <v>96</v>
      </c>
      <c r="R785" s="61" t="s">
        <v>96</v>
      </c>
      <c r="S785" s="61" t="s">
        <v>129</v>
      </c>
      <c r="T785" s="61" t="s">
        <v>1481</v>
      </c>
      <c r="U785" s="61" t="s">
        <v>1482</v>
      </c>
      <c r="V785" s="61" t="s">
        <v>131</v>
      </c>
      <c r="W785" s="61" t="s">
        <v>96</v>
      </c>
      <c r="X785" s="61" t="s">
        <v>96</v>
      </c>
      <c r="Y785" s="61" t="s">
        <v>131</v>
      </c>
      <c r="Z785" s="61" t="s">
        <v>96</v>
      </c>
      <c r="AA785" s="61" t="s">
        <v>96</v>
      </c>
      <c r="AB785" s="61">
        <v>1</v>
      </c>
    </row>
    <row r="786" spans="1:28" s="1" customFormat="1" ht="33" customHeight="1" x14ac:dyDescent="0.3">
      <c r="A786" s="16">
        <v>26</v>
      </c>
      <c r="B786" s="23">
        <v>103</v>
      </c>
      <c r="C786" s="27" t="str">
        <f t="shared" si="21"/>
        <v>26.103</v>
      </c>
      <c r="D786" s="18" t="s">
        <v>1487</v>
      </c>
      <c r="E786" s="64" t="str">
        <f>IF(ISBLANK(D786)=TRUE,"",VLOOKUP(D786,Krav!$C:$F,4,FALSE))</f>
        <v>4.a.2.1.3 - Den indtastede "fra" periode for stiftelsesdato skal gemmes i populationsarket</v>
      </c>
      <c r="F786" s="53" t="s">
        <v>221</v>
      </c>
      <c r="G786" s="53" t="s">
        <v>1471</v>
      </c>
      <c r="H786" s="25" t="s">
        <v>1541</v>
      </c>
      <c r="I786" s="65" t="s">
        <v>1481</v>
      </c>
      <c r="J786" s="67" t="s">
        <v>222</v>
      </c>
      <c r="K786" s="123" t="s">
        <v>222</v>
      </c>
      <c r="L786" s="20" t="s">
        <v>3</v>
      </c>
      <c r="M786" s="61" t="s">
        <v>131</v>
      </c>
      <c r="N786" s="61" t="s">
        <v>96</v>
      </c>
      <c r="O786" s="61" t="s">
        <v>96</v>
      </c>
      <c r="P786" s="61" t="s">
        <v>131</v>
      </c>
      <c r="Q786" s="61" t="s">
        <v>96</v>
      </c>
      <c r="R786" s="61" t="s">
        <v>96</v>
      </c>
      <c r="S786" s="61" t="s">
        <v>129</v>
      </c>
      <c r="T786" s="61" t="s">
        <v>1481</v>
      </c>
      <c r="U786" s="61" t="s">
        <v>1482</v>
      </c>
      <c r="V786" s="61" t="s">
        <v>131</v>
      </c>
      <c r="W786" s="61" t="s">
        <v>96</v>
      </c>
      <c r="X786" s="61" t="s">
        <v>96</v>
      </c>
      <c r="Y786" s="61" t="s">
        <v>131</v>
      </c>
      <c r="Z786" s="61" t="s">
        <v>96</v>
      </c>
      <c r="AA786" s="61" t="s">
        <v>96</v>
      </c>
      <c r="AB786" s="61">
        <v>1</v>
      </c>
    </row>
    <row r="787" spans="1:28" s="1" customFormat="1" ht="33" customHeight="1" x14ac:dyDescent="0.3">
      <c r="A787" s="16">
        <v>26</v>
      </c>
      <c r="B787" s="23">
        <v>104</v>
      </c>
      <c r="C787" s="27" t="str">
        <f t="shared" si="21"/>
        <v>26.104</v>
      </c>
      <c r="D787" s="18" t="s">
        <v>1489</v>
      </c>
      <c r="E787" s="64" t="str">
        <f>IF(ISBLANK(D787)=TRUE,"",VLOOKUP(D787,Krav!$C:$F,4,FALSE))</f>
        <v>4.a.2.1.5 - Den indtastede "til" periode for stiftelsesdato skal gemmes i populationsarket</v>
      </c>
      <c r="F787" s="53" t="s">
        <v>221</v>
      </c>
      <c r="G787" s="53" t="s">
        <v>1472</v>
      </c>
      <c r="H787" s="25" t="s">
        <v>1541</v>
      </c>
      <c r="I787" s="65" t="s">
        <v>1482</v>
      </c>
      <c r="J787" s="67" t="s">
        <v>222</v>
      </c>
      <c r="K787" s="123" t="s">
        <v>222</v>
      </c>
      <c r="L787" s="20" t="s">
        <v>3</v>
      </c>
      <c r="M787" s="61" t="s">
        <v>131</v>
      </c>
      <c r="N787" s="61" t="s">
        <v>96</v>
      </c>
      <c r="O787" s="61" t="s">
        <v>96</v>
      </c>
      <c r="P787" s="61" t="s">
        <v>131</v>
      </c>
      <c r="Q787" s="61" t="s">
        <v>96</v>
      </c>
      <c r="R787" s="61" t="s">
        <v>96</v>
      </c>
      <c r="S787" s="61" t="s">
        <v>129</v>
      </c>
      <c r="T787" s="61" t="s">
        <v>1481</v>
      </c>
      <c r="U787" s="61" t="s">
        <v>1482</v>
      </c>
      <c r="V787" s="61" t="s">
        <v>131</v>
      </c>
      <c r="W787" s="61" t="s">
        <v>96</v>
      </c>
      <c r="X787" s="61" t="s">
        <v>96</v>
      </c>
      <c r="Y787" s="61" t="s">
        <v>131</v>
      </c>
      <c r="Z787" s="61" t="s">
        <v>96</v>
      </c>
      <c r="AA787" s="61" t="s">
        <v>96</v>
      </c>
      <c r="AB787" s="61">
        <v>1</v>
      </c>
    </row>
    <row r="788" spans="1:28" s="1" customFormat="1" ht="33" customHeight="1" x14ac:dyDescent="0.3">
      <c r="A788" s="16">
        <v>26</v>
      </c>
      <c r="B788" s="23">
        <v>105</v>
      </c>
      <c r="C788" s="27" t="str">
        <f t="shared" si="21"/>
        <v>26.105</v>
      </c>
      <c r="D788" s="18" t="s">
        <v>1490</v>
      </c>
      <c r="E788" s="64" t="str">
        <f>IF(ISBLANK(D788)=TRUE,"",VLOOKUP(D788,Krav!$C:$F,4,FALSE))</f>
        <v>4.a.2.1.10 - Den indtastede "fra" periode for periode start skal gemmes i populationsarket</v>
      </c>
      <c r="F788" s="53" t="s">
        <v>221</v>
      </c>
      <c r="G788" s="53" t="s">
        <v>1474</v>
      </c>
      <c r="H788" s="25" t="s">
        <v>1491</v>
      </c>
      <c r="I788" s="65" t="s">
        <v>96</v>
      </c>
      <c r="J788" s="67" t="s">
        <v>222</v>
      </c>
      <c r="K788" s="123" t="s">
        <v>222</v>
      </c>
      <c r="L788" s="20" t="s">
        <v>3</v>
      </c>
      <c r="M788" s="61" t="s">
        <v>131</v>
      </c>
      <c r="N788" s="61" t="s">
        <v>96</v>
      </c>
      <c r="O788" s="61" t="s">
        <v>96</v>
      </c>
      <c r="P788" s="61" t="s">
        <v>131</v>
      </c>
      <c r="Q788" s="61" t="s">
        <v>96</v>
      </c>
      <c r="R788" s="61" t="s">
        <v>96</v>
      </c>
      <c r="S788" s="61" t="s">
        <v>129</v>
      </c>
      <c r="T788" s="61" t="s">
        <v>1481</v>
      </c>
      <c r="U788" s="61" t="s">
        <v>1482</v>
      </c>
      <c r="V788" s="61" t="s">
        <v>131</v>
      </c>
      <c r="W788" s="61" t="s">
        <v>96</v>
      </c>
      <c r="X788" s="61" t="s">
        <v>96</v>
      </c>
      <c r="Y788" s="61" t="s">
        <v>131</v>
      </c>
      <c r="Z788" s="61" t="s">
        <v>96</v>
      </c>
      <c r="AA788" s="61" t="s">
        <v>96</v>
      </c>
      <c r="AB788" s="61">
        <v>1</v>
      </c>
    </row>
    <row r="789" spans="1:28" s="1" customFormat="1" ht="33" customHeight="1" x14ac:dyDescent="0.3">
      <c r="A789" s="16">
        <v>26</v>
      </c>
      <c r="B789" s="23">
        <v>106</v>
      </c>
      <c r="C789" s="27" t="str">
        <f t="shared" si="21"/>
        <v>26.106</v>
      </c>
      <c r="D789" s="18" t="s">
        <v>1492</v>
      </c>
      <c r="E789" s="64" t="str">
        <f>IF(ISBLANK(D789)=TRUE,"",VLOOKUP(D789,Krav!$C:$F,4,FALSE))</f>
        <v>4.a.2.1.11 - Den indtastede "til" periode for periode start skal gemmes i populationsarket</v>
      </c>
      <c r="F789" s="53" t="s">
        <v>221</v>
      </c>
      <c r="G789" s="53" t="s">
        <v>1475</v>
      </c>
      <c r="H789" s="25" t="s">
        <v>1491</v>
      </c>
      <c r="I789" s="65" t="s">
        <v>96</v>
      </c>
      <c r="J789" s="67" t="s">
        <v>222</v>
      </c>
      <c r="K789" s="123" t="s">
        <v>222</v>
      </c>
      <c r="L789" s="20" t="s">
        <v>3</v>
      </c>
      <c r="M789" s="61" t="s">
        <v>131</v>
      </c>
      <c r="N789" s="61" t="s">
        <v>96</v>
      </c>
      <c r="O789" s="61" t="s">
        <v>96</v>
      </c>
      <c r="P789" s="61" t="s">
        <v>131</v>
      </c>
      <c r="Q789" s="61" t="s">
        <v>96</v>
      </c>
      <c r="R789" s="61" t="s">
        <v>96</v>
      </c>
      <c r="S789" s="61" t="s">
        <v>129</v>
      </c>
      <c r="T789" s="61" t="s">
        <v>1481</v>
      </c>
      <c r="U789" s="61" t="s">
        <v>1482</v>
      </c>
      <c r="V789" s="61" t="s">
        <v>131</v>
      </c>
      <c r="W789" s="61" t="s">
        <v>96</v>
      </c>
      <c r="X789" s="61" t="s">
        <v>96</v>
      </c>
      <c r="Y789" s="61" t="s">
        <v>131</v>
      </c>
      <c r="Z789" s="61" t="s">
        <v>96</v>
      </c>
      <c r="AA789" s="61" t="s">
        <v>96</v>
      </c>
      <c r="AB789" s="61">
        <v>1</v>
      </c>
    </row>
    <row r="790" spans="1:28" s="1" customFormat="1" ht="33" customHeight="1" x14ac:dyDescent="0.3">
      <c r="A790" s="16">
        <v>26</v>
      </c>
      <c r="B790" s="23">
        <v>107</v>
      </c>
      <c r="C790" s="27" t="str">
        <f t="shared" si="21"/>
        <v>26.107</v>
      </c>
      <c r="D790" s="18" t="s">
        <v>1493</v>
      </c>
      <c r="E790" s="64" t="str">
        <f>IF(ISBLANK(D790)=TRUE,"",VLOOKUP(D790,Krav!$C:$F,4,FALSE))</f>
        <v>4.a.2.1.12 - Den indtastede "fra" periode for periode slut skal gemmes i populationsarket</v>
      </c>
      <c r="F790" s="53" t="s">
        <v>221</v>
      </c>
      <c r="G790" s="53" t="s">
        <v>1477</v>
      </c>
      <c r="H790" s="25" t="s">
        <v>1494</v>
      </c>
      <c r="I790" s="65" t="s">
        <v>96</v>
      </c>
      <c r="J790" s="67" t="s">
        <v>222</v>
      </c>
      <c r="K790" s="123" t="s">
        <v>222</v>
      </c>
      <c r="L790" s="20" t="s">
        <v>3</v>
      </c>
      <c r="M790" s="61" t="s">
        <v>131</v>
      </c>
      <c r="N790" s="61" t="s">
        <v>96</v>
      </c>
      <c r="O790" s="61" t="s">
        <v>96</v>
      </c>
      <c r="P790" s="61" t="s">
        <v>131</v>
      </c>
      <c r="Q790" s="61" t="s">
        <v>96</v>
      </c>
      <c r="R790" s="61" t="s">
        <v>96</v>
      </c>
      <c r="S790" s="61" t="s">
        <v>129</v>
      </c>
      <c r="T790" s="61" t="s">
        <v>1481</v>
      </c>
      <c r="U790" s="61" t="s">
        <v>1482</v>
      </c>
      <c r="V790" s="61" t="s">
        <v>131</v>
      </c>
      <c r="W790" s="61" t="s">
        <v>96</v>
      </c>
      <c r="X790" s="61" t="s">
        <v>96</v>
      </c>
      <c r="Y790" s="61" t="s">
        <v>131</v>
      </c>
      <c r="Z790" s="61" t="s">
        <v>96</v>
      </c>
      <c r="AA790" s="61" t="s">
        <v>96</v>
      </c>
      <c r="AB790" s="61">
        <v>1</v>
      </c>
    </row>
    <row r="791" spans="1:28" s="1" customFormat="1" ht="33" customHeight="1" x14ac:dyDescent="0.3">
      <c r="A791" s="16">
        <v>26</v>
      </c>
      <c r="B791" s="23">
        <v>108</v>
      </c>
      <c r="C791" s="27" t="str">
        <f t="shared" si="21"/>
        <v>26.108</v>
      </c>
      <c r="D791" s="18" t="s">
        <v>1495</v>
      </c>
      <c r="E791" s="64" t="str">
        <f>IF(ISBLANK(D791)=TRUE,"",VLOOKUP(D791,Krav!$C:$F,4,FALSE))</f>
        <v>4.a.2.1.13 - Den indtastede "til" periode for periode slut skal gemmes i populationsarket</v>
      </c>
      <c r="F791" s="53" t="s">
        <v>221</v>
      </c>
      <c r="G791" s="53" t="s">
        <v>1478</v>
      </c>
      <c r="H791" s="25" t="s">
        <v>1494</v>
      </c>
      <c r="I791" s="65" t="s">
        <v>96</v>
      </c>
      <c r="J791" s="67" t="s">
        <v>222</v>
      </c>
      <c r="K791" s="123" t="s">
        <v>222</v>
      </c>
      <c r="L791" s="20" t="s">
        <v>3</v>
      </c>
      <c r="M791" s="61" t="s">
        <v>131</v>
      </c>
      <c r="N791" s="61" t="s">
        <v>96</v>
      </c>
      <c r="O791" s="61" t="s">
        <v>96</v>
      </c>
      <c r="P791" s="61" t="s">
        <v>131</v>
      </c>
      <c r="Q791" s="61" t="s">
        <v>96</v>
      </c>
      <c r="R791" s="61" t="s">
        <v>96</v>
      </c>
      <c r="S791" s="61" t="s">
        <v>129</v>
      </c>
      <c r="T791" s="61" t="s">
        <v>1481</v>
      </c>
      <c r="U791" s="61" t="s">
        <v>1482</v>
      </c>
      <c r="V791" s="61" t="s">
        <v>131</v>
      </c>
      <c r="W791" s="61" t="s">
        <v>96</v>
      </c>
      <c r="X791" s="61" t="s">
        <v>96</v>
      </c>
      <c r="Y791" s="61" t="s">
        <v>131</v>
      </c>
      <c r="Z791" s="61" t="s">
        <v>96</v>
      </c>
      <c r="AA791" s="61" t="s">
        <v>96</v>
      </c>
      <c r="AB791" s="61">
        <v>1</v>
      </c>
    </row>
    <row r="792" spans="1:28" s="1" customFormat="1" ht="33" customHeight="1" x14ac:dyDescent="0.3">
      <c r="A792" s="16">
        <v>26</v>
      </c>
      <c r="B792" s="23">
        <v>109</v>
      </c>
      <c r="C792" s="27" t="str">
        <f t="shared" si="21"/>
        <v>26.109</v>
      </c>
      <c r="D792" s="18"/>
      <c r="E792" s="64" t="str">
        <f>IF(ISBLANK(D792)=TRUE,"",VLOOKUP(D792,Krav!$C:$F,4,FALSE))</f>
        <v/>
      </c>
      <c r="F792" s="53" t="s">
        <v>225</v>
      </c>
      <c r="G792" s="53" t="s">
        <v>521</v>
      </c>
      <c r="H792" s="25" t="s">
        <v>1531</v>
      </c>
      <c r="I792" s="65" t="s">
        <v>96</v>
      </c>
      <c r="J792" s="67" t="s">
        <v>222</v>
      </c>
      <c r="K792" s="123" t="s">
        <v>222</v>
      </c>
      <c r="L792" s="20" t="s">
        <v>3</v>
      </c>
      <c r="M792" s="61" t="s">
        <v>131</v>
      </c>
      <c r="N792" s="61" t="s">
        <v>96</v>
      </c>
      <c r="O792" s="61" t="s">
        <v>96</v>
      </c>
      <c r="P792" s="61" t="s">
        <v>131</v>
      </c>
      <c r="Q792" s="61" t="s">
        <v>96</v>
      </c>
      <c r="R792" s="61" t="s">
        <v>96</v>
      </c>
      <c r="S792" s="61" t="s">
        <v>129</v>
      </c>
      <c r="T792" s="61" t="s">
        <v>1481</v>
      </c>
      <c r="U792" s="61" t="s">
        <v>1482</v>
      </c>
      <c r="V792" s="61" t="s">
        <v>131</v>
      </c>
      <c r="W792" s="61" t="s">
        <v>96</v>
      </c>
      <c r="X792" s="61" t="s">
        <v>96</v>
      </c>
      <c r="Y792" s="61" t="s">
        <v>131</v>
      </c>
      <c r="Z792" s="61" t="s">
        <v>96</v>
      </c>
      <c r="AA792" s="61" t="s">
        <v>96</v>
      </c>
      <c r="AB792" s="61">
        <v>1</v>
      </c>
    </row>
    <row r="793" spans="1:28" s="1" customFormat="1" ht="33" customHeight="1" x14ac:dyDescent="0.3">
      <c r="A793" s="16">
        <v>26</v>
      </c>
      <c r="B793" s="23">
        <v>110</v>
      </c>
      <c r="C793" s="27" t="str">
        <f t="shared" si="21"/>
        <v>26.110</v>
      </c>
      <c r="D793" s="18"/>
      <c r="E793" s="64" t="str">
        <f>IF(ISBLANK(D793)=TRUE,"",VLOOKUP(D793,Krav!$C:$F,4,FALSE))</f>
        <v/>
      </c>
      <c r="F793" s="53" t="s">
        <v>225</v>
      </c>
      <c r="G793" s="53" t="s">
        <v>1467</v>
      </c>
      <c r="H793" s="25" t="s">
        <v>1532</v>
      </c>
      <c r="I793" s="65" t="s">
        <v>96</v>
      </c>
      <c r="J793" s="67" t="s">
        <v>222</v>
      </c>
      <c r="K793" s="123" t="s">
        <v>222</v>
      </c>
      <c r="L793" s="20" t="s">
        <v>3</v>
      </c>
      <c r="M793" s="61" t="s">
        <v>131</v>
      </c>
      <c r="N793" s="61" t="s">
        <v>96</v>
      </c>
      <c r="O793" s="61" t="s">
        <v>96</v>
      </c>
      <c r="P793" s="61" t="s">
        <v>131</v>
      </c>
      <c r="Q793" s="61" t="s">
        <v>96</v>
      </c>
      <c r="R793" s="61" t="s">
        <v>96</v>
      </c>
      <c r="S793" s="61" t="s">
        <v>129</v>
      </c>
      <c r="T793" s="61" t="s">
        <v>1481</v>
      </c>
      <c r="U793" s="61" t="s">
        <v>1482</v>
      </c>
      <c r="V793" s="61" t="s">
        <v>131</v>
      </c>
      <c r="W793" s="61" t="s">
        <v>96</v>
      </c>
      <c r="X793" s="61" t="s">
        <v>96</v>
      </c>
      <c r="Y793" s="61" t="s">
        <v>131</v>
      </c>
      <c r="Z793" s="61" t="s">
        <v>96</v>
      </c>
      <c r="AA793" s="61" t="s">
        <v>96</v>
      </c>
      <c r="AB793" s="61">
        <v>1</v>
      </c>
    </row>
    <row r="794" spans="1:28" s="1" customFormat="1" ht="33" customHeight="1" x14ac:dyDescent="0.3">
      <c r="A794" s="16">
        <v>26</v>
      </c>
      <c r="B794" s="23">
        <v>111</v>
      </c>
      <c r="C794" s="27" t="str">
        <f t="shared" si="21"/>
        <v>26.111</v>
      </c>
      <c r="D794" s="18"/>
      <c r="E794" s="64" t="str">
        <f>IF(ISBLANK(D794)=TRUE,"",VLOOKUP(D794,Krav!$C:$F,4,FALSE))</f>
        <v/>
      </c>
      <c r="F794" s="53" t="s">
        <v>225</v>
      </c>
      <c r="G794" s="53" t="s">
        <v>1468</v>
      </c>
      <c r="H794" s="25" t="s">
        <v>1532</v>
      </c>
      <c r="I794" s="65" t="s">
        <v>96</v>
      </c>
      <c r="J794" s="67" t="s">
        <v>222</v>
      </c>
      <c r="K794" s="123" t="s">
        <v>222</v>
      </c>
      <c r="L794" s="20" t="s">
        <v>3</v>
      </c>
      <c r="M794" s="61" t="s">
        <v>131</v>
      </c>
      <c r="N794" s="61" t="s">
        <v>96</v>
      </c>
      <c r="O794" s="61" t="s">
        <v>96</v>
      </c>
      <c r="P794" s="61" t="s">
        <v>131</v>
      </c>
      <c r="Q794" s="61" t="s">
        <v>96</v>
      </c>
      <c r="R794" s="61" t="s">
        <v>96</v>
      </c>
      <c r="S794" s="61" t="s">
        <v>129</v>
      </c>
      <c r="T794" s="61" t="s">
        <v>1481</v>
      </c>
      <c r="U794" s="61" t="s">
        <v>1482</v>
      </c>
      <c r="V794" s="61" t="s">
        <v>131</v>
      </c>
      <c r="W794" s="61" t="s">
        <v>96</v>
      </c>
      <c r="X794" s="61" t="s">
        <v>96</v>
      </c>
      <c r="Y794" s="61" t="s">
        <v>131</v>
      </c>
      <c r="Z794" s="61" t="s">
        <v>96</v>
      </c>
      <c r="AA794" s="61" t="s">
        <v>96</v>
      </c>
      <c r="AB794" s="61">
        <v>1</v>
      </c>
    </row>
    <row r="795" spans="1:28" s="1" customFormat="1" ht="33" customHeight="1" x14ac:dyDescent="0.3">
      <c r="A795" s="16">
        <v>26</v>
      </c>
      <c r="B795" s="23">
        <v>112</v>
      </c>
      <c r="C795" s="27" t="str">
        <f t="shared" si="21"/>
        <v>26.112</v>
      </c>
      <c r="D795" s="18"/>
      <c r="E795" s="64" t="str">
        <f>IF(ISBLANK(D795)=TRUE,"",VLOOKUP(D795,Krav!$C:$F,4,FALSE))</f>
        <v/>
      </c>
      <c r="F795" s="53" t="s">
        <v>225</v>
      </c>
      <c r="G795" s="53" t="s">
        <v>522</v>
      </c>
      <c r="H795" s="25" t="s">
        <v>1498</v>
      </c>
      <c r="I795" s="65" t="s">
        <v>96</v>
      </c>
      <c r="J795" s="67" t="s">
        <v>222</v>
      </c>
      <c r="K795" s="123" t="s">
        <v>222</v>
      </c>
      <c r="L795" s="20" t="s">
        <v>3</v>
      </c>
      <c r="M795" s="61" t="s">
        <v>131</v>
      </c>
      <c r="N795" s="61" t="s">
        <v>96</v>
      </c>
      <c r="O795" s="61" t="s">
        <v>96</v>
      </c>
      <c r="P795" s="61" t="s">
        <v>131</v>
      </c>
      <c r="Q795" s="61" t="s">
        <v>96</v>
      </c>
      <c r="R795" s="61" t="s">
        <v>96</v>
      </c>
      <c r="S795" s="61" t="s">
        <v>129</v>
      </c>
      <c r="T795" s="61" t="s">
        <v>1481</v>
      </c>
      <c r="U795" s="61" t="s">
        <v>1482</v>
      </c>
      <c r="V795" s="61" t="s">
        <v>131</v>
      </c>
      <c r="W795" s="61" t="s">
        <v>96</v>
      </c>
      <c r="X795" s="61" t="s">
        <v>96</v>
      </c>
      <c r="Y795" s="61" t="s">
        <v>131</v>
      </c>
      <c r="Z795" s="61" t="s">
        <v>96</v>
      </c>
      <c r="AA795" s="61" t="s">
        <v>96</v>
      </c>
      <c r="AB795" s="61">
        <v>1</v>
      </c>
    </row>
    <row r="796" spans="1:28" s="1" customFormat="1" ht="33" customHeight="1" x14ac:dyDescent="0.3">
      <c r="A796" s="16">
        <v>26</v>
      </c>
      <c r="B796" s="23">
        <v>113</v>
      </c>
      <c r="C796" s="27" t="str">
        <f t="shared" si="21"/>
        <v>26.113</v>
      </c>
      <c r="D796" s="18"/>
      <c r="E796" s="64" t="str">
        <f>IF(ISBLANK(D796)=TRUE,"",VLOOKUP(D796,Krav!$C:$F,4,FALSE))</f>
        <v/>
      </c>
      <c r="F796" s="53" t="s">
        <v>225</v>
      </c>
      <c r="G796" s="53" t="s">
        <v>1469</v>
      </c>
      <c r="H796" s="25" t="s">
        <v>1499</v>
      </c>
      <c r="I796" s="65" t="s">
        <v>96</v>
      </c>
      <c r="J796" s="67" t="s">
        <v>222</v>
      </c>
      <c r="K796" s="123" t="s">
        <v>222</v>
      </c>
      <c r="L796" s="20" t="s">
        <v>3</v>
      </c>
      <c r="M796" s="61" t="s">
        <v>131</v>
      </c>
      <c r="N796" s="61" t="s">
        <v>96</v>
      </c>
      <c r="O796" s="61" t="s">
        <v>96</v>
      </c>
      <c r="P796" s="61" t="s">
        <v>131</v>
      </c>
      <c r="Q796" s="61" t="s">
        <v>96</v>
      </c>
      <c r="R796" s="61" t="s">
        <v>96</v>
      </c>
      <c r="S796" s="61" t="s">
        <v>129</v>
      </c>
      <c r="T796" s="61" t="s">
        <v>1481</v>
      </c>
      <c r="U796" s="61" t="s">
        <v>1482</v>
      </c>
      <c r="V796" s="61" t="s">
        <v>131</v>
      </c>
      <c r="W796" s="61" t="s">
        <v>96</v>
      </c>
      <c r="X796" s="61" t="s">
        <v>96</v>
      </c>
      <c r="Y796" s="61" t="s">
        <v>131</v>
      </c>
      <c r="Z796" s="61" t="s">
        <v>96</v>
      </c>
      <c r="AA796" s="61" t="s">
        <v>96</v>
      </c>
      <c r="AB796" s="61">
        <v>1</v>
      </c>
    </row>
    <row r="797" spans="1:28" s="1" customFormat="1" ht="33" customHeight="1" x14ac:dyDescent="0.3">
      <c r="A797" s="16">
        <v>26</v>
      </c>
      <c r="B797" s="23">
        <v>114</v>
      </c>
      <c r="C797" s="27" t="str">
        <f t="shared" si="21"/>
        <v>26.114</v>
      </c>
      <c r="D797" s="18"/>
      <c r="E797" s="64" t="str">
        <f>IF(ISBLANK(D797)=TRUE,"",VLOOKUP(D797,Krav!$C:$F,4,FALSE))</f>
        <v/>
      </c>
      <c r="F797" s="53" t="s">
        <v>225</v>
      </c>
      <c r="G797" s="53" t="s">
        <v>1470</v>
      </c>
      <c r="H797" s="25" t="s">
        <v>1499</v>
      </c>
      <c r="I797" s="65" t="s">
        <v>96</v>
      </c>
      <c r="J797" s="67" t="s">
        <v>222</v>
      </c>
      <c r="K797" s="123" t="s">
        <v>222</v>
      </c>
      <c r="L797" s="20" t="s">
        <v>3</v>
      </c>
      <c r="M797" s="61" t="s">
        <v>131</v>
      </c>
      <c r="N797" s="61" t="s">
        <v>96</v>
      </c>
      <c r="O797" s="61" t="s">
        <v>96</v>
      </c>
      <c r="P797" s="61" t="s">
        <v>131</v>
      </c>
      <c r="Q797" s="61" t="s">
        <v>96</v>
      </c>
      <c r="R797" s="61" t="s">
        <v>96</v>
      </c>
      <c r="S797" s="61" t="s">
        <v>129</v>
      </c>
      <c r="T797" s="61" t="s">
        <v>1481</v>
      </c>
      <c r="U797" s="61" t="s">
        <v>1482</v>
      </c>
      <c r="V797" s="61" t="s">
        <v>131</v>
      </c>
      <c r="W797" s="61" t="s">
        <v>96</v>
      </c>
      <c r="X797" s="61" t="s">
        <v>96</v>
      </c>
      <c r="Y797" s="61" t="s">
        <v>131</v>
      </c>
      <c r="Z797" s="61" t="s">
        <v>96</v>
      </c>
      <c r="AA797" s="61" t="s">
        <v>96</v>
      </c>
      <c r="AB797" s="61">
        <v>1</v>
      </c>
    </row>
    <row r="798" spans="1:28" s="1" customFormat="1" ht="33" customHeight="1" x14ac:dyDescent="0.3">
      <c r="A798" s="16">
        <v>26</v>
      </c>
      <c r="B798" s="23">
        <v>115</v>
      </c>
      <c r="C798" s="27" t="str">
        <f t="shared" si="21"/>
        <v>26.115</v>
      </c>
      <c r="D798" s="18"/>
      <c r="E798" s="64" t="str">
        <f>IF(ISBLANK(D798)=TRUE,"",VLOOKUP(D798,Krav!$C:$F,4,FALSE))</f>
        <v/>
      </c>
      <c r="F798" s="53" t="s">
        <v>225</v>
      </c>
      <c r="G798" s="53" t="s">
        <v>523</v>
      </c>
      <c r="H798" s="25" t="s">
        <v>1542</v>
      </c>
      <c r="I798" s="65" t="s">
        <v>511</v>
      </c>
      <c r="J798" s="67" t="s">
        <v>222</v>
      </c>
      <c r="K798" s="123" t="s">
        <v>222</v>
      </c>
      <c r="L798" s="20" t="s">
        <v>3</v>
      </c>
      <c r="M798" s="61" t="s">
        <v>131</v>
      </c>
      <c r="N798" s="61" t="s">
        <v>96</v>
      </c>
      <c r="O798" s="61" t="s">
        <v>96</v>
      </c>
      <c r="P798" s="61" t="s">
        <v>131</v>
      </c>
      <c r="Q798" s="61" t="s">
        <v>96</v>
      </c>
      <c r="R798" s="61" t="s">
        <v>96</v>
      </c>
      <c r="S798" s="61" t="s">
        <v>129</v>
      </c>
      <c r="T798" s="61" t="s">
        <v>1481</v>
      </c>
      <c r="U798" s="61" t="s">
        <v>1482</v>
      </c>
      <c r="V798" s="61" t="s">
        <v>131</v>
      </c>
      <c r="W798" s="61" t="s">
        <v>96</v>
      </c>
      <c r="X798" s="61" t="s">
        <v>96</v>
      </c>
      <c r="Y798" s="61" t="s">
        <v>131</v>
      </c>
      <c r="Z798" s="61" t="s">
        <v>96</v>
      </c>
      <c r="AA798" s="61" t="s">
        <v>96</v>
      </c>
      <c r="AB798" s="61">
        <v>1</v>
      </c>
    </row>
    <row r="799" spans="1:28" s="1" customFormat="1" ht="33" customHeight="1" x14ac:dyDescent="0.3">
      <c r="A799" s="16">
        <v>26</v>
      </c>
      <c r="B799" s="23">
        <v>116</v>
      </c>
      <c r="C799" s="27" t="str">
        <f t="shared" si="21"/>
        <v>26.116</v>
      </c>
      <c r="D799" s="18"/>
      <c r="E799" s="64" t="str">
        <f>IF(ISBLANK(D799)=TRUE,"",VLOOKUP(D799,Krav!$C:$F,4,FALSE))</f>
        <v/>
      </c>
      <c r="F799" s="53" t="s">
        <v>225</v>
      </c>
      <c r="G799" s="53" t="s">
        <v>1471</v>
      </c>
      <c r="H799" s="25" t="s">
        <v>1543</v>
      </c>
      <c r="I799" s="65" t="s">
        <v>1481</v>
      </c>
      <c r="J799" s="67" t="s">
        <v>222</v>
      </c>
      <c r="K799" s="123" t="s">
        <v>222</v>
      </c>
      <c r="L799" s="20" t="s">
        <v>3</v>
      </c>
      <c r="M799" s="61" t="s">
        <v>131</v>
      </c>
      <c r="N799" s="61" t="s">
        <v>96</v>
      </c>
      <c r="O799" s="61" t="s">
        <v>96</v>
      </c>
      <c r="P799" s="61" t="s">
        <v>131</v>
      </c>
      <c r="Q799" s="61" t="s">
        <v>96</v>
      </c>
      <c r="R799" s="61" t="s">
        <v>96</v>
      </c>
      <c r="S799" s="61" t="s">
        <v>129</v>
      </c>
      <c r="T799" s="61" t="s">
        <v>1481</v>
      </c>
      <c r="U799" s="61" t="s">
        <v>1482</v>
      </c>
      <c r="V799" s="61" t="s">
        <v>131</v>
      </c>
      <c r="W799" s="61" t="s">
        <v>96</v>
      </c>
      <c r="X799" s="61" t="s">
        <v>96</v>
      </c>
      <c r="Y799" s="61" t="s">
        <v>131</v>
      </c>
      <c r="Z799" s="61" t="s">
        <v>96</v>
      </c>
      <c r="AA799" s="61" t="s">
        <v>96</v>
      </c>
      <c r="AB799" s="61">
        <v>1</v>
      </c>
    </row>
    <row r="800" spans="1:28" s="1" customFormat="1" ht="33" customHeight="1" x14ac:dyDescent="0.3">
      <c r="A800" s="16">
        <v>26</v>
      </c>
      <c r="B800" s="23">
        <v>117</v>
      </c>
      <c r="C800" s="27" t="str">
        <f t="shared" si="21"/>
        <v>26.117</v>
      </c>
      <c r="D800" s="18"/>
      <c r="E800" s="64" t="str">
        <f>IF(ISBLANK(D800)=TRUE,"",VLOOKUP(D800,Krav!$C:$F,4,FALSE))</f>
        <v/>
      </c>
      <c r="F800" s="53" t="s">
        <v>225</v>
      </c>
      <c r="G800" s="53" t="s">
        <v>1472</v>
      </c>
      <c r="H800" s="25" t="s">
        <v>1543</v>
      </c>
      <c r="I800" s="65" t="s">
        <v>1482</v>
      </c>
      <c r="J800" s="67" t="s">
        <v>222</v>
      </c>
      <c r="K800" s="123" t="s">
        <v>222</v>
      </c>
      <c r="L800" s="20" t="s">
        <v>3</v>
      </c>
      <c r="M800" s="61" t="s">
        <v>131</v>
      </c>
      <c r="N800" s="61" t="s">
        <v>96</v>
      </c>
      <c r="O800" s="61" t="s">
        <v>96</v>
      </c>
      <c r="P800" s="61" t="s">
        <v>131</v>
      </c>
      <c r="Q800" s="61" t="s">
        <v>96</v>
      </c>
      <c r="R800" s="61" t="s">
        <v>96</v>
      </c>
      <c r="S800" s="61" t="s">
        <v>129</v>
      </c>
      <c r="T800" s="61" t="s">
        <v>1481</v>
      </c>
      <c r="U800" s="61" t="s">
        <v>1482</v>
      </c>
      <c r="V800" s="61" t="s">
        <v>131</v>
      </c>
      <c r="W800" s="61" t="s">
        <v>96</v>
      </c>
      <c r="X800" s="61" t="s">
        <v>96</v>
      </c>
      <c r="Y800" s="61" t="s">
        <v>131</v>
      </c>
      <c r="Z800" s="61" t="s">
        <v>96</v>
      </c>
      <c r="AA800" s="61" t="s">
        <v>96</v>
      </c>
      <c r="AB800" s="61">
        <v>1</v>
      </c>
    </row>
    <row r="801" spans="1:29" s="1" customFormat="1" ht="33" customHeight="1" x14ac:dyDescent="0.3">
      <c r="A801" s="16">
        <v>26</v>
      </c>
      <c r="B801" s="23">
        <v>118</v>
      </c>
      <c r="C801" s="27" t="str">
        <f t="shared" si="21"/>
        <v>26.118</v>
      </c>
      <c r="D801" s="18"/>
      <c r="E801" s="64" t="str">
        <f>IF(ISBLANK(D801)=TRUE,"",VLOOKUP(D801,Krav!$C:$F,4,FALSE))</f>
        <v/>
      </c>
      <c r="F801" s="53" t="s">
        <v>225</v>
      </c>
      <c r="G801" s="53" t="s">
        <v>1473</v>
      </c>
      <c r="H801" s="25" t="s">
        <v>1502</v>
      </c>
      <c r="I801" s="65" t="s">
        <v>96</v>
      </c>
      <c r="J801" s="67" t="s">
        <v>222</v>
      </c>
      <c r="K801" s="123" t="s">
        <v>222</v>
      </c>
      <c r="L801" s="20" t="s">
        <v>3</v>
      </c>
      <c r="M801" s="61" t="s">
        <v>131</v>
      </c>
      <c r="N801" s="61" t="s">
        <v>96</v>
      </c>
      <c r="O801" s="61" t="s">
        <v>96</v>
      </c>
      <c r="P801" s="61" t="s">
        <v>131</v>
      </c>
      <c r="Q801" s="61" t="s">
        <v>96</v>
      </c>
      <c r="R801" s="61" t="s">
        <v>96</v>
      </c>
      <c r="S801" s="61" t="s">
        <v>129</v>
      </c>
      <c r="T801" s="61" t="s">
        <v>1481</v>
      </c>
      <c r="U801" s="61" t="s">
        <v>1482</v>
      </c>
      <c r="V801" s="61" t="s">
        <v>131</v>
      </c>
      <c r="W801" s="61" t="s">
        <v>96</v>
      </c>
      <c r="X801" s="61" t="s">
        <v>96</v>
      </c>
      <c r="Y801" s="61" t="s">
        <v>131</v>
      </c>
      <c r="Z801" s="61" t="s">
        <v>96</v>
      </c>
      <c r="AA801" s="61" t="s">
        <v>96</v>
      </c>
      <c r="AB801" s="61">
        <v>1</v>
      </c>
    </row>
    <row r="802" spans="1:29" s="1" customFormat="1" ht="33" customHeight="1" x14ac:dyDescent="0.3">
      <c r="A802" s="16">
        <v>26</v>
      </c>
      <c r="B802" s="23">
        <v>119</v>
      </c>
      <c r="C802" s="27" t="str">
        <f t="shared" si="21"/>
        <v>26.119</v>
      </c>
      <c r="D802" s="18"/>
      <c r="E802" s="64" t="str">
        <f>IF(ISBLANK(D802)=TRUE,"",VLOOKUP(D802,Krav!$C:$F,4,FALSE))</f>
        <v/>
      </c>
      <c r="F802" s="53" t="s">
        <v>225</v>
      </c>
      <c r="G802" s="53" t="s">
        <v>1474</v>
      </c>
      <c r="H802" s="25" t="s">
        <v>1503</v>
      </c>
      <c r="I802" s="65" t="s">
        <v>96</v>
      </c>
      <c r="J802" s="67" t="s">
        <v>222</v>
      </c>
      <c r="K802" s="123" t="s">
        <v>222</v>
      </c>
      <c r="L802" s="20" t="s">
        <v>3</v>
      </c>
      <c r="M802" s="61" t="s">
        <v>131</v>
      </c>
      <c r="N802" s="61" t="s">
        <v>96</v>
      </c>
      <c r="O802" s="61" t="s">
        <v>96</v>
      </c>
      <c r="P802" s="61" t="s">
        <v>131</v>
      </c>
      <c r="Q802" s="61" t="s">
        <v>96</v>
      </c>
      <c r="R802" s="61" t="s">
        <v>96</v>
      </c>
      <c r="S802" s="61" t="s">
        <v>129</v>
      </c>
      <c r="T802" s="61" t="s">
        <v>1481</v>
      </c>
      <c r="U802" s="61" t="s">
        <v>1482</v>
      </c>
      <c r="V802" s="61" t="s">
        <v>131</v>
      </c>
      <c r="W802" s="61" t="s">
        <v>96</v>
      </c>
      <c r="X802" s="61" t="s">
        <v>96</v>
      </c>
      <c r="Y802" s="61" t="s">
        <v>131</v>
      </c>
      <c r="Z802" s="61" t="s">
        <v>96</v>
      </c>
      <c r="AA802" s="61" t="s">
        <v>96</v>
      </c>
      <c r="AB802" s="61">
        <v>1</v>
      </c>
    </row>
    <row r="803" spans="1:29" s="1" customFormat="1" ht="33" customHeight="1" x14ac:dyDescent="0.3">
      <c r="A803" s="16">
        <v>26</v>
      </c>
      <c r="B803" s="23">
        <v>120</v>
      </c>
      <c r="C803" s="27" t="str">
        <f t="shared" si="21"/>
        <v>26.120</v>
      </c>
      <c r="D803" s="18"/>
      <c r="E803" s="64" t="str">
        <f>IF(ISBLANK(D803)=TRUE,"",VLOOKUP(D803,Krav!$C:$F,4,FALSE))</f>
        <v/>
      </c>
      <c r="F803" s="53" t="s">
        <v>225</v>
      </c>
      <c r="G803" s="53" t="s">
        <v>1475</v>
      </c>
      <c r="H803" s="25" t="s">
        <v>1503</v>
      </c>
      <c r="I803" s="65" t="s">
        <v>96</v>
      </c>
      <c r="J803" s="67" t="s">
        <v>222</v>
      </c>
      <c r="K803" s="123" t="s">
        <v>222</v>
      </c>
      <c r="L803" s="20" t="s">
        <v>3</v>
      </c>
      <c r="M803" s="61" t="s">
        <v>131</v>
      </c>
      <c r="N803" s="61" t="s">
        <v>96</v>
      </c>
      <c r="O803" s="61" t="s">
        <v>96</v>
      </c>
      <c r="P803" s="61" t="s">
        <v>131</v>
      </c>
      <c r="Q803" s="61" t="s">
        <v>96</v>
      </c>
      <c r="R803" s="61" t="s">
        <v>96</v>
      </c>
      <c r="S803" s="61" t="s">
        <v>129</v>
      </c>
      <c r="T803" s="61" t="s">
        <v>1481</v>
      </c>
      <c r="U803" s="61" t="s">
        <v>1482</v>
      </c>
      <c r="V803" s="61" t="s">
        <v>131</v>
      </c>
      <c r="W803" s="61" t="s">
        <v>96</v>
      </c>
      <c r="X803" s="61" t="s">
        <v>96</v>
      </c>
      <c r="Y803" s="61" t="s">
        <v>131</v>
      </c>
      <c r="Z803" s="61" t="s">
        <v>96</v>
      </c>
      <c r="AA803" s="61" t="s">
        <v>96</v>
      </c>
      <c r="AB803" s="61">
        <v>1</v>
      </c>
    </row>
    <row r="804" spans="1:29" s="1" customFormat="1" ht="33" customHeight="1" x14ac:dyDescent="0.3">
      <c r="A804" s="16">
        <v>26</v>
      </c>
      <c r="B804" s="23">
        <v>121</v>
      </c>
      <c r="C804" s="27" t="str">
        <f t="shared" si="21"/>
        <v>26.121</v>
      </c>
      <c r="D804" s="18"/>
      <c r="E804" s="64" t="str">
        <f>IF(ISBLANK(D804)=TRUE,"",VLOOKUP(D804,Krav!$C:$F,4,FALSE))</f>
        <v/>
      </c>
      <c r="F804" s="53" t="s">
        <v>225</v>
      </c>
      <c r="G804" s="53" t="s">
        <v>1476</v>
      </c>
      <c r="H804" s="25" t="s">
        <v>1504</v>
      </c>
      <c r="I804" s="65" t="s">
        <v>96</v>
      </c>
      <c r="J804" s="67" t="s">
        <v>222</v>
      </c>
      <c r="K804" s="123" t="s">
        <v>222</v>
      </c>
      <c r="L804" s="20" t="s">
        <v>3</v>
      </c>
      <c r="M804" s="61" t="s">
        <v>131</v>
      </c>
      <c r="N804" s="61" t="s">
        <v>96</v>
      </c>
      <c r="O804" s="61" t="s">
        <v>96</v>
      </c>
      <c r="P804" s="61" t="s">
        <v>131</v>
      </c>
      <c r="Q804" s="61" t="s">
        <v>96</v>
      </c>
      <c r="R804" s="61" t="s">
        <v>96</v>
      </c>
      <c r="S804" s="61" t="s">
        <v>129</v>
      </c>
      <c r="T804" s="61" t="s">
        <v>1481</v>
      </c>
      <c r="U804" s="61" t="s">
        <v>1482</v>
      </c>
      <c r="V804" s="61" t="s">
        <v>131</v>
      </c>
      <c r="W804" s="61" t="s">
        <v>96</v>
      </c>
      <c r="X804" s="61" t="s">
        <v>96</v>
      </c>
      <c r="Y804" s="61" t="s">
        <v>131</v>
      </c>
      <c r="Z804" s="61" t="s">
        <v>96</v>
      </c>
      <c r="AA804" s="61" t="s">
        <v>96</v>
      </c>
      <c r="AB804" s="61">
        <v>1</v>
      </c>
    </row>
    <row r="805" spans="1:29" s="1" customFormat="1" ht="33" customHeight="1" x14ac:dyDescent="0.3">
      <c r="A805" s="16">
        <v>26</v>
      </c>
      <c r="B805" s="23">
        <v>122</v>
      </c>
      <c r="C805" s="27" t="str">
        <f t="shared" si="21"/>
        <v>26.122</v>
      </c>
      <c r="D805" s="18"/>
      <c r="E805" s="64" t="str">
        <f>IF(ISBLANK(D805)=TRUE,"",VLOOKUP(D805,Krav!$C:$F,4,FALSE))</f>
        <v/>
      </c>
      <c r="F805" s="53" t="s">
        <v>225</v>
      </c>
      <c r="G805" s="53" t="s">
        <v>1477</v>
      </c>
      <c r="H805" s="25" t="s">
        <v>1505</v>
      </c>
      <c r="I805" s="65" t="s">
        <v>96</v>
      </c>
      <c r="J805" s="67" t="s">
        <v>222</v>
      </c>
      <c r="K805" s="123" t="s">
        <v>222</v>
      </c>
      <c r="L805" s="20" t="s">
        <v>3</v>
      </c>
      <c r="M805" s="61" t="s">
        <v>131</v>
      </c>
      <c r="N805" s="61" t="s">
        <v>96</v>
      </c>
      <c r="O805" s="61" t="s">
        <v>96</v>
      </c>
      <c r="P805" s="61" t="s">
        <v>131</v>
      </c>
      <c r="Q805" s="61" t="s">
        <v>96</v>
      </c>
      <c r="R805" s="61" t="s">
        <v>96</v>
      </c>
      <c r="S805" s="61" t="s">
        <v>129</v>
      </c>
      <c r="T805" s="61" t="s">
        <v>1481</v>
      </c>
      <c r="U805" s="61" t="s">
        <v>1482</v>
      </c>
      <c r="V805" s="61" t="s">
        <v>131</v>
      </c>
      <c r="W805" s="61" t="s">
        <v>96</v>
      </c>
      <c r="X805" s="61" t="s">
        <v>96</v>
      </c>
      <c r="Y805" s="61" t="s">
        <v>131</v>
      </c>
      <c r="Z805" s="61" t="s">
        <v>96</v>
      </c>
      <c r="AA805" s="61" t="s">
        <v>96</v>
      </c>
      <c r="AB805" s="61">
        <v>1</v>
      </c>
    </row>
    <row r="806" spans="1:29" s="1" customFormat="1" ht="33" customHeight="1" x14ac:dyDescent="0.3">
      <c r="A806" s="16">
        <v>26</v>
      </c>
      <c r="B806" s="23">
        <v>123</v>
      </c>
      <c r="C806" s="27" t="str">
        <f t="shared" si="21"/>
        <v>26.123</v>
      </c>
      <c r="D806" s="18"/>
      <c r="E806" s="64" t="str">
        <f>IF(ISBLANK(D806)=TRUE,"",VLOOKUP(D806,Krav!$C:$F,4,FALSE))</f>
        <v/>
      </c>
      <c r="F806" s="53" t="s">
        <v>225</v>
      </c>
      <c r="G806" s="53" t="s">
        <v>1478</v>
      </c>
      <c r="H806" s="25" t="s">
        <v>1505</v>
      </c>
      <c r="I806" s="65" t="s">
        <v>96</v>
      </c>
      <c r="J806" s="67" t="s">
        <v>222</v>
      </c>
      <c r="K806" s="123" t="s">
        <v>222</v>
      </c>
      <c r="L806" s="20" t="s">
        <v>3</v>
      </c>
      <c r="M806" s="61" t="s">
        <v>131</v>
      </c>
      <c r="N806" s="61" t="s">
        <v>96</v>
      </c>
      <c r="O806" s="61" t="s">
        <v>96</v>
      </c>
      <c r="P806" s="61" t="s">
        <v>131</v>
      </c>
      <c r="Q806" s="61" t="s">
        <v>96</v>
      </c>
      <c r="R806" s="61" t="s">
        <v>96</v>
      </c>
      <c r="S806" s="61" t="s">
        <v>129</v>
      </c>
      <c r="T806" s="61" t="s">
        <v>1481</v>
      </c>
      <c r="U806" s="61" t="s">
        <v>1482</v>
      </c>
      <c r="V806" s="61" t="s">
        <v>131</v>
      </c>
      <c r="W806" s="61" t="s">
        <v>96</v>
      </c>
      <c r="X806" s="61" t="s">
        <v>96</v>
      </c>
      <c r="Y806" s="61" t="s">
        <v>131</v>
      </c>
      <c r="Z806" s="61" t="s">
        <v>96</v>
      </c>
      <c r="AA806" s="61" t="s">
        <v>96</v>
      </c>
      <c r="AB806" s="61">
        <v>1</v>
      </c>
    </row>
    <row r="807" spans="1:29" s="1" customFormat="1" ht="33" customHeight="1" x14ac:dyDescent="0.3">
      <c r="A807" s="16">
        <v>26</v>
      </c>
      <c r="B807" s="23">
        <v>124</v>
      </c>
      <c r="C807" s="27" t="str">
        <f t="shared" si="21"/>
        <v>26.124</v>
      </c>
      <c r="D807" s="18"/>
      <c r="E807" s="64" t="str">
        <f>IF(ISBLANK(D807)=TRUE,"",VLOOKUP(D807,Krav!$C:$F,4,FALSE))</f>
        <v/>
      </c>
      <c r="F807" s="53" t="s">
        <v>221</v>
      </c>
      <c r="G807" s="53" t="s">
        <v>1471</v>
      </c>
      <c r="H807" s="25" t="s">
        <v>1544</v>
      </c>
      <c r="I807" s="65" t="s">
        <v>1481</v>
      </c>
      <c r="J807" s="96" t="s">
        <v>222</v>
      </c>
      <c r="K807" s="329" t="s">
        <v>222</v>
      </c>
      <c r="L807" s="20" t="s">
        <v>3</v>
      </c>
      <c r="M807" s="61" t="s">
        <v>131</v>
      </c>
      <c r="N807" s="61" t="s">
        <v>96</v>
      </c>
      <c r="O807" s="61" t="s">
        <v>96</v>
      </c>
      <c r="P807" s="61" t="s">
        <v>131</v>
      </c>
      <c r="Q807" s="61" t="s">
        <v>96</v>
      </c>
      <c r="R807" s="61" t="s">
        <v>96</v>
      </c>
      <c r="S807" s="61" t="s">
        <v>129</v>
      </c>
      <c r="T807" s="142" t="s">
        <v>1481</v>
      </c>
      <c r="U807" s="61"/>
      <c r="V807" s="61" t="s">
        <v>131</v>
      </c>
      <c r="W807" s="61" t="s">
        <v>96</v>
      </c>
      <c r="X807" s="61" t="s">
        <v>96</v>
      </c>
      <c r="Y807" s="61" t="s">
        <v>131</v>
      </c>
      <c r="Z807" s="61" t="s">
        <v>96</v>
      </c>
      <c r="AA807" s="61" t="s">
        <v>96</v>
      </c>
      <c r="AB807" s="61">
        <v>1</v>
      </c>
    </row>
    <row r="808" spans="1:29" s="1" customFormat="1" ht="33" customHeight="1" x14ac:dyDescent="0.3">
      <c r="A808" s="16">
        <v>26</v>
      </c>
      <c r="B808" s="23">
        <v>125</v>
      </c>
      <c r="C808" s="27" t="str">
        <f t="shared" si="21"/>
        <v>26.125</v>
      </c>
      <c r="D808" s="18"/>
      <c r="E808" s="64" t="str">
        <f>IF(ISBLANK(D808)=TRUE,"",VLOOKUP(D808,Krav!$C:$F,4,FALSE))</f>
        <v/>
      </c>
      <c r="F808" s="53" t="s">
        <v>221</v>
      </c>
      <c r="G808" s="53" t="s">
        <v>1472</v>
      </c>
      <c r="H808" s="25" t="s">
        <v>2359</v>
      </c>
      <c r="I808" s="330" t="s">
        <v>96</v>
      </c>
      <c r="J808" s="96" t="s">
        <v>222</v>
      </c>
      <c r="K808" s="329" t="s">
        <v>222</v>
      </c>
      <c r="L808" s="20" t="s">
        <v>3</v>
      </c>
      <c r="M808" s="61" t="s">
        <v>131</v>
      </c>
      <c r="N808" s="61" t="s">
        <v>96</v>
      </c>
      <c r="O808" s="61" t="s">
        <v>96</v>
      </c>
      <c r="P808" s="61" t="s">
        <v>131</v>
      </c>
      <c r="Q808" s="61" t="s">
        <v>96</v>
      </c>
      <c r="R808" s="61" t="s">
        <v>96</v>
      </c>
      <c r="S808" s="61" t="s">
        <v>129</v>
      </c>
      <c r="T808" s="142" t="s">
        <v>1481</v>
      </c>
      <c r="U808" s="61"/>
      <c r="V808" s="61" t="s">
        <v>131</v>
      </c>
      <c r="W808" s="61" t="s">
        <v>96</v>
      </c>
      <c r="X808" s="61" t="s">
        <v>96</v>
      </c>
      <c r="Y808" s="61" t="s">
        <v>131</v>
      </c>
      <c r="Z808" s="61" t="s">
        <v>96</v>
      </c>
      <c r="AA808" s="61" t="s">
        <v>96</v>
      </c>
      <c r="AB808" s="61">
        <v>1</v>
      </c>
    </row>
    <row r="809" spans="1:29" s="1" customFormat="1" ht="33" customHeight="1" x14ac:dyDescent="0.3">
      <c r="A809" s="16">
        <v>26</v>
      </c>
      <c r="B809" s="23">
        <v>126</v>
      </c>
      <c r="C809" s="27" t="str">
        <f t="shared" si="21"/>
        <v>26.126</v>
      </c>
      <c r="D809" s="18"/>
      <c r="E809" s="64" t="str">
        <f>IF(ISBLANK(D809)=TRUE,"",VLOOKUP(D809,Krav!$C:$F,4,FALSE))</f>
        <v/>
      </c>
      <c r="F809" s="53" t="s">
        <v>225</v>
      </c>
      <c r="G809" s="53" t="s">
        <v>1471</v>
      </c>
      <c r="H809" s="25" t="s">
        <v>1545</v>
      </c>
      <c r="I809" s="65" t="s">
        <v>1481</v>
      </c>
      <c r="J809" s="96" t="s">
        <v>222</v>
      </c>
      <c r="K809" s="329" t="s">
        <v>222</v>
      </c>
      <c r="L809" s="20" t="s">
        <v>3</v>
      </c>
      <c r="M809" s="61" t="s">
        <v>131</v>
      </c>
      <c r="N809" s="61" t="s">
        <v>96</v>
      </c>
      <c r="O809" s="61" t="s">
        <v>96</v>
      </c>
      <c r="P809" s="61" t="s">
        <v>131</v>
      </c>
      <c r="Q809" s="61" t="s">
        <v>96</v>
      </c>
      <c r="R809" s="61" t="s">
        <v>96</v>
      </c>
      <c r="S809" s="61" t="s">
        <v>129</v>
      </c>
      <c r="T809" s="142" t="s">
        <v>1481</v>
      </c>
      <c r="U809" s="61"/>
      <c r="V809" s="61" t="s">
        <v>131</v>
      </c>
      <c r="W809" s="61" t="s">
        <v>96</v>
      </c>
      <c r="X809" s="61" t="s">
        <v>96</v>
      </c>
      <c r="Y809" s="61" t="s">
        <v>131</v>
      </c>
      <c r="Z809" s="61" t="s">
        <v>96</v>
      </c>
      <c r="AA809" s="61" t="s">
        <v>96</v>
      </c>
      <c r="AB809" s="61">
        <v>1</v>
      </c>
    </row>
    <row r="810" spans="1:29" s="1" customFormat="1" ht="33" customHeight="1" x14ac:dyDescent="0.3">
      <c r="A810" s="16">
        <v>26</v>
      </c>
      <c r="B810" s="23">
        <v>127</v>
      </c>
      <c r="C810" s="27" t="str">
        <f t="shared" si="21"/>
        <v>26.127</v>
      </c>
      <c r="D810" s="18"/>
      <c r="E810" s="64" t="str">
        <f>IF(ISBLANK(D810)=TRUE,"",VLOOKUP(D810,Krav!$C:$F,4,FALSE))</f>
        <v/>
      </c>
      <c r="F810" s="53" t="s">
        <v>225</v>
      </c>
      <c r="G810" s="53" t="s">
        <v>1472</v>
      </c>
      <c r="H810" s="25" t="s">
        <v>2360</v>
      </c>
      <c r="I810" s="330" t="s">
        <v>96</v>
      </c>
      <c r="J810" s="96" t="s">
        <v>222</v>
      </c>
      <c r="K810" s="329" t="s">
        <v>222</v>
      </c>
      <c r="L810" s="20" t="s">
        <v>3</v>
      </c>
      <c r="M810" s="61" t="s">
        <v>131</v>
      </c>
      <c r="N810" s="61" t="s">
        <v>96</v>
      </c>
      <c r="O810" s="61" t="s">
        <v>96</v>
      </c>
      <c r="P810" s="61" t="s">
        <v>131</v>
      </c>
      <c r="Q810" s="61" t="s">
        <v>96</v>
      </c>
      <c r="R810" s="61" t="s">
        <v>96</v>
      </c>
      <c r="S810" s="61" t="s">
        <v>129</v>
      </c>
      <c r="T810" s="142" t="s">
        <v>1481</v>
      </c>
      <c r="U810" s="61"/>
      <c r="V810" s="61" t="s">
        <v>131</v>
      </c>
      <c r="W810" s="61" t="s">
        <v>96</v>
      </c>
      <c r="X810" s="61" t="s">
        <v>96</v>
      </c>
      <c r="Y810" s="61" t="s">
        <v>131</v>
      </c>
      <c r="Z810" s="61" t="s">
        <v>96</v>
      </c>
      <c r="AA810" s="61" t="s">
        <v>96</v>
      </c>
      <c r="AB810" s="61">
        <v>1</v>
      </c>
    </row>
    <row r="811" spans="1:29" s="1" customFormat="1" ht="33" customHeight="1" x14ac:dyDescent="0.3">
      <c r="A811" s="16">
        <v>26</v>
      </c>
      <c r="B811" s="23">
        <v>128</v>
      </c>
      <c r="C811" s="27" t="str">
        <f t="shared" si="21"/>
        <v>26.128</v>
      </c>
      <c r="D811" s="18"/>
      <c r="E811" s="64" t="str">
        <f>IF(ISBLANK(D811)=TRUE,"",VLOOKUP(D811,Krav!$C:$F,4,FALSE))</f>
        <v/>
      </c>
      <c r="F811" s="53" t="s">
        <v>221</v>
      </c>
      <c r="G811" s="53" t="s">
        <v>1471</v>
      </c>
      <c r="H811" s="25" t="s">
        <v>1546</v>
      </c>
      <c r="I811" s="66" t="s">
        <v>96</v>
      </c>
      <c r="J811" s="96" t="s">
        <v>222</v>
      </c>
      <c r="K811" s="329" t="s">
        <v>222</v>
      </c>
      <c r="L811" s="20" t="s">
        <v>3</v>
      </c>
      <c r="M811" s="61" t="s">
        <v>131</v>
      </c>
      <c r="N811" s="61" t="s">
        <v>96</v>
      </c>
      <c r="O811" s="61" t="s">
        <v>96</v>
      </c>
      <c r="P811" s="61" t="s">
        <v>131</v>
      </c>
      <c r="Q811" s="61" t="s">
        <v>96</v>
      </c>
      <c r="R811" s="61" t="s">
        <v>96</v>
      </c>
      <c r="S811" s="61" t="s">
        <v>129</v>
      </c>
      <c r="T811" s="142"/>
      <c r="U811" s="61" t="s">
        <v>1482</v>
      </c>
      <c r="V811" s="61" t="s">
        <v>131</v>
      </c>
      <c r="W811" s="61" t="s">
        <v>96</v>
      </c>
      <c r="X811" s="61" t="s">
        <v>96</v>
      </c>
      <c r="Y811" s="61" t="s">
        <v>131</v>
      </c>
      <c r="Z811" s="61" t="s">
        <v>96</v>
      </c>
      <c r="AA811" s="61" t="s">
        <v>96</v>
      </c>
      <c r="AB811" s="61" t="s">
        <v>33</v>
      </c>
      <c r="AC811" s="1" t="s">
        <v>1509</v>
      </c>
    </row>
    <row r="812" spans="1:29" s="1" customFormat="1" ht="33" customHeight="1" x14ac:dyDescent="0.3">
      <c r="A812" s="16">
        <v>26</v>
      </c>
      <c r="B812" s="23">
        <v>129</v>
      </c>
      <c r="C812" s="27" t="str">
        <f t="shared" si="21"/>
        <v>26.129</v>
      </c>
      <c r="D812" s="18"/>
      <c r="E812" s="64" t="str">
        <f>IF(ISBLANK(D812)=TRUE,"",VLOOKUP(D812,Krav!$C:$F,4,FALSE))</f>
        <v/>
      </c>
      <c r="F812" s="53" t="s">
        <v>221</v>
      </c>
      <c r="G812" s="53" t="s">
        <v>1472</v>
      </c>
      <c r="H812" s="25" t="s">
        <v>1546</v>
      </c>
      <c r="I812" s="66" t="s">
        <v>1482</v>
      </c>
      <c r="J812" s="96" t="s">
        <v>222</v>
      </c>
      <c r="K812" s="329" t="s">
        <v>222</v>
      </c>
      <c r="L812" s="20" t="s">
        <v>3</v>
      </c>
      <c r="M812" s="61" t="s">
        <v>131</v>
      </c>
      <c r="N812" s="61" t="s">
        <v>96</v>
      </c>
      <c r="O812" s="61" t="s">
        <v>96</v>
      </c>
      <c r="P812" s="61" t="s">
        <v>131</v>
      </c>
      <c r="Q812" s="61" t="s">
        <v>96</v>
      </c>
      <c r="R812" s="61" t="s">
        <v>96</v>
      </c>
      <c r="S812" s="61" t="s">
        <v>129</v>
      </c>
      <c r="T812" s="142"/>
      <c r="U812" s="61" t="s">
        <v>1482</v>
      </c>
      <c r="V812" s="61" t="s">
        <v>131</v>
      </c>
      <c r="W812" s="61" t="s">
        <v>96</v>
      </c>
      <c r="X812" s="61" t="s">
        <v>96</v>
      </c>
      <c r="Y812" s="61" t="s">
        <v>131</v>
      </c>
      <c r="Z812" s="61" t="s">
        <v>96</v>
      </c>
      <c r="AA812" s="61" t="s">
        <v>96</v>
      </c>
      <c r="AB812" s="61" t="s">
        <v>33</v>
      </c>
      <c r="AC812" s="1" t="s">
        <v>1509</v>
      </c>
    </row>
    <row r="813" spans="1:29" s="1" customFormat="1" ht="33" customHeight="1" x14ac:dyDescent="0.3">
      <c r="A813" s="16">
        <v>26</v>
      </c>
      <c r="B813" s="23">
        <v>130</v>
      </c>
      <c r="C813" s="27" t="str">
        <f t="shared" si="21"/>
        <v>26.130</v>
      </c>
      <c r="D813" s="18"/>
      <c r="E813" s="64" t="str">
        <f>IF(ISBLANK(D813)=TRUE,"",VLOOKUP(D813,Krav!$C:$F,4,FALSE))</f>
        <v/>
      </c>
      <c r="F813" s="53" t="s">
        <v>225</v>
      </c>
      <c r="G813" s="53" t="s">
        <v>1471</v>
      </c>
      <c r="H813" s="25" t="s">
        <v>1547</v>
      </c>
      <c r="I813" s="66" t="s">
        <v>96</v>
      </c>
      <c r="J813" s="96" t="s">
        <v>222</v>
      </c>
      <c r="K813" s="329" t="s">
        <v>222</v>
      </c>
      <c r="L813" s="20" t="s">
        <v>3</v>
      </c>
      <c r="M813" s="61" t="s">
        <v>131</v>
      </c>
      <c r="N813" s="61" t="s">
        <v>96</v>
      </c>
      <c r="O813" s="61" t="s">
        <v>96</v>
      </c>
      <c r="P813" s="61" t="s">
        <v>131</v>
      </c>
      <c r="Q813" s="61" t="s">
        <v>96</v>
      </c>
      <c r="R813" s="61" t="s">
        <v>96</v>
      </c>
      <c r="S813" s="61" t="s">
        <v>129</v>
      </c>
      <c r="T813" s="142"/>
      <c r="U813" s="61" t="s">
        <v>1482</v>
      </c>
      <c r="V813" s="61" t="s">
        <v>131</v>
      </c>
      <c r="W813" s="61" t="s">
        <v>96</v>
      </c>
      <c r="X813" s="61" t="s">
        <v>96</v>
      </c>
      <c r="Y813" s="61" t="s">
        <v>131</v>
      </c>
      <c r="Z813" s="61" t="s">
        <v>96</v>
      </c>
      <c r="AA813" s="61" t="s">
        <v>96</v>
      </c>
      <c r="AB813" s="61" t="s">
        <v>33</v>
      </c>
      <c r="AC813" s="1" t="s">
        <v>1509</v>
      </c>
    </row>
    <row r="814" spans="1:29" s="1" customFormat="1" ht="33" customHeight="1" x14ac:dyDescent="0.3">
      <c r="A814" s="16">
        <v>26</v>
      </c>
      <c r="B814" s="23">
        <v>131</v>
      </c>
      <c r="C814" s="27" t="str">
        <f t="shared" ref="C814:C877" si="22">IF(B814&lt;10,_xlfn.CONCAT(A814,".0",B814),_xlfn.CONCAT(A814,".",B814))</f>
        <v>26.131</v>
      </c>
      <c r="D814" s="18"/>
      <c r="E814" s="64" t="str">
        <f>IF(ISBLANK(D814)=TRUE,"",VLOOKUP(D814,Krav!$C:$F,4,FALSE))</f>
        <v/>
      </c>
      <c r="F814" s="53" t="s">
        <v>225</v>
      </c>
      <c r="G814" s="53" t="s">
        <v>1472</v>
      </c>
      <c r="H814" s="25" t="s">
        <v>1547</v>
      </c>
      <c r="I814" s="66" t="s">
        <v>1482</v>
      </c>
      <c r="J814" s="96" t="s">
        <v>222</v>
      </c>
      <c r="K814" s="329" t="s">
        <v>222</v>
      </c>
      <c r="L814" s="20" t="s">
        <v>3</v>
      </c>
      <c r="M814" s="61" t="s">
        <v>131</v>
      </c>
      <c r="N814" s="61" t="s">
        <v>96</v>
      </c>
      <c r="O814" s="61" t="s">
        <v>96</v>
      </c>
      <c r="P814" s="61" t="s">
        <v>131</v>
      </c>
      <c r="Q814" s="61" t="s">
        <v>96</v>
      </c>
      <c r="R814" s="61" t="s">
        <v>96</v>
      </c>
      <c r="S814" s="61" t="s">
        <v>129</v>
      </c>
      <c r="T814" s="142"/>
      <c r="U814" s="61" t="s">
        <v>1482</v>
      </c>
      <c r="V814" s="61" t="s">
        <v>131</v>
      </c>
      <c r="W814" s="61" t="s">
        <v>96</v>
      </c>
      <c r="X814" s="61" t="s">
        <v>96</v>
      </c>
      <c r="Y814" s="61" t="s">
        <v>131</v>
      </c>
      <c r="Z814" s="61" t="s">
        <v>96</v>
      </c>
      <c r="AA814" s="61" t="s">
        <v>96</v>
      </c>
      <c r="AB814" s="61" t="s">
        <v>33</v>
      </c>
      <c r="AC814" s="1" t="s">
        <v>1509</v>
      </c>
    </row>
    <row r="815" spans="1:29" s="1" customFormat="1" ht="33" customHeight="1" x14ac:dyDescent="0.3">
      <c r="A815" s="16">
        <v>26</v>
      </c>
      <c r="B815" s="23">
        <v>132</v>
      </c>
      <c r="C815" s="27" t="str">
        <f t="shared" si="22"/>
        <v>26.132</v>
      </c>
      <c r="D815" s="18"/>
      <c r="E815" s="64" t="str">
        <f>IF(ISBLANK(D815)=TRUE,"",VLOOKUP(D815,Krav!$C:$F,4,FALSE))</f>
        <v/>
      </c>
      <c r="F815" s="53" t="s">
        <v>418</v>
      </c>
      <c r="G815" s="53" t="s">
        <v>445</v>
      </c>
      <c r="H815" s="25" t="s">
        <v>1540</v>
      </c>
      <c r="I815" s="65" t="s">
        <v>129</v>
      </c>
      <c r="J815" s="96" t="s">
        <v>222</v>
      </c>
      <c r="K815" s="123" t="s">
        <v>222</v>
      </c>
      <c r="L815" s="20" t="s">
        <v>3</v>
      </c>
      <c r="M815" s="61" t="s">
        <v>131</v>
      </c>
      <c r="N815" s="61" t="s">
        <v>96</v>
      </c>
      <c r="O815" s="61" t="s">
        <v>96</v>
      </c>
      <c r="P815" s="61" t="s">
        <v>131</v>
      </c>
      <c r="Q815" s="61" t="s">
        <v>96</v>
      </c>
      <c r="R815" s="61" t="s">
        <v>96</v>
      </c>
      <c r="S815" s="61" t="s">
        <v>129</v>
      </c>
      <c r="T815" s="61" t="s">
        <v>1481</v>
      </c>
      <c r="U815" s="61" t="s">
        <v>1482</v>
      </c>
      <c r="V815" s="61" t="s">
        <v>131</v>
      </c>
      <c r="W815" s="61" t="s">
        <v>96</v>
      </c>
      <c r="X815" s="61" t="s">
        <v>96</v>
      </c>
      <c r="Y815" s="61" t="s">
        <v>131</v>
      </c>
      <c r="Z815" s="61" t="s">
        <v>96</v>
      </c>
      <c r="AA815" s="61" t="s">
        <v>96</v>
      </c>
      <c r="AB815" s="61">
        <v>1</v>
      </c>
    </row>
    <row r="816" spans="1:29" s="57" customFormat="1" ht="18.75" customHeight="1" x14ac:dyDescent="0.3">
      <c r="A816" s="16">
        <v>26</v>
      </c>
      <c r="B816" s="23">
        <v>133</v>
      </c>
      <c r="C816" s="27" t="str">
        <f t="shared" si="22"/>
        <v>26.133</v>
      </c>
      <c r="D816" s="18" t="s">
        <v>1512</v>
      </c>
      <c r="E816" s="64" t="str">
        <f>IF(ISBLANK(D816)=TRUE,"",VLOOKUP(D816,Krav!$C:$F,4,FALSE))</f>
        <v>4.a.2.1.2 - Når brugeren klikker på Videre skal denne ledes til spørgsmål 5</v>
      </c>
      <c r="F816" s="139" t="s">
        <v>143</v>
      </c>
      <c r="G816" s="139"/>
      <c r="H816" s="76" t="s">
        <v>1513</v>
      </c>
      <c r="I816" s="76" t="s">
        <v>146</v>
      </c>
      <c r="J816" s="67" t="s">
        <v>222</v>
      </c>
      <c r="K816" s="123" t="s">
        <v>222</v>
      </c>
      <c r="L816" s="4" t="s">
        <v>3</v>
      </c>
      <c r="M816" s="61" t="s">
        <v>131</v>
      </c>
      <c r="N816" s="61" t="s">
        <v>96</v>
      </c>
      <c r="O816" s="61" t="s">
        <v>96</v>
      </c>
      <c r="P816" s="61" t="s">
        <v>131</v>
      </c>
      <c r="Q816" s="61" t="s">
        <v>96</v>
      </c>
      <c r="R816" s="61" t="s">
        <v>96</v>
      </c>
      <c r="S816" s="61" t="s">
        <v>129</v>
      </c>
      <c r="T816" s="142" t="s">
        <v>1481</v>
      </c>
      <c r="U816" s="61" t="s">
        <v>1482</v>
      </c>
      <c r="V816" s="61" t="s">
        <v>131</v>
      </c>
      <c r="W816" s="61" t="s">
        <v>96</v>
      </c>
      <c r="X816" s="61" t="s">
        <v>96</v>
      </c>
      <c r="Y816" s="61" t="s">
        <v>131</v>
      </c>
      <c r="Z816" s="61" t="s">
        <v>96</v>
      </c>
      <c r="AA816" s="61" t="s">
        <v>96</v>
      </c>
      <c r="AB816" s="61">
        <v>1</v>
      </c>
    </row>
    <row r="817" spans="1:28" s="57" customFormat="1" ht="43.2" x14ac:dyDescent="0.3">
      <c r="A817" s="16">
        <v>26</v>
      </c>
      <c r="B817" s="23">
        <v>134</v>
      </c>
      <c r="C817" s="27" t="str">
        <f t="shared" si="22"/>
        <v>26.134</v>
      </c>
      <c r="D817" s="18"/>
      <c r="E817" s="64" t="str">
        <f>IF(ISBLANK(D817)=TRUE,"",VLOOKUP(D817,Krav!$C:$F,4,FALSE))</f>
        <v/>
      </c>
      <c r="F817" s="139" t="s">
        <v>174</v>
      </c>
      <c r="G817" s="139"/>
      <c r="H817" s="76" t="s">
        <v>1514</v>
      </c>
      <c r="I817" s="332" t="s">
        <v>1362</v>
      </c>
      <c r="J817" s="67" t="s">
        <v>222</v>
      </c>
      <c r="K817" s="123" t="s">
        <v>222</v>
      </c>
      <c r="L817" s="4" t="s">
        <v>4</v>
      </c>
      <c r="M817" s="61" t="s">
        <v>131</v>
      </c>
      <c r="N817" s="61" t="s">
        <v>96</v>
      </c>
      <c r="O817" s="61" t="s">
        <v>96</v>
      </c>
      <c r="P817" s="61" t="s">
        <v>131</v>
      </c>
      <c r="Q817" s="61" t="s">
        <v>96</v>
      </c>
      <c r="R817" s="61" t="s">
        <v>96</v>
      </c>
      <c r="S817" s="61" t="s">
        <v>129</v>
      </c>
      <c r="T817" s="143" t="s">
        <v>118</v>
      </c>
      <c r="U817" s="142" t="s">
        <v>119</v>
      </c>
      <c r="V817" s="61" t="s">
        <v>131</v>
      </c>
      <c r="W817" s="61" t="s">
        <v>96</v>
      </c>
      <c r="X817" s="61" t="s">
        <v>96</v>
      </c>
      <c r="Y817" s="61" t="s">
        <v>131</v>
      </c>
      <c r="Z817" s="61" t="s">
        <v>96</v>
      </c>
      <c r="AA817" s="61" t="s">
        <v>96</v>
      </c>
      <c r="AB817" s="61">
        <v>1</v>
      </c>
    </row>
    <row r="818" spans="1:28" s="57" customFormat="1" ht="43.2" x14ac:dyDescent="0.3">
      <c r="A818" s="16">
        <v>26</v>
      </c>
      <c r="B818" s="23">
        <v>135</v>
      </c>
      <c r="C818" s="27" t="str">
        <f t="shared" si="22"/>
        <v>26.135</v>
      </c>
      <c r="D818" s="18"/>
      <c r="E818" s="64" t="str">
        <f>IF(ISBLANK(D818)=TRUE,"",VLOOKUP(D818,Krav!$C:$F,4,FALSE))</f>
        <v/>
      </c>
      <c r="F818" s="139" t="s">
        <v>418</v>
      </c>
      <c r="G818" s="139" t="s">
        <v>419</v>
      </c>
      <c r="H818" s="76" t="s">
        <v>1515</v>
      </c>
      <c r="I818" s="76" t="s">
        <v>129</v>
      </c>
      <c r="J818" s="67" t="s">
        <v>222</v>
      </c>
      <c r="K818" s="123" t="s">
        <v>222</v>
      </c>
      <c r="L818" s="4" t="s">
        <v>4</v>
      </c>
      <c r="M818" s="61" t="s">
        <v>131</v>
      </c>
      <c r="N818" s="61" t="s">
        <v>96</v>
      </c>
      <c r="O818" s="61" t="s">
        <v>96</v>
      </c>
      <c r="P818" s="61" t="s">
        <v>131</v>
      </c>
      <c r="Q818" s="61" t="s">
        <v>96</v>
      </c>
      <c r="R818" s="61" t="s">
        <v>96</v>
      </c>
      <c r="S818" s="61" t="s">
        <v>129</v>
      </c>
      <c r="T818" s="143" t="s">
        <v>118</v>
      </c>
      <c r="U818" s="142" t="s">
        <v>119</v>
      </c>
      <c r="V818" s="61" t="s">
        <v>131</v>
      </c>
      <c r="W818" s="61" t="s">
        <v>96</v>
      </c>
      <c r="X818" s="61" t="s">
        <v>96</v>
      </c>
      <c r="Y818" s="61" t="s">
        <v>131</v>
      </c>
      <c r="Z818" s="61" t="s">
        <v>96</v>
      </c>
      <c r="AA818" s="61" t="s">
        <v>96</v>
      </c>
      <c r="AB818" s="61">
        <v>1</v>
      </c>
    </row>
    <row r="819" spans="1:28" s="57" customFormat="1" ht="43.2" x14ac:dyDescent="0.3">
      <c r="A819" s="16">
        <v>26</v>
      </c>
      <c r="B819" s="23">
        <v>136</v>
      </c>
      <c r="C819" s="27" t="str">
        <f t="shared" si="22"/>
        <v>26.136</v>
      </c>
      <c r="D819" s="18"/>
      <c r="E819" s="64" t="str">
        <f>IF(ISBLANK(D819)=TRUE,"",VLOOKUP(D819,Krav!$C:$F,4,FALSE))</f>
        <v/>
      </c>
      <c r="F819" s="139" t="s">
        <v>174</v>
      </c>
      <c r="G819" s="139"/>
      <c r="H819" s="76" t="s">
        <v>1516</v>
      </c>
      <c r="I819" s="76" t="s">
        <v>456</v>
      </c>
      <c r="J819" s="67" t="s">
        <v>222</v>
      </c>
      <c r="K819" s="123" t="s">
        <v>222</v>
      </c>
      <c r="L819" s="4" t="s">
        <v>4</v>
      </c>
      <c r="M819" s="61" t="s">
        <v>131</v>
      </c>
      <c r="N819" s="61" t="s">
        <v>96</v>
      </c>
      <c r="O819" s="61" t="s">
        <v>96</v>
      </c>
      <c r="P819" s="61" t="s">
        <v>131</v>
      </c>
      <c r="Q819" s="61" t="s">
        <v>96</v>
      </c>
      <c r="R819" s="61" t="s">
        <v>96</v>
      </c>
      <c r="S819" s="61" t="s">
        <v>129</v>
      </c>
      <c r="T819" s="142" t="s">
        <v>119</v>
      </c>
      <c r="U819" s="143" t="s">
        <v>120</v>
      </c>
      <c r="V819" s="61" t="s">
        <v>131</v>
      </c>
      <c r="W819" s="61" t="s">
        <v>96</v>
      </c>
      <c r="X819" s="61" t="s">
        <v>96</v>
      </c>
      <c r="Y819" s="61" t="s">
        <v>131</v>
      </c>
      <c r="Z819" s="61" t="s">
        <v>96</v>
      </c>
      <c r="AA819" s="61" t="s">
        <v>96</v>
      </c>
      <c r="AB819" s="61">
        <v>1</v>
      </c>
    </row>
    <row r="820" spans="1:28" s="57" customFormat="1" ht="43.2" x14ac:dyDescent="0.3">
      <c r="A820" s="16">
        <v>26</v>
      </c>
      <c r="B820" s="23">
        <v>137</v>
      </c>
      <c r="C820" s="27" t="str">
        <f t="shared" si="22"/>
        <v>26.137</v>
      </c>
      <c r="D820" s="18"/>
      <c r="E820" s="64" t="str">
        <f>IF(ISBLANK(D820)=TRUE,"",VLOOKUP(D820,Krav!$C:$F,4,FALSE))</f>
        <v/>
      </c>
      <c r="F820" s="139" t="s">
        <v>418</v>
      </c>
      <c r="G820" s="139" t="s">
        <v>419</v>
      </c>
      <c r="H820" s="76" t="s">
        <v>1517</v>
      </c>
      <c r="I820" s="76" t="s">
        <v>129</v>
      </c>
      <c r="J820" s="67" t="s">
        <v>222</v>
      </c>
      <c r="K820" s="123" t="s">
        <v>222</v>
      </c>
      <c r="L820" s="4" t="s">
        <v>4</v>
      </c>
      <c r="M820" s="61" t="s">
        <v>131</v>
      </c>
      <c r="N820" s="61" t="s">
        <v>96</v>
      </c>
      <c r="O820" s="61" t="s">
        <v>96</v>
      </c>
      <c r="P820" s="61" t="s">
        <v>131</v>
      </c>
      <c r="Q820" s="61" t="s">
        <v>96</v>
      </c>
      <c r="R820" s="61" t="s">
        <v>96</v>
      </c>
      <c r="S820" s="61" t="s">
        <v>129</v>
      </c>
      <c r="T820" s="142" t="s">
        <v>119</v>
      </c>
      <c r="U820" s="143" t="s">
        <v>120</v>
      </c>
      <c r="V820" s="61" t="s">
        <v>131</v>
      </c>
      <c r="W820" s="61" t="s">
        <v>96</v>
      </c>
      <c r="X820" s="61" t="s">
        <v>96</v>
      </c>
      <c r="Y820" s="61" t="s">
        <v>131</v>
      </c>
      <c r="Z820" s="61" t="s">
        <v>96</v>
      </c>
      <c r="AA820" s="61" t="s">
        <v>96</v>
      </c>
      <c r="AB820" s="61">
        <v>1</v>
      </c>
    </row>
    <row r="821" spans="1:28" s="57" customFormat="1" ht="43.2" x14ac:dyDescent="0.3">
      <c r="A821" s="16">
        <v>26</v>
      </c>
      <c r="B821" s="23">
        <v>138</v>
      </c>
      <c r="C821" s="27" t="str">
        <f t="shared" si="22"/>
        <v>26.138</v>
      </c>
      <c r="D821" s="18"/>
      <c r="E821" s="64" t="str">
        <f>IF(ISBLANK(D821)=TRUE,"",VLOOKUP(D821,Krav!$C:$F,4,FALSE))</f>
        <v/>
      </c>
      <c r="F821" s="139" t="s">
        <v>174</v>
      </c>
      <c r="G821" s="139"/>
      <c r="H821" s="76" t="s">
        <v>1518</v>
      </c>
      <c r="I821" s="76" t="s">
        <v>457</v>
      </c>
      <c r="J821" s="67" t="s">
        <v>222</v>
      </c>
      <c r="K821" s="123" t="s">
        <v>222</v>
      </c>
      <c r="L821" s="4" t="s">
        <v>4</v>
      </c>
      <c r="M821" s="61" t="s">
        <v>131</v>
      </c>
      <c r="N821" s="61" t="s">
        <v>96</v>
      </c>
      <c r="O821" s="61" t="s">
        <v>96</v>
      </c>
      <c r="P821" s="61" t="s">
        <v>131</v>
      </c>
      <c r="Q821" s="61" t="s">
        <v>96</v>
      </c>
      <c r="R821" s="61" t="s">
        <v>96</v>
      </c>
      <c r="S821" s="61" t="s">
        <v>129</v>
      </c>
      <c r="T821" s="143" t="s">
        <v>121</v>
      </c>
      <c r="U821" s="142" t="s">
        <v>115</v>
      </c>
      <c r="V821" s="61" t="s">
        <v>131</v>
      </c>
      <c r="W821" s="61" t="s">
        <v>96</v>
      </c>
      <c r="X821" s="61" t="s">
        <v>96</v>
      </c>
      <c r="Y821" s="61" t="s">
        <v>131</v>
      </c>
      <c r="Z821" s="61" t="s">
        <v>96</v>
      </c>
      <c r="AA821" s="61" t="s">
        <v>96</v>
      </c>
      <c r="AB821" s="61">
        <v>1</v>
      </c>
    </row>
    <row r="822" spans="1:28" s="57" customFormat="1" ht="43.2" x14ac:dyDescent="0.3">
      <c r="A822" s="16">
        <v>26</v>
      </c>
      <c r="B822" s="23">
        <v>139</v>
      </c>
      <c r="C822" s="27" t="str">
        <f t="shared" si="22"/>
        <v>26.139</v>
      </c>
      <c r="D822" s="18"/>
      <c r="E822" s="64" t="str">
        <f>IF(ISBLANK(D822)=TRUE,"",VLOOKUP(D822,Krav!$C:$F,4,FALSE))</f>
        <v/>
      </c>
      <c r="F822" s="139" t="s">
        <v>418</v>
      </c>
      <c r="G822" s="139" t="s">
        <v>419</v>
      </c>
      <c r="H822" s="76" t="s">
        <v>1519</v>
      </c>
      <c r="I822" s="76" t="s">
        <v>129</v>
      </c>
      <c r="J822" s="67" t="s">
        <v>222</v>
      </c>
      <c r="K822" s="123" t="s">
        <v>222</v>
      </c>
      <c r="L822" s="4" t="s">
        <v>4</v>
      </c>
      <c r="M822" s="61" t="s">
        <v>131</v>
      </c>
      <c r="N822" s="61" t="s">
        <v>96</v>
      </c>
      <c r="O822" s="61" t="s">
        <v>96</v>
      </c>
      <c r="P822" s="61" t="s">
        <v>131</v>
      </c>
      <c r="Q822" s="61" t="s">
        <v>96</v>
      </c>
      <c r="R822" s="61" t="s">
        <v>96</v>
      </c>
      <c r="S822" s="61" t="s">
        <v>129</v>
      </c>
      <c r="T822" s="143" t="s">
        <v>121</v>
      </c>
      <c r="U822" s="142" t="s">
        <v>115</v>
      </c>
      <c r="V822" s="61" t="s">
        <v>131</v>
      </c>
      <c r="W822" s="61" t="s">
        <v>96</v>
      </c>
      <c r="X822" s="61" t="s">
        <v>96</v>
      </c>
      <c r="Y822" s="61" t="s">
        <v>131</v>
      </c>
      <c r="Z822" s="61" t="s">
        <v>96</v>
      </c>
      <c r="AA822" s="61" t="s">
        <v>96</v>
      </c>
      <c r="AB822" s="61">
        <v>1</v>
      </c>
    </row>
    <row r="823" spans="1:28" s="57" customFormat="1" ht="43.2" x14ac:dyDescent="0.3">
      <c r="A823" s="16">
        <v>26</v>
      </c>
      <c r="B823" s="23">
        <v>140</v>
      </c>
      <c r="C823" s="27" t="str">
        <f t="shared" si="22"/>
        <v>26.140</v>
      </c>
      <c r="D823" s="18"/>
      <c r="E823" s="64" t="str">
        <f>IF(ISBLANK(D823)=TRUE,"",VLOOKUP(D823,Krav!$C:$F,4,FALSE))</f>
        <v/>
      </c>
      <c r="F823" s="139" t="s">
        <v>174</v>
      </c>
      <c r="G823" s="139"/>
      <c r="H823" s="76" t="s">
        <v>1520</v>
      </c>
      <c r="I823" s="76" t="s">
        <v>457</v>
      </c>
      <c r="J823" s="67" t="s">
        <v>222</v>
      </c>
      <c r="K823" s="123" t="s">
        <v>222</v>
      </c>
      <c r="L823" s="4" t="s">
        <v>4</v>
      </c>
      <c r="M823" s="61" t="s">
        <v>131</v>
      </c>
      <c r="N823" s="61" t="s">
        <v>96</v>
      </c>
      <c r="O823" s="61" t="s">
        <v>96</v>
      </c>
      <c r="P823" s="61" t="s">
        <v>131</v>
      </c>
      <c r="Q823" s="61" t="s">
        <v>96</v>
      </c>
      <c r="R823" s="61" t="s">
        <v>96</v>
      </c>
      <c r="S823" s="61" t="s">
        <v>129</v>
      </c>
      <c r="T823" s="142" t="s">
        <v>113</v>
      </c>
      <c r="U823" s="143" t="s">
        <v>122</v>
      </c>
      <c r="V823" s="61" t="s">
        <v>131</v>
      </c>
      <c r="W823" s="61" t="s">
        <v>96</v>
      </c>
      <c r="X823" s="61" t="s">
        <v>96</v>
      </c>
      <c r="Y823" s="61" t="s">
        <v>131</v>
      </c>
      <c r="Z823" s="61" t="s">
        <v>96</v>
      </c>
      <c r="AA823" s="61" t="s">
        <v>96</v>
      </c>
      <c r="AB823" s="61">
        <v>1</v>
      </c>
    </row>
    <row r="824" spans="1:28" s="57" customFormat="1" ht="43.2" x14ac:dyDescent="0.3">
      <c r="A824" s="16">
        <v>26</v>
      </c>
      <c r="B824" s="23">
        <v>141</v>
      </c>
      <c r="C824" s="27" t="str">
        <f t="shared" si="22"/>
        <v>26.141</v>
      </c>
      <c r="D824" s="18"/>
      <c r="E824" s="64" t="str">
        <f>IF(ISBLANK(D824)=TRUE,"",VLOOKUP(D824,Krav!$C:$F,4,FALSE))</f>
        <v/>
      </c>
      <c r="F824" s="139" t="s">
        <v>418</v>
      </c>
      <c r="G824" s="139" t="s">
        <v>419</v>
      </c>
      <c r="H824" s="76" t="s">
        <v>1521</v>
      </c>
      <c r="I824" s="76" t="s">
        <v>129</v>
      </c>
      <c r="J824" s="67" t="s">
        <v>222</v>
      </c>
      <c r="K824" s="123" t="s">
        <v>222</v>
      </c>
      <c r="L824" s="4" t="s">
        <v>4</v>
      </c>
      <c r="M824" s="61" t="s">
        <v>131</v>
      </c>
      <c r="N824" s="61" t="s">
        <v>96</v>
      </c>
      <c r="O824" s="61" t="s">
        <v>96</v>
      </c>
      <c r="P824" s="61" t="s">
        <v>131</v>
      </c>
      <c r="Q824" s="61" t="s">
        <v>96</v>
      </c>
      <c r="R824" s="61" t="s">
        <v>96</v>
      </c>
      <c r="S824" s="61" t="s">
        <v>129</v>
      </c>
      <c r="T824" s="142" t="s">
        <v>113</v>
      </c>
      <c r="U824" s="143" t="s">
        <v>122</v>
      </c>
      <c r="V824" s="61" t="s">
        <v>131</v>
      </c>
      <c r="W824" s="61" t="s">
        <v>96</v>
      </c>
      <c r="X824" s="61" t="s">
        <v>96</v>
      </c>
      <c r="Y824" s="61" t="s">
        <v>131</v>
      </c>
      <c r="Z824" s="61" t="s">
        <v>96</v>
      </c>
      <c r="AA824" s="61" t="s">
        <v>96</v>
      </c>
      <c r="AB824" s="61">
        <v>1</v>
      </c>
    </row>
    <row r="825" spans="1:28" s="57" customFormat="1" ht="43.2" x14ac:dyDescent="0.3">
      <c r="A825" s="16">
        <v>26</v>
      </c>
      <c r="B825" s="23">
        <v>142</v>
      </c>
      <c r="C825" s="27" t="str">
        <f t="shared" si="22"/>
        <v>26.142</v>
      </c>
      <c r="D825" s="18"/>
      <c r="E825" s="64" t="str">
        <f>IF(ISBLANK(D825)=TRUE,"",VLOOKUP(D825,Krav!$C:$F,4,FALSE))</f>
        <v/>
      </c>
      <c r="F825" s="139" t="s">
        <v>174</v>
      </c>
      <c r="G825" s="139"/>
      <c r="H825" s="76" t="s">
        <v>1522</v>
      </c>
      <c r="I825" s="76" t="s">
        <v>1363</v>
      </c>
      <c r="J825" s="67" t="s">
        <v>222</v>
      </c>
      <c r="K825" s="123" t="s">
        <v>222</v>
      </c>
      <c r="L825" s="4" t="s">
        <v>4</v>
      </c>
      <c r="M825" s="61" t="s">
        <v>131</v>
      </c>
      <c r="N825" s="61" t="s">
        <v>96</v>
      </c>
      <c r="O825" s="61" t="s">
        <v>96</v>
      </c>
      <c r="P825" s="61" t="s">
        <v>131</v>
      </c>
      <c r="Q825" s="61" t="s">
        <v>96</v>
      </c>
      <c r="R825" s="61" t="s">
        <v>96</v>
      </c>
      <c r="S825" s="61" t="s">
        <v>129</v>
      </c>
      <c r="T825" s="143" t="s">
        <v>123</v>
      </c>
      <c r="U825" s="142" t="s">
        <v>119</v>
      </c>
      <c r="V825" s="61" t="s">
        <v>131</v>
      </c>
      <c r="W825" s="61" t="s">
        <v>96</v>
      </c>
      <c r="X825" s="61" t="s">
        <v>96</v>
      </c>
      <c r="Y825" s="61" t="s">
        <v>131</v>
      </c>
      <c r="Z825" s="61" t="s">
        <v>96</v>
      </c>
      <c r="AA825" s="61" t="s">
        <v>96</v>
      </c>
      <c r="AB825" s="61">
        <v>1</v>
      </c>
    </row>
    <row r="826" spans="1:28" s="57" customFormat="1" ht="43.2" x14ac:dyDescent="0.3">
      <c r="A826" s="16">
        <v>26</v>
      </c>
      <c r="B826" s="23">
        <v>143</v>
      </c>
      <c r="C826" s="27" t="str">
        <f t="shared" si="22"/>
        <v>26.143</v>
      </c>
      <c r="D826" s="18"/>
      <c r="E826" s="64" t="str">
        <f>IF(ISBLANK(D826)=TRUE,"",VLOOKUP(D826,Krav!$C:$F,4,FALSE))</f>
        <v/>
      </c>
      <c r="F826" s="139" t="s">
        <v>418</v>
      </c>
      <c r="G826" s="139" t="s">
        <v>419</v>
      </c>
      <c r="H826" s="76" t="s">
        <v>1523</v>
      </c>
      <c r="I826" s="76" t="s">
        <v>129</v>
      </c>
      <c r="J826" s="67" t="s">
        <v>222</v>
      </c>
      <c r="K826" s="123" t="s">
        <v>222</v>
      </c>
      <c r="L826" s="4" t="s">
        <v>4</v>
      </c>
      <c r="M826" s="61" t="s">
        <v>131</v>
      </c>
      <c r="N826" s="61" t="s">
        <v>96</v>
      </c>
      <c r="O826" s="61" t="s">
        <v>96</v>
      </c>
      <c r="P826" s="61" t="s">
        <v>131</v>
      </c>
      <c r="Q826" s="61" t="s">
        <v>96</v>
      </c>
      <c r="R826" s="61" t="s">
        <v>96</v>
      </c>
      <c r="S826" s="61" t="s">
        <v>129</v>
      </c>
      <c r="T826" s="143" t="s">
        <v>123</v>
      </c>
      <c r="U826" s="142" t="s">
        <v>119</v>
      </c>
      <c r="V826" s="61" t="s">
        <v>131</v>
      </c>
      <c r="W826" s="61" t="s">
        <v>96</v>
      </c>
      <c r="X826" s="61" t="s">
        <v>96</v>
      </c>
      <c r="Y826" s="61" t="s">
        <v>131</v>
      </c>
      <c r="Z826" s="61" t="s">
        <v>96</v>
      </c>
      <c r="AA826" s="61" t="s">
        <v>96</v>
      </c>
      <c r="AB826" s="61">
        <v>1</v>
      </c>
    </row>
    <row r="827" spans="1:28" s="57" customFormat="1" ht="43.2" x14ac:dyDescent="0.3">
      <c r="A827" s="16">
        <v>26</v>
      </c>
      <c r="B827" s="23">
        <v>144</v>
      </c>
      <c r="C827" s="27" t="str">
        <f t="shared" si="22"/>
        <v>26.144</v>
      </c>
      <c r="D827" s="18"/>
      <c r="E827" s="64" t="str">
        <f>IF(ISBLANK(D827)=TRUE,"",VLOOKUP(D827,Krav!$C:$F,4,FALSE))</f>
        <v/>
      </c>
      <c r="F827" s="139" t="s">
        <v>174</v>
      </c>
      <c r="G827" s="139"/>
      <c r="H827" s="76" t="s">
        <v>1524</v>
      </c>
      <c r="I827" s="76" t="s">
        <v>1363</v>
      </c>
      <c r="J827" s="67" t="s">
        <v>222</v>
      </c>
      <c r="K827" s="123" t="s">
        <v>222</v>
      </c>
      <c r="L827" s="4" t="s">
        <v>4</v>
      </c>
      <c r="M827" s="61" t="s">
        <v>131</v>
      </c>
      <c r="N827" s="61" t="s">
        <v>96</v>
      </c>
      <c r="O827" s="61" t="s">
        <v>96</v>
      </c>
      <c r="P827" s="61" t="s">
        <v>131</v>
      </c>
      <c r="Q827" s="61" t="s">
        <v>96</v>
      </c>
      <c r="R827" s="61" t="s">
        <v>96</v>
      </c>
      <c r="S827" s="61" t="s">
        <v>129</v>
      </c>
      <c r="T827" s="142" t="s">
        <v>119</v>
      </c>
      <c r="U827" s="143" t="s">
        <v>124</v>
      </c>
      <c r="V827" s="61" t="s">
        <v>131</v>
      </c>
      <c r="W827" s="61" t="s">
        <v>96</v>
      </c>
      <c r="X827" s="61" t="s">
        <v>96</v>
      </c>
      <c r="Y827" s="61" t="s">
        <v>131</v>
      </c>
      <c r="Z827" s="61" t="s">
        <v>96</v>
      </c>
      <c r="AA827" s="61" t="s">
        <v>96</v>
      </c>
      <c r="AB827" s="61">
        <v>1</v>
      </c>
    </row>
    <row r="828" spans="1:28" s="57" customFormat="1" ht="43.2" x14ac:dyDescent="0.3">
      <c r="A828" s="16">
        <v>26</v>
      </c>
      <c r="B828" s="23">
        <v>145</v>
      </c>
      <c r="C828" s="27" t="str">
        <f t="shared" si="22"/>
        <v>26.145</v>
      </c>
      <c r="D828" s="18"/>
      <c r="E828" s="64" t="str">
        <f>IF(ISBLANK(D828)=TRUE,"",VLOOKUP(D828,Krav!$C:$F,4,FALSE))</f>
        <v/>
      </c>
      <c r="F828" s="139" t="s">
        <v>418</v>
      </c>
      <c r="G828" s="139" t="s">
        <v>419</v>
      </c>
      <c r="H828" s="76" t="s">
        <v>1525</v>
      </c>
      <c r="I828" s="76" t="s">
        <v>129</v>
      </c>
      <c r="J828" s="67" t="s">
        <v>222</v>
      </c>
      <c r="K828" s="123" t="s">
        <v>222</v>
      </c>
      <c r="L828" s="4" t="s">
        <v>4</v>
      </c>
      <c r="M828" s="61" t="s">
        <v>131</v>
      </c>
      <c r="N828" s="61" t="s">
        <v>96</v>
      </c>
      <c r="O828" s="61" t="s">
        <v>96</v>
      </c>
      <c r="P828" s="61" t="s">
        <v>131</v>
      </c>
      <c r="Q828" s="61" t="s">
        <v>96</v>
      </c>
      <c r="R828" s="61" t="s">
        <v>96</v>
      </c>
      <c r="S828" s="61" t="s">
        <v>129</v>
      </c>
      <c r="T828" s="142" t="s">
        <v>119</v>
      </c>
      <c r="U828" s="143" t="s">
        <v>124</v>
      </c>
      <c r="V828" s="61" t="s">
        <v>131</v>
      </c>
      <c r="W828" s="61" t="s">
        <v>96</v>
      </c>
      <c r="X828" s="61" t="s">
        <v>96</v>
      </c>
      <c r="Y828" s="61" t="s">
        <v>131</v>
      </c>
      <c r="Z828" s="61" t="s">
        <v>96</v>
      </c>
      <c r="AA828" s="61" t="s">
        <v>96</v>
      </c>
      <c r="AB828" s="61">
        <v>1</v>
      </c>
    </row>
    <row r="829" spans="1:28" s="57" customFormat="1" ht="43.2" x14ac:dyDescent="0.3">
      <c r="A829" s="16">
        <v>26</v>
      </c>
      <c r="B829" s="23">
        <v>146</v>
      </c>
      <c r="C829" s="27" t="str">
        <f t="shared" si="22"/>
        <v>26.146</v>
      </c>
      <c r="D829" s="18"/>
      <c r="E829" s="64" t="str">
        <f>IF(ISBLANK(D829)=TRUE,"",VLOOKUP(D829,Krav!$C:$F,4,FALSE))</f>
        <v/>
      </c>
      <c r="F829" s="139" t="s">
        <v>174</v>
      </c>
      <c r="G829" s="139"/>
      <c r="H829" s="76" t="s">
        <v>1526</v>
      </c>
      <c r="I829" s="67" t="s">
        <v>1527</v>
      </c>
      <c r="J829" s="67" t="s">
        <v>222</v>
      </c>
      <c r="K829" s="123" t="s">
        <v>222</v>
      </c>
      <c r="L829" s="4" t="s">
        <v>4</v>
      </c>
      <c r="M829" s="61" t="s">
        <v>131</v>
      </c>
      <c r="N829" s="61" t="s">
        <v>96</v>
      </c>
      <c r="O829" s="61" t="s">
        <v>96</v>
      </c>
      <c r="P829" s="61" t="s">
        <v>131</v>
      </c>
      <c r="Q829" s="61" t="s">
        <v>96</v>
      </c>
      <c r="R829" s="61" t="s">
        <v>96</v>
      </c>
      <c r="S829" s="61" t="s">
        <v>129</v>
      </c>
      <c r="T829" s="142" t="s">
        <v>119</v>
      </c>
      <c r="U829" s="143" t="s">
        <v>181</v>
      </c>
      <c r="V829" s="61" t="s">
        <v>131</v>
      </c>
      <c r="W829" s="61" t="s">
        <v>96</v>
      </c>
      <c r="X829" s="61" t="s">
        <v>96</v>
      </c>
      <c r="Y829" s="61" t="s">
        <v>131</v>
      </c>
      <c r="Z829" s="61" t="s">
        <v>96</v>
      </c>
      <c r="AA829" s="61" t="s">
        <v>96</v>
      </c>
      <c r="AB829" s="61">
        <v>1</v>
      </c>
    </row>
    <row r="830" spans="1:28" s="57" customFormat="1" ht="43.2" x14ac:dyDescent="0.3">
      <c r="A830" s="16">
        <v>26</v>
      </c>
      <c r="B830" s="23">
        <v>147</v>
      </c>
      <c r="C830" s="27" t="str">
        <f t="shared" si="22"/>
        <v>26.147</v>
      </c>
      <c r="D830" s="18"/>
      <c r="E830" s="64" t="str">
        <f>IF(ISBLANK(D830)=TRUE,"",VLOOKUP(D830,Krav!$C:$F,4,FALSE))</f>
        <v/>
      </c>
      <c r="F830" s="139" t="s">
        <v>418</v>
      </c>
      <c r="G830" s="139" t="s">
        <v>419</v>
      </c>
      <c r="H830" s="76" t="s">
        <v>1528</v>
      </c>
      <c r="I830" s="76" t="s">
        <v>129</v>
      </c>
      <c r="J830" s="67" t="s">
        <v>222</v>
      </c>
      <c r="K830" s="123" t="s">
        <v>222</v>
      </c>
      <c r="L830" s="4" t="s">
        <v>4</v>
      </c>
      <c r="M830" s="61" t="s">
        <v>131</v>
      </c>
      <c r="N830" s="61" t="s">
        <v>96</v>
      </c>
      <c r="O830" s="61" t="s">
        <v>96</v>
      </c>
      <c r="P830" s="61" t="s">
        <v>131</v>
      </c>
      <c r="Q830" s="61" t="s">
        <v>96</v>
      </c>
      <c r="R830" s="61" t="s">
        <v>96</v>
      </c>
      <c r="S830" s="61" t="s">
        <v>129</v>
      </c>
      <c r="T830" s="142" t="s">
        <v>119</v>
      </c>
      <c r="U830" s="143" t="s">
        <v>181</v>
      </c>
      <c r="V830" s="61" t="s">
        <v>131</v>
      </c>
      <c r="W830" s="61" t="s">
        <v>96</v>
      </c>
      <c r="X830" s="61" t="s">
        <v>96</v>
      </c>
      <c r="Y830" s="61" t="s">
        <v>131</v>
      </c>
      <c r="Z830" s="61" t="s">
        <v>96</v>
      </c>
      <c r="AA830" s="61" t="s">
        <v>96</v>
      </c>
      <c r="AB830" s="61">
        <v>1</v>
      </c>
    </row>
    <row r="831" spans="1:28" s="1" customFormat="1" ht="33" customHeight="1" x14ac:dyDescent="0.3">
      <c r="A831" s="16">
        <v>26</v>
      </c>
      <c r="B831" s="23">
        <v>148</v>
      </c>
      <c r="C831" s="27" t="str">
        <f t="shared" si="22"/>
        <v>26.148</v>
      </c>
      <c r="D831" s="18" t="s">
        <v>1479</v>
      </c>
      <c r="E831" s="64" t="str">
        <f>IF(ISBLANK(D831)=TRUE,"",VLOOKUP(D831,Krav!$C:$F,4,FALSE))</f>
        <v>4.a.2.1.6 - Den indtastede "fra" periode for forfaldsdato skal gemmes i populationsarket</v>
      </c>
      <c r="F831" s="53" t="s">
        <v>221</v>
      </c>
      <c r="G831" s="53" t="s">
        <v>1467</v>
      </c>
      <c r="H831" s="25" t="s">
        <v>1529</v>
      </c>
      <c r="I831" s="65" t="s">
        <v>96</v>
      </c>
      <c r="J831" s="67" t="s">
        <v>222</v>
      </c>
      <c r="K831" s="123" t="s">
        <v>222</v>
      </c>
      <c r="L831" s="20" t="s">
        <v>3</v>
      </c>
      <c r="M831" s="61" t="s">
        <v>131</v>
      </c>
      <c r="N831" s="61" t="s">
        <v>96</v>
      </c>
      <c r="O831" s="61" t="s">
        <v>96</v>
      </c>
      <c r="P831" s="61" t="s">
        <v>131</v>
      </c>
      <c r="Q831" s="61" t="s">
        <v>96</v>
      </c>
      <c r="R831" s="61" t="s">
        <v>96</v>
      </c>
      <c r="S831" s="61" t="s">
        <v>131</v>
      </c>
      <c r="T831" s="61" t="s">
        <v>96</v>
      </c>
      <c r="U831" s="61" t="s">
        <v>96</v>
      </c>
      <c r="V831" s="61" t="s">
        <v>129</v>
      </c>
      <c r="W831" s="61" t="s">
        <v>1481</v>
      </c>
      <c r="X831" s="61" t="s">
        <v>1482</v>
      </c>
      <c r="Y831" s="61" t="s">
        <v>131</v>
      </c>
      <c r="Z831" s="61" t="s">
        <v>96</v>
      </c>
      <c r="AA831" s="61" t="s">
        <v>96</v>
      </c>
      <c r="AB831" s="61">
        <v>1</v>
      </c>
    </row>
    <row r="832" spans="1:28" s="1" customFormat="1" ht="33" customHeight="1" x14ac:dyDescent="0.3">
      <c r="A832" s="16">
        <v>26</v>
      </c>
      <c r="B832" s="23">
        <v>149</v>
      </c>
      <c r="C832" s="27" t="str">
        <f t="shared" si="22"/>
        <v>26.149</v>
      </c>
      <c r="D832" s="18" t="s">
        <v>1483</v>
      </c>
      <c r="E832" s="64" t="str">
        <f>IF(ISBLANK(D832)=TRUE,"",VLOOKUP(D832,Krav!$C:$F,4,FALSE))</f>
        <v>4.a.2.1.7 - Den indtastede "til" periode for forfaldsdato skal gemmes i populationsarket</v>
      </c>
      <c r="F832" s="53" t="s">
        <v>221</v>
      </c>
      <c r="G832" s="53" t="s">
        <v>1468</v>
      </c>
      <c r="H832" s="25" t="s">
        <v>1529</v>
      </c>
      <c r="I832" s="65" t="s">
        <v>96</v>
      </c>
      <c r="J832" s="67" t="s">
        <v>222</v>
      </c>
      <c r="K832" s="123" t="s">
        <v>222</v>
      </c>
      <c r="L832" s="20" t="s">
        <v>3</v>
      </c>
      <c r="M832" s="61" t="s">
        <v>131</v>
      </c>
      <c r="N832" s="61" t="s">
        <v>96</v>
      </c>
      <c r="O832" s="61" t="s">
        <v>96</v>
      </c>
      <c r="P832" s="61" t="s">
        <v>131</v>
      </c>
      <c r="Q832" s="61" t="s">
        <v>96</v>
      </c>
      <c r="R832" s="61" t="s">
        <v>96</v>
      </c>
      <c r="S832" s="61" t="s">
        <v>131</v>
      </c>
      <c r="T832" s="61" t="s">
        <v>96</v>
      </c>
      <c r="U832" s="61" t="s">
        <v>96</v>
      </c>
      <c r="V832" s="61" t="s">
        <v>129</v>
      </c>
      <c r="W832" s="61" t="s">
        <v>1481</v>
      </c>
      <c r="X832" s="61" t="s">
        <v>1482</v>
      </c>
      <c r="Y832" s="61" t="s">
        <v>131</v>
      </c>
      <c r="Z832" s="61" t="s">
        <v>96</v>
      </c>
      <c r="AA832" s="61" t="s">
        <v>96</v>
      </c>
      <c r="AB832" s="61">
        <v>1</v>
      </c>
    </row>
    <row r="833" spans="1:28" s="1" customFormat="1" ht="33" customHeight="1" x14ac:dyDescent="0.3">
      <c r="A833" s="16">
        <v>26</v>
      </c>
      <c r="B833" s="23">
        <v>150</v>
      </c>
      <c r="C833" s="27" t="str">
        <f t="shared" si="22"/>
        <v>26.150</v>
      </c>
      <c r="D833" s="18" t="s">
        <v>1484</v>
      </c>
      <c r="E833" s="64" t="str">
        <f>IF(ISBLANK(D833)=TRUE,"",VLOOKUP(D833,Krav!$C:$F,4,FALSE))</f>
        <v>4.a.2.1.8 - Den indtastede "fra" periode for sidste rettidige betalingsdato skal gemmes i populationsarket</v>
      </c>
      <c r="F833" s="53" t="s">
        <v>221</v>
      </c>
      <c r="G833" s="53" t="s">
        <v>1469</v>
      </c>
      <c r="H833" s="25" t="s">
        <v>1485</v>
      </c>
      <c r="I833" s="65" t="s">
        <v>96</v>
      </c>
      <c r="J833" s="67" t="s">
        <v>222</v>
      </c>
      <c r="K833" s="123" t="s">
        <v>222</v>
      </c>
      <c r="L833" s="20" t="s">
        <v>3</v>
      </c>
      <c r="M833" s="61" t="s">
        <v>131</v>
      </c>
      <c r="N833" s="61" t="s">
        <v>96</v>
      </c>
      <c r="O833" s="61" t="s">
        <v>96</v>
      </c>
      <c r="P833" s="61" t="s">
        <v>131</v>
      </c>
      <c r="Q833" s="61" t="s">
        <v>96</v>
      </c>
      <c r="R833" s="61" t="s">
        <v>96</v>
      </c>
      <c r="S833" s="61" t="s">
        <v>131</v>
      </c>
      <c r="T833" s="61" t="s">
        <v>96</v>
      </c>
      <c r="U833" s="61" t="s">
        <v>96</v>
      </c>
      <c r="V833" s="61" t="s">
        <v>129</v>
      </c>
      <c r="W833" s="61" t="s">
        <v>1481</v>
      </c>
      <c r="X833" s="61" t="s">
        <v>1482</v>
      </c>
      <c r="Y833" s="61" t="s">
        <v>131</v>
      </c>
      <c r="Z833" s="61" t="s">
        <v>96</v>
      </c>
      <c r="AA833" s="61" t="s">
        <v>96</v>
      </c>
      <c r="AB833" s="61">
        <v>1</v>
      </c>
    </row>
    <row r="834" spans="1:28" s="1" customFormat="1" ht="33" customHeight="1" x14ac:dyDescent="0.3">
      <c r="A834" s="16">
        <v>26</v>
      </c>
      <c r="B834" s="23">
        <v>151</v>
      </c>
      <c r="C834" s="27" t="str">
        <f t="shared" si="22"/>
        <v>26.151</v>
      </c>
      <c r="D834" s="18" t="s">
        <v>1486</v>
      </c>
      <c r="E834" s="64" t="str">
        <f>IF(ISBLANK(D834)=TRUE,"",VLOOKUP(D834,Krav!$C:$F,4,FALSE))</f>
        <v>4.a.2.1.9 - Den indtastede "til" periode for sidste rettidige betalingsdato skal gemmes i populationsarket</v>
      </c>
      <c r="F834" s="53" t="s">
        <v>221</v>
      </c>
      <c r="G834" s="53" t="s">
        <v>1470</v>
      </c>
      <c r="H834" s="25" t="s">
        <v>1485</v>
      </c>
      <c r="I834" s="65" t="s">
        <v>96</v>
      </c>
      <c r="J834" s="67" t="s">
        <v>222</v>
      </c>
      <c r="K834" s="123" t="s">
        <v>222</v>
      </c>
      <c r="L834" s="20" t="s">
        <v>3</v>
      </c>
      <c r="M834" s="61" t="s">
        <v>131</v>
      </c>
      <c r="N834" s="61" t="s">
        <v>96</v>
      </c>
      <c r="O834" s="61" t="s">
        <v>96</v>
      </c>
      <c r="P834" s="61" t="s">
        <v>131</v>
      </c>
      <c r="Q834" s="61" t="s">
        <v>96</v>
      </c>
      <c r="R834" s="61" t="s">
        <v>96</v>
      </c>
      <c r="S834" s="61" t="s">
        <v>131</v>
      </c>
      <c r="T834" s="61" t="s">
        <v>96</v>
      </c>
      <c r="U834" s="61" t="s">
        <v>96</v>
      </c>
      <c r="V834" s="61" t="s">
        <v>129</v>
      </c>
      <c r="W834" s="61" t="s">
        <v>1481</v>
      </c>
      <c r="X834" s="61" t="s">
        <v>1482</v>
      </c>
      <c r="Y834" s="61" t="s">
        <v>131</v>
      </c>
      <c r="Z834" s="61" t="s">
        <v>96</v>
      </c>
      <c r="AA834" s="61" t="s">
        <v>96</v>
      </c>
      <c r="AB834" s="61">
        <v>1</v>
      </c>
    </row>
    <row r="835" spans="1:28" s="1" customFormat="1" ht="33" customHeight="1" x14ac:dyDescent="0.3">
      <c r="A835" s="16">
        <v>26</v>
      </c>
      <c r="B835" s="23">
        <v>152</v>
      </c>
      <c r="C835" s="27" t="str">
        <f t="shared" si="22"/>
        <v>26.152</v>
      </c>
      <c r="D835" s="18" t="s">
        <v>1487</v>
      </c>
      <c r="E835" s="64" t="str">
        <f>IF(ISBLANK(D835)=TRUE,"",VLOOKUP(D835,Krav!$C:$F,4,FALSE))</f>
        <v>4.a.2.1.3 - Den indtastede "fra" periode for stiftelsesdato skal gemmes i populationsarket</v>
      </c>
      <c r="F835" s="53" t="s">
        <v>221</v>
      </c>
      <c r="G835" s="53" t="s">
        <v>1471</v>
      </c>
      <c r="H835" s="25" t="s">
        <v>1488</v>
      </c>
      <c r="I835" s="65" t="s">
        <v>96</v>
      </c>
      <c r="J835" s="67" t="s">
        <v>222</v>
      </c>
      <c r="K835" s="123" t="s">
        <v>222</v>
      </c>
      <c r="L835" s="20" t="s">
        <v>3</v>
      </c>
      <c r="M835" s="61" t="s">
        <v>131</v>
      </c>
      <c r="N835" s="61" t="s">
        <v>96</v>
      </c>
      <c r="O835" s="61" t="s">
        <v>96</v>
      </c>
      <c r="P835" s="61" t="s">
        <v>131</v>
      </c>
      <c r="Q835" s="61" t="s">
        <v>96</v>
      </c>
      <c r="R835" s="61" t="s">
        <v>96</v>
      </c>
      <c r="S835" s="61" t="s">
        <v>131</v>
      </c>
      <c r="T835" s="61" t="s">
        <v>96</v>
      </c>
      <c r="U835" s="61" t="s">
        <v>96</v>
      </c>
      <c r="V835" s="61" t="s">
        <v>129</v>
      </c>
      <c r="W835" s="61" t="s">
        <v>1481</v>
      </c>
      <c r="X835" s="61" t="s">
        <v>1482</v>
      </c>
      <c r="Y835" s="61" t="s">
        <v>131</v>
      </c>
      <c r="Z835" s="61" t="s">
        <v>96</v>
      </c>
      <c r="AA835" s="61" t="s">
        <v>96</v>
      </c>
      <c r="AB835" s="61">
        <v>1</v>
      </c>
    </row>
    <row r="836" spans="1:28" s="1" customFormat="1" ht="33" customHeight="1" x14ac:dyDescent="0.3">
      <c r="A836" s="16">
        <v>26</v>
      </c>
      <c r="B836" s="23">
        <v>153</v>
      </c>
      <c r="C836" s="27" t="str">
        <f t="shared" si="22"/>
        <v>26.153</v>
      </c>
      <c r="D836" s="18" t="s">
        <v>1489</v>
      </c>
      <c r="E836" s="64" t="str">
        <f>IF(ISBLANK(D836)=TRUE,"",VLOOKUP(D836,Krav!$C:$F,4,FALSE))</f>
        <v>4.a.2.1.5 - Den indtastede "til" periode for stiftelsesdato skal gemmes i populationsarket</v>
      </c>
      <c r="F836" s="53" t="s">
        <v>221</v>
      </c>
      <c r="G836" s="53" t="s">
        <v>1472</v>
      </c>
      <c r="H836" s="25" t="s">
        <v>1488</v>
      </c>
      <c r="I836" s="65" t="s">
        <v>96</v>
      </c>
      <c r="J836" s="67" t="s">
        <v>222</v>
      </c>
      <c r="K836" s="123" t="s">
        <v>222</v>
      </c>
      <c r="L836" s="20" t="s">
        <v>3</v>
      </c>
      <c r="M836" s="61" t="s">
        <v>131</v>
      </c>
      <c r="N836" s="61" t="s">
        <v>96</v>
      </c>
      <c r="O836" s="61" t="s">
        <v>96</v>
      </c>
      <c r="P836" s="61" t="s">
        <v>131</v>
      </c>
      <c r="Q836" s="61" t="s">
        <v>96</v>
      </c>
      <c r="R836" s="61" t="s">
        <v>96</v>
      </c>
      <c r="S836" s="61" t="s">
        <v>131</v>
      </c>
      <c r="T836" s="61" t="s">
        <v>96</v>
      </c>
      <c r="U836" s="61" t="s">
        <v>96</v>
      </c>
      <c r="V836" s="61" t="s">
        <v>129</v>
      </c>
      <c r="W836" s="61" t="s">
        <v>1481</v>
      </c>
      <c r="X836" s="61" t="s">
        <v>1482</v>
      </c>
      <c r="Y836" s="61" t="s">
        <v>131</v>
      </c>
      <c r="Z836" s="61" t="s">
        <v>96</v>
      </c>
      <c r="AA836" s="61" t="s">
        <v>96</v>
      </c>
      <c r="AB836" s="61">
        <v>1</v>
      </c>
    </row>
    <row r="837" spans="1:28" s="1" customFormat="1" ht="33" customHeight="1" x14ac:dyDescent="0.3">
      <c r="A837" s="16">
        <v>26</v>
      </c>
      <c r="B837" s="23">
        <v>154</v>
      </c>
      <c r="C837" s="27" t="str">
        <f t="shared" si="22"/>
        <v>26.154</v>
      </c>
      <c r="D837" s="18" t="s">
        <v>1490</v>
      </c>
      <c r="E837" s="64" t="str">
        <f>IF(ISBLANK(D837)=TRUE,"",VLOOKUP(D837,Krav!$C:$F,4,FALSE))</f>
        <v>4.a.2.1.10 - Den indtastede "fra" periode for periode start skal gemmes i populationsarket</v>
      </c>
      <c r="F837" s="53" t="s">
        <v>221</v>
      </c>
      <c r="G837" s="53" t="s">
        <v>1474</v>
      </c>
      <c r="H837" s="25" t="s">
        <v>1548</v>
      </c>
      <c r="I837" s="65" t="s">
        <v>1481</v>
      </c>
      <c r="J837" s="67" t="s">
        <v>222</v>
      </c>
      <c r="K837" s="123" t="s">
        <v>222</v>
      </c>
      <c r="L837" s="20" t="s">
        <v>3</v>
      </c>
      <c r="M837" s="61" t="s">
        <v>131</v>
      </c>
      <c r="N837" s="61" t="s">
        <v>96</v>
      </c>
      <c r="O837" s="61" t="s">
        <v>96</v>
      </c>
      <c r="P837" s="61" t="s">
        <v>131</v>
      </c>
      <c r="Q837" s="61" t="s">
        <v>96</v>
      </c>
      <c r="R837" s="61" t="s">
        <v>96</v>
      </c>
      <c r="S837" s="61" t="s">
        <v>131</v>
      </c>
      <c r="T837" s="61" t="s">
        <v>96</v>
      </c>
      <c r="U837" s="61" t="s">
        <v>96</v>
      </c>
      <c r="V837" s="61" t="s">
        <v>129</v>
      </c>
      <c r="W837" s="61" t="s">
        <v>1481</v>
      </c>
      <c r="X837" s="61" t="s">
        <v>1482</v>
      </c>
      <c r="Y837" s="61" t="s">
        <v>131</v>
      </c>
      <c r="Z837" s="61" t="s">
        <v>96</v>
      </c>
      <c r="AA837" s="61" t="s">
        <v>96</v>
      </c>
      <c r="AB837" s="61">
        <v>1</v>
      </c>
    </row>
    <row r="838" spans="1:28" s="1" customFormat="1" ht="33" customHeight="1" x14ac:dyDescent="0.3">
      <c r="A838" s="16">
        <v>26</v>
      </c>
      <c r="B838" s="23">
        <v>155</v>
      </c>
      <c r="C838" s="27" t="str">
        <f t="shared" si="22"/>
        <v>26.155</v>
      </c>
      <c r="D838" s="18" t="s">
        <v>1492</v>
      </c>
      <c r="E838" s="64" t="str">
        <f>IF(ISBLANK(D838)=TRUE,"",VLOOKUP(D838,Krav!$C:$F,4,FALSE))</f>
        <v>4.a.2.1.11 - Den indtastede "til" periode for periode start skal gemmes i populationsarket</v>
      </c>
      <c r="F838" s="53" t="s">
        <v>221</v>
      </c>
      <c r="G838" s="53" t="s">
        <v>1475</v>
      </c>
      <c r="H838" s="25" t="s">
        <v>1548</v>
      </c>
      <c r="I838" s="65" t="s">
        <v>1482</v>
      </c>
      <c r="J838" s="67" t="s">
        <v>222</v>
      </c>
      <c r="K838" s="123" t="s">
        <v>222</v>
      </c>
      <c r="L838" s="20" t="s">
        <v>3</v>
      </c>
      <c r="M838" s="61" t="s">
        <v>131</v>
      </c>
      <c r="N838" s="61" t="s">
        <v>96</v>
      </c>
      <c r="O838" s="61" t="s">
        <v>96</v>
      </c>
      <c r="P838" s="61" t="s">
        <v>131</v>
      </c>
      <c r="Q838" s="61" t="s">
        <v>96</v>
      </c>
      <c r="R838" s="61" t="s">
        <v>96</v>
      </c>
      <c r="S838" s="61" t="s">
        <v>131</v>
      </c>
      <c r="T838" s="61" t="s">
        <v>96</v>
      </c>
      <c r="U838" s="61" t="s">
        <v>96</v>
      </c>
      <c r="V838" s="61" t="s">
        <v>129</v>
      </c>
      <c r="W838" s="61" t="s">
        <v>1481</v>
      </c>
      <c r="X838" s="61" t="s">
        <v>1482</v>
      </c>
      <c r="Y838" s="61" t="s">
        <v>131</v>
      </c>
      <c r="Z838" s="61" t="s">
        <v>96</v>
      </c>
      <c r="AA838" s="61" t="s">
        <v>96</v>
      </c>
      <c r="AB838" s="61">
        <v>1</v>
      </c>
    </row>
    <row r="839" spans="1:28" s="1" customFormat="1" ht="33" customHeight="1" x14ac:dyDescent="0.3">
      <c r="A839" s="16">
        <v>26</v>
      </c>
      <c r="B839" s="23">
        <v>156</v>
      </c>
      <c r="C839" s="27" t="str">
        <f t="shared" si="22"/>
        <v>26.156</v>
      </c>
      <c r="D839" s="18" t="s">
        <v>1493</v>
      </c>
      <c r="E839" s="64" t="str">
        <f>IF(ISBLANK(D839)=TRUE,"",VLOOKUP(D839,Krav!$C:$F,4,FALSE))</f>
        <v>4.a.2.1.12 - Den indtastede "fra" periode for periode slut skal gemmes i populationsarket</v>
      </c>
      <c r="F839" s="53" t="s">
        <v>221</v>
      </c>
      <c r="G839" s="53" t="s">
        <v>1477</v>
      </c>
      <c r="H839" s="25" t="s">
        <v>1494</v>
      </c>
      <c r="I839" s="65" t="s">
        <v>96</v>
      </c>
      <c r="J839" s="67" t="s">
        <v>222</v>
      </c>
      <c r="K839" s="123" t="s">
        <v>222</v>
      </c>
      <c r="L839" s="20" t="s">
        <v>3</v>
      </c>
      <c r="M839" s="61" t="s">
        <v>131</v>
      </c>
      <c r="N839" s="61" t="s">
        <v>96</v>
      </c>
      <c r="O839" s="61" t="s">
        <v>96</v>
      </c>
      <c r="P839" s="61" t="s">
        <v>131</v>
      </c>
      <c r="Q839" s="61" t="s">
        <v>96</v>
      </c>
      <c r="R839" s="61" t="s">
        <v>96</v>
      </c>
      <c r="S839" s="61" t="s">
        <v>131</v>
      </c>
      <c r="T839" s="61" t="s">
        <v>96</v>
      </c>
      <c r="U839" s="61" t="s">
        <v>96</v>
      </c>
      <c r="V839" s="61" t="s">
        <v>129</v>
      </c>
      <c r="W839" s="61" t="s">
        <v>1481</v>
      </c>
      <c r="X839" s="61" t="s">
        <v>1482</v>
      </c>
      <c r="Y839" s="61" t="s">
        <v>131</v>
      </c>
      <c r="Z839" s="61" t="s">
        <v>96</v>
      </c>
      <c r="AA839" s="61" t="s">
        <v>96</v>
      </c>
      <c r="AB839" s="61">
        <v>1</v>
      </c>
    </row>
    <row r="840" spans="1:28" s="1" customFormat="1" ht="33" customHeight="1" x14ac:dyDescent="0.3">
      <c r="A840" s="16">
        <v>26</v>
      </c>
      <c r="B840" s="23">
        <v>157</v>
      </c>
      <c r="C840" s="27" t="str">
        <f t="shared" si="22"/>
        <v>26.157</v>
      </c>
      <c r="D840" s="18" t="s">
        <v>1495</v>
      </c>
      <c r="E840" s="64" t="str">
        <f>IF(ISBLANK(D840)=TRUE,"",VLOOKUP(D840,Krav!$C:$F,4,FALSE))</f>
        <v>4.a.2.1.13 - Den indtastede "til" periode for periode slut skal gemmes i populationsarket</v>
      </c>
      <c r="F840" s="53" t="s">
        <v>221</v>
      </c>
      <c r="G840" s="53" t="s">
        <v>1478</v>
      </c>
      <c r="H840" s="25" t="s">
        <v>1494</v>
      </c>
      <c r="I840" s="65" t="s">
        <v>96</v>
      </c>
      <c r="J840" s="67" t="s">
        <v>222</v>
      </c>
      <c r="K840" s="123" t="s">
        <v>222</v>
      </c>
      <c r="L840" s="20" t="s">
        <v>3</v>
      </c>
      <c r="M840" s="61" t="s">
        <v>131</v>
      </c>
      <c r="N840" s="61" t="s">
        <v>96</v>
      </c>
      <c r="O840" s="61" t="s">
        <v>96</v>
      </c>
      <c r="P840" s="61" t="s">
        <v>131</v>
      </c>
      <c r="Q840" s="61" t="s">
        <v>96</v>
      </c>
      <c r="R840" s="61" t="s">
        <v>96</v>
      </c>
      <c r="S840" s="61" t="s">
        <v>131</v>
      </c>
      <c r="T840" s="61" t="s">
        <v>96</v>
      </c>
      <c r="U840" s="61" t="s">
        <v>96</v>
      </c>
      <c r="V840" s="61" t="s">
        <v>129</v>
      </c>
      <c r="W840" s="61" t="s">
        <v>1481</v>
      </c>
      <c r="X840" s="61" t="s">
        <v>1482</v>
      </c>
      <c r="Y840" s="61" t="s">
        <v>131</v>
      </c>
      <c r="Z840" s="61" t="s">
        <v>96</v>
      </c>
      <c r="AA840" s="61" t="s">
        <v>96</v>
      </c>
      <c r="AB840" s="61">
        <v>1</v>
      </c>
    </row>
    <row r="841" spans="1:28" s="1" customFormat="1" ht="33" customHeight="1" x14ac:dyDescent="0.3">
      <c r="A841" s="16">
        <v>26</v>
      </c>
      <c r="B841" s="23">
        <v>158</v>
      </c>
      <c r="C841" s="27" t="str">
        <f t="shared" si="22"/>
        <v>26.158</v>
      </c>
      <c r="D841" s="18"/>
      <c r="E841" s="64" t="str">
        <f>IF(ISBLANK(D841)=TRUE,"",VLOOKUP(D841,Krav!$C:$F,4,FALSE))</f>
        <v/>
      </c>
      <c r="F841" s="53" t="s">
        <v>225</v>
      </c>
      <c r="G841" s="53" t="s">
        <v>521</v>
      </c>
      <c r="H841" s="25" t="s">
        <v>1531</v>
      </c>
      <c r="I841" s="65" t="s">
        <v>96</v>
      </c>
      <c r="J841" s="67" t="s">
        <v>222</v>
      </c>
      <c r="K841" s="123" t="s">
        <v>222</v>
      </c>
      <c r="L841" s="20" t="s">
        <v>3</v>
      </c>
      <c r="M841" s="61" t="s">
        <v>131</v>
      </c>
      <c r="N841" s="61" t="s">
        <v>96</v>
      </c>
      <c r="O841" s="61" t="s">
        <v>96</v>
      </c>
      <c r="P841" s="61" t="s">
        <v>131</v>
      </c>
      <c r="Q841" s="61" t="s">
        <v>96</v>
      </c>
      <c r="R841" s="61" t="s">
        <v>96</v>
      </c>
      <c r="S841" s="61" t="s">
        <v>131</v>
      </c>
      <c r="T841" s="61" t="s">
        <v>96</v>
      </c>
      <c r="U841" s="61" t="s">
        <v>96</v>
      </c>
      <c r="V841" s="61" t="s">
        <v>129</v>
      </c>
      <c r="W841" s="61" t="s">
        <v>1481</v>
      </c>
      <c r="X841" s="61" t="s">
        <v>1482</v>
      </c>
      <c r="Y841" s="61" t="s">
        <v>131</v>
      </c>
      <c r="Z841" s="61" t="s">
        <v>96</v>
      </c>
      <c r="AA841" s="61" t="s">
        <v>96</v>
      </c>
      <c r="AB841" s="61">
        <v>1</v>
      </c>
    </row>
    <row r="842" spans="1:28" s="1" customFormat="1" ht="33" customHeight="1" x14ac:dyDescent="0.3">
      <c r="A842" s="16">
        <v>26</v>
      </c>
      <c r="B842" s="23">
        <v>159</v>
      </c>
      <c r="C842" s="27" t="str">
        <f t="shared" si="22"/>
        <v>26.159</v>
      </c>
      <c r="D842" s="18"/>
      <c r="E842" s="64" t="str">
        <f>IF(ISBLANK(D842)=TRUE,"",VLOOKUP(D842,Krav!$C:$F,4,FALSE))</f>
        <v/>
      </c>
      <c r="F842" s="53" t="s">
        <v>225</v>
      </c>
      <c r="G842" s="53" t="s">
        <v>1467</v>
      </c>
      <c r="H842" s="25" t="s">
        <v>1532</v>
      </c>
      <c r="I842" s="65" t="s">
        <v>96</v>
      </c>
      <c r="J842" s="67" t="s">
        <v>222</v>
      </c>
      <c r="K842" s="123" t="s">
        <v>222</v>
      </c>
      <c r="L842" s="20" t="s">
        <v>3</v>
      </c>
      <c r="M842" s="61" t="s">
        <v>131</v>
      </c>
      <c r="N842" s="61" t="s">
        <v>96</v>
      </c>
      <c r="O842" s="61" t="s">
        <v>96</v>
      </c>
      <c r="P842" s="61" t="s">
        <v>131</v>
      </c>
      <c r="Q842" s="61" t="s">
        <v>96</v>
      </c>
      <c r="R842" s="61" t="s">
        <v>96</v>
      </c>
      <c r="S842" s="61" t="s">
        <v>131</v>
      </c>
      <c r="T842" s="61" t="s">
        <v>96</v>
      </c>
      <c r="U842" s="61" t="s">
        <v>96</v>
      </c>
      <c r="V842" s="61" t="s">
        <v>129</v>
      </c>
      <c r="W842" s="61" t="s">
        <v>1481</v>
      </c>
      <c r="X842" s="61" t="s">
        <v>1482</v>
      </c>
      <c r="Y842" s="61" t="s">
        <v>131</v>
      </c>
      <c r="Z842" s="61" t="s">
        <v>96</v>
      </c>
      <c r="AA842" s="61" t="s">
        <v>96</v>
      </c>
      <c r="AB842" s="61">
        <v>1</v>
      </c>
    </row>
    <row r="843" spans="1:28" s="1" customFormat="1" ht="33" customHeight="1" x14ac:dyDescent="0.3">
      <c r="A843" s="16">
        <v>26</v>
      </c>
      <c r="B843" s="23">
        <v>160</v>
      </c>
      <c r="C843" s="27" t="str">
        <f t="shared" si="22"/>
        <v>26.160</v>
      </c>
      <c r="D843" s="18"/>
      <c r="E843" s="64" t="str">
        <f>IF(ISBLANK(D843)=TRUE,"",VLOOKUP(D843,Krav!$C:$F,4,FALSE))</f>
        <v/>
      </c>
      <c r="F843" s="53" t="s">
        <v>225</v>
      </c>
      <c r="G843" s="53" t="s">
        <v>1468</v>
      </c>
      <c r="H843" s="25" t="s">
        <v>1532</v>
      </c>
      <c r="I843" s="65" t="s">
        <v>96</v>
      </c>
      <c r="J843" s="67" t="s">
        <v>222</v>
      </c>
      <c r="K843" s="123" t="s">
        <v>222</v>
      </c>
      <c r="L843" s="20" t="s">
        <v>3</v>
      </c>
      <c r="M843" s="61" t="s">
        <v>131</v>
      </c>
      <c r="N843" s="61" t="s">
        <v>96</v>
      </c>
      <c r="O843" s="61" t="s">
        <v>96</v>
      </c>
      <c r="P843" s="61" t="s">
        <v>131</v>
      </c>
      <c r="Q843" s="61" t="s">
        <v>96</v>
      </c>
      <c r="R843" s="61" t="s">
        <v>96</v>
      </c>
      <c r="S843" s="61" t="s">
        <v>131</v>
      </c>
      <c r="T843" s="61" t="s">
        <v>96</v>
      </c>
      <c r="U843" s="61" t="s">
        <v>96</v>
      </c>
      <c r="V843" s="61" t="s">
        <v>129</v>
      </c>
      <c r="W843" s="61" t="s">
        <v>1481</v>
      </c>
      <c r="X843" s="61" t="s">
        <v>1482</v>
      </c>
      <c r="Y843" s="61" t="s">
        <v>131</v>
      </c>
      <c r="Z843" s="61" t="s">
        <v>96</v>
      </c>
      <c r="AA843" s="61" t="s">
        <v>96</v>
      </c>
      <c r="AB843" s="61">
        <v>1</v>
      </c>
    </row>
    <row r="844" spans="1:28" s="1" customFormat="1" ht="33" customHeight="1" x14ac:dyDescent="0.3">
      <c r="A844" s="16">
        <v>26</v>
      </c>
      <c r="B844" s="23">
        <v>161</v>
      </c>
      <c r="C844" s="27" t="str">
        <f t="shared" si="22"/>
        <v>26.161</v>
      </c>
      <c r="D844" s="18"/>
      <c r="E844" s="64" t="str">
        <f>IF(ISBLANK(D844)=TRUE,"",VLOOKUP(D844,Krav!$C:$F,4,FALSE))</f>
        <v/>
      </c>
      <c r="F844" s="53" t="s">
        <v>225</v>
      </c>
      <c r="G844" s="53" t="s">
        <v>522</v>
      </c>
      <c r="H844" s="25" t="s">
        <v>1498</v>
      </c>
      <c r="I844" s="65" t="s">
        <v>96</v>
      </c>
      <c r="J844" s="67" t="s">
        <v>222</v>
      </c>
      <c r="K844" s="123" t="s">
        <v>222</v>
      </c>
      <c r="L844" s="20" t="s">
        <v>3</v>
      </c>
      <c r="M844" s="61" t="s">
        <v>131</v>
      </c>
      <c r="N844" s="61" t="s">
        <v>96</v>
      </c>
      <c r="O844" s="61" t="s">
        <v>96</v>
      </c>
      <c r="P844" s="61" t="s">
        <v>131</v>
      </c>
      <c r="Q844" s="61" t="s">
        <v>96</v>
      </c>
      <c r="R844" s="61" t="s">
        <v>96</v>
      </c>
      <c r="S844" s="61" t="s">
        <v>131</v>
      </c>
      <c r="T844" s="61" t="s">
        <v>96</v>
      </c>
      <c r="U844" s="61" t="s">
        <v>96</v>
      </c>
      <c r="V844" s="61" t="s">
        <v>129</v>
      </c>
      <c r="W844" s="61" t="s">
        <v>1481</v>
      </c>
      <c r="X844" s="61" t="s">
        <v>1482</v>
      </c>
      <c r="Y844" s="61" t="s">
        <v>131</v>
      </c>
      <c r="Z844" s="61" t="s">
        <v>96</v>
      </c>
      <c r="AA844" s="61" t="s">
        <v>96</v>
      </c>
      <c r="AB844" s="61">
        <v>1</v>
      </c>
    </row>
    <row r="845" spans="1:28" s="1" customFormat="1" ht="33" customHeight="1" x14ac:dyDescent="0.3">
      <c r="A845" s="16">
        <v>26</v>
      </c>
      <c r="B845" s="23">
        <v>162</v>
      </c>
      <c r="C845" s="27" t="str">
        <f t="shared" si="22"/>
        <v>26.162</v>
      </c>
      <c r="D845" s="18"/>
      <c r="E845" s="64" t="str">
        <f>IF(ISBLANK(D845)=TRUE,"",VLOOKUP(D845,Krav!$C:$F,4,FALSE))</f>
        <v/>
      </c>
      <c r="F845" s="53" t="s">
        <v>225</v>
      </c>
      <c r="G845" s="53" t="s">
        <v>1469</v>
      </c>
      <c r="H845" s="25" t="s">
        <v>1499</v>
      </c>
      <c r="I845" s="65" t="s">
        <v>96</v>
      </c>
      <c r="J845" s="67" t="s">
        <v>222</v>
      </c>
      <c r="K845" s="123" t="s">
        <v>222</v>
      </c>
      <c r="L845" s="20" t="s">
        <v>3</v>
      </c>
      <c r="M845" s="61" t="s">
        <v>131</v>
      </c>
      <c r="N845" s="61" t="s">
        <v>96</v>
      </c>
      <c r="O845" s="61" t="s">
        <v>96</v>
      </c>
      <c r="P845" s="61" t="s">
        <v>131</v>
      </c>
      <c r="Q845" s="61" t="s">
        <v>96</v>
      </c>
      <c r="R845" s="61" t="s">
        <v>96</v>
      </c>
      <c r="S845" s="61" t="s">
        <v>131</v>
      </c>
      <c r="T845" s="61" t="s">
        <v>96</v>
      </c>
      <c r="U845" s="61" t="s">
        <v>96</v>
      </c>
      <c r="V845" s="61" t="s">
        <v>129</v>
      </c>
      <c r="W845" s="61" t="s">
        <v>1481</v>
      </c>
      <c r="X845" s="61" t="s">
        <v>1482</v>
      </c>
      <c r="Y845" s="61" t="s">
        <v>131</v>
      </c>
      <c r="Z845" s="61" t="s">
        <v>96</v>
      </c>
      <c r="AA845" s="61" t="s">
        <v>96</v>
      </c>
      <c r="AB845" s="61">
        <v>1</v>
      </c>
    </row>
    <row r="846" spans="1:28" s="1" customFormat="1" ht="33" customHeight="1" x14ac:dyDescent="0.3">
      <c r="A846" s="16">
        <v>26</v>
      </c>
      <c r="B846" s="23">
        <v>163</v>
      </c>
      <c r="C846" s="27" t="str">
        <f t="shared" si="22"/>
        <v>26.163</v>
      </c>
      <c r="D846" s="18"/>
      <c r="E846" s="64" t="str">
        <f>IF(ISBLANK(D846)=TRUE,"",VLOOKUP(D846,Krav!$C:$F,4,FALSE))</f>
        <v/>
      </c>
      <c r="F846" s="53" t="s">
        <v>225</v>
      </c>
      <c r="G846" s="53" t="s">
        <v>1470</v>
      </c>
      <c r="H846" s="25" t="s">
        <v>1499</v>
      </c>
      <c r="I846" s="65" t="s">
        <v>96</v>
      </c>
      <c r="J846" s="67" t="s">
        <v>222</v>
      </c>
      <c r="K846" s="123" t="s">
        <v>222</v>
      </c>
      <c r="L846" s="20" t="s">
        <v>3</v>
      </c>
      <c r="M846" s="61" t="s">
        <v>131</v>
      </c>
      <c r="N846" s="61" t="s">
        <v>96</v>
      </c>
      <c r="O846" s="61" t="s">
        <v>96</v>
      </c>
      <c r="P846" s="61" t="s">
        <v>131</v>
      </c>
      <c r="Q846" s="61" t="s">
        <v>96</v>
      </c>
      <c r="R846" s="61" t="s">
        <v>96</v>
      </c>
      <c r="S846" s="61" t="s">
        <v>131</v>
      </c>
      <c r="T846" s="61" t="s">
        <v>96</v>
      </c>
      <c r="U846" s="61" t="s">
        <v>96</v>
      </c>
      <c r="V846" s="61" t="s">
        <v>129</v>
      </c>
      <c r="W846" s="61" t="s">
        <v>1481</v>
      </c>
      <c r="X846" s="61" t="s">
        <v>1482</v>
      </c>
      <c r="Y846" s="61" t="s">
        <v>131</v>
      </c>
      <c r="Z846" s="61" t="s">
        <v>96</v>
      </c>
      <c r="AA846" s="61" t="s">
        <v>96</v>
      </c>
      <c r="AB846" s="61">
        <v>1</v>
      </c>
    </row>
    <row r="847" spans="1:28" s="1" customFormat="1" ht="33" customHeight="1" x14ac:dyDescent="0.3">
      <c r="A847" s="16">
        <v>26</v>
      </c>
      <c r="B847" s="23">
        <v>164</v>
      </c>
      <c r="C847" s="27" t="str">
        <f t="shared" si="22"/>
        <v>26.164</v>
      </c>
      <c r="D847" s="18"/>
      <c r="E847" s="64" t="str">
        <f>IF(ISBLANK(D847)=TRUE,"",VLOOKUP(D847,Krav!$C:$F,4,FALSE))</f>
        <v/>
      </c>
      <c r="F847" s="53" t="s">
        <v>225</v>
      </c>
      <c r="G847" s="53" t="s">
        <v>523</v>
      </c>
      <c r="H847" s="25" t="s">
        <v>1500</v>
      </c>
      <c r="I847" s="65" t="s">
        <v>96</v>
      </c>
      <c r="J847" s="67" t="s">
        <v>222</v>
      </c>
      <c r="K847" s="123" t="s">
        <v>222</v>
      </c>
      <c r="L847" s="20" t="s">
        <v>3</v>
      </c>
      <c r="M847" s="61" t="s">
        <v>131</v>
      </c>
      <c r="N847" s="61" t="s">
        <v>96</v>
      </c>
      <c r="O847" s="61" t="s">
        <v>96</v>
      </c>
      <c r="P847" s="61" t="s">
        <v>131</v>
      </c>
      <c r="Q847" s="61" t="s">
        <v>96</v>
      </c>
      <c r="R847" s="61" t="s">
        <v>96</v>
      </c>
      <c r="S847" s="61" t="s">
        <v>131</v>
      </c>
      <c r="T847" s="61" t="s">
        <v>96</v>
      </c>
      <c r="U847" s="61" t="s">
        <v>96</v>
      </c>
      <c r="V847" s="61" t="s">
        <v>129</v>
      </c>
      <c r="W847" s="61" t="s">
        <v>1481</v>
      </c>
      <c r="X847" s="61" t="s">
        <v>1482</v>
      </c>
      <c r="Y847" s="61" t="s">
        <v>131</v>
      </c>
      <c r="Z847" s="61" t="s">
        <v>96</v>
      </c>
      <c r="AA847" s="61" t="s">
        <v>96</v>
      </c>
      <c r="AB847" s="61">
        <v>1</v>
      </c>
    </row>
    <row r="848" spans="1:28" s="1" customFormat="1" ht="33" customHeight="1" x14ac:dyDescent="0.3">
      <c r="A848" s="16">
        <v>26</v>
      </c>
      <c r="B848" s="23">
        <v>165</v>
      </c>
      <c r="C848" s="27" t="str">
        <f t="shared" si="22"/>
        <v>26.165</v>
      </c>
      <c r="D848" s="18"/>
      <c r="E848" s="64" t="str">
        <f>IF(ISBLANK(D848)=TRUE,"",VLOOKUP(D848,Krav!$C:$F,4,FALSE))</f>
        <v/>
      </c>
      <c r="F848" s="53" t="s">
        <v>225</v>
      </c>
      <c r="G848" s="53" t="s">
        <v>1471</v>
      </c>
      <c r="H848" s="25" t="s">
        <v>1501</v>
      </c>
      <c r="I848" s="65" t="s">
        <v>96</v>
      </c>
      <c r="J848" s="67" t="s">
        <v>222</v>
      </c>
      <c r="K848" s="123" t="s">
        <v>222</v>
      </c>
      <c r="L848" s="20" t="s">
        <v>3</v>
      </c>
      <c r="M848" s="61" t="s">
        <v>131</v>
      </c>
      <c r="N848" s="61" t="s">
        <v>96</v>
      </c>
      <c r="O848" s="61" t="s">
        <v>96</v>
      </c>
      <c r="P848" s="61" t="s">
        <v>131</v>
      </c>
      <c r="Q848" s="61" t="s">
        <v>96</v>
      </c>
      <c r="R848" s="61" t="s">
        <v>96</v>
      </c>
      <c r="S848" s="61" t="s">
        <v>131</v>
      </c>
      <c r="T848" s="61" t="s">
        <v>96</v>
      </c>
      <c r="U848" s="61" t="s">
        <v>96</v>
      </c>
      <c r="V848" s="61" t="s">
        <v>129</v>
      </c>
      <c r="W848" s="61" t="s">
        <v>1481</v>
      </c>
      <c r="X848" s="61" t="s">
        <v>1482</v>
      </c>
      <c r="Y848" s="61" t="s">
        <v>131</v>
      </c>
      <c r="Z848" s="61" t="s">
        <v>96</v>
      </c>
      <c r="AA848" s="61" t="s">
        <v>96</v>
      </c>
      <c r="AB848" s="61">
        <v>1</v>
      </c>
    </row>
    <row r="849" spans="1:29" s="1" customFormat="1" ht="33" customHeight="1" x14ac:dyDescent="0.3">
      <c r="A849" s="16">
        <v>26</v>
      </c>
      <c r="B849" s="23">
        <v>166</v>
      </c>
      <c r="C849" s="27" t="str">
        <f t="shared" si="22"/>
        <v>26.166</v>
      </c>
      <c r="D849" s="18"/>
      <c r="E849" s="64" t="str">
        <f>IF(ISBLANK(D849)=TRUE,"",VLOOKUP(D849,Krav!$C:$F,4,FALSE))</f>
        <v/>
      </c>
      <c r="F849" s="53" t="s">
        <v>225</v>
      </c>
      <c r="G849" s="53" t="s">
        <v>1472</v>
      </c>
      <c r="H849" s="25" t="s">
        <v>1501</v>
      </c>
      <c r="I849" s="65" t="s">
        <v>96</v>
      </c>
      <c r="J849" s="67" t="s">
        <v>222</v>
      </c>
      <c r="K849" s="123" t="s">
        <v>222</v>
      </c>
      <c r="L849" s="20" t="s">
        <v>3</v>
      </c>
      <c r="M849" s="61" t="s">
        <v>131</v>
      </c>
      <c r="N849" s="61" t="s">
        <v>96</v>
      </c>
      <c r="O849" s="61" t="s">
        <v>96</v>
      </c>
      <c r="P849" s="61" t="s">
        <v>131</v>
      </c>
      <c r="Q849" s="61" t="s">
        <v>96</v>
      </c>
      <c r="R849" s="61" t="s">
        <v>96</v>
      </c>
      <c r="S849" s="61" t="s">
        <v>131</v>
      </c>
      <c r="T849" s="61" t="s">
        <v>96</v>
      </c>
      <c r="U849" s="61" t="s">
        <v>96</v>
      </c>
      <c r="V849" s="61" t="s">
        <v>129</v>
      </c>
      <c r="W849" s="61" t="s">
        <v>1481</v>
      </c>
      <c r="X849" s="61" t="s">
        <v>1482</v>
      </c>
      <c r="Y849" s="61" t="s">
        <v>131</v>
      </c>
      <c r="Z849" s="61" t="s">
        <v>96</v>
      </c>
      <c r="AA849" s="61" t="s">
        <v>96</v>
      </c>
      <c r="AB849" s="61">
        <v>1</v>
      </c>
    </row>
    <row r="850" spans="1:29" s="1" customFormat="1" ht="33" customHeight="1" x14ac:dyDescent="0.3">
      <c r="A850" s="16">
        <v>26</v>
      </c>
      <c r="B850" s="23">
        <v>167</v>
      </c>
      <c r="C850" s="27" t="str">
        <f t="shared" si="22"/>
        <v>26.167</v>
      </c>
      <c r="D850" s="18"/>
      <c r="E850" s="64" t="str">
        <f>IF(ISBLANK(D850)=TRUE,"",VLOOKUP(D850,Krav!$C:$F,4,FALSE))</f>
        <v/>
      </c>
      <c r="F850" s="53" t="s">
        <v>225</v>
      </c>
      <c r="G850" s="53" t="s">
        <v>1473</v>
      </c>
      <c r="H850" s="25" t="s">
        <v>1549</v>
      </c>
      <c r="I850" s="67" t="s">
        <v>1550</v>
      </c>
      <c r="J850" s="67" t="s">
        <v>222</v>
      </c>
      <c r="K850" s="123" t="s">
        <v>222</v>
      </c>
      <c r="L850" s="20" t="s">
        <v>3</v>
      </c>
      <c r="M850" s="61" t="s">
        <v>131</v>
      </c>
      <c r="N850" s="61" t="s">
        <v>96</v>
      </c>
      <c r="O850" s="61" t="s">
        <v>96</v>
      </c>
      <c r="P850" s="61" t="s">
        <v>131</v>
      </c>
      <c r="Q850" s="61" t="s">
        <v>96</v>
      </c>
      <c r="R850" s="61" t="s">
        <v>96</v>
      </c>
      <c r="S850" s="61" t="s">
        <v>131</v>
      </c>
      <c r="T850" s="61" t="s">
        <v>96</v>
      </c>
      <c r="U850" s="61" t="s">
        <v>96</v>
      </c>
      <c r="V850" s="61" t="s">
        <v>129</v>
      </c>
      <c r="W850" s="61" t="s">
        <v>1481</v>
      </c>
      <c r="X850" s="61" t="s">
        <v>1482</v>
      </c>
      <c r="Y850" s="61" t="s">
        <v>131</v>
      </c>
      <c r="Z850" s="61" t="s">
        <v>96</v>
      </c>
      <c r="AA850" s="61" t="s">
        <v>96</v>
      </c>
      <c r="AB850" s="61">
        <v>1</v>
      </c>
    </row>
    <row r="851" spans="1:29" s="1" customFormat="1" ht="33" customHeight="1" x14ac:dyDescent="0.3">
      <c r="A851" s="16">
        <v>26</v>
      </c>
      <c r="B851" s="23">
        <v>168</v>
      </c>
      <c r="C851" s="27" t="str">
        <f t="shared" si="22"/>
        <v>26.168</v>
      </c>
      <c r="D851" s="18"/>
      <c r="E851" s="64" t="str">
        <f>IF(ISBLANK(D851)=TRUE,"",VLOOKUP(D851,Krav!$C:$F,4,FALSE))</f>
        <v/>
      </c>
      <c r="F851" s="53" t="s">
        <v>225</v>
      </c>
      <c r="G851" s="53" t="s">
        <v>1474</v>
      </c>
      <c r="H851" s="25" t="s">
        <v>1551</v>
      </c>
      <c r="I851" s="65" t="s">
        <v>1481</v>
      </c>
      <c r="J851" s="67" t="s">
        <v>222</v>
      </c>
      <c r="K851" s="123" t="s">
        <v>222</v>
      </c>
      <c r="L851" s="20" t="s">
        <v>3</v>
      </c>
      <c r="M851" s="61" t="s">
        <v>131</v>
      </c>
      <c r="N851" s="61" t="s">
        <v>96</v>
      </c>
      <c r="O851" s="61" t="s">
        <v>96</v>
      </c>
      <c r="P851" s="61" t="s">
        <v>131</v>
      </c>
      <c r="Q851" s="61" t="s">
        <v>96</v>
      </c>
      <c r="R851" s="61" t="s">
        <v>96</v>
      </c>
      <c r="S851" s="61" t="s">
        <v>131</v>
      </c>
      <c r="T851" s="61" t="s">
        <v>96</v>
      </c>
      <c r="U851" s="61" t="s">
        <v>96</v>
      </c>
      <c r="V851" s="61" t="s">
        <v>129</v>
      </c>
      <c r="W851" s="61" t="s">
        <v>1481</v>
      </c>
      <c r="X851" s="61" t="s">
        <v>1482</v>
      </c>
      <c r="Y851" s="61" t="s">
        <v>131</v>
      </c>
      <c r="Z851" s="61" t="s">
        <v>96</v>
      </c>
      <c r="AA851" s="61" t="s">
        <v>96</v>
      </c>
      <c r="AB851" s="61">
        <v>1</v>
      </c>
    </row>
    <row r="852" spans="1:29" s="1" customFormat="1" ht="33" customHeight="1" x14ac:dyDescent="0.3">
      <c r="A852" s="16">
        <v>26</v>
      </c>
      <c r="B852" s="23">
        <v>169</v>
      </c>
      <c r="C852" s="27" t="str">
        <f t="shared" si="22"/>
        <v>26.169</v>
      </c>
      <c r="D852" s="18"/>
      <c r="E852" s="64" t="str">
        <f>IF(ISBLANK(D852)=TRUE,"",VLOOKUP(D852,Krav!$C:$F,4,FALSE))</f>
        <v/>
      </c>
      <c r="F852" s="53" t="s">
        <v>225</v>
      </c>
      <c r="G852" s="53" t="s">
        <v>1475</v>
      </c>
      <c r="H852" s="25" t="s">
        <v>1551</v>
      </c>
      <c r="I852" s="65" t="s">
        <v>1482</v>
      </c>
      <c r="J852" s="67" t="s">
        <v>222</v>
      </c>
      <c r="K852" s="123" t="s">
        <v>222</v>
      </c>
      <c r="L852" s="20" t="s">
        <v>3</v>
      </c>
      <c r="M852" s="61" t="s">
        <v>131</v>
      </c>
      <c r="N852" s="61" t="s">
        <v>96</v>
      </c>
      <c r="O852" s="61" t="s">
        <v>96</v>
      </c>
      <c r="P852" s="61" t="s">
        <v>131</v>
      </c>
      <c r="Q852" s="61" t="s">
        <v>96</v>
      </c>
      <c r="R852" s="61" t="s">
        <v>96</v>
      </c>
      <c r="S852" s="61" t="s">
        <v>131</v>
      </c>
      <c r="T852" s="61" t="s">
        <v>96</v>
      </c>
      <c r="U852" s="61" t="s">
        <v>96</v>
      </c>
      <c r="V852" s="61" t="s">
        <v>129</v>
      </c>
      <c r="W852" s="61" t="s">
        <v>1481</v>
      </c>
      <c r="X852" s="61" t="s">
        <v>1482</v>
      </c>
      <c r="Y852" s="61" t="s">
        <v>131</v>
      </c>
      <c r="Z852" s="61" t="s">
        <v>96</v>
      </c>
      <c r="AA852" s="61" t="s">
        <v>96</v>
      </c>
      <c r="AB852" s="61">
        <v>1</v>
      </c>
    </row>
    <row r="853" spans="1:29" s="1" customFormat="1" ht="33" customHeight="1" x14ac:dyDescent="0.3">
      <c r="A853" s="16">
        <v>26</v>
      </c>
      <c r="B853" s="23">
        <v>170</v>
      </c>
      <c r="C853" s="27" t="str">
        <f t="shared" si="22"/>
        <v>26.170</v>
      </c>
      <c r="D853" s="18"/>
      <c r="E853" s="64" t="str">
        <f>IF(ISBLANK(D853)=TRUE,"",VLOOKUP(D853,Krav!$C:$F,4,FALSE))</f>
        <v/>
      </c>
      <c r="F853" s="53" t="s">
        <v>225</v>
      </c>
      <c r="G853" s="53" t="s">
        <v>1476</v>
      </c>
      <c r="H853" s="25" t="s">
        <v>1504</v>
      </c>
      <c r="I853" s="65" t="s">
        <v>96</v>
      </c>
      <c r="J853" s="67" t="s">
        <v>222</v>
      </c>
      <c r="K853" s="123" t="s">
        <v>222</v>
      </c>
      <c r="L853" s="20" t="s">
        <v>3</v>
      </c>
      <c r="M853" s="61" t="s">
        <v>131</v>
      </c>
      <c r="N853" s="61" t="s">
        <v>96</v>
      </c>
      <c r="O853" s="61" t="s">
        <v>96</v>
      </c>
      <c r="P853" s="61" t="s">
        <v>131</v>
      </c>
      <c r="Q853" s="61" t="s">
        <v>96</v>
      </c>
      <c r="R853" s="61" t="s">
        <v>96</v>
      </c>
      <c r="S853" s="61" t="s">
        <v>131</v>
      </c>
      <c r="T853" s="61" t="s">
        <v>96</v>
      </c>
      <c r="U853" s="61" t="s">
        <v>96</v>
      </c>
      <c r="V853" s="61" t="s">
        <v>129</v>
      </c>
      <c r="W853" s="61" t="s">
        <v>1481</v>
      </c>
      <c r="X853" s="61" t="s">
        <v>1482</v>
      </c>
      <c r="Y853" s="61" t="s">
        <v>131</v>
      </c>
      <c r="Z853" s="61" t="s">
        <v>96</v>
      </c>
      <c r="AA853" s="61" t="s">
        <v>96</v>
      </c>
      <c r="AB853" s="61">
        <v>1</v>
      </c>
    </row>
    <row r="854" spans="1:29" s="1" customFormat="1" ht="33" customHeight="1" x14ac:dyDescent="0.3">
      <c r="A854" s="16">
        <v>26</v>
      </c>
      <c r="B854" s="23">
        <v>171</v>
      </c>
      <c r="C854" s="27" t="str">
        <f t="shared" si="22"/>
        <v>26.171</v>
      </c>
      <c r="D854" s="18"/>
      <c r="E854" s="64" t="str">
        <f>IF(ISBLANK(D854)=TRUE,"",VLOOKUP(D854,Krav!$C:$F,4,FALSE))</f>
        <v/>
      </c>
      <c r="F854" s="53" t="s">
        <v>225</v>
      </c>
      <c r="G854" s="53" t="s">
        <v>1477</v>
      </c>
      <c r="H854" s="25" t="s">
        <v>1505</v>
      </c>
      <c r="I854" s="65" t="s">
        <v>96</v>
      </c>
      <c r="J854" s="67" t="s">
        <v>222</v>
      </c>
      <c r="K854" s="123" t="s">
        <v>222</v>
      </c>
      <c r="L854" s="20" t="s">
        <v>3</v>
      </c>
      <c r="M854" s="61" t="s">
        <v>131</v>
      </c>
      <c r="N854" s="61" t="s">
        <v>96</v>
      </c>
      <c r="O854" s="61" t="s">
        <v>96</v>
      </c>
      <c r="P854" s="61" t="s">
        <v>131</v>
      </c>
      <c r="Q854" s="61" t="s">
        <v>96</v>
      </c>
      <c r="R854" s="61" t="s">
        <v>96</v>
      </c>
      <c r="S854" s="61" t="s">
        <v>131</v>
      </c>
      <c r="T854" s="61" t="s">
        <v>96</v>
      </c>
      <c r="U854" s="61" t="s">
        <v>96</v>
      </c>
      <c r="V854" s="61" t="s">
        <v>129</v>
      </c>
      <c r="W854" s="61" t="s">
        <v>1481</v>
      </c>
      <c r="X854" s="61" t="s">
        <v>1482</v>
      </c>
      <c r="Y854" s="61" t="s">
        <v>131</v>
      </c>
      <c r="Z854" s="61" t="s">
        <v>96</v>
      </c>
      <c r="AA854" s="61" t="s">
        <v>96</v>
      </c>
      <c r="AB854" s="61">
        <v>1</v>
      </c>
    </row>
    <row r="855" spans="1:29" s="1" customFormat="1" ht="33" customHeight="1" x14ac:dyDescent="0.3">
      <c r="A855" s="16">
        <v>26</v>
      </c>
      <c r="B855" s="23">
        <v>172</v>
      </c>
      <c r="C855" s="27" t="str">
        <f t="shared" si="22"/>
        <v>26.172</v>
      </c>
      <c r="D855" s="18"/>
      <c r="E855" s="64" t="str">
        <f>IF(ISBLANK(D855)=TRUE,"",VLOOKUP(D855,Krav!$C:$F,4,FALSE))</f>
        <v/>
      </c>
      <c r="F855" s="53" t="s">
        <v>225</v>
      </c>
      <c r="G855" s="53" t="s">
        <v>1478</v>
      </c>
      <c r="H855" s="25" t="s">
        <v>1505</v>
      </c>
      <c r="I855" s="65" t="s">
        <v>96</v>
      </c>
      <c r="J855" s="67" t="s">
        <v>222</v>
      </c>
      <c r="K855" s="123" t="s">
        <v>222</v>
      </c>
      <c r="L855" s="20" t="s">
        <v>3</v>
      </c>
      <c r="M855" s="61" t="s">
        <v>131</v>
      </c>
      <c r="N855" s="61" t="s">
        <v>96</v>
      </c>
      <c r="O855" s="61" t="s">
        <v>96</v>
      </c>
      <c r="P855" s="61" t="s">
        <v>131</v>
      </c>
      <c r="Q855" s="61" t="s">
        <v>96</v>
      </c>
      <c r="R855" s="61" t="s">
        <v>96</v>
      </c>
      <c r="S855" s="61" t="s">
        <v>131</v>
      </c>
      <c r="T855" s="61" t="s">
        <v>96</v>
      </c>
      <c r="U855" s="61" t="s">
        <v>96</v>
      </c>
      <c r="V855" s="61" t="s">
        <v>129</v>
      </c>
      <c r="W855" s="61" t="s">
        <v>1481</v>
      </c>
      <c r="X855" s="61" t="s">
        <v>1482</v>
      </c>
      <c r="Y855" s="61" t="s">
        <v>131</v>
      </c>
      <c r="Z855" s="61" t="s">
        <v>96</v>
      </c>
      <c r="AA855" s="61" t="s">
        <v>96</v>
      </c>
      <c r="AB855" s="61">
        <v>1</v>
      </c>
    </row>
    <row r="856" spans="1:29" s="1" customFormat="1" ht="33" customHeight="1" x14ac:dyDescent="0.3">
      <c r="A856" s="16">
        <v>26</v>
      </c>
      <c r="B856" s="23">
        <v>173</v>
      </c>
      <c r="C856" s="27" t="str">
        <f t="shared" si="22"/>
        <v>26.173</v>
      </c>
      <c r="D856" s="18"/>
      <c r="E856" s="64" t="str">
        <f>IF(ISBLANK(D856)=TRUE,"",VLOOKUP(D856,Krav!$C:$F,4,FALSE))</f>
        <v/>
      </c>
      <c r="F856" s="53" t="s">
        <v>418</v>
      </c>
      <c r="G856" s="53" t="s">
        <v>445</v>
      </c>
      <c r="H856" s="25" t="s">
        <v>1540</v>
      </c>
      <c r="I856" s="65" t="s">
        <v>129</v>
      </c>
      <c r="J856" s="96" t="s">
        <v>222</v>
      </c>
      <c r="K856" s="123" t="s">
        <v>222</v>
      </c>
      <c r="L856" s="20" t="s">
        <v>3</v>
      </c>
      <c r="M856" s="61" t="s">
        <v>131</v>
      </c>
      <c r="N856" s="61" t="s">
        <v>96</v>
      </c>
      <c r="O856" s="61" t="s">
        <v>96</v>
      </c>
      <c r="P856" s="61" t="s">
        <v>131</v>
      </c>
      <c r="Q856" s="61" t="s">
        <v>96</v>
      </c>
      <c r="R856" s="61" t="s">
        <v>96</v>
      </c>
      <c r="S856" s="61" t="s">
        <v>131</v>
      </c>
      <c r="T856" s="61" t="s">
        <v>96</v>
      </c>
      <c r="U856" s="61" t="s">
        <v>96</v>
      </c>
      <c r="V856" s="61" t="s">
        <v>129</v>
      </c>
      <c r="W856" s="61" t="s">
        <v>1481</v>
      </c>
      <c r="X856" s="61" t="s">
        <v>1482</v>
      </c>
      <c r="Y856" s="61" t="s">
        <v>131</v>
      </c>
      <c r="Z856" s="61" t="s">
        <v>96</v>
      </c>
      <c r="AA856" s="61" t="s">
        <v>96</v>
      </c>
      <c r="AB856" s="61">
        <v>1</v>
      </c>
    </row>
    <row r="857" spans="1:29" s="1" customFormat="1" ht="33" customHeight="1" x14ac:dyDescent="0.3">
      <c r="A857" s="16">
        <v>26</v>
      </c>
      <c r="B857" s="23">
        <v>174</v>
      </c>
      <c r="C857" s="27" t="str">
        <f t="shared" si="22"/>
        <v>26.174</v>
      </c>
      <c r="D857" s="18"/>
      <c r="E857" s="64" t="str">
        <f>IF(ISBLANK(D857)=TRUE,"",VLOOKUP(D857,Krav!$C:$F,4,FALSE))</f>
        <v/>
      </c>
      <c r="F857" s="53" t="s">
        <v>221</v>
      </c>
      <c r="G857" s="53" t="s">
        <v>1474</v>
      </c>
      <c r="H857" s="25" t="s">
        <v>1552</v>
      </c>
      <c r="I857" s="65" t="s">
        <v>1481</v>
      </c>
      <c r="J857" s="96" t="s">
        <v>222</v>
      </c>
      <c r="K857" s="329" t="s">
        <v>222</v>
      </c>
      <c r="L857" s="20" t="s">
        <v>3</v>
      </c>
      <c r="M857" s="61" t="s">
        <v>131</v>
      </c>
      <c r="N857" s="61" t="s">
        <v>96</v>
      </c>
      <c r="O857" s="61" t="s">
        <v>96</v>
      </c>
      <c r="P857" s="61" t="s">
        <v>131</v>
      </c>
      <c r="Q857" s="61" t="s">
        <v>96</v>
      </c>
      <c r="R857" s="61" t="s">
        <v>96</v>
      </c>
      <c r="S857" s="61" t="s">
        <v>131</v>
      </c>
      <c r="T857" s="61" t="s">
        <v>96</v>
      </c>
      <c r="U857" s="61" t="s">
        <v>96</v>
      </c>
      <c r="V857" s="61" t="s">
        <v>129</v>
      </c>
      <c r="W857" s="142" t="s">
        <v>1481</v>
      </c>
      <c r="X857" s="61"/>
      <c r="Y857" s="61" t="s">
        <v>131</v>
      </c>
      <c r="Z857" s="61" t="s">
        <v>96</v>
      </c>
      <c r="AA857" s="61" t="s">
        <v>96</v>
      </c>
      <c r="AB857" s="61">
        <v>1</v>
      </c>
    </row>
    <row r="858" spans="1:29" s="1" customFormat="1" ht="33" customHeight="1" x14ac:dyDescent="0.3">
      <c r="A858" s="16">
        <v>26</v>
      </c>
      <c r="B858" s="23">
        <v>175</v>
      </c>
      <c r="C858" s="27" t="str">
        <f t="shared" si="22"/>
        <v>26.175</v>
      </c>
      <c r="D858" s="18"/>
      <c r="E858" s="64" t="str">
        <f>IF(ISBLANK(D858)=TRUE,"",VLOOKUP(D858,Krav!$C:$F,4,FALSE))</f>
        <v/>
      </c>
      <c r="F858" s="53" t="s">
        <v>221</v>
      </c>
      <c r="G858" s="53" t="s">
        <v>1475</v>
      </c>
      <c r="H858" s="25" t="s">
        <v>2361</v>
      </c>
      <c r="I858" s="330" t="s">
        <v>96</v>
      </c>
      <c r="J858" s="96" t="s">
        <v>222</v>
      </c>
      <c r="K858" s="329" t="s">
        <v>222</v>
      </c>
      <c r="L858" s="20" t="s">
        <v>3</v>
      </c>
      <c r="M858" s="61" t="s">
        <v>131</v>
      </c>
      <c r="N858" s="61" t="s">
        <v>96</v>
      </c>
      <c r="O858" s="61" t="s">
        <v>96</v>
      </c>
      <c r="P858" s="61" t="s">
        <v>131</v>
      </c>
      <c r="Q858" s="61" t="s">
        <v>96</v>
      </c>
      <c r="R858" s="61" t="s">
        <v>96</v>
      </c>
      <c r="S858" s="61" t="s">
        <v>131</v>
      </c>
      <c r="T858" s="61" t="s">
        <v>96</v>
      </c>
      <c r="U858" s="61" t="s">
        <v>96</v>
      </c>
      <c r="V858" s="61" t="s">
        <v>129</v>
      </c>
      <c r="W858" s="142" t="s">
        <v>1481</v>
      </c>
      <c r="X858" s="61"/>
      <c r="Y858" s="61" t="s">
        <v>131</v>
      </c>
      <c r="Z858" s="61" t="s">
        <v>96</v>
      </c>
      <c r="AA858" s="61" t="s">
        <v>96</v>
      </c>
      <c r="AB858" s="61">
        <v>1</v>
      </c>
    </row>
    <row r="859" spans="1:29" s="1" customFormat="1" ht="33" customHeight="1" x14ac:dyDescent="0.3">
      <c r="A859" s="16">
        <v>26</v>
      </c>
      <c r="B859" s="23">
        <v>176</v>
      </c>
      <c r="C859" s="27" t="str">
        <f t="shared" si="22"/>
        <v>26.176</v>
      </c>
      <c r="D859" s="18"/>
      <c r="E859" s="64" t="str">
        <f>IF(ISBLANK(D859)=TRUE,"",VLOOKUP(D859,Krav!$C:$F,4,FALSE))</f>
        <v/>
      </c>
      <c r="F859" s="53" t="s">
        <v>225</v>
      </c>
      <c r="G859" s="53" t="s">
        <v>1474</v>
      </c>
      <c r="H859" s="25" t="s">
        <v>1553</v>
      </c>
      <c r="I859" s="65" t="s">
        <v>1481</v>
      </c>
      <c r="J859" s="96" t="s">
        <v>222</v>
      </c>
      <c r="K859" s="329" t="s">
        <v>222</v>
      </c>
      <c r="L859" s="20" t="s">
        <v>3</v>
      </c>
      <c r="M859" s="61" t="s">
        <v>131</v>
      </c>
      <c r="N859" s="61" t="s">
        <v>96</v>
      </c>
      <c r="O859" s="61" t="s">
        <v>96</v>
      </c>
      <c r="P859" s="61" t="s">
        <v>131</v>
      </c>
      <c r="Q859" s="61" t="s">
        <v>96</v>
      </c>
      <c r="R859" s="61" t="s">
        <v>96</v>
      </c>
      <c r="S859" s="61" t="s">
        <v>131</v>
      </c>
      <c r="T859" s="61" t="s">
        <v>96</v>
      </c>
      <c r="U859" s="61" t="s">
        <v>96</v>
      </c>
      <c r="V859" s="61" t="s">
        <v>129</v>
      </c>
      <c r="W859" s="142" t="s">
        <v>1481</v>
      </c>
      <c r="X859" s="61"/>
      <c r="Y859" s="61" t="s">
        <v>131</v>
      </c>
      <c r="Z859" s="61" t="s">
        <v>96</v>
      </c>
      <c r="AA859" s="61" t="s">
        <v>96</v>
      </c>
      <c r="AB859" s="61">
        <v>1</v>
      </c>
    </row>
    <row r="860" spans="1:29" s="1" customFormat="1" ht="33" customHeight="1" x14ac:dyDescent="0.3">
      <c r="A860" s="16">
        <v>26</v>
      </c>
      <c r="B860" s="23">
        <v>177</v>
      </c>
      <c r="C860" s="27" t="str">
        <f t="shared" si="22"/>
        <v>26.177</v>
      </c>
      <c r="D860" s="18"/>
      <c r="E860" s="64" t="str">
        <f>IF(ISBLANK(D860)=TRUE,"",VLOOKUP(D860,Krav!$C:$F,4,FALSE))</f>
        <v/>
      </c>
      <c r="F860" s="53" t="s">
        <v>225</v>
      </c>
      <c r="G860" s="53" t="s">
        <v>1475</v>
      </c>
      <c r="H860" s="25" t="s">
        <v>2362</v>
      </c>
      <c r="I860" s="330" t="s">
        <v>96</v>
      </c>
      <c r="J860" s="96" t="s">
        <v>222</v>
      </c>
      <c r="K860" s="329" t="s">
        <v>222</v>
      </c>
      <c r="L860" s="20" t="s">
        <v>3</v>
      </c>
      <c r="M860" s="61" t="s">
        <v>131</v>
      </c>
      <c r="N860" s="61" t="s">
        <v>96</v>
      </c>
      <c r="O860" s="61" t="s">
        <v>96</v>
      </c>
      <c r="P860" s="61" t="s">
        <v>131</v>
      </c>
      <c r="Q860" s="61" t="s">
        <v>96</v>
      </c>
      <c r="R860" s="61" t="s">
        <v>96</v>
      </c>
      <c r="S860" s="61" t="s">
        <v>131</v>
      </c>
      <c r="T860" s="61" t="s">
        <v>96</v>
      </c>
      <c r="U860" s="61" t="s">
        <v>96</v>
      </c>
      <c r="V860" s="61" t="s">
        <v>129</v>
      </c>
      <c r="W860" s="142" t="s">
        <v>1481</v>
      </c>
      <c r="X860" s="61"/>
      <c r="Y860" s="61" t="s">
        <v>131</v>
      </c>
      <c r="Z860" s="61" t="s">
        <v>96</v>
      </c>
      <c r="AA860" s="61" t="s">
        <v>96</v>
      </c>
      <c r="AB860" s="61">
        <v>1</v>
      </c>
    </row>
    <row r="861" spans="1:29" s="1" customFormat="1" ht="33" customHeight="1" x14ac:dyDescent="0.3">
      <c r="A861" s="16">
        <v>26</v>
      </c>
      <c r="B861" s="23">
        <v>178</v>
      </c>
      <c r="C861" s="27" t="str">
        <f t="shared" si="22"/>
        <v>26.178</v>
      </c>
      <c r="D861" s="18"/>
      <c r="E861" s="64" t="str">
        <f>IF(ISBLANK(D861)=TRUE,"",VLOOKUP(D861,Krav!$C:$F,4,FALSE))</f>
        <v/>
      </c>
      <c r="F861" s="53" t="s">
        <v>221</v>
      </c>
      <c r="G861" s="53" t="s">
        <v>1474</v>
      </c>
      <c r="H861" s="25" t="s">
        <v>1554</v>
      </c>
      <c r="I861" s="66" t="s">
        <v>96</v>
      </c>
      <c r="J861" s="96" t="s">
        <v>222</v>
      </c>
      <c r="K861" s="329" t="s">
        <v>222</v>
      </c>
      <c r="L861" s="20" t="s">
        <v>3</v>
      </c>
      <c r="M861" s="61" t="s">
        <v>131</v>
      </c>
      <c r="N861" s="61" t="s">
        <v>96</v>
      </c>
      <c r="O861" s="61" t="s">
        <v>96</v>
      </c>
      <c r="P861" s="61" t="s">
        <v>131</v>
      </c>
      <c r="Q861" s="61" t="s">
        <v>96</v>
      </c>
      <c r="R861" s="61" t="s">
        <v>96</v>
      </c>
      <c r="S861" s="61" t="s">
        <v>131</v>
      </c>
      <c r="T861" s="61" t="s">
        <v>96</v>
      </c>
      <c r="U861" s="61" t="s">
        <v>96</v>
      </c>
      <c r="V861" s="61" t="s">
        <v>129</v>
      </c>
      <c r="W861" s="142"/>
      <c r="X861" s="61" t="s">
        <v>1482</v>
      </c>
      <c r="Y861" s="61" t="s">
        <v>131</v>
      </c>
      <c r="Z861" s="61" t="s">
        <v>96</v>
      </c>
      <c r="AA861" s="61" t="s">
        <v>96</v>
      </c>
      <c r="AB861" s="61" t="s">
        <v>33</v>
      </c>
      <c r="AC861" s="1" t="s">
        <v>1509</v>
      </c>
    </row>
    <row r="862" spans="1:29" s="1" customFormat="1" ht="33" customHeight="1" x14ac:dyDescent="0.3">
      <c r="A862" s="16">
        <v>26</v>
      </c>
      <c r="B862" s="23">
        <v>179</v>
      </c>
      <c r="C862" s="27" t="str">
        <f t="shared" si="22"/>
        <v>26.179</v>
      </c>
      <c r="D862" s="18"/>
      <c r="E862" s="64" t="str">
        <f>IF(ISBLANK(D862)=TRUE,"",VLOOKUP(D862,Krav!$C:$F,4,FALSE))</f>
        <v/>
      </c>
      <c r="F862" s="53" t="s">
        <v>221</v>
      </c>
      <c r="G862" s="53" t="s">
        <v>1475</v>
      </c>
      <c r="H862" s="25" t="s">
        <v>1554</v>
      </c>
      <c r="I862" s="61" t="s">
        <v>1482</v>
      </c>
      <c r="J862" s="96" t="s">
        <v>222</v>
      </c>
      <c r="K862" s="329" t="s">
        <v>222</v>
      </c>
      <c r="L862" s="20" t="s">
        <v>3</v>
      </c>
      <c r="M862" s="61" t="s">
        <v>131</v>
      </c>
      <c r="N862" s="61" t="s">
        <v>96</v>
      </c>
      <c r="O862" s="61" t="s">
        <v>96</v>
      </c>
      <c r="P862" s="61" t="s">
        <v>131</v>
      </c>
      <c r="Q862" s="61" t="s">
        <v>96</v>
      </c>
      <c r="R862" s="61" t="s">
        <v>96</v>
      </c>
      <c r="S862" s="61" t="s">
        <v>131</v>
      </c>
      <c r="T862" s="61" t="s">
        <v>96</v>
      </c>
      <c r="U862" s="61" t="s">
        <v>96</v>
      </c>
      <c r="V862" s="61" t="s">
        <v>129</v>
      </c>
      <c r="W862" s="142"/>
      <c r="X862" s="61" t="s">
        <v>1482</v>
      </c>
      <c r="Y862" s="61" t="s">
        <v>131</v>
      </c>
      <c r="Z862" s="61" t="s">
        <v>96</v>
      </c>
      <c r="AA862" s="61" t="s">
        <v>96</v>
      </c>
      <c r="AB862" s="61" t="s">
        <v>33</v>
      </c>
      <c r="AC862" s="1" t="s">
        <v>1509</v>
      </c>
    </row>
    <row r="863" spans="1:29" s="1" customFormat="1" ht="33" customHeight="1" x14ac:dyDescent="0.3">
      <c r="A863" s="16">
        <v>26</v>
      </c>
      <c r="B863" s="23">
        <v>180</v>
      </c>
      <c r="C863" s="27" t="str">
        <f t="shared" si="22"/>
        <v>26.180</v>
      </c>
      <c r="D863" s="18"/>
      <c r="E863" s="64" t="str">
        <f>IF(ISBLANK(D863)=TRUE,"",VLOOKUP(D863,Krav!$C:$F,4,FALSE))</f>
        <v/>
      </c>
      <c r="F863" s="53" t="s">
        <v>225</v>
      </c>
      <c r="G863" s="53" t="s">
        <v>1474</v>
      </c>
      <c r="H863" s="25" t="s">
        <v>1555</v>
      </c>
      <c r="I863" s="66" t="s">
        <v>96</v>
      </c>
      <c r="J863" s="96" t="s">
        <v>222</v>
      </c>
      <c r="K863" s="329" t="s">
        <v>222</v>
      </c>
      <c r="L863" s="20" t="s">
        <v>3</v>
      </c>
      <c r="M863" s="61" t="s">
        <v>131</v>
      </c>
      <c r="N863" s="61" t="s">
        <v>96</v>
      </c>
      <c r="O863" s="61" t="s">
        <v>96</v>
      </c>
      <c r="P863" s="61" t="s">
        <v>131</v>
      </c>
      <c r="Q863" s="61" t="s">
        <v>96</v>
      </c>
      <c r="R863" s="61" t="s">
        <v>96</v>
      </c>
      <c r="S863" s="61" t="s">
        <v>131</v>
      </c>
      <c r="T863" s="61" t="s">
        <v>96</v>
      </c>
      <c r="U863" s="61" t="s">
        <v>96</v>
      </c>
      <c r="V863" s="61" t="s">
        <v>129</v>
      </c>
      <c r="W863" s="142"/>
      <c r="X863" s="61" t="s">
        <v>1482</v>
      </c>
      <c r="Y863" s="61" t="s">
        <v>131</v>
      </c>
      <c r="Z863" s="61" t="s">
        <v>96</v>
      </c>
      <c r="AA863" s="61" t="s">
        <v>96</v>
      </c>
      <c r="AB863" s="61" t="s">
        <v>33</v>
      </c>
      <c r="AC863" s="1" t="s">
        <v>1509</v>
      </c>
    </row>
    <row r="864" spans="1:29" s="1" customFormat="1" ht="33" customHeight="1" x14ac:dyDescent="0.3">
      <c r="A864" s="16">
        <v>26</v>
      </c>
      <c r="B864" s="23">
        <v>181</v>
      </c>
      <c r="C864" s="27" t="str">
        <f t="shared" si="22"/>
        <v>26.181</v>
      </c>
      <c r="D864" s="18"/>
      <c r="E864" s="64" t="str">
        <f>IF(ISBLANK(D864)=TRUE,"",VLOOKUP(D864,Krav!$C:$F,4,FALSE))</f>
        <v/>
      </c>
      <c r="F864" s="53" t="s">
        <v>225</v>
      </c>
      <c r="G864" s="53" t="s">
        <v>1475</v>
      </c>
      <c r="H864" s="25" t="s">
        <v>1555</v>
      </c>
      <c r="I864" s="61" t="s">
        <v>1482</v>
      </c>
      <c r="J864" s="96" t="s">
        <v>222</v>
      </c>
      <c r="K864" s="329" t="s">
        <v>222</v>
      </c>
      <c r="L864" s="20" t="s">
        <v>3</v>
      </c>
      <c r="M864" s="61" t="s">
        <v>131</v>
      </c>
      <c r="N864" s="61" t="s">
        <v>96</v>
      </c>
      <c r="O864" s="61" t="s">
        <v>96</v>
      </c>
      <c r="P864" s="61" t="s">
        <v>131</v>
      </c>
      <c r="Q864" s="61" t="s">
        <v>96</v>
      </c>
      <c r="R864" s="61" t="s">
        <v>96</v>
      </c>
      <c r="S864" s="61" t="s">
        <v>131</v>
      </c>
      <c r="T864" s="61" t="s">
        <v>96</v>
      </c>
      <c r="U864" s="61" t="s">
        <v>96</v>
      </c>
      <c r="V864" s="61" t="s">
        <v>129</v>
      </c>
      <c r="W864" s="142"/>
      <c r="X864" s="61" t="s">
        <v>1482</v>
      </c>
      <c r="Y864" s="61" t="s">
        <v>131</v>
      </c>
      <c r="Z864" s="61" t="s">
        <v>96</v>
      </c>
      <c r="AA864" s="61" t="s">
        <v>96</v>
      </c>
      <c r="AB864" s="61" t="s">
        <v>33</v>
      </c>
      <c r="AC864" s="1" t="s">
        <v>1509</v>
      </c>
    </row>
    <row r="865" spans="1:28" s="57" customFormat="1" ht="18.75" customHeight="1" x14ac:dyDescent="0.3">
      <c r="A865" s="16">
        <v>26</v>
      </c>
      <c r="B865" s="23">
        <v>182</v>
      </c>
      <c r="C865" s="27" t="str">
        <f t="shared" si="22"/>
        <v>26.182</v>
      </c>
      <c r="D865" s="18" t="s">
        <v>1512</v>
      </c>
      <c r="E865" s="64" t="str">
        <f>IF(ISBLANK(D865)=TRUE,"",VLOOKUP(D865,Krav!$C:$F,4,FALSE))</f>
        <v>4.a.2.1.2 - Når brugeren klikker på Videre skal denne ledes til spørgsmål 5</v>
      </c>
      <c r="F865" s="139" t="s">
        <v>143</v>
      </c>
      <c r="G865" s="139"/>
      <c r="H865" s="76" t="s">
        <v>1513</v>
      </c>
      <c r="I865" s="76" t="s">
        <v>146</v>
      </c>
      <c r="J865" s="67" t="s">
        <v>222</v>
      </c>
      <c r="K865" s="123" t="s">
        <v>222</v>
      </c>
      <c r="L865" s="4" t="s">
        <v>3</v>
      </c>
      <c r="M865" s="61" t="s">
        <v>131</v>
      </c>
      <c r="N865" s="61" t="s">
        <v>96</v>
      </c>
      <c r="O865" s="61" t="s">
        <v>96</v>
      </c>
      <c r="P865" s="61" t="s">
        <v>131</v>
      </c>
      <c r="Q865" s="61" t="s">
        <v>96</v>
      </c>
      <c r="R865" s="61" t="s">
        <v>96</v>
      </c>
      <c r="S865" s="61" t="s">
        <v>131</v>
      </c>
      <c r="T865" s="61" t="s">
        <v>96</v>
      </c>
      <c r="U865" s="61" t="s">
        <v>96</v>
      </c>
      <c r="V865" s="61" t="s">
        <v>129</v>
      </c>
      <c r="W865" s="142" t="s">
        <v>1481</v>
      </c>
      <c r="X865" s="61" t="s">
        <v>1482</v>
      </c>
      <c r="Y865" s="61" t="s">
        <v>131</v>
      </c>
      <c r="Z865" s="61" t="s">
        <v>96</v>
      </c>
      <c r="AA865" s="61" t="s">
        <v>96</v>
      </c>
      <c r="AB865" s="61">
        <v>1</v>
      </c>
    </row>
    <row r="866" spans="1:28" s="57" customFormat="1" ht="43.2" x14ac:dyDescent="0.3">
      <c r="A866" s="16">
        <v>26</v>
      </c>
      <c r="B866" s="23">
        <v>183</v>
      </c>
      <c r="C866" s="27" t="str">
        <f t="shared" si="22"/>
        <v>26.183</v>
      </c>
      <c r="D866" s="18"/>
      <c r="E866" s="64" t="str">
        <f>IF(ISBLANK(D866)=TRUE,"",VLOOKUP(D866,Krav!$C:$F,4,FALSE))</f>
        <v/>
      </c>
      <c r="F866" s="139" t="s">
        <v>174</v>
      </c>
      <c r="G866" s="139"/>
      <c r="H866" s="76" t="s">
        <v>1514</v>
      </c>
      <c r="I866" s="332" t="s">
        <v>1362</v>
      </c>
      <c r="J866" s="67" t="s">
        <v>222</v>
      </c>
      <c r="K866" s="123" t="s">
        <v>222</v>
      </c>
      <c r="L866" s="4" t="s">
        <v>4</v>
      </c>
      <c r="M866" s="61" t="s">
        <v>131</v>
      </c>
      <c r="N866" s="61" t="s">
        <v>96</v>
      </c>
      <c r="O866" s="61" t="s">
        <v>96</v>
      </c>
      <c r="P866" s="61" t="s">
        <v>131</v>
      </c>
      <c r="Q866" s="61" t="s">
        <v>96</v>
      </c>
      <c r="R866" s="61" t="s">
        <v>96</v>
      </c>
      <c r="S866" s="61" t="s">
        <v>131</v>
      </c>
      <c r="T866" s="61" t="s">
        <v>96</v>
      </c>
      <c r="U866" s="61" t="s">
        <v>96</v>
      </c>
      <c r="V866" s="61" t="s">
        <v>129</v>
      </c>
      <c r="W866" s="143" t="s">
        <v>118</v>
      </c>
      <c r="X866" s="142" t="s">
        <v>119</v>
      </c>
      <c r="Y866" s="61" t="s">
        <v>131</v>
      </c>
      <c r="Z866" s="61" t="s">
        <v>96</v>
      </c>
      <c r="AA866" s="61" t="s">
        <v>96</v>
      </c>
      <c r="AB866" s="61">
        <v>1</v>
      </c>
    </row>
    <row r="867" spans="1:28" s="57" customFormat="1" ht="43.2" x14ac:dyDescent="0.3">
      <c r="A867" s="16">
        <v>26</v>
      </c>
      <c r="B867" s="23">
        <v>184</v>
      </c>
      <c r="C867" s="27" t="str">
        <f t="shared" si="22"/>
        <v>26.184</v>
      </c>
      <c r="D867" s="18"/>
      <c r="E867" s="64" t="str">
        <f>IF(ISBLANK(D867)=TRUE,"",VLOOKUP(D867,Krav!$C:$F,4,FALSE))</f>
        <v/>
      </c>
      <c r="F867" s="139" t="s">
        <v>418</v>
      </c>
      <c r="G867" s="139" t="s">
        <v>419</v>
      </c>
      <c r="H867" s="76" t="s">
        <v>1515</v>
      </c>
      <c r="I867" s="76" t="s">
        <v>129</v>
      </c>
      <c r="J867" s="96" t="s">
        <v>222</v>
      </c>
      <c r="K867" s="123" t="s">
        <v>222</v>
      </c>
      <c r="L867" s="4" t="s">
        <v>4</v>
      </c>
      <c r="M867" s="61" t="s">
        <v>131</v>
      </c>
      <c r="N867" s="61" t="s">
        <v>96</v>
      </c>
      <c r="O867" s="61" t="s">
        <v>96</v>
      </c>
      <c r="P867" s="61" t="s">
        <v>131</v>
      </c>
      <c r="Q867" s="61" t="s">
        <v>96</v>
      </c>
      <c r="R867" s="61" t="s">
        <v>96</v>
      </c>
      <c r="S867" s="61" t="s">
        <v>131</v>
      </c>
      <c r="T867" s="61" t="s">
        <v>96</v>
      </c>
      <c r="U867" s="61" t="s">
        <v>96</v>
      </c>
      <c r="V867" s="61" t="s">
        <v>129</v>
      </c>
      <c r="W867" s="143" t="s">
        <v>118</v>
      </c>
      <c r="X867" s="142" t="s">
        <v>119</v>
      </c>
      <c r="Y867" s="61" t="s">
        <v>131</v>
      </c>
      <c r="Z867" s="61" t="s">
        <v>96</v>
      </c>
      <c r="AA867" s="61" t="s">
        <v>96</v>
      </c>
      <c r="AB867" s="61">
        <v>1</v>
      </c>
    </row>
    <row r="868" spans="1:28" s="57" customFormat="1" ht="43.2" x14ac:dyDescent="0.3">
      <c r="A868" s="16">
        <v>26</v>
      </c>
      <c r="B868" s="23">
        <v>185</v>
      </c>
      <c r="C868" s="27" t="str">
        <f t="shared" si="22"/>
        <v>26.185</v>
      </c>
      <c r="D868" s="18"/>
      <c r="E868" s="64" t="str">
        <f>IF(ISBLANK(D868)=TRUE,"",VLOOKUP(D868,Krav!$C:$F,4,FALSE))</f>
        <v/>
      </c>
      <c r="F868" s="139" t="s">
        <v>174</v>
      </c>
      <c r="G868" s="139"/>
      <c r="H868" s="76" t="s">
        <v>1516</v>
      </c>
      <c r="I868" s="76" t="s">
        <v>456</v>
      </c>
      <c r="J868" s="67" t="s">
        <v>222</v>
      </c>
      <c r="K868" s="123" t="s">
        <v>222</v>
      </c>
      <c r="L868" s="4" t="s">
        <v>4</v>
      </c>
      <c r="M868" s="61" t="s">
        <v>131</v>
      </c>
      <c r="N868" s="61" t="s">
        <v>96</v>
      </c>
      <c r="O868" s="61" t="s">
        <v>96</v>
      </c>
      <c r="P868" s="61" t="s">
        <v>131</v>
      </c>
      <c r="Q868" s="61" t="s">
        <v>96</v>
      </c>
      <c r="R868" s="61" t="s">
        <v>96</v>
      </c>
      <c r="S868" s="61" t="s">
        <v>131</v>
      </c>
      <c r="T868" s="61" t="s">
        <v>96</v>
      </c>
      <c r="U868" s="61" t="s">
        <v>96</v>
      </c>
      <c r="V868" s="61" t="s">
        <v>129</v>
      </c>
      <c r="W868" s="142" t="s">
        <v>119</v>
      </c>
      <c r="X868" s="143" t="s">
        <v>120</v>
      </c>
      <c r="Y868" s="61" t="s">
        <v>131</v>
      </c>
      <c r="Z868" s="61" t="s">
        <v>96</v>
      </c>
      <c r="AA868" s="61" t="s">
        <v>96</v>
      </c>
      <c r="AB868" s="61">
        <v>1</v>
      </c>
    </row>
    <row r="869" spans="1:28" s="57" customFormat="1" ht="43.2" x14ac:dyDescent="0.3">
      <c r="A869" s="16">
        <v>26</v>
      </c>
      <c r="B869" s="23">
        <v>186</v>
      </c>
      <c r="C869" s="27" t="str">
        <f t="shared" si="22"/>
        <v>26.186</v>
      </c>
      <c r="D869" s="18"/>
      <c r="E869" s="64" t="str">
        <f>IF(ISBLANK(D869)=TRUE,"",VLOOKUP(D869,Krav!$C:$F,4,FALSE))</f>
        <v/>
      </c>
      <c r="F869" s="139" t="s">
        <v>418</v>
      </c>
      <c r="G869" s="139" t="s">
        <v>419</v>
      </c>
      <c r="H869" s="76" t="s">
        <v>1517</v>
      </c>
      <c r="I869" s="76" t="s">
        <v>129</v>
      </c>
      <c r="J869" s="96" t="s">
        <v>222</v>
      </c>
      <c r="K869" s="123" t="s">
        <v>222</v>
      </c>
      <c r="L869" s="4" t="s">
        <v>4</v>
      </c>
      <c r="M869" s="61" t="s">
        <v>131</v>
      </c>
      <c r="N869" s="61" t="s">
        <v>96</v>
      </c>
      <c r="O869" s="61" t="s">
        <v>96</v>
      </c>
      <c r="P869" s="61" t="s">
        <v>131</v>
      </c>
      <c r="Q869" s="61" t="s">
        <v>96</v>
      </c>
      <c r="R869" s="61" t="s">
        <v>96</v>
      </c>
      <c r="S869" s="61" t="s">
        <v>131</v>
      </c>
      <c r="T869" s="61" t="s">
        <v>96</v>
      </c>
      <c r="U869" s="61" t="s">
        <v>96</v>
      </c>
      <c r="V869" s="61" t="s">
        <v>129</v>
      </c>
      <c r="W869" s="142" t="s">
        <v>119</v>
      </c>
      <c r="X869" s="143" t="s">
        <v>120</v>
      </c>
      <c r="Y869" s="61" t="s">
        <v>131</v>
      </c>
      <c r="Z869" s="61" t="s">
        <v>96</v>
      </c>
      <c r="AA869" s="61" t="s">
        <v>96</v>
      </c>
      <c r="AB869" s="61">
        <v>1</v>
      </c>
    </row>
    <row r="870" spans="1:28" s="57" customFormat="1" ht="43.2" x14ac:dyDescent="0.3">
      <c r="A870" s="16">
        <v>26</v>
      </c>
      <c r="B870" s="23">
        <v>187</v>
      </c>
      <c r="C870" s="27" t="str">
        <f t="shared" si="22"/>
        <v>26.187</v>
      </c>
      <c r="D870" s="18"/>
      <c r="E870" s="64" t="str">
        <f>IF(ISBLANK(D870)=TRUE,"",VLOOKUP(D870,Krav!$C:$F,4,FALSE))</f>
        <v/>
      </c>
      <c r="F870" s="139" t="s">
        <v>174</v>
      </c>
      <c r="G870" s="139"/>
      <c r="H870" s="76" t="s">
        <v>1518</v>
      </c>
      <c r="I870" s="76" t="s">
        <v>457</v>
      </c>
      <c r="J870" s="67" t="s">
        <v>222</v>
      </c>
      <c r="K870" s="123" t="s">
        <v>222</v>
      </c>
      <c r="L870" s="4" t="s">
        <v>4</v>
      </c>
      <c r="M870" s="61" t="s">
        <v>131</v>
      </c>
      <c r="N870" s="61" t="s">
        <v>96</v>
      </c>
      <c r="O870" s="61" t="s">
        <v>96</v>
      </c>
      <c r="P870" s="61" t="s">
        <v>131</v>
      </c>
      <c r="Q870" s="61" t="s">
        <v>96</v>
      </c>
      <c r="R870" s="61" t="s">
        <v>96</v>
      </c>
      <c r="S870" s="61" t="s">
        <v>131</v>
      </c>
      <c r="T870" s="61" t="s">
        <v>96</v>
      </c>
      <c r="U870" s="61" t="s">
        <v>96</v>
      </c>
      <c r="V870" s="61" t="s">
        <v>129</v>
      </c>
      <c r="W870" s="143" t="s">
        <v>121</v>
      </c>
      <c r="X870" s="142" t="s">
        <v>115</v>
      </c>
      <c r="Y870" s="61" t="s">
        <v>131</v>
      </c>
      <c r="Z870" s="61" t="s">
        <v>96</v>
      </c>
      <c r="AA870" s="61" t="s">
        <v>96</v>
      </c>
      <c r="AB870" s="61">
        <v>1</v>
      </c>
    </row>
    <row r="871" spans="1:28" s="57" customFormat="1" ht="43.2" x14ac:dyDescent="0.3">
      <c r="A871" s="16">
        <v>26</v>
      </c>
      <c r="B871" s="23">
        <v>188</v>
      </c>
      <c r="C871" s="27" t="str">
        <f t="shared" si="22"/>
        <v>26.188</v>
      </c>
      <c r="D871" s="18"/>
      <c r="E871" s="64" t="str">
        <f>IF(ISBLANK(D871)=TRUE,"",VLOOKUP(D871,Krav!$C:$F,4,FALSE))</f>
        <v/>
      </c>
      <c r="F871" s="139" t="s">
        <v>418</v>
      </c>
      <c r="G871" s="139" t="s">
        <v>419</v>
      </c>
      <c r="H871" s="76" t="s">
        <v>1519</v>
      </c>
      <c r="I871" s="76" t="s">
        <v>129</v>
      </c>
      <c r="J871" s="96" t="s">
        <v>222</v>
      </c>
      <c r="K871" s="123" t="s">
        <v>222</v>
      </c>
      <c r="L871" s="4" t="s">
        <v>4</v>
      </c>
      <c r="M871" s="61" t="s">
        <v>131</v>
      </c>
      <c r="N871" s="61" t="s">
        <v>96</v>
      </c>
      <c r="O871" s="61" t="s">
        <v>96</v>
      </c>
      <c r="P871" s="61" t="s">
        <v>131</v>
      </c>
      <c r="Q871" s="61" t="s">
        <v>96</v>
      </c>
      <c r="R871" s="61" t="s">
        <v>96</v>
      </c>
      <c r="S871" s="61" t="s">
        <v>131</v>
      </c>
      <c r="T871" s="61" t="s">
        <v>96</v>
      </c>
      <c r="U871" s="61" t="s">
        <v>96</v>
      </c>
      <c r="V871" s="61" t="s">
        <v>129</v>
      </c>
      <c r="W871" s="143" t="s">
        <v>121</v>
      </c>
      <c r="X871" s="142" t="s">
        <v>115</v>
      </c>
      <c r="Y871" s="61" t="s">
        <v>131</v>
      </c>
      <c r="Z871" s="61" t="s">
        <v>96</v>
      </c>
      <c r="AA871" s="61" t="s">
        <v>96</v>
      </c>
      <c r="AB871" s="61">
        <v>1</v>
      </c>
    </row>
    <row r="872" spans="1:28" s="57" customFormat="1" ht="43.2" x14ac:dyDescent="0.3">
      <c r="A872" s="16">
        <v>26</v>
      </c>
      <c r="B872" s="23">
        <v>189</v>
      </c>
      <c r="C872" s="27" t="str">
        <f t="shared" si="22"/>
        <v>26.189</v>
      </c>
      <c r="D872" s="18"/>
      <c r="E872" s="64" t="str">
        <f>IF(ISBLANK(D872)=TRUE,"",VLOOKUP(D872,Krav!$C:$F,4,FALSE))</f>
        <v/>
      </c>
      <c r="F872" s="139" t="s">
        <v>174</v>
      </c>
      <c r="G872" s="139"/>
      <c r="H872" s="76" t="s">
        <v>1520</v>
      </c>
      <c r="I872" s="76" t="s">
        <v>457</v>
      </c>
      <c r="J872" s="67" t="s">
        <v>222</v>
      </c>
      <c r="K872" s="123" t="s">
        <v>222</v>
      </c>
      <c r="L872" s="4" t="s">
        <v>4</v>
      </c>
      <c r="M872" s="61" t="s">
        <v>131</v>
      </c>
      <c r="N872" s="61" t="s">
        <v>96</v>
      </c>
      <c r="O872" s="61" t="s">
        <v>96</v>
      </c>
      <c r="P872" s="61" t="s">
        <v>131</v>
      </c>
      <c r="Q872" s="61" t="s">
        <v>96</v>
      </c>
      <c r="R872" s="61" t="s">
        <v>96</v>
      </c>
      <c r="S872" s="61" t="s">
        <v>131</v>
      </c>
      <c r="T872" s="61" t="s">
        <v>96</v>
      </c>
      <c r="U872" s="61" t="s">
        <v>96</v>
      </c>
      <c r="V872" s="61" t="s">
        <v>129</v>
      </c>
      <c r="W872" s="142" t="s">
        <v>113</v>
      </c>
      <c r="X872" s="143" t="s">
        <v>122</v>
      </c>
      <c r="Y872" s="61" t="s">
        <v>131</v>
      </c>
      <c r="Z872" s="61" t="s">
        <v>96</v>
      </c>
      <c r="AA872" s="61" t="s">
        <v>96</v>
      </c>
      <c r="AB872" s="61">
        <v>1</v>
      </c>
    </row>
    <row r="873" spans="1:28" s="57" customFormat="1" ht="43.2" x14ac:dyDescent="0.3">
      <c r="A873" s="16">
        <v>26</v>
      </c>
      <c r="B873" s="23">
        <v>190</v>
      </c>
      <c r="C873" s="27" t="str">
        <f t="shared" si="22"/>
        <v>26.190</v>
      </c>
      <c r="D873" s="18"/>
      <c r="E873" s="64" t="str">
        <f>IF(ISBLANK(D873)=TRUE,"",VLOOKUP(D873,Krav!$C:$F,4,FALSE))</f>
        <v/>
      </c>
      <c r="F873" s="139" t="s">
        <v>418</v>
      </c>
      <c r="G873" s="139" t="s">
        <v>419</v>
      </c>
      <c r="H873" s="76" t="s">
        <v>1521</v>
      </c>
      <c r="I873" s="76" t="s">
        <v>129</v>
      </c>
      <c r="J873" s="96" t="s">
        <v>222</v>
      </c>
      <c r="K873" s="123" t="s">
        <v>222</v>
      </c>
      <c r="L873" s="4" t="s">
        <v>4</v>
      </c>
      <c r="M873" s="61" t="s">
        <v>131</v>
      </c>
      <c r="N873" s="61" t="s">
        <v>96</v>
      </c>
      <c r="O873" s="61" t="s">
        <v>96</v>
      </c>
      <c r="P873" s="61" t="s">
        <v>131</v>
      </c>
      <c r="Q873" s="61" t="s">
        <v>96</v>
      </c>
      <c r="R873" s="61" t="s">
        <v>96</v>
      </c>
      <c r="S873" s="61" t="s">
        <v>131</v>
      </c>
      <c r="T873" s="61" t="s">
        <v>96</v>
      </c>
      <c r="U873" s="61" t="s">
        <v>96</v>
      </c>
      <c r="V873" s="61" t="s">
        <v>129</v>
      </c>
      <c r="W873" s="142" t="s">
        <v>113</v>
      </c>
      <c r="X873" s="143" t="s">
        <v>122</v>
      </c>
      <c r="Y873" s="61" t="s">
        <v>131</v>
      </c>
      <c r="Z873" s="61" t="s">
        <v>96</v>
      </c>
      <c r="AA873" s="61" t="s">
        <v>96</v>
      </c>
      <c r="AB873" s="61">
        <v>1</v>
      </c>
    </row>
    <row r="874" spans="1:28" s="57" customFormat="1" ht="43.2" x14ac:dyDescent="0.3">
      <c r="A874" s="16">
        <v>26</v>
      </c>
      <c r="B874" s="23">
        <v>191</v>
      </c>
      <c r="C874" s="27" t="str">
        <f t="shared" si="22"/>
        <v>26.191</v>
      </c>
      <c r="D874" s="18"/>
      <c r="E874" s="64" t="str">
        <f>IF(ISBLANK(D874)=TRUE,"",VLOOKUP(D874,Krav!$C:$F,4,FALSE))</f>
        <v/>
      </c>
      <c r="F874" s="139" t="s">
        <v>174</v>
      </c>
      <c r="G874" s="139"/>
      <c r="H874" s="76" t="s">
        <v>1522</v>
      </c>
      <c r="I874" s="76" t="s">
        <v>1363</v>
      </c>
      <c r="J874" s="67" t="s">
        <v>222</v>
      </c>
      <c r="K874" s="123" t="s">
        <v>222</v>
      </c>
      <c r="L874" s="4" t="s">
        <v>4</v>
      </c>
      <c r="M874" s="61" t="s">
        <v>131</v>
      </c>
      <c r="N874" s="61" t="s">
        <v>96</v>
      </c>
      <c r="O874" s="61" t="s">
        <v>96</v>
      </c>
      <c r="P874" s="61" t="s">
        <v>131</v>
      </c>
      <c r="Q874" s="61" t="s">
        <v>96</v>
      </c>
      <c r="R874" s="61" t="s">
        <v>96</v>
      </c>
      <c r="S874" s="61" t="s">
        <v>131</v>
      </c>
      <c r="T874" s="61" t="s">
        <v>96</v>
      </c>
      <c r="U874" s="61" t="s">
        <v>96</v>
      </c>
      <c r="V874" s="61" t="s">
        <v>129</v>
      </c>
      <c r="W874" s="143" t="s">
        <v>123</v>
      </c>
      <c r="X874" s="142" t="s">
        <v>119</v>
      </c>
      <c r="Y874" s="61" t="s">
        <v>131</v>
      </c>
      <c r="Z874" s="61" t="s">
        <v>96</v>
      </c>
      <c r="AA874" s="61" t="s">
        <v>96</v>
      </c>
      <c r="AB874" s="61">
        <v>1</v>
      </c>
    </row>
    <row r="875" spans="1:28" s="57" customFormat="1" ht="43.2" x14ac:dyDescent="0.3">
      <c r="A875" s="16">
        <v>26</v>
      </c>
      <c r="B875" s="23">
        <v>192</v>
      </c>
      <c r="C875" s="27" t="str">
        <f t="shared" si="22"/>
        <v>26.192</v>
      </c>
      <c r="D875" s="18"/>
      <c r="E875" s="64" t="str">
        <f>IF(ISBLANK(D875)=TRUE,"",VLOOKUP(D875,Krav!$C:$F,4,FALSE))</f>
        <v/>
      </c>
      <c r="F875" s="139" t="s">
        <v>418</v>
      </c>
      <c r="G875" s="139" t="s">
        <v>419</v>
      </c>
      <c r="H875" s="76" t="s">
        <v>1523</v>
      </c>
      <c r="I875" s="76" t="s">
        <v>129</v>
      </c>
      <c r="J875" s="96" t="s">
        <v>222</v>
      </c>
      <c r="K875" s="123" t="s">
        <v>222</v>
      </c>
      <c r="L875" s="4" t="s">
        <v>4</v>
      </c>
      <c r="M875" s="61" t="s">
        <v>131</v>
      </c>
      <c r="N875" s="61" t="s">
        <v>96</v>
      </c>
      <c r="O875" s="61" t="s">
        <v>96</v>
      </c>
      <c r="P875" s="61" t="s">
        <v>131</v>
      </c>
      <c r="Q875" s="61" t="s">
        <v>96</v>
      </c>
      <c r="R875" s="61" t="s">
        <v>96</v>
      </c>
      <c r="S875" s="61" t="s">
        <v>131</v>
      </c>
      <c r="T875" s="61" t="s">
        <v>96</v>
      </c>
      <c r="U875" s="61" t="s">
        <v>96</v>
      </c>
      <c r="V875" s="61" t="s">
        <v>129</v>
      </c>
      <c r="W875" s="143" t="s">
        <v>123</v>
      </c>
      <c r="X875" s="142" t="s">
        <v>119</v>
      </c>
      <c r="Y875" s="61" t="s">
        <v>131</v>
      </c>
      <c r="Z875" s="61" t="s">
        <v>96</v>
      </c>
      <c r="AA875" s="61" t="s">
        <v>96</v>
      </c>
      <c r="AB875" s="61">
        <v>1</v>
      </c>
    </row>
    <row r="876" spans="1:28" s="57" customFormat="1" ht="43.2" x14ac:dyDescent="0.3">
      <c r="A876" s="16">
        <v>26</v>
      </c>
      <c r="B876" s="23">
        <v>193</v>
      </c>
      <c r="C876" s="27" t="str">
        <f t="shared" si="22"/>
        <v>26.193</v>
      </c>
      <c r="D876" s="18"/>
      <c r="E876" s="64" t="str">
        <f>IF(ISBLANK(D876)=TRUE,"",VLOOKUP(D876,Krav!$C:$F,4,FALSE))</f>
        <v/>
      </c>
      <c r="F876" s="139" t="s">
        <v>174</v>
      </c>
      <c r="G876" s="139"/>
      <c r="H876" s="76" t="s">
        <v>1524</v>
      </c>
      <c r="I876" s="76" t="s">
        <v>1363</v>
      </c>
      <c r="J876" s="67" t="s">
        <v>222</v>
      </c>
      <c r="K876" s="123" t="s">
        <v>222</v>
      </c>
      <c r="L876" s="4" t="s">
        <v>4</v>
      </c>
      <c r="M876" s="61" t="s">
        <v>131</v>
      </c>
      <c r="N876" s="61" t="s">
        <v>96</v>
      </c>
      <c r="O876" s="61" t="s">
        <v>96</v>
      </c>
      <c r="P876" s="61" t="s">
        <v>131</v>
      </c>
      <c r="Q876" s="61" t="s">
        <v>96</v>
      </c>
      <c r="R876" s="61" t="s">
        <v>96</v>
      </c>
      <c r="S876" s="61" t="s">
        <v>131</v>
      </c>
      <c r="T876" s="61" t="s">
        <v>96</v>
      </c>
      <c r="U876" s="61" t="s">
        <v>96</v>
      </c>
      <c r="V876" s="61" t="s">
        <v>129</v>
      </c>
      <c r="W876" s="142" t="s">
        <v>119</v>
      </c>
      <c r="X876" s="143" t="s">
        <v>124</v>
      </c>
      <c r="Y876" s="61" t="s">
        <v>131</v>
      </c>
      <c r="Z876" s="61" t="s">
        <v>96</v>
      </c>
      <c r="AA876" s="61" t="s">
        <v>96</v>
      </c>
      <c r="AB876" s="61">
        <v>1</v>
      </c>
    </row>
    <row r="877" spans="1:28" s="57" customFormat="1" ht="43.2" x14ac:dyDescent="0.3">
      <c r="A877" s="16">
        <v>26</v>
      </c>
      <c r="B877" s="23">
        <v>194</v>
      </c>
      <c r="C877" s="27" t="str">
        <f t="shared" si="22"/>
        <v>26.194</v>
      </c>
      <c r="D877" s="18"/>
      <c r="E877" s="64" t="str">
        <f>IF(ISBLANK(D877)=TRUE,"",VLOOKUP(D877,Krav!$C:$F,4,FALSE))</f>
        <v/>
      </c>
      <c r="F877" s="139" t="s">
        <v>418</v>
      </c>
      <c r="G877" s="139" t="s">
        <v>419</v>
      </c>
      <c r="H877" s="76" t="s">
        <v>1525</v>
      </c>
      <c r="I877" s="76" t="s">
        <v>129</v>
      </c>
      <c r="J877" s="96" t="s">
        <v>222</v>
      </c>
      <c r="K877" s="123" t="s">
        <v>222</v>
      </c>
      <c r="L877" s="4" t="s">
        <v>4</v>
      </c>
      <c r="M877" s="61" t="s">
        <v>131</v>
      </c>
      <c r="N877" s="61" t="s">
        <v>96</v>
      </c>
      <c r="O877" s="61" t="s">
        <v>96</v>
      </c>
      <c r="P877" s="61" t="s">
        <v>131</v>
      </c>
      <c r="Q877" s="61" t="s">
        <v>96</v>
      </c>
      <c r="R877" s="61" t="s">
        <v>96</v>
      </c>
      <c r="S877" s="61" t="s">
        <v>131</v>
      </c>
      <c r="T877" s="61" t="s">
        <v>96</v>
      </c>
      <c r="U877" s="61" t="s">
        <v>96</v>
      </c>
      <c r="V877" s="61" t="s">
        <v>129</v>
      </c>
      <c r="W877" s="142" t="s">
        <v>119</v>
      </c>
      <c r="X877" s="143" t="s">
        <v>124</v>
      </c>
      <c r="Y877" s="61" t="s">
        <v>131</v>
      </c>
      <c r="Z877" s="61" t="s">
        <v>96</v>
      </c>
      <c r="AA877" s="61" t="s">
        <v>96</v>
      </c>
      <c r="AB877" s="61">
        <v>1</v>
      </c>
    </row>
    <row r="878" spans="1:28" s="57" customFormat="1" ht="43.2" x14ac:dyDescent="0.3">
      <c r="A878" s="16">
        <v>26</v>
      </c>
      <c r="B878" s="23">
        <v>195</v>
      </c>
      <c r="C878" s="27" t="str">
        <f t="shared" ref="C878:C941" si="23">IF(B878&lt;10,_xlfn.CONCAT(A878,".0",B878),_xlfn.CONCAT(A878,".",B878))</f>
        <v>26.195</v>
      </c>
      <c r="D878" s="18"/>
      <c r="E878" s="64" t="str">
        <f>IF(ISBLANK(D878)=TRUE,"",VLOOKUP(D878,Krav!$C:$F,4,FALSE))</f>
        <v/>
      </c>
      <c r="F878" s="139" t="s">
        <v>174</v>
      </c>
      <c r="G878" s="139"/>
      <c r="H878" s="76" t="s">
        <v>1526</v>
      </c>
      <c r="I878" s="67" t="s">
        <v>1527</v>
      </c>
      <c r="J878" s="67" t="s">
        <v>222</v>
      </c>
      <c r="K878" s="123" t="s">
        <v>222</v>
      </c>
      <c r="L878" s="4" t="s">
        <v>4</v>
      </c>
      <c r="M878" s="61" t="s">
        <v>131</v>
      </c>
      <c r="N878" s="61" t="s">
        <v>96</v>
      </c>
      <c r="O878" s="61" t="s">
        <v>96</v>
      </c>
      <c r="P878" s="61" t="s">
        <v>131</v>
      </c>
      <c r="Q878" s="61" t="s">
        <v>96</v>
      </c>
      <c r="R878" s="61" t="s">
        <v>96</v>
      </c>
      <c r="S878" s="61" t="s">
        <v>131</v>
      </c>
      <c r="T878" s="61" t="s">
        <v>96</v>
      </c>
      <c r="U878" s="61" t="s">
        <v>96</v>
      </c>
      <c r="V878" s="61" t="s">
        <v>129</v>
      </c>
      <c r="W878" s="142" t="s">
        <v>119</v>
      </c>
      <c r="X878" s="143" t="s">
        <v>181</v>
      </c>
      <c r="Y878" s="61" t="s">
        <v>131</v>
      </c>
      <c r="Z878" s="61" t="s">
        <v>96</v>
      </c>
      <c r="AA878" s="61" t="s">
        <v>96</v>
      </c>
      <c r="AB878" s="61">
        <v>1</v>
      </c>
    </row>
    <row r="879" spans="1:28" s="57" customFormat="1" ht="43.2" x14ac:dyDescent="0.3">
      <c r="A879" s="16">
        <v>26</v>
      </c>
      <c r="B879" s="23">
        <v>196</v>
      </c>
      <c r="C879" s="27" t="str">
        <f t="shared" si="23"/>
        <v>26.196</v>
      </c>
      <c r="D879" s="18"/>
      <c r="E879" s="64" t="str">
        <f>IF(ISBLANK(D879)=TRUE,"",VLOOKUP(D879,Krav!$C:$F,4,FALSE))</f>
        <v/>
      </c>
      <c r="F879" s="139" t="s">
        <v>418</v>
      </c>
      <c r="G879" s="139" t="s">
        <v>419</v>
      </c>
      <c r="H879" s="76" t="s">
        <v>1528</v>
      </c>
      <c r="I879" s="76" t="s">
        <v>129</v>
      </c>
      <c r="J879" s="96" t="s">
        <v>222</v>
      </c>
      <c r="K879" s="123" t="s">
        <v>222</v>
      </c>
      <c r="L879" s="4" t="s">
        <v>4</v>
      </c>
      <c r="M879" s="61" t="s">
        <v>131</v>
      </c>
      <c r="N879" s="61" t="s">
        <v>96</v>
      </c>
      <c r="O879" s="61" t="s">
        <v>96</v>
      </c>
      <c r="P879" s="61" t="s">
        <v>131</v>
      </c>
      <c r="Q879" s="61" t="s">
        <v>96</v>
      </c>
      <c r="R879" s="61" t="s">
        <v>96</v>
      </c>
      <c r="S879" s="61" t="s">
        <v>131</v>
      </c>
      <c r="T879" s="61" t="s">
        <v>96</v>
      </c>
      <c r="U879" s="61" t="s">
        <v>96</v>
      </c>
      <c r="V879" s="61" t="s">
        <v>129</v>
      </c>
      <c r="W879" s="142" t="s">
        <v>119</v>
      </c>
      <c r="X879" s="143" t="s">
        <v>181</v>
      </c>
      <c r="Y879" s="61" t="s">
        <v>131</v>
      </c>
      <c r="Z879" s="61" t="s">
        <v>96</v>
      </c>
      <c r="AA879" s="61" t="s">
        <v>96</v>
      </c>
      <c r="AB879" s="61">
        <v>1</v>
      </c>
    </row>
    <row r="880" spans="1:28" s="1" customFormat="1" ht="33" customHeight="1" x14ac:dyDescent="0.3">
      <c r="A880" s="16">
        <v>26</v>
      </c>
      <c r="B880" s="23">
        <v>197</v>
      </c>
      <c r="C880" s="27" t="str">
        <f t="shared" si="23"/>
        <v>26.197</v>
      </c>
      <c r="D880" s="18" t="s">
        <v>1479</v>
      </c>
      <c r="E880" s="64" t="str">
        <f>IF(ISBLANK(D880)=TRUE,"",VLOOKUP(D880,Krav!$C:$F,4,FALSE))</f>
        <v>4.a.2.1.6 - Den indtastede "fra" periode for forfaldsdato skal gemmes i populationsarket</v>
      </c>
      <c r="F880" s="53" t="s">
        <v>221</v>
      </c>
      <c r="G880" s="53" t="s">
        <v>1467</v>
      </c>
      <c r="H880" s="25" t="s">
        <v>1529</v>
      </c>
      <c r="I880" s="65" t="s">
        <v>96</v>
      </c>
      <c r="J880" s="67" t="s">
        <v>222</v>
      </c>
      <c r="K880" s="123" t="s">
        <v>222</v>
      </c>
      <c r="L880" s="20" t="s">
        <v>3</v>
      </c>
      <c r="M880" s="61" t="s">
        <v>131</v>
      </c>
      <c r="N880" s="61" t="s">
        <v>96</v>
      </c>
      <c r="O880" s="61" t="s">
        <v>96</v>
      </c>
      <c r="P880" s="61" t="s">
        <v>131</v>
      </c>
      <c r="Q880" s="61" t="s">
        <v>96</v>
      </c>
      <c r="R880" s="61" t="s">
        <v>96</v>
      </c>
      <c r="S880" s="61" t="s">
        <v>131</v>
      </c>
      <c r="T880" s="61" t="s">
        <v>96</v>
      </c>
      <c r="U880" s="61" t="s">
        <v>96</v>
      </c>
      <c r="V880" s="61" t="s">
        <v>131</v>
      </c>
      <c r="W880" s="61" t="s">
        <v>96</v>
      </c>
      <c r="X880" s="61" t="s">
        <v>96</v>
      </c>
      <c r="Y880" s="61" t="s">
        <v>129</v>
      </c>
      <c r="Z880" s="61" t="s">
        <v>1481</v>
      </c>
      <c r="AA880" s="61" t="s">
        <v>1482</v>
      </c>
      <c r="AB880" s="61">
        <v>1</v>
      </c>
    </row>
    <row r="881" spans="1:28" s="1" customFormat="1" ht="33" customHeight="1" x14ac:dyDescent="0.3">
      <c r="A881" s="16">
        <v>26</v>
      </c>
      <c r="B881" s="23">
        <v>198</v>
      </c>
      <c r="C881" s="27" t="str">
        <f t="shared" si="23"/>
        <v>26.198</v>
      </c>
      <c r="D881" s="18" t="s">
        <v>1483</v>
      </c>
      <c r="E881" s="64" t="str">
        <f>IF(ISBLANK(D881)=TRUE,"",VLOOKUP(D881,Krav!$C:$F,4,FALSE))</f>
        <v>4.a.2.1.7 - Den indtastede "til" periode for forfaldsdato skal gemmes i populationsarket</v>
      </c>
      <c r="F881" s="53" t="s">
        <v>221</v>
      </c>
      <c r="G881" s="53" t="s">
        <v>1468</v>
      </c>
      <c r="H881" s="25" t="s">
        <v>1529</v>
      </c>
      <c r="I881" s="65" t="s">
        <v>96</v>
      </c>
      <c r="J881" s="67" t="s">
        <v>222</v>
      </c>
      <c r="K881" s="123" t="s">
        <v>222</v>
      </c>
      <c r="L881" s="20" t="s">
        <v>3</v>
      </c>
      <c r="M881" s="61" t="s">
        <v>131</v>
      </c>
      <c r="N881" s="61" t="s">
        <v>96</v>
      </c>
      <c r="O881" s="61" t="s">
        <v>96</v>
      </c>
      <c r="P881" s="61" t="s">
        <v>131</v>
      </c>
      <c r="Q881" s="61" t="s">
        <v>96</v>
      </c>
      <c r="R881" s="61" t="s">
        <v>96</v>
      </c>
      <c r="S881" s="61" t="s">
        <v>131</v>
      </c>
      <c r="T881" s="61" t="s">
        <v>96</v>
      </c>
      <c r="U881" s="61" t="s">
        <v>96</v>
      </c>
      <c r="V881" s="61" t="s">
        <v>131</v>
      </c>
      <c r="W881" s="61" t="s">
        <v>96</v>
      </c>
      <c r="X881" s="61" t="s">
        <v>96</v>
      </c>
      <c r="Y881" s="61" t="s">
        <v>129</v>
      </c>
      <c r="Z881" s="61" t="s">
        <v>1481</v>
      </c>
      <c r="AA881" s="61" t="s">
        <v>1482</v>
      </c>
      <c r="AB881" s="61">
        <v>1</v>
      </c>
    </row>
    <row r="882" spans="1:28" s="1" customFormat="1" ht="33" customHeight="1" x14ac:dyDescent="0.3">
      <c r="A882" s="16">
        <v>26</v>
      </c>
      <c r="B882" s="23">
        <v>199</v>
      </c>
      <c r="C882" s="27" t="str">
        <f t="shared" si="23"/>
        <v>26.199</v>
      </c>
      <c r="D882" s="18" t="s">
        <v>1484</v>
      </c>
      <c r="E882" s="64" t="str">
        <f>IF(ISBLANK(D882)=TRUE,"",VLOOKUP(D882,Krav!$C:$F,4,FALSE))</f>
        <v>4.a.2.1.8 - Den indtastede "fra" periode for sidste rettidige betalingsdato skal gemmes i populationsarket</v>
      </c>
      <c r="F882" s="53" t="s">
        <v>221</v>
      </c>
      <c r="G882" s="53" t="s">
        <v>1469</v>
      </c>
      <c r="H882" s="25" t="s">
        <v>1485</v>
      </c>
      <c r="I882" s="65" t="s">
        <v>96</v>
      </c>
      <c r="J882" s="67" t="s">
        <v>222</v>
      </c>
      <c r="K882" s="123" t="s">
        <v>222</v>
      </c>
      <c r="L882" s="20" t="s">
        <v>3</v>
      </c>
      <c r="M882" s="61" t="s">
        <v>131</v>
      </c>
      <c r="N882" s="61" t="s">
        <v>96</v>
      </c>
      <c r="O882" s="61" t="s">
        <v>96</v>
      </c>
      <c r="P882" s="61" t="s">
        <v>131</v>
      </c>
      <c r="Q882" s="61" t="s">
        <v>96</v>
      </c>
      <c r="R882" s="61" t="s">
        <v>96</v>
      </c>
      <c r="S882" s="61" t="s">
        <v>131</v>
      </c>
      <c r="T882" s="61" t="s">
        <v>96</v>
      </c>
      <c r="U882" s="61" t="s">
        <v>96</v>
      </c>
      <c r="V882" s="61" t="s">
        <v>131</v>
      </c>
      <c r="W882" s="61" t="s">
        <v>96</v>
      </c>
      <c r="X882" s="61" t="s">
        <v>96</v>
      </c>
      <c r="Y882" s="61" t="s">
        <v>129</v>
      </c>
      <c r="Z882" s="61" t="s">
        <v>1481</v>
      </c>
      <c r="AA882" s="61" t="s">
        <v>1482</v>
      </c>
      <c r="AB882" s="61">
        <v>1</v>
      </c>
    </row>
    <row r="883" spans="1:28" s="1" customFormat="1" ht="33" customHeight="1" x14ac:dyDescent="0.3">
      <c r="A883" s="16">
        <v>26</v>
      </c>
      <c r="B883" s="23">
        <v>200</v>
      </c>
      <c r="C883" s="27" t="str">
        <f t="shared" si="23"/>
        <v>26.200</v>
      </c>
      <c r="D883" s="18" t="s">
        <v>1486</v>
      </c>
      <c r="E883" s="64" t="str">
        <f>IF(ISBLANK(D883)=TRUE,"",VLOOKUP(D883,Krav!$C:$F,4,FALSE))</f>
        <v>4.a.2.1.9 - Den indtastede "til" periode for sidste rettidige betalingsdato skal gemmes i populationsarket</v>
      </c>
      <c r="F883" s="53" t="s">
        <v>221</v>
      </c>
      <c r="G883" s="53" t="s">
        <v>1470</v>
      </c>
      <c r="H883" s="25" t="s">
        <v>1485</v>
      </c>
      <c r="I883" s="65" t="s">
        <v>96</v>
      </c>
      <c r="J883" s="67" t="s">
        <v>222</v>
      </c>
      <c r="K883" s="123" t="s">
        <v>222</v>
      </c>
      <c r="L883" s="20" t="s">
        <v>3</v>
      </c>
      <c r="M883" s="61" t="s">
        <v>131</v>
      </c>
      <c r="N883" s="61" t="s">
        <v>96</v>
      </c>
      <c r="O883" s="61" t="s">
        <v>96</v>
      </c>
      <c r="P883" s="61" t="s">
        <v>131</v>
      </c>
      <c r="Q883" s="61" t="s">
        <v>96</v>
      </c>
      <c r="R883" s="61" t="s">
        <v>96</v>
      </c>
      <c r="S883" s="61" t="s">
        <v>131</v>
      </c>
      <c r="T883" s="61" t="s">
        <v>96</v>
      </c>
      <c r="U883" s="61" t="s">
        <v>96</v>
      </c>
      <c r="V883" s="61" t="s">
        <v>131</v>
      </c>
      <c r="W883" s="61" t="s">
        <v>96</v>
      </c>
      <c r="X883" s="61" t="s">
        <v>96</v>
      </c>
      <c r="Y883" s="61" t="s">
        <v>129</v>
      </c>
      <c r="Z883" s="61" t="s">
        <v>1481</v>
      </c>
      <c r="AA883" s="61" t="s">
        <v>1482</v>
      </c>
      <c r="AB883" s="61">
        <v>1</v>
      </c>
    </row>
    <row r="884" spans="1:28" s="1" customFormat="1" ht="33" customHeight="1" x14ac:dyDescent="0.3">
      <c r="A884" s="16">
        <v>26</v>
      </c>
      <c r="B884" s="23">
        <v>201</v>
      </c>
      <c r="C884" s="27" t="str">
        <f t="shared" si="23"/>
        <v>26.201</v>
      </c>
      <c r="D884" s="18" t="s">
        <v>1487</v>
      </c>
      <c r="E884" s="64" t="str">
        <f>IF(ISBLANK(D884)=TRUE,"",VLOOKUP(D884,Krav!$C:$F,4,FALSE))</f>
        <v>4.a.2.1.3 - Den indtastede "fra" periode for stiftelsesdato skal gemmes i populationsarket</v>
      </c>
      <c r="F884" s="53" t="s">
        <v>221</v>
      </c>
      <c r="G884" s="53" t="s">
        <v>1471</v>
      </c>
      <c r="H884" s="25" t="s">
        <v>1488</v>
      </c>
      <c r="I884" s="65" t="s">
        <v>96</v>
      </c>
      <c r="J884" s="67" t="s">
        <v>222</v>
      </c>
      <c r="K884" s="123" t="s">
        <v>222</v>
      </c>
      <c r="L884" s="20" t="s">
        <v>3</v>
      </c>
      <c r="M884" s="61" t="s">
        <v>131</v>
      </c>
      <c r="N884" s="61" t="s">
        <v>96</v>
      </c>
      <c r="O884" s="61" t="s">
        <v>96</v>
      </c>
      <c r="P884" s="61" t="s">
        <v>131</v>
      </c>
      <c r="Q884" s="61" t="s">
        <v>96</v>
      </c>
      <c r="R884" s="61" t="s">
        <v>96</v>
      </c>
      <c r="S884" s="61" t="s">
        <v>131</v>
      </c>
      <c r="T884" s="61" t="s">
        <v>96</v>
      </c>
      <c r="U884" s="61" t="s">
        <v>96</v>
      </c>
      <c r="V884" s="61" t="s">
        <v>131</v>
      </c>
      <c r="W884" s="61" t="s">
        <v>96</v>
      </c>
      <c r="X884" s="61" t="s">
        <v>96</v>
      </c>
      <c r="Y884" s="61" t="s">
        <v>129</v>
      </c>
      <c r="Z884" s="61" t="s">
        <v>1481</v>
      </c>
      <c r="AA884" s="61" t="s">
        <v>1482</v>
      </c>
      <c r="AB884" s="61">
        <v>1</v>
      </c>
    </row>
    <row r="885" spans="1:28" s="1" customFormat="1" ht="33" customHeight="1" x14ac:dyDescent="0.3">
      <c r="A885" s="16">
        <v>26</v>
      </c>
      <c r="B885" s="23">
        <v>202</v>
      </c>
      <c r="C885" s="27" t="str">
        <f t="shared" si="23"/>
        <v>26.202</v>
      </c>
      <c r="D885" s="18" t="s">
        <v>1489</v>
      </c>
      <c r="E885" s="64" t="str">
        <f>IF(ISBLANK(D885)=TRUE,"",VLOOKUP(D885,Krav!$C:$F,4,FALSE))</f>
        <v>4.a.2.1.5 - Den indtastede "til" periode for stiftelsesdato skal gemmes i populationsarket</v>
      </c>
      <c r="F885" s="53" t="s">
        <v>221</v>
      </c>
      <c r="G885" s="53" t="s">
        <v>1472</v>
      </c>
      <c r="H885" s="25" t="s">
        <v>1488</v>
      </c>
      <c r="I885" s="65" t="s">
        <v>96</v>
      </c>
      <c r="J885" s="67" t="s">
        <v>222</v>
      </c>
      <c r="K885" s="123" t="s">
        <v>222</v>
      </c>
      <c r="L885" s="20" t="s">
        <v>3</v>
      </c>
      <c r="M885" s="61" t="s">
        <v>131</v>
      </c>
      <c r="N885" s="61" t="s">
        <v>96</v>
      </c>
      <c r="O885" s="61" t="s">
        <v>96</v>
      </c>
      <c r="P885" s="61" t="s">
        <v>131</v>
      </c>
      <c r="Q885" s="61" t="s">
        <v>96</v>
      </c>
      <c r="R885" s="61" t="s">
        <v>96</v>
      </c>
      <c r="S885" s="61" t="s">
        <v>131</v>
      </c>
      <c r="T885" s="61" t="s">
        <v>96</v>
      </c>
      <c r="U885" s="61" t="s">
        <v>96</v>
      </c>
      <c r="V885" s="61" t="s">
        <v>131</v>
      </c>
      <c r="W885" s="61" t="s">
        <v>96</v>
      </c>
      <c r="X885" s="61" t="s">
        <v>96</v>
      </c>
      <c r="Y885" s="61" t="s">
        <v>129</v>
      </c>
      <c r="Z885" s="61" t="s">
        <v>1481</v>
      </c>
      <c r="AA885" s="61" t="s">
        <v>1482</v>
      </c>
      <c r="AB885" s="61">
        <v>1</v>
      </c>
    </row>
    <row r="886" spans="1:28" s="1" customFormat="1" ht="33" customHeight="1" x14ac:dyDescent="0.3">
      <c r="A886" s="16">
        <v>26</v>
      </c>
      <c r="B886" s="23">
        <v>203</v>
      </c>
      <c r="C886" s="27" t="str">
        <f t="shared" si="23"/>
        <v>26.203</v>
      </c>
      <c r="D886" s="18" t="s">
        <v>1490</v>
      </c>
      <c r="E886" s="64" t="str">
        <f>IF(ISBLANK(D886)=TRUE,"",VLOOKUP(D886,Krav!$C:$F,4,FALSE))</f>
        <v>4.a.2.1.10 - Den indtastede "fra" periode for periode start skal gemmes i populationsarket</v>
      </c>
      <c r="F886" s="53" t="s">
        <v>221</v>
      </c>
      <c r="G886" s="53" t="s">
        <v>1474</v>
      </c>
      <c r="H886" s="25" t="s">
        <v>1491</v>
      </c>
      <c r="I886" s="65" t="s">
        <v>96</v>
      </c>
      <c r="J886" s="67" t="s">
        <v>222</v>
      </c>
      <c r="K886" s="123" t="s">
        <v>222</v>
      </c>
      <c r="L886" s="20" t="s">
        <v>3</v>
      </c>
      <c r="M886" s="61" t="s">
        <v>131</v>
      </c>
      <c r="N886" s="61" t="s">
        <v>96</v>
      </c>
      <c r="O886" s="61" t="s">
        <v>96</v>
      </c>
      <c r="P886" s="61" t="s">
        <v>131</v>
      </c>
      <c r="Q886" s="61" t="s">
        <v>96</v>
      </c>
      <c r="R886" s="61" t="s">
        <v>96</v>
      </c>
      <c r="S886" s="61" t="s">
        <v>131</v>
      </c>
      <c r="T886" s="61" t="s">
        <v>96</v>
      </c>
      <c r="U886" s="61" t="s">
        <v>96</v>
      </c>
      <c r="V886" s="61" t="s">
        <v>131</v>
      </c>
      <c r="W886" s="61" t="s">
        <v>96</v>
      </c>
      <c r="X886" s="61" t="s">
        <v>96</v>
      </c>
      <c r="Y886" s="61" t="s">
        <v>129</v>
      </c>
      <c r="Z886" s="61" t="s">
        <v>1481</v>
      </c>
      <c r="AA886" s="61" t="s">
        <v>1482</v>
      </c>
      <c r="AB886" s="61">
        <v>1</v>
      </c>
    </row>
    <row r="887" spans="1:28" s="1" customFormat="1" ht="33" customHeight="1" x14ac:dyDescent="0.3">
      <c r="A887" s="16">
        <v>26</v>
      </c>
      <c r="B887" s="23">
        <v>204</v>
      </c>
      <c r="C887" s="27" t="str">
        <f t="shared" si="23"/>
        <v>26.204</v>
      </c>
      <c r="D887" s="18" t="s">
        <v>1492</v>
      </c>
      <c r="E887" s="64" t="str">
        <f>IF(ISBLANK(D887)=TRUE,"",VLOOKUP(D887,Krav!$C:$F,4,FALSE))</f>
        <v>4.a.2.1.11 - Den indtastede "til" periode for periode start skal gemmes i populationsarket</v>
      </c>
      <c r="F887" s="53" t="s">
        <v>221</v>
      </c>
      <c r="G887" s="53" t="s">
        <v>1475</v>
      </c>
      <c r="H887" s="25" t="s">
        <v>1491</v>
      </c>
      <c r="I887" s="65" t="s">
        <v>96</v>
      </c>
      <c r="J887" s="67" t="s">
        <v>222</v>
      </c>
      <c r="K887" s="123" t="s">
        <v>222</v>
      </c>
      <c r="L887" s="20" t="s">
        <v>3</v>
      </c>
      <c r="M887" s="61" t="s">
        <v>131</v>
      </c>
      <c r="N887" s="61" t="s">
        <v>96</v>
      </c>
      <c r="O887" s="61" t="s">
        <v>96</v>
      </c>
      <c r="P887" s="61" t="s">
        <v>131</v>
      </c>
      <c r="Q887" s="61" t="s">
        <v>96</v>
      </c>
      <c r="R887" s="61" t="s">
        <v>96</v>
      </c>
      <c r="S887" s="61" t="s">
        <v>131</v>
      </c>
      <c r="T887" s="61" t="s">
        <v>96</v>
      </c>
      <c r="U887" s="61" t="s">
        <v>96</v>
      </c>
      <c r="V887" s="61" t="s">
        <v>131</v>
      </c>
      <c r="W887" s="61" t="s">
        <v>96</v>
      </c>
      <c r="X887" s="61" t="s">
        <v>96</v>
      </c>
      <c r="Y887" s="61" t="s">
        <v>129</v>
      </c>
      <c r="Z887" s="61" t="s">
        <v>1481</v>
      </c>
      <c r="AA887" s="61" t="s">
        <v>1482</v>
      </c>
      <c r="AB887" s="61">
        <v>1</v>
      </c>
    </row>
    <row r="888" spans="1:28" s="1" customFormat="1" ht="33" customHeight="1" x14ac:dyDescent="0.3">
      <c r="A888" s="16">
        <v>26</v>
      </c>
      <c r="B888" s="23">
        <v>205</v>
      </c>
      <c r="C888" s="27" t="str">
        <f t="shared" si="23"/>
        <v>26.205</v>
      </c>
      <c r="D888" s="18" t="s">
        <v>1493</v>
      </c>
      <c r="E888" s="64" t="str">
        <f>IF(ISBLANK(D888)=TRUE,"",VLOOKUP(D888,Krav!$C:$F,4,FALSE))</f>
        <v>4.a.2.1.12 - Den indtastede "fra" periode for periode slut skal gemmes i populationsarket</v>
      </c>
      <c r="F888" s="53" t="s">
        <v>221</v>
      </c>
      <c r="G888" s="53" t="s">
        <v>1477</v>
      </c>
      <c r="H888" s="25" t="s">
        <v>1556</v>
      </c>
      <c r="I888" s="65" t="s">
        <v>1481</v>
      </c>
      <c r="J888" s="67" t="s">
        <v>222</v>
      </c>
      <c r="K888" s="123" t="s">
        <v>222</v>
      </c>
      <c r="L888" s="20" t="s">
        <v>3</v>
      </c>
      <c r="M888" s="61" t="s">
        <v>131</v>
      </c>
      <c r="N888" s="61" t="s">
        <v>96</v>
      </c>
      <c r="O888" s="61" t="s">
        <v>96</v>
      </c>
      <c r="P888" s="61" t="s">
        <v>131</v>
      </c>
      <c r="Q888" s="61" t="s">
        <v>96</v>
      </c>
      <c r="R888" s="61" t="s">
        <v>96</v>
      </c>
      <c r="S888" s="61" t="s">
        <v>131</v>
      </c>
      <c r="T888" s="61" t="s">
        <v>96</v>
      </c>
      <c r="U888" s="61" t="s">
        <v>96</v>
      </c>
      <c r="V888" s="61" t="s">
        <v>131</v>
      </c>
      <c r="W888" s="61" t="s">
        <v>96</v>
      </c>
      <c r="X888" s="61" t="s">
        <v>96</v>
      </c>
      <c r="Y888" s="61" t="s">
        <v>129</v>
      </c>
      <c r="Z888" s="61" t="s">
        <v>1481</v>
      </c>
      <c r="AA888" s="61" t="s">
        <v>1482</v>
      </c>
      <c r="AB888" s="61">
        <v>1</v>
      </c>
    </row>
    <row r="889" spans="1:28" s="1" customFormat="1" ht="33" customHeight="1" x14ac:dyDescent="0.3">
      <c r="A889" s="16">
        <v>26</v>
      </c>
      <c r="B889" s="23">
        <v>206</v>
      </c>
      <c r="C889" s="27" t="str">
        <f t="shared" si="23"/>
        <v>26.206</v>
      </c>
      <c r="D889" s="18" t="s">
        <v>1495</v>
      </c>
      <c r="E889" s="64" t="str">
        <f>IF(ISBLANK(D889)=TRUE,"",VLOOKUP(D889,Krav!$C:$F,4,FALSE))</f>
        <v>4.a.2.1.13 - Den indtastede "til" periode for periode slut skal gemmes i populationsarket</v>
      </c>
      <c r="F889" s="53" t="s">
        <v>221</v>
      </c>
      <c r="G889" s="53" t="s">
        <v>1478</v>
      </c>
      <c r="H889" s="25" t="s">
        <v>1556</v>
      </c>
      <c r="I889" s="65" t="s">
        <v>1482</v>
      </c>
      <c r="J889" s="67" t="s">
        <v>222</v>
      </c>
      <c r="K889" s="123" t="s">
        <v>222</v>
      </c>
      <c r="L889" s="20" t="s">
        <v>3</v>
      </c>
      <c r="M889" s="61" t="s">
        <v>131</v>
      </c>
      <c r="N889" s="61" t="s">
        <v>96</v>
      </c>
      <c r="O889" s="61" t="s">
        <v>96</v>
      </c>
      <c r="P889" s="61" t="s">
        <v>131</v>
      </c>
      <c r="Q889" s="61" t="s">
        <v>96</v>
      </c>
      <c r="R889" s="61" t="s">
        <v>96</v>
      </c>
      <c r="S889" s="61" t="s">
        <v>131</v>
      </c>
      <c r="T889" s="61" t="s">
        <v>96</v>
      </c>
      <c r="U889" s="61" t="s">
        <v>96</v>
      </c>
      <c r="V889" s="61" t="s">
        <v>131</v>
      </c>
      <c r="W889" s="61" t="s">
        <v>96</v>
      </c>
      <c r="X889" s="61" t="s">
        <v>96</v>
      </c>
      <c r="Y889" s="61" t="s">
        <v>129</v>
      </c>
      <c r="Z889" s="61" t="s">
        <v>1481</v>
      </c>
      <c r="AA889" s="61" t="s">
        <v>1482</v>
      </c>
      <c r="AB889" s="61">
        <v>1</v>
      </c>
    </row>
    <row r="890" spans="1:28" s="1" customFormat="1" ht="33" customHeight="1" x14ac:dyDescent="0.3">
      <c r="A890" s="16">
        <v>26</v>
      </c>
      <c r="B890" s="23">
        <v>207</v>
      </c>
      <c r="C890" s="27" t="str">
        <f t="shared" si="23"/>
        <v>26.207</v>
      </c>
      <c r="D890" s="18"/>
      <c r="E890" s="64" t="str">
        <f>IF(ISBLANK(D890)=TRUE,"",VLOOKUP(D890,Krav!$C:$F,4,FALSE))</f>
        <v/>
      </c>
      <c r="F890" s="53" t="s">
        <v>225</v>
      </c>
      <c r="G890" s="53" t="s">
        <v>521</v>
      </c>
      <c r="H890" s="25" t="s">
        <v>1531</v>
      </c>
      <c r="I890" s="65" t="s">
        <v>96</v>
      </c>
      <c r="J890" s="67" t="s">
        <v>222</v>
      </c>
      <c r="K890" s="123" t="s">
        <v>222</v>
      </c>
      <c r="L890" s="20" t="s">
        <v>3</v>
      </c>
      <c r="M890" s="61" t="s">
        <v>131</v>
      </c>
      <c r="N890" s="61" t="s">
        <v>96</v>
      </c>
      <c r="O890" s="61" t="s">
        <v>96</v>
      </c>
      <c r="P890" s="61" t="s">
        <v>131</v>
      </c>
      <c r="Q890" s="61" t="s">
        <v>96</v>
      </c>
      <c r="R890" s="61" t="s">
        <v>96</v>
      </c>
      <c r="S890" s="61" t="s">
        <v>131</v>
      </c>
      <c r="T890" s="61" t="s">
        <v>96</v>
      </c>
      <c r="U890" s="61" t="s">
        <v>96</v>
      </c>
      <c r="V890" s="61" t="s">
        <v>131</v>
      </c>
      <c r="W890" s="61" t="s">
        <v>96</v>
      </c>
      <c r="X890" s="61" t="s">
        <v>96</v>
      </c>
      <c r="Y890" s="61" t="s">
        <v>129</v>
      </c>
      <c r="Z890" s="61" t="s">
        <v>1481</v>
      </c>
      <c r="AA890" s="61" t="s">
        <v>1482</v>
      </c>
      <c r="AB890" s="61">
        <v>1</v>
      </c>
    </row>
    <row r="891" spans="1:28" s="1" customFormat="1" ht="33" customHeight="1" x14ac:dyDescent="0.3">
      <c r="A891" s="16">
        <v>26</v>
      </c>
      <c r="B891" s="23">
        <v>208</v>
      </c>
      <c r="C891" s="27" t="str">
        <f t="shared" si="23"/>
        <v>26.208</v>
      </c>
      <c r="D891" s="18"/>
      <c r="E891" s="64" t="str">
        <f>IF(ISBLANK(D891)=TRUE,"",VLOOKUP(D891,Krav!$C:$F,4,FALSE))</f>
        <v/>
      </c>
      <c r="F891" s="53" t="s">
        <v>225</v>
      </c>
      <c r="G891" s="53" t="s">
        <v>1467</v>
      </c>
      <c r="H891" s="25" t="s">
        <v>1532</v>
      </c>
      <c r="I891" s="65" t="s">
        <v>96</v>
      </c>
      <c r="J891" s="67" t="s">
        <v>222</v>
      </c>
      <c r="K891" s="123" t="s">
        <v>222</v>
      </c>
      <c r="L891" s="20" t="s">
        <v>3</v>
      </c>
      <c r="M891" s="61" t="s">
        <v>131</v>
      </c>
      <c r="N891" s="61" t="s">
        <v>96</v>
      </c>
      <c r="O891" s="61" t="s">
        <v>96</v>
      </c>
      <c r="P891" s="61" t="s">
        <v>131</v>
      </c>
      <c r="Q891" s="61" t="s">
        <v>96</v>
      </c>
      <c r="R891" s="61" t="s">
        <v>96</v>
      </c>
      <c r="S891" s="61" t="s">
        <v>131</v>
      </c>
      <c r="T891" s="61" t="s">
        <v>96</v>
      </c>
      <c r="U891" s="61" t="s">
        <v>96</v>
      </c>
      <c r="V891" s="61" t="s">
        <v>131</v>
      </c>
      <c r="W891" s="61" t="s">
        <v>96</v>
      </c>
      <c r="X891" s="61" t="s">
        <v>96</v>
      </c>
      <c r="Y891" s="61" t="s">
        <v>129</v>
      </c>
      <c r="Z891" s="61" t="s">
        <v>1481</v>
      </c>
      <c r="AA891" s="61" t="s">
        <v>1482</v>
      </c>
      <c r="AB891" s="61">
        <v>1</v>
      </c>
    </row>
    <row r="892" spans="1:28" s="1" customFormat="1" ht="33" customHeight="1" x14ac:dyDescent="0.3">
      <c r="A892" s="16">
        <v>26</v>
      </c>
      <c r="B892" s="23">
        <v>209</v>
      </c>
      <c r="C892" s="27" t="str">
        <f t="shared" si="23"/>
        <v>26.209</v>
      </c>
      <c r="D892" s="18"/>
      <c r="E892" s="64" t="str">
        <f>IF(ISBLANK(D892)=TRUE,"",VLOOKUP(D892,Krav!$C:$F,4,FALSE))</f>
        <v/>
      </c>
      <c r="F892" s="53" t="s">
        <v>225</v>
      </c>
      <c r="G892" s="53" t="s">
        <v>1468</v>
      </c>
      <c r="H892" s="25" t="s">
        <v>1532</v>
      </c>
      <c r="I892" s="65" t="s">
        <v>96</v>
      </c>
      <c r="J892" s="67" t="s">
        <v>222</v>
      </c>
      <c r="K892" s="123" t="s">
        <v>222</v>
      </c>
      <c r="L892" s="20" t="s">
        <v>3</v>
      </c>
      <c r="M892" s="61" t="s">
        <v>131</v>
      </c>
      <c r="N892" s="61" t="s">
        <v>96</v>
      </c>
      <c r="O892" s="61" t="s">
        <v>96</v>
      </c>
      <c r="P892" s="61" t="s">
        <v>131</v>
      </c>
      <c r="Q892" s="61" t="s">
        <v>96</v>
      </c>
      <c r="R892" s="61" t="s">
        <v>96</v>
      </c>
      <c r="S892" s="61" t="s">
        <v>131</v>
      </c>
      <c r="T892" s="61" t="s">
        <v>96</v>
      </c>
      <c r="U892" s="61" t="s">
        <v>96</v>
      </c>
      <c r="V892" s="61" t="s">
        <v>131</v>
      </c>
      <c r="W892" s="61" t="s">
        <v>96</v>
      </c>
      <c r="X892" s="61" t="s">
        <v>96</v>
      </c>
      <c r="Y892" s="61" t="s">
        <v>129</v>
      </c>
      <c r="Z892" s="61" t="s">
        <v>1481</v>
      </c>
      <c r="AA892" s="61" t="s">
        <v>1482</v>
      </c>
      <c r="AB892" s="61">
        <v>1</v>
      </c>
    </row>
    <row r="893" spans="1:28" s="1" customFormat="1" ht="33" customHeight="1" x14ac:dyDescent="0.3">
      <c r="A893" s="16">
        <v>26</v>
      </c>
      <c r="B893" s="23">
        <v>210</v>
      </c>
      <c r="C893" s="27" t="str">
        <f t="shared" si="23"/>
        <v>26.210</v>
      </c>
      <c r="D893" s="18"/>
      <c r="E893" s="64" t="str">
        <f>IF(ISBLANK(D893)=TRUE,"",VLOOKUP(D893,Krav!$C:$F,4,FALSE))</f>
        <v/>
      </c>
      <c r="F893" s="53" t="s">
        <v>225</v>
      </c>
      <c r="G893" s="53" t="s">
        <v>522</v>
      </c>
      <c r="H893" s="25" t="s">
        <v>1498</v>
      </c>
      <c r="I893" s="65" t="s">
        <v>96</v>
      </c>
      <c r="J893" s="67" t="s">
        <v>222</v>
      </c>
      <c r="K893" s="123" t="s">
        <v>222</v>
      </c>
      <c r="L893" s="20" t="s">
        <v>3</v>
      </c>
      <c r="M893" s="61" t="s">
        <v>131</v>
      </c>
      <c r="N893" s="61" t="s">
        <v>96</v>
      </c>
      <c r="O893" s="61" t="s">
        <v>96</v>
      </c>
      <c r="P893" s="61" t="s">
        <v>131</v>
      </c>
      <c r="Q893" s="61" t="s">
        <v>96</v>
      </c>
      <c r="R893" s="61" t="s">
        <v>96</v>
      </c>
      <c r="S893" s="61" t="s">
        <v>131</v>
      </c>
      <c r="T893" s="61" t="s">
        <v>96</v>
      </c>
      <c r="U893" s="61" t="s">
        <v>96</v>
      </c>
      <c r="V893" s="61" t="s">
        <v>131</v>
      </c>
      <c r="W893" s="61" t="s">
        <v>96</v>
      </c>
      <c r="X893" s="61" t="s">
        <v>96</v>
      </c>
      <c r="Y893" s="61" t="s">
        <v>129</v>
      </c>
      <c r="Z893" s="61" t="s">
        <v>1481</v>
      </c>
      <c r="AA893" s="61" t="s">
        <v>1482</v>
      </c>
      <c r="AB893" s="61">
        <v>1</v>
      </c>
    </row>
    <row r="894" spans="1:28" s="1" customFormat="1" ht="33" customHeight="1" x14ac:dyDescent="0.3">
      <c r="A894" s="16">
        <v>26</v>
      </c>
      <c r="B894" s="23">
        <v>211</v>
      </c>
      <c r="C894" s="27" t="str">
        <f t="shared" si="23"/>
        <v>26.211</v>
      </c>
      <c r="D894" s="18"/>
      <c r="E894" s="64" t="str">
        <f>IF(ISBLANK(D894)=TRUE,"",VLOOKUP(D894,Krav!$C:$F,4,FALSE))</f>
        <v/>
      </c>
      <c r="F894" s="53" t="s">
        <v>225</v>
      </c>
      <c r="G894" s="53" t="s">
        <v>1469</v>
      </c>
      <c r="H894" s="25" t="s">
        <v>1499</v>
      </c>
      <c r="I894" s="65" t="s">
        <v>96</v>
      </c>
      <c r="J894" s="67" t="s">
        <v>222</v>
      </c>
      <c r="K894" s="123" t="s">
        <v>222</v>
      </c>
      <c r="L894" s="20" t="s">
        <v>3</v>
      </c>
      <c r="M894" s="61" t="s">
        <v>131</v>
      </c>
      <c r="N894" s="61" t="s">
        <v>96</v>
      </c>
      <c r="O894" s="61" t="s">
        <v>96</v>
      </c>
      <c r="P894" s="61" t="s">
        <v>131</v>
      </c>
      <c r="Q894" s="61" t="s">
        <v>96</v>
      </c>
      <c r="R894" s="61" t="s">
        <v>96</v>
      </c>
      <c r="S894" s="61" t="s">
        <v>131</v>
      </c>
      <c r="T894" s="61" t="s">
        <v>96</v>
      </c>
      <c r="U894" s="61" t="s">
        <v>96</v>
      </c>
      <c r="V894" s="61" t="s">
        <v>131</v>
      </c>
      <c r="W894" s="61" t="s">
        <v>96</v>
      </c>
      <c r="X894" s="61" t="s">
        <v>96</v>
      </c>
      <c r="Y894" s="61" t="s">
        <v>129</v>
      </c>
      <c r="Z894" s="61" t="s">
        <v>1481</v>
      </c>
      <c r="AA894" s="61" t="s">
        <v>1482</v>
      </c>
      <c r="AB894" s="61">
        <v>1</v>
      </c>
    </row>
    <row r="895" spans="1:28" s="1" customFormat="1" ht="33" customHeight="1" x14ac:dyDescent="0.3">
      <c r="A895" s="16">
        <v>26</v>
      </c>
      <c r="B895" s="23">
        <v>212</v>
      </c>
      <c r="C895" s="27" t="str">
        <f t="shared" si="23"/>
        <v>26.212</v>
      </c>
      <c r="D895" s="18"/>
      <c r="E895" s="64" t="str">
        <f>IF(ISBLANK(D895)=TRUE,"",VLOOKUP(D895,Krav!$C:$F,4,FALSE))</f>
        <v/>
      </c>
      <c r="F895" s="53" t="s">
        <v>225</v>
      </c>
      <c r="G895" s="53" t="s">
        <v>1470</v>
      </c>
      <c r="H895" s="25" t="s">
        <v>1499</v>
      </c>
      <c r="I895" s="65" t="s">
        <v>96</v>
      </c>
      <c r="J895" s="67" t="s">
        <v>222</v>
      </c>
      <c r="K895" s="123" t="s">
        <v>222</v>
      </c>
      <c r="L895" s="20" t="s">
        <v>3</v>
      </c>
      <c r="M895" s="61" t="s">
        <v>131</v>
      </c>
      <c r="N895" s="61" t="s">
        <v>96</v>
      </c>
      <c r="O895" s="61" t="s">
        <v>96</v>
      </c>
      <c r="P895" s="61" t="s">
        <v>131</v>
      </c>
      <c r="Q895" s="61" t="s">
        <v>96</v>
      </c>
      <c r="R895" s="61" t="s">
        <v>96</v>
      </c>
      <c r="S895" s="61" t="s">
        <v>131</v>
      </c>
      <c r="T895" s="61" t="s">
        <v>96</v>
      </c>
      <c r="U895" s="61" t="s">
        <v>96</v>
      </c>
      <c r="V895" s="61" t="s">
        <v>131</v>
      </c>
      <c r="W895" s="61" t="s">
        <v>96</v>
      </c>
      <c r="X895" s="61" t="s">
        <v>96</v>
      </c>
      <c r="Y895" s="61" t="s">
        <v>129</v>
      </c>
      <c r="Z895" s="61" t="s">
        <v>1481</v>
      </c>
      <c r="AA895" s="61" t="s">
        <v>1482</v>
      </c>
      <c r="AB895" s="61">
        <v>1</v>
      </c>
    </row>
    <row r="896" spans="1:28" s="1" customFormat="1" ht="33" customHeight="1" x14ac:dyDescent="0.3">
      <c r="A896" s="16">
        <v>26</v>
      </c>
      <c r="B896" s="23">
        <v>213</v>
      </c>
      <c r="C896" s="27" t="str">
        <f t="shared" si="23"/>
        <v>26.213</v>
      </c>
      <c r="D896" s="18"/>
      <c r="E896" s="64" t="str">
        <f>IF(ISBLANK(D896)=TRUE,"",VLOOKUP(D896,Krav!$C:$F,4,FALSE))</f>
        <v/>
      </c>
      <c r="F896" s="53" t="s">
        <v>225</v>
      </c>
      <c r="G896" s="53" t="s">
        <v>523</v>
      </c>
      <c r="H896" s="25" t="s">
        <v>1500</v>
      </c>
      <c r="I896" s="65" t="s">
        <v>96</v>
      </c>
      <c r="J896" s="67" t="s">
        <v>222</v>
      </c>
      <c r="K896" s="123" t="s">
        <v>222</v>
      </c>
      <c r="L896" s="20" t="s">
        <v>3</v>
      </c>
      <c r="M896" s="61" t="s">
        <v>131</v>
      </c>
      <c r="N896" s="61" t="s">
        <v>96</v>
      </c>
      <c r="O896" s="61" t="s">
        <v>96</v>
      </c>
      <c r="P896" s="61" t="s">
        <v>131</v>
      </c>
      <c r="Q896" s="61" t="s">
        <v>96</v>
      </c>
      <c r="R896" s="61" t="s">
        <v>96</v>
      </c>
      <c r="S896" s="61" t="s">
        <v>131</v>
      </c>
      <c r="T896" s="61" t="s">
        <v>96</v>
      </c>
      <c r="U896" s="61" t="s">
        <v>96</v>
      </c>
      <c r="V896" s="61" t="s">
        <v>131</v>
      </c>
      <c r="W896" s="61" t="s">
        <v>96</v>
      </c>
      <c r="X896" s="61" t="s">
        <v>96</v>
      </c>
      <c r="Y896" s="61" t="s">
        <v>129</v>
      </c>
      <c r="Z896" s="61" t="s">
        <v>1481</v>
      </c>
      <c r="AA896" s="61" t="s">
        <v>1482</v>
      </c>
      <c r="AB896" s="61">
        <v>1</v>
      </c>
    </row>
    <row r="897" spans="1:29" s="1" customFormat="1" ht="33" customHeight="1" x14ac:dyDescent="0.3">
      <c r="A897" s="16">
        <v>26</v>
      </c>
      <c r="B897" s="23">
        <v>214</v>
      </c>
      <c r="C897" s="27" t="str">
        <f t="shared" si="23"/>
        <v>26.214</v>
      </c>
      <c r="D897" s="18"/>
      <c r="E897" s="64" t="str">
        <f>IF(ISBLANK(D897)=TRUE,"",VLOOKUP(D897,Krav!$C:$F,4,FALSE))</f>
        <v/>
      </c>
      <c r="F897" s="53" t="s">
        <v>225</v>
      </c>
      <c r="G897" s="53" t="s">
        <v>1471</v>
      </c>
      <c r="H897" s="25" t="s">
        <v>1501</v>
      </c>
      <c r="I897" s="65" t="s">
        <v>96</v>
      </c>
      <c r="J897" s="67" t="s">
        <v>222</v>
      </c>
      <c r="K897" s="123" t="s">
        <v>222</v>
      </c>
      <c r="L897" s="20" t="s">
        <v>3</v>
      </c>
      <c r="M897" s="61" t="s">
        <v>131</v>
      </c>
      <c r="N897" s="61" t="s">
        <v>96</v>
      </c>
      <c r="O897" s="61" t="s">
        <v>96</v>
      </c>
      <c r="P897" s="61" t="s">
        <v>131</v>
      </c>
      <c r="Q897" s="61" t="s">
        <v>96</v>
      </c>
      <c r="R897" s="61" t="s">
        <v>96</v>
      </c>
      <c r="S897" s="61" t="s">
        <v>131</v>
      </c>
      <c r="T897" s="61" t="s">
        <v>96</v>
      </c>
      <c r="U897" s="61" t="s">
        <v>96</v>
      </c>
      <c r="V897" s="61" t="s">
        <v>131</v>
      </c>
      <c r="W897" s="61" t="s">
        <v>96</v>
      </c>
      <c r="X897" s="61" t="s">
        <v>96</v>
      </c>
      <c r="Y897" s="61" t="s">
        <v>129</v>
      </c>
      <c r="Z897" s="61" t="s">
        <v>1481</v>
      </c>
      <c r="AA897" s="61" t="s">
        <v>1482</v>
      </c>
      <c r="AB897" s="61">
        <v>1</v>
      </c>
    </row>
    <row r="898" spans="1:29" s="1" customFormat="1" ht="33" customHeight="1" x14ac:dyDescent="0.3">
      <c r="A898" s="16">
        <v>26</v>
      </c>
      <c r="B898" s="23">
        <v>215</v>
      </c>
      <c r="C898" s="27" t="str">
        <f t="shared" si="23"/>
        <v>26.215</v>
      </c>
      <c r="D898" s="18"/>
      <c r="E898" s="64" t="str">
        <f>IF(ISBLANK(D898)=TRUE,"",VLOOKUP(D898,Krav!$C:$F,4,FALSE))</f>
        <v/>
      </c>
      <c r="F898" s="53" t="s">
        <v>225</v>
      </c>
      <c r="G898" s="53" t="s">
        <v>1472</v>
      </c>
      <c r="H898" s="25" t="s">
        <v>1501</v>
      </c>
      <c r="I898" s="65" t="s">
        <v>96</v>
      </c>
      <c r="J898" s="67" t="s">
        <v>222</v>
      </c>
      <c r="K898" s="123" t="s">
        <v>222</v>
      </c>
      <c r="L898" s="20" t="s">
        <v>3</v>
      </c>
      <c r="M898" s="61" t="s">
        <v>131</v>
      </c>
      <c r="N898" s="61" t="s">
        <v>96</v>
      </c>
      <c r="O898" s="61" t="s">
        <v>96</v>
      </c>
      <c r="P898" s="61" t="s">
        <v>131</v>
      </c>
      <c r="Q898" s="61" t="s">
        <v>96</v>
      </c>
      <c r="R898" s="61" t="s">
        <v>96</v>
      </c>
      <c r="S898" s="61" t="s">
        <v>131</v>
      </c>
      <c r="T898" s="61" t="s">
        <v>96</v>
      </c>
      <c r="U898" s="61" t="s">
        <v>96</v>
      </c>
      <c r="V898" s="61" t="s">
        <v>131</v>
      </c>
      <c r="W898" s="61" t="s">
        <v>96</v>
      </c>
      <c r="X898" s="61" t="s">
        <v>96</v>
      </c>
      <c r="Y898" s="61" t="s">
        <v>129</v>
      </c>
      <c r="Z898" s="61" t="s">
        <v>1481</v>
      </c>
      <c r="AA898" s="61" t="s">
        <v>1482</v>
      </c>
      <c r="AB898" s="61">
        <v>1</v>
      </c>
    </row>
    <row r="899" spans="1:29" s="1" customFormat="1" ht="33" customHeight="1" x14ac:dyDescent="0.3">
      <c r="A899" s="16">
        <v>26</v>
      </c>
      <c r="B899" s="23">
        <v>216</v>
      </c>
      <c r="C899" s="27" t="str">
        <f t="shared" si="23"/>
        <v>26.216</v>
      </c>
      <c r="D899" s="18"/>
      <c r="E899" s="64" t="str">
        <f>IF(ISBLANK(D899)=TRUE,"",VLOOKUP(D899,Krav!$C:$F,4,FALSE))</f>
        <v/>
      </c>
      <c r="F899" s="53" t="s">
        <v>225</v>
      </c>
      <c r="G899" s="53" t="s">
        <v>1473</v>
      </c>
      <c r="H899" s="25" t="s">
        <v>1502</v>
      </c>
      <c r="I899" s="65" t="s">
        <v>96</v>
      </c>
      <c r="J899" s="67" t="s">
        <v>222</v>
      </c>
      <c r="K899" s="123" t="s">
        <v>222</v>
      </c>
      <c r="L899" s="20" t="s">
        <v>3</v>
      </c>
      <c r="M899" s="61" t="s">
        <v>131</v>
      </c>
      <c r="N899" s="61" t="s">
        <v>96</v>
      </c>
      <c r="O899" s="61" t="s">
        <v>96</v>
      </c>
      <c r="P899" s="61" t="s">
        <v>131</v>
      </c>
      <c r="Q899" s="61" t="s">
        <v>96</v>
      </c>
      <c r="R899" s="61" t="s">
        <v>96</v>
      </c>
      <c r="S899" s="61" t="s">
        <v>131</v>
      </c>
      <c r="T899" s="61" t="s">
        <v>96</v>
      </c>
      <c r="U899" s="61" t="s">
        <v>96</v>
      </c>
      <c r="V899" s="61" t="s">
        <v>131</v>
      </c>
      <c r="W899" s="61" t="s">
        <v>96</v>
      </c>
      <c r="X899" s="61" t="s">
        <v>96</v>
      </c>
      <c r="Y899" s="61" t="s">
        <v>129</v>
      </c>
      <c r="Z899" s="61" t="s">
        <v>1481</v>
      </c>
      <c r="AA899" s="61" t="s">
        <v>1482</v>
      </c>
      <c r="AB899" s="61">
        <v>1</v>
      </c>
    </row>
    <row r="900" spans="1:29" s="1" customFormat="1" ht="33" customHeight="1" x14ac:dyDescent="0.3">
      <c r="A900" s="16">
        <v>26</v>
      </c>
      <c r="B900" s="23">
        <v>217</v>
      </c>
      <c r="C900" s="27" t="str">
        <f t="shared" si="23"/>
        <v>26.217</v>
      </c>
      <c r="D900" s="18"/>
      <c r="E900" s="64" t="str">
        <f>IF(ISBLANK(D900)=TRUE,"",VLOOKUP(D900,Krav!$C:$F,4,FALSE))</f>
        <v/>
      </c>
      <c r="F900" s="53" t="s">
        <v>225</v>
      </c>
      <c r="G900" s="53" t="s">
        <v>1474</v>
      </c>
      <c r="H900" s="25" t="s">
        <v>1557</v>
      </c>
      <c r="I900" s="65" t="s">
        <v>96</v>
      </c>
      <c r="J900" s="67" t="s">
        <v>222</v>
      </c>
      <c r="K900" s="123" t="s">
        <v>222</v>
      </c>
      <c r="L900" s="20" t="s">
        <v>3</v>
      </c>
      <c r="M900" s="61" t="s">
        <v>131</v>
      </c>
      <c r="N900" s="61" t="s">
        <v>96</v>
      </c>
      <c r="O900" s="61" t="s">
        <v>96</v>
      </c>
      <c r="P900" s="61" t="s">
        <v>131</v>
      </c>
      <c r="Q900" s="61" t="s">
        <v>96</v>
      </c>
      <c r="R900" s="61" t="s">
        <v>96</v>
      </c>
      <c r="S900" s="61" t="s">
        <v>131</v>
      </c>
      <c r="T900" s="61" t="s">
        <v>96</v>
      </c>
      <c r="U900" s="61" t="s">
        <v>96</v>
      </c>
      <c r="V900" s="61" t="s">
        <v>131</v>
      </c>
      <c r="W900" s="61" t="s">
        <v>96</v>
      </c>
      <c r="X900" s="61" t="s">
        <v>96</v>
      </c>
      <c r="Y900" s="61" t="s">
        <v>129</v>
      </c>
      <c r="Z900" s="61" t="s">
        <v>1481</v>
      </c>
      <c r="AA900" s="61" t="s">
        <v>1482</v>
      </c>
      <c r="AB900" s="61">
        <v>1</v>
      </c>
    </row>
    <row r="901" spans="1:29" s="1" customFormat="1" ht="33" customHeight="1" x14ac:dyDescent="0.3">
      <c r="A901" s="16">
        <v>26</v>
      </c>
      <c r="B901" s="23">
        <v>218</v>
      </c>
      <c r="C901" s="27" t="str">
        <f t="shared" si="23"/>
        <v>26.218</v>
      </c>
      <c r="D901" s="18"/>
      <c r="E901" s="64" t="str">
        <f>IF(ISBLANK(D901)=TRUE,"",VLOOKUP(D901,Krav!$C:$F,4,FALSE))</f>
        <v/>
      </c>
      <c r="F901" s="53" t="s">
        <v>225</v>
      </c>
      <c r="G901" s="53" t="s">
        <v>1475</v>
      </c>
      <c r="H901" s="25" t="s">
        <v>1557</v>
      </c>
      <c r="I901" s="65" t="s">
        <v>96</v>
      </c>
      <c r="J901" s="67" t="s">
        <v>222</v>
      </c>
      <c r="K901" s="123" t="s">
        <v>222</v>
      </c>
      <c r="L901" s="20" t="s">
        <v>3</v>
      </c>
      <c r="M901" s="61" t="s">
        <v>131</v>
      </c>
      <c r="N901" s="61" t="s">
        <v>96</v>
      </c>
      <c r="O901" s="61" t="s">
        <v>96</v>
      </c>
      <c r="P901" s="61" t="s">
        <v>131</v>
      </c>
      <c r="Q901" s="61" t="s">
        <v>96</v>
      </c>
      <c r="R901" s="61" t="s">
        <v>96</v>
      </c>
      <c r="S901" s="61" t="s">
        <v>131</v>
      </c>
      <c r="T901" s="61" t="s">
        <v>96</v>
      </c>
      <c r="U901" s="61" t="s">
        <v>96</v>
      </c>
      <c r="V901" s="61" t="s">
        <v>131</v>
      </c>
      <c r="W901" s="61" t="s">
        <v>96</v>
      </c>
      <c r="X901" s="61" t="s">
        <v>96</v>
      </c>
      <c r="Y901" s="61" t="s">
        <v>129</v>
      </c>
      <c r="Z901" s="61" t="s">
        <v>1481</v>
      </c>
      <c r="AA901" s="61" t="s">
        <v>1482</v>
      </c>
      <c r="AB901" s="61">
        <v>1</v>
      </c>
    </row>
    <row r="902" spans="1:29" s="1" customFormat="1" ht="33" customHeight="1" x14ac:dyDescent="0.3">
      <c r="A902" s="16">
        <v>26</v>
      </c>
      <c r="B902" s="23">
        <v>219</v>
      </c>
      <c r="C902" s="27" t="str">
        <f t="shared" si="23"/>
        <v>26.219</v>
      </c>
      <c r="D902" s="18"/>
      <c r="E902" s="64" t="str">
        <f>IF(ISBLANK(D902)=TRUE,"",VLOOKUP(D902,Krav!$C:$F,4,FALSE))</f>
        <v/>
      </c>
      <c r="F902" s="53" t="s">
        <v>225</v>
      </c>
      <c r="G902" s="53" t="s">
        <v>1476</v>
      </c>
      <c r="H902" s="25" t="s">
        <v>1558</v>
      </c>
      <c r="I902" s="67" t="s">
        <v>1559</v>
      </c>
      <c r="J902" s="67" t="s">
        <v>222</v>
      </c>
      <c r="K902" s="123" t="s">
        <v>222</v>
      </c>
      <c r="L902" s="20" t="s">
        <v>3</v>
      </c>
      <c r="M902" s="61" t="s">
        <v>131</v>
      </c>
      <c r="N902" s="61" t="s">
        <v>96</v>
      </c>
      <c r="O902" s="61" t="s">
        <v>96</v>
      </c>
      <c r="P902" s="61" t="s">
        <v>131</v>
      </c>
      <c r="Q902" s="61" t="s">
        <v>96</v>
      </c>
      <c r="R902" s="61" t="s">
        <v>96</v>
      </c>
      <c r="S902" s="61" t="s">
        <v>131</v>
      </c>
      <c r="T902" s="61" t="s">
        <v>96</v>
      </c>
      <c r="U902" s="61" t="s">
        <v>96</v>
      </c>
      <c r="V902" s="61" t="s">
        <v>131</v>
      </c>
      <c r="W902" s="61" t="s">
        <v>96</v>
      </c>
      <c r="X902" s="61" t="s">
        <v>96</v>
      </c>
      <c r="Y902" s="61" t="s">
        <v>129</v>
      </c>
      <c r="Z902" s="61" t="s">
        <v>1481</v>
      </c>
      <c r="AA902" s="61" t="s">
        <v>1482</v>
      </c>
      <c r="AB902" s="61">
        <v>1</v>
      </c>
    </row>
    <row r="903" spans="1:29" s="1" customFormat="1" ht="33" customHeight="1" x14ac:dyDescent="0.3">
      <c r="A903" s="16">
        <v>26</v>
      </c>
      <c r="B903" s="23">
        <v>220</v>
      </c>
      <c r="C903" s="27" t="str">
        <f t="shared" si="23"/>
        <v>26.220</v>
      </c>
      <c r="D903" s="18"/>
      <c r="E903" s="64" t="str">
        <f>IF(ISBLANK(D903)=TRUE,"",VLOOKUP(D903,Krav!$C:$F,4,FALSE))</f>
        <v/>
      </c>
      <c r="F903" s="53" t="s">
        <v>225</v>
      </c>
      <c r="G903" s="53" t="s">
        <v>1477</v>
      </c>
      <c r="H903" s="25" t="s">
        <v>1560</v>
      </c>
      <c r="I903" s="65" t="s">
        <v>1481</v>
      </c>
      <c r="J903" s="67" t="s">
        <v>222</v>
      </c>
      <c r="K903" s="123" t="s">
        <v>222</v>
      </c>
      <c r="L903" s="20" t="s">
        <v>3</v>
      </c>
      <c r="M903" s="61" t="s">
        <v>131</v>
      </c>
      <c r="N903" s="61" t="s">
        <v>96</v>
      </c>
      <c r="O903" s="61" t="s">
        <v>96</v>
      </c>
      <c r="P903" s="61" t="s">
        <v>131</v>
      </c>
      <c r="Q903" s="61" t="s">
        <v>96</v>
      </c>
      <c r="R903" s="61" t="s">
        <v>96</v>
      </c>
      <c r="S903" s="61" t="s">
        <v>131</v>
      </c>
      <c r="T903" s="61" t="s">
        <v>96</v>
      </c>
      <c r="U903" s="61" t="s">
        <v>96</v>
      </c>
      <c r="V903" s="61" t="s">
        <v>131</v>
      </c>
      <c r="W903" s="61" t="s">
        <v>96</v>
      </c>
      <c r="X903" s="61" t="s">
        <v>96</v>
      </c>
      <c r="Y903" s="61" t="s">
        <v>129</v>
      </c>
      <c r="Z903" s="61" t="s">
        <v>1481</v>
      </c>
      <c r="AA903" s="61" t="s">
        <v>1482</v>
      </c>
      <c r="AB903" s="61">
        <v>1</v>
      </c>
    </row>
    <row r="904" spans="1:29" s="1" customFormat="1" ht="33" customHeight="1" x14ac:dyDescent="0.3">
      <c r="A904" s="16">
        <v>26</v>
      </c>
      <c r="B904" s="23">
        <v>221</v>
      </c>
      <c r="C904" s="27" t="str">
        <f t="shared" si="23"/>
        <v>26.221</v>
      </c>
      <c r="D904" s="18"/>
      <c r="E904" s="64" t="str">
        <f>IF(ISBLANK(D904)=TRUE,"",VLOOKUP(D904,Krav!$C:$F,4,FALSE))</f>
        <v/>
      </c>
      <c r="F904" s="53" t="s">
        <v>225</v>
      </c>
      <c r="G904" s="53" t="s">
        <v>1478</v>
      </c>
      <c r="H904" s="25" t="s">
        <v>1560</v>
      </c>
      <c r="I904" s="65" t="s">
        <v>1482</v>
      </c>
      <c r="J904" s="67" t="s">
        <v>222</v>
      </c>
      <c r="K904" s="123" t="s">
        <v>222</v>
      </c>
      <c r="L904" s="20" t="s">
        <v>3</v>
      </c>
      <c r="M904" s="61" t="s">
        <v>131</v>
      </c>
      <c r="N904" s="61" t="s">
        <v>96</v>
      </c>
      <c r="O904" s="61" t="s">
        <v>96</v>
      </c>
      <c r="P904" s="61" t="s">
        <v>131</v>
      </c>
      <c r="Q904" s="61" t="s">
        <v>96</v>
      </c>
      <c r="R904" s="61" t="s">
        <v>96</v>
      </c>
      <c r="S904" s="61" t="s">
        <v>131</v>
      </c>
      <c r="T904" s="61" t="s">
        <v>96</v>
      </c>
      <c r="U904" s="61" t="s">
        <v>96</v>
      </c>
      <c r="V904" s="61" t="s">
        <v>131</v>
      </c>
      <c r="W904" s="61" t="s">
        <v>96</v>
      </c>
      <c r="X904" s="61" t="s">
        <v>96</v>
      </c>
      <c r="Y904" s="61" t="s">
        <v>129</v>
      </c>
      <c r="Z904" s="61" t="s">
        <v>1481</v>
      </c>
      <c r="AA904" s="61" t="s">
        <v>1482</v>
      </c>
      <c r="AB904" s="61">
        <v>1</v>
      </c>
    </row>
    <row r="905" spans="1:29" s="1" customFormat="1" ht="33" customHeight="1" x14ac:dyDescent="0.3">
      <c r="A905" s="16">
        <v>26</v>
      </c>
      <c r="B905" s="23">
        <v>222</v>
      </c>
      <c r="C905" s="27" t="str">
        <f t="shared" si="23"/>
        <v>26.222</v>
      </c>
      <c r="D905" s="18"/>
      <c r="E905" s="64" t="str">
        <f>IF(ISBLANK(D905)=TRUE,"",VLOOKUP(D905,Krav!$C:$F,4,FALSE))</f>
        <v/>
      </c>
      <c r="F905" s="53" t="s">
        <v>221</v>
      </c>
      <c r="G905" s="53" t="s">
        <v>1477</v>
      </c>
      <c r="H905" s="25" t="s">
        <v>1561</v>
      </c>
      <c r="I905" s="65" t="s">
        <v>1481</v>
      </c>
      <c r="J905" s="96" t="s">
        <v>222</v>
      </c>
      <c r="K905" s="329" t="s">
        <v>222</v>
      </c>
      <c r="L905" s="20" t="s">
        <v>3</v>
      </c>
      <c r="M905" s="61" t="s">
        <v>131</v>
      </c>
      <c r="N905" s="61" t="s">
        <v>96</v>
      </c>
      <c r="O905" s="61" t="s">
        <v>96</v>
      </c>
      <c r="P905" s="61" t="s">
        <v>131</v>
      </c>
      <c r="Q905" s="61" t="s">
        <v>96</v>
      </c>
      <c r="R905" s="61" t="s">
        <v>96</v>
      </c>
      <c r="S905" s="61" t="s">
        <v>131</v>
      </c>
      <c r="T905" s="61" t="s">
        <v>96</v>
      </c>
      <c r="U905" s="61" t="s">
        <v>96</v>
      </c>
      <c r="V905" s="61" t="s">
        <v>131</v>
      </c>
      <c r="W905" s="61" t="s">
        <v>96</v>
      </c>
      <c r="X905" s="61" t="s">
        <v>96</v>
      </c>
      <c r="Y905" s="61" t="s">
        <v>129</v>
      </c>
      <c r="Z905" s="142" t="s">
        <v>1481</v>
      </c>
      <c r="AA905" s="61"/>
      <c r="AB905" s="61">
        <v>1</v>
      </c>
    </row>
    <row r="906" spans="1:29" s="1" customFormat="1" ht="33" customHeight="1" x14ac:dyDescent="0.3">
      <c r="A906" s="16">
        <v>26</v>
      </c>
      <c r="B906" s="23">
        <v>223</v>
      </c>
      <c r="C906" s="27" t="str">
        <f t="shared" si="23"/>
        <v>26.223</v>
      </c>
      <c r="D906" s="18"/>
      <c r="E906" s="64" t="str">
        <f>IF(ISBLANK(D906)=TRUE,"",VLOOKUP(D906,Krav!$C:$F,4,FALSE))</f>
        <v/>
      </c>
      <c r="F906" s="53" t="s">
        <v>221</v>
      </c>
      <c r="G906" s="53" t="s">
        <v>1478</v>
      </c>
      <c r="H906" s="25" t="s">
        <v>2363</v>
      </c>
      <c r="I906" s="330" t="s">
        <v>96</v>
      </c>
      <c r="J906" s="96" t="s">
        <v>222</v>
      </c>
      <c r="K906" s="329" t="s">
        <v>222</v>
      </c>
      <c r="L906" s="20" t="s">
        <v>3</v>
      </c>
      <c r="M906" s="61" t="s">
        <v>131</v>
      </c>
      <c r="N906" s="61" t="s">
        <v>96</v>
      </c>
      <c r="O906" s="61" t="s">
        <v>96</v>
      </c>
      <c r="P906" s="61" t="s">
        <v>131</v>
      </c>
      <c r="Q906" s="61" t="s">
        <v>96</v>
      </c>
      <c r="R906" s="61" t="s">
        <v>96</v>
      </c>
      <c r="S906" s="61" t="s">
        <v>131</v>
      </c>
      <c r="T906" s="61" t="s">
        <v>96</v>
      </c>
      <c r="U906" s="61" t="s">
        <v>96</v>
      </c>
      <c r="V906" s="61" t="s">
        <v>131</v>
      </c>
      <c r="W906" s="61" t="s">
        <v>96</v>
      </c>
      <c r="X906" s="61" t="s">
        <v>96</v>
      </c>
      <c r="Y906" s="61" t="s">
        <v>129</v>
      </c>
      <c r="Z906" s="142" t="s">
        <v>1481</v>
      </c>
      <c r="AA906" s="61"/>
      <c r="AB906" s="61">
        <v>1</v>
      </c>
    </row>
    <row r="907" spans="1:29" s="1" customFormat="1" ht="33" customHeight="1" x14ac:dyDescent="0.3">
      <c r="A907" s="16">
        <v>26</v>
      </c>
      <c r="B907" s="23">
        <v>224</v>
      </c>
      <c r="C907" s="27" t="str">
        <f t="shared" si="23"/>
        <v>26.224</v>
      </c>
      <c r="D907" s="18"/>
      <c r="E907" s="64" t="str">
        <f>IF(ISBLANK(D907)=TRUE,"",VLOOKUP(D907,Krav!$C:$F,4,FALSE))</f>
        <v/>
      </c>
      <c r="F907" s="53" t="s">
        <v>225</v>
      </c>
      <c r="G907" s="53" t="s">
        <v>1477</v>
      </c>
      <c r="H907" s="25" t="s">
        <v>1562</v>
      </c>
      <c r="I907" s="65" t="s">
        <v>1481</v>
      </c>
      <c r="J907" s="96" t="s">
        <v>222</v>
      </c>
      <c r="K907" s="329" t="s">
        <v>222</v>
      </c>
      <c r="L907" s="20" t="s">
        <v>3</v>
      </c>
      <c r="M907" s="61" t="s">
        <v>131</v>
      </c>
      <c r="N907" s="61" t="s">
        <v>96</v>
      </c>
      <c r="O907" s="61" t="s">
        <v>96</v>
      </c>
      <c r="P907" s="61" t="s">
        <v>131</v>
      </c>
      <c r="Q907" s="61" t="s">
        <v>96</v>
      </c>
      <c r="R907" s="61" t="s">
        <v>96</v>
      </c>
      <c r="S907" s="61" t="s">
        <v>131</v>
      </c>
      <c r="T907" s="61" t="s">
        <v>96</v>
      </c>
      <c r="U907" s="61" t="s">
        <v>96</v>
      </c>
      <c r="V907" s="61" t="s">
        <v>131</v>
      </c>
      <c r="W907" s="61" t="s">
        <v>96</v>
      </c>
      <c r="X907" s="61" t="s">
        <v>96</v>
      </c>
      <c r="Y907" s="61" t="s">
        <v>129</v>
      </c>
      <c r="Z907" s="142" t="s">
        <v>1481</v>
      </c>
      <c r="AA907" s="61"/>
      <c r="AB907" s="61">
        <v>1</v>
      </c>
    </row>
    <row r="908" spans="1:29" s="1" customFormat="1" ht="33" customHeight="1" x14ac:dyDescent="0.3">
      <c r="A908" s="16">
        <v>26</v>
      </c>
      <c r="B908" s="23">
        <v>225</v>
      </c>
      <c r="C908" s="27" t="str">
        <f t="shared" si="23"/>
        <v>26.225</v>
      </c>
      <c r="D908" s="18"/>
      <c r="E908" s="64" t="str">
        <f>IF(ISBLANK(D908)=TRUE,"",VLOOKUP(D908,Krav!$C:$F,4,FALSE))</f>
        <v/>
      </c>
      <c r="F908" s="53" t="s">
        <v>225</v>
      </c>
      <c r="G908" s="53" t="s">
        <v>1478</v>
      </c>
      <c r="H908" s="25" t="s">
        <v>2364</v>
      </c>
      <c r="I908" s="330" t="s">
        <v>96</v>
      </c>
      <c r="J908" s="96" t="s">
        <v>222</v>
      </c>
      <c r="K908" s="329" t="s">
        <v>222</v>
      </c>
      <c r="L908" s="20" t="s">
        <v>3</v>
      </c>
      <c r="M908" s="61" t="s">
        <v>131</v>
      </c>
      <c r="N908" s="61" t="s">
        <v>96</v>
      </c>
      <c r="O908" s="61" t="s">
        <v>96</v>
      </c>
      <c r="P908" s="61" t="s">
        <v>131</v>
      </c>
      <c r="Q908" s="61" t="s">
        <v>96</v>
      </c>
      <c r="R908" s="61" t="s">
        <v>96</v>
      </c>
      <c r="S908" s="61" t="s">
        <v>131</v>
      </c>
      <c r="T908" s="61" t="s">
        <v>96</v>
      </c>
      <c r="U908" s="61" t="s">
        <v>96</v>
      </c>
      <c r="V908" s="61" t="s">
        <v>131</v>
      </c>
      <c r="W908" s="61" t="s">
        <v>96</v>
      </c>
      <c r="X908" s="61" t="s">
        <v>96</v>
      </c>
      <c r="Y908" s="61" t="s">
        <v>129</v>
      </c>
      <c r="Z908" s="142" t="s">
        <v>1481</v>
      </c>
      <c r="AA908" s="61"/>
      <c r="AB908" s="61">
        <v>1</v>
      </c>
    </row>
    <row r="909" spans="1:29" s="1" customFormat="1" ht="33" customHeight="1" x14ac:dyDescent="0.3">
      <c r="A909" s="16">
        <v>26</v>
      </c>
      <c r="B909" s="23">
        <v>226</v>
      </c>
      <c r="C909" s="27" t="str">
        <f t="shared" si="23"/>
        <v>26.226</v>
      </c>
      <c r="D909" s="18"/>
      <c r="E909" s="64" t="str">
        <f>IF(ISBLANK(D909)=TRUE,"",VLOOKUP(D909,Krav!$C:$F,4,FALSE))</f>
        <v/>
      </c>
      <c r="F909" s="53" t="s">
        <v>221</v>
      </c>
      <c r="G909" s="53" t="s">
        <v>1477</v>
      </c>
      <c r="H909" s="25" t="s">
        <v>1563</v>
      </c>
      <c r="I909" s="66" t="s">
        <v>96</v>
      </c>
      <c r="J909" s="96" t="s">
        <v>222</v>
      </c>
      <c r="K909" s="329" t="s">
        <v>222</v>
      </c>
      <c r="L909" s="20" t="s">
        <v>3</v>
      </c>
      <c r="M909" s="61" t="s">
        <v>131</v>
      </c>
      <c r="N909" s="61" t="s">
        <v>96</v>
      </c>
      <c r="O909" s="61" t="s">
        <v>96</v>
      </c>
      <c r="P909" s="61" t="s">
        <v>131</v>
      </c>
      <c r="Q909" s="61" t="s">
        <v>96</v>
      </c>
      <c r="R909" s="61" t="s">
        <v>96</v>
      </c>
      <c r="S909" s="61" t="s">
        <v>131</v>
      </c>
      <c r="T909" s="61" t="s">
        <v>96</v>
      </c>
      <c r="U909" s="61" t="s">
        <v>96</v>
      </c>
      <c r="V909" s="61" t="s">
        <v>131</v>
      </c>
      <c r="W909" s="61" t="s">
        <v>96</v>
      </c>
      <c r="X909" s="61" t="s">
        <v>96</v>
      </c>
      <c r="Y909" s="61" t="s">
        <v>129</v>
      </c>
      <c r="Z909" s="142"/>
      <c r="AA909" s="61" t="s">
        <v>1482</v>
      </c>
      <c r="AB909" s="61" t="s">
        <v>33</v>
      </c>
      <c r="AC909" s="1" t="s">
        <v>1509</v>
      </c>
    </row>
    <row r="910" spans="1:29" s="1" customFormat="1" ht="33" customHeight="1" x14ac:dyDescent="0.3">
      <c r="A910" s="16">
        <v>26</v>
      </c>
      <c r="B910" s="23">
        <v>227</v>
      </c>
      <c r="C910" s="27" t="str">
        <f t="shared" si="23"/>
        <v>26.227</v>
      </c>
      <c r="D910" s="18"/>
      <c r="E910" s="64" t="str">
        <f>IF(ISBLANK(D910)=TRUE,"",VLOOKUP(D910,Krav!$C:$F,4,FALSE))</f>
        <v/>
      </c>
      <c r="F910" s="53" t="s">
        <v>221</v>
      </c>
      <c r="G910" s="53" t="s">
        <v>1478</v>
      </c>
      <c r="H910" s="25" t="s">
        <v>1563</v>
      </c>
      <c r="I910" s="66" t="s">
        <v>1482</v>
      </c>
      <c r="J910" s="96" t="s">
        <v>222</v>
      </c>
      <c r="K910" s="329" t="s">
        <v>222</v>
      </c>
      <c r="L910" s="20" t="s">
        <v>3</v>
      </c>
      <c r="M910" s="61" t="s">
        <v>131</v>
      </c>
      <c r="N910" s="61" t="s">
        <v>96</v>
      </c>
      <c r="O910" s="61" t="s">
        <v>96</v>
      </c>
      <c r="P910" s="61" t="s">
        <v>131</v>
      </c>
      <c r="Q910" s="61" t="s">
        <v>96</v>
      </c>
      <c r="R910" s="61" t="s">
        <v>96</v>
      </c>
      <c r="S910" s="61" t="s">
        <v>131</v>
      </c>
      <c r="T910" s="61" t="s">
        <v>96</v>
      </c>
      <c r="U910" s="61" t="s">
        <v>96</v>
      </c>
      <c r="V910" s="61" t="s">
        <v>131</v>
      </c>
      <c r="W910" s="61" t="s">
        <v>96</v>
      </c>
      <c r="X910" s="61" t="s">
        <v>96</v>
      </c>
      <c r="Y910" s="61" t="s">
        <v>129</v>
      </c>
      <c r="Z910" s="142"/>
      <c r="AA910" s="61" t="s">
        <v>1482</v>
      </c>
      <c r="AB910" s="61" t="s">
        <v>33</v>
      </c>
      <c r="AC910" s="1" t="s">
        <v>1509</v>
      </c>
    </row>
    <row r="911" spans="1:29" s="1" customFormat="1" ht="33" customHeight="1" x14ac:dyDescent="0.3">
      <c r="A911" s="16">
        <v>26</v>
      </c>
      <c r="B911" s="23">
        <v>228</v>
      </c>
      <c r="C911" s="27" t="str">
        <f t="shared" si="23"/>
        <v>26.228</v>
      </c>
      <c r="D911" s="18"/>
      <c r="E911" s="64" t="str">
        <f>IF(ISBLANK(D911)=TRUE,"",VLOOKUP(D911,Krav!$C:$F,4,FALSE))</f>
        <v/>
      </c>
      <c r="F911" s="53" t="s">
        <v>225</v>
      </c>
      <c r="G911" s="53" t="s">
        <v>1477</v>
      </c>
      <c r="H911" s="25" t="s">
        <v>1564</v>
      </c>
      <c r="I911" s="66" t="s">
        <v>96</v>
      </c>
      <c r="J911" s="96" t="s">
        <v>222</v>
      </c>
      <c r="K911" s="329" t="s">
        <v>222</v>
      </c>
      <c r="L911" s="20" t="s">
        <v>3</v>
      </c>
      <c r="M911" s="61" t="s">
        <v>131</v>
      </c>
      <c r="N911" s="61" t="s">
        <v>96</v>
      </c>
      <c r="O911" s="61" t="s">
        <v>96</v>
      </c>
      <c r="P911" s="61" t="s">
        <v>131</v>
      </c>
      <c r="Q911" s="61" t="s">
        <v>96</v>
      </c>
      <c r="R911" s="61" t="s">
        <v>96</v>
      </c>
      <c r="S911" s="61" t="s">
        <v>131</v>
      </c>
      <c r="T911" s="61" t="s">
        <v>96</v>
      </c>
      <c r="U911" s="61" t="s">
        <v>96</v>
      </c>
      <c r="V911" s="61" t="s">
        <v>131</v>
      </c>
      <c r="W911" s="61" t="s">
        <v>96</v>
      </c>
      <c r="X911" s="61" t="s">
        <v>96</v>
      </c>
      <c r="Y911" s="61" t="s">
        <v>129</v>
      </c>
      <c r="Z911" s="142"/>
      <c r="AA911" s="61" t="s">
        <v>1482</v>
      </c>
      <c r="AB911" s="61" t="s">
        <v>33</v>
      </c>
      <c r="AC911" s="1" t="s">
        <v>1509</v>
      </c>
    </row>
    <row r="912" spans="1:29" s="1" customFormat="1" ht="33" customHeight="1" x14ac:dyDescent="0.3">
      <c r="A912" s="16">
        <v>26</v>
      </c>
      <c r="B912" s="23">
        <v>229</v>
      </c>
      <c r="C912" s="27" t="str">
        <f t="shared" si="23"/>
        <v>26.229</v>
      </c>
      <c r="D912" s="18"/>
      <c r="E912" s="64" t="str">
        <f>IF(ISBLANK(D912)=TRUE,"",VLOOKUP(D912,Krav!$C:$F,4,FALSE))</f>
        <v/>
      </c>
      <c r="F912" s="53" t="s">
        <v>225</v>
      </c>
      <c r="G912" s="53" t="s">
        <v>1478</v>
      </c>
      <c r="H912" s="25" t="s">
        <v>1564</v>
      </c>
      <c r="I912" s="66" t="s">
        <v>1482</v>
      </c>
      <c r="J912" s="96" t="s">
        <v>222</v>
      </c>
      <c r="K912" s="329" t="s">
        <v>222</v>
      </c>
      <c r="L912" s="20" t="s">
        <v>3</v>
      </c>
      <c r="M912" s="61" t="s">
        <v>131</v>
      </c>
      <c r="N912" s="61" t="s">
        <v>96</v>
      </c>
      <c r="O912" s="61" t="s">
        <v>96</v>
      </c>
      <c r="P912" s="61" t="s">
        <v>131</v>
      </c>
      <c r="Q912" s="61" t="s">
        <v>96</v>
      </c>
      <c r="R912" s="61" t="s">
        <v>96</v>
      </c>
      <c r="S912" s="61" t="s">
        <v>131</v>
      </c>
      <c r="T912" s="61" t="s">
        <v>96</v>
      </c>
      <c r="U912" s="61" t="s">
        <v>96</v>
      </c>
      <c r="V912" s="61" t="s">
        <v>131</v>
      </c>
      <c r="W912" s="61" t="s">
        <v>96</v>
      </c>
      <c r="X912" s="61" t="s">
        <v>96</v>
      </c>
      <c r="Y912" s="61" t="s">
        <v>129</v>
      </c>
      <c r="Z912" s="142"/>
      <c r="AA912" s="61" t="s">
        <v>1482</v>
      </c>
      <c r="AB912" s="61" t="s">
        <v>33</v>
      </c>
      <c r="AC912" s="1" t="s">
        <v>1509</v>
      </c>
    </row>
    <row r="913" spans="1:28" s="1" customFormat="1" ht="33" customHeight="1" x14ac:dyDescent="0.3">
      <c r="A913" s="16">
        <v>26</v>
      </c>
      <c r="B913" s="23">
        <v>230</v>
      </c>
      <c r="C913" s="27" t="str">
        <f t="shared" si="23"/>
        <v>26.230</v>
      </c>
      <c r="D913" s="18"/>
      <c r="E913" s="64" t="str">
        <f>IF(ISBLANK(D913)=TRUE,"",VLOOKUP(D913,Krav!$C:$F,4,FALSE))</f>
        <v/>
      </c>
      <c r="F913" s="53" t="s">
        <v>418</v>
      </c>
      <c r="G913" s="53" t="s">
        <v>445</v>
      </c>
      <c r="H913" s="25" t="s">
        <v>1540</v>
      </c>
      <c r="I913" s="65" t="s">
        <v>129</v>
      </c>
      <c r="J913" s="96" t="s">
        <v>222</v>
      </c>
      <c r="K913" s="123" t="s">
        <v>222</v>
      </c>
      <c r="L913" s="20" t="s">
        <v>3</v>
      </c>
      <c r="M913" s="61" t="s">
        <v>131</v>
      </c>
      <c r="N913" s="61" t="s">
        <v>96</v>
      </c>
      <c r="O913" s="61" t="s">
        <v>96</v>
      </c>
      <c r="P913" s="61" t="s">
        <v>131</v>
      </c>
      <c r="Q913" s="61" t="s">
        <v>96</v>
      </c>
      <c r="R913" s="61" t="s">
        <v>96</v>
      </c>
      <c r="S913" s="61" t="s">
        <v>131</v>
      </c>
      <c r="T913" s="61" t="s">
        <v>96</v>
      </c>
      <c r="U913" s="61" t="s">
        <v>96</v>
      </c>
      <c r="V913" s="61" t="s">
        <v>131</v>
      </c>
      <c r="W913" s="61" t="s">
        <v>96</v>
      </c>
      <c r="X913" s="61" t="s">
        <v>96</v>
      </c>
      <c r="Y913" s="61" t="s">
        <v>129</v>
      </c>
      <c r="Z913" s="61" t="s">
        <v>1481</v>
      </c>
      <c r="AA913" s="61" t="s">
        <v>1482</v>
      </c>
      <c r="AB913" s="61">
        <v>1</v>
      </c>
    </row>
    <row r="914" spans="1:28" s="57" customFormat="1" ht="18.75" customHeight="1" x14ac:dyDescent="0.3">
      <c r="A914" s="16">
        <v>26</v>
      </c>
      <c r="B914" s="23">
        <v>231</v>
      </c>
      <c r="C914" s="27" t="str">
        <f t="shared" si="23"/>
        <v>26.231</v>
      </c>
      <c r="D914" s="18" t="s">
        <v>1512</v>
      </c>
      <c r="E914" s="64" t="str">
        <f>IF(ISBLANK(D914)=TRUE,"",VLOOKUP(D914,Krav!$C:$F,4,FALSE))</f>
        <v>4.a.2.1.2 - Når brugeren klikker på Videre skal denne ledes til spørgsmål 5</v>
      </c>
      <c r="F914" s="139" t="s">
        <v>143</v>
      </c>
      <c r="G914" s="139"/>
      <c r="H914" s="76" t="s">
        <v>1513</v>
      </c>
      <c r="I914" s="76" t="s">
        <v>146</v>
      </c>
      <c r="J914" s="67" t="s">
        <v>222</v>
      </c>
      <c r="K914" s="123" t="s">
        <v>222</v>
      </c>
      <c r="L914" s="4" t="s">
        <v>3</v>
      </c>
      <c r="M914" s="61" t="s">
        <v>131</v>
      </c>
      <c r="N914" s="61" t="s">
        <v>96</v>
      </c>
      <c r="O914" s="61" t="s">
        <v>96</v>
      </c>
      <c r="P914" s="61" t="s">
        <v>131</v>
      </c>
      <c r="Q914" s="61" t="s">
        <v>96</v>
      </c>
      <c r="R914" s="61" t="s">
        <v>96</v>
      </c>
      <c r="S914" s="61" t="s">
        <v>131</v>
      </c>
      <c r="T914" s="61" t="s">
        <v>96</v>
      </c>
      <c r="U914" s="61" t="s">
        <v>96</v>
      </c>
      <c r="V914" s="61" t="s">
        <v>131</v>
      </c>
      <c r="W914" s="61" t="s">
        <v>96</v>
      </c>
      <c r="X914" s="61" t="s">
        <v>96</v>
      </c>
      <c r="Y914" s="61" t="s">
        <v>129</v>
      </c>
      <c r="Z914" s="142" t="s">
        <v>1481</v>
      </c>
      <c r="AA914" s="61" t="s">
        <v>1482</v>
      </c>
      <c r="AB914" s="61">
        <v>1</v>
      </c>
    </row>
    <row r="915" spans="1:28" s="57" customFormat="1" ht="43.2" x14ac:dyDescent="0.3">
      <c r="A915" s="16">
        <v>26</v>
      </c>
      <c r="B915" s="23">
        <v>232</v>
      </c>
      <c r="C915" s="27" t="str">
        <f t="shared" si="23"/>
        <v>26.232</v>
      </c>
      <c r="D915" s="18"/>
      <c r="E915" s="64" t="str">
        <f>IF(ISBLANK(D915)=TRUE,"",VLOOKUP(D915,Krav!$C:$F,4,FALSE))</f>
        <v/>
      </c>
      <c r="F915" s="139" t="s">
        <v>174</v>
      </c>
      <c r="G915" s="139"/>
      <c r="H915" s="76" t="s">
        <v>1514</v>
      </c>
      <c r="I915" s="332" t="s">
        <v>1362</v>
      </c>
      <c r="J915" s="67" t="s">
        <v>222</v>
      </c>
      <c r="K915" s="123" t="s">
        <v>222</v>
      </c>
      <c r="L915" s="4" t="s">
        <v>4</v>
      </c>
      <c r="M915" s="61" t="s">
        <v>131</v>
      </c>
      <c r="N915" s="61" t="s">
        <v>96</v>
      </c>
      <c r="O915" s="61" t="s">
        <v>96</v>
      </c>
      <c r="P915" s="61" t="s">
        <v>131</v>
      </c>
      <c r="Q915" s="61" t="s">
        <v>96</v>
      </c>
      <c r="R915" s="61" t="s">
        <v>96</v>
      </c>
      <c r="S915" s="61" t="s">
        <v>131</v>
      </c>
      <c r="T915" s="61" t="s">
        <v>96</v>
      </c>
      <c r="U915" s="61" t="s">
        <v>96</v>
      </c>
      <c r="V915" s="61" t="s">
        <v>131</v>
      </c>
      <c r="W915" s="61" t="s">
        <v>96</v>
      </c>
      <c r="X915" s="61" t="s">
        <v>96</v>
      </c>
      <c r="Y915" s="61" t="s">
        <v>129</v>
      </c>
      <c r="Z915" s="143" t="s">
        <v>118</v>
      </c>
      <c r="AA915" s="142" t="s">
        <v>119</v>
      </c>
      <c r="AB915" s="61">
        <v>1</v>
      </c>
    </row>
    <row r="916" spans="1:28" s="57" customFormat="1" ht="43.2" x14ac:dyDescent="0.3">
      <c r="A916" s="16">
        <v>26</v>
      </c>
      <c r="B916" s="23">
        <v>233</v>
      </c>
      <c r="C916" s="27" t="str">
        <f t="shared" si="23"/>
        <v>26.233</v>
      </c>
      <c r="D916" s="18"/>
      <c r="E916" s="64" t="str">
        <f>IF(ISBLANK(D916)=TRUE,"",VLOOKUP(D916,Krav!$C:$F,4,FALSE))</f>
        <v/>
      </c>
      <c r="F916" s="139" t="s">
        <v>418</v>
      </c>
      <c r="G916" s="139" t="s">
        <v>419</v>
      </c>
      <c r="H916" s="76" t="s">
        <v>1515</v>
      </c>
      <c r="I916" s="76" t="s">
        <v>129</v>
      </c>
      <c r="J916" s="96" t="s">
        <v>222</v>
      </c>
      <c r="K916" s="123" t="s">
        <v>222</v>
      </c>
      <c r="L916" s="4" t="s">
        <v>4</v>
      </c>
      <c r="M916" s="61" t="s">
        <v>131</v>
      </c>
      <c r="N916" s="61" t="s">
        <v>96</v>
      </c>
      <c r="O916" s="61" t="s">
        <v>96</v>
      </c>
      <c r="P916" s="61" t="s">
        <v>131</v>
      </c>
      <c r="Q916" s="61" t="s">
        <v>96</v>
      </c>
      <c r="R916" s="61" t="s">
        <v>96</v>
      </c>
      <c r="S916" s="61" t="s">
        <v>131</v>
      </c>
      <c r="T916" s="61" t="s">
        <v>96</v>
      </c>
      <c r="U916" s="61" t="s">
        <v>96</v>
      </c>
      <c r="V916" s="61" t="s">
        <v>131</v>
      </c>
      <c r="W916" s="61" t="s">
        <v>96</v>
      </c>
      <c r="X916" s="61" t="s">
        <v>96</v>
      </c>
      <c r="Y916" s="61" t="s">
        <v>129</v>
      </c>
      <c r="Z916" s="143" t="s">
        <v>118</v>
      </c>
      <c r="AA916" s="142" t="s">
        <v>119</v>
      </c>
      <c r="AB916" s="61">
        <v>1</v>
      </c>
    </row>
    <row r="917" spans="1:28" s="57" customFormat="1" ht="43.2" x14ac:dyDescent="0.3">
      <c r="A917" s="16">
        <v>26</v>
      </c>
      <c r="B917" s="23">
        <v>234</v>
      </c>
      <c r="C917" s="27" t="str">
        <f t="shared" si="23"/>
        <v>26.234</v>
      </c>
      <c r="D917" s="18"/>
      <c r="E917" s="64" t="str">
        <f>IF(ISBLANK(D917)=TRUE,"",VLOOKUP(D917,Krav!$C:$F,4,FALSE))</f>
        <v/>
      </c>
      <c r="F917" s="139" t="s">
        <v>174</v>
      </c>
      <c r="G917" s="139"/>
      <c r="H917" s="76" t="s">
        <v>1516</v>
      </c>
      <c r="I917" s="76" t="s">
        <v>456</v>
      </c>
      <c r="J917" s="67" t="s">
        <v>222</v>
      </c>
      <c r="K917" s="123" t="s">
        <v>222</v>
      </c>
      <c r="L917" s="4" t="s">
        <v>4</v>
      </c>
      <c r="M917" s="61" t="s">
        <v>131</v>
      </c>
      <c r="N917" s="61" t="s">
        <v>96</v>
      </c>
      <c r="O917" s="61" t="s">
        <v>96</v>
      </c>
      <c r="P917" s="61" t="s">
        <v>131</v>
      </c>
      <c r="Q917" s="61" t="s">
        <v>96</v>
      </c>
      <c r="R917" s="61" t="s">
        <v>96</v>
      </c>
      <c r="S917" s="61" t="s">
        <v>131</v>
      </c>
      <c r="T917" s="61" t="s">
        <v>96</v>
      </c>
      <c r="U917" s="61" t="s">
        <v>96</v>
      </c>
      <c r="V917" s="61" t="s">
        <v>131</v>
      </c>
      <c r="W917" s="61" t="s">
        <v>96</v>
      </c>
      <c r="X917" s="61" t="s">
        <v>96</v>
      </c>
      <c r="Y917" s="61" t="s">
        <v>129</v>
      </c>
      <c r="Z917" s="142" t="s">
        <v>119</v>
      </c>
      <c r="AA917" s="143" t="s">
        <v>120</v>
      </c>
      <c r="AB917" s="61">
        <v>1</v>
      </c>
    </row>
    <row r="918" spans="1:28" s="57" customFormat="1" ht="43.2" x14ac:dyDescent="0.3">
      <c r="A918" s="16">
        <v>26</v>
      </c>
      <c r="B918" s="23">
        <v>235</v>
      </c>
      <c r="C918" s="27" t="str">
        <f t="shared" si="23"/>
        <v>26.235</v>
      </c>
      <c r="D918" s="18"/>
      <c r="E918" s="64" t="str">
        <f>IF(ISBLANK(D918)=TRUE,"",VLOOKUP(D918,Krav!$C:$F,4,FALSE))</f>
        <v/>
      </c>
      <c r="F918" s="139" t="s">
        <v>418</v>
      </c>
      <c r="G918" s="139" t="s">
        <v>419</v>
      </c>
      <c r="H918" s="76" t="s">
        <v>1517</v>
      </c>
      <c r="I918" s="76" t="s">
        <v>129</v>
      </c>
      <c r="J918" s="96" t="s">
        <v>222</v>
      </c>
      <c r="K918" s="123" t="s">
        <v>222</v>
      </c>
      <c r="L918" s="4" t="s">
        <v>4</v>
      </c>
      <c r="M918" s="61" t="s">
        <v>131</v>
      </c>
      <c r="N918" s="61" t="s">
        <v>96</v>
      </c>
      <c r="O918" s="61" t="s">
        <v>96</v>
      </c>
      <c r="P918" s="61" t="s">
        <v>131</v>
      </c>
      <c r="Q918" s="61" t="s">
        <v>96</v>
      </c>
      <c r="R918" s="61" t="s">
        <v>96</v>
      </c>
      <c r="S918" s="61" t="s">
        <v>131</v>
      </c>
      <c r="T918" s="61" t="s">
        <v>96</v>
      </c>
      <c r="U918" s="61" t="s">
        <v>96</v>
      </c>
      <c r="V918" s="61" t="s">
        <v>131</v>
      </c>
      <c r="W918" s="61" t="s">
        <v>96</v>
      </c>
      <c r="X918" s="61" t="s">
        <v>96</v>
      </c>
      <c r="Y918" s="61" t="s">
        <v>129</v>
      </c>
      <c r="Z918" s="142" t="s">
        <v>119</v>
      </c>
      <c r="AA918" s="143" t="s">
        <v>120</v>
      </c>
      <c r="AB918" s="61">
        <v>1</v>
      </c>
    </row>
    <row r="919" spans="1:28" s="57" customFormat="1" ht="43.2" x14ac:dyDescent="0.3">
      <c r="A919" s="16">
        <v>26</v>
      </c>
      <c r="B919" s="23">
        <v>236</v>
      </c>
      <c r="C919" s="27" t="str">
        <f t="shared" si="23"/>
        <v>26.236</v>
      </c>
      <c r="D919" s="18"/>
      <c r="E919" s="64" t="str">
        <f>IF(ISBLANK(D919)=TRUE,"",VLOOKUP(D919,Krav!$C:$F,4,FALSE))</f>
        <v/>
      </c>
      <c r="F919" s="139" t="s">
        <v>174</v>
      </c>
      <c r="G919" s="139"/>
      <c r="H919" s="76" t="s">
        <v>1518</v>
      </c>
      <c r="I919" s="76" t="s">
        <v>457</v>
      </c>
      <c r="J919" s="67" t="s">
        <v>222</v>
      </c>
      <c r="K919" s="123" t="s">
        <v>222</v>
      </c>
      <c r="L919" s="4" t="s">
        <v>4</v>
      </c>
      <c r="M919" s="61" t="s">
        <v>131</v>
      </c>
      <c r="N919" s="61" t="s">
        <v>96</v>
      </c>
      <c r="O919" s="61" t="s">
        <v>96</v>
      </c>
      <c r="P919" s="61" t="s">
        <v>131</v>
      </c>
      <c r="Q919" s="61" t="s">
        <v>96</v>
      </c>
      <c r="R919" s="61" t="s">
        <v>96</v>
      </c>
      <c r="S919" s="61" t="s">
        <v>131</v>
      </c>
      <c r="T919" s="61" t="s">
        <v>96</v>
      </c>
      <c r="U919" s="61" t="s">
        <v>96</v>
      </c>
      <c r="V919" s="61" t="s">
        <v>131</v>
      </c>
      <c r="W919" s="61" t="s">
        <v>96</v>
      </c>
      <c r="X919" s="61" t="s">
        <v>96</v>
      </c>
      <c r="Y919" s="61" t="s">
        <v>129</v>
      </c>
      <c r="Z919" s="143" t="s">
        <v>121</v>
      </c>
      <c r="AA919" s="142" t="s">
        <v>115</v>
      </c>
      <c r="AB919" s="61">
        <v>1</v>
      </c>
    </row>
    <row r="920" spans="1:28" s="57" customFormat="1" ht="43.2" x14ac:dyDescent="0.3">
      <c r="A920" s="16">
        <v>26</v>
      </c>
      <c r="B920" s="23">
        <v>237</v>
      </c>
      <c r="C920" s="27" t="str">
        <f t="shared" si="23"/>
        <v>26.237</v>
      </c>
      <c r="D920" s="18"/>
      <c r="E920" s="64" t="str">
        <f>IF(ISBLANK(D920)=TRUE,"",VLOOKUP(D920,Krav!$C:$F,4,FALSE))</f>
        <v/>
      </c>
      <c r="F920" s="139" t="s">
        <v>418</v>
      </c>
      <c r="G920" s="139" t="s">
        <v>419</v>
      </c>
      <c r="H920" s="76" t="s">
        <v>1519</v>
      </c>
      <c r="I920" s="76" t="s">
        <v>129</v>
      </c>
      <c r="J920" s="96" t="s">
        <v>222</v>
      </c>
      <c r="K920" s="123" t="s">
        <v>222</v>
      </c>
      <c r="L920" s="4" t="s">
        <v>4</v>
      </c>
      <c r="M920" s="61" t="s">
        <v>131</v>
      </c>
      <c r="N920" s="61" t="s">
        <v>96</v>
      </c>
      <c r="O920" s="61" t="s">
        <v>96</v>
      </c>
      <c r="P920" s="61" t="s">
        <v>131</v>
      </c>
      <c r="Q920" s="61" t="s">
        <v>96</v>
      </c>
      <c r="R920" s="61" t="s">
        <v>96</v>
      </c>
      <c r="S920" s="61" t="s">
        <v>131</v>
      </c>
      <c r="T920" s="61" t="s">
        <v>96</v>
      </c>
      <c r="U920" s="61" t="s">
        <v>96</v>
      </c>
      <c r="V920" s="61" t="s">
        <v>131</v>
      </c>
      <c r="W920" s="61" t="s">
        <v>96</v>
      </c>
      <c r="X920" s="61" t="s">
        <v>96</v>
      </c>
      <c r="Y920" s="61" t="s">
        <v>129</v>
      </c>
      <c r="Z920" s="143" t="s">
        <v>121</v>
      </c>
      <c r="AA920" s="142" t="s">
        <v>115</v>
      </c>
      <c r="AB920" s="61">
        <v>1</v>
      </c>
    </row>
    <row r="921" spans="1:28" s="57" customFormat="1" ht="43.2" x14ac:dyDescent="0.3">
      <c r="A921" s="16">
        <v>26</v>
      </c>
      <c r="B921" s="23">
        <v>238</v>
      </c>
      <c r="C921" s="27" t="str">
        <f t="shared" si="23"/>
        <v>26.238</v>
      </c>
      <c r="D921" s="18"/>
      <c r="E921" s="64" t="str">
        <f>IF(ISBLANK(D921)=TRUE,"",VLOOKUP(D921,Krav!$C:$F,4,FALSE))</f>
        <v/>
      </c>
      <c r="F921" s="139" t="s">
        <v>174</v>
      </c>
      <c r="G921" s="139"/>
      <c r="H921" s="76" t="s">
        <v>1520</v>
      </c>
      <c r="I921" s="76" t="s">
        <v>457</v>
      </c>
      <c r="J921" s="67" t="s">
        <v>222</v>
      </c>
      <c r="K921" s="123" t="s">
        <v>222</v>
      </c>
      <c r="L921" s="4" t="s">
        <v>4</v>
      </c>
      <c r="M921" s="61" t="s">
        <v>131</v>
      </c>
      <c r="N921" s="61" t="s">
        <v>96</v>
      </c>
      <c r="O921" s="61" t="s">
        <v>96</v>
      </c>
      <c r="P921" s="61" t="s">
        <v>131</v>
      </c>
      <c r="Q921" s="61" t="s">
        <v>96</v>
      </c>
      <c r="R921" s="61" t="s">
        <v>96</v>
      </c>
      <c r="S921" s="61" t="s">
        <v>131</v>
      </c>
      <c r="T921" s="61" t="s">
        <v>96</v>
      </c>
      <c r="U921" s="61" t="s">
        <v>96</v>
      </c>
      <c r="V921" s="61" t="s">
        <v>131</v>
      </c>
      <c r="W921" s="61" t="s">
        <v>96</v>
      </c>
      <c r="X921" s="61" t="s">
        <v>96</v>
      </c>
      <c r="Y921" s="61" t="s">
        <v>129</v>
      </c>
      <c r="Z921" s="142" t="s">
        <v>113</v>
      </c>
      <c r="AA921" s="143" t="s">
        <v>122</v>
      </c>
      <c r="AB921" s="61">
        <v>1</v>
      </c>
    </row>
    <row r="922" spans="1:28" s="57" customFormat="1" ht="43.2" x14ac:dyDescent="0.3">
      <c r="A922" s="16">
        <v>26</v>
      </c>
      <c r="B922" s="23">
        <v>239</v>
      </c>
      <c r="C922" s="27" t="str">
        <f t="shared" si="23"/>
        <v>26.239</v>
      </c>
      <c r="D922" s="18"/>
      <c r="E922" s="64" t="str">
        <f>IF(ISBLANK(D922)=TRUE,"",VLOOKUP(D922,Krav!$C:$F,4,FALSE))</f>
        <v/>
      </c>
      <c r="F922" s="139" t="s">
        <v>418</v>
      </c>
      <c r="G922" s="139" t="s">
        <v>419</v>
      </c>
      <c r="H922" s="76" t="s">
        <v>1521</v>
      </c>
      <c r="I922" s="76" t="s">
        <v>129</v>
      </c>
      <c r="J922" s="96" t="s">
        <v>222</v>
      </c>
      <c r="K922" s="123" t="s">
        <v>222</v>
      </c>
      <c r="L922" s="4" t="s">
        <v>4</v>
      </c>
      <c r="M922" s="61" t="s">
        <v>131</v>
      </c>
      <c r="N922" s="61" t="s">
        <v>96</v>
      </c>
      <c r="O922" s="61" t="s">
        <v>96</v>
      </c>
      <c r="P922" s="61" t="s">
        <v>131</v>
      </c>
      <c r="Q922" s="61" t="s">
        <v>96</v>
      </c>
      <c r="R922" s="61" t="s">
        <v>96</v>
      </c>
      <c r="S922" s="61" t="s">
        <v>131</v>
      </c>
      <c r="T922" s="61" t="s">
        <v>96</v>
      </c>
      <c r="U922" s="61" t="s">
        <v>96</v>
      </c>
      <c r="V922" s="61" t="s">
        <v>131</v>
      </c>
      <c r="W922" s="61" t="s">
        <v>96</v>
      </c>
      <c r="X922" s="61" t="s">
        <v>96</v>
      </c>
      <c r="Y922" s="61" t="s">
        <v>129</v>
      </c>
      <c r="Z922" s="142" t="s">
        <v>113</v>
      </c>
      <c r="AA922" s="143" t="s">
        <v>122</v>
      </c>
      <c r="AB922" s="61">
        <v>1</v>
      </c>
    </row>
    <row r="923" spans="1:28" s="57" customFormat="1" ht="43.2" x14ac:dyDescent="0.3">
      <c r="A923" s="16">
        <v>26</v>
      </c>
      <c r="B923" s="23">
        <v>240</v>
      </c>
      <c r="C923" s="27" t="str">
        <f t="shared" si="23"/>
        <v>26.240</v>
      </c>
      <c r="D923" s="18"/>
      <c r="E923" s="64" t="str">
        <f>IF(ISBLANK(D923)=TRUE,"",VLOOKUP(D923,Krav!$C:$F,4,FALSE))</f>
        <v/>
      </c>
      <c r="F923" s="139" t="s">
        <v>174</v>
      </c>
      <c r="G923" s="139"/>
      <c r="H923" s="76" t="s">
        <v>1522</v>
      </c>
      <c r="I923" s="76" t="s">
        <v>1363</v>
      </c>
      <c r="J923" s="67" t="s">
        <v>222</v>
      </c>
      <c r="K923" s="123" t="s">
        <v>222</v>
      </c>
      <c r="L923" s="4" t="s">
        <v>4</v>
      </c>
      <c r="M923" s="61" t="s">
        <v>131</v>
      </c>
      <c r="N923" s="61" t="s">
        <v>96</v>
      </c>
      <c r="O923" s="61" t="s">
        <v>96</v>
      </c>
      <c r="P923" s="61" t="s">
        <v>131</v>
      </c>
      <c r="Q923" s="61" t="s">
        <v>96</v>
      </c>
      <c r="R923" s="61" t="s">
        <v>96</v>
      </c>
      <c r="S923" s="61" t="s">
        <v>131</v>
      </c>
      <c r="T923" s="61" t="s">
        <v>96</v>
      </c>
      <c r="U923" s="61" t="s">
        <v>96</v>
      </c>
      <c r="V923" s="61" t="s">
        <v>131</v>
      </c>
      <c r="W923" s="61" t="s">
        <v>96</v>
      </c>
      <c r="X923" s="61" t="s">
        <v>96</v>
      </c>
      <c r="Y923" s="61" t="s">
        <v>129</v>
      </c>
      <c r="Z923" s="143" t="s">
        <v>123</v>
      </c>
      <c r="AA923" s="142" t="s">
        <v>119</v>
      </c>
      <c r="AB923" s="61">
        <v>1</v>
      </c>
    </row>
    <row r="924" spans="1:28" s="57" customFormat="1" ht="43.2" x14ac:dyDescent="0.3">
      <c r="A924" s="16">
        <v>26</v>
      </c>
      <c r="B924" s="23">
        <v>241</v>
      </c>
      <c r="C924" s="27" t="str">
        <f t="shared" si="23"/>
        <v>26.241</v>
      </c>
      <c r="D924" s="18"/>
      <c r="E924" s="64" t="str">
        <f>IF(ISBLANK(D924)=TRUE,"",VLOOKUP(D924,Krav!$C:$F,4,FALSE))</f>
        <v/>
      </c>
      <c r="F924" s="139" t="s">
        <v>418</v>
      </c>
      <c r="G924" s="139" t="s">
        <v>419</v>
      </c>
      <c r="H924" s="76" t="s">
        <v>1523</v>
      </c>
      <c r="I924" s="76" t="s">
        <v>129</v>
      </c>
      <c r="J924" s="96" t="s">
        <v>222</v>
      </c>
      <c r="K924" s="123" t="s">
        <v>222</v>
      </c>
      <c r="L924" s="4" t="s">
        <v>4</v>
      </c>
      <c r="M924" s="61" t="s">
        <v>131</v>
      </c>
      <c r="N924" s="61" t="s">
        <v>96</v>
      </c>
      <c r="O924" s="61" t="s">
        <v>96</v>
      </c>
      <c r="P924" s="61" t="s">
        <v>131</v>
      </c>
      <c r="Q924" s="61" t="s">
        <v>96</v>
      </c>
      <c r="R924" s="61" t="s">
        <v>96</v>
      </c>
      <c r="S924" s="61" t="s">
        <v>131</v>
      </c>
      <c r="T924" s="61" t="s">
        <v>96</v>
      </c>
      <c r="U924" s="61" t="s">
        <v>96</v>
      </c>
      <c r="V924" s="61" t="s">
        <v>131</v>
      </c>
      <c r="W924" s="61" t="s">
        <v>96</v>
      </c>
      <c r="X924" s="61" t="s">
        <v>96</v>
      </c>
      <c r="Y924" s="61" t="s">
        <v>129</v>
      </c>
      <c r="Z924" s="143" t="s">
        <v>123</v>
      </c>
      <c r="AA924" s="142" t="s">
        <v>119</v>
      </c>
      <c r="AB924" s="61">
        <v>1</v>
      </c>
    </row>
    <row r="925" spans="1:28" s="57" customFormat="1" ht="43.2" x14ac:dyDescent="0.3">
      <c r="A925" s="16">
        <v>26</v>
      </c>
      <c r="B925" s="23">
        <v>242</v>
      </c>
      <c r="C925" s="27" t="str">
        <f t="shared" si="23"/>
        <v>26.242</v>
      </c>
      <c r="D925" s="18"/>
      <c r="E925" s="64" t="str">
        <f>IF(ISBLANK(D925)=TRUE,"",VLOOKUP(D925,Krav!$C:$F,4,FALSE))</f>
        <v/>
      </c>
      <c r="F925" s="139" t="s">
        <v>174</v>
      </c>
      <c r="G925" s="139"/>
      <c r="H925" s="76" t="s">
        <v>1524</v>
      </c>
      <c r="I925" s="76" t="s">
        <v>1363</v>
      </c>
      <c r="J925" s="67" t="s">
        <v>222</v>
      </c>
      <c r="K925" s="123" t="s">
        <v>222</v>
      </c>
      <c r="L925" s="4" t="s">
        <v>4</v>
      </c>
      <c r="M925" s="61" t="s">
        <v>131</v>
      </c>
      <c r="N925" s="61" t="s">
        <v>96</v>
      </c>
      <c r="O925" s="61" t="s">
        <v>96</v>
      </c>
      <c r="P925" s="61" t="s">
        <v>131</v>
      </c>
      <c r="Q925" s="61" t="s">
        <v>96</v>
      </c>
      <c r="R925" s="61" t="s">
        <v>96</v>
      </c>
      <c r="S925" s="61" t="s">
        <v>131</v>
      </c>
      <c r="T925" s="61" t="s">
        <v>96</v>
      </c>
      <c r="U925" s="61" t="s">
        <v>96</v>
      </c>
      <c r="V925" s="61" t="s">
        <v>131</v>
      </c>
      <c r="W925" s="61" t="s">
        <v>96</v>
      </c>
      <c r="X925" s="61" t="s">
        <v>96</v>
      </c>
      <c r="Y925" s="61" t="s">
        <v>129</v>
      </c>
      <c r="Z925" s="142" t="s">
        <v>119</v>
      </c>
      <c r="AA925" s="143" t="s">
        <v>124</v>
      </c>
      <c r="AB925" s="61">
        <v>1</v>
      </c>
    </row>
    <row r="926" spans="1:28" s="57" customFormat="1" ht="43.2" x14ac:dyDescent="0.3">
      <c r="A926" s="16">
        <v>26</v>
      </c>
      <c r="B926" s="23">
        <v>243</v>
      </c>
      <c r="C926" s="27" t="str">
        <f t="shared" si="23"/>
        <v>26.243</v>
      </c>
      <c r="D926" s="18"/>
      <c r="E926" s="64" t="str">
        <f>IF(ISBLANK(D926)=TRUE,"",VLOOKUP(D926,Krav!$C:$F,4,FALSE))</f>
        <v/>
      </c>
      <c r="F926" s="139" t="s">
        <v>418</v>
      </c>
      <c r="G926" s="139" t="s">
        <v>419</v>
      </c>
      <c r="H926" s="76" t="s">
        <v>1525</v>
      </c>
      <c r="I926" s="76" t="s">
        <v>129</v>
      </c>
      <c r="J926" s="96" t="s">
        <v>222</v>
      </c>
      <c r="K926" s="123" t="s">
        <v>222</v>
      </c>
      <c r="L926" s="4" t="s">
        <v>4</v>
      </c>
      <c r="M926" s="61" t="s">
        <v>131</v>
      </c>
      <c r="N926" s="61" t="s">
        <v>96</v>
      </c>
      <c r="O926" s="61" t="s">
        <v>96</v>
      </c>
      <c r="P926" s="61" t="s">
        <v>131</v>
      </c>
      <c r="Q926" s="61" t="s">
        <v>96</v>
      </c>
      <c r="R926" s="61" t="s">
        <v>96</v>
      </c>
      <c r="S926" s="61" t="s">
        <v>131</v>
      </c>
      <c r="T926" s="61" t="s">
        <v>96</v>
      </c>
      <c r="U926" s="61" t="s">
        <v>96</v>
      </c>
      <c r="V926" s="61" t="s">
        <v>131</v>
      </c>
      <c r="W926" s="61" t="s">
        <v>96</v>
      </c>
      <c r="X926" s="61" t="s">
        <v>96</v>
      </c>
      <c r="Y926" s="61" t="s">
        <v>129</v>
      </c>
      <c r="Z926" s="142" t="s">
        <v>119</v>
      </c>
      <c r="AA926" s="143" t="s">
        <v>124</v>
      </c>
      <c r="AB926" s="61">
        <v>1</v>
      </c>
    </row>
    <row r="927" spans="1:28" s="57" customFormat="1" ht="43.2" x14ac:dyDescent="0.3">
      <c r="A927" s="16">
        <v>26</v>
      </c>
      <c r="B927" s="23">
        <v>244</v>
      </c>
      <c r="C927" s="27" t="str">
        <f t="shared" si="23"/>
        <v>26.244</v>
      </c>
      <c r="D927" s="18"/>
      <c r="E927" s="64" t="str">
        <f>IF(ISBLANK(D927)=TRUE,"",VLOOKUP(D927,Krav!$C:$F,4,FALSE))</f>
        <v/>
      </c>
      <c r="F927" s="139" t="s">
        <v>174</v>
      </c>
      <c r="G927" s="139"/>
      <c r="H927" s="76" t="s">
        <v>1526</v>
      </c>
      <c r="I927" s="76" t="s">
        <v>1565</v>
      </c>
      <c r="J927" s="67" t="s">
        <v>222</v>
      </c>
      <c r="K927" s="125" t="s">
        <v>222</v>
      </c>
      <c r="L927" s="4" t="s">
        <v>4</v>
      </c>
      <c r="M927" s="61" t="s">
        <v>131</v>
      </c>
      <c r="N927" s="61" t="s">
        <v>96</v>
      </c>
      <c r="O927" s="61" t="s">
        <v>96</v>
      </c>
      <c r="P927" s="61" t="s">
        <v>131</v>
      </c>
      <c r="Q927" s="61" t="s">
        <v>96</v>
      </c>
      <c r="R927" s="61" t="s">
        <v>96</v>
      </c>
      <c r="S927" s="61" t="s">
        <v>131</v>
      </c>
      <c r="T927" s="61" t="s">
        <v>96</v>
      </c>
      <c r="U927" s="61" t="s">
        <v>96</v>
      </c>
      <c r="V927" s="61" t="s">
        <v>131</v>
      </c>
      <c r="W927" s="61" t="s">
        <v>96</v>
      </c>
      <c r="X927" s="61" t="s">
        <v>96</v>
      </c>
      <c r="Y927" s="61" t="s">
        <v>129</v>
      </c>
      <c r="Z927" s="142" t="s">
        <v>119</v>
      </c>
      <c r="AA927" s="143" t="s">
        <v>181</v>
      </c>
      <c r="AB927" s="61">
        <v>1</v>
      </c>
    </row>
    <row r="928" spans="1:28" s="57" customFormat="1" ht="43.2" x14ac:dyDescent="0.3">
      <c r="A928" s="16">
        <v>26</v>
      </c>
      <c r="B928" s="23">
        <v>245</v>
      </c>
      <c r="C928" s="27" t="str">
        <f t="shared" si="23"/>
        <v>26.245</v>
      </c>
      <c r="D928" s="18"/>
      <c r="E928" s="64" t="str">
        <f>IF(ISBLANK(D928)=TRUE,"",VLOOKUP(D928,Krav!$C:$F,4,FALSE))</f>
        <v/>
      </c>
      <c r="F928" s="139" t="s">
        <v>418</v>
      </c>
      <c r="G928" s="139" t="s">
        <v>419</v>
      </c>
      <c r="H928" s="76" t="s">
        <v>1528</v>
      </c>
      <c r="I928" s="76" t="s">
        <v>129</v>
      </c>
      <c r="J928" s="96" t="s">
        <v>222</v>
      </c>
      <c r="K928" s="123" t="s">
        <v>222</v>
      </c>
      <c r="L928" s="4" t="s">
        <v>4</v>
      </c>
      <c r="M928" s="61" t="s">
        <v>131</v>
      </c>
      <c r="N928" s="61" t="s">
        <v>96</v>
      </c>
      <c r="O928" s="61" t="s">
        <v>96</v>
      </c>
      <c r="P928" s="61" t="s">
        <v>131</v>
      </c>
      <c r="Q928" s="61" t="s">
        <v>96</v>
      </c>
      <c r="R928" s="61" t="s">
        <v>96</v>
      </c>
      <c r="S928" s="61" t="s">
        <v>131</v>
      </c>
      <c r="T928" s="61" t="s">
        <v>96</v>
      </c>
      <c r="U928" s="61" t="s">
        <v>96</v>
      </c>
      <c r="V928" s="61" t="s">
        <v>131</v>
      </c>
      <c r="W928" s="61" t="s">
        <v>96</v>
      </c>
      <c r="X928" s="61" t="s">
        <v>96</v>
      </c>
      <c r="Y928" s="61" t="s">
        <v>129</v>
      </c>
      <c r="Z928" s="142" t="s">
        <v>119</v>
      </c>
      <c r="AA928" s="143" t="s">
        <v>181</v>
      </c>
      <c r="AB928" s="61">
        <v>1</v>
      </c>
    </row>
    <row r="929" spans="1:28" s="1" customFormat="1" ht="33" customHeight="1" x14ac:dyDescent="0.3">
      <c r="A929" s="16">
        <v>26</v>
      </c>
      <c r="B929" s="23">
        <v>246</v>
      </c>
      <c r="C929" s="27" t="str">
        <f t="shared" si="23"/>
        <v>26.246</v>
      </c>
      <c r="D929" s="18" t="s">
        <v>1479</v>
      </c>
      <c r="E929" s="64" t="str">
        <f>IF(ISBLANK(D929)=TRUE,"",VLOOKUP(D929,Krav!$C:$F,4,FALSE))</f>
        <v>4.a.2.1.6 - Den indtastede "fra" periode for forfaldsdato skal gemmes i populationsarket</v>
      </c>
      <c r="F929" s="53" t="s">
        <v>221</v>
      </c>
      <c r="G929" s="53" t="s">
        <v>1467</v>
      </c>
      <c r="H929" s="25" t="s">
        <v>1480</v>
      </c>
      <c r="I929" s="65" t="s">
        <v>1481</v>
      </c>
      <c r="J929" s="67" t="s">
        <v>222</v>
      </c>
      <c r="K929" s="123" t="s">
        <v>222</v>
      </c>
      <c r="L929" s="20" t="s">
        <v>3</v>
      </c>
      <c r="M929" s="61" t="s">
        <v>129</v>
      </c>
      <c r="N929" s="61" t="s">
        <v>1481</v>
      </c>
      <c r="O929" s="61" t="s">
        <v>1482</v>
      </c>
      <c r="P929" s="61" t="s">
        <v>129</v>
      </c>
      <c r="Q929" s="61" t="s">
        <v>1481</v>
      </c>
      <c r="R929" s="61" t="s">
        <v>1482</v>
      </c>
      <c r="S929" s="61" t="s">
        <v>129</v>
      </c>
      <c r="T929" s="61" t="s">
        <v>1481</v>
      </c>
      <c r="U929" s="61" t="s">
        <v>1482</v>
      </c>
      <c r="V929" s="61" t="s">
        <v>129</v>
      </c>
      <c r="W929" s="61" t="s">
        <v>1481</v>
      </c>
      <c r="X929" s="61" t="s">
        <v>1482</v>
      </c>
      <c r="Y929" s="61" t="s">
        <v>129</v>
      </c>
      <c r="Z929" s="61" t="s">
        <v>1481</v>
      </c>
      <c r="AA929" s="61" t="s">
        <v>1482</v>
      </c>
      <c r="AB929" s="61">
        <v>1</v>
      </c>
    </row>
    <row r="930" spans="1:28" s="1" customFormat="1" ht="33" customHeight="1" x14ac:dyDescent="0.3">
      <c r="A930" s="16">
        <v>26</v>
      </c>
      <c r="B930" s="23">
        <v>247</v>
      </c>
      <c r="C930" s="27" t="str">
        <f t="shared" si="23"/>
        <v>26.247</v>
      </c>
      <c r="D930" s="18" t="s">
        <v>1483</v>
      </c>
      <c r="E930" s="64" t="str">
        <f>IF(ISBLANK(D930)=TRUE,"",VLOOKUP(D930,Krav!$C:$F,4,FALSE))</f>
        <v>4.a.2.1.7 - Den indtastede "til" periode for forfaldsdato skal gemmes i populationsarket</v>
      </c>
      <c r="F930" s="53" t="s">
        <v>221</v>
      </c>
      <c r="G930" s="53" t="s">
        <v>1468</v>
      </c>
      <c r="H930" s="25" t="s">
        <v>1480</v>
      </c>
      <c r="I930" s="65" t="s">
        <v>1482</v>
      </c>
      <c r="J930" s="67" t="s">
        <v>222</v>
      </c>
      <c r="K930" s="123" t="s">
        <v>222</v>
      </c>
      <c r="L930" s="20" t="s">
        <v>3</v>
      </c>
      <c r="M930" s="61" t="s">
        <v>129</v>
      </c>
      <c r="N930" s="61" t="s">
        <v>1481</v>
      </c>
      <c r="O930" s="61" t="s">
        <v>1482</v>
      </c>
      <c r="P930" s="61" t="s">
        <v>129</v>
      </c>
      <c r="Q930" s="61" t="s">
        <v>1481</v>
      </c>
      <c r="R930" s="61" t="s">
        <v>1482</v>
      </c>
      <c r="S930" s="61" t="s">
        <v>129</v>
      </c>
      <c r="T930" s="61" t="s">
        <v>1481</v>
      </c>
      <c r="U930" s="61" t="s">
        <v>1482</v>
      </c>
      <c r="V930" s="61" t="s">
        <v>129</v>
      </c>
      <c r="W930" s="61" t="s">
        <v>1481</v>
      </c>
      <c r="X930" s="61" t="s">
        <v>1482</v>
      </c>
      <c r="Y930" s="61" t="s">
        <v>129</v>
      </c>
      <c r="Z930" s="61" t="s">
        <v>1481</v>
      </c>
      <c r="AA930" s="61" t="s">
        <v>1482</v>
      </c>
      <c r="AB930" s="61">
        <v>1</v>
      </c>
    </row>
    <row r="931" spans="1:28" s="1" customFormat="1" ht="33" customHeight="1" x14ac:dyDescent="0.3">
      <c r="A931" s="16">
        <v>26</v>
      </c>
      <c r="B931" s="23">
        <v>248</v>
      </c>
      <c r="C931" s="27" t="str">
        <f t="shared" si="23"/>
        <v>26.248</v>
      </c>
      <c r="D931" s="18" t="s">
        <v>1484</v>
      </c>
      <c r="E931" s="64" t="str">
        <f>IF(ISBLANK(D931)=TRUE,"",VLOOKUP(D931,Krav!$C:$F,4,FALSE))</f>
        <v>4.a.2.1.8 - Den indtastede "fra" periode for sidste rettidige betalingsdato skal gemmes i populationsarket</v>
      </c>
      <c r="F931" s="53" t="s">
        <v>221</v>
      </c>
      <c r="G931" s="53" t="s">
        <v>1469</v>
      </c>
      <c r="H931" s="25" t="s">
        <v>1566</v>
      </c>
      <c r="I931" s="65" t="s">
        <v>1481</v>
      </c>
      <c r="J931" s="67" t="s">
        <v>222</v>
      </c>
      <c r="K931" s="123" t="s">
        <v>222</v>
      </c>
      <c r="L931" s="20" t="s">
        <v>3</v>
      </c>
      <c r="M931" s="61" t="s">
        <v>129</v>
      </c>
      <c r="N931" s="61" t="s">
        <v>1481</v>
      </c>
      <c r="O931" s="61" t="s">
        <v>1482</v>
      </c>
      <c r="P931" s="61" t="s">
        <v>129</v>
      </c>
      <c r="Q931" s="61" t="s">
        <v>1481</v>
      </c>
      <c r="R931" s="61" t="s">
        <v>1482</v>
      </c>
      <c r="S931" s="61" t="s">
        <v>129</v>
      </c>
      <c r="T931" s="61" t="s">
        <v>1481</v>
      </c>
      <c r="U931" s="61" t="s">
        <v>1482</v>
      </c>
      <c r="V931" s="61" t="s">
        <v>129</v>
      </c>
      <c r="W931" s="61" t="s">
        <v>1481</v>
      </c>
      <c r="X931" s="61" t="s">
        <v>1482</v>
      </c>
      <c r="Y931" s="61" t="s">
        <v>129</v>
      </c>
      <c r="Z931" s="61" t="s">
        <v>1481</v>
      </c>
      <c r="AA931" s="61" t="s">
        <v>1482</v>
      </c>
      <c r="AB931" s="61">
        <v>1</v>
      </c>
    </row>
    <row r="932" spans="1:28" s="1" customFormat="1" ht="33" customHeight="1" x14ac:dyDescent="0.3">
      <c r="A932" s="16">
        <v>26</v>
      </c>
      <c r="B932" s="23">
        <v>249</v>
      </c>
      <c r="C932" s="27" t="str">
        <f t="shared" si="23"/>
        <v>26.249</v>
      </c>
      <c r="D932" s="18" t="s">
        <v>1486</v>
      </c>
      <c r="E932" s="64" t="str">
        <f>IF(ISBLANK(D932)=TRUE,"",VLOOKUP(D932,Krav!$C:$F,4,FALSE))</f>
        <v>4.a.2.1.9 - Den indtastede "til" periode for sidste rettidige betalingsdato skal gemmes i populationsarket</v>
      </c>
      <c r="F932" s="53" t="s">
        <v>221</v>
      </c>
      <c r="G932" s="53" t="s">
        <v>1470</v>
      </c>
      <c r="H932" s="25" t="s">
        <v>1566</v>
      </c>
      <c r="I932" s="65" t="s">
        <v>1482</v>
      </c>
      <c r="J932" s="67" t="s">
        <v>222</v>
      </c>
      <c r="K932" s="123" t="s">
        <v>222</v>
      </c>
      <c r="L932" s="20" t="s">
        <v>3</v>
      </c>
      <c r="M932" s="61" t="s">
        <v>129</v>
      </c>
      <c r="N932" s="61" t="s">
        <v>1481</v>
      </c>
      <c r="O932" s="61" t="s">
        <v>1482</v>
      </c>
      <c r="P932" s="61" t="s">
        <v>129</v>
      </c>
      <c r="Q932" s="61" t="s">
        <v>1481</v>
      </c>
      <c r="R932" s="61" t="s">
        <v>1482</v>
      </c>
      <c r="S932" s="61" t="s">
        <v>129</v>
      </c>
      <c r="T932" s="61" t="s">
        <v>1481</v>
      </c>
      <c r="U932" s="61" t="s">
        <v>1482</v>
      </c>
      <c r="V932" s="61" t="s">
        <v>129</v>
      </c>
      <c r="W932" s="61" t="s">
        <v>1481</v>
      </c>
      <c r="X932" s="61" t="s">
        <v>1482</v>
      </c>
      <c r="Y932" s="61" t="s">
        <v>129</v>
      </c>
      <c r="Z932" s="61" t="s">
        <v>1481</v>
      </c>
      <c r="AA932" s="61" t="s">
        <v>1482</v>
      </c>
      <c r="AB932" s="61">
        <v>1</v>
      </c>
    </row>
    <row r="933" spans="1:28" s="1" customFormat="1" ht="33" customHeight="1" x14ac:dyDescent="0.3">
      <c r="A933" s="16">
        <v>26</v>
      </c>
      <c r="B933" s="23">
        <v>250</v>
      </c>
      <c r="C933" s="27" t="str">
        <f t="shared" si="23"/>
        <v>26.250</v>
      </c>
      <c r="D933" s="18" t="s">
        <v>1487</v>
      </c>
      <c r="E933" s="64" t="str">
        <f>IF(ISBLANK(D933)=TRUE,"",VLOOKUP(D933,Krav!$C:$F,4,FALSE))</f>
        <v>4.a.2.1.3 - Den indtastede "fra" periode for stiftelsesdato skal gemmes i populationsarket</v>
      </c>
      <c r="F933" s="53" t="s">
        <v>221</v>
      </c>
      <c r="G933" s="53" t="s">
        <v>1471</v>
      </c>
      <c r="H933" s="25" t="s">
        <v>1541</v>
      </c>
      <c r="I933" s="65" t="s">
        <v>1481</v>
      </c>
      <c r="J933" s="67" t="s">
        <v>222</v>
      </c>
      <c r="K933" s="123" t="s">
        <v>222</v>
      </c>
      <c r="L933" s="20" t="s">
        <v>3</v>
      </c>
      <c r="M933" s="61" t="s">
        <v>129</v>
      </c>
      <c r="N933" s="61" t="s">
        <v>1481</v>
      </c>
      <c r="O933" s="61" t="s">
        <v>1482</v>
      </c>
      <c r="P933" s="61" t="s">
        <v>129</v>
      </c>
      <c r="Q933" s="61" t="s">
        <v>1481</v>
      </c>
      <c r="R933" s="61" t="s">
        <v>1482</v>
      </c>
      <c r="S933" s="61" t="s">
        <v>129</v>
      </c>
      <c r="T933" s="61" t="s">
        <v>1481</v>
      </c>
      <c r="U933" s="61" t="s">
        <v>1482</v>
      </c>
      <c r="V933" s="61" t="s">
        <v>129</v>
      </c>
      <c r="W933" s="61" t="s">
        <v>1481</v>
      </c>
      <c r="X933" s="61" t="s">
        <v>1482</v>
      </c>
      <c r="Y933" s="61" t="s">
        <v>129</v>
      </c>
      <c r="Z933" s="61" t="s">
        <v>1481</v>
      </c>
      <c r="AA933" s="61" t="s">
        <v>1482</v>
      </c>
      <c r="AB933" s="61">
        <v>1</v>
      </c>
    </row>
    <row r="934" spans="1:28" s="1" customFormat="1" ht="33" customHeight="1" x14ac:dyDescent="0.3">
      <c r="A934" s="16">
        <v>26</v>
      </c>
      <c r="B934" s="23">
        <v>251</v>
      </c>
      <c r="C934" s="27" t="str">
        <f t="shared" si="23"/>
        <v>26.251</v>
      </c>
      <c r="D934" s="18" t="s">
        <v>1489</v>
      </c>
      <c r="E934" s="64" t="str">
        <f>IF(ISBLANK(D934)=TRUE,"",VLOOKUP(D934,Krav!$C:$F,4,FALSE))</f>
        <v>4.a.2.1.5 - Den indtastede "til" periode for stiftelsesdato skal gemmes i populationsarket</v>
      </c>
      <c r="F934" s="53" t="s">
        <v>221</v>
      </c>
      <c r="G934" s="53" t="s">
        <v>1472</v>
      </c>
      <c r="H934" s="25" t="s">
        <v>1541</v>
      </c>
      <c r="I934" s="65" t="s">
        <v>1482</v>
      </c>
      <c r="J934" s="67" t="s">
        <v>222</v>
      </c>
      <c r="K934" s="123" t="s">
        <v>222</v>
      </c>
      <c r="L934" s="20" t="s">
        <v>3</v>
      </c>
      <c r="M934" s="61" t="s">
        <v>129</v>
      </c>
      <c r="N934" s="61" t="s">
        <v>1481</v>
      </c>
      <c r="O934" s="61" t="s">
        <v>1482</v>
      </c>
      <c r="P934" s="61" t="s">
        <v>129</v>
      </c>
      <c r="Q934" s="61" t="s">
        <v>1481</v>
      </c>
      <c r="R934" s="61" t="s">
        <v>1482</v>
      </c>
      <c r="S934" s="61" t="s">
        <v>129</v>
      </c>
      <c r="T934" s="61" t="s">
        <v>1481</v>
      </c>
      <c r="U934" s="61" t="s">
        <v>1482</v>
      </c>
      <c r="V934" s="61" t="s">
        <v>129</v>
      </c>
      <c r="W934" s="61" t="s">
        <v>1481</v>
      </c>
      <c r="X934" s="61" t="s">
        <v>1482</v>
      </c>
      <c r="Y934" s="61" t="s">
        <v>129</v>
      </c>
      <c r="Z934" s="61" t="s">
        <v>1481</v>
      </c>
      <c r="AA934" s="61" t="s">
        <v>1482</v>
      </c>
      <c r="AB934" s="61">
        <v>1</v>
      </c>
    </row>
    <row r="935" spans="1:28" s="1" customFormat="1" ht="33" customHeight="1" x14ac:dyDescent="0.3">
      <c r="A935" s="16">
        <v>26</v>
      </c>
      <c r="B935" s="23">
        <v>252</v>
      </c>
      <c r="C935" s="27" t="str">
        <f t="shared" si="23"/>
        <v>26.252</v>
      </c>
      <c r="D935" s="18" t="s">
        <v>1490</v>
      </c>
      <c r="E935" s="64" t="str">
        <f>IF(ISBLANK(D935)=TRUE,"",VLOOKUP(D935,Krav!$C:$F,4,FALSE))</f>
        <v>4.a.2.1.10 - Den indtastede "fra" periode for periode start skal gemmes i populationsarket</v>
      </c>
      <c r="F935" s="53" t="s">
        <v>221</v>
      </c>
      <c r="G935" s="53" t="s">
        <v>1474</v>
      </c>
      <c r="H935" s="25" t="s">
        <v>1548</v>
      </c>
      <c r="I935" s="65" t="s">
        <v>1481</v>
      </c>
      <c r="J935" s="67" t="s">
        <v>222</v>
      </c>
      <c r="K935" s="123" t="s">
        <v>222</v>
      </c>
      <c r="L935" s="20" t="s">
        <v>3</v>
      </c>
      <c r="M935" s="61" t="s">
        <v>129</v>
      </c>
      <c r="N935" s="61" t="s">
        <v>1481</v>
      </c>
      <c r="O935" s="61" t="s">
        <v>1482</v>
      </c>
      <c r="P935" s="61" t="s">
        <v>129</v>
      </c>
      <c r="Q935" s="61" t="s">
        <v>1481</v>
      </c>
      <c r="R935" s="61" t="s">
        <v>1482</v>
      </c>
      <c r="S935" s="61" t="s">
        <v>129</v>
      </c>
      <c r="T935" s="61" t="s">
        <v>1481</v>
      </c>
      <c r="U935" s="61" t="s">
        <v>1482</v>
      </c>
      <c r="V935" s="61" t="s">
        <v>129</v>
      </c>
      <c r="W935" s="61" t="s">
        <v>1481</v>
      </c>
      <c r="X935" s="61" t="s">
        <v>1482</v>
      </c>
      <c r="Y935" s="61" t="s">
        <v>129</v>
      </c>
      <c r="Z935" s="61" t="s">
        <v>1481</v>
      </c>
      <c r="AA935" s="61" t="s">
        <v>1482</v>
      </c>
      <c r="AB935" s="61">
        <v>1</v>
      </c>
    </row>
    <row r="936" spans="1:28" s="1" customFormat="1" ht="33" customHeight="1" x14ac:dyDescent="0.3">
      <c r="A936" s="16">
        <v>26</v>
      </c>
      <c r="B936" s="23">
        <v>253</v>
      </c>
      <c r="C936" s="27" t="str">
        <f t="shared" si="23"/>
        <v>26.253</v>
      </c>
      <c r="D936" s="18" t="s">
        <v>1492</v>
      </c>
      <c r="E936" s="64" t="str">
        <f>IF(ISBLANK(D936)=TRUE,"",VLOOKUP(D936,Krav!$C:$F,4,FALSE))</f>
        <v>4.a.2.1.11 - Den indtastede "til" periode for periode start skal gemmes i populationsarket</v>
      </c>
      <c r="F936" s="53" t="s">
        <v>221</v>
      </c>
      <c r="G936" s="53" t="s">
        <v>1475</v>
      </c>
      <c r="H936" s="25" t="s">
        <v>1548</v>
      </c>
      <c r="I936" s="65" t="s">
        <v>1482</v>
      </c>
      <c r="J936" s="67" t="s">
        <v>222</v>
      </c>
      <c r="K936" s="123" t="s">
        <v>222</v>
      </c>
      <c r="L936" s="20" t="s">
        <v>3</v>
      </c>
      <c r="M936" s="61" t="s">
        <v>129</v>
      </c>
      <c r="N936" s="61" t="s">
        <v>1481</v>
      </c>
      <c r="O936" s="61" t="s">
        <v>1482</v>
      </c>
      <c r="P936" s="61" t="s">
        <v>129</v>
      </c>
      <c r="Q936" s="61" t="s">
        <v>1481</v>
      </c>
      <c r="R936" s="61" t="s">
        <v>1482</v>
      </c>
      <c r="S936" s="61" t="s">
        <v>129</v>
      </c>
      <c r="T936" s="61" t="s">
        <v>1481</v>
      </c>
      <c r="U936" s="61" t="s">
        <v>1482</v>
      </c>
      <c r="V936" s="61" t="s">
        <v>129</v>
      </c>
      <c r="W936" s="61" t="s">
        <v>1481</v>
      </c>
      <c r="X936" s="61" t="s">
        <v>1482</v>
      </c>
      <c r="Y936" s="61" t="s">
        <v>129</v>
      </c>
      <c r="Z936" s="61" t="s">
        <v>1481</v>
      </c>
      <c r="AA936" s="61" t="s">
        <v>1482</v>
      </c>
      <c r="AB936" s="61">
        <v>1</v>
      </c>
    </row>
    <row r="937" spans="1:28" s="1" customFormat="1" ht="33" customHeight="1" x14ac:dyDescent="0.3">
      <c r="A937" s="16">
        <v>26</v>
      </c>
      <c r="B937" s="23">
        <v>254</v>
      </c>
      <c r="C937" s="27" t="str">
        <f t="shared" si="23"/>
        <v>26.254</v>
      </c>
      <c r="D937" s="18" t="s">
        <v>1493</v>
      </c>
      <c r="E937" s="64" t="str">
        <f>IF(ISBLANK(D937)=TRUE,"",VLOOKUP(D937,Krav!$C:$F,4,FALSE))</f>
        <v>4.a.2.1.12 - Den indtastede "fra" periode for periode slut skal gemmes i populationsarket</v>
      </c>
      <c r="F937" s="53" t="s">
        <v>221</v>
      </c>
      <c r="G937" s="53" t="s">
        <v>1477</v>
      </c>
      <c r="H937" s="25" t="s">
        <v>1556</v>
      </c>
      <c r="I937" s="65" t="s">
        <v>1481</v>
      </c>
      <c r="J937" s="67" t="s">
        <v>222</v>
      </c>
      <c r="K937" s="123" t="s">
        <v>222</v>
      </c>
      <c r="L937" s="20" t="s">
        <v>3</v>
      </c>
      <c r="M937" s="61" t="s">
        <v>129</v>
      </c>
      <c r="N937" s="61" t="s">
        <v>1481</v>
      </c>
      <c r="O937" s="61" t="s">
        <v>1482</v>
      </c>
      <c r="P937" s="61" t="s">
        <v>129</v>
      </c>
      <c r="Q937" s="61" t="s">
        <v>1481</v>
      </c>
      <c r="R937" s="61" t="s">
        <v>1482</v>
      </c>
      <c r="S937" s="61" t="s">
        <v>129</v>
      </c>
      <c r="T937" s="61" t="s">
        <v>1481</v>
      </c>
      <c r="U937" s="61" t="s">
        <v>1482</v>
      </c>
      <c r="V937" s="61" t="s">
        <v>129</v>
      </c>
      <c r="W937" s="61" t="s">
        <v>1481</v>
      </c>
      <c r="X937" s="61" t="s">
        <v>1482</v>
      </c>
      <c r="Y937" s="61" t="s">
        <v>129</v>
      </c>
      <c r="Z937" s="61" t="s">
        <v>1481</v>
      </c>
      <c r="AA937" s="61" t="s">
        <v>1482</v>
      </c>
      <c r="AB937" s="61">
        <v>1</v>
      </c>
    </row>
    <row r="938" spans="1:28" s="1" customFormat="1" ht="33" customHeight="1" x14ac:dyDescent="0.3">
      <c r="A938" s="16">
        <v>26</v>
      </c>
      <c r="B938" s="23">
        <v>255</v>
      </c>
      <c r="C938" s="27" t="str">
        <f t="shared" si="23"/>
        <v>26.255</v>
      </c>
      <c r="D938" s="18" t="s">
        <v>1495</v>
      </c>
      <c r="E938" s="64" t="str">
        <f>IF(ISBLANK(D938)=TRUE,"",VLOOKUP(D938,Krav!$C:$F,4,FALSE))</f>
        <v>4.a.2.1.13 - Den indtastede "til" periode for periode slut skal gemmes i populationsarket</v>
      </c>
      <c r="F938" s="53" t="s">
        <v>221</v>
      </c>
      <c r="G938" s="53" t="s">
        <v>1478</v>
      </c>
      <c r="H938" s="25" t="s">
        <v>1556</v>
      </c>
      <c r="I938" s="65" t="s">
        <v>1482</v>
      </c>
      <c r="J938" s="67" t="s">
        <v>222</v>
      </c>
      <c r="K938" s="123" t="s">
        <v>222</v>
      </c>
      <c r="L938" s="20" t="s">
        <v>3</v>
      </c>
      <c r="M938" s="61" t="s">
        <v>129</v>
      </c>
      <c r="N938" s="61" t="s">
        <v>1481</v>
      </c>
      <c r="O938" s="61" t="s">
        <v>1482</v>
      </c>
      <c r="P938" s="61" t="s">
        <v>129</v>
      </c>
      <c r="Q938" s="61" t="s">
        <v>1481</v>
      </c>
      <c r="R938" s="61" t="s">
        <v>1482</v>
      </c>
      <c r="S938" s="61" t="s">
        <v>129</v>
      </c>
      <c r="T938" s="61" t="s">
        <v>1481</v>
      </c>
      <c r="U938" s="61" t="s">
        <v>1482</v>
      </c>
      <c r="V938" s="61" t="s">
        <v>129</v>
      </c>
      <c r="W938" s="61" t="s">
        <v>1481</v>
      </c>
      <c r="X938" s="61" t="s">
        <v>1482</v>
      </c>
      <c r="Y938" s="61" t="s">
        <v>129</v>
      </c>
      <c r="Z938" s="61" t="s">
        <v>1481</v>
      </c>
      <c r="AA938" s="61" t="s">
        <v>1482</v>
      </c>
      <c r="AB938" s="61">
        <v>1</v>
      </c>
    </row>
    <row r="939" spans="1:28" s="1" customFormat="1" ht="33" customHeight="1" x14ac:dyDescent="0.3">
      <c r="A939" s="16">
        <v>26</v>
      </c>
      <c r="B939" s="23">
        <v>256</v>
      </c>
      <c r="C939" s="27" t="str">
        <f t="shared" si="23"/>
        <v>26.256</v>
      </c>
      <c r="D939" s="18"/>
      <c r="E939" s="64" t="str">
        <f>IF(ISBLANK(D939)=TRUE,"",VLOOKUP(D939,Krav!$C:$F,4,FALSE))</f>
        <v/>
      </c>
      <c r="F939" s="53" t="s">
        <v>225</v>
      </c>
      <c r="G939" s="53" t="s">
        <v>521</v>
      </c>
      <c r="H939" s="25" t="s">
        <v>1496</v>
      </c>
      <c r="I939" s="65" t="s">
        <v>509</v>
      </c>
      <c r="J939" s="67" t="s">
        <v>222</v>
      </c>
      <c r="K939" s="123" t="s">
        <v>222</v>
      </c>
      <c r="L939" s="20" t="s">
        <v>3</v>
      </c>
      <c r="M939" s="61" t="s">
        <v>129</v>
      </c>
      <c r="N939" s="61" t="s">
        <v>1481</v>
      </c>
      <c r="O939" s="61" t="s">
        <v>1482</v>
      </c>
      <c r="P939" s="61" t="s">
        <v>129</v>
      </c>
      <c r="Q939" s="61" t="s">
        <v>1481</v>
      </c>
      <c r="R939" s="61" t="s">
        <v>1482</v>
      </c>
      <c r="S939" s="61" t="s">
        <v>129</v>
      </c>
      <c r="T939" s="61" t="s">
        <v>1481</v>
      </c>
      <c r="U939" s="61" t="s">
        <v>1482</v>
      </c>
      <c r="V939" s="61" t="s">
        <v>129</v>
      </c>
      <c r="W939" s="61" t="s">
        <v>1481</v>
      </c>
      <c r="X939" s="61" t="s">
        <v>1482</v>
      </c>
      <c r="Y939" s="61" t="s">
        <v>129</v>
      </c>
      <c r="Z939" s="61" t="s">
        <v>1481</v>
      </c>
      <c r="AA939" s="61" t="s">
        <v>1482</v>
      </c>
      <c r="AB939" s="61">
        <v>1</v>
      </c>
    </row>
    <row r="940" spans="1:28" s="1" customFormat="1" ht="33" customHeight="1" x14ac:dyDescent="0.3">
      <c r="A940" s="16">
        <v>26</v>
      </c>
      <c r="B940" s="23">
        <v>257</v>
      </c>
      <c r="C940" s="27" t="str">
        <f t="shared" si="23"/>
        <v>26.257</v>
      </c>
      <c r="D940" s="18"/>
      <c r="E940" s="64" t="str">
        <f>IF(ISBLANK(D940)=TRUE,"",VLOOKUP(D940,Krav!$C:$F,4,FALSE))</f>
        <v/>
      </c>
      <c r="F940" s="53" t="s">
        <v>225</v>
      </c>
      <c r="G940" s="53" t="s">
        <v>1467</v>
      </c>
      <c r="H940" s="25" t="s">
        <v>1497</v>
      </c>
      <c r="I940" s="65" t="s">
        <v>1481</v>
      </c>
      <c r="J940" s="67" t="s">
        <v>222</v>
      </c>
      <c r="K940" s="123" t="s">
        <v>222</v>
      </c>
      <c r="L940" s="20" t="s">
        <v>3</v>
      </c>
      <c r="M940" s="61" t="s">
        <v>129</v>
      </c>
      <c r="N940" s="61" t="s">
        <v>1481</v>
      </c>
      <c r="O940" s="61" t="s">
        <v>1482</v>
      </c>
      <c r="P940" s="61" t="s">
        <v>129</v>
      </c>
      <c r="Q940" s="61" t="s">
        <v>1481</v>
      </c>
      <c r="R940" s="61" t="s">
        <v>1482</v>
      </c>
      <c r="S940" s="61" t="s">
        <v>129</v>
      </c>
      <c r="T940" s="61" t="s">
        <v>1481</v>
      </c>
      <c r="U940" s="61" t="s">
        <v>1482</v>
      </c>
      <c r="V940" s="61" t="s">
        <v>129</v>
      </c>
      <c r="W940" s="61" t="s">
        <v>1481</v>
      </c>
      <c r="X940" s="61" t="s">
        <v>1482</v>
      </c>
      <c r="Y940" s="61" t="s">
        <v>129</v>
      </c>
      <c r="Z940" s="61" t="s">
        <v>1481</v>
      </c>
      <c r="AA940" s="61" t="s">
        <v>1482</v>
      </c>
      <c r="AB940" s="61">
        <v>1</v>
      </c>
    </row>
    <row r="941" spans="1:28" s="1" customFormat="1" ht="33" customHeight="1" x14ac:dyDescent="0.3">
      <c r="A941" s="16">
        <v>26</v>
      </c>
      <c r="B941" s="23">
        <v>258</v>
      </c>
      <c r="C941" s="27" t="str">
        <f t="shared" si="23"/>
        <v>26.258</v>
      </c>
      <c r="D941" s="18"/>
      <c r="E941" s="64" t="str">
        <f>IF(ISBLANK(D941)=TRUE,"",VLOOKUP(D941,Krav!$C:$F,4,FALSE))</f>
        <v/>
      </c>
      <c r="F941" s="53" t="s">
        <v>225</v>
      </c>
      <c r="G941" s="53" t="s">
        <v>1468</v>
      </c>
      <c r="H941" s="25" t="s">
        <v>1497</v>
      </c>
      <c r="I941" s="65" t="s">
        <v>1482</v>
      </c>
      <c r="J941" s="67" t="s">
        <v>222</v>
      </c>
      <c r="K941" s="123" t="s">
        <v>222</v>
      </c>
      <c r="L941" s="20" t="s">
        <v>3</v>
      </c>
      <c r="M941" s="61" t="s">
        <v>129</v>
      </c>
      <c r="N941" s="61" t="s">
        <v>1481</v>
      </c>
      <c r="O941" s="61" t="s">
        <v>1482</v>
      </c>
      <c r="P941" s="61" t="s">
        <v>129</v>
      </c>
      <c r="Q941" s="61" t="s">
        <v>1481</v>
      </c>
      <c r="R941" s="61" t="s">
        <v>1482</v>
      </c>
      <c r="S941" s="61" t="s">
        <v>129</v>
      </c>
      <c r="T941" s="61" t="s">
        <v>1481</v>
      </c>
      <c r="U941" s="61" t="s">
        <v>1482</v>
      </c>
      <c r="V941" s="61" t="s">
        <v>129</v>
      </c>
      <c r="W941" s="61" t="s">
        <v>1481</v>
      </c>
      <c r="X941" s="61" t="s">
        <v>1482</v>
      </c>
      <c r="Y941" s="61" t="s">
        <v>129</v>
      </c>
      <c r="Z941" s="61" t="s">
        <v>1481</v>
      </c>
      <c r="AA941" s="61" t="s">
        <v>1482</v>
      </c>
      <c r="AB941" s="61">
        <v>1</v>
      </c>
    </row>
    <row r="942" spans="1:28" s="1" customFormat="1" ht="33" customHeight="1" x14ac:dyDescent="0.3">
      <c r="A942" s="16">
        <v>26</v>
      </c>
      <c r="B942" s="23">
        <v>259</v>
      </c>
      <c r="C942" s="27" t="str">
        <f t="shared" ref="C942:C987" si="24">IF(B942&lt;10,_xlfn.CONCAT(A942,".0",B942),_xlfn.CONCAT(A942,".",B942))</f>
        <v>26.259</v>
      </c>
      <c r="D942" s="18"/>
      <c r="E942" s="64" t="str">
        <f>IF(ISBLANK(D942)=TRUE,"",VLOOKUP(D942,Krav!$C:$F,4,FALSE))</f>
        <v/>
      </c>
      <c r="F942" s="53" t="s">
        <v>225</v>
      </c>
      <c r="G942" s="53" t="s">
        <v>522</v>
      </c>
      <c r="H942" s="25" t="s">
        <v>1533</v>
      </c>
      <c r="I942" s="67" t="s">
        <v>1534</v>
      </c>
      <c r="J942" s="67" t="s">
        <v>222</v>
      </c>
      <c r="K942" s="123" t="s">
        <v>222</v>
      </c>
      <c r="L942" s="20" t="s">
        <v>3</v>
      </c>
      <c r="M942" s="61" t="s">
        <v>129</v>
      </c>
      <c r="N942" s="61" t="s">
        <v>1481</v>
      </c>
      <c r="O942" s="61" t="s">
        <v>1482</v>
      </c>
      <c r="P942" s="61" t="s">
        <v>129</v>
      </c>
      <c r="Q942" s="61" t="s">
        <v>1481</v>
      </c>
      <c r="R942" s="61" t="s">
        <v>1482</v>
      </c>
      <c r="S942" s="61" t="s">
        <v>129</v>
      </c>
      <c r="T942" s="61" t="s">
        <v>1481</v>
      </c>
      <c r="U942" s="61" t="s">
        <v>1482</v>
      </c>
      <c r="V942" s="61" t="s">
        <v>129</v>
      </c>
      <c r="W942" s="61" t="s">
        <v>1481</v>
      </c>
      <c r="X942" s="61" t="s">
        <v>1482</v>
      </c>
      <c r="Y942" s="61" t="s">
        <v>129</v>
      </c>
      <c r="Z942" s="61" t="s">
        <v>1481</v>
      </c>
      <c r="AA942" s="61" t="s">
        <v>1482</v>
      </c>
      <c r="AB942" s="61">
        <v>1</v>
      </c>
    </row>
    <row r="943" spans="1:28" s="1" customFormat="1" ht="33" customHeight="1" x14ac:dyDescent="0.3">
      <c r="A943" s="16">
        <v>26</v>
      </c>
      <c r="B943" s="23">
        <v>260</v>
      </c>
      <c r="C943" s="27" t="str">
        <f t="shared" si="24"/>
        <v>26.260</v>
      </c>
      <c r="D943" s="18"/>
      <c r="E943" s="64" t="str">
        <f>IF(ISBLANK(D943)=TRUE,"",VLOOKUP(D943,Krav!$C:$F,4,FALSE))</f>
        <v/>
      </c>
      <c r="F943" s="53" t="s">
        <v>225</v>
      </c>
      <c r="G943" s="53" t="s">
        <v>1469</v>
      </c>
      <c r="H943" s="25" t="s">
        <v>1535</v>
      </c>
      <c r="I943" s="65" t="s">
        <v>1481</v>
      </c>
      <c r="J943" s="67" t="s">
        <v>222</v>
      </c>
      <c r="K943" s="123" t="s">
        <v>222</v>
      </c>
      <c r="L943" s="20" t="s">
        <v>3</v>
      </c>
      <c r="M943" s="61" t="s">
        <v>129</v>
      </c>
      <c r="N943" s="61" t="s">
        <v>1481</v>
      </c>
      <c r="O943" s="61" t="s">
        <v>1482</v>
      </c>
      <c r="P943" s="61" t="s">
        <v>129</v>
      </c>
      <c r="Q943" s="61" t="s">
        <v>1481</v>
      </c>
      <c r="R943" s="61" t="s">
        <v>1482</v>
      </c>
      <c r="S943" s="61" t="s">
        <v>129</v>
      </c>
      <c r="T943" s="61" t="s">
        <v>1481</v>
      </c>
      <c r="U943" s="61" t="s">
        <v>1482</v>
      </c>
      <c r="V943" s="61" t="s">
        <v>129</v>
      </c>
      <c r="W943" s="61" t="s">
        <v>1481</v>
      </c>
      <c r="X943" s="61" t="s">
        <v>1482</v>
      </c>
      <c r="Y943" s="61" t="s">
        <v>129</v>
      </c>
      <c r="Z943" s="61" t="s">
        <v>1481</v>
      </c>
      <c r="AA943" s="61" t="s">
        <v>1482</v>
      </c>
      <c r="AB943" s="61">
        <v>1</v>
      </c>
    </row>
    <row r="944" spans="1:28" s="1" customFormat="1" ht="33" customHeight="1" x14ac:dyDescent="0.3">
      <c r="A944" s="16">
        <v>26</v>
      </c>
      <c r="B944" s="23">
        <v>261</v>
      </c>
      <c r="C944" s="27" t="str">
        <f t="shared" si="24"/>
        <v>26.261</v>
      </c>
      <c r="D944" s="18"/>
      <c r="E944" s="64" t="str">
        <f>IF(ISBLANK(D944)=TRUE,"",VLOOKUP(D944,Krav!$C:$F,4,FALSE))</f>
        <v/>
      </c>
      <c r="F944" s="53" t="s">
        <v>225</v>
      </c>
      <c r="G944" s="53" t="s">
        <v>1470</v>
      </c>
      <c r="H944" s="25" t="s">
        <v>1535</v>
      </c>
      <c r="I944" s="65" t="s">
        <v>1482</v>
      </c>
      <c r="J944" s="67" t="s">
        <v>222</v>
      </c>
      <c r="K944" s="123" t="s">
        <v>222</v>
      </c>
      <c r="L944" s="20" t="s">
        <v>3</v>
      </c>
      <c r="M944" s="61" t="s">
        <v>129</v>
      </c>
      <c r="N944" s="61" t="s">
        <v>1481</v>
      </c>
      <c r="O944" s="61" t="s">
        <v>1482</v>
      </c>
      <c r="P944" s="61" t="s">
        <v>129</v>
      </c>
      <c r="Q944" s="61" t="s">
        <v>1481</v>
      </c>
      <c r="R944" s="61" t="s">
        <v>1482</v>
      </c>
      <c r="S944" s="61" t="s">
        <v>129</v>
      </c>
      <c r="T944" s="61" t="s">
        <v>1481</v>
      </c>
      <c r="U944" s="61" t="s">
        <v>1482</v>
      </c>
      <c r="V944" s="61" t="s">
        <v>129</v>
      </c>
      <c r="W944" s="61" t="s">
        <v>1481</v>
      </c>
      <c r="X944" s="61" t="s">
        <v>1482</v>
      </c>
      <c r="Y944" s="61" t="s">
        <v>129</v>
      </c>
      <c r="Z944" s="61" t="s">
        <v>1481</v>
      </c>
      <c r="AA944" s="61" t="s">
        <v>1482</v>
      </c>
      <c r="AB944" s="61">
        <v>1</v>
      </c>
    </row>
    <row r="945" spans="1:28" s="1" customFormat="1" ht="33" customHeight="1" x14ac:dyDescent="0.3">
      <c r="A945" s="16">
        <v>26</v>
      </c>
      <c r="B945" s="23">
        <v>262</v>
      </c>
      <c r="C945" s="27" t="str">
        <f t="shared" si="24"/>
        <v>26.262</v>
      </c>
      <c r="D945" s="18"/>
      <c r="E945" s="64" t="str">
        <f>IF(ISBLANK(D945)=TRUE,"",VLOOKUP(D945,Krav!$C:$F,4,FALSE))</f>
        <v/>
      </c>
      <c r="F945" s="53" t="s">
        <v>225</v>
      </c>
      <c r="G945" s="53" t="s">
        <v>523</v>
      </c>
      <c r="H945" s="25" t="s">
        <v>1542</v>
      </c>
      <c r="I945" s="65" t="s">
        <v>511</v>
      </c>
      <c r="J945" s="67" t="s">
        <v>222</v>
      </c>
      <c r="K945" s="123" t="s">
        <v>222</v>
      </c>
      <c r="L945" s="20" t="s">
        <v>3</v>
      </c>
      <c r="M945" s="61" t="s">
        <v>129</v>
      </c>
      <c r="N945" s="61" t="s">
        <v>1481</v>
      </c>
      <c r="O945" s="61" t="s">
        <v>1482</v>
      </c>
      <c r="P945" s="61" t="s">
        <v>129</v>
      </c>
      <c r="Q945" s="61" t="s">
        <v>1481</v>
      </c>
      <c r="R945" s="61" t="s">
        <v>1482</v>
      </c>
      <c r="S945" s="61" t="s">
        <v>129</v>
      </c>
      <c r="T945" s="61" t="s">
        <v>1481</v>
      </c>
      <c r="U945" s="61" t="s">
        <v>1482</v>
      </c>
      <c r="V945" s="61" t="s">
        <v>129</v>
      </c>
      <c r="W945" s="61" t="s">
        <v>1481</v>
      </c>
      <c r="X945" s="61" t="s">
        <v>1482</v>
      </c>
      <c r="Y945" s="61" t="s">
        <v>129</v>
      </c>
      <c r="Z945" s="61" t="s">
        <v>1481</v>
      </c>
      <c r="AA945" s="61" t="s">
        <v>1482</v>
      </c>
      <c r="AB945" s="61">
        <v>1</v>
      </c>
    </row>
    <row r="946" spans="1:28" s="1" customFormat="1" ht="33" customHeight="1" x14ac:dyDescent="0.3">
      <c r="A946" s="16">
        <v>26</v>
      </c>
      <c r="B946" s="23">
        <v>263</v>
      </c>
      <c r="C946" s="27" t="str">
        <f t="shared" si="24"/>
        <v>26.263</v>
      </c>
      <c r="D946" s="18"/>
      <c r="E946" s="64" t="str">
        <f>IF(ISBLANK(D946)=TRUE,"",VLOOKUP(D946,Krav!$C:$F,4,FALSE))</f>
        <v/>
      </c>
      <c r="F946" s="53" t="s">
        <v>225</v>
      </c>
      <c r="G946" s="53" t="s">
        <v>1471</v>
      </c>
      <c r="H946" s="25" t="s">
        <v>1543</v>
      </c>
      <c r="I946" s="65" t="s">
        <v>1481</v>
      </c>
      <c r="J946" s="67" t="s">
        <v>222</v>
      </c>
      <c r="K946" s="123" t="s">
        <v>222</v>
      </c>
      <c r="L946" s="20" t="s">
        <v>3</v>
      </c>
      <c r="M946" s="61" t="s">
        <v>129</v>
      </c>
      <c r="N946" s="61" t="s">
        <v>1481</v>
      </c>
      <c r="O946" s="61" t="s">
        <v>1482</v>
      </c>
      <c r="P946" s="61" t="s">
        <v>129</v>
      </c>
      <c r="Q946" s="61" t="s">
        <v>1481</v>
      </c>
      <c r="R946" s="61" t="s">
        <v>1482</v>
      </c>
      <c r="S946" s="61" t="s">
        <v>129</v>
      </c>
      <c r="T946" s="61" t="s">
        <v>1481</v>
      </c>
      <c r="U946" s="61" t="s">
        <v>1482</v>
      </c>
      <c r="V946" s="61" t="s">
        <v>129</v>
      </c>
      <c r="W946" s="61" t="s">
        <v>1481</v>
      </c>
      <c r="X946" s="61" t="s">
        <v>1482</v>
      </c>
      <c r="Y946" s="61" t="s">
        <v>129</v>
      </c>
      <c r="Z946" s="61" t="s">
        <v>1481</v>
      </c>
      <c r="AA946" s="61" t="s">
        <v>1482</v>
      </c>
      <c r="AB946" s="61">
        <v>1</v>
      </c>
    </row>
    <row r="947" spans="1:28" s="1" customFormat="1" ht="33" customHeight="1" x14ac:dyDescent="0.3">
      <c r="A947" s="16">
        <v>26</v>
      </c>
      <c r="B947" s="23">
        <v>264</v>
      </c>
      <c r="C947" s="27" t="str">
        <f t="shared" si="24"/>
        <v>26.264</v>
      </c>
      <c r="D947" s="18"/>
      <c r="E947" s="64" t="str">
        <f>IF(ISBLANK(D947)=TRUE,"",VLOOKUP(D947,Krav!$C:$F,4,FALSE))</f>
        <v/>
      </c>
      <c r="F947" s="53" t="s">
        <v>225</v>
      </c>
      <c r="G947" s="53" t="s">
        <v>1472</v>
      </c>
      <c r="H947" s="25" t="s">
        <v>1543</v>
      </c>
      <c r="I947" s="65" t="s">
        <v>1482</v>
      </c>
      <c r="J947" s="67" t="s">
        <v>222</v>
      </c>
      <c r="K947" s="123" t="s">
        <v>222</v>
      </c>
      <c r="L947" s="20" t="s">
        <v>3</v>
      </c>
      <c r="M947" s="61" t="s">
        <v>129</v>
      </c>
      <c r="N947" s="61" t="s">
        <v>1481</v>
      </c>
      <c r="O947" s="61" t="s">
        <v>1482</v>
      </c>
      <c r="P947" s="61" t="s">
        <v>129</v>
      </c>
      <c r="Q947" s="61" t="s">
        <v>1481</v>
      </c>
      <c r="R947" s="61" t="s">
        <v>1482</v>
      </c>
      <c r="S947" s="61" t="s">
        <v>129</v>
      </c>
      <c r="T947" s="61" t="s">
        <v>1481</v>
      </c>
      <c r="U947" s="61" t="s">
        <v>1482</v>
      </c>
      <c r="V947" s="61" t="s">
        <v>129</v>
      </c>
      <c r="W947" s="61" t="s">
        <v>1481</v>
      </c>
      <c r="X947" s="61" t="s">
        <v>1482</v>
      </c>
      <c r="Y947" s="61" t="s">
        <v>129</v>
      </c>
      <c r="Z947" s="61" t="s">
        <v>1481</v>
      </c>
      <c r="AA947" s="61" t="s">
        <v>1482</v>
      </c>
      <c r="AB947" s="61">
        <v>1</v>
      </c>
    </row>
    <row r="948" spans="1:28" s="1" customFormat="1" ht="33" customHeight="1" x14ac:dyDescent="0.3">
      <c r="A948" s="16">
        <v>26</v>
      </c>
      <c r="B948" s="23">
        <v>265</v>
      </c>
      <c r="C948" s="27" t="str">
        <f t="shared" si="24"/>
        <v>26.265</v>
      </c>
      <c r="D948" s="18"/>
      <c r="E948" s="64" t="str">
        <f>IF(ISBLANK(D948)=TRUE,"",VLOOKUP(D948,Krav!$C:$F,4,FALSE))</f>
        <v/>
      </c>
      <c r="F948" s="53" t="s">
        <v>225</v>
      </c>
      <c r="G948" s="53" t="s">
        <v>1473</v>
      </c>
      <c r="H948" s="25" t="s">
        <v>1549</v>
      </c>
      <c r="I948" s="67" t="s">
        <v>1550</v>
      </c>
      <c r="J948" s="67" t="s">
        <v>222</v>
      </c>
      <c r="K948" s="123" t="s">
        <v>222</v>
      </c>
      <c r="L948" s="20" t="s">
        <v>3</v>
      </c>
      <c r="M948" s="61" t="s">
        <v>129</v>
      </c>
      <c r="N948" s="61" t="s">
        <v>1481</v>
      </c>
      <c r="O948" s="61" t="s">
        <v>1482</v>
      </c>
      <c r="P948" s="61" t="s">
        <v>129</v>
      </c>
      <c r="Q948" s="61" t="s">
        <v>1481</v>
      </c>
      <c r="R948" s="61" t="s">
        <v>1482</v>
      </c>
      <c r="S948" s="61" t="s">
        <v>129</v>
      </c>
      <c r="T948" s="61" t="s">
        <v>1481</v>
      </c>
      <c r="U948" s="61" t="s">
        <v>1482</v>
      </c>
      <c r="V948" s="61" t="s">
        <v>129</v>
      </c>
      <c r="W948" s="61" t="s">
        <v>1481</v>
      </c>
      <c r="X948" s="61" t="s">
        <v>1482</v>
      </c>
      <c r="Y948" s="61" t="s">
        <v>129</v>
      </c>
      <c r="Z948" s="61" t="s">
        <v>1481</v>
      </c>
      <c r="AA948" s="61" t="s">
        <v>1482</v>
      </c>
      <c r="AB948" s="61">
        <v>1</v>
      </c>
    </row>
    <row r="949" spans="1:28" s="1" customFormat="1" ht="33" customHeight="1" x14ac:dyDescent="0.3">
      <c r="A949" s="16">
        <v>26</v>
      </c>
      <c r="B949" s="23">
        <v>266</v>
      </c>
      <c r="C949" s="27" t="str">
        <f t="shared" si="24"/>
        <v>26.266</v>
      </c>
      <c r="D949" s="18"/>
      <c r="E949" s="64" t="str">
        <f>IF(ISBLANK(D949)=TRUE,"",VLOOKUP(D949,Krav!$C:$F,4,FALSE))</f>
        <v/>
      </c>
      <c r="F949" s="53" t="s">
        <v>225</v>
      </c>
      <c r="G949" s="53" t="s">
        <v>1474</v>
      </c>
      <c r="H949" s="25" t="s">
        <v>1551</v>
      </c>
      <c r="I949" s="65" t="s">
        <v>1481</v>
      </c>
      <c r="J949" s="67" t="s">
        <v>222</v>
      </c>
      <c r="K949" s="123" t="s">
        <v>222</v>
      </c>
      <c r="L949" s="20" t="s">
        <v>3</v>
      </c>
      <c r="M949" s="61" t="s">
        <v>129</v>
      </c>
      <c r="N949" s="61" t="s">
        <v>1481</v>
      </c>
      <c r="O949" s="61" t="s">
        <v>1482</v>
      </c>
      <c r="P949" s="61" t="s">
        <v>129</v>
      </c>
      <c r="Q949" s="61" t="s">
        <v>1481</v>
      </c>
      <c r="R949" s="61" t="s">
        <v>1482</v>
      </c>
      <c r="S949" s="61" t="s">
        <v>129</v>
      </c>
      <c r="T949" s="61" t="s">
        <v>1481</v>
      </c>
      <c r="U949" s="61" t="s">
        <v>1482</v>
      </c>
      <c r="V949" s="61" t="s">
        <v>129</v>
      </c>
      <c r="W949" s="61" t="s">
        <v>1481</v>
      </c>
      <c r="X949" s="61" t="s">
        <v>1482</v>
      </c>
      <c r="Y949" s="61" t="s">
        <v>129</v>
      </c>
      <c r="Z949" s="61" t="s">
        <v>1481</v>
      </c>
      <c r="AA949" s="61" t="s">
        <v>1482</v>
      </c>
      <c r="AB949" s="61">
        <v>1</v>
      </c>
    </row>
    <row r="950" spans="1:28" s="1" customFormat="1" ht="33" customHeight="1" x14ac:dyDescent="0.3">
      <c r="A950" s="16">
        <v>26</v>
      </c>
      <c r="B950" s="23">
        <v>267</v>
      </c>
      <c r="C950" s="27" t="str">
        <f t="shared" si="24"/>
        <v>26.267</v>
      </c>
      <c r="D950" s="18"/>
      <c r="E950" s="64" t="str">
        <f>IF(ISBLANK(D950)=TRUE,"",VLOOKUP(D950,Krav!$C:$F,4,FALSE))</f>
        <v/>
      </c>
      <c r="F950" s="53" t="s">
        <v>225</v>
      </c>
      <c r="G950" s="53" t="s">
        <v>1475</v>
      </c>
      <c r="H950" s="25" t="s">
        <v>1551</v>
      </c>
      <c r="I950" s="65" t="s">
        <v>1482</v>
      </c>
      <c r="J950" s="67" t="s">
        <v>222</v>
      </c>
      <c r="K950" s="123" t="s">
        <v>222</v>
      </c>
      <c r="L950" s="20" t="s">
        <v>3</v>
      </c>
      <c r="M950" s="61" t="s">
        <v>129</v>
      </c>
      <c r="N950" s="61" t="s">
        <v>1481</v>
      </c>
      <c r="O950" s="61" t="s">
        <v>1482</v>
      </c>
      <c r="P950" s="61" t="s">
        <v>129</v>
      </c>
      <c r="Q950" s="61" t="s">
        <v>1481</v>
      </c>
      <c r="R950" s="61" t="s">
        <v>1482</v>
      </c>
      <c r="S950" s="61" t="s">
        <v>129</v>
      </c>
      <c r="T950" s="61" t="s">
        <v>1481</v>
      </c>
      <c r="U950" s="61" t="s">
        <v>1482</v>
      </c>
      <c r="V950" s="61" t="s">
        <v>129</v>
      </c>
      <c r="W950" s="61" t="s">
        <v>1481</v>
      </c>
      <c r="X950" s="61" t="s">
        <v>1482</v>
      </c>
      <c r="Y950" s="61" t="s">
        <v>129</v>
      </c>
      <c r="Z950" s="61" t="s">
        <v>1481</v>
      </c>
      <c r="AA950" s="61" t="s">
        <v>1482</v>
      </c>
      <c r="AB950" s="61">
        <v>1</v>
      </c>
    </row>
    <row r="951" spans="1:28" s="1" customFormat="1" ht="33" customHeight="1" x14ac:dyDescent="0.3">
      <c r="A951" s="16">
        <v>26</v>
      </c>
      <c r="B951" s="23">
        <v>268</v>
      </c>
      <c r="C951" s="27" t="str">
        <f t="shared" si="24"/>
        <v>26.268</v>
      </c>
      <c r="D951" s="18"/>
      <c r="E951" s="64" t="str">
        <f>IF(ISBLANK(D951)=TRUE,"",VLOOKUP(D951,Krav!$C:$F,4,FALSE))</f>
        <v/>
      </c>
      <c r="F951" s="53" t="s">
        <v>225</v>
      </c>
      <c r="G951" s="53" t="s">
        <v>1476</v>
      </c>
      <c r="H951" s="25" t="s">
        <v>1558</v>
      </c>
      <c r="I951" s="67" t="s">
        <v>1559</v>
      </c>
      <c r="J951" s="67" t="s">
        <v>222</v>
      </c>
      <c r="K951" s="123" t="s">
        <v>222</v>
      </c>
      <c r="L951" s="20" t="s">
        <v>3</v>
      </c>
      <c r="M951" s="61" t="s">
        <v>129</v>
      </c>
      <c r="N951" s="61" t="s">
        <v>1481</v>
      </c>
      <c r="O951" s="61" t="s">
        <v>1482</v>
      </c>
      <c r="P951" s="61" t="s">
        <v>129</v>
      </c>
      <c r="Q951" s="61" t="s">
        <v>1481</v>
      </c>
      <c r="R951" s="61" t="s">
        <v>1482</v>
      </c>
      <c r="S951" s="61" t="s">
        <v>129</v>
      </c>
      <c r="T951" s="61" t="s">
        <v>1481</v>
      </c>
      <c r="U951" s="61" t="s">
        <v>1482</v>
      </c>
      <c r="V951" s="61" t="s">
        <v>129</v>
      </c>
      <c r="W951" s="61" t="s">
        <v>1481</v>
      </c>
      <c r="X951" s="61" t="s">
        <v>1482</v>
      </c>
      <c r="Y951" s="61" t="s">
        <v>129</v>
      </c>
      <c r="Z951" s="61" t="s">
        <v>1481</v>
      </c>
      <c r="AA951" s="61" t="s">
        <v>1482</v>
      </c>
      <c r="AB951" s="61">
        <v>1</v>
      </c>
    </row>
    <row r="952" spans="1:28" s="1" customFormat="1" ht="33" customHeight="1" x14ac:dyDescent="0.3">
      <c r="A952" s="16">
        <v>26</v>
      </c>
      <c r="B952" s="23">
        <v>269</v>
      </c>
      <c r="C952" s="27" t="str">
        <f t="shared" si="24"/>
        <v>26.269</v>
      </c>
      <c r="D952" s="18"/>
      <c r="E952" s="64" t="str">
        <f>IF(ISBLANK(D952)=TRUE,"",VLOOKUP(D952,Krav!$C:$F,4,FALSE))</f>
        <v/>
      </c>
      <c r="F952" s="53" t="s">
        <v>225</v>
      </c>
      <c r="G952" s="53" t="s">
        <v>1477</v>
      </c>
      <c r="H952" s="25" t="s">
        <v>1560</v>
      </c>
      <c r="I952" s="65" t="s">
        <v>1481</v>
      </c>
      <c r="J952" s="67" t="s">
        <v>222</v>
      </c>
      <c r="K952" s="123" t="s">
        <v>222</v>
      </c>
      <c r="L952" s="20" t="s">
        <v>3</v>
      </c>
      <c r="M952" s="61" t="s">
        <v>129</v>
      </c>
      <c r="N952" s="61" t="s">
        <v>1481</v>
      </c>
      <c r="O952" s="61" t="s">
        <v>1482</v>
      </c>
      <c r="P952" s="61" t="s">
        <v>129</v>
      </c>
      <c r="Q952" s="61" t="s">
        <v>1481</v>
      </c>
      <c r="R952" s="61" t="s">
        <v>1482</v>
      </c>
      <c r="S952" s="61" t="s">
        <v>129</v>
      </c>
      <c r="T952" s="61" t="s">
        <v>1481</v>
      </c>
      <c r="U952" s="61" t="s">
        <v>1482</v>
      </c>
      <c r="V952" s="61" t="s">
        <v>129</v>
      </c>
      <c r="W952" s="61" t="s">
        <v>1481</v>
      </c>
      <c r="X952" s="61" t="s">
        <v>1482</v>
      </c>
      <c r="Y952" s="61" t="s">
        <v>129</v>
      </c>
      <c r="Z952" s="61" t="s">
        <v>1481</v>
      </c>
      <c r="AA952" s="61" t="s">
        <v>1482</v>
      </c>
      <c r="AB952" s="61">
        <v>1</v>
      </c>
    </row>
    <row r="953" spans="1:28" s="1" customFormat="1" ht="33" customHeight="1" x14ac:dyDescent="0.3">
      <c r="A953" s="16">
        <v>26</v>
      </c>
      <c r="B953" s="23">
        <v>270</v>
      </c>
      <c r="C953" s="27" t="str">
        <f t="shared" si="24"/>
        <v>26.270</v>
      </c>
      <c r="D953" s="18"/>
      <c r="E953" s="64" t="str">
        <f>IF(ISBLANK(D953)=TRUE,"",VLOOKUP(D953,Krav!$C:$F,4,FALSE))</f>
        <v/>
      </c>
      <c r="F953" s="53" t="s">
        <v>225</v>
      </c>
      <c r="G953" s="53" t="s">
        <v>1478</v>
      </c>
      <c r="H953" s="25" t="s">
        <v>1560</v>
      </c>
      <c r="I953" s="65" t="s">
        <v>1482</v>
      </c>
      <c r="J953" s="67" t="s">
        <v>222</v>
      </c>
      <c r="K953" s="123" t="s">
        <v>222</v>
      </c>
      <c r="L953" s="20" t="s">
        <v>3</v>
      </c>
      <c r="M953" s="61" t="s">
        <v>129</v>
      </c>
      <c r="N953" s="61" t="s">
        <v>1481</v>
      </c>
      <c r="O953" s="61" t="s">
        <v>1482</v>
      </c>
      <c r="P953" s="61" t="s">
        <v>129</v>
      </c>
      <c r="Q953" s="61" t="s">
        <v>1481</v>
      </c>
      <c r="R953" s="61" t="s">
        <v>1482</v>
      </c>
      <c r="S953" s="61" t="s">
        <v>129</v>
      </c>
      <c r="T953" s="61" t="s">
        <v>1481</v>
      </c>
      <c r="U953" s="61" t="s">
        <v>1482</v>
      </c>
      <c r="V953" s="61" t="s">
        <v>129</v>
      </c>
      <c r="W953" s="61" t="s">
        <v>1481</v>
      </c>
      <c r="X953" s="61" t="s">
        <v>1482</v>
      </c>
      <c r="Y953" s="61" t="s">
        <v>129</v>
      </c>
      <c r="Z953" s="61" t="s">
        <v>1481</v>
      </c>
      <c r="AA953" s="61" t="s">
        <v>1482</v>
      </c>
      <c r="AB953" s="61">
        <v>1</v>
      </c>
    </row>
    <row r="954" spans="1:28" s="1" customFormat="1" ht="33" customHeight="1" x14ac:dyDescent="0.3">
      <c r="A954" s="16">
        <v>26</v>
      </c>
      <c r="B954" s="23">
        <v>271</v>
      </c>
      <c r="C954" s="27" t="str">
        <f t="shared" si="24"/>
        <v>26.271</v>
      </c>
      <c r="D954" s="18"/>
      <c r="E954" s="64" t="str">
        <f>IF(ISBLANK(D954)=TRUE,"",VLOOKUP(D954,Krav!$C:$F,4,FALSE))</f>
        <v/>
      </c>
      <c r="F954" s="139" t="s">
        <v>174</v>
      </c>
      <c r="G954" s="139"/>
      <c r="H954" s="76" t="s">
        <v>1567</v>
      </c>
      <c r="I954" s="67" t="s">
        <v>1568</v>
      </c>
      <c r="J954" s="67" t="s">
        <v>222</v>
      </c>
      <c r="K954" s="123" t="s">
        <v>222</v>
      </c>
      <c r="L954" s="20" t="s">
        <v>4</v>
      </c>
      <c r="M954" s="61" t="s">
        <v>131</v>
      </c>
      <c r="N954" s="61" t="s">
        <v>96</v>
      </c>
      <c r="O954" s="61" t="s">
        <v>96</v>
      </c>
      <c r="P954" s="61" t="s">
        <v>131</v>
      </c>
      <c r="Q954" s="61" t="s">
        <v>96</v>
      </c>
      <c r="R954" s="61" t="s">
        <v>96</v>
      </c>
      <c r="S954" s="61" t="s">
        <v>131</v>
      </c>
      <c r="T954" s="61" t="s">
        <v>96</v>
      </c>
      <c r="U954" s="61" t="s">
        <v>96</v>
      </c>
      <c r="V954" s="61" t="s">
        <v>131</v>
      </c>
      <c r="W954" s="61" t="s">
        <v>96</v>
      </c>
      <c r="X954" s="61" t="s">
        <v>96</v>
      </c>
      <c r="Y954" s="61" t="s">
        <v>131</v>
      </c>
      <c r="Z954" s="61" t="s">
        <v>96</v>
      </c>
      <c r="AA954" s="61" t="s">
        <v>96</v>
      </c>
      <c r="AB954" s="61">
        <v>1</v>
      </c>
    </row>
    <row r="955" spans="1:28" s="1" customFormat="1" ht="33" customHeight="1" x14ac:dyDescent="0.3">
      <c r="A955" s="16">
        <v>26</v>
      </c>
      <c r="B955" s="23">
        <v>272</v>
      </c>
      <c r="C955" s="27" t="str">
        <f t="shared" si="24"/>
        <v>26.272</v>
      </c>
      <c r="D955" s="18"/>
      <c r="E955" s="64" t="str">
        <f>IF(ISBLANK(D955)=TRUE,"",VLOOKUP(D955,Krav!$C:$F,4,FALSE))</f>
        <v/>
      </c>
      <c r="F955" s="139" t="s">
        <v>418</v>
      </c>
      <c r="G955" s="139" t="s">
        <v>419</v>
      </c>
      <c r="H955" s="76" t="s">
        <v>1569</v>
      </c>
      <c r="I955" s="65" t="s">
        <v>129</v>
      </c>
      <c r="J955" s="96" t="s">
        <v>222</v>
      </c>
      <c r="K955" s="125" t="s">
        <v>222</v>
      </c>
      <c r="L955" s="20" t="s">
        <v>4</v>
      </c>
      <c r="M955" s="61" t="s">
        <v>131</v>
      </c>
      <c r="N955" s="61" t="s">
        <v>96</v>
      </c>
      <c r="O955" s="61" t="s">
        <v>96</v>
      </c>
      <c r="P955" s="61" t="s">
        <v>131</v>
      </c>
      <c r="Q955" s="61" t="s">
        <v>96</v>
      </c>
      <c r="R955" s="61" t="s">
        <v>96</v>
      </c>
      <c r="S955" s="61" t="s">
        <v>131</v>
      </c>
      <c r="T955" s="61" t="s">
        <v>96</v>
      </c>
      <c r="U955" s="61" t="s">
        <v>96</v>
      </c>
      <c r="V955" s="61" t="s">
        <v>131</v>
      </c>
      <c r="W955" s="61" t="s">
        <v>96</v>
      </c>
      <c r="X955" s="61" t="s">
        <v>96</v>
      </c>
      <c r="Y955" s="61" t="s">
        <v>131</v>
      </c>
      <c r="Z955" s="61" t="s">
        <v>96</v>
      </c>
      <c r="AA955" s="61" t="s">
        <v>96</v>
      </c>
      <c r="AB955" s="61">
        <v>1</v>
      </c>
    </row>
    <row r="956" spans="1:28" s="57" customFormat="1" ht="28.8" x14ac:dyDescent="0.3">
      <c r="A956" s="16">
        <v>26</v>
      </c>
      <c r="B956" s="23">
        <v>273</v>
      </c>
      <c r="C956" s="27" t="str">
        <f t="shared" si="24"/>
        <v>26.273</v>
      </c>
      <c r="D956" s="18"/>
      <c r="E956" s="64" t="str">
        <f>IF(ISBLANK(D956)=TRUE,"",VLOOKUP(D956,Krav!$C:$F,4,FALSE))</f>
        <v/>
      </c>
      <c r="F956" s="84" t="s">
        <v>224</v>
      </c>
      <c r="G956" s="53" t="s">
        <v>521</v>
      </c>
      <c r="H956" s="84" t="s">
        <v>596</v>
      </c>
      <c r="I956" s="65" t="s">
        <v>129</v>
      </c>
      <c r="J956" s="67" t="s">
        <v>222</v>
      </c>
      <c r="K956" s="123" t="s">
        <v>222</v>
      </c>
      <c r="L956" s="20" t="s">
        <v>3</v>
      </c>
      <c r="M956" s="61" t="s">
        <v>129</v>
      </c>
      <c r="N956" s="61" t="s">
        <v>1481</v>
      </c>
      <c r="O956" s="61" t="s">
        <v>1482</v>
      </c>
      <c r="P956" s="61" t="s">
        <v>129</v>
      </c>
      <c r="Q956" s="61" t="s">
        <v>1481</v>
      </c>
      <c r="R956" s="61" t="s">
        <v>1482</v>
      </c>
      <c r="S956" s="61" t="s">
        <v>129</v>
      </c>
      <c r="T956" s="61" t="s">
        <v>1481</v>
      </c>
      <c r="U956" s="61" t="s">
        <v>1482</v>
      </c>
      <c r="V956" s="61" t="s">
        <v>129</v>
      </c>
      <c r="W956" s="61" t="s">
        <v>1481</v>
      </c>
      <c r="X956" s="61" t="s">
        <v>1482</v>
      </c>
      <c r="Y956" s="61" t="s">
        <v>129</v>
      </c>
      <c r="Z956" s="61" t="s">
        <v>1481</v>
      </c>
      <c r="AA956" s="61" t="s">
        <v>1482</v>
      </c>
      <c r="AB956" s="61">
        <v>1</v>
      </c>
    </row>
    <row r="957" spans="1:28" s="57" customFormat="1" ht="28.8" x14ac:dyDescent="0.3">
      <c r="A957" s="16">
        <v>26</v>
      </c>
      <c r="B957" s="23">
        <v>274</v>
      </c>
      <c r="C957" s="27" t="str">
        <f t="shared" si="24"/>
        <v>26.274</v>
      </c>
      <c r="D957" s="18"/>
      <c r="E957" s="64" t="str">
        <f>IF(ISBLANK(D957)=TRUE,"",VLOOKUP(D957,Krav!$C:$F,4,FALSE))</f>
        <v/>
      </c>
      <c r="F957" s="84" t="s">
        <v>224</v>
      </c>
      <c r="G957" s="53" t="s">
        <v>1467</v>
      </c>
      <c r="H957" s="84" t="s">
        <v>596</v>
      </c>
      <c r="I957" s="67" t="s">
        <v>2365</v>
      </c>
      <c r="J957" s="67" t="s">
        <v>222</v>
      </c>
      <c r="K957" s="125" t="s">
        <v>222</v>
      </c>
      <c r="L957" s="20" t="s">
        <v>3</v>
      </c>
      <c r="M957" s="61" t="s">
        <v>129</v>
      </c>
      <c r="N957" s="61" t="s">
        <v>1481</v>
      </c>
      <c r="O957" s="61" t="s">
        <v>1482</v>
      </c>
      <c r="P957" s="61" t="s">
        <v>129</v>
      </c>
      <c r="Q957" s="61" t="s">
        <v>1481</v>
      </c>
      <c r="R957" s="61" t="s">
        <v>1482</v>
      </c>
      <c r="S957" s="61" t="s">
        <v>129</v>
      </c>
      <c r="T957" s="61" t="s">
        <v>1481</v>
      </c>
      <c r="U957" s="61" t="s">
        <v>1482</v>
      </c>
      <c r="V957" s="61" t="s">
        <v>129</v>
      </c>
      <c r="W957" s="61" t="s">
        <v>1481</v>
      </c>
      <c r="X957" s="61" t="s">
        <v>1482</v>
      </c>
      <c r="Y957" s="61" t="s">
        <v>129</v>
      </c>
      <c r="Z957" s="61" t="s">
        <v>1481</v>
      </c>
      <c r="AA957" s="61" t="s">
        <v>1482</v>
      </c>
      <c r="AB957" s="61">
        <v>1</v>
      </c>
    </row>
    <row r="958" spans="1:28" s="57" customFormat="1" ht="28.8" x14ac:dyDescent="0.3">
      <c r="A958" s="16">
        <v>26</v>
      </c>
      <c r="B958" s="23">
        <v>275</v>
      </c>
      <c r="C958" s="27" t="str">
        <f t="shared" si="24"/>
        <v>26.275</v>
      </c>
      <c r="D958" s="18"/>
      <c r="E958" s="64" t="str">
        <f>IF(ISBLANK(D958)=TRUE,"",VLOOKUP(D958,Krav!$C:$F,4,FALSE))</f>
        <v/>
      </c>
      <c r="F958" s="84" t="s">
        <v>224</v>
      </c>
      <c r="G958" s="53" t="s">
        <v>1468</v>
      </c>
      <c r="H958" s="84" t="s">
        <v>596</v>
      </c>
      <c r="I958" s="67" t="s">
        <v>2366</v>
      </c>
      <c r="J958" s="67" t="s">
        <v>222</v>
      </c>
      <c r="K958" s="125" t="s">
        <v>222</v>
      </c>
      <c r="L958" s="20" t="s">
        <v>3</v>
      </c>
      <c r="M958" s="61" t="s">
        <v>129</v>
      </c>
      <c r="N958" s="61" t="s">
        <v>1481</v>
      </c>
      <c r="O958" s="61" t="s">
        <v>1482</v>
      </c>
      <c r="P958" s="61" t="s">
        <v>129</v>
      </c>
      <c r="Q958" s="61" t="s">
        <v>1481</v>
      </c>
      <c r="R958" s="61" t="s">
        <v>1482</v>
      </c>
      <c r="S958" s="61" t="s">
        <v>129</v>
      </c>
      <c r="T958" s="61" t="s">
        <v>1481</v>
      </c>
      <c r="U958" s="61" t="s">
        <v>1482</v>
      </c>
      <c r="V958" s="61" t="s">
        <v>129</v>
      </c>
      <c r="W958" s="61" t="s">
        <v>1481</v>
      </c>
      <c r="X958" s="61" t="s">
        <v>1482</v>
      </c>
      <c r="Y958" s="61" t="s">
        <v>129</v>
      </c>
      <c r="Z958" s="61" t="s">
        <v>1481</v>
      </c>
      <c r="AA958" s="61" t="s">
        <v>1482</v>
      </c>
      <c r="AB958" s="61">
        <v>1</v>
      </c>
    </row>
    <row r="959" spans="1:28" s="57" customFormat="1" ht="28.8" x14ac:dyDescent="0.3">
      <c r="A959" s="16">
        <v>26</v>
      </c>
      <c r="B959" s="23">
        <v>276</v>
      </c>
      <c r="C959" s="27" t="str">
        <f t="shared" si="24"/>
        <v>26.276</v>
      </c>
      <c r="D959" s="18"/>
      <c r="E959" s="64" t="str">
        <f>IF(ISBLANK(D959)=TRUE,"",VLOOKUP(D959,Krav!$C:$F,4,FALSE))</f>
        <v/>
      </c>
      <c r="F959" s="84" t="s">
        <v>224</v>
      </c>
      <c r="G959" s="53" t="s">
        <v>522</v>
      </c>
      <c r="H959" s="84" t="s">
        <v>596</v>
      </c>
      <c r="I959" s="65" t="s">
        <v>129</v>
      </c>
      <c r="J959" s="67" t="s">
        <v>222</v>
      </c>
      <c r="K959" s="123" t="s">
        <v>222</v>
      </c>
      <c r="L959" s="20" t="s">
        <v>3</v>
      </c>
      <c r="M959" s="61" t="s">
        <v>129</v>
      </c>
      <c r="N959" s="61" t="s">
        <v>1481</v>
      </c>
      <c r="O959" s="61" t="s">
        <v>1482</v>
      </c>
      <c r="P959" s="61" t="s">
        <v>129</v>
      </c>
      <c r="Q959" s="61" t="s">
        <v>1481</v>
      </c>
      <c r="R959" s="61" t="s">
        <v>1482</v>
      </c>
      <c r="S959" s="61" t="s">
        <v>129</v>
      </c>
      <c r="T959" s="61" t="s">
        <v>1481</v>
      </c>
      <c r="U959" s="61" t="s">
        <v>1482</v>
      </c>
      <c r="V959" s="61" t="s">
        <v>129</v>
      </c>
      <c r="W959" s="61" t="s">
        <v>1481</v>
      </c>
      <c r="X959" s="61" t="s">
        <v>1482</v>
      </c>
      <c r="Y959" s="61" t="s">
        <v>129</v>
      </c>
      <c r="Z959" s="61" t="s">
        <v>1481</v>
      </c>
      <c r="AA959" s="61" t="s">
        <v>1482</v>
      </c>
      <c r="AB959" s="61">
        <v>1</v>
      </c>
    </row>
    <row r="960" spans="1:28" s="57" customFormat="1" ht="28.8" x14ac:dyDescent="0.3">
      <c r="A960" s="16">
        <v>26</v>
      </c>
      <c r="B960" s="23">
        <v>277</v>
      </c>
      <c r="C960" s="27" t="str">
        <f t="shared" si="24"/>
        <v>26.277</v>
      </c>
      <c r="D960" s="18"/>
      <c r="E960" s="64" t="str">
        <f>IF(ISBLANK(D960)=TRUE,"",VLOOKUP(D960,Krav!$C:$F,4,FALSE))</f>
        <v/>
      </c>
      <c r="F960" s="84" t="s">
        <v>224</v>
      </c>
      <c r="G960" s="53" t="s">
        <v>1469</v>
      </c>
      <c r="H960" s="84" t="s">
        <v>596</v>
      </c>
      <c r="I960" s="65" t="s">
        <v>1481</v>
      </c>
      <c r="J960" s="67" t="s">
        <v>222</v>
      </c>
      <c r="K960" s="125" t="s">
        <v>222</v>
      </c>
      <c r="L960" s="20" t="s">
        <v>3</v>
      </c>
      <c r="M960" s="61" t="s">
        <v>129</v>
      </c>
      <c r="N960" s="61" t="s">
        <v>1481</v>
      </c>
      <c r="O960" s="61" t="s">
        <v>1482</v>
      </c>
      <c r="P960" s="61" t="s">
        <v>129</v>
      </c>
      <c r="Q960" s="61" t="s">
        <v>1481</v>
      </c>
      <c r="R960" s="61" t="s">
        <v>1482</v>
      </c>
      <c r="S960" s="61" t="s">
        <v>129</v>
      </c>
      <c r="T960" s="61" t="s">
        <v>1481</v>
      </c>
      <c r="U960" s="61" t="s">
        <v>1482</v>
      </c>
      <c r="V960" s="61" t="s">
        <v>129</v>
      </c>
      <c r="W960" s="61" t="s">
        <v>1481</v>
      </c>
      <c r="X960" s="61" t="s">
        <v>1482</v>
      </c>
      <c r="Y960" s="61" t="s">
        <v>129</v>
      </c>
      <c r="Z960" s="61" t="s">
        <v>1481</v>
      </c>
      <c r="AA960" s="61" t="s">
        <v>1482</v>
      </c>
      <c r="AB960" s="61">
        <v>1</v>
      </c>
    </row>
    <row r="961" spans="1:28" s="57" customFormat="1" ht="28.8" x14ac:dyDescent="0.3">
      <c r="A961" s="16">
        <v>26</v>
      </c>
      <c r="B961" s="23">
        <v>278</v>
      </c>
      <c r="C961" s="27" t="str">
        <f t="shared" si="24"/>
        <v>26.278</v>
      </c>
      <c r="D961" s="18"/>
      <c r="E961" s="64" t="str">
        <f>IF(ISBLANK(D961)=TRUE,"",VLOOKUP(D961,Krav!$C:$F,4,FALSE))</f>
        <v/>
      </c>
      <c r="F961" s="84" t="s">
        <v>224</v>
      </c>
      <c r="G961" s="53" t="s">
        <v>1470</v>
      </c>
      <c r="H961" s="84" t="s">
        <v>596</v>
      </c>
      <c r="I961" s="65" t="s">
        <v>1482</v>
      </c>
      <c r="J961" s="67" t="s">
        <v>222</v>
      </c>
      <c r="K961" s="125" t="s">
        <v>222</v>
      </c>
      <c r="L961" s="20" t="s">
        <v>3</v>
      </c>
      <c r="M961" s="61" t="s">
        <v>129</v>
      </c>
      <c r="N961" s="61" t="s">
        <v>1481</v>
      </c>
      <c r="O961" s="61" t="s">
        <v>1482</v>
      </c>
      <c r="P961" s="61" t="s">
        <v>129</v>
      </c>
      <c r="Q961" s="61" t="s">
        <v>1481</v>
      </c>
      <c r="R961" s="61" t="s">
        <v>1482</v>
      </c>
      <c r="S961" s="61" t="s">
        <v>129</v>
      </c>
      <c r="T961" s="61" t="s">
        <v>1481</v>
      </c>
      <c r="U961" s="61" t="s">
        <v>1482</v>
      </c>
      <c r="V961" s="61" t="s">
        <v>129</v>
      </c>
      <c r="W961" s="61" t="s">
        <v>1481</v>
      </c>
      <c r="X961" s="61" t="s">
        <v>1482</v>
      </c>
      <c r="Y961" s="61" t="s">
        <v>129</v>
      </c>
      <c r="Z961" s="61" t="s">
        <v>1481</v>
      </c>
      <c r="AA961" s="61" t="s">
        <v>1482</v>
      </c>
      <c r="AB961" s="61">
        <v>1</v>
      </c>
    </row>
    <row r="962" spans="1:28" s="57" customFormat="1" ht="28.8" x14ac:dyDescent="0.3">
      <c r="A962" s="16">
        <v>26</v>
      </c>
      <c r="B962" s="23">
        <v>279</v>
      </c>
      <c r="C962" s="27" t="str">
        <f t="shared" si="24"/>
        <v>26.279</v>
      </c>
      <c r="D962" s="18"/>
      <c r="E962" s="64" t="str">
        <f>IF(ISBLANK(D962)=TRUE,"",VLOOKUP(D962,Krav!$C:$F,4,FALSE))</f>
        <v/>
      </c>
      <c r="F962" s="84" t="s">
        <v>224</v>
      </c>
      <c r="G962" s="53" t="s">
        <v>523</v>
      </c>
      <c r="H962" s="84" t="s">
        <v>596</v>
      </c>
      <c r="I962" s="65" t="s">
        <v>129</v>
      </c>
      <c r="J962" s="67" t="s">
        <v>222</v>
      </c>
      <c r="K962" s="123" t="s">
        <v>222</v>
      </c>
      <c r="L962" s="20" t="s">
        <v>3</v>
      </c>
      <c r="M962" s="61" t="s">
        <v>129</v>
      </c>
      <c r="N962" s="61" t="s">
        <v>1481</v>
      </c>
      <c r="O962" s="61" t="s">
        <v>1482</v>
      </c>
      <c r="P962" s="61" t="s">
        <v>129</v>
      </c>
      <c r="Q962" s="61" t="s">
        <v>1481</v>
      </c>
      <c r="R962" s="61" t="s">
        <v>1482</v>
      </c>
      <c r="S962" s="61" t="s">
        <v>129</v>
      </c>
      <c r="T962" s="61" t="s">
        <v>1481</v>
      </c>
      <c r="U962" s="61" t="s">
        <v>1482</v>
      </c>
      <c r="V962" s="61" t="s">
        <v>129</v>
      </c>
      <c r="W962" s="61" t="s">
        <v>1481</v>
      </c>
      <c r="X962" s="61" t="s">
        <v>1482</v>
      </c>
      <c r="Y962" s="61" t="s">
        <v>129</v>
      </c>
      <c r="Z962" s="61" t="s">
        <v>1481</v>
      </c>
      <c r="AA962" s="61" t="s">
        <v>1482</v>
      </c>
      <c r="AB962" s="61">
        <v>1</v>
      </c>
    </row>
    <row r="963" spans="1:28" s="57" customFormat="1" ht="28.8" x14ac:dyDescent="0.3">
      <c r="A963" s="16">
        <v>26</v>
      </c>
      <c r="B963" s="23">
        <v>280</v>
      </c>
      <c r="C963" s="27" t="str">
        <f t="shared" si="24"/>
        <v>26.280</v>
      </c>
      <c r="D963" s="18"/>
      <c r="E963" s="64" t="str">
        <f>IF(ISBLANK(D963)=TRUE,"",VLOOKUP(D963,Krav!$C:$F,4,FALSE))</f>
        <v/>
      </c>
      <c r="F963" s="84" t="s">
        <v>224</v>
      </c>
      <c r="G963" s="53" t="s">
        <v>1471</v>
      </c>
      <c r="H963" s="84" t="s">
        <v>596</v>
      </c>
      <c r="I963" s="65" t="s">
        <v>1481</v>
      </c>
      <c r="J963" s="67" t="s">
        <v>222</v>
      </c>
      <c r="K963" s="125" t="s">
        <v>222</v>
      </c>
      <c r="L963" s="20" t="s">
        <v>3</v>
      </c>
      <c r="M963" s="61" t="s">
        <v>129</v>
      </c>
      <c r="N963" s="61" t="s">
        <v>1481</v>
      </c>
      <c r="O963" s="61" t="s">
        <v>1482</v>
      </c>
      <c r="P963" s="61" t="s">
        <v>129</v>
      </c>
      <c r="Q963" s="61" t="s">
        <v>1481</v>
      </c>
      <c r="R963" s="61" t="s">
        <v>1482</v>
      </c>
      <c r="S963" s="61" t="s">
        <v>129</v>
      </c>
      <c r="T963" s="61" t="s">
        <v>1481</v>
      </c>
      <c r="U963" s="61" t="s">
        <v>1482</v>
      </c>
      <c r="V963" s="61" t="s">
        <v>129</v>
      </c>
      <c r="W963" s="61" t="s">
        <v>1481</v>
      </c>
      <c r="X963" s="61" t="s">
        <v>1482</v>
      </c>
      <c r="Y963" s="61" t="s">
        <v>129</v>
      </c>
      <c r="Z963" s="61" t="s">
        <v>1481</v>
      </c>
      <c r="AA963" s="61" t="s">
        <v>1482</v>
      </c>
      <c r="AB963" s="61">
        <v>1</v>
      </c>
    </row>
    <row r="964" spans="1:28" s="57" customFormat="1" ht="28.8" x14ac:dyDescent="0.3">
      <c r="A964" s="16">
        <v>26</v>
      </c>
      <c r="B964" s="23">
        <v>281</v>
      </c>
      <c r="C964" s="27" t="str">
        <f t="shared" si="24"/>
        <v>26.281</v>
      </c>
      <c r="D964" s="18"/>
      <c r="E964" s="64" t="str">
        <f>IF(ISBLANK(D964)=TRUE,"",VLOOKUP(D964,Krav!$C:$F,4,FALSE))</f>
        <v/>
      </c>
      <c r="F964" s="84" t="s">
        <v>224</v>
      </c>
      <c r="G964" s="53" t="s">
        <v>1472</v>
      </c>
      <c r="H964" s="84" t="s">
        <v>596</v>
      </c>
      <c r="I964" s="65" t="s">
        <v>1482</v>
      </c>
      <c r="J964" s="67" t="s">
        <v>222</v>
      </c>
      <c r="K964" s="125" t="s">
        <v>222</v>
      </c>
      <c r="L964" s="20" t="s">
        <v>3</v>
      </c>
      <c r="M964" s="61" t="s">
        <v>129</v>
      </c>
      <c r="N964" s="61" t="s">
        <v>1481</v>
      </c>
      <c r="O964" s="61" t="s">
        <v>1482</v>
      </c>
      <c r="P964" s="61" t="s">
        <v>129</v>
      </c>
      <c r="Q964" s="61" t="s">
        <v>1481</v>
      </c>
      <c r="R964" s="61" t="s">
        <v>1482</v>
      </c>
      <c r="S964" s="61" t="s">
        <v>129</v>
      </c>
      <c r="T964" s="61" t="s">
        <v>1481</v>
      </c>
      <c r="U964" s="61" t="s">
        <v>1482</v>
      </c>
      <c r="V964" s="61" t="s">
        <v>129</v>
      </c>
      <c r="W964" s="61" t="s">
        <v>1481</v>
      </c>
      <c r="X964" s="61" t="s">
        <v>1482</v>
      </c>
      <c r="Y964" s="61" t="s">
        <v>129</v>
      </c>
      <c r="Z964" s="61" t="s">
        <v>1481</v>
      </c>
      <c r="AA964" s="61" t="s">
        <v>1482</v>
      </c>
      <c r="AB964" s="61">
        <v>1</v>
      </c>
    </row>
    <row r="965" spans="1:28" s="57" customFormat="1" ht="28.8" x14ac:dyDescent="0.3">
      <c r="A965" s="16">
        <v>26</v>
      </c>
      <c r="B965" s="23">
        <v>282</v>
      </c>
      <c r="C965" s="27" t="str">
        <f t="shared" si="24"/>
        <v>26.282</v>
      </c>
      <c r="D965" s="18"/>
      <c r="E965" s="64" t="str">
        <f>IF(ISBLANK(D965)=TRUE,"",VLOOKUP(D965,Krav!$C:$F,4,FALSE))</f>
        <v/>
      </c>
      <c r="F965" s="84" t="s">
        <v>224</v>
      </c>
      <c r="G965" s="53" t="s">
        <v>1473</v>
      </c>
      <c r="H965" s="84" t="s">
        <v>596</v>
      </c>
      <c r="I965" s="65" t="s">
        <v>129</v>
      </c>
      <c r="J965" s="67" t="s">
        <v>222</v>
      </c>
      <c r="K965" s="123" t="s">
        <v>222</v>
      </c>
      <c r="L965" s="20" t="s">
        <v>3</v>
      </c>
      <c r="M965" s="61" t="s">
        <v>129</v>
      </c>
      <c r="N965" s="61" t="s">
        <v>1481</v>
      </c>
      <c r="O965" s="61" t="s">
        <v>1482</v>
      </c>
      <c r="P965" s="61" t="s">
        <v>129</v>
      </c>
      <c r="Q965" s="61" t="s">
        <v>1481</v>
      </c>
      <c r="R965" s="61" t="s">
        <v>1482</v>
      </c>
      <c r="S965" s="61" t="s">
        <v>129</v>
      </c>
      <c r="T965" s="61" t="s">
        <v>1481</v>
      </c>
      <c r="U965" s="61" t="s">
        <v>1482</v>
      </c>
      <c r="V965" s="61" t="s">
        <v>129</v>
      </c>
      <c r="W965" s="61" t="s">
        <v>1481</v>
      </c>
      <c r="X965" s="61" t="s">
        <v>1482</v>
      </c>
      <c r="Y965" s="61" t="s">
        <v>129</v>
      </c>
      <c r="Z965" s="61" t="s">
        <v>1481</v>
      </c>
      <c r="AA965" s="61" t="s">
        <v>1482</v>
      </c>
      <c r="AB965" s="61">
        <v>1</v>
      </c>
    </row>
    <row r="966" spans="1:28" s="57" customFormat="1" ht="28.8" x14ac:dyDescent="0.3">
      <c r="A966" s="16">
        <v>26</v>
      </c>
      <c r="B966" s="23">
        <v>283</v>
      </c>
      <c r="C966" s="27" t="str">
        <f t="shared" si="24"/>
        <v>26.283</v>
      </c>
      <c r="D966" s="18"/>
      <c r="E966" s="64" t="str">
        <f>IF(ISBLANK(D966)=TRUE,"",VLOOKUP(D966,Krav!$C:$F,4,FALSE))</f>
        <v/>
      </c>
      <c r="F966" s="84" t="s">
        <v>224</v>
      </c>
      <c r="G966" s="53" t="s">
        <v>1474</v>
      </c>
      <c r="H966" s="84" t="s">
        <v>596</v>
      </c>
      <c r="I966" s="65" t="s">
        <v>1481</v>
      </c>
      <c r="J966" s="67" t="s">
        <v>222</v>
      </c>
      <c r="K966" s="125" t="s">
        <v>222</v>
      </c>
      <c r="L966" s="20" t="s">
        <v>3</v>
      </c>
      <c r="M966" s="61" t="s">
        <v>129</v>
      </c>
      <c r="N966" s="61" t="s">
        <v>1481</v>
      </c>
      <c r="O966" s="61" t="s">
        <v>1482</v>
      </c>
      <c r="P966" s="61" t="s">
        <v>129</v>
      </c>
      <c r="Q966" s="61" t="s">
        <v>1481</v>
      </c>
      <c r="R966" s="61" t="s">
        <v>1482</v>
      </c>
      <c r="S966" s="61" t="s">
        <v>129</v>
      </c>
      <c r="T966" s="61" t="s">
        <v>1481</v>
      </c>
      <c r="U966" s="61" t="s">
        <v>1482</v>
      </c>
      <c r="V966" s="61" t="s">
        <v>129</v>
      </c>
      <c r="W966" s="61" t="s">
        <v>1481</v>
      </c>
      <c r="X966" s="61" t="s">
        <v>1482</v>
      </c>
      <c r="Y966" s="61" t="s">
        <v>129</v>
      </c>
      <c r="Z966" s="61" t="s">
        <v>1481</v>
      </c>
      <c r="AA966" s="61" t="s">
        <v>1482</v>
      </c>
      <c r="AB966" s="61">
        <v>1</v>
      </c>
    </row>
    <row r="967" spans="1:28" s="57" customFormat="1" ht="28.8" x14ac:dyDescent="0.3">
      <c r="A967" s="16">
        <v>26</v>
      </c>
      <c r="B967" s="23">
        <v>284</v>
      </c>
      <c r="C967" s="27" t="str">
        <f t="shared" si="24"/>
        <v>26.284</v>
      </c>
      <c r="D967" s="18"/>
      <c r="E967" s="64" t="str">
        <f>IF(ISBLANK(D967)=TRUE,"",VLOOKUP(D967,Krav!$C:$F,4,FALSE))</f>
        <v/>
      </c>
      <c r="F967" s="84" t="s">
        <v>224</v>
      </c>
      <c r="G967" s="53" t="s">
        <v>1475</v>
      </c>
      <c r="H967" s="84" t="s">
        <v>596</v>
      </c>
      <c r="I967" s="65" t="s">
        <v>1482</v>
      </c>
      <c r="J967" s="67" t="s">
        <v>222</v>
      </c>
      <c r="K967" s="125" t="s">
        <v>222</v>
      </c>
      <c r="L967" s="20" t="s">
        <v>3</v>
      </c>
      <c r="M967" s="61" t="s">
        <v>129</v>
      </c>
      <c r="N967" s="61" t="s">
        <v>1481</v>
      </c>
      <c r="O967" s="61" t="s">
        <v>1482</v>
      </c>
      <c r="P967" s="61" t="s">
        <v>129</v>
      </c>
      <c r="Q967" s="61" t="s">
        <v>1481</v>
      </c>
      <c r="R967" s="61" t="s">
        <v>1482</v>
      </c>
      <c r="S967" s="61" t="s">
        <v>129</v>
      </c>
      <c r="T967" s="61" t="s">
        <v>1481</v>
      </c>
      <c r="U967" s="61" t="s">
        <v>1482</v>
      </c>
      <c r="V967" s="61" t="s">
        <v>129</v>
      </c>
      <c r="W967" s="61" t="s">
        <v>1481</v>
      </c>
      <c r="X967" s="61" t="s">
        <v>1482</v>
      </c>
      <c r="Y967" s="61" t="s">
        <v>129</v>
      </c>
      <c r="Z967" s="61" t="s">
        <v>1481</v>
      </c>
      <c r="AA967" s="61" t="s">
        <v>1482</v>
      </c>
      <c r="AB967" s="61">
        <v>1</v>
      </c>
    </row>
    <row r="968" spans="1:28" s="57" customFormat="1" ht="28.8" x14ac:dyDescent="0.3">
      <c r="A968" s="16">
        <v>26</v>
      </c>
      <c r="B968" s="23">
        <v>285</v>
      </c>
      <c r="C968" s="27" t="str">
        <f t="shared" si="24"/>
        <v>26.285</v>
      </c>
      <c r="D968" s="18"/>
      <c r="E968" s="64" t="str">
        <f>IF(ISBLANK(D968)=TRUE,"",VLOOKUP(D968,Krav!$C:$F,4,FALSE))</f>
        <v/>
      </c>
      <c r="F968" s="84" t="s">
        <v>224</v>
      </c>
      <c r="G968" s="53" t="s">
        <v>1476</v>
      </c>
      <c r="H968" s="84" t="s">
        <v>596</v>
      </c>
      <c r="I968" s="65" t="s">
        <v>129</v>
      </c>
      <c r="J968" s="67" t="s">
        <v>222</v>
      </c>
      <c r="K968" s="123" t="s">
        <v>222</v>
      </c>
      <c r="L968" s="20" t="s">
        <v>3</v>
      </c>
      <c r="M968" s="61" t="s">
        <v>129</v>
      </c>
      <c r="N968" s="61" t="s">
        <v>1481</v>
      </c>
      <c r="O968" s="61" t="s">
        <v>1482</v>
      </c>
      <c r="P968" s="61" t="s">
        <v>129</v>
      </c>
      <c r="Q968" s="61" t="s">
        <v>1481</v>
      </c>
      <c r="R968" s="61" t="s">
        <v>1482</v>
      </c>
      <c r="S968" s="61" t="s">
        <v>129</v>
      </c>
      <c r="T968" s="61" t="s">
        <v>1481</v>
      </c>
      <c r="U968" s="61" t="s">
        <v>1482</v>
      </c>
      <c r="V968" s="61" t="s">
        <v>129</v>
      </c>
      <c r="W968" s="61" t="s">
        <v>1481</v>
      </c>
      <c r="X968" s="61" t="s">
        <v>1482</v>
      </c>
      <c r="Y968" s="61" t="s">
        <v>129</v>
      </c>
      <c r="Z968" s="61" t="s">
        <v>1481</v>
      </c>
      <c r="AA968" s="61" t="s">
        <v>1482</v>
      </c>
      <c r="AB968" s="61">
        <v>1</v>
      </c>
    </row>
    <row r="969" spans="1:28" s="57" customFormat="1" ht="28.8" x14ac:dyDescent="0.3">
      <c r="A969" s="16">
        <v>26</v>
      </c>
      <c r="B969" s="23">
        <v>286</v>
      </c>
      <c r="C969" s="27" t="str">
        <f t="shared" si="24"/>
        <v>26.286</v>
      </c>
      <c r="D969" s="18"/>
      <c r="E969" s="64" t="str">
        <f>IF(ISBLANK(D969)=TRUE,"",VLOOKUP(D969,Krav!$C:$F,4,FALSE))</f>
        <v/>
      </c>
      <c r="F969" s="84" t="s">
        <v>224</v>
      </c>
      <c r="G969" s="53" t="s">
        <v>1477</v>
      </c>
      <c r="H969" s="84" t="s">
        <v>596</v>
      </c>
      <c r="I969" s="65" t="s">
        <v>1481</v>
      </c>
      <c r="J969" s="67" t="s">
        <v>222</v>
      </c>
      <c r="K969" s="125" t="s">
        <v>222</v>
      </c>
      <c r="L969" s="20" t="s">
        <v>3</v>
      </c>
      <c r="M969" s="61" t="s">
        <v>129</v>
      </c>
      <c r="N969" s="61" t="s">
        <v>1481</v>
      </c>
      <c r="O969" s="61" t="s">
        <v>1482</v>
      </c>
      <c r="P969" s="61" t="s">
        <v>129</v>
      </c>
      <c r="Q969" s="61" t="s">
        <v>1481</v>
      </c>
      <c r="R969" s="61" t="s">
        <v>1482</v>
      </c>
      <c r="S969" s="61" t="s">
        <v>129</v>
      </c>
      <c r="T969" s="61" t="s">
        <v>1481</v>
      </c>
      <c r="U969" s="61" t="s">
        <v>1482</v>
      </c>
      <c r="V969" s="61" t="s">
        <v>129</v>
      </c>
      <c r="W969" s="61" t="s">
        <v>1481</v>
      </c>
      <c r="X969" s="61" t="s">
        <v>1482</v>
      </c>
      <c r="Y969" s="61" t="s">
        <v>129</v>
      </c>
      <c r="Z969" s="61" t="s">
        <v>1481</v>
      </c>
      <c r="AA969" s="61" t="s">
        <v>1482</v>
      </c>
      <c r="AB969" s="61">
        <v>1</v>
      </c>
    </row>
    <row r="970" spans="1:28" s="57" customFormat="1" ht="28.8" x14ac:dyDescent="0.3">
      <c r="A970" s="16">
        <v>26</v>
      </c>
      <c r="B970" s="23">
        <v>287</v>
      </c>
      <c r="C970" s="27" t="str">
        <f t="shared" si="24"/>
        <v>26.287</v>
      </c>
      <c r="D970" s="18"/>
      <c r="E970" s="64" t="str">
        <f>IF(ISBLANK(D970)=TRUE,"",VLOOKUP(D970,Krav!$C:$F,4,FALSE))</f>
        <v/>
      </c>
      <c r="F970" s="84" t="s">
        <v>224</v>
      </c>
      <c r="G970" s="53" t="s">
        <v>1478</v>
      </c>
      <c r="H970" s="84" t="s">
        <v>596</v>
      </c>
      <c r="I970" s="65" t="s">
        <v>1482</v>
      </c>
      <c r="J970" s="67" t="s">
        <v>222</v>
      </c>
      <c r="K970" s="125" t="s">
        <v>222</v>
      </c>
      <c r="L970" s="20" t="s">
        <v>3</v>
      </c>
      <c r="M970" s="61" t="s">
        <v>129</v>
      </c>
      <c r="N970" s="61" t="s">
        <v>1481</v>
      </c>
      <c r="O970" s="61" t="s">
        <v>1482</v>
      </c>
      <c r="P970" s="61" t="s">
        <v>129</v>
      </c>
      <c r="Q970" s="61" t="s">
        <v>1481</v>
      </c>
      <c r="R970" s="61" t="s">
        <v>1482</v>
      </c>
      <c r="S970" s="61" t="s">
        <v>129</v>
      </c>
      <c r="T970" s="61" t="s">
        <v>1481</v>
      </c>
      <c r="U970" s="61" t="s">
        <v>1482</v>
      </c>
      <c r="V970" s="61" t="s">
        <v>129</v>
      </c>
      <c r="W970" s="61" t="s">
        <v>1481</v>
      </c>
      <c r="X970" s="61" t="s">
        <v>1482</v>
      </c>
      <c r="Y970" s="61" t="s">
        <v>129</v>
      </c>
      <c r="Z970" s="61" t="s">
        <v>1481</v>
      </c>
      <c r="AA970" s="61" t="s">
        <v>1482</v>
      </c>
      <c r="AB970" s="61">
        <v>1</v>
      </c>
    </row>
    <row r="971" spans="1:28" s="57" customFormat="1" ht="28.8" x14ac:dyDescent="0.3">
      <c r="A971" s="16">
        <v>26</v>
      </c>
      <c r="B971" s="23">
        <v>288</v>
      </c>
      <c r="C971" s="27" t="str">
        <f t="shared" si="24"/>
        <v>26.288</v>
      </c>
      <c r="D971" s="18"/>
      <c r="E971" s="64" t="str">
        <f>IF(ISBLANK(D971)=TRUE,"",VLOOKUP(D971,Krav!$C:$F,4,FALSE))</f>
        <v/>
      </c>
      <c r="F971" s="84" t="s">
        <v>224</v>
      </c>
      <c r="G971" s="53" t="s">
        <v>521</v>
      </c>
      <c r="H971" s="84" t="s">
        <v>597</v>
      </c>
      <c r="I971" s="67" t="s">
        <v>131</v>
      </c>
      <c r="J971" s="67" t="s">
        <v>222</v>
      </c>
      <c r="K971" s="123" t="s">
        <v>222</v>
      </c>
      <c r="L971" s="20" t="s">
        <v>3</v>
      </c>
      <c r="M971" s="61"/>
      <c r="N971" s="61"/>
      <c r="O971" s="61"/>
      <c r="P971" s="61"/>
      <c r="Q971" s="61"/>
      <c r="R971" s="61"/>
      <c r="S971" s="61"/>
      <c r="T971" s="61"/>
      <c r="U971" s="61"/>
      <c r="V971" s="61"/>
      <c r="W971" s="61"/>
      <c r="X971" s="61"/>
      <c r="Y971" s="61"/>
      <c r="Z971" s="61"/>
      <c r="AA971" s="61"/>
      <c r="AB971" s="61">
        <v>1</v>
      </c>
    </row>
    <row r="972" spans="1:28" s="57" customFormat="1" ht="28.8" x14ac:dyDescent="0.3">
      <c r="A972" s="16">
        <v>26</v>
      </c>
      <c r="B972" s="23">
        <v>289</v>
      </c>
      <c r="C972" s="27" t="str">
        <f t="shared" si="24"/>
        <v>26.289</v>
      </c>
      <c r="D972" s="18"/>
      <c r="E972" s="64" t="str">
        <f>IF(ISBLANK(D972)=TRUE,"",VLOOKUP(D972,Krav!$C:$F,4,FALSE))</f>
        <v/>
      </c>
      <c r="F972" s="84" t="s">
        <v>224</v>
      </c>
      <c r="G972" s="53" t="s">
        <v>1467</v>
      </c>
      <c r="H972" s="84" t="s">
        <v>597</v>
      </c>
      <c r="I972" s="65" t="s">
        <v>96</v>
      </c>
      <c r="J972" s="67" t="s">
        <v>222</v>
      </c>
      <c r="K972" s="123" t="s">
        <v>222</v>
      </c>
      <c r="L972" s="20" t="s">
        <v>3</v>
      </c>
      <c r="M972" s="61"/>
      <c r="N972" s="61"/>
      <c r="O972" s="61"/>
      <c r="P972" s="61"/>
      <c r="Q972" s="61"/>
      <c r="R972" s="61"/>
      <c r="S972" s="61"/>
      <c r="T972" s="61"/>
      <c r="U972" s="61"/>
      <c r="V972" s="61"/>
      <c r="W972" s="61"/>
      <c r="X972" s="61"/>
      <c r="Y972" s="61"/>
      <c r="Z972" s="61"/>
      <c r="AA972" s="61"/>
      <c r="AB972" s="61">
        <v>1</v>
      </c>
    </row>
    <row r="973" spans="1:28" s="57" customFormat="1" ht="28.8" x14ac:dyDescent="0.3">
      <c r="A973" s="16">
        <v>26</v>
      </c>
      <c r="B973" s="23">
        <v>290</v>
      </c>
      <c r="C973" s="27" t="str">
        <f t="shared" si="24"/>
        <v>26.290</v>
      </c>
      <c r="D973" s="18"/>
      <c r="E973" s="64" t="str">
        <f>IF(ISBLANK(D973)=TRUE,"",VLOOKUP(D973,Krav!$C:$F,4,FALSE))</f>
        <v/>
      </c>
      <c r="F973" s="84" t="s">
        <v>224</v>
      </c>
      <c r="G973" s="53" t="s">
        <v>1468</v>
      </c>
      <c r="H973" s="84" t="s">
        <v>597</v>
      </c>
      <c r="I973" s="65" t="s">
        <v>96</v>
      </c>
      <c r="J973" s="67" t="s">
        <v>222</v>
      </c>
      <c r="K973" s="123" t="s">
        <v>222</v>
      </c>
      <c r="L973" s="20" t="s">
        <v>3</v>
      </c>
      <c r="M973" s="61"/>
      <c r="N973" s="61"/>
      <c r="O973" s="61"/>
      <c r="P973" s="61"/>
      <c r="Q973" s="61"/>
      <c r="R973" s="61"/>
      <c r="S973" s="61"/>
      <c r="T973" s="61"/>
      <c r="U973" s="61"/>
      <c r="V973" s="61"/>
      <c r="W973" s="61"/>
      <c r="X973" s="61"/>
      <c r="Y973" s="61"/>
      <c r="Z973" s="61"/>
      <c r="AA973" s="61"/>
      <c r="AB973" s="61">
        <v>1</v>
      </c>
    </row>
    <row r="974" spans="1:28" s="57" customFormat="1" ht="28.8" x14ac:dyDescent="0.3">
      <c r="A974" s="16">
        <v>26</v>
      </c>
      <c r="B974" s="23">
        <v>291</v>
      </c>
      <c r="C974" s="27" t="str">
        <f t="shared" si="24"/>
        <v>26.291</v>
      </c>
      <c r="D974" s="18"/>
      <c r="E974" s="64" t="str">
        <f>IF(ISBLANK(D974)=TRUE,"",VLOOKUP(D974,Krav!$C:$F,4,FALSE))</f>
        <v/>
      </c>
      <c r="F974" s="84" t="s">
        <v>224</v>
      </c>
      <c r="G974" s="53" t="s">
        <v>522</v>
      </c>
      <c r="H974" s="84" t="s">
        <v>597</v>
      </c>
      <c r="I974" s="65" t="s">
        <v>131</v>
      </c>
      <c r="J974" s="67" t="s">
        <v>222</v>
      </c>
      <c r="K974" s="123" t="s">
        <v>222</v>
      </c>
      <c r="L974" s="20" t="s">
        <v>3</v>
      </c>
      <c r="M974" s="61"/>
      <c r="N974" s="61"/>
      <c r="O974" s="61"/>
      <c r="P974" s="61"/>
      <c r="Q974" s="61"/>
      <c r="R974" s="61"/>
      <c r="S974" s="61"/>
      <c r="T974" s="61"/>
      <c r="U974" s="61"/>
      <c r="V974" s="61"/>
      <c r="W974" s="61"/>
      <c r="X974" s="61"/>
      <c r="Y974" s="61"/>
      <c r="Z974" s="61"/>
      <c r="AA974" s="61"/>
      <c r="AB974" s="61">
        <v>1</v>
      </c>
    </row>
    <row r="975" spans="1:28" s="57" customFormat="1" ht="28.8" x14ac:dyDescent="0.3">
      <c r="A975" s="16">
        <v>26</v>
      </c>
      <c r="B975" s="23">
        <v>292</v>
      </c>
      <c r="C975" s="27" t="str">
        <f t="shared" si="24"/>
        <v>26.292</v>
      </c>
      <c r="D975" s="18"/>
      <c r="E975" s="64" t="str">
        <f>IF(ISBLANK(D975)=TRUE,"",VLOOKUP(D975,Krav!$C:$F,4,FALSE))</f>
        <v/>
      </c>
      <c r="F975" s="84" t="s">
        <v>224</v>
      </c>
      <c r="G975" s="53" t="s">
        <v>1469</v>
      </c>
      <c r="H975" s="84" t="s">
        <v>597</v>
      </c>
      <c r="I975" s="65" t="s">
        <v>96</v>
      </c>
      <c r="J975" s="67" t="s">
        <v>222</v>
      </c>
      <c r="K975" s="123" t="s">
        <v>222</v>
      </c>
      <c r="L975" s="20" t="s">
        <v>3</v>
      </c>
      <c r="M975" s="61"/>
      <c r="N975" s="61"/>
      <c r="O975" s="61"/>
      <c r="P975" s="61"/>
      <c r="Q975" s="61"/>
      <c r="R975" s="61"/>
      <c r="S975" s="61"/>
      <c r="T975" s="61"/>
      <c r="U975" s="61"/>
      <c r="V975" s="61"/>
      <c r="W975" s="61"/>
      <c r="X975" s="61"/>
      <c r="Y975" s="61"/>
      <c r="Z975" s="61"/>
      <c r="AA975" s="61"/>
      <c r="AB975" s="61">
        <v>1</v>
      </c>
    </row>
    <row r="976" spans="1:28" s="57" customFormat="1" ht="28.8" x14ac:dyDescent="0.3">
      <c r="A976" s="16">
        <v>26</v>
      </c>
      <c r="B976" s="23">
        <v>293</v>
      </c>
      <c r="C976" s="27" t="str">
        <f t="shared" si="24"/>
        <v>26.293</v>
      </c>
      <c r="D976" s="18"/>
      <c r="E976" s="64" t="str">
        <f>IF(ISBLANK(D976)=TRUE,"",VLOOKUP(D976,Krav!$C:$F,4,FALSE))</f>
        <v/>
      </c>
      <c r="F976" s="84" t="s">
        <v>224</v>
      </c>
      <c r="G976" s="53" t="s">
        <v>1470</v>
      </c>
      <c r="H976" s="84" t="s">
        <v>597</v>
      </c>
      <c r="I976" s="65" t="s">
        <v>96</v>
      </c>
      <c r="J976" s="67" t="s">
        <v>222</v>
      </c>
      <c r="K976" s="123" t="s">
        <v>222</v>
      </c>
      <c r="L976" s="20" t="s">
        <v>3</v>
      </c>
      <c r="M976" s="61"/>
      <c r="N976" s="61"/>
      <c r="O976" s="61"/>
      <c r="P976" s="61"/>
      <c r="Q976" s="61"/>
      <c r="R976" s="61"/>
      <c r="S976" s="61"/>
      <c r="T976" s="61"/>
      <c r="U976" s="61"/>
      <c r="V976" s="61"/>
      <c r="W976" s="61"/>
      <c r="X976" s="61"/>
      <c r="Y976" s="61"/>
      <c r="Z976" s="61"/>
      <c r="AA976" s="61"/>
      <c r="AB976" s="61">
        <v>1</v>
      </c>
    </row>
    <row r="977" spans="1:31" s="57" customFormat="1" ht="28.8" x14ac:dyDescent="0.3">
      <c r="A977" s="16">
        <v>26</v>
      </c>
      <c r="B977" s="23">
        <v>294</v>
      </c>
      <c r="C977" s="27" t="str">
        <f t="shared" si="24"/>
        <v>26.294</v>
      </c>
      <c r="D977" s="18"/>
      <c r="E977" s="64" t="str">
        <f>IF(ISBLANK(D977)=TRUE,"",VLOOKUP(D977,Krav!$C:$F,4,FALSE))</f>
        <v/>
      </c>
      <c r="F977" s="84" t="s">
        <v>224</v>
      </c>
      <c r="G977" s="53" t="s">
        <v>523</v>
      </c>
      <c r="H977" s="84" t="s">
        <v>597</v>
      </c>
      <c r="I977" s="65" t="s">
        <v>131</v>
      </c>
      <c r="J977" s="67" t="s">
        <v>222</v>
      </c>
      <c r="K977" s="123" t="s">
        <v>222</v>
      </c>
      <c r="L977" s="20" t="s">
        <v>3</v>
      </c>
      <c r="M977" s="61"/>
      <c r="N977" s="61"/>
      <c r="O977" s="61"/>
      <c r="P977" s="61"/>
      <c r="Q977" s="61"/>
      <c r="R977" s="61"/>
      <c r="S977" s="61"/>
      <c r="T977" s="61"/>
      <c r="U977" s="61"/>
      <c r="V977" s="61"/>
      <c r="W977" s="61"/>
      <c r="X977" s="61"/>
      <c r="Y977" s="61"/>
      <c r="Z977" s="61"/>
      <c r="AA977" s="61"/>
      <c r="AB977" s="61">
        <v>1</v>
      </c>
    </row>
    <row r="978" spans="1:31" s="57" customFormat="1" ht="28.8" x14ac:dyDescent="0.3">
      <c r="A978" s="16">
        <v>26</v>
      </c>
      <c r="B978" s="23">
        <v>295</v>
      </c>
      <c r="C978" s="27" t="str">
        <f t="shared" si="24"/>
        <v>26.295</v>
      </c>
      <c r="D978" s="18"/>
      <c r="E978" s="64" t="str">
        <f>IF(ISBLANK(D978)=TRUE,"",VLOOKUP(D978,Krav!$C:$F,4,FALSE))</f>
        <v/>
      </c>
      <c r="F978" s="84" t="s">
        <v>224</v>
      </c>
      <c r="G978" s="53" t="s">
        <v>1471</v>
      </c>
      <c r="H978" s="84" t="s">
        <v>597</v>
      </c>
      <c r="I978" s="65" t="s">
        <v>96</v>
      </c>
      <c r="J978" s="67" t="s">
        <v>222</v>
      </c>
      <c r="K978" s="123" t="s">
        <v>222</v>
      </c>
      <c r="L978" s="20" t="s">
        <v>3</v>
      </c>
      <c r="M978" s="61"/>
      <c r="N978" s="61"/>
      <c r="O978" s="61"/>
      <c r="P978" s="61"/>
      <c r="Q978" s="61"/>
      <c r="R978" s="61"/>
      <c r="S978" s="61"/>
      <c r="T978" s="61"/>
      <c r="U978" s="61"/>
      <c r="V978" s="61"/>
      <c r="W978" s="61"/>
      <c r="X978" s="61"/>
      <c r="Y978" s="61"/>
      <c r="Z978" s="61"/>
      <c r="AA978" s="61"/>
      <c r="AB978" s="61">
        <v>1</v>
      </c>
    </row>
    <row r="979" spans="1:31" s="57" customFormat="1" ht="28.8" x14ac:dyDescent="0.3">
      <c r="A979" s="16">
        <v>26</v>
      </c>
      <c r="B979" s="23">
        <v>296</v>
      </c>
      <c r="C979" s="27" t="str">
        <f t="shared" si="24"/>
        <v>26.296</v>
      </c>
      <c r="D979" s="18"/>
      <c r="E979" s="64" t="str">
        <f>IF(ISBLANK(D979)=TRUE,"",VLOOKUP(D979,Krav!$C:$F,4,FALSE))</f>
        <v/>
      </c>
      <c r="F979" s="84" t="s">
        <v>224</v>
      </c>
      <c r="G979" s="53" t="s">
        <v>1472</v>
      </c>
      <c r="H979" s="84" t="s">
        <v>597</v>
      </c>
      <c r="I979" s="65" t="s">
        <v>96</v>
      </c>
      <c r="J979" s="67" t="s">
        <v>222</v>
      </c>
      <c r="K979" s="123" t="s">
        <v>222</v>
      </c>
      <c r="L979" s="20" t="s">
        <v>3</v>
      </c>
      <c r="M979" s="61"/>
      <c r="N979" s="61"/>
      <c r="O979" s="61"/>
      <c r="P979" s="61"/>
      <c r="Q979" s="61"/>
      <c r="R979" s="61"/>
      <c r="S979" s="61"/>
      <c r="T979" s="61"/>
      <c r="U979" s="61"/>
      <c r="V979" s="61"/>
      <c r="W979" s="61"/>
      <c r="X979" s="61"/>
      <c r="Y979" s="61"/>
      <c r="Z979" s="61"/>
      <c r="AA979" s="61"/>
      <c r="AB979" s="61">
        <v>1</v>
      </c>
    </row>
    <row r="980" spans="1:31" s="57" customFormat="1" ht="28.8" x14ac:dyDescent="0.3">
      <c r="A980" s="16">
        <v>26</v>
      </c>
      <c r="B980" s="23">
        <v>297</v>
      </c>
      <c r="C980" s="27" t="str">
        <f t="shared" si="24"/>
        <v>26.297</v>
      </c>
      <c r="D980" s="18"/>
      <c r="E980" s="64" t="str">
        <f>IF(ISBLANK(D980)=TRUE,"",VLOOKUP(D980,Krav!$C:$F,4,FALSE))</f>
        <v/>
      </c>
      <c r="F980" s="84" t="s">
        <v>224</v>
      </c>
      <c r="G980" s="53" t="s">
        <v>1473</v>
      </c>
      <c r="H980" s="84" t="s">
        <v>597</v>
      </c>
      <c r="I980" s="67" t="s">
        <v>131</v>
      </c>
      <c r="J980" s="67" t="s">
        <v>222</v>
      </c>
      <c r="K980" s="123" t="s">
        <v>222</v>
      </c>
      <c r="L980" s="20" t="s">
        <v>3</v>
      </c>
      <c r="M980" s="61"/>
      <c r="N980" s="61"/>
      <c r="O980" s="61"/>
      <c r="P980" s="61"/>
      <c r="Q980" s="61"/>
      <c r="R980" s="61"/>
      <c r="S980" s="61"/>
      <c r="T980" s="61"/>
      <c r="U980" s="61"/>
      <c r="V980" s="61"/>
      <c r="W980" s="61"/>
      <c r="X980" s="61"/>
      <c r="Y980" s="61"/>
      <c r="Z980" s="61"/>
      <c r="AA980" s="61"/>
      <c r="AB980" s="61">
        <v>1</v>
      </c>
    </row>
    <row r="981" spans="1:31" s="57" customFormat="1" ht="28.8" x14ac:dyDescent="0.3">
      <c r="A981" s="16">
        <v>26</v>
      </c>
      <c r="B981" s="23">
        <v>298</v>
      </c>
      <c r="C981" s="27" t="str">
        <f t="shared" si="24"/>
        <v>26.298</v>
      </c>
      <c r="D981" s="18"/>
      <c r="E981" s="64" t="str">
        <f>IF(ISBLANK(D981)=TRUE,"",VLOOKUP(D981,Krav!$C:$F,4,FALSE))</f>
        <v/>
      </c>
      <c r="F981" s="84" t="s">
        <v>224</v>
      </c>
      <c r="G981" s="53" t="s">
        <v>1474</v>
      </c>
      <c r="H981" s="84" t="s">
        <v>597</v>
      </c>
      <c r="I981" s="65" t="s">
        <v>96</v>
      </c>
      <c r="J981" s="67" t="s">
        <v>222</v>
      </c>
      <c r="K981" s="123" t="s">
        <v>222</v>
      </c>
      <c r="L981" s="20" t="s">
        <v>3</v>
      </c>
      <c r="M981" s="61"/>
      <c r="N981" s="61"/>
      <c r="O981" s="61"/>
      <c r="P981" s="61"/>
      <c r="Q981" s="61"/>
      <c r="R981" s="61"/>
      <c r="S981" s="61"/>
      <c r="T981" s="61"/>
      <c r="U981" s="61"/>
      <c r="V981" s="61"/>
      <c r="W981" s="61"/>
      <c r="X981" s="61"/>
      <c r="Y981" s="61"/>
      <c r="Z981" s="61"/>
      <c r="AA981" s="61"/>
      <c r="AB981" s="61">
        <v>1</v>
      </c>
    </row>
    <row r="982" spans="1:31" s="57" customFormat="1" ht="28.8" x14ac:dyDescent="0.3">
      <c r="A982" s="16">
        <v>26</v>
      </c>
      <c r="B982" s="23">
        <v>299</v>
      </c>
      <c r="C982" s="27" t="str">
        <f t="shared" si="24"/>
        <v>26.299</v>
      </c>
      <c r="D982" s="18"/>
      <c r="E982" s="64" t="str">
        <f>IF(ISBLANK(D982)=TRUE,"",VLOOKUP(D982,Krav!$C:$F,4,FALSE))</f>
        <v/>
      </c>
      <c r="F982" s="84" t="s">
        <v>224</v>
      </c>
      <c r="G982" s="53" t="s">
        <v>1475</v>
      </c>
      <c r="H982" s="84" t="s">
        <v>597</v>
      </c>
      <c r="I982" s="65" t="s">
        <v>96</v>
      </c>
      <c r="J982" s="67" t="s">
        <v>222</v>
      </c>
      <c r="K982" s="123" t="s">
        <v>222</v>
      </c>
      <c r="L982" s="20" t="s">
        <v>3</v>
      </c>
      <c r="M982" s="61"/>
      <c r="N982" s="61"/>
      <c r="O982" s="61"/>
      <c r="P982" s="61"/>
      <c r="Q982" s="61"/>
      <c r="R982" s="61"/>
      <c r="S982" s="61"/>
      <c r="T982" s="61"/>
      <c r="U982" s="61"/>
      <c r="V982" s="61"/>
      <c r="W982" s="61"/>
      <c r="X982" s="61"/>
      <c r="Y982" s="61"/>
      <c r="Z982" s="61"/>
      <c r="AA982" s="61"/>
      <c r="AB982" s="61">
        <v>1</v>
      </c>
    </row>
    <row r="983" spans="1:31" s="57" customFormat="1" ht="28.8" x14ac:dyDescent="0.3">
      <c r="A983" s="16">
        <v>26</v>
      </c>
      <c r="B983" s="23">
        <v>300</v>
      </c>
      <c r="C983" s="27" t="str">
        <f t="shared" si="24"/>
        <v>26.300</v>
      </c>
      <c r="D983" s="18"/>
      <c r="E983" s="64" t="str">
        <f>IF(ISBLANK(D983)=TRUE,"",VLOOKUP(D983,Krav!$C:$F,4,FALSE))</f>
        <v/>
      </c>
      <c r="F983" s="84" t="s">
        <v>224</v>
      </c>
      <c r="G983" s="53" t="s">
        <v>1476</v>
      </c>
      <c r="H983" s="84" t="s">
        <v>597</v>
      </c>
      <c r="I983" s="67" t="s">
        <v>131</v>
      </c>
      <c r="J983" s="67" t="s">
        <v>222</v>
      </c>
      <c r="K983" s="123" t="s">
        <v>222</v>
      </c>
      <c r="L983" s="20" t="s">
        <v>3</v>
      </c>
      <c r="M983" s="61"/>
      <c r="N983" s="61"/>
      <c r="O983" s="61"/>
      <c r="P983" s="61"/>
      <c r="Q983" s="61"/>
      <c r="R983" s="61"/>
      <c r="S983" s="61"/>
      <c r="T983" s="61"/>
      <c r="U983" s="61"/>
      <c r="V983" s="61"/>
      <c r="W983" s="61"/>
      <c r="X983" s="61"/>
      <c r="Y983" s="61"/>
      <c r="Z983" s="61"/>
      <c r="AA983" s="61"/>
      <c r="AB983" s="61">
        <v>1</v>
      </c>
    </row>
    <row r="984" spans="1:31" s="57" customFormat="1" ht="28.8" x14ac:dyDescent="0.3">
      <c r="A984" s="16">
        <v>26</v>
      </c>
      <c r="B984" s="23">
        <v>301</v>
      </c>
      <c r="C984" s="27" t="str">
        <f t="shared" si="24"/>
        <v>26.301</v>
      </c>
      <c r="D984" s="18"/>
      <c r="E984" s="64" t="str">
        <f>IF(ISBLANK(D984)=TRUE,"",VLOOKUP(D984,Krav!$C:$F,4,FALSE))</f>
        <v/>
      </c>
      <c r="F984" s="84" t="s">
        <v>224</v>
      </c>
      <c r="G984" s="53" t="s">
        <v>1477</v>
      </c>
      <c r="H984" s="84" t="s">
        <v>597</v>
      </c>
      <c r="I984" s="65" t="s">
        <v>96</v>
      </c>
      <c r="J984" s="67" t="s">
        <v>222</v>
      </c>
      <c r="K984" s="123" t="s">
        <v>222</v>
      </c>
      <c r="L984" s="20" t="s">
        <v>3</v>
      </c>
      <c r="M984" s="61"/>
      <c r="N984" s="61"/>
      <c r="O984" s="61"/>
      <c r="P984" s="61"/>
      <c r="Q984" s="61"/>
      <c r="R984" s="61"/>
      <c r="S984" s="61"/>
      <c r="T984" s="61"/>
      <c r="U984" s="61"/>
      <c r="V984" s="61"/>
      <c r="W984" s="61"/>
      <c r="X984" s="61"/>
      <c r="Y984" s="61"/>
      <c r="Z984" s="61"/>
      <c r="AA984" s="61"/>
      <c r="AB984" s="61">
        <v>1</v>
      </c>
    </row>
    <row r="985" spans="1:31" s="57" customFormat="1" ht="28.8" x14ac:dyDescent="0.3">
      <c r="A985" s="16">
        <v>26</v>
      </c>
      <c r="B985" s="23">
        <v>302</v>
      </c>
      <c r="C985" s="27" t="str">
        <f t="shared" si="24"/>
        <v>26.302</v>
      </c>
      <c r="D985" s="18"/>
      <c r="E985" s="64" t="str">
        <f>IF(ISBLANK(D985)=TRUE,"",VLOOKUP(D985,Krav!$C:$F,4,FALSE))</f>
        <v/>
      </c>
      <c r="F985" s="333" t="s">
        <v>224</v>
      </c>
      <c r="G985" s="76" t="s">
        <v>1478</v>
      </c>
      <c r="H985" s="333" t="s">
        <v>597</v>
      </c>
      <c r="I985" s="66" t="s">
        <v>96</v>
      </c>
      <c r="J985" s="67" t="s">
        <v>222</v>
      </c>
      <c r="K985" s="123" t="s">
        <v>222</v>
      </c>
      <c r="L985" s="20" t="s">
        <v>3</v>
      </c>
      <c r="M985" s="60"/>
      <c r="N985" s="60"/>
      <c r="O985" s="60"/>
      <c r="P985" s="60"/>
      <c r="Q985" s="60"/>
      <c r="R985" s="60"/>
      <c r="S985" s="60"/>
      <c r="T985" s="60"/>
      <c r="U985" s="60"/>
      <c r="V985" s="60"/>
      <c r="W985" s="60"/>
      <c r="X985" s="60"/>
      <c r="Y985" s="60"/>
      <c r="Z985" s="60"/>
      <c r="AA985" s="60"/>
      <c r="AB985" s="60">
        <v>1</v>
      </c>
    </row>
    <row r="986" spans="1:31" s="57" customFormat="1" ht="28.8" x14ac:dyDescent="0.3">
      <c r="A986" s="16">
        <v>26</v>
      </c>
      <c r="B986" s="23">
        <v>303</v>
      </c>
      <c r="C986" s="27" t="str">
        <f t="shared" si="24"/>
        <v>26.303</v>
      </c>
      <c r="D986" s="18"/>
      <c r="E986" s="64" t="str">
        <f>IF(ISBLANK(D986)=TRUE,"",VLOOKUP(D986,Krav!$C:$F,4,FALSE))</f>
        <v/>
      </c>
      <c r="F986" s="333" t="s">
        <v>185</v>
      </c>
      <c r="G986" s="76"/>
      <c r="H986" s="333" t="s">
        <v>1570</v>
      </c>
      <c r="I986" s="66" t="s">
        <v>145</v>
      </c>
      <c r="J986" s="67" t="s">
        <v>222</v>
      </c>
      <c r="K986" s="123" t="s">
        <v>222</v>
      </c>
      <c r="L986" s="20" t="s">
        <v>3</v>
      </c>
      <c r="M986" s="60"/>
      <c r="N986" s="60"/>
      <c r="O986" s="60"/>
      <c r="P986" s="60"/>
      <c r="Q986" s="60"/>
      <c r="R986" s="60"/>
      <c r="S986" s="60"/>
      <c r="T986" s="60"/>
      <c r="U986" s="60"/>
      <c r="V986" s="60"/>
      <c r="W986" s="60"/>
      <c r="X986" s="60"/>
      <c r="Y986" s="60"/>
      <c r="Z986" s="60"/>
      <c r="AA986" s="60"/>
      <c r="AB986" s="60">
        <v>1</v>
      </c>
    </row>
    <row r="987" spans="1:31" s="90" customFormat="1" ht="28.8" x14ac:dyDescent="0.3">
      <c r="A987" s="16">
        <v>26</v>
      </c>
      <c r="B987" s="23">
        <v>304</v>
      </c>
      <c r="C987" s="27" t="str">
        <f t="shared" si="24"/>
        <v>26.304</v>
      </c>
      <c r="D987" s="12"/>
      <c r="E987" s="64" t="str">
        <f>IF(ISBLANK(D987)=TRUE,"",VLOOKUP(D987,Krav!$C:$F,4,FALSE))</f>
        <v/>
      </c>
      <c r="F987" s="84" t="s">
        <v>418</v>
      </c>
      <c r="G987" s="85" t="s">
        <v>1364</v>
      </c>
      <c r="H987" s="84" t="s">
        <v>1571</v>
      </c>
      <c r="I987" s="86" t="s">
        <v>129</v>
      </c>
      <c r="J987" s="87" t="s">
        <v>222</v>
      </c>
      <c r="K987" s="128" t="s">
        <v>222</v>
      </c>
      <c r="L987" s="4" t="s">
        <v>3</v>
      </c>
      <c r="M987" s="61"/>
      <c r="N987" s="61"/>
      <c r="O987" s="61"/>
      <c r="P987" s="61"/>
      <c r="Q987" s="61"/>
      <c r="R987" s="61"/>
      <c r="S987" s="61"/>
      <c r="T987" s="61"/>
      <c r="U987" s="61"/>
      <c r="V987" s="61"/>
      <c r="W987" s="61"/>
      <c r="X987" s="61"/>
      <c r="Y987" s="61"/>
      <c r="Z987" s="61"/>
      <c r="AA987" s="61"/>
      <c r="AB987" s="61">
        <v>1</v>
      </c>
    </row>
    <row r="991" spans="1:31" s="57" customFormat="1" ht="16.5" customHeight="1" x14ac:dyDescent="0.3">
      <c r="E991" s="5"/>
      <c r="F991" s="5"/>
      <c r="H991" s="5"/>
      <c r="M991" s="62" t="s">
        <v>1374</v>
      </c>
      <c r="N991" s="62" t="s">
        <v>1375</v>
      </c>
      <c r="O991" s="62" t="s">
        <v>1376</v>
      </c>
      <c r="P991" s="62" t="s">
        <v>1377</v>
      </c>
      <c r="Q991" s="62" t="s">
        <v>1378</v>
      </c>
      <c r="R991" s="62" t="s">
        <v>1379</v>
      </c>
      <c r="S991" s="62" t="s">
        <v>1380</v>
      </c>
      <c r="T991" s="62" t="s">
        <v>334</v>
      </c>
      <c r="U991" s="62" t="s">
        <v>371</v>
      </c>
      <c r="V991" s="62" t="s">
        <v>1381</v>
      </c>
      <c r="W991" s="62" t="s">
        <v>1382</v>
      </c>
      <c r="X991" s="62" t="s">
        <v>1383</v>
      </c>
      <c r="Y991" s="62" t="s">
        <v>1384</v>
      </c>
      <c r="Z991" s="62"/>
      <c r="AA991" s="62"/>
      <c r="AB991" s="62"/>
      <c r="AC991" s="62" t="s">
        <v>1385</v>
      </c>
      <c r="AD991" s="62" t="s">
        <v>335</v>
      </c>
      <c r="AE991" s="62" t="s">
        <v>1386</v>
      </c>
    </row>
    <row r="992" spans="1:31" s="57" customFormat="1" ht="16.5" customHeight="1" x14ac:dyDescent="0.3">
      <c r="E992" s="5"/>
      <c r="F992" s="5"/>
      <c r="H992" s="5"/>
      <c r="M992" s="62" t="s">
        <v>1387</v>
      </c>
      <c r="N992" s="62" t="s">
        <v>1387</v>
      </c>
      <c r="O992" s="62" t="s">
        <v>12</v>
      </c>
      <c r="P992" s="62" t="s">
        <v>12</v>
      </c>
      <c r="Q992" s="62" t="s">
        <v>1387</v>
      </c>
      <c r="R992" s="62" t="s">
        <v>1387</v>
      </c>
      <c r="S992" s="62" t="s">
        <v>1387</v>
      </c>
      <c r="T992" s="62" t="s">
        <v>12</v>
      </c>
      <c r="U992" s="62" t="s">
        <v>12</v>
      </c>
      <c r="V992" s="62" t="s">
        <v>12</v>
      </c>
      <c r="W992" s="62" t="s">
        <v>12</v>
      </c>
      <c r="X992" s="62" t="s">
        <v>12</v>
      </c>
      <c r="Y992" s="62" t="s">
        <v>12</v>
      </c>
      <c r="Z992" s="62" t="s">
        <v>12</v>
      </c>
      <c r="AA992" s="62" t="s">
        <v>12</v>
      </c>
      <c r="AB992" s="62" t="s">
        <v>12</v>
      </c>
      <c r="AC992" s="62" t="s">
        <v>12</v>
      </c>
      <c r="AD992" s="62" t="s">
        <v>1387</v>
      </c>
    </row>
    <row r="993" spans="1:30" s="1" customFormat="1" ht="15" customHeight="1" x14ac:dyDescent="0.3">
      <c r="A993" s="50" t="s">
        <v>6</v>
      </c>
      <c r="B993" s="51" t="s">
        <v>7</v>
      </c>
      <c r="C993" s="31" t="s">
        <v>0</v>
      </c>
      <c r="D993" s="31" t="s">
        <v>22</v>
      </c>
      <c r="E993" s="52" t="s">
        <v>99</v>
      </c>
      <c r="F993" s="52" t="s">
        <v>216</v>
      </c>
      <c r="G993" s="31" t="s">
        <v>217</v>
      </c>
      <c r="H993" s="52" t="s">
        <v>28</v>
      </c>
      <c r="I993" s="31" t="s">
        <v>218</v>
      </c>
      <c r="J993" s="31" t="s">
        <v>219</v>
      </c>
      <c r="K993" s="31" t="s">
        <v>220</v>
      </c>
      <c r="L993" s="31" t="s">
        <v>1</v>
      </c>
      <c r="M993" s="62" t="s">
        <v>230</v>
      </c>
      <c r="N993" s="62" t="s">
        <v>231</v>
      </c>
      <c r="O993" s="62" t="s">
        <v>1388</v>
      </c>
      <c r="P993" s="62" t="s">
        <v>1389</v>
      </c>
      <c r="Q993" s="62" t="s">
        <v>1390</v>
      </c>
      <c r="R993" s="62" t="s">
        <v>1391</v>
      </c>
      <c r="S993" s="62" t="s">
        <v>1392</v>
      </c>
      <c r="T993" s="62" t="s">
        <v>361</v>
      </c>
      <c r="U993" s="62" t="s">
        <v>234</v>
      </c>
      <c r="V993" s="62" t="s">
        <v>1393</v>
      </c>
      <c r="W993" s="62" t="s">
        <v>1394</v>
      </c>
      <c r="X993" s="62" t="s">
        <v>1395</v>
      </c>
      <c r="Y993" s="62" t="s">
        <v>1396</v>
      </c>
      <c r="Z993" s="166" t="s">
        <v>523</v>
      </c>
      <c r="AA993" s="166" t="s">
        <v>1397</v>
      </c>
      <c r="AB993" s="166" t="s">
        <v>1398</v>
      </c>
      <c r="AC993" s="166" t="s">
        <v>522</v>
      </c>
      <c r="AD993" s="62" t="s">
        <v>233</v>
      </c>
    </row>
    <row r="994" spans="1:30" s="178" customFormat="1" ht="20.25" customHeight="1" x14ac:dyDescent="0.3">
      <c r="A994" s="167">
        <v>28</v>
      </c>
      <c r="B994" s="168">
        <v>1</v>
      </c>
      <c r="C994" s="169" t="str">
        <f t="shared" ref="C994:C1123" si="25">IF(B994&lt;10,_xlfn.CONCAT(A994,".0",B994),_xlfn.CONCAT(A994,".",B994))</f>
        <v>28.01</v>
      </c>
      <c r="D994" s="170" t="s">
        <v>821</v>
      </c>
      <c r="E994" s="64" t="str">
        <f>IF(ISBLANK(D994)=TRUE,"",VLOOKUP(D994,Krav!$C:$F,4,FALSE))</f>
        <v>10.a.1.1.1.1 - Gruppe 1 aktiveres</v>
      </c>
      <c r="F994" s="171" t="s">
        <v>227</v>
      </c>
      <c r="G994" s="171"/>
      <c r="H994" s="172" t="s">
        <v>1399</v>
      </c>
      <c r="I994" s="173" t="s">
        <v>240</v>
      </c>
      <c r="J994" s="174" t="s">
        <v>222</v>
      </c>
      <c r="K994" s="123" t="s">
        <v>222</v>
      </c>
      <c r="L994" s="175" t="s">
        <v>3</v>
      </c>
      <c r="M994" s="176" t="s">
        <v>129</v>
      </c>
      <c r="N994" s="176" t="s">
        <v>131</v>
      </c>
      <c r="O994" s="176" t="s">
        <v>376</v>
      </c>
      <c r="P994" s="176" t="s">
        <v>376</v>
      </c>
      <c r="Q994" s="176" t="s">
        <v>131</v>
      </c>
      <c r="R994" s="176" t="s">
        <v>131</v>
      </c>
      <c r="S994" s="176" t="s">
        <v>131</v>
      </c>
      <c r="T994" s="176" t="s">
        <v>412</v>
      </c>
      <c r="U994" s="176"/>
      <c r="V994" s="176"/>
      <c r="W994" s="176"/>
      <c r="X994" s="176"/>
      <c r="Y994" s="176"/>
      <c r="Z994" s="176"/>
      <c r="AA994" s="176"/>
      <c r="AB994" s="176"/>
      <c r="AC994" s="176"/>
      <c r="AD994" s="177" t="s">
        <v>5</v>
      </c>
    </row>
    <row r="995" spans="1:30" s="182" customFormat="1" ht="33" customHeight="1" x14ac:dyDescent="0.3">
      <c r="A995" s="167">
        <v>28</v>
      </c>
      <c r="B995" s="168">
        <v>2</v>
      </c>
      <c r="C995" s="169" t="str">
        <f t="shared" si="25"/>
        <v>28.02</v>
      </c>
      <c r="D995" s="170"/>
      <c r="E995" s="64" t="str">
        <f>IF(ISBLANK(D995)=TRUE,"",VLOOKUP(D995,Krav!$C:$F,4,FALSE))</f>
        <v/>
      </c>
      <c r="F995" s="171" t="s">
        <v>225</v>
      </c>
      <c r="G995" s="179" t="s">
        <v>1389</v>
      </c>
      <c r="H995" s="179" t="s">
        <v>158</v>
      </c>
      <c r="I995" s="174" t="s">
        <v>1400</v>
      </c>
      <c r="J995" s="180" t="s">
        <v>222</v>
      </c>
      <c r="K995" s="123" t="s">
        <v>222</v>
      </c>
      <c r="L995" s="181" t="s">
        <v>3</v>
      </c>
      <c r="M995" s="176" t="s">
        <v>129</v>
      </c>
      <c r="N995" s="176" t="s">
        <v>131</v>
      </c>
      <c r="O995" s="176" t="s">
        <v>376</v>
      </c>
      <c r="P995" s="176" t="s">
        <v>96</v>
      </c>
      <c r="Q995" s="176" t="s">
        <v>131</v>
      </c>
      <c r="R995" s="176" t="s">
        <v>131</v>
      </c>
      <c r="S995" s="176" t="s">
        <v>129</v>
      </c>
      <c r="T995" s="176"/>
      <c r="U995" s="176"/>
      <c r="V995" s="176"/>
      <c r="W995" s="176"/>
      <c r="X995" s="176"/>
      <c r="Y995" s="176"/>
      <c r="Z995" s="176"/>
      <c r="AA995" s="176"/>
      <c r="AB995" s="176"/>
      <c r="AC995" s="176"/>
      <c r="AD995" s="177" t="s">
        <v>5</v>
      </c>
    </row>
    <row r="996" spans="1:30" s="178" customFormat="1" ht="16.5" customHeight="1" x14ac:dyDescent="0.3">
      <c r="A996" s="167">
        <v>28</v>
      </c>
      <c r="B996" s="168">
        <v>3</v>
      </c>
      <c r="C996" s="169" t="str">
        <f t="shared" si="25"/>
        <v>28.03</v>
      </c>
      <c r="D996" s="170" t="s">
        <v>927</v>
      </c>
      <c r="E996" s="64" t="str">
        <f>IF(ISBLANK(D996)=TRUE,"",VLOOKUP(D996,Krav!$C:$F,4,FALSE))</f>
        <v>10.a.1.1.1.56 - Hvis ForfaldsDato er valgt: Fristlængden indsættes i Regel R0047 - fristlængden beregnes ved at fratrække værdien fra spm. 10.a.1 med værdien fra 10.a.1.1</v>
      </c>
      <c r="F996" s="171" t="s">
        <v>226</v>
      </c>
      <c r="G996" s="171" t="s">
        <v>313</v>
      </c>
      <c r="H996" s="172" t="s">
        <v>1401</v>
      </c>
      <c r="I996" s="174" t="s">
        <v>1402</v>
      </c>
      <c r="J996" s="173" t="s">
        <v>222</v>
      </c>
      <c r="K996" s="123" t="s">
        <v>222</v>
      </c>
      <c r="L996" s="181" t="s">
        <v>3</v>
      </c>
      <c r="M996" s="176" t="s">
        <v>129</v>
      </c>
      <c r="N996" s="176" t="s">
        <v>131</v>
      </c>
      <c r="O996" s="176" t="s">
        <v>376</v>
      </c>
      <c r="P996" s="176" t="s">
        <v>96</v>
      </c>
      <c r="Q996" s="176" t="s">
        <v>131</v>
      </c>
      <c r="R996" s="176" t="s">
        <v>131</v>
      </c>
      <c r="S996" s="176" t="s">
        <v>129</v>
      </c>
      <c r="T996" s="176"/>
      <c r="U996" s="176" t="s">
        <v>1288</v>
      </c>
      <c r="V996" s="176"/>
      <c r="W996" s="176"/>
      <c r="X996" s="176"/>
      <c r="Y996" s="176"/>
      <c r="Z996" s="176"/>
      <c r="AA996" s="176"/>
      <c r="AB996" s="176"/>
      <c r="AC996" s="176"/>
      <c r="AD996" s="177" t="s">
        <v>5</v>
      </c>
    </row>
    <row r="997" spans="1:30" s="178" customFormat="1" ht="33" customHeight="1" x14ac:dyDescent="0.3">
      <c r="A997" s="167">
        <v>28</v>
      </c>
      <c r="B997" s="168">
        <v>4</v>
      </c>
      <c r="C997" s="169" t="str">
        <f t="shared" si="25"/>
        <v>28.04</v>
      </c>
      <c r="D997" s="170" t="s">
        <v>929</v>
      </c>
      <c r="E997" s="64" t="str">
        <f>IF(ISBLANK(D997)=TRUE,"",VLOOKUP(D997,Krav!$C:$F,4,FALSE))</f>
        <v>10.a.1.1.1.57 - Hvis ForfaldsDato er valgt: Fristlængden indsættes i Regel R0048 - fristlængden beregnes ved at fratrække værdien fra spm. 10.a.1 med værdien fra 10.a.1.1</v>
      </c>
      <c r="F997" s="171" t="s">
        <v>226</v>
      </c>
      <c r="G997" s="171" t="s">
        <v>313</v>
      </c>
      <c r="H997" s="172" t="s">
        <v>1401</v>
      </c>
      <c r="I997" s="174" t="s">
        <v>1402</v>
      </c>
      <c r="J997" s="173" t="s">
        <v>222</v>
      </c>
      <c r="K997" s="123" t="s">
        <v>222</v>
      </c>
      <c r="L997" s="181" t="s">
        <v>3</v>
      </c>
      <c r="M997" s="176" t="s">
        <v>129</v>
      </c>
      <c r="N997" s="176" t="s">
        <v>131</v>
      </c>
      <c r="O997" s="176" t="s">
        <v>376</v>
      </c>
      <c r="P997" s="176" t="s">
        <v>96</v>
      </c>
      <c r="Q997" s="176" t="s">
        <v>131</v>
      </c>
      <c r="R997" s="176" t="s">
        <v>131</v>
      </c>
      <c r="S997" s="176" t="s">
        <v>129</v>
      </c>
      <c r="T997" s="176"/>
      <c r="U997" s="176" t="s">
        <v>1289</v>
      </c>
      <c r="V997" s="176"/>
      <c r="W997" s="176"/>
      <c r="X997" s="176"/>
      <c r="Y997" s="176"/>
      <c r="Z997" s="176"/>
      <c r="AA997" s="176"/>
      <c r="AB997" s="176"/>
      <c r="AC997" s="176"/>
      <c r="AD997" s="177" t="s">
        <v>5</v>
      </c>
    </row>
    <row r="998" spans="1:30" s="178" customFormat="1" ht="33" customHeight="1" x14ac:dyDescent="0.3">
      <c r="A998" s="167">
        <v>28</v>
      </c>
      <c r="B998" s="168">
        <v>5</v>
      </c>
      <c r="C998" s="169" t="str">
        <f t="shared" si="25"/>
        <v>28.05</v>
      </c>
      <c r="D998" s="170" t="s">
        <v>931</v>
      </c>
      <c r="E998" s="64" t="str">
        <f>IF(ISBLANK(D998)=TRUE,"",VLOOKUP(D998,Krav!$C:$F,4,FALSE))</f>
        <v>10.a.1.1.1.58 - Hvis ForfaldsDato er valgt: Fristlængden indsættes i Regel R0049 - fristlængden beregnes ved at fratrække værdien fra spm. 10.a.1 med værdien fra 10.a.1.1</v>
      </c>
      <c r="F998" s="171" t="s">
        <v>226</v>
      </c>
      <c r="G998" s="171" t="s">
        <v>313</v>
      </c>
      <c r="H998" s="172" t="s">
        <v>1401</v>
      </c>
      <c r="I998" s="174" t="s">
        <v>1402</v>
      </c>
      <c r="J998" s="174" t="s">
        <v>222</v>
      </c>
      <c r="K998" s="123" t="s">
        <v>222</v>
      </c>
      <c r="L998" s="175" t="s">
        <v>3</v>
      </c>
      <c r="M998" s="176" t="s">
        <v>129</v>
      </c>
      <c r="N998" s="176" t="s">
        <v>131</v>
      </c>
      <c r="O998" s="176" t="s">
        <v>376</v>
      </c>
      <c r="P998" s="176" t="s">
        <v>96</v>
      </c>
      <c r="Q998" s="176" t="s">
        <v>131</v>
      </c>
      <c r="R998" s="176" t="s">
        <v>131</v>
      </c>
      <c r="S998" s="176" t="s">
        <v>129</v>
      </c>
      <c r="T998" s="176"/>
      <c r="U998" s="176" t="s">
        <v>1290</v>
      </c>
      <c r="V998" s="176"/>
      <c r="W998" s="176"/>
      <c r="X998" s="176"/>
      <c r="Y998" s="176"/>
      <c r="Z998" s="176"/>
      <c r="AA998" s="176"/>
      <c r="AB998" s="176"/>
      <c r="AC998" s="176"/>
      <c r="AD998" s="177" t="s">
        <v>5</v>
      </c>
    </row>
    <row r="999" spans="1:30" s="178" customFormat="1" ht="33" customHeight="1" x14ac:dyDescent="0.3">
      <c r="A999" s="167">
        <v>28</v>
      </c>
      <c r="B999" s="168">
        <v>6</v>
      </c>
      <c r="C999" s="169" t="str">
        <f t="shared" si="25"/>
        <v>28.06</v>
      </c>
      <c r="D999" s="170" t="s">
        <v>933</v>
      </c>
      <c r="E999" s="64" t="str">
        <f>IF(ISBLANK(D999)=TRUE,"",VLOOKUP(D999,Krav!$C:$F,4,FALSE))</f>
        <v>10.a.1.1.1.59 - Hvis ForfaldsDato er valgt: Fristlængden indsættes i Regel R0050 - fristlængden beregnes ved at fratrække værdien fra spm. 10.a.1 med værdien fra 10.a.1.1</v>
      </c>
      <c r="F999" s="171" t="s">
        <v>226</v>
      </c>
      <c r="G999" s="171" t="s">
        <v>313</v>
      </c>
      <c r="H999" s="172" t="s">
        <v>1401</v>
      </c>
      <c r="I999" s="174" t="s">
        <v>1402</v>
      </c>
      <c r="J999" s="174" t="s">
        <v>222</v>
      </c>
      <c r="K999" s="123" t="s">
        <v>222</v>
      </c>
      <c r="L999" s="175" t="s">
        <v>3</v>
      </c>
      <c r="M999" s="176" t="s">
        <v>129</v>
      </c>
      <c r="N999" s="176" t="s">
        <v>131</v>
      </c>
      <c r="O999" s="176" t="s">
        <v>376</v>
      </c>
      <c r="P999" s="176" t="s">
        <v>96</v>
      </c>
      <c r="Q999" s="176" t="s">
        <v>131</v>
      </c>
      <c r="R999" s="176" t="s">
        <v>131</v>
      </c>
      <c r="S999" s="176" t="s">
        <v>129</v>
      </c>
      <c r="T999" s="176"/>
      <c r="U999" s="176" t="s">
        <v>1291</v>
      </c>
      <c r="V999" s="176"/>
      <c r="W999" s="176"/>
      <c r="X999" s="176"/>
      <c r="Y999" s="176"/>
      <c r="Z999" s="176"/>
      <c r="AA999" s="176"/>
      <c r="AB999" s="176"/>
      <c r="AC999" s="176"/>
      <c r="AD999" s="177" t="s">
        <v>5</v>
      </c>
    </row>
    <row r="1000" spans="1:30" s="178" customFormat="1" ht="33" customHeight="1" x14ac:dyDescent="0.3">
      <c r="A1000" s="167">
        <v>28</v>
      </c>
      <c r="B1000" s="168">
        <v>7</v>
      </c>
      <c r="C1000" s="169" t="str">
        <f t="shared" si="25"/>
        <v>28.07</v>
      </c>
      <c r="D1000" s="170" t="s">
        <v>967</v>
      </c>
      <c r="E1000" s="64" t="str">
        <f>IF(ISBLANK(D1000)=TRUE,"",VLOOKUP(D1000,Krav!$C:$F,4,FALSE))</f>
        <v>10.a.1.1.1.76 - Hvis ForfaldsDato er valgt: Fristlængden indsættes i Regel R0067 - fristlængden beregnes ved at fratrække værdien fra spm. 10.a.1 med værdien fra 10.a.1.1</v>
      </c>
      <c r="F1000" s="171" t="s">
        <v>226</v>
      </c>
      <c r="G1000" s="171" t="s">
        <v>313</v>
      </c>
      <c r="H1000" s="172" t="s">
        <v>1401</v>
      </c>
      <c r="I1000" s="174" t="s">
        <v>1402</v>
      </c>
      <c r="J1000" s="174" t="s">
        <v>222</v>
      </c>
      <c r="K1000" s="123" t="s">
        <v>222</v>
      </c>
      <c r="L1000" s="175" t="s">
        <v>3</v>
      </c>
      <c r="M1000" s="176" t="s">
        <v>129</v>
      </c>
      <c r="N1000" s="176" t="s">
        <v>131</v>
      </c>
      <c r="O1000" s="176" t="s">
        <v>376</v>
      </c>
      <c r="P1000" s="176" t="s">
        <v>96</v>
      </c>
      <c r="Q1000" s="176" t="s">
        <v>131</v>
      </c>
      <c r="R1000" s="176" t="s">
        <v>131</v>
      </c>
      <c r="S1000" s="176" t="s">
        <v>129</v>
      </c>
      <c r="T1000" s="176"/>
      <c r="U1000" s="176" t="s">
        <v>1292</v>
      </c>
      <c r="V1000" s="176"/>
      <c r="W1000" s="176"/>
      <c r="X1000" s="176"/>
      <c r="Y1000" s="176"/>
      <c r="Z1000" s="176"/>
      <c r="AA1000" s="176"/>
      <c r="AB1000" s="176"/>
      <c r="AC1000" s="176"/>
      <c r="AD1000" s="177" t="s">
        <v>5</v>
      </c>
    </row>
    <row r="1001" spans="1:30" s="178" customFormat="1" ht="16.5" customHeight="1" x14ac:dyDescent="0.3">
      <c r="A1001" s="167">
        <v>28</v>
      </c>
      <c r="B1001" s="168">
        <v>8</v>
      </c>
      <c r="C1001" s="169" t="str">
        <f t="shared" si="25"/>
        <v>28.08</v>
      </c>
      <c r="D1001" s="170" t="s">
        <v>927</v>
      </c>
      <c r="E1001" s="64" t="str">
        <f>IF(ISBLANK(D1001)=TRUE,"",VLOOKUP(D1001,Krav!$C:$F,4,FALSE))</f>
        <v>10.a.1.1.1.56 - Hvis ForfaldsDato er valgt: Fristlængden indsættes i Regel R0047 - fristlængden beregnes ved at fratrække værdien fra spm. 10.a.1 med værdien fra 10.a.1.1</v>
      </c>
      <c r="F1001" s="171" t="s">
        <v>226</v>
      </c>
      <c r="G1001" s="171" t="s">
        <v>313</v>
      </c>
      <c r="H1001" s="172" t="s">
        <v>1401</v>
      </c>
      <c r="I1001" s="174" t="s">
        <v>33</v>
      </c>
      <c r="J1001" s="173" t="s">
        <v>222</v>
      </c>
      <c r="K1001" s="123" t="s">
        <v>222</v>
      </c>
      <c r="L1001" s="181" t="s">
        <v>3</v>
      </c>
      <c r="M1001" s="176" t="s">
        <v>129</v>
      </c>
      <c r="N1001" s="176" t="s">
        <v>131</v>
      </c>
      <c r="O1001" s="176" t="s">
        <v>376</v>
      </c>
      <c r="P1001" s="176" t="s">
        <v>376</v>
      </c>
      <c r="Q1001" s="176" t="s">
        <v>131</v>
      </c>
      <c r="R1001" s="176" t="s">
        <v>131</v>
      </c>
      <c r="S1001" s="176" t="s">
        <v>131</v>
      </c>
      <c r="T1001" s="176"/>
      <c r="U1001" s="176" t="s">
        <v>1288</v>
      </c>
      <c r="V1001" s="176"/>
      <c r="W1001" s="176"/>
      <c r="X1001" s="176"/>
      <c r="Y1001" s="176"/>
      <c r="Z1001" s="176"/>
      <c r="AA1001" s="176"/>
      <c r="AB1001" s="176"/>
      <c r="AC1001" s="176"/>
      <c r="AD1001" s="177" t="s">
        <v>5</v>
      </c>
    </row>
    <row r="1002" spans="1:30" s="178" customFormat="1" ht="33" customHeight="1" x14ac:dyDescent="0.3">
      <c r="A1002" s="167">
        <v>28</v>
      </c>
      <c r="B1002" s="168">
        <v>9</v>
      </c>
      <c r="C1002" s="169" t="str">
        <f t="shared" si="25"/>
        <v>28.09</v>
      </c>
      <c r="D1002" s="170" t="s">
        <v>929</v>
      </c>
      <c r="E1002" s="64" t="str">
        <f>IF(ISBLANK(D1002)=TRUE,"",VLOOKUP(D1002,Krav!$C:$F,4,FALSE))</f>
        <v>10.a.1.1.1.57 - Hvis ForfaldsDato er valgt: Fristlængden indsættes i Regel R0048 - fristlængden beregnes ved at fratrække værdien fra spm. 10.a.1 med værdien fra 10.a.1.1</v>
      </c>
      <c r="F1002" s="171" t="s">
        <v>226</v>
      </c>
      <c r="G1002" s="171" t="s">
        <v>313</v>
      </c>
      <c r="H1002" s="172" t="s">
        <v>1401</v>
      </c>
      <c r="I1002" s="174" t="s">
        <v>33</v>
      </c>
      <c r="J1002" s="173" t="s">
        <v>222</v>
      </c>
      <c r="K1002" s="123" t="s">
        <v>222</v>
      </c>
      <c r="L1002" s="181" t="s">
        <v>3</v>
      </c>
      <c r="M1002" s="176" t="s">
        <v>129</v>
      </c>
      <c r="N1002" s="176" t="s">
        <v>131</v>
      </c>
      <c r="O1002" s="176" t="s">
        <v>376</v>
      </c>
      <c r="P1002" s="176" t="s">
        <v>376</v>
      </c>
      <c r="Q1002" s="176" t="s">
        <v>131</v>
      </c>
      <c r="R1002" s="176" t="s">
        <v>131</v>
      </c>
      <c r="S1002" s="176" t="s">
        <v>131</v>
      </c>
      <c r="T1002" s="176"/>
      <c r="U1002" s="176" t="s">
        <v>1289</v>
      </c>
      <c r="V1002" s="176"/>
      <c r="W1002" s="176"/>
      <c r="X1002" s="176"/>
      <c r="Y1002" s="176"/>
      <c r="Z1002" s="176"/>
      <c r="AA1002" s="176"/>
      <c r="AB1002" s="176"/>
      <c r="AC1002" s="176"/>
      <c r="AD1002" s="177" t="s">
        <v>5</v>
      </c>
    </row>
    <row r="1003" spans="1:30" s="178" customFormat="1" ht="33" customHeight="1" x14ac:dyDescent="0.3">
      <c r="A1003" s="167">
        <v>28</v>
      </c>
      <c r="B1003" s="168">
        <v>10</v>
      </c>
      <c r="C1003" s="169" t="str">
        <f t="shared" si="25"/>
        <v>28.10</v>
      </c>
      <c r="D1003" s="170" t="s">
        <v>931</v>
      </c>
      <c r="E1003" s="64" t="str">
        <f>IF(ISBLANK(D1003)=TRUE,"",VLOOKUP(D1003,Krav!$C:$F,4,FALSE))</f>
        <v>10.a.1.1.1.58 - Hvis ForfaldsDato er valgt: Fristlængden indsættes i Regel R0049 - fristlængden beregnes ved at fratrække værdien fra spm. 10.a.1 med værdien fra 10.a.1.1</v>
      </c>
      <c r="F1003" s="171" t="s">
        <v>226</v>
      </c>
      <c r="G1003" s="171" t="s">
        <v>313</v>
      </c>
      <c r="H1003" s="172" t="s">
        <v>1401</v>
      </c>
      <c r="I1003" s="174" t="s">
        <v>33</v>
      </c>
      <c r="J1003" s="174" t="s">
        <v>222</v>
      </c>
      <c r="K1003" s="123" t="s">
        <v>222</v>
      </c>
      <c r="L1003" s="175" t="s">
        <v>3</v>
      </c>
      <c r="M1003" s="176" t="s">
        <v>129</v>
      </c>
      <c r="N1003" s="176" t="s">
        <v>131</v>
      </c>
      <c r="O1003" s="176" t="s">
        <v>376</v>
      </c>
      <c r="P1003" s="176" t="s">
        <v>376</v>
      </c>
      <c r="Q1003" s="176" t="s">
        <v>131</v>
      </c>
      <c r="R1003" s="176" t="s">
        <v>131</v>
      </c>
      <c r="S1003" s="176" t="s">
        <v>131</v>
      </c>
      <c r="T1003" s="176"/>
      <c r="U1003" s="176" t="s">
        <v>1290</v>
      </c>
      <c r="V1003" s="176"/>
      <c r="W1003" s="176"/>
      <c r="X1003" s="176"/>
      <c r="Y1003" s="176"/>
      <c r="Z1003" s="176"/>
      <c r="AA1003" s="176"/>
      <c r="AB1003" s="176"/>
      <c r="AC1003" s="176"/>
      <c r="AD1003" s="177" t="s">
        <v>5</v>
      </c>
    </row>
    <row r="1004" spans="1:30" s="178" customFormat="1" ht="33" customHeight="1" x14ac:dyDescent="0.3">
      <c r="A1004" s="167">
        <v>28</v>
      </c>
      <c r="B1004" s="168">
        <v>11</v>
      </c>
      <c r="C1004" s="169" t="str">
        <f t="shared" si="25"/>
        <v>28.11</v>
      </c>
      <c r="D1004" s="170" t="s">
        <v>933</v>
      </c>
      <c r="E1004" s="64" t="str">
        <f>IF(ISBLANK(D1004)=TRUE,"",VLOOKUP(D1004,Krav!$C:$F,4,FALSE))</f>
        <v>10.a.1.1.1.59 - Hvis ForfaldsDato er valgt: Fristlængden indsættes i Regel R0050 - fristlængden beregnes ved at fratrække værdien fra spm. 10.a.1 med værdien fra 10.a.1.1</v>
      </c>
      <c r="F1004" s="171" t="s">
        <v>226</v>
      </c>
      <c r="G1004" s="171" t="s">
        <v>313</v>
      </c>
      <c r="H1004" s="172" t="s">
        <v>1401</v>
      </c>
      <c r="I1004" s="174" t="s">
        <v>33</v>
      </c>
      <c r="J1004" s="174" t="s">
        <v>222</v>
      </c>
      <c r="K1004" s="123" t="s">
        <v>222</v>
      </c>
      <c r="L1004" s="175" t="s">
        <v>3</v>
      </c>
      <c r="M1004" s="176" t="s">
        <v>129</v>
      </c>
      <c r="N1004" s="176" t="s">
        <v>131</v>
      </c>
      <c r="O1004" s="176" t="s">
        <v>376</v>
      </c>
      <c r="P1004" s="176" t="s">
        <v>376</v>
      </c>
      <c r="Q1004" s="176" t="s">
        <v>131</v>
      </c>
      <c r="R1004" s="176" t="s">
        <v>131</v>
      </c>
      <c r="S1004" s="176" t="s">
        <v>131</v>
      </c>
      <c r="T1004" s="176"/>
      <c r="U1004" s="176" t="s">
        <v>1291</v>
      </c>
      <c r="V1004" s="176"/>
      <c r="W1004" s="176"/>
      <c r="X1004" s="176"/>
      <c r="Y1004" s="176"/>
      <c r="Z1004" s="176"/>
      <c r="AA1004" s="176"/>
      <c r="AB1004" s="176"/>
      <c r="AC1004" s="176"/>
      <c r="AD1004" s="177" t="s">
        <v>5</v>
      </c>
    </row>
    <row r="1005" spans="1:30" s="178" customFormat="1" ht="33" customHeight="1" x14ac:dyDescent="0.3">
      <c r="A1005" s="167">
        <v>28</v>
      </c>
      <c r="B1005" s="168">
        <v>12</v>
      </c>
      <c r="C1005" s="169" t="str">
        <f t="shared" si="25"/>
        <v>28.12</v>
      </c>
      <c r="D1005" s="170" t="s">
        <v>967</v>
      </c>
      <c r="E1005" s="64" t="str">
        <f>IF(ISBLANK(D1005)=TRUE,"",VLOOKUP(D1005,Krav!$C:$F,4,FALSE))</f>
        <v>10.a.1.1.1.76 - Hvis ForfaldsDato er valgt: Fristlængden indsættes i Regel R0067 - fristlængden beregnes ved at fratrække værdien fra spm. 10.a.1 med værdien fra 10.a.1.1</v>
      </c>
      <c r="F1005" s="171" t="s">
        <v>226</v>
      </c>
      <c r="G1005" s="171" t="s">
        <v>313</v>
      </c>
      <c r="H1005" s="172" t="s">
        <v>1401</v>
      </c>
      <c r="I1005" s="174" t="s">
        <v>33</v>
      </c>
      <c r="J1005" s="174" t="s">
        <v>222</v>
      </c>
      <c r="K1005" s="123" t="s">
        <v>222</v>
      </c>
      <c r="L1005" s="175" t="s">
        <v>3</v>
      </c>
      <c r="M1005" s="176" t="s">
        <v>129</v>
      </c>
      <c r="N1005" s="176" t="s">
        <v>131</v>
      </c>
      <c r="O1005" s="176" t="s">
        <v>376</v>
      </c>
      <c r="P1005" s="176" t="s">
        <v>376</v>
      </c>
      <c r="Q1005" s="176" t="s">
        <v>131</v>
      </c>
      <c r="R1005" s="176" t="s">
        <v>131</v>
      </c>
      <c r="S1005" s="176" t="s">
        <v>131</v>
      </c>
      <c r="T1005" s="176"/>
      <c r="U1005" s="176" t="s">
        <v>1292</v>
      </c>
      <c r="V1005" s="176"/>
      <c r="W1005" s="176"/>
      <c r="X1005" s="176"/>
      <c r="Y1005" s="176"/>
      <c r="Z1005" s="176"/>
      <c r="AA1005" s="176"/>
      <c r="AB1005" s="176"/>
      <c r="AC1005" s="176"/>
      <c r="AD1005" s="177" t="s">
        <v>5</v>
      </c>
    </row>
    <row r="1006" spans="1:30" s="178" customFormat="1" ht="33" customHeight="1" x14ac:dyDescent="0.3">
      <c r="A1006" s="167">
        <v>28</v>
      </c>
      <c r="B1006" s="168">
        <v>13</v>
      </c>
      <c r="C1006" s="169" t="str">
        <f t="shared" si="25"/>
        <v>28.13</v>
      </c>
      <c r="D1006" s="170" t="s">
        <v>927</v>
      </c>
      <c r="E1006" s="64" t="str">
        <f>IF(ISBLANK(D1006)=TRUE,"",VLOOKUP(D1006,Krav!$C:$F,4,FALSE))</f>
        <v>10.a.1.1.1.56 - Hvis ForfaldsDato er valgt: Fristlængden indsættes i Regel R0047 - fristlængden beregnes ved at fratrække værdien fra spm. 10.a.1 med værdien fra 10.a.1.1</v>
      </c>
      <c r="F1006" s="171" t="s">
        <v>226</v>
      </c>
      <c r="G1006" s="171" t="s">
        <v>313</v>
      </c>
      <c r="H1006" s="172" t="s">
        <v>1401</v>
      </c>
      <c r="I1006" s="174" t="s">
        <v>404</v>
      </c>
      <c r="J1006" s="173" t="s">
        <v>222</v>
      </c>
      <c r="K1006" s="123" t="s">
        <v>222</v>
      </c>
      <c r="L1006" s="181" t="s">
        <v>3</v>
      </c>
      <c r="M1006" s="176" t="s">
        <v>129</v>
      </c>
      <c r="N1006" s="176" t="s">
        <v>131</v>
      </c>
      <c r="O1006" s="176" t="s">
        <v>1403</v>
      </c>
      <c r="P1006" s="176" t="s">
        <v>376</v>
      </c>
      <c r="Q1006" s="176" t="s">
        <v>131</v>
      </c>
      <c r="R1006" s="176" t="s">
        <v>131</v>
      </c>
      <c r="S1006" s="176" t="s">
        <v>131</v>
      </c>
      <c r="T1006" s="176"/>
      <c r="U1006" s="176" t="s">
        <v>1288</v>
      </c>
      <c r="V1006" s="176"/>
      <c r="W1006" s="176"/>
      <c r="X1006" s="176"/>
      <c r="Y1006" s="176"/>
      <c r="Z1006" s="176"/>
      <c r="AA1006" s="176"/>
      <c r="AB1006" s="176"/>
      <c r="AC1006" s="176"/>
      <c r="AD1006" s="177" t="s">
        <v>5</v>
      </c>
    </row>
    <row r="1007" spans="1:30" s="178" customFormat="1" ht="33" customHeight="1" x14ac:dyDescent="0.3">
      <c r="A1007" s="167">
        <v>28</v>
      </c>
      <c r="B1007" s="168">
        <v>14</v>
      </c>
      <c r="C1007" s="169" t="str">
        <f t="shared" si="25"/>
        <v>28.14</v>
      </c>
      <c r="D1007" s="170" t="s">
        <v>929</v>
      </c>
      <c r="E1007" s="64" t="str">
        <f>IF(ISBLANK(D1007)=TRUE,"",VLOOKUP(D1007,Krav!$C:$F,4,FALSE))</f>
        <v>10.a.1.1.1.57 - Hvis ForfaldsDato er valgt: Fristlængden indsættes i Regel R0048 - fristlængden beregnes ved at fratrække værdien fra spm. 10.a.1 med værdien fra 10.a.1.1</v>
      </c>
      <c r="F1007" s="171" t="s">
        <v>226</v>
      </c>
      <c r="G1007" s="171" t="s">
        <v>313</v>
      </c>
      <c r="H1007" s="172" t="s">
        <v>1401</v>
      </c>
      <c r="I1007" s="174" t="s">
        <v>404</v>
      </c>
      <c r="J1007" s="173" t="s">
        <v>222</v>
      </c>
      <c r="K1007" s="123" t="s">
        <v>222</v>
      </c>
      <c r="L1007" s="181" t="s">
        <v>3</v>
      </c>
      <c r="M1007" s="176" t="s">
        <v>129</v>
      </c>
      <c r="N1007" s="176" t="s">
        <v>131</v>
      </c>
      <c r="O1007" s="176" t="s">
        <v>1403</v>
      </c>
      <c r="P1007" s="176" t="s">
        <v>376</v>
      </c>
      <c r="Q1007" s="176" t="s">
        <v>131</v>
      </c>
      <c r="R1007" s="176" t="s">
        <v>131</v>
      </c>
      <c r="S1007" s="176" t="s">
        <v>131</v>
      </c>
      <c r="T1007" s="176"/>
      <c r="U1007" s="176" t="s">
        <v>1289</v>
      </c>
      <c r="V1007" s="176"/>
      <c r="W1007" s="176"/>
      <c r="X1007" s="176"/>
      <c r="Y1007" s="176"/>
      <c r="Z1007" s="176"/>
      <c r="AA1007" s="176"/>
      <c r="AB1007" s="176"/>
      <c r="AC1007" s="176"/>
      <c r="AD1007" s="177" t="s">
        <v>5</v>
      </c>
    </row>
    <row r="1008" spans="1:30" s="178" customFormat="1" ht="33" customHeight="1" x14ac:dyDescent="0.3">
      <c r="A1008" s="167">
        <v>28</v>
      </c>
      <c r="B1008" s="168">
        <v>15</v>
      </c>
      <c r="C1008" s="169" t="str">
        <f t="shared" si="25"/>
        <v>28.15</v>
      </c>
      <c r="D1008" s="170" t="s">
        <v>931</v>
      </c>
      <c r="E1008" s="64" t="str">
        <f>IF(ISBLANK(D1008)=TRUE,"",VLOOKUP(D1008,Krav!$C:$F,4,FALSE))</f>
        <v>10.a.1.1.1.58 - Hvis ForfaldsDato er valgt: Fristlængden indsættes i Regel R0049 - fristlængden beregnes ved at fratrække værdien fra spm. 10.a.1 med værdien fra 10.a.1.1</v>
      </c>
      <c r="F1008" s="171" t="s">
        <v>226</v>
      </c>
      <c r="G1008" s="171" t="s">
        <v>313</v>
      </c>
      <c r="H1008" s="172" t="s">
        <v>1401</v>
      </c>
      <c r="I1008" s="174" t="s">
        <v>404</v>
      </c>
      <c r="J1008" s="174" t="s">
        <v>222</v>
      </c>
      <c r="K1008" s="123" t="s">
        <v>222</v>
      </c>
      <c r="L1008" s="175" t="s">
        <v>3</v>
      </c>
      <c r="M1008" s="176" t="s">
        <v>129</v>
      </c>
      <c r="N1008" s="176" t="s">
        <v>131</v>
      </c>
      <c r="O1008" s="176" t="s">
        <v>1403</v>
      </c>
      <c r="P1008" s="176" t="s">
        <v>376</v>
      </c>
      <c r="Q1008" s="176" t="s">
        <v>131</v>
      </c>
      <c r="R1008" s="176" t="s">
        <v>131</v>
      </c>
      <c r="S1008" s="176" t="s">
        <v>131</v>
      </c>
      <c r="T1008" s="176"/>
      <c r="U1008" s="176" t="s">
        <v>1290</v>
      </c>
      <c r="V1008" s="176"/>
      <c r="W1008" s="176"/>
      <c r="X1008" s="176"/>
      <c r="Y1008" s="176"/>
      <c r="Z1008" s="176"/>
      <c r="AA1008" s="176"/>
      <c r="AB1008" s="176"/>
      <c r="AC1008" s="176"/>
      <c r="AD1008" s="177" t="s">
        <v>5</v>
      </c>
    </row>
    <row r="1009" spans="1:30" s="178" customFormat="1" ht="33" customHeight="1" x14ac:dyDescent="0.3">
      <c r="A1009" s="167">
        <v>28</v>
      </c>
      <c r="B1009" s="168">
        <v>16</v>
      </c>
      <c r="C1009" s="169" t="str">
        <f t="shared" si="25"/>
        <v>28.16</v>
      </c>
      <c r="D1009" s="170" t="s">
        <v>933</v>
      </c>
      <c r="E1009" s="64" t="str">
        <f>IF(ISBLANK(D1009)=TRUE,"",VLOOKUP(D1009,Krav!$C:$F,4,FALSE))</f>
        <v>10.a.1.1.1.59 - Hvis ForfaldsDato er valgt: Fristlængden indsættes i Regel R0050 - fristlængden beregnes ved at fratrække værdien fra spm. 10.a.1 med værdien fra 10.a.1.1</v>
      </c>
      <c r="F1009" s="171" t="s">
        <v>226</v>
      </c>
      <c r="G1009" s="171" t="s">
        <v>313</v>
      </c>
      <c r="H1009" s="172" t="s">
        <v>1401</v>
      </c>
      <c r="I1009" s="174" t="s">
        <v>404</v>
      </c>
      <c r="J1009" s="174" t="s">
        <v>222</v>
      </c>
      <c r="K1009" s="123" t="s">
        <v>222</v>
      </c>
      <c r="L1009" s="175" t="s">
        <v>3</v>
      </c>
      <c r="M1009" s="176" t="s">
        <v>129</v>
      </c>
      <c r="N1009" s="176" t="s">
        <v>131</v>
      </c>
      <c r="O1009" s="176" t="s">
        <v>1403</v>
      </c>
      <c r="P1009" s="176" t="s">
        <v>376</v>
      </c>
      <c r="Q1009" s="176" t="s">
        <v>131</v>
      </c>
      <c r="R1009" s="176" t="s">
        <v>131</v>
      </c>
      <c r="S1009" s="176" t="s">
        <v>131</v>
      </c>
      <c r="T1009" s="176"/>
      <c r="U1009" s="176" t="s">
        <v>1291</v>
      </c>
      <c r="V1009" s="176"/>
      <c r="W1009" s="176"/>
      <c r="X1009" s="176"/>
      <c r="Y1009" s="176"/>
      <c r="Z1009" s="176"/>
      <c r="AA1009" s="176"/>
      <c r="AB1009" s="176"/>
      <c r="AC1009" s="176"/>
      <c r="AD1009" s="177" t="s">
        <v>5</v>
      </c>
    </row>
    <row r="1010" spans="1:30" s="178" customFormat="1" ht="33" customHeight="1" x14ac:dyDescent="0.3">
      <c r="A1010" s="167">
        <v>28</v>
      </c>
      <c r="B1010" s="168">
        <v>17</v>
      </c>
      <c r="C1010" s="169" t="str">
        <f t="shared" si="25"/>
        <v>28.17</v>
      </c>
      <c r="D1010" s="170" t="s">
        <v>967</v>
      </c>
      <c r="E1010" s="64" t="str">
        <f>IF(ISBLANK(D1010)=TRUE,"",VLOOKUP(D1010,Krav!$C:$F,4,FALSE))</f>
        <v>10.a.1.1.1.76 - Hvis ForfaldsDato er valgt: Fristlængden indsættes i Regel R0067 - fristlængden beregnes ved at fratrække værdien fra spm. 10.a.1 med værdien fra 10.a.1.1</v>
      </c>
      <c r="F1010" s="171" t="s">
        <v>226</v>
      </c>
      <c r="G1010" s="171" t="s">
        <v>313</v>
      </c>
      <c r="H1010" s="172" t="s">
        <v>1401</v>
      </c>
      <c r="I1010" s="174" t="s">
        <v>404</v>
      </c>
      <c r="J1010" s="174" t="s">
        <v>222</v>
      </c>
      <c r="K1010" s="123" t="s">
        <v>222</v>
      </c>
      <c r="L1010" s="175" t="s">
        <v>3</v>
      </c>
      <c r="M1010" s="176" t="s">
        <v>129</v>
      </c>
      <c r="N1010" s="176" t="s">
        <v>131</v>
      </c>
      <c r="O1010" s="176" t="s">
        <v>1403</v>
      </c>
      <c r="P1010" s="176" t="s">
        <v>376</v>
      </c>
      <c r="Q1010" s="176" t="s">
        <v>131</v>
      </c>
      <c r="R1010" s="176" t="s">
        <v>131</v>
      </c>
      <c r="S1010" s="176" t="s">
        <v>131</v>
      </c>
      <c r="T1010" s="176"/>
      <c r="U1010" s="176" t="s">
        <v>1292</v>
      </c>
      <c r="V1010" s="176"/>
      <c r="W1010" s="176"/>
      <c r="X1010" s="176"/>
      <c r="Y1010" s="176"/>
      <c r="Z1010" s="176"/>
      <c r="AA1010" s="176"/>
      <c r="AB1010" s="176"/>
      <c r="AC1010" s="176"/>
      <c r="AD1010" s="177" t="s">
        <v>5</v>
      </c>
    </row>
    <row r="1011" spans="1:30" s="178" customFormat="1" ht="33" customHeight="1" x14ac:dyDescent="0.3">
      <c r="A1011" s="167">
        <v>28</v>
      </c>
      <c r="B1011" s="168">
        <v>18</v>
      </c>
      <c r="C1011" s="169" t="str">
        <f t="shared" si="25"/>
        <v>28.18</v>
      </c>
      <c r="D1011" s="170" t="s">
        <v>927</v>
      </c>
      <c r="E1011" s="64" t="str">
        <f>IF(ISBLANK(D1011)=TRUE,"",VLOOKUP(D1011,Krav!$C:$F,4,FALSE))</f>
        <v>10.a.1.1.1.56 - Hvis ForfaldsDato er valgt: Fristlængden indsættes i Regel R0047 - fristlængden beregnes ved at fratrække værdien fra spm. 10.a.1 med værdien fra 10.a.1.1</v>
      </c>
      <c r="F1011" s="171" t="s">
        <v>226</v>
      </c>
      <c r="G1011" s="171" t="s">
        <v>313</v>
      </c>
      <c r="H1011" s="172" t="s">
        <v>1401</v>
      </c>
      <c r="I1011" s="173" t="s">
        <v>376</v>
      </c>
      <c r="J1011" s="173" t="s">
        <v>222</v>
      </c>
      <c r="K1011" s="123" t="s">
        <v>222</v>
      </c>
      <c r="L1011" s="181" t="s">
        <v>3</v>
      </c>
      <c r="M1011" s="176" t="s">
        <v>129</v>
      </c>
      <c r="N1011" s="176" t="s">
        <v>131</v>
      </c>
      <c r="O1011" s="176" t="s">
        <v>376</v>
      </c>
      <c r="P1011" s="176" t="s">
        <v>1403</v>
      </c>
      <c r="Q1011" s="176" t="s">
        <v>131</v>
      </c>
      <c r="R1011" s="176" t="s">
        <v>131</v>
      </c>
      <c r="S1011" s="176" t="s">
        <v>131</v>
      </c>
      <c r="T1011" s="176"/>
      <c r="U1011" s="176" t="s">
        <v>1288</v>
      </c>
      <c r="V1011" s="176"/>
      <c r="W1011" s="176"/>
      <c r="X1011" s="176"/>
      <c r="Y1011" s="176"/>
      <c r="Z1011" s="176"/>
      <c r="AA1011" s="176"/>
      <c r="AB1011" s="176"/>
      <c r="AC1011" s="176"/>
      <c r="AD1011" s="177" t="s">
        <v>5</v>
      </c>
    </row>
    <row r="1012" spans="1:30" s="178" customFormat="1" ht="33" customHeight="1" x14ac:dyDescent="0.3">
      <c r="A1012" s="167">
        <v>28</v>
      </c>
      <c r="B1012" s="168">
        <v>19</v>
      </c>
      <c r="C1012" s="169" t="str">
        <f t="shared" si="25"/>
        <v>28.19</v>
      </c>
      <c r="D1012" s="170" t="s">
        <v>929</v>
      </c>
      <c r="E1012" s="64" t="str">
        <f>IF(ISBLANK(D1012)=TRUE,"",VLOOKUP(D1012,Krav!$C:$F,4,FALSE))</f>
        <v>10.a.1.1.1.57 - Hvis ForfaldsDato er valgt: Fristlængden indsættes i Regel R0048 - fristlængden beregnes ved at fratrække værdien fra spm. 10.a.1 med værdien fra 10.a.1.1</v>
      </c>
      <c r="F1012" s="171" t="s">
        <v>226</v>
      </c>
      <c r="G1012" s="171" t="s">
        <v>313</v>
      </c>
      <c r="H1012" s="172" t="s">
        <v>1401</v>
      </c>
      <c r="I1012" s="173" t="s">
        <v>376</v>
      </c>
      <c r="J1012" s="173" t="s">
        <v>222</v>
      </c>
      <c r="K1012" s="123" t="s">
        <v>222</v>
      </c>
      <c r="L1012" s="181" t="s">
        <v>3</v>
      </c>
      <c r="M1012" s="176" t="s">
        <v>129</v>
      </c>
      <c r="N1012" s="176" t="s">
        <v>131</v>
      </c>
      <c r="O1012" s="176" t="s">
        <v>376</v>
      </c>
      <c r="P1012" s="176" t="s">
        <v>1403</v>
      </c>
      <c r="Q1012" s="176" t="s">
        <v>131</v>
      </c>
      <c r="R1012" s="176" t="s">
        <v>131</v>
      </c>
      <c r="S1012" s="176" t="s">
        <v>131</v>
      </c>
      <c r="T1012" s="176"/>
      <c r="U1012" s="176" t="s">
        <v>1289</v>
      </c>
      <c r="V1012" s="176"/>
      <c r="W1012" s="176"/>
      <c r="X1012" s="176"/>
      <c r="Y1012" s="176"/>
      <c r="Z1012" s="176"/>
      <c r="AA1012" s="176"/>
      <c r="AB1012" s="176"/>
      <c r="AC1012" s="176"/>
      <c r="AD1012" s="177" t="s">
        <v>5</v>
      </c>
    </row>
    <row r="1013" spans="1:30" s="178" customFormat="1" ht="33" customHeight="1" x14ac:dyDescent="0.3">
      <c r="A1013" s="167">
        <v>28</v>
      </c>
      <c r="B1013" s="168">
        <v>20</v>
      </c>
      <c r="C1013" s="169" t="str">
        <f t="shared" si="25"/>
        <v>28.20</v>
      </c>
      <c r="D1013" s="170" t="s">
        <v>931</v>
      </c>
      <c r="E1013" s="64" t="str">
        <f>IF(ISBLANK(D1013)=TRUE,"",VLOOKUP(D1013,Krav!$C:$F,4,FALSE))</f>
        <v>10.a.1.1.1.58 - Hvis ForfaldsDato er valgt: Fristlængden indsættes i Regel R0049 - fristlængden beregnes ved at fratrække værdien fra spm. 10.a.1 med værdien fra 10.a.1.1</v>
      </c>
      <c r="F1013" s="171" t="s">
        <v>226</v>
      </c>
      <c r="G1013" s="171" t="s">
        <v>313</v>
      </c>
      <c r="H1013" s="172" t="s">
        <v>1401</v>
      </c>
      <c r="I1013" s="174" t="s">
        <v>376</v>
      </c>
      <c r="J1013" s="174" t="s">
        <v>222</v>
      </c>
      <c r="K1013" s="123" t="s">
        <v>222</v>
      </c>
      <c r="L1013" s="175" t="s">
        <v>3</v>
      </c>
      <c r="M1013" s="176" t="s">
        <v>129</v>
      </c>
      <c r="N1013" s="176" t="s">
        <v>131</v>
      </c>
      <c r="O1013" s="176" t="s">
        <v>376</v>
      </c>
      <c r="P1013" s="176" t="s">
        <v>1403</v>
      </c>
      <c r="Q1013" s="176" t="s">
        <v>131</v>
      </c>
      <c r="R1013" s="176" t="s">
        <v>131</v>
      </c>
      <c r="S1013" s="176" t="s">
        <v>131</v>
      </c>
      <c r="T1013" s="176"/>
      <c r="U1013" s="176" t="s">
        <v>1290</v>
      </c>
      <c r="V1013" s="176"/>
      <c r="W1013" s="176"/>
      <c r="X1013" s="176"/>
      <c r="Y1013" s="176"/>
      <c r="Z1013" s="176"/>
      <c r="AA1013" s="176"/>
      <c r="AB1013" s="176"/>
      <c r="AC1013" s="176"/>
      <c r="AD1013" s="177" t="s">
        <v>5</v>
      </c>
    </row>
    <row r="1014" spans="1:30" s="178" customFormat="1" ht="33" customHeight="1" x14ac:dyDescent="0.3">
      <c r="A1014" s="167">
        <v>28</v>
      </c>
      <c r="B1014" s="168">
        <v>21</v>
      </c>
      <c r="C1014" s="169" t="str">
        <f t="shared" si="25"/>
        <v>28.21</v>
      </c>
      <c r="D1014" s="170" t="s">
        <v>933</v>
      </c>
      <c r="E1014" s="64" t="str">
        <f>IF(ISBLANK(D1014)=TRUE,"",VLOOKUP(D1014,Krav!$C:$F,4,FALSE))</f>
        <v>10.a.1.1.1.59 - Hvis ForfaldsDato er valgt: Fristlængden indsættes i Regel R0050 - fristlængden beregnes ved at fratrække værdien fra spm. 10.a.1 med værdien fra 10.a.1.1</v>
      </c>
      <c r="F1014" s="171" t="s">
        <v>226</v>
      </c>
      <c r="G1014" s="171" t="s">
        <v>313</v>
      </c>
      <c r="H1014" s="172" t="s">
        <v>1401</v>
      </c>
      <c r="I1014" s="174" t="s">
        <v>376</v>
      </c>
      <c r="J1014" s="174" t="s">
        <v>222</v>
      </c>
      <c r="K1014" s="123" t="s">
        <v>222</v>
      </c>
      <c r="L1014" s="175" t="s">
        <v>3</v>
      </c>
      <c r="M1014" s="176" t="s">
        <v>129</v>
      </c>
      <c r="N1014" s="176" t="s">
        <v>131</v>
      </c>
      <c r="O1014" s="176" t="s">
        <v>376</v>
      </c>
      <c r="P1014" s="176" t="s">
        <v>1403</v>
      </c>
      <c r="Q1014" s="176" t="s">
        <v>131</v>
      </c>
      <c r="R1014" s="176" t="s">
        <v>131</v>
      </c>
      <c r="S1014" s="176" t="s">
        <v>131</v>
      </c>
      <c r="T1014" s="176"/>
      <c r="U1014" s="176" t="s">
        <v>1291</v>
      </c>
      <c r="V1014" s="176"/>
      <c r="W1014" s="176"/>
      <c r="X1014" s="176"/>
      <c r="Y1014" s="176"/>
      <c r="Z1014" s="176"/>
      <c r="AA1014" s="176"/>
      <c r="AB1014" s="176"/>
      <c r="AC1014" s="176"/>
      <c r="AD1014" s="177" t="s">
        <v>5</v>
      </c>
    </row>
    <row r="1015" spans="1:30" s="178" customFormat="1" ht="33" customHeight="1" x14ac:dyDescent="0.3">
      <c r="A1015" s="167">
        <v>28</v>
      </c>
      <c r="B1015" s="168">
        <v>22</v>
      </c>
      <c r="C1015" s="169" t="str">
        <f t="shared" si="25"/>
        <v>28.22</v>
      </c>
      <c r="D1015" s="170" t="s">
        <v>967</v>
      </c>
      <c r="E1015" s="64" t="str">
        <f>IF(ISBLANK(D1015)=TRUE,"",VLOOKUP(D1015,Krav!$C:$F,4,FALSE))</f>
        <v>10.a.1.1.1.76 - Hvis ForfaldsDato er valgt: Fristlængden indsættes i Regel R0067 - fristlængden beregnes ved at fratrække værdien fra spm. 10.a.1 med værdien fra 10.a.1.1</v>
      </c>
      <c r="F1015" s="171" t="s">
        <v>226</v>
      </c>
      <c r="G1015" s="171" t="s">
        <v>313</v>
      </c>
      <c r="H1015" s="172" t="s">
        <v>1401</v>
      </c>
      <c r="I1015" s="174" t="s">
        <v>376</v>
      </c>
      <c r="J1015" s="174" t="s">
        <v>222</v>
      </c>
      <c r="K1015" s="123" t="s">
        <v>222</v>
      </c>
      <c r="L1015" s="175" t="s">
        <v>3</v>
      </c>
      <c r="M1015" s="176" t="s">
        <v>129</v>
      </c>
      <c r="N1015" s="176" t="s">
        <v>131</v>
      </c>
      <c r="O1015" s="176" t="s">
        <v>376</v>
      </c>
      <c r="P1015" s="176" t="s">
        <v>1403</v>
      </c>
      <c r="Q1015" s="176" t="s">
        <v>131</v>
      </c>
      <c r="R1015" s="176" t="s">
        <v>131</v>
      </c>
      <c r="S1015" s="176" t="s">
        <v>131</v>
      </c>
      <c r="T1015" s="176"/>
      <c r="U1015" s="176" t="s">
        <v>1292</v>
      </c>
      <c r="V1015" s="176"/>
      <c r="W1015" s="176"/>
      <c r="X1015" s="176"/>
      <c r="Y1015" s="176"/>
      <c r="Z1015" s="176"/>
      <c r="AA1015" s="176"/>
      <c r="AB1015" s="176"/>
      <c r="AC1015" s="176"/>
      <c r="AD1015" s="177" t="s">
        <v>5</v>
      </c>
    </row>
    <row r="1016" spans="1:30" s="178" customFormat="1" ht="33" customHeight="1" x14ac:dyDescent="0.3">
      <c r="A1016" s="167">
        <v>28</v>
      </c>
      <c r="B1016" s="168">
        <v>23</v>
      </c>
      <c r="C1016" s="169" t="str">
        <f t="shared" si="25"/>
        <v>28.23</v>
      </c>
      <c r="D1016" s="170" t="s">
        <v>927</v>
      </c>
      <c r="E1016" s="64" t="str">
        <f>IF(ISBLANK(D1016)=TRUE,"",VLOOKUP(D1016,Krav!$C:$F,4,FALSE))</f>
        <v>10.a.1.1.1.56 - Hvis ForfaldsDato er valgt: Fristlængden indsættes i Regel R0047 - fristlængden beregnes ved at fratrække værdien fra spm. 10.a.1 med værdien fra 10.a.1.1</v>
      </c>
      <c r="F1016" s="171" t="s">
        <v>226</v>
      </c>
      <c r="G1016" s="171" t="s">
        <v>313</v>
      </c>
      <c r="H1016" s="172" t="s">
        <v>1404</v>
      </c>
      <c r="I1016" s="173" t="s">
        <v>408</v>
      </c>
      <c r="J1016" s="173" t="s">
        <v>222</v>
      </c>
      <c r="K1016" s="123" t="s">
        <v>222</v>
      </c>
      <c r="L1016" s="181" t="s">
        <v>4</v>
      </c>
      <c r="M1016" s="176" t="s">
        <v>129</v>
      </c>
      <c r="N1016" s="176" t="s">
        <v>131</v>
      </c>
      <c r="O1016" s="176" t="s">
        <v>1403</v>
      </c>
      <c r="P1016" s="176" t="s">
        <v>1405</v>
      </c>
      <c r="Q1016" s="176" t="s">
        <v>131</v>
      </c>
      <c r="R1016" s="176" t="s">
        <v>131</v>
      </c>
      <c r="S1016" s="176" t="s">
        <v>131</v>
      </c>
      <c r="T1016" s="176"/>
      <c r="U1016" s="176" t="s">
        <v>1288</v>
      </c>
      <c r="V1016" s="176"/>
      <c r="W1016" s="176"/>
      <c r="X1016" s="176"/>
      <c r="Y1016" s="176"/>
      <c r="Z1016" s="176"/>
      <c r="AA1016" s="176"/>
      <c r="AB1016" s="176"/>
      <c r="AC1016" s="176"/>
      <c r="AD1016" s="177" t="s">
        <v>5</v>
      </c>
    </row>
    <row r="1017" spans="1:30" s="178" customFormat="1" ht="33" customHeight="1" x14ac:dyDescent="0.3">
      <c r="A1017" s="167">
        <v>28</v>
      </c>
      <c r="B1017" s="168">
        <v>24</v>
      </c>
      <c r="C1017" s="169" t="str">
        <f t="shared" si="25"/>
        <v>28.24</v>
      </c>
      <c r="D1017" s="170" t="s">
        <v>929</v>
      </c>
      <c r="E1017" s="64" t="str">
        <f>IF(ISBLANK(D1017)=TRUE,"",VLOOKUP(D1017,Krav!$C:$F,4,FALSE))</f>
        <v>10.a.1.1.1.57 - Hvis ForfaldsDato er valgt: Fristlængden indsættes i Regel R0048 - fristlængden beregnes ved at fratrække værdien fra spm. 10.a.1 med værdien fra 10.a.1.1</v>
      </c>
      <c r="F1017" s="171" t="s">
        <v>226</v>
      </c>
      <c r="G1017" s="171" t="s">
        <v>313</v>
      </c>
      <c r="H1017" s="172" t="s">
        <v>1404</v>
      </c>
      <c r="I1017" s="173" t="s">
        <v>408</v>
      </c>
      <c r="J1017" s="173" t="s">
        <v>222</v>
      </c>
      <c r="K1017" s="123" t="s">
        <v>222</v>
      </c>
      <c r="L1017" s="181" t="s">
        <v>4</v>
      </c>
      <c r="M1017" s="176" t="s">
        <v>129</v>
      </c>
      <c r="N1017" s="176" t="s">
        <v>131</v>
      </c>
      <c r="O1017" s="176" t="s">
        <v>1403</v>
      </c>
      <c r="P1017" s="176" t="s">
        <v>1405</v>
      </c>
      <c r="Q1017" s="176" t="s">
        <v>131</v>
      </c>
      <c r="R1017" s="176" t="s">
        <v>131</v>
      </c>
      <c r="S1017" s="176" t="s">
        <v>131</v>
      </c>
      <c r="T1017" s="176"/>
      <c r="U1017" s="176" t="s">
        <v>1289</v>
      </c>
      <c r="V1017" s="176"/>
      <c r="W1017" s="176"/>
      <c r="X1017" s="176"/>
      <c r="Y1017" s="176"/>
      <c r="Z1017" s="176"/>
      <c r="AA1017" s="176"/>
      <c r="AB1017" s="176"/>
      <c r="AC1017" s="176"/>
      <c r="AD1017" s="177" t="s">
        <v>5</v>
      </c>
    </row>
    <row r="1018" spans="1:30" s="178" customFormat="1" ht="33" customHeight="1" x14ac:dyDescent="0.3">
      <c r="A1018" s="167">
        <v>28</v>
      </c>
      <c r="B1018" s="168">
        <v>25</v>
      </c>
      <c r="C1018" s="169" t="str">
        <f t="shared" si="25"/>
        <v>28.25</v>
      </c>
      <c r="D1018" s="170" t="s">
        <v>931</v>
      </c>
      <c r="E1018" s="64" t="str">
        <f>IF(ISBLANK(D1018)=TRUE,"",VLOOKUP(D1018,Krav!$C:$F,4,FALSE))</f>
        <v>10.a.1.1.1.58 - Hvis ForfaldsDato er valgt: Fristlængden indsættes i Regel R0049 - fristlængden beregnes ved at fratrække værdien fra spm. 10.a.1 med værdien fra 10.a.1.1</v>
      </c>
      <c r="F1018" s="171" t="s">
        <v>226</v>
      </c>
      <c r="G1018" s="171" t="s">
        <v>313</v>
      </c>
      <c r="H1018" s="172" t="s">
        <v>1404</v>
      </c>
      <c r="I1018" s="173" t="s">
        <v>408</v>
      </c>
      <c r="J1018" s="174" t="s">
        <v>222</v>
      </c>
      <c r="K1018" s="123" t="s">
        <v>222</v>
      </c>
      <c r="L1018" s="181" t="s">
        <v>4</v>
      </c>
      <c r="M1018" s="176" t="s">
        <v>129</v>
      </c>
      <c r="N1018" s="176" t="s">
        <v>131</v>
      </c>
      <c r="O1018" s="176" t="s">
        <v>1403</v>
      </c>
      <c r="P1018" s="176" t="s">
        <v>1405</v>
      </c>
      <c r="Q1018" s="176" t="s">
        <v>131</v>
      </c>
      <c r="R1018" s="176" t="s">
        <v>131</v>
      </c>
      <c r="S1018" s="176" t="s">
        <v>131</v>
      </c>
      <c r="T1018" s="176"/>
      <c r="U1018" s="176" t="s">
        <v>1290</v>
      </c>
      <c r="V1018" s="176"/>
      <c r="W1018" s="176"/>
      <c r="X1018" s="176"/>
      <c r="Y1018" s="176"/>
      <c r="Z1018" s="176"/>
      <c r="AA1018" s="176"/>
      <c r="AB1018" s="176"/>
      <c r="AC1018" s="176"/>
      <c r="AD1018" s="177" t="s">
        <v>5</v>
      </c>
    </row>
    <row r="1019" spans="1:30" s="178" customFormat="1" ht="33" customHeight="1" x14ac:dyDescent="0.3">
      <c r="A1019" s="167">
        <v>28</v>
      </c>
      <c r="B1019" s="168">
        <v>26</v>
      </c>
      <c r="C1019" s="169" t="str">
        <f t="shared" si="25"/>
        <v>28.26</v>
      </c>
      <c r="D1019" s="170" t="s">
        <v>933</v>
      </c>
      <c r="E1019" s="64" t="str">
        <f>IF(ISBLANK(D1019)=TRUE,"",VLOOKUP(D1019,Krav!$C:$F,4,FALSE))</f>
        <v>10.a.1.1.1.59 - Hvis ForfaldsDato er valgt: Fristlængden indsættes i Regel R0050 - fristlængden beregnes ved at fratrække værdien fra spm. 10.a.1 med værdien fra 10.a.1.1</v>
      </c>
      <c r="F1019" s="171" t="s">
        <v>226</v>
      </c>
      <c r="G1019" s="171" t="s">
        <v>313</v>
      </c>
      <c r="H1019" s="172" t="s">
        <v>1404</v>
      </c>
      <c r="I1019" s="173" t="s">
        <v>408</v>
      </c>
      <c r="J1019" s="174" t="s">
        <v>222</v>
      </c>
      <c r="K1019" s="123" t="s">
        <v>222</v>
      </c>
      <c r="L1019" s="181" t="s">
        <v>4</v>
      </c>
      <c r="M1019" s="176" t="s">
        <v>129</v>
      </c>
      <c r="N1019" s="176" t="s">
        <v>131</v>
      </c>
      <c r="O1019" s="176" t="s">
        <v>1403</v>
      </c>
      <c r="P1019" s="176" t="s">
        <v>1405</v>
      </c>
      <c r="Q1019" s="176" t="s">
        <v>131</v>
      </c>
      <c r="R1019" s="176" t="s">
        <v>131</v>
      </c>
      <c r="S1019" s="176" t="s">
        <v>131</v>
      </c>
      <c r="T1019" s="176"/>
      <c r="U1019" s="176" t="s">
        <v>1291</v>
      </c>
      <c r="V1019" s="176"/>
      <c r="W1019" s="176"/>
      <c r="X1019" s="176"/>
      <c r="Y1019" s="176"/>
      <c r="Z1019" s="176"/>
      <c r="AA1019" s="176"/>
      <c r="AB1019" s="176"/>
      <c r="AC1019" s="176"/>
      <c r="AD1019" s="177" t="s">
        <v>5</v>
      </c>
    </row>
    <row r="1020" spans="1:30" s="178" customFormat="1" ht="33" customHeight="1" x14ac:dyDescent="0.3">
      <c r="A1020" s="167">
        <v>28</v>
      </c>
      <c r="B1020" s="168">
        <v>27</v>
      </c>
      <c r="C1020" s="169" t="str">
        <f t="shared" si="25"/>
        <v>28.27</v>
      </c>
      <c r="D1020" s="170" t="s">
        <v>967</v>
      </c>
      <c r="E1020" s="64" t="str">
        <f>IF(ISBLANK(D1020)=TRUE,"",VLOOKUP(D1020,Krav!$C:$F,4,FALSE))</f>
        <v>10.a.1.1.1.76 - Hvis ForfaldsDato er valgt: Fristlængden indsættes i Regel R0067 - fristlængden beregnes ved at fratrække værdien fra spm. 10.a.1 med værdien fra 10.a.1.1</v>
      </c>
      <c r="F1020" s="171" t="s">
        <v>226</v>
      </c>
      <c r="G1020" s="171" t="s">
        <v>313</v>
      </c>
      <c r="H1020" s="172" t="s">
        <v>1404</v>
      </c>
      <c r="I1020" s="173" t="s">
        <v>408</v>
      </c>
      <c r="J1020" s="174" t="s">
        <v>222</v>
      </c>
      <c r="K1020" s="123" t="s">
        <v>222</v>
      </c>
      <c r="L1020" s="181" t="s">
        <v>4</v>
      </c>
      <c r="M1020" s="176" t="s">
        <v>129</v>
      </c>
      <c r="N1020" s="176" t="s">
        <v>131</v>
      </c>
      <c r="O1020" s="176" t="s">
        <v>1403</v>
      </c>
      <c r="P1020" s="176" t="s">
        <v>1405</v>
      </c>
      <c r="Q1020" s="176" t="s">
        <v>131</v>
      </c>
      <c r="R1020" s="176" t="s">
        <v>131</v>
      </c>
      <c r="S1020" s="176" t="s">
        <v>131</v>
      </c>
      <c r="T1020" s="176"/>
      <c r="U1020" s="176" t="s">
        <v>1292</v>
      </c>
      <c r="V1020" s="176"/>
      <c r="W1020" s="176"/>
      <c r="X1020" s="176"/>
      <c r="Y1020" s="176"/>
      <c r="Z1020" s="176"/>
      <c r="AA1020" s="176"/>
      <c r="AB1020" s="176"/>
      <c r="AC1020" s="176"/>
      <c r="AD1020" s="177" t="s">
        <v>5</v>
      </c>
    </row>
    <row r="1021" spans="1:30" s="178" customFormat="1" ht="33" customHeight="1" x14ac:dyDescent="0.3">
      <c r="A1021" s="167">
        <v>28</v>
      </c>
      <c r="B1021" s="168">
        <v>28</v>
      </c>
      <c r="C1021" s="169" t="str">
        <f t="shared" si="25"/>
        <v>28.28</v>
      </c>
      <c r="D1021" s="170" t="s">
        <v>927</v>
      </c>
      <c r="E1021" s="64" t="str">
        <f>IF(ISBLANK(D1021)=TRUE,"",VLOOKUP(D1021,Krav!$C:$F,4,FALSE))</f>
        <v>10.a.1.1.1.56 - Hvis ForfaldsDato er valgt: Fristlængden indsættes i Regel R0047 - fristlængden beregnes ved at fratrække værdien fra spm. 10.a.1 med værdien fra 10.a.1.1</v>
      </c>
      <c r="F1021" s="171" t="s">
        <v>226</v>
      </c>
      <c r="G1021" s="171" t="s">
        <v>313</v>
      </c>
      <c r="H1021" s="172" t="s">
        <v>1404</v>
      </c>
      <c r="I1021" s="174" t="s">
        <v>410</v>
      </c>
      <c r="J1021" s="173" t="s">
        <v>222</v>
      </c>
      <c r="K1021" s="123" t="s">
        <v>222</v>
      </c>
      <c r="L1021" s="181" t="s">
        <v>4</v>
      </c>
      <c r="M1021" s="176" t="s">
        <v>129</v>
      </c>
      <c r="N1021" s="176" t="s">
        <v>131</v>
      </c>
      <c r="O1021" s="176" t="s">
        <v>1405</v>
      </c>
      <c r="P1021" s="176" t="s">
        <v>1403</v>
      </c>
      <c r="Q1021" s="176" t="s">
        <v>131</v>
      </c>
      <c r="R1021" s="176" t="s">
        <v>131</v>
      </c>
      <c r="S1021" s="176" t="s">
        <v>131</v>
      </c>
      <c r="T1021" s="176"/>
      <c r="U1021" s="176" t="s">
        <v>1288</v>
      </c>
      <c r="V1021" s="176"/>
      <c r="W1021" s="176"/>
      <c r="X1021" s="176"/>
      <c r="Y1021" s="176"/>
      <c r="Z1021" s="176"/>
      <c r="AA1021" s="176"/>
      <c r="AB1021" s="176"/>
      <c r="AC1021" s="176"/>
      <c r="AD1021" s="177" t="s">
        <v>5</v>
      </c>
    </row>
    <row r="1022" spans="1:30" s="178" customFormat="1" ht="33" customHeight="1" x14ac:dyDescent="0.3">
      <c r="A1022" s="167">
        <v>28</v>
      </c>
      <c r="B1022" s="168">
        <v>29</v>
      </c>
      <c r="C1022" s="169" t="str">
        <f t="shared" si="25"/>
        <v>28.29</v>
      </c>
      <c r="D1022" s="170" t="s">
        <v>929</v>
      </c>
      <c r="E1022" s="64" t="str">
        <f>IF(ISBLANK(D1022)=TRUE,"",VLOOKUP(D1022,Krav!$C:$F,4,FALSE))</f>
        <v>10.a.1.1.1.57 - Hvis ForfaldsDato er valgt: Fristlængden indsættes i Regel R0048 - fristlængden beregnes ved at fratrække værdien fra spm. 10.a.1 med værdien fra 10.a.1.1</v>
      </c>
      <c r="F1022" s="171" t="s">
        <v>226</v>
      </c>
      <c r="G1022" s="171" t="s">
        <v>313</v>
      </c>
      <c r="H1022" s="172" t="s">
        <v>1404</v>
      </c>
      <c r="I1022" s="174" t="s">
        <v>410</v>
      </c>
      <c r="J1022" s="173" t="s">
        <v>222</v>
      </c>
      <c r="K1022" s="123" t="s">
        <v>222</v>
      </c>
      <c r="L1022" s="181" t="s">
        <v>4</v>
      </c>
      <c r="M1022" s="176" t="s">
        <v>129</v>
      </c>
      <c r="N1022" s="176" t="s">
        <v>131</v>
      </c>
      <c r="O1022" s="176" t="s">
        <v>1405</v>
      </c>
      <c r="P1022" s="176" t="s">
        <v>1403</v>
      </c>
      <c r="Q1022" s="176" t="s">
        <v>131</v>
      </c>
      <c r="R1022" s="176" t="s">
        <v>131</v>
      </c>
      <c r="S1022" s="176" t="s">
        <v>131</v>
      </c>
      <c r="T1022" s="176"/>
      <c r="U1022" s="176" t="s">
        <v>1289</v>
      </c>
      <c r="V1022" s="176"/>
      <c r="W1022" s="176"/>
      <c r="X1022" s="176"/>
      <c r="Y1022" s="176"/>
      <c r="Z1022" s="176"/>
      <c r="AA1022" s="176"/>
      <c r="AB1022" s="176"/>
      <c r="AC1022" s="176"/>
      <c r="AD1022" s="177" t="s">
        <v>5</v>
      </c>
    </row>
    <row r="1023" spans="1:30" s="178" customFormat="1" ht="33" customHeight="1" x14ac:dyDescent="0.3">
      <c r="A1023" s="167">
        <v>28</v>
      </c>
      <c r="B1023" s="168">
        <v>30</v>
      </c>
      <c r="C1023" s="169" t="str">
        <f t="shared" si="25"/>
        <v>28.30</v>
      </c>
      <c r="D1023" s="170" t="s">
        <v>931</v>
      </c>
      <c r="E1023" s="64" t="str">
        <f>IF(ISBLANK(D1023)=TRUE,"",VLOOKUP(D1023,Krav!$C:$F,4,FALSE))</f>
        <v>10.a.1.1.1.58 - Hvis ForfaldsDato er valgt: Fristlængden indsættes i Regel R0049 - fristlængden beregnes ved at fratrække værdien fra spm. 10.a.1 med værdien fra 10.a.1.1</v>
      </c>
      <c r="F1023" s="171" t="s">
        <v>226</v>
      </c>
      <c r="G1023" s="171" t="s">
        <v>313</v>
      </c>
      <c r="H1023" s="172" t="s">
        <v>1404</v>
      </c>
      <c r="I1023" s="174" t="s">
        <v>410</v>
      </c>
      <c r="J1023" s="174" t="s">
        <v>222</v>
      </c>
      <c r="K1023" s="123" t="s">
        <v>222</v>
      </c>
      <c r="L1023" s="181" t="s">
        <v>4</v>
      </c>
      <c r="M1023" s="176" t="s">
        <v>129</v>
      </c>
      <c r="N1023" s="176" t="s">
        <v>131</v>
      </c>
      <c r="O1023" s="176" t="s">
        <v>1405</v>
      </c>
      <c r="P1023" s="176" t="s">
        <v>1403</v>
      </c>
      <c r="Q1023" s="176" t="s">
        <v>131</v>
      </c>
      <c r="R1023" s="176" t="s">
        <v>131</v>
      </c>
      <c r="S1023" s="176" t="s">
        <v>131</v>
      </c>
      <c r="T1023" s="176"/>
      <c r="U1023" s="176" t="s">
        <v>1290</v>
      </c>
      <c r="V1023" s="176"/>
      <c r="W1023" s="176"/>
      <c r="X1023" s="176"/>
      <c r="Y1023" s="176"/>
      <c r="Z1023" s="176"/>
      <c r="AA1023" s="176"/>
      <c r="AB1023" s="176"/>
      <c r="AC1023" s="176"/>
      <c r="AD1023" s="177" t="s">
        <v>5</v>
      </c>
    </row>
    <row r="1024" spans="1:30" s="178" customFormat="1" ht="33" customHeight="1" x14ac:dyDescent="0.3">
      <c r="A1024" s="167">
        <v>28</v>
      </c>
      <c r="B1024" s="168">
        <v>31</v>
      </c>
      <c r="C1024" s="169" t="str">
        <f t="shared" si="25"/>
        <v>28.31</v>
      </c>
      <c r="D1024" s="170" t="s">
        <v>933</v>
      </c>
      <c r="E1024" s="64" t="str">
        <f>IF(ISBLANK(D1024)=TRUE,"",VLOOKUP(D1024,Krav!$C:$F,4,FALSE))</f>
        <v>10.a.1.1.1.59 - Hvis ForfaldsDato er valgt: Fristlængden indsættes i Regel R0050 - fristlængden beregnes ved at fratrække værdien fra spm. 10.a.1 med værdien fra 10.a.1.1</v>
      </c>
      <c r="F1024" s="171" t="s">
        <v>226</v>
      </c>
      <c r="G1024" s="171" t="s">
        <v>313</v>
      </c>
      <c r="H1024" s="172" t="s">
        <v>1404</v>
      </c>
      <c r="I1024" s="174" t="s">
        <v>410</v>
      </c>
      <c r="J1024" s="174" t="s">
        <v>222</v>
      </c>
      <c r="K1024" s="123" t="s">
        <v>222</v>
      </c>
      <c r="L1024" s="181" t="s">
        <v>4</v>
      </c>
      <c r="M1024" s="176" t="s">
        <v>129</v>
      </c>
      <c r="N1024" s="176" t="s">
        <v>131</v>
      </c>
      <c r="O1024" s="176" t="s">
        <v>1405</v>
      </c>
      <c r="P1024" s="176" t="s">
        <v>1403</v>
      </c>
      <c r="Q1024" s="176" t="s">
        <v>131</v>
      </c>
      <c r="R1024" s="176" t="s">
        <v>131</v>
      </c>
      <c r="S1024" s="176" t="s">
        <v>131</v>
      </c>
      <c r="T1024" s="176"/>
      <c r="U1024" s="176" t="s">
        <v>1291</v>
      </c>
      <c r="V1024" s="176"/>
      <c r="W1024" s="176"/>
      <c r="X1024" s="176"/>
      <c r="Y1024" s="176"/>
      <c r="Z1024" s="176"/>
      <c r="AA1024" s="176"/>
      <c r="AB1024" s="176"/>
      <c r="AC1024" s="176"/>
      <c r="AD1024" s="177" t="s">
        <v>5</v>
      </c>
    </row>
    <row r="1025" spans="1:30" s="178" customFormat="1" ht="33" customHeight="1" x14ac:dyDescent="0.3">
      <c r="A1025" s="167">
        <v>28</v>
      </c>
      <c r="B1025" s="168">
        <v>32</v>
      </c>
      <c r="C1025" s="169" t="str">
        <f t="shared" si="25"/>
        <v>28.32</v>
      </c>
      <c r="D1025" s="170" t="s">
        <v>967</v>
      </c>
      <c r="E1025" s="64" t="str">
        <f>IF(ISBLANK(D1025)=TRUE,"",VLOOKUP(D1025,Krav!$C:$F,4,FALSE))</f>
        <v>10.a.1.1.1.76 - Hvis ForfaldsDato er valgt: Fristlængden indsættes i Regel R0067 - fristlængden beregnes ved at fratrække værdien fra spm. 10.a.1 med værdien fra 10.a.1.1</v>
      </c>
      <c r="F1025" s="171" t="s">
        <v>226</v>
      </c>
      <c r="G1025" s="171" t="s">
        <v>313</v>
      </c>
      <c r="H1025" s="172" t="s">
        <v>1404</v>
      </c>
      <c r="I1025" s="174" t="s">
        <v>410</v>
      </c>
      <c r="J1025" s="174" t="s">
        <v>222</v>
      </c>
      <c r="K1025" s="123" t="s">
        <v>222</v>
      </c>
      <c r="L1025" s="181" t="s">
        <v>4</v>
      </c>
      <c r="M1025" s="176" t="s">
        <v>129</v>
      </c>
      <c r="N1025" s="176" t="s">
        <v>131</v>
      </c>
      <c r="O1025" s="176" t="s">
        <v>1405</v>
      </c>
      <c r="P1025" s="176" t="s">
        <v>1403</v>
      </c>
      <c r="Q1025" s="176" t="s">
        <v>131</v>
      </c>
      <c r="R1025" s="176" t="s">
        <v>131</v>
      </c>
      <c r="S1025" s="176" t="s">
        <v>131</v>
      </c>
      <c r="T1025" s="176"/>
      <c r="U1025" s="176" t="s">
        <v>1292</v>
      </c>
      <c r="V1025" s="176"/>
      <c r="W1025" s="176"/>
      <c r="X1025" s="176"/>
      <c r="Y1025" s="176"/>
      <c r="Z1025" s="176"/>
      <c r="AA1025" s="176"/>
      <c r="AB1025" s="176"/>
      <c r="AC1025" s="176"/>
      <c r="AD1025" s="177" t="s">
        <v>5</v>
      </c>
    </row>
    <row r="1026" spans="1:30" s="178" customFormat="1" ht="33" customHeight="1" x14ac:dyDescent="0.3">
      <c r="A1026" s="167">
        <v>28</v>
      </c>
      <c r="B1026" s="168">
        <v>33</v>
      </c>
      <c r="C1026" s="169" t="str">
        <f t="shared" si="25"/>
        <v>28.33</v>
      </c>
      <c r="D1026" s="170" t="s">
        <v>1027</v>
      </c>
      <c r="E1026" s="64" t="str">
        <f>IF(ISBLANK(D1026)=TRUE,"",VLOOKUP(D1026,Krav!$C:$F,4,FALSE))</f>
        <v>10.a.1.1.1.106 - Der angives et ”JA” i populationen under ”Vil RIM beregne en tidligst mulig forældelsesdato?”</v>
      </c>
      <c r="F1026" s="171" t="s">
        <v>221</v>
      </c>
      <c r="G1026" s="171"/>
      <c r="H1026" s="172" t="s">
        <v>1406</v>
      </c>
      <c r="I1026" s="174" t="s">
        <v>240</v>
      </c>
      <c r="J1026" s="174" t="s">
        <v>222</v>
      </c>
      <c r="K1026" s="123" t="s">
        <v>222</v>
      </c>
      <c r="L1026" s="175" t="s">
        <v>3</v>
      </c>
      <c r="M1026" s="176" t="s">
        <v>129</v>
      </c>
      <c r="N1026" s="176" t="s">
        <v>131</v>
      </c>
      <c r="O1026" s="176" t="s">
        <v>376</v>
      </c>
      <c r="P1026" s="176" t="s">
        <v>376</v>
      </c>
      <c r="Q1026" s="176" t="s">
        <v>131</v>
      </c>
      <c r="R1026" s="176" t="s">
        <v>131</v>
      </c>
      <c r="S1026" s="176" t="s">
        <v>131</v>
      </c>
      <c r="T1026" s="176"/>
      <c r="U1026" s="176"/>
      <c r="V1026" s="176"/>
      <c r="W1026" s="176"/>
      <c r="X1026" s="176"/>
      <c r="Y1026" s="176"/>
      <c r="Z1026" s="176"/>
      <c r="AA1026" s="176"/>
      <c r="AB1026" s="176"/>
      <c r="AC1026" s="176"/>
      <c r="AD1026" s="177" t="s">
        <v>5</v>
      </c>
    </row>
    <row r="1027" spans="1:30" s="178" customFormat="1" ht="33" customHeight="1" x14ac:dyDescent="0.3">
      <c r="A1027" s="167">
        <v>28</v>
      </c>
      <c r="B1027" s="168">
        <v>34</v>
      </c>
      <c r="C1027" s="169" t="str">
        <f t="shared" si="25"/>
        <v>28.34</v>
      </c>
      <c r="D1027" s="170"/>
      <c r="E1027" s="64" t="str">
        <f>IF(ISBLANK(D1027)=TRUE,"",VLOOKUP(D1027,Krav!$C:$F,4,FALSE))</f>
        <v/>
      </c>
      <c r="F1027" s="171" t="s">
        <v>225</v>
      </c>
      <c r="G1027" s="179" t="s">
        <v>230</v>
      </c>
      <c r="H1027" s="179" t="s">
        <v>158</v>
      </c>
      <c r="I1027" s="174" t="s">
        <v>1407</v>
      </c>
      <c r="J1027" s="174" t="s">
        <v>222</v>
      </c>
      <c r="K1027" s="123" t="s">
        <v>222</v>
      </c>
      <c r="L1027" s="175" t="s">
        <v>3</v>
      </c>
      <c r="M1027" s="176" t="s">
        <v>129</v>
      </c>
      <c r="N1027" s="176" t="s">
        <v>131</v>
      </c>
      <c r="O1027" s="176" t="s">
        <v>376</v>
      </c>
      <c r="P1027" s="176" t="s">
        <v>376</v>
      </c>
      <c r="Q1027" s="176" t="s">
        <v>131</v>
      </c>
      <c r="R1027" s="176" t="s">
        <v>131</v>
      </c>
      <c r="S1027" s="176" t="s">
        <v>131</v>
      </c>
      <c r="T1027" s="176"/>
      <c r="U1027" s="176"/>
      <c r="V1027" s="176"/>
      <c r="W1027" s="176"/>
      <c r="X1027" s="176"/>
      <c r="Y1027" s="176"/>
      <c r="Z1027" s="176"/>
      <c r="AA1027" s="176"/>
      <c r="AB1027" s="176"/>
      <c r="AC1027" s="176"/>
      <c r="AD1027" s="177" t="s">
        <v>5</v>
      </c>
    </row>
    <row r="1028" spans="1:30" s="178" customFormat="1" ht="33" customHeight="1" x14ac:dyDescent="0.3">
      <c r="A1028" s="167">
        <v>28</v>
      </c>
      <c r="B1028" s="168">
        <v>35</v>
      </c>
      <c r="C1028" s="169" t="str">
        <f t="shared" si="25"/>
        <v>28.35</v>
      </c>
      <c r="D1028" s="170"/>
      <c r="E1028" s="64" t="str">
        <f>IF(ISBLANK(D1028)=TRUE,"",VLOOKUP(D1028,Krav!$C:$F,4,FALSE))</f>
        <v/>
      </c>
      <c r="F1028" s="171" t="s">
        <v>225</v>
      </c>
      <c r="G1028" s="179" t="s">
        <v>1388</v>
      </c>
      <c r="H1028" s="179" t="s">
        <v>158</v>
      </c>
      <c r="I1028" s="174" t="s">
        <v>376</v>
      </c>
      <c r="J1028" s="174" t="s">
        <v>222</v>
      </c>
      <c r="K1028" s="123" t="s">
        <v>222</v>
      </c>
      <c r="L1028" s="175" t="s">
        <v>3</v>
      </c>
      <c r="M1028" s="176" t="s">
        <v>129</v>
      </c>
      <c r="N1028" s="176" t="s">
        <v>131</v>
      </c>
      <c r="O1028" s="176" t="s">
        <v>376</v>
      </c>
      <c r="P1028" s="176" t="s">
        <v>376</v>
      </c>
      <c r="Q1028" s="176" t="s">
        <v>131</v>
      </c>
      <c r="R1028" s="176" t="s">
        <v>131</v>
      </c>
      <c r="S1028" s="176" t="s">
        <v>131</v>
      </c>
      <c r="T1028" s="176"/>
      <c r="U1028" s="176"/>
      <c r="V1028" s="176"/>
      <c r="W1028" s="176"/>
      <c r="X1028" s="176"/>
      <c r="Y1028" s="176"/>
      <c r="Z1028" s="176"/>
      <c r="AA1028" s="176"/>
      <c r="AB1028" s="176"/>
      <c r="AC1028" s="176"/>
      <c r="AD1028" s="177" t="s">
        <v>5</v>
      </c>
    </row>
    <row r="1029" spans="1:30" s="178" customFormat="1" ht="33" customHeight="1" x14ac:dyDescent="0.3">
      <c r="A1029" s="167">
        <v>28</v>
      </c>
      <c r="B1029" s="168">
        <v>36</v>
      </c>
      <c r="C1029" s="169" t="str">
        <f t="shared" si="25"/>
        <v>28.36</v>
      </c>
      <c r="D1029" s="170"/>
      <c r="E1029" s="64" t="str">
        <f>IF(ISBLANK(D1029)=TRUE,"",VLOOKUP(D1029,Krav!$C:$F,4,FALSE))</f>
        <v/>
      </c>
      <c r="F1029" s="171" t="s">
        <v>225</v>
      </c>
      <c r="G1029" s="179" t="s">
        <v>1389</v>
      </c>
      <c r="H1029" s="179" t="s">
        <v>158</v>
      </c>
      <c r="I1029" s="174" t="s">
        <v>376</v>
      </c>
      <c r="J1029" s="174" t="s">
        <v>222</v>
      </c>
      <c r="K1029" s="123" t="s">
        <v>222</v>
      </c>
      <c r="L1029" s="175" t="s">
        <v>3</v>
      </c>
      <c r="M1029" s="176" t="s">
        <v>129</v>
      </c>
      <c r="N1029" s="176" t="s">
        <v>131</v>
      </c>
      <c r="O1029" s="176" t="s">
        <v>376</v>
      </c>
      <c r="P1029" s="176" t="s">
        <v>376</v>
      </c>
      <c r="Q1029" s="176" t="s">
        <v>131</v>
      </c>
      <c r="R1029" s="176" t="s">
        <v>131</v>
      </c>
      <c r="S1029" s="176" t="s">
        <v>131</v>
      </c>
      <c r="T1029" s="176"/>
      <c r="U1029" s="176"/>
      <c r="V1029" s="176"/>
      <c r="W1029" s="176"/>
      <c r="X1029" s="176"/>
      <c r="Y1029" s="176"/>
      <c r="Z1029" s="176"/>
      <c r="AA1029" s="176"/>
      <c r="AB1029" s="176"/>
      <c r="AC1029" s="176"/>
      <c r="AD1029" s="177" t="s">
        <v>5</v>
      </c>
    </row>
    <row r="1030" spans="1:30" s="178" customFormat="1" ht="33" customHeight="1" x14ac:dyDescent="0.3">
      <c r="A1030" s="167">
        <v>28</v>
      </c>
      <c r="B1030" s="168">
        <v>37</v>
      </c>
      <c r="C1030" s="169" t="str">
        <f t="shared" si="25"/>
        <v>28.37</v>
      </c>
      <c r="D1030" s="170" t="s">
        <v>793</v>
      </c>
      <c r="E1030" s="64" t="str">
        <f>IF(ISBLANK(D1030)=TRUE,"",VLOOKUP(D1030,Krav!$C:$F,4,FALSE))</f>
        <v>10.a.1.1.5 - Såfremt brugeren angiver en frist skal brugeren ledes til spørgsmål 10.a.1.1.1</v>
      </c>
      <c r="F1030" s="171" t="s">
        <v>143</v>
      </c>
      <c r="G1030" s="171"/>
      <c r="H1030" s="183" t="s">
        <v>1408</v>
      </c>
      <c r="I1030" s="174" t="s">
        <v>468</v>
      </c>
      <c r="J1030" s="174" t="s">
        <v>222</v>
      </c>
      <c r="K1030" s="123" t="s">
        <v>222</v>
      </c>
      <c r="L1030" s="175" t="s">
        <v>3</v>
      </c>
      <c r="M1030" s="176" t="s">
        <v>129</v>
      </c>
      <c r="N1030" s="176" t="s">
        <v>131</v>
      </c>
      <c r="O1030" s="176" t="s">
        <v>376</v>
      </c>
      <c r="P1030" s="176" t="s">
        <v>376</v>
      </c>
      <c r="Q1030" s="176" t="s">
        <v>131</v>
      </c>
      <c r="R1030" s="176" t="s">
        <v>131</v>
      </c>
      <c r="S1030" s="176" t="s">
        <v>131</v>
      </c>
      <c r="T1030" s="176"/>
      <c r="U1030" s="176"/>
      <c r="V1030" s="176"/>
      <c r="W1030" s="176"/>
      <c r="X1030" s="176"/>
      <c r="Y1030" s="176"/>
      <c r="Z1030" s="176"/>
      <c r="AA1030" s="176"/>
      <c r="AB1030" s="176"/>
      <c r="AC1030" s="176"/>
      <c r="AD1030" s="177" t="s">
        <v>5</v>
      </c>
    </row>
    <row r="1031" spans="1:30" s="178" customFormat="1" ht="33" customHeight="1" x14ac:dyDescent="0.3">
      <c r="A1031" s="167">
        <v>28</v>
      </c>
      <c r="B1031" s="168">
        <v>38</v>
      </c>
      <c r="C1031" s="169" t="str">
        <f t="shared" si="25"/>
        <v>28.38</v>
      </c>
      <c r="D1031" s="170" t="s">
        <v>1033</v>
      </c>
      <c r="E1031" s="64" t="str">
        <f>IF(ISBLANK(D1031)=TRUE,"",VLOOKUP(D1031,Krav!$C:$F,4,FALSE))</f>
        <v>10.a.1.1.2.1 - Hvis der er svaret "I visse tilfælde" i spørgsmål 9 og hvis der er svaret "Ja" i enten 9.b.1, 9.b.2.1 eller 9.b.2.2.1 skal brugeren ledes til spørgsmål 11</v>
      </c>
      <c r="F1031" s="171" t="s">
        <v>143</v>
      </c>
      <c r="G1031" s="184"/>
      <c r="H1031" s="179" t="s">
        <v>1409</v>
      </c>
      <c r="I1031" s="174" t="s">
        <v>555</v>
      </c>
      <c r="J1031" s="174" t="s">
        <v>222</v>
      </c>
      <c r="K1031" s="123" t="s">
        <v>222</v>
      </c>
      <c r="L1031" s="181" t="s">
        <v>3</v>
      </c>
      <c r="M1031" s="176" t="s">
        <v>129</v>
      </c>
      <c r="N1031" s="176" t="s">
        <v>131</v>
      </c>
      <c r="O1031" s="176" t="s">
        <v>376</v>
      </c>
      <c r="P1031" s="176" t="s">
        <v>376</v>
      </c>
      <c r="Q1031" s="176" t="s">
        <v>131</v>
      </c>
      <c r="R1031" s="176" t="s">
        <v>131</v>
      </c>
      <c r="S1031" s="176" t="s">
        <v>131</v>
      </c>
      <c r="T1031" s="185"/>
      <c r="U1031" s="176"/>
      <c r="V1031" s="176"/>
      <c r="W1031" s="176"/>
      <c r="X1031" s="176"/>
      <c r="Y1031" s="176"/>
      <c r="Z1031" s="176" t="s">
        <v>129</v>
      </c>
      <c r="AA1031" s="176"/>
      <c r="AB1031" s="176"/>
      <c r="AC1031" s="176"/>
      <c r="AD1031" s="177" t="s">
        <v>5</v>
      </c>
    </row>
    <row r="1032" spans="1:30" s="178" customFormat="1" ht="33" customHeight="1" x14ac:dyDescent="0.3">
      <c r="A1032" s="167">
        <v>28</v>
      </c>
      <c r="B1032" s="168">
        <v>39</v>
      </c>
      <c r="C1032" s="169" t="str">
        <f t="shared" si="25"/>
        <v>28.39</v>
      </c>
      <c r="D1032" s="170" t="s">
        <v>1033</v>
      </c>
      <c r="E1032" s="64" t="str">
        <f>IF(ISBLANK(D1032)=TRUE,"",VLOOKUP(D1032,Krav!$C:$F,4,FALSE))</f>
        <v>10.a.1.1.2.1 - Hvis der er svaret "I visse tilfælde" i spørgsmål 9 og hvis der er svaret "Ja" i enten 9.b.1, 9.b.2.1 eller 9.b.2.2.1 skal brugeren ledes til spørgsmål 11</v>
      </c>
      <c r="F1032" s="171" t="s">
        <v>143</v>
      </c>
      <c r="G1032" s="171"/>
      <c r="H1032" s="179" t="s">
        <v>1410</v>
      </c>
      <c r="I1032" s="174" t="s">
        <v>560</v>
      </c>
      <c r="J1032" s="180" t="s">
        <v>222</v>
      </c>
      <c r="K1032" s="123" t="s">
        <v>222</v>
      </c>
      <c r="L1032" s="175" t="s">
        <v>3</v>
      </c>
      <c r="M1032" s="176" t="s">
        <v>129</v>
      </c>
      <c r="N1032" s="176" t="s">
        <v>131</v>
      </c>
      <c r="O1032" s="176" t="s">
        <v>376</v>
      </c>
      <c r="P1032" s="176" t="s">
        <v>376</v>
      </c>
      <c r="Q1032" s="176" t="s">
        <v>131</v>
      </c>
      <c r="R1032" s="176" t="s">
        <v>131</v>
      </c>
      <c r="S1032" s="176" t="s">
        <v>131</v>
      </c>
      <c r="T1032" s="185"/>
      <c r="U1032" s="176"/>
      <c r="V1032" s="176"/>
      <c r="W1032" s="176"/>
      <c r="X1032" s="176"/>
      <c r="Y1032" s="176"/>
      <c r="Z1032" s="176"/>
      <c r="AA1032" s="176" t="s">
        <v>129</v>
      </c>
      <c r="AB1032" s="176"/>
      <c r="AC1032" s="176"/>
      <c r="AD1032" s="177" t="s">
        <v>5</v>
      </c>
    </row>
    <row r="1033" spans="1:30" s="178" customFormat="1" ht="33" customHeight="1" x14ac:dyDescent="0.3">
      <c r="A1033" s="167">
        <v>28</v>
      </c>
      <c r="B1033" s="168">
        <v>40</v>
      </c>
      <c r="C1033" s="169" t="str">
        <f t="shared" si="25"/>
        <v>28.40</v>
      </c>
      <c r="D1033" s="170" t="s">
        <v>1033</v>
      </c>
      <c r="E1033" s="64" t="str">
        <f>IF(ISBLANK(D1033)=TRUE,"",VLOOKUP(D1033,Krav!$C:$F,4,FALSE))</f>
        <v>10.a.1.1.2.1 - Hvis der er svaret "I visse tilfælde" i spørgsmål 9 og hvis der er svaret "Ja" i enten 9.b.1, 9.b.2.1 eller 9.b.2.2.1 skal brugeren ledes til spørgsmål 11</v>
      </c>
      <c r="F1033" s="171" t="s">
        <v>143</v>
      </c>
      <c r="G1033" s="171"/>
      <c r="H1033" s="179" t="s">
        <v>1411</v>
      </c>
      <c r="I1033" s="174" t="s">
        <v>565</v>
      </c>
      <c r="J1033" s="174" t="s">
        <v>222</v>
      </c>
      <c r="K1033" s="123" t="s">
        <v>222</v>
      </c>
      <c r="L1033" s="175" t="s">
        <v>3</v>
      </c>
      <c r="M1033" s="176" t="s">
        <v>129</v>
      </c>
      <c r="N1033" s="176" t="s">
        <v>131</v>
      </c>
      <c r="O1033" s="176" t="s">
        <v>376</v>
      </c>
      <c r="P1033" s="176" t="s">
        <v>376</v>
      </c>
      <c r="Q1033" s="176" t="s">
        <v>131</v>
      </c>
      <c r="R1033" s="176" t="s">
        <v>131</v>
      </c>
      <c r="S1033" s="176" t="s">
        <v>131</v>
      </c>
      <c r="T1033" s="176"/>
      <c r="U1033" s="176"/>
      <c r="V1033" s="176"/>
      <c r="W1033" s="176"/>
      <c r="X1033" s="176"/>
      <c r="Y1033" s="176"/>
      <c r="Z1033" s="176"/>
      <c r="AA1033" s="176"/>
      <c r="AB1033" s="176" t="s">
        <v>129</v>
      </c>
      <c r="AC1033" s="176"/>
      <c r="AD1033" s="177" t="s">
        <v>5</v>
      </c>
    </row>
    <row r="1034" spans="1:30" s="178" customFormat="1" ht="33" customHeight="1" x14ac:dyDescent="0.3">
      <c r="A1034" s="167">
        <v>28</v>
      </c>
      <c r="B1034" s="168">
        <v>41</v>
      </c>
      <c r="C1034" s="169" t="str">
        <f t="shared" si="25"/>
        <v>28.41</v>
      </c>
      <c r="D1034" s="170" t="s">
        <v>1033</v>
      </c>
      <c r="E1034" s="64" t="str">
        <f>IF(ISBLANK(D1034)=TRUE,"",VLOOKUP(D1034,Krav!$C:$F,4,FALSE))</f>
        <v>10.a.1.1.2.1 - Hvis der er svaret "I visse tilfælde" i spørgsmål 9 og hvis der er svaret "Ja" i enten 9.b.1, 9.b.2.1 eller 9.b.2.2.1 skal brugeren ledes til spørgsmål 11</v>
      </c>
      <c r="F1034" s="171" t="s">
        <v>143</v>
      </c>
      <c r="G1034" s="171"/>
      <c r="H1034" s="179" t="s">
        <v>1412</v>
      </c>
      <c r="I1034" s="174" t="s">
        <v>549</v>
      </c>
      <c r="J1034" s="180" t="s">
        <v>222</v>
      </c>
      <c r="K1034" s="123" t="s">
        <v>222</v>
      </c>
      <c r="L1034" s="181" t="s">
        <v>3</v>
      </c>
      <c r="M1034" s="176" t="s">
        <v>129</v>
      </c>
      <c r="N1034" s="176" t="s">
        <v>131</v>
      </c>
      <c r="O1034" s="176" t="s">
        <v>376</v>
      </c>
      <c r="P1034" s="176" t="s">
        <v>376</v>
      </c>
      <c r="Q1034" s="176" t="s">
        <v>131</v>
      </c>
      <c r="R1034" s="176" t="s">
        <v>131</v>
      </c>
      <c r="S1034" s="176" t="s">
        <v>131</v>
      </c>
      <c r="T1034" s="176"/>
      <c r="U1034" s="176"/>
      <c r="V1034" s="176"/>
      <c r="W1034" s="176"/>
      <c r="X1034" s="176"/>
      <c r="Y1034" s="176"/>
      <c r="Z1034" s="176"/>
      <c r="AA1034" s="176"/>
      <c r="AB1034" s="176"/>
      <c r="AC1034" s="176" t="s">
        <v>129</v>
      </c>
      <c r="AD1034" s="177" t="s">
        <v>5</v>
      </c>
    </row>
    <row r="1035" spans="1:30" s="178" customFormat="1" ht="33" customHeight="1" x14ac:dyDescent="0.3">
      <c r="A1035" s="167">
        <v>28</v>
      </c>
      <c r="B1035" s="168">
        <v>42</v>
      </c>
      <c r="C1035" s="169" t="str">
        <f t="shared" si="25"/>
        <v>28.42</v>
      </c>
      <c r="D1035" s="170"/>
      <c r="E1035" s="64" t="str">
        <f>IF(ISBLANK(D1035)=TRUE,"",VLOOKUP(D1035,Krav!$C:$F,4,FALSE))</f>
        <v/>
      </c>
      <c r="F1035" s="171" t="s">
        <v>143</v>
      </c>
      <c r="G1035" s="171"/>
      <c r="H1035" s="172" t="s">
        <v>1353</v>
      </c>
      <c r="I1035" s="174" t="s">
        <v>549</v>
      </c>
      <c r="J1035" s="180" t="s">
        <v>222</v>
      </c>
      <c r="K1035" s="123" t="s">
        <v>222</v>
      </c>
      <c r="L1035" s="181" t="s">
        <v>3</v>
      </c>
      <c r="M1035" s="176" t="s">
        <v>129</v>
      </c>
      <c r="N1035" s="176" t="s">
        <v>131</v>
      </c>
      <c r="O1035" s="176" t="s">
        <v>376</v>
      </c>
      <c r="P1035" s="176" t="s">
        <v>376</v>
      </c>
      <c r="Q1035" s="176" t="s">
        <v>131</v>
      </c>
      <c r="R1035" s="176" t="s">
        <v>131</v>
      </c>
      <c r="S1035" s="176" t="s">
        <v>131</v>
      </c>
      <c r="T1035" s="176"/>
      <c r="U1035" s="176"/>
      <c r="V1035" s="176"/>
      <c r="W1035" s="176"/>
      <c r="X1035" s="176"/>
      <c r="Y1035" s="176"/>
      <c r="Z1035" s="176" t="s">
        <v>129</v>
      </c>
      <c r="AA1035" s="176" t="s">
        <v>129</v>
      </c>
      <c r="AB1035" s="176" t="s">
        <v>129</v>
      </c>
      <c r="AC1035" s="176" t="s">
        <v>129</v>
      </c>
      <c r="AD1035" s="177" t="s">
        <v>5</v>
      </c>
    </row>
    <row r="1036" spans="1:30" s="178" customFormat="1" ht="33" customHeight="1" x14ac:dyDescent="0.3">
      <c r="A1036" s="167">
        <v>28</v>
      </c>
      <c r="B1036" s="168">
        <v>43</v>
      </c>
      <c r="C1036" s="169" t="str">
        <f t="shared" si="25"/>
        <v>28.43</v>
      </c>
      <c r="D1036" s="170"/>
      <c r="E1036" s="64" t="str">
        <f>IF(ISBLANK(D1036)=TRUE,"",VLOOKUP(D1036,Krav!$C:$F,4,FALSE))</f>
        <v/>
      </c>
      <c r="F1036" s="171" t="s">
        <v>143</v>
      </c>
      <c r="G1036" s="171"/>
      <c r="H1036" s="172" t="s">
        <v>1355</v>
      </c>
      <c r="I1036" s="174" t="s">
        <v>555</v>
      </c>
      <c r="J1036" s="180" t="s">
        <v>222</v>
      </c>
      <c r="K1036" s="123" t="s">
        <v>222</v>
      </c>
      <c r="L1036" s="181" t="s">
        <v>3</v>
      </c>
      <c r="M1036" s="176" t="s">
        <v>129</v>
      </c>
      <c r="N1036" s="176" t="s">
        <v>131</v>
      </c>
      <c r="O1036" s="176" t="s">
        <v>376</v>
      </c>
      <c r="P1036" s="176" t="s">
        <v>376</v>
      </c>
      <c r="Q1036" s="176" t="s">
        <v>131</v>
      </c>
      <c r="R1036" s="176" t="s">
        <v>131</v>
      </c>
      <c r="S1036" s="176" t="s">
        <v>131</v>
      </c>
      <c r="T1036" s="176"/>
      <c r="U1036" s="176"/>
      <c r="V1036" s="176"/>
      <c r="W1036" s="176"/>
      <c r="X1036" s="176"/>
      <c r="Y1036" s="176"/>
      <c r="Z1036" s="176" t="s">
        <v>129</v>
      </c>
      <c r="AA1036" s="176" t="s">
        <v>129</v>
      </c>
      <c r="AB1036" s="176" t="s">
        <v>129</v>
      </c>
      <c r="AC1036" s="176"/>
      <c r="AD1036" s="177" t="s">
        <v>5</v>
      </c>
    </row>
    <row r="1037" spans="1:30" s="178" customFormat="1" ht="33" customHeight="1" x14ac:dyDescent="0.3">
      <c r="A1037" s="167">
        <v>28</v>
      </c>
      <c r="B1037" s="168">
        <v>44</v>
      </c>
      <c r="C1037" s="169" t="str">
        <f t="shared" si="25"/>
        <v>28.44</v>
      </c>
      <c r="D1037" s="170"/>
      <c r="E1037" s="64" t="str">
        <f>IF(ISBLANK(D1037)=TRUE,"",VLOOKUP(D1037,Krav!$C:$F,4,FALSE))</f>
        <v/>
      </c>
      <c r="F1037" s="171" t="s">
        <v>143</v>
      </c>
      <c r="G1037" s="171"/>
      <c r="H1037" s="179" t="s">
        <v>1356</v>
      </c>
      <c r="I1037" s="174" t="s">
        <v>560</v>
      </c>
      <c r="J1037" s="180" t="s">
        <v>222</v>
      </c>
      <c r="K1037" s="123" t="s">
        <v>222</v>
      </c>
      <c r="L1037" s="181" t="s">
        <v>3</v>
      </c>
      <c r="M1037" s="176" t="s">
        <v>129</v>
      </c>
      <c r="N1037" s="176" t="s">
        <v>131</v>
      </c>
      <c r="O1037" s="176" t="s">
        <v>376</v>
      </c>
      <c r="P1037" s="176" t="s">
        <v>376</v>
      </c>
      <c r="Q1037" s="176" t="s">
        <v>131</v>
      </c>
      <c r="R1037" s="176" t="s">
        <v>131</v>
      </c>
      <c r="S1037" s="176" t="s">
        <v>131</v>
      </c>
      <c r="T1037" s="176"/>
      <c r="U1037" s="176"/>
      <c r="V1037" s="176"/>
      <c r="W1037" s="176"/>
      <c r="X1037" s="176"/>
      <c r="Y1037" s="176"/>
      <c r="Z1037" s="176"/>
      <c r="AA1037" s="176" t="s">
        <v>129</v>
      </c>
      <c r="AB1037" s="176" t="s">
        <v>129</v>
      </c>
      <c r="AC1037" s="176"/>
      <c r="AD1037" s="177" t="s">
        <v>5</v>
      </c>
    </row>
    <row r="1038" spans="1:30" s="178" customFormat="1" ht="33" customHeight="1" x14ac:dyDescent="0.3">
      <c r="A1038" s="167">
        <v>28</v>
      </c>
      <c r="B1038" s="168">
        <v>45</v>
      </c>
      <c r="C1038" s="169" t="str">
        <f t="shared" si="25"/>
        <v>28.45</v>
      </c>
      <c r="D1038" s="170"/>
      <c r="E1038" s="64" t="str">
        <f>IF(ISBLANK(D1038)=TRUE,"",VLOOKUP(D1038,Krav!$C:$F,4,FALSE))</f>
        <v/>
      </c>
      <c r="F1038" s="186" t="s">
        <v>185</v>
      </c>
      <c r="G1038" s="186"/>
      <c r="H1038" s="172" t="s">
        <v>351</v>
      </c>
      <c r="I1038" s="174" t="s">
        <v>305</v>
      </c>
      <c r="J1038" s="173" t="s">
        <v>222</v>
      </c>
      <c r="K1038" s="123" t="s">
        <v>222</v>
      </c>
      <c r="L1038" s="175" t="s">
        <v>3</v>
      </c>
      <c r="M1038" s="176" t="s">
        <v>129</v>
      </c>
      <c r="N1038" s="176" t="s">
        <v>131</v>
      </c>
      <c r="O1038" s="176" t="s">
        <v>376</v>
      </c>
      <c r="P1038" s="176" t="s">
        <v>376</v>
      </c>
      <c r="Q1038" s="176" t="s">
        <v>131</v>
      </c>
      <c r="R1038" s="176" t="s">
        <v>131</v>
      </c>
      <c r="S1038" s="176" t="s">
        <v>131</v>
      </c>
      <c r="T1038" s="176"/>
      <c r="U1038" s="176"/>
      <c r="V1038" s="176"/>
      <c r="W1038" s="176"/>
      <c r="X1038" s="176"/>
      <c r="Y1038" s="176"/>
      <c r="Z1038" s="176"/>
      <c r="AA1038" s="176"/>
      <c r="AB1038" s="176"/>
      <c r="AC1038" s="176"/>
      <c r="AD1038" s="177" t="s">
        <v>5</v>
      </c>
    </row>
    <row r="1039" spans="1:30" s="178" customFormat="1" ht="33" customHeight="1" x14ac:dyDescent="0.3">
      <c r="A1039" s="167">
        <v>28</v>
      </c>
      <c r="B1039" s="168">
        <v>46</v>
      </c>
      <c r="C1039" s="169" t="str">
        <f t="shared" si="25"/>
        <v>28.46</v>
      </c>
      <c r="D1039" s="170" t="s">
        <v>761</v>
      </c>
      <c r="E1039" s="64" t="str">
        <f>IF(ISBLANK(D1039)=TRUE,"",VLOOKUP(D1039,Krav!$C:$F,4,FALSE))</f>
        <v>10.a.1.3 - Såfremt brugeren angiver antal dage skal brugeren ledes til spørgsmål 10.a.1.1</v>
      </c>
      <c r="F1039" s="186" t="s">
        <v>174</v>
      </c>
      <c r="G1039" s="184"/>
      <c r="H1039" s="172" t="s">
        <v>1413</v>
      </c>
      <c r="I1039" s="174" t="s">
        <v>1414</v>
      </c>
      <c r="J1039" s="174" t="s">
        <v>222</v>
      </c>
      <c r="K1039" s="123" t="s">
        <v>222</v>
      </c>
      <c r="L1039" s="175" t="s">
        <v>4</v>
      </c>
      <c r="M1039" s="176" t="s">
        <v>129</v>
      </c>
      <c r="N1039" s="176" t="s">
        <v>131</v>
      </c>
      <c r="O1039" s="187" t="s">
        <v>96</v>
      </c>
      <c r="P1039" s="176" t="s">
        <v>376</v>
      </c>
      <c r="Q1039" s="176" t="s">
        <v>131</v>
      </c>
      <c r="R1039" s="176" t="s">
        <v>131</v>
      </c>
      <c r="S1039" s="176" t="s">
        <v>131</v>
      </c>
      <c r="T1039" s="176"/>
      <c r="U1039" s="176"/>
      <c r="V1039" s="176"/>
      <c r="W1039" s="176"/>
      <c r="X1039" s="176"/>
      <c r="Y1039" s="176"/>
      <c r="Z1039" s="176"/>
      <c r="AA1039" s="176"/>
      <c r="AB1039" s="176"/>
      <c r="AC1039" s="176"/>
      <c r="AD1039" s="177" t="s">
        <v>5</v>
      </c>
    </row>
    <row r="1040" spans="1:30" s="178" customFormat="1" ht="33" customHeight="1" x14ac:dyDescent="0.3">
      <c r="A1040" s="167">
        <v>28</v>
      </c>
      <c r="B1040" s="168">
        <v>47</v>
      </c>
      <c r="C1040" s="169" t="str">
        <f t="shared" si="25"/>
        <v>28.47</v>
      </c>
      <c r="D1040" s="170" t="s">
        <v>761</v>
      </c>
      <c r="E1040" s="64" t="str">
        <f>IF(ISBLANK(D1040)=TRUE,"",VLOOKUP(D1040,Krav!$C:$F,4,FALSE))</f>
        <v>10.a.1.3 - Såfremt brugeren angiver antal dage skal brugeren ledes til spørgsmål 10.a.1.1</v>
      </c>
      <c r="F1040" s="186" t="s">
        <v>418</v>
      </c>
      <c r="G1040" s="186" t="s">
        <v>419</v>
      </c>
      <c r="H1040" s="172" t="s">
        <v>1415</v>
      </c>
      <c r="I1040" s="174" t="s">
        <v>129</v>
      </c>
      <c r="J1040" s="173" t="s">
        <v>222</v>
      </c>
      <c r="K1040" s="123" t="s">
        <v>222</v>
      </c>
      <c r="L1040" s="175" t="s">
        <v>4</v>
      </c>
      <c r="M1040" s="176" t="s">
        <v>129</v>
      </c>
      <c r="N1040" s="176" t="s">
        <v>131</v>
      </c>
      <c r="O1040" s="187" t="s">
        <v>96</v>
      </c>
      <c r="P1040" s="176" t="s">
        <v>376</v>
      </c>
      <c r="Q1040" s="176" t="s">
        <v>131</v>
      </c>
      <c r="R1040" s="176" t="s">
        <v>131</v>
      </c>
      <c r="S1040" s="176" t="s">
        <v>131</v>
      </c>
      <c r="T1040" s="176"/>
      <c r="U1040" s="176"/>
      <c r="V1040" s="176"/>
      <c r="W1040" s="176"/>
      <c r="X1040" s="176"/>
      <c r="Y1040" s="176"/>
      <c r="Z1040" s="176"/>
      <c r="AA1040" s="176"/>
      <c r="AB1040" s="176"/>
      <c r="AC1040" s="176"/>
      <c r="AD1040" s="177" t="s">
        <v>5</v>
      </c>
    </row>
    <row r="1041" spans="1:38" s="178" customFormat="1" ht="33" customHeight="1" x14ac:dyDescent="0.3">
      <c r="A1041" s="167">
        <v>28</v>
      </c>
      <c r="B1041" s="168">
        <v>48</v>
      </c>
      <c r="C1041" s="169" t="str">
        <f t="shared" si="25"/>
        <v>28.48</v>
      </c>
      <c r="D1041" s="170" t="s">
        <v>793</v>
      </c>
      <c r="E1041" s="64" t="str">
        <f>IF(ISBLANK(D1041)=TRUE,"",VLOOKUP(D1041,Krav!$C:$F,4,FALSE))</f>
        <v>10.a.1.1.5 - Såfremt brugeren angiver en frist skal brugeren ledes til spørgsmål 10.a.1.1.1</v>
      </c>
      <c r="F1041" s="186" t="s">
        <v>174</v>
      </c>
      <c r="G1041" s="184"/>
      <c r="H1041" s="172" t="s">
        <v>1413</v>
      </c>
      <c r="I1041" s="174" t="s">
        <v>1414</v>
      </c>
      <c r="J1041" s="174" t="s">
        <v>222</v>
      </c>
      <c r="K1041" s="123" t="s">
        <v>222</v>
      </c>
      <c r="L1041" s="175" t="s">
        <v>4</v>
      </c>
      <c r="M1041" s="176" t="s">
        <v>129</v>
      </c>
      <c r="N1041" s="176" t="s">
        <v>131</v>
      </c>
      <c r="O1041" s="176" t="s">
        <v>376</v>
      </c>
      <c r="P1041" s="187" t="s">
        <v>96</v>
      </c>
      <c r="Q1041" s="176" t="s">
        <v>131</v>
      </c>
      <c r="R1041" s="176" t="s">
        <v>131</v>
      </c>
      <c r="S1041" s="176" t="s">
        <v>131</v>
      </c>
      <c r="T1041" s="176"/>
      <c r="U1041" s="176"/>
      <c r="V1041" s="176"/>
      <c r="W1041" s="176"/>
      <c r="X1041" s="176"/>
      <c r="Y1041" s="176"/>
      <c r="Z1041" s="176"/>
      <c r="AA1041" s="176"/>
      <c r="AB1041" s="176"/>
      <c r="AC1041" s="176"/>
      <c r="AD1041" s="177" t="s">
        <v>5</v>
      </c>
      <c r="AE1041" s="188"/>
      <c r="AF1041" s="188"/>
      <c r="AG1041" s="188"/>
      <c r="AH1041" s="188"/>
      <c r="AI1041" s="188"/>
      <c r="AJ1041" s="188"/>
      <c r="AK1041" s="188"/>
      <c r="AL1041" s="188"/>
    </row>
    <row r="1042" spans="1:38" s="178" customFormat="1" ht="33" customHeight="1" x14ac:dyDescent="0.3">
      <c r="A1042" s="167">
        <v>28</v>
      </c>
      <c r="B1042" s="168">
        <v>49</v>
      </c>
      <c r="C1042" s="169" t="str">
        <f t="shared" si="25"/>
        <v>28.49</v>
      </c>
      <c r="D1042" s="170" t="s">
        <v>793</v>
      </c>
      <c r="E1042" s="64" t="str">
        <f>IF(ISBLANK(D1042)=TRUE,"",VLOOKUP(D1042,Krav!$C:$F,4,FALSE))</f>
        <v>10.a.1.1.5 - Såfremt brugeren angiver en frist skal brugeren ledes til spørgsmål 10.a.1.1.1</v>
      </c>
      <c r="F1042" s="186" t="s">
        <v>418</v>
      </c>
      <c r="G1042" s="186" t="s">
        <v>419</v>
      </c>
      <c r="H1042" s="172" t="s">
        <v>1415</v>
      </c>
      <c r="I1042" s="174" t="s">
        <v>129</v>
      </c>
      <c r="J1042" s="174" t="s">
        <v>222</v>
      </c>
      <c r="K1042" s="123" t="s">
        <v>222</v>
      </c>
      <c r="L1042" s="175" t="s">
        <v>4</v>
      </c>
      <c r="M1042" s="176" t="s">
        <v>129</v>
      </c>
      <c r="N1042" s="176" t="s">
        <v>131</v>
      </c>
      <c r="O1042" s="176" t="s">
        <v>376</v>
      </c>
      <c r="P1042" s="187" t="s">
        <v>96</v>
      </c>
      <c r="Q1042" s="176" t="s">
        <v>131</v>
      </c>
      <c r="R1042" s="176" t="s">
        <v>131</v>
      </c>
      <c r="S1042" s="176" t="s">
        <v>131</v>
      </c>
      <c r="T1042" s="176"/>
      <c r="U1042" s="176"/>
      <c r="V1042" s="176"/>
      <c r="W1042" s="176"/>
      <c r="X1042" s="176"/>
      <c r="Y1042" s="176"/>
      <c r="Z1042" s="176"/>
      <c r="AA1042" s="176"/>
      <c r="AB1042" s="176"/>
      <c r="AC1042" s="176"/>
      <c r="AD1042" s="177" t="s">
        <v>5</v>
      </c>
      <c r="AE1042" s="188"/>
      <c r="AF1042" s="188"/>
      <c r="AG1042" s="188"/>
      <c r="AH1042" s="188"/>
      <c r="AI1042" s="188"/>
      <c r="AJ1042" s="188"/>
      <c r="AK1042" s="188"/>
      <c r="AL1042" s="188"/>
    </row>
    <row r="1043" spans="1:38" s="178" customFormat="1" ht="33" customHeight="1" x14ac:dyDescent="0.3">
      <c r="A1043" s="167">
        <v>28</v>
      </c>
      <c r="B1043" s="168">
        <v>50</v>
      </c>
      <c r="C1043" s="169" t="str">
        <f t="shared" si="25"/>
        <v>28.50</v>
      </c>
      <c r="D1043" s="170" t="s">
        <v>761</v>
      </c>
      <c r="E1043" s="64" t="str">
        <f>IF(ISBLANK(D1043)=TRUE,"",VLOOKUP(D1043,Krav!$C:$F,4,FALSE))</f>
        <v>10.a.1.3 - Såfremt brugeren angiver antal dage skal brugeren ledes til spørgsmål 10.a.1.1</v>
      </c>
      <c r="F1043" s="186" t="s">
        <v>174</v>
      </c>
      <c r="G1043" s="184"/>
      <c r="H1043" s="172" t="s">
        <v>1416</v>
      </c>
      <c r="I1043" s="174" t="s">
        <v>1414</v>
      </c>
      <c r="J1043" s="174" t="s">
        <v>222</v>
      </c>
      <c r="K1043" s="123" t="s">
        <v>222</v>
      </c>
      <c r="L1043" s="175" t="s">
        <v>4</v>
      </c>
      <c r="M1043" s="176" t="s">
        <v>129</v>
      </c>
      <c r="N1043" s="176" t="s">
        <v>131</v>
      </c>
      <c r="O1043" s="187" t="s">
        <v>97</v>
      </c>
      <c r="P1043" s="176" t="s">
        <v>376</v>
      </c>
      <c r="Q1043" s="176" t="s">
        <v>131</v>
      </c>
      <c r="R1043" s="176" t="s">
        <v>131</v>
      </c>
      <c r="S1043" s="176" t="s">
        <v>131</v>
      </c>
      <c r="T1043" s="176"/>
      <c r="U1043" s="176"/>
      <c r="V1043" s="176"/>
      <c r="W1043" s="176"/>
      <c r="X1043" s="176"/>
      <c r="Y1043" s="176"/>
      <c r="Z1043" s="176"/>
      <c r="AA1043" s="176"/>
      <c r="AB1043" s="176"/>
      <c r="AC1043" s="176"/>
      <c r="AD1043" s="177" t="s">
        <v>5</v>
      </c>
      <c r="AE1043" s="188"/>
      <c r="AF1043" s="188"/>
      <c r="AG1043" s="188"/>
      <c r="AH1043" s="188"/>
      <c r="AI1043" s="188"/>
      <c r="AJ1043" s="188"/>
      <c r="AK1043" s="188"/>
      <c r="AL1043" s="188"/>
    </row>
    <row r="1044" spans="1:38" s="178" customFormat="1" ht="33" customHeight="1" x14ac:dyDescent="0.3">
      <c r="A1044" s="167">
        <v>28</v>
      </c>
      <c r="B1044" s="168">
        <v>51</v>
      </c>
      <c r="C1044" s="169" t="str">
        <f t="shared" si="25"/>
        <v>28.51</v>
      </c>
      <c r="D1044" s="170" t="s">
        <v>761</v>
      </c>
      <c r="E1044" s="64" t="str">
        <f>IF(ISBLANK(D1044)=TRUE,"",VLOOKUP(D1044,Krav!$C:$F,4,FALSE))</f>
        <v>10.a.1.3 - Såfremt brugeren angiver antal dage skal brugeren ledes til spørgsmål 10.a.1.1</v>
      </c>
      <c r="F1044" s="186" t="s">
        <v>418</v>
      </c>
      <c r="G1044" s="186" t="s">
        <v>419</v>
      </c>
      <c r="H1044" s="172" t="s">
        <v>1417</v>
      </c>
      <c r="I1044" s="174" t="s">
        <v>129</v>
      </c>
      <c r="J1044" s="174" t="s">
        <v>222</v>
      </c>
      <c r="K1044" s="123" t="s">
        <v>222</v>
      </c>
      <c r="L1044" s="175" t="s">
        <v>4</v>
      </c>
      <c r="M1044" s="176" t="s">
        <v>129</v>
      </c>
      <c r="N1044" s="176" t="s">
        <v>131</v>
      </c>
      <c r="O1044" s="187" t="s">
        <v>97</v>
      </c>
      <c r="P1044" s="176" t="s">
        <v>376</v>
      </c>
      <c r="Q1044" s="176" t="s">
        <v>131</v>
      </c>
      <c r="R1044" s="176" t="s">
        <v>131</v>
      </c>
      <c r="S1044" s="176" t="s">
        <v>131</v>
      </c>
      <c r="T1044" s="176"/>
      <c r="U1044" s="176"/>
      <c r="V1044" s="176"/>
      <c r="W1044" s="176"/>
      <c r="X1044" s="176"/>
      <c r="Y1044" s="176"/>
      <c r="Z1044" s="176"/>
      <c r="AA1044" s="176"/>
      <c r="AB1044" s="176"/>
      <c r="AC1044" s="176"/>
      <c r="AD1044" s="177" t="s">
        <v>5</v>
      </c>
      <c r="AE1044" s="188"/>
      <c r="AF1044" s="188"/>
      <c r="AG1044" s="188"/>
      <c r="AH1044" s="188"/>
      <c r="AI1044" s="188"/>
      <c r="AJ1044" s="188"/>
      <c r="AK1044" s="188"/>
      <c r="AL1044" s="188"/>
    </row>
    <row r="1045" spans="1:38" s="178" customFormat="1" ht="33" customHeight="1" x14ac:dyDescent="0.3">
      <c r="A1045" s="167">
        <v>28</v>
      </c>
      <c r="B1045" s="168">
        <v>52</v>
      </c>
      <c r="C1045" s="169" t="str">
        <f t="shared" si="25"/>
        <v>28.52</v>
      </c>
      <c r="D1045" s="170" t="s">
        <v>793</v>
      </c>
      <c r="E1045" s="64" t="str">
        <f>IF(ISBLANK(D1045)=TRUE,"",VLOOKUP(D1045,Krav!$C:$F,4,FALSE))</f>
        <v>10.a.1.1.5 - Såfremt brugeren angiver en frist skal brugeren ledes til spørgsmål 10.a.1.1.1</v>
      </c>
      <c r="F1045" s="186" t="s">
        <v>174</v>
      </c>
      <c r="G1045" s="184"/>
      <c r="H1045" s="172" t="s">
        <v>1416</v>
      </c>
      <c r="I1045" s="174" t="s">
        <v>1414</v>
      </c>
      <c r="J1045" s="174" t="s">
        <v>222</v>
      </c>
      <c r="K1045" s="123" t="s">
        <v>222</v>
      </c>
      <c r="L1045" s="175" t="s">
        <v>4</v>
      </c>
      <c r="M1045" s="176" t="s">
        <v>129</v>
      </c>
      <c r="N1045" s="176" t="s">
        <v>131</v>
      </c>
      <c r="O1045" s="176" t="s">
        <v>376</v>
      </c>
      <c r="P1045" s="187" t="s">
        <v>97</v>
      </c>
      <c r="Q1045" s="176" t="s">
        <v>131</v>
      </c>
      <c r="R1045" s="176" t="s">
        <v>131</v>
      </c>
      <c r="S1045" s="176" t="s">
        <v>131</v>
      </c>
      <c r="T1045" s="176"/>
      <c r="U1045" s="176"/>
      <c r="V1045" s="176"/>
      <c r="W1045" s="176"/>
      <c r="X1045" s="176"/>
      <c r="Y1045" s="176"/>
      <c r="Z1045" s="176"/>
      <c r="AA1045" s="176"/>
      <c r="AB1045" s="176"/>
      <c r="AC1045" s="176"/>
      <c r="AD1045" s="177" t="s">
        <v>5</v>
      </c>
      <c r="AE1045" s="188"/>
      <c r="AF1045" s="188"/>
      <c r="AG1045" s="188"/>
      <c r="AH1045" s="188"/>
      <c r="AI1045" s="188"/>
      <c r="AJ1045" s="188"/>
      <c r="AK1045" s="188"/>
      <c r="AL1045" s="188"/>
    </row>
    <row r="1046" spans="1:38" s="178" customFormat="1" ht="33" customHeight="1" x14ac:dyDescent="0.3">
      <c r="A1046" s="167">
        <v>28</v>
      </c>
      <c r="B1046" s="168">
        <v>53</v>
      </c>
      <c r="C1046" s="169" t="str">
        <f t="shared" si="25"/>
        <v>28.53</v>
      </c>
      <c r="D1046" s="170" t="s">
        <v>793</v>
      </c>
      <c r="E1046" s="64" t="str">
        <f>IF(ISBLANK(D1046)=TRUE,"",VLOOKUP(D1046,Krav!$C:$F,4,FALSE))</f>
        <v>10.a.1.1.5 - Såfremt brugeren angiver en frist skal brugeren ledes til spørgsmål 10.a.1.1.1</v>
      </c>
      <c r="F1046" s="186" t="s">
        <v>418</v>
      </c>
      <c r="G1046" s="186" t="s">
        <v>419</v>
      </c>
      <c r="H1046" s="172" t="s">
        <v>1417</v>
      </c>
      <c r="I1046" s="174" t="s">
        <v>129</v>
      </c>
      <c r="J1046" s="173" t="s">
        <v>222</v>
      </c>
      <c r="K1046" s="123" t="s">
        <v>222</v>
      </c>
      <c r="L1046" s="175" t="s">
        <v>4</v>
      </c>
      <c r="M1046" s="176" t="s">
        <v>129</v>
      </c>
      <c r="N1046" s="176" t="s">
        <v>131</v>
      </c>
      <c r="O1046" s="176" t="s">
        <v>376</v>
      </c>
      <c r="P1046" s="187" t="s">
        <v>97</v>
      </c>
      <c r="Q1046" s="176" t="s">
        <v>131</v>
      </c>
      <c r="R1046" s="176" t="s">
        <v>131</v>
      </c>
      <c r="S1046" s="176" t="s">
        <v>131</v>
      </c>
      <c r="T1046" s="176"/>
      <c r="U1046" s="176"/>
      <c r="V1046" s="176"/>
      <c r="W1046" s="176"/>
      <c r="X1046" s="176"/>
      <c r="Y1046" s="176"/>
      <c r="Z1046" s="176"/>
      <c r="AA1046" s="176"/>
      <c r="AB1046" s="176"/>
      <c r="AC1046" s="176"/>
      <c r="AD1046" s="177" t="s">
        <v>5</v>
      </c>
      <c r="AE1046" s="188"/>
      <c r="AF1046" s="188"/>
      <c r="AG1046" s="188"/>
      <c r="AH1046" s="188"/>
      <c r="AI1046" s="188"/>
      <c r="AJ1046" s="188"/>
      <c r="AK1046" s="188"/>
      <c r="AL1046" s="188"/>
    </row>
    <row r="1047" spans="1:38" s="178" customFormat="1" ht="33" customHeight="1" x14ac:dyDescent="0.3">
      <c r="A1047" s="167">
        <v>28</v>
      </c>
      <c r="B1047" s="168">
        <v>54</v>
      </c>
      <c r="C1047" s="169" t="str">
        <f t="shared" si="25"/>
        <v>28.54</v>
      </c>
      <c r="D1047" s="170"/>
      <c r="E1047" s="64" t="str">
        <f>IF(ISBLANK(D1047)=TRUE,"",VLOOKUP(D1047,Krav!$C:$F,4,FALSE))</f>
        <v/>
      </c>
      <c r="F1047" s="186" t="s">
        <v>174</v>
      </c>
      <c r="G1047" s="184"/>
      <c r="H1047" s="172" t="s">
        <v>1418</v>
      </c>
      <c r="I1047" s="174" t="s">
        <v>1414</v>
      </c>
      <c r="J1047" s="174" t="s">
        <v>222</v>
      </c>
      <c r="K1047" s="123" t="s">
        <v>222</v>
      </c>
      <c r="L1047" s="175" t="s">
        <v>4</v>
      </c>
      <c r="M1047" s="176" t="s">
        <v>129</v>
      </c>
      <c r="N1047" s="176" t="s">
        <v>131</v>
      </c>
      <c r="O1047" s="187" t="s">
        <v>404</v>
      </c>
      <c r="P1047" s="176" t="s">
        <v>376</v>
      </c>
      <c r="Q1047" s="176" t="s">
        <v>131</v>
      </c>
      <c r="R1047" s="176" t="s">
        <v>131</v>
      </c>
      <c r="S1047" s="176" t="s">
        <v>131</v>
      </c>
      <c r="T1047" s="176"/>
      <c r="U1047" s="176"/>
      <c r="V1047" s="176"/>
      <c r="W1047" s="176"/>
      <c r="X1047" s="176"/>
      <c r="Y1047" s="176"/>
      <c r="Z1047" s="176"/>
      <c r="AA1047" s="176"/>
      <c r="AB1047" s="176"/>
      <c r="AC1047" s="176"/>
      <c r="AD1047" s="177" t="s">
        <v>5</v>
      </c>
      <c r="AE1047" s="188"/>
      <c r="AF1047" s="188"/>
      <c r="AG1047" s="188"/>
      <c r="AH1047" s="188"/>
      <c r="AI1047" s="188"/>
      <c r="AJ1047" s="188"/>
      <c r="AK1047" s="188"/>
      <c r="AL1047" s="188"/>
    </row>
    <row r="1048" spans="1:38" s="178" customFormat="1" ht="33" customHeight="1" x14ac:dyDescent="0.3">
      <c r="A1048" s="167">
        <v>28</v>
      </c>
      <c r="B1048" s="168">
        <v>55</v>
      </c>
      <c r="C1048" s="169" t="str">
        <f t="shared" si="25"/>
        <v>28.55</v>
      </c>
      <c r="D1048" s="170"/>
      <c r="E1048" s="64" t="str">
        <f>IF(ISBLANK(D1048)=TRUE,"",VLOOKUP(D1048,Krav!$C:$F,4,FALSE))</f>
        <v/>
      </c>
      <c r="F1048" s="186" t="s">
        <v>418</v>
      </c>
      <c r="G1048" s="186" t="s">
        <v>419</v>
      </c>
      <c r="H1048" s="172" t="s">
        <v>1419</v>
      </c>
      <c r="I1048" s="174" t="s">
        <v>129</v>
      </c>
      <c r="J1048" s="180" t="s">
        <v>222</v>
      </c>
      <c r="K1048" s="123" t="s">
        <v>222</v>
      </c>
      <c r="L1048" s="175" t="s">
        <v>4</v>
      </c>
      <c r="M1048" s="176" t="s">
        <v>129</v>
      </c>
      <c r="N1048" s="176" t="s">
        <v>131</v>
      </c>
      <c r="O1048" s="187" t="s">
        <v>404</v>
      </c>
      <c r="P1048" s="176" t="s">
        <v>376</v>
      </c>
      <c r="Q1048" s="176" t="s">
        <v>131</v>
      </c>
      <c r="R1048" s="176" t="s">
        <v>131</v>
      </c>
      <c r="S1048" s="176" t="s">
        <v>131</v>
      </c>
      <c r="T1048" s="176"/>
      <c r="U1048" s="176"/>
      <c r="V1048" s="176"/>
      <c r="W1048" s="176"/>
      <c r="X1048" s="176"/>
      <c r="Y1048" s="176"/>
      <c r="Z1048" s="176"/>
      <c r="AA1048" s="176"/>
      <c r="AB1048" s="176"/>
      <c r="AC1048" s="176"/>
      <c r="AD1048" s="177" t="s">
        <v>5</v>
      </c>
      <c r="AE1048" s="188"/>
      <c r="AF1048" s="188"/>
      <c r="AG1048" s="188"/>
      <c r="AH1048" s="188"/>
      <c r="AI1048" s="188"/>
      <c r="AJ1048" s="188"/>
      <c r="AK1048" s="188"/>
      <c r="AL1048" s="188"/>
    </row>
    <row r="1049" spans="1:38" s="178" customFormat="1" ht="33" customHeight="1" x14ac:dyDescent="0.3">
      <c r="A1049" s="167">
        <v>28</v>
      </c>
      <c r="B1049" s="168">
        <v>56</v>
      </c>
      <c r="C1049" s="169" t="str">
        <f t="shared" si="25"/>
        <v>28.56</v>
      </c>
      <c r="D1049" s="170"/>
      <c r="E1049" s="64" t="str">
        <f>IF(ISBLANK(D1049)=TRUE,"",VLOOKUP(D1049,Krav!$C:$F,4,FALSE))</f>
        <v/>
      </c>
      <c r="F1049" s="186" t="s">
        <v>174</v>
      </c>
      <c r="G1049" s="184"/>
      <c r="H1049" s="172" t="s">
        <v>1420</v>
      </c>
      <c r="I1049" s="174" t="s">
        <v>1414</v>
      </c>
      <c r="J1049" s="174" t="s">
        <v>222</v>
      </c>
      <c r="K1049" s="123" t="s">
        <v>222</v>
      </c>
      <c r="L1049" s="175" t="s">
        <v>4</v>
      </c>
      <c r="M1049" s="176" t="s">
        <v>129</v>
      </c>
      <c r="N1049" s="176" t="s">
        <v>131</v>
      </c>
      <c r="O1049" s="176" t="s">
        <v>376</v>
      </c>
      <c r="P1049" s="187" t="s">
        <v>404</v>
      </c>
      <c r="Q1049" s="176" t="s">
        <v>131</v>
      </c>
      <c r="R1049" s="176" t="s">
        <v>131</v>
      </c>
      <c r="S1049" s="176" t="s">
        <v>131</v>
      </c>
      <c r="T1049" s="176"/>
      <c r="U1049" s="176"/>
      <c r="V1049" s="176"/>
      <c r="W1049" s="176"/>
      <c r="X1049" s="176"/>
      <c r="Y1049" s="176"/>
      <c r="Z1049" s="176"/>
      <c r="AA1049" s="176"/>
      <c r="AB1049" s="176"/>
      <c r="AC1049" s="176"/>
      <c r="AD1049" s="177" t="s">
        <v>5</v>
      </c>
      <c r="AE1049" s="188"/>
      <c r="AF1049" s="188"/>
      <c r="AG1049" s="188"/>
      <c r="AH1049" s="188"/>
      <c r="AI1049" s="188"/>
      <c r="AJ1049" s="188"/>
      <c r="AK1049" s="188"/>
      <c r="AL1049" s="188"/>
    </row>
    <row r="1050" spans="1:38" s="178" customFormat="1" ht="33" customHeight="1" x14ac:dyDescent="0.3">
      <c r="A1050" s="167">
        <v>28</v>
      </c>
      <c r="B1050" s="168">
        <v>57</v>
      </c>
      <c r="C1050" s="169" t="str">
        <f t="shared" si="25"/>
        <v>28.57</v>
      </c>
      <c r="D1050" s="170"/>
      <c r="E1050" s="64" t="str">
        <f>IF(ISBLANK(D1050)=TRUE,"",VLOOKUP(D1050,Krav!$C:$F,4,FALSE))</f>
        <v/>
      </c>
      <c r="F1050" s="186" t="s">
        <v>418</v>
      </c>
      <c r="G1050" s="186" t="s">
        <v>419</v>
      </c>
      <c r="H1050" s="172" t="s">
        <v>1419</v>
      </c>
      <c r="I1050" s="174" t="s">
        <v>129</v>
      </c>
      <c r="J1050" s="189" t="s">
        <v>222</v>
      </c>
      <c r="K1050" s="123" t="s">
        <v>222</v>
      </c>
      <c r="L1050" s="175" t="s">
        <v>4</v>
      </c>
      <c r="M1050" s="176" t="s">
        <v>129</v>
      </c>
      <c r="N1050" s="176" t="s">
        <v>131</v>
      </c>
      <c r="O1050" s="176" t="s">
        <v>376</v>
      </c>
      <c r="P1050" s="187" t="s">
        <v>404</v>
      </c>
      <c r="Q1050" s="176" t="s">
        <v>131</v>
      </c>
      <c r="R1050" s="176" t="s">
        <v>131</v>
      </c>
      <c r="S1050" s="176" t="s">
        <v>131</v>
      </c>
      <c r="T1050" s="176"/>
      <c r="U1050" s="176"/>
      <c r="V1050" s="176"/>
      <c r="W1050" s="176"/>
      <c r="X1050" s="176"/>
      <c r="Y1050" s="176"/>
      <c r="Z1050" s="176"/>
      <c r="AA1050" s="176"/>
      <c r="AB1050" s="176"/>
      <c r="AC1050" s="176"/>
      <c r="AD1050" s="177" t="s">
        <v>5</v>
      </c>
      <c r="AE1050" s="188"/>
      <c r="AF1050" s="188"/>
      <c r="AG1050" s="188"/>
      <c r="AH1050" s="188"/>
      <c r="AI1050" s="188"/>
      <c r="AJ1050" s="188"/>
      <c r="AK1050" s="188"/>
      <c r="AL1050" s="188"/>
    </row>
    <row r="1051" spans="1:38" s="188" customFormat="1" ht="33" customHeight="1" x14ac:dyDescent="0.3">
      <c r="A1051" s="190">
        <v>28</v>
      </c>
      <c r="B1051" s="191">
        <v>58</v>
      </c>
      <c r="C1051" s="192" t="str">
        <f t="shared" si="25"/>
        <v>28.58</v>
      </c>
      <c r="D1051" s="193" t="s">
        <v>1035</v>
      </c>
      <c r="E1051" s="64" t="str">
        <f>IF(ISBLANK(D1051)=TRUE,"",VLOOKUP(D1051,Krav!$C:$F,4,FALSE))</f>
        <v>10.a.1.1.2.2 - Der angives et "NEJ" i i populationen under ”vil RIM beregne en tidligst mulig forældelsesdato?"</v>
      </c>
      <c r="F1051" s="77" t="s">
        <v>221</v>
      </c>
      <c r="G1051" s="194"/>
      <c r="H1051" s="81" t="s">
        <v>1421</v>
      </c>
      <c r="I1051" s="83" t="s">
        <v>241</v>
      </c>
      <c r="J1051" s="195" t="s">
        <v>222</v>
      </c>
      <c r="K1051" s="123" t="s">
        <v>222</v>
      </c>
      <c r="L1051" s="196" t="s">
        <v>3</v>
      </c>
      <c r="M1051" s="197" t="s">
        <v>129</v>
      </c>
      <c r="N1051" s="197" t="s">
        <v>131</v>
      </c>
      <c r="O1051" s="197" t="s">
        <v>376</v>
      </c>
      <c r="P1051" s="197" t="s">
        <v>96</v>
      </c>
      <c r="Q1051" s="197" t="s">
        <v>131</v>
      </c>
      <c r="R1051" s="197" t="s">
        <v>129</v>
      </c>
      <c r="S1051" s="197" t="s">
        <v>131</v>
      </c>
      <c r="T1051" s="197"/>
      <c r="U1051" s="197"/>
      <c r="V1051" s="198"/>
      <c r="W1051" s="197"/>
      <c r="X1051" s="197"/>
      <c r="Y1051" s="197"/>
      <c r="Z1051" s="197"/>
      <c r="AA1051" s="197"/>
      <c r="AB1051" s="197"/>
      <c r="AC1051" s="197"/>
      <c r="AD1051" s="198" t="s">
        <v>5</v>
      </c>
    </row>
    <row r="1052" spans="1:38" s="188" customFormat="1" ht="33" customHeight="1" x14ac:dyDescent="0.3">
      <c r="A1052" s="190">
        <v>28</v>
      </c>
      <c r="B1052" s="191">
        <v>59</v>
      </c>
      <c r="C1052" s="192" t="str">
        <f t="shared" si="25"/>
        <v>28.59</v>
      </c>
      <c r="D1052" s="193"/>
      <c r="E1052" s="64" t="str">
        <f>IF(ISBLANK(D1052)=TRUE,"",VLOOKUP(D1052,Krav!$C:$F,4,FALSE))</f>
        <v/>
      </c>
      <c r="F1052" s="77" t="s">
        <v>225</v>
      </c>
      <c r="G1052" s="145" t="s">
        <v>230</v>
      </c>
      <c r="H1052" s="81" t="s">
        <v>1422</v>
      </c>
      <c r="I1052" s="83" t="s">
        <v>1407</v>
      </c>
      <c r="J1052" s="195" t="s">
        <v>222</v>
      </c>
      <c r="K1052" s="123" t="s">
        <v>222</v>
      </c>
      <c r="L1052" s="196"/>
      <c r="M1052" s="197" t="s">
        <v>129</v>
      </c>
      <c r="N1052" s="197" t="s">
        <v>131</v>
      </c>
      <c r="O1052" s="197" t="s">
        <v>376</v>
      </c>
      <c r="P1052" s="197" t="s">
        <v>96</v>
      </c>
      <c r="Q1052" s="197" t="s">
        <v>131</v>
      </c>
      <c r="R1052" s="197" t="s">
        <v>129</v>
      </c>
      <c r="S1052" s="197" t="s">
        <v>131</v>
      </c>
      <c r="T1052" s="197"/>
      <c r="U1052" s="197"/>
      <c r="V1052" s="198"/>
      <c r="W1052" s="197"/>
      <c r="X1052" s="197"/>
      <c r="Y1052" s="197"/>
      <c r="Z1052" s="197"/>
      <c r="AA1052" s="197"/>
      <c r="AB1052" s="197"/>
      <c r="AC1052" s="197"/>
      <c r="AD1052" s="198" t="s">
        <v>5</v>
      </c>
    </row>
    <row r="1053" spans="1:38" s="188" customFormat="1" ht="33" customHeight="1" x14ac:dyDescent="0.3">
      <c r="A1053" s="190">
        <v>28</v>
      </c>
      <c r="B1053" s="191">
        <v>60</v>
      </c>
      <c r="C1053" s="192" t="str">
        <f t="shared" si="25"/>
        <v>28.60</v>
      </c>
      <c r="D1053" s="193"/>
      <c r="E1053" s="64" t="str">
        <f>IF(ISBLANK(D1053)=TRUE,"",VLOOKUP(D1053,Krav!$C:$F,4,FALSE))</f>
        <v/>
      </c>
      <c r="F1053" s="77" t="s">
        <v>225</v>
      </c>
      <c r="G1053" s="145" t="s">
        <v>1388</v>
      </c>
      <c r="H1053" s="81" t="s">
        <v>1422</v>
      </c>
      <c r="I1053" s="83" t="s">
        <v>376</v>
      </c>
      <c r="J1053" s="195" t="s">
        <v>222</v>
      </c>
      <c r="K1053" s="123" t="s">
        <v>222</v>
      </c>
      <c r="L1053" s="196"/>
      <c r="M1053" s="197" t="s">
        <v>129</v>
      </c>
      <c r="N1053" s="197" t="s">
        <v>131</v>
      </c>
      <c r="O1053" s="197" t="s">
        <v>376</v>
      </c>
      <c r="P1053" s="197" t="s">
        <v>96</v>
      </c>
      <c r="Q1053" s="197" t="s">
        <v>131</v>
      </c>
      <c r="R1053" s="197" t="s">
        <v>129</v>
      </c>
      <c r="S1053" s="197" t="s">
        <v>131</v>
      </c>
      <c r="T1053" s="197"/>
      <c r="U1053" s="197"/>
      <c r="V1053" s="198"/>
      <c r="W1053" s="197"/>
      <c r="X1053" s="197"/>
      <c r="Y1053" s="197"/>
      <c r="Z1053" s="197"/>
      <c r="AA1053" s="197"/>
      <c r="AB1053" s="197"/>
      <c r="AC1053" s="197"/>
      <c r="AD1053" s="198" t="s">
        <v>5</v>
      </c>
    </row>
    <row r="1054" spans="1:38" s="188" customFormat="1" ht="33" customHeight="1" x14ac:dyDescent="0.3">
      <c r="A1054" s="190">
        <v>28</v>
      </c>
      <c r="B1054" s="191">
        <v>61</v>
      </c>
      <c r="C1054" s="192" t="str">
        <f t="shared" si="25"/>
        <v>28.61</v>
      </c>
      <c r="D1054" s="193"/>
      <c r="E1054" s="64" t="str">
        <f>IF(ISBLANK(D1054)=TRUE,"",VLOOKUP(D1054,Krav!$C:$F,4,FALSE))</f>
        <v/>
      </c>
      <c r="F1054" s="77" t="s">
        <v>225</v>
      </c>
      <c r="G1054" s="145" t="s">
        <v>1391</v>
      </c>
      <c r="H1054" s="81" t="s">
        <v>1422</v>
      </c>
      <c r="I1054" s="83" t="s">
        <v>369</v>
      </c>
      <c r="J1054" s="195" t="s">
        <v>222</v>
      </c>
      <c r="K1054" s="123" t="s">
        <v>222</v>
      </c>
      <c r="L1054" s="196"/>
      <c r="M1054" s="197" t="s">
        <v>129</v>
      </c>
      <c r="N1054" s="197" t="s">
        <v>131</v>
      </c>
      <c r="O1054" s="197" t="s">
        <v>376</v>
      </c>
      <c r="P1054" s="197" t="s">
        <v>96</v>
      </c>
      <c r="Q1054" s="197" t="s">
        <v>131</v>
      </c>
      <c r="R1054" s="197" t="s">
        <v>129</v>
      </c>
      <c r="S1054" s="197" t="s">
        <v>131</v>
      </c>
      <c r="T1054" s="197"/>
      <c r="U1054" s="197"/>
      <c r="V1054" s="198"/>
      <c r="W1054" s="197"/>
      <c r="X1054" s="197"/>
      <c r="Y1054" s="197"/>
      <c r="Z1054" s="197"/>
      <c r="AA1054" s="197"/>
      <c r="AB1054" s="197"/>
      <c r="AC1054" s="197"/>
      <c r="AD1054" s="198" t="s">
        <v>5</v>
      </c>
    </row>
    <row r="1055" spans="1:38" s="188" customFormat="1" ht="33.75" customHeight="1" x14ac:dyDescent="0.3">
      <c r="A1055" s="190">
        <v>28</v>
      </c>
      <c r="B1055" s="191">
        <v>62</v>
      </c>
      <c r="C1055" s="192" t="str">
        <f t="shared" si="25"/>
        <v>28.62</v>
      </c>
      <c r="D1055" s="193" t="s">
        <v>1037</v>
      </c>
      <c r="E1055" s="64" t="str">
        <f>IF(ISBLANK(D1055)=TRUE,"",VLOOKUP(D1055,Krav!$C:$F,4,FALSE))</f>
        <v>10.a.1.1.2.3 - Gruppe 1 deaktiveres</v>
      </c>
      <c r="F1055" s="77" t="s">
        <v>227</v>
      </c>
      <c r="G1055" s="194"/>
      <c r="H1055" s="81" t="s">
        <v>1423</v>
      </c>
      <c r="I1055" s="83" t="s">
        <v>241</v>
      </c>
      <c r="J1055" s="195" t="s">
        <v>222</v>
      </c>
      <c r="K1055" s="123" t="s">
        <v>222</v>
      </c>
      <c r="L1055" s="196" t="s">
        <v>3</v>
      </c>
      <c r="M1055" s="197" t="s">
        <v>129</v>
      </c>
      <c r="N1055" s="197" t="s">
        <v>131</v>
      </c>
      <c r="O1055" s="197" t="s">
        <v>376</v>
      </c>
      <c r="P1055" s="197" t="s">
        <v>96</v>
      </c>
      <c r="Q1055" s="197" t="s">
        <v>131</v>
      </c>
      <c r="R1055" s="197" t="s">
        <v>129</v>
      </c>
      <c r="S1055" s="197" t="s">
        <v>131</v>
      </c>
      <c r="T1055" s="197"/>
      <c r="U1055" s="197"/>
      <c r="V1055" s="197"/>
      <c r="W1055" s="197"/>
      <c r="X1055" s="197"/>
      <c r="Y1055" s="197"/>
      <c r="Z1055" s="197"/>
      <c r="AA1055" s="197"/>
      <c r="AB1055" s="197"/>
      <c r="AC1055" s="197"/>
      <c r="AD1055" s="198" t="s">
        <v>5</v>
      </c>
    </row>
    <row r="1056" spans="1:38" s="188" customFormat="1" ht="33" customHeight="1" x14ac:dyDescent="0.3">
      <c r="A1056" s="190">
        <v>28</v>
      </c>
      <c r="B1056" s="191">
        <v>63</v>
      </c>
      <c r="C1056" s="192" t="str">
        <f t="shared" si="25"/>
        <v>28.63</v>
      </c>
      <c r="D1056" s="193" t="s">
        <v>1038</v>
      </c>
      <c r="E1056" s="64" t="str">
        <f>IF(ISBLANK(D1056)=TRUE,"",VLOOKUP(D1056,Krav!$C:$F,4,FALSE))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056" s="78" t="s">
        <v>174</v>
      </c>
      <c r="G1056" s="194"/>
      <c r="H1056" s="145" t="s">
        <v>1424</v>
      </c>
      <c r="I1056" s="83" t="s">
        <v>1425</v>
      </c>
      <c r="J1056" s="195" t="s">
        <v>222</v>
      </c>
      <c r="K1056" s="123" t="s">
        <v>222</v>
      </c>
      <c r="L1056" s="196" t="s">
        <v>3</v>
      </c>
      <c r="M1056" s="197" t="s">
        <v>129</v>
      </c>
      <c r="N1056" s="197" t="s">
        <v>131</v>
      </c>
      <c r="O1056" s="197" t="s">
        <v>376</v>
      </c>
      <c r="P1056" s="197" t="s">
        <v>96</v>
      </c>
      <c r="Q1056" s="197" t="s">
        <v>131</v>
      </c>
      <c r="R1056" s="197" t="s">
        <v>129</v>
      </c>
      <c r="S1056" s="197" t="s">
        <v>131</v>
      </c>
      <c r="T1056" s="197"/>
      <c r="U1056" s="197"/>
      <c r="V1056" s="197" t="s">
        <v>294</v>
      </c>
      <c r="W1056" s="197"/>
      <c r="X1056" s="197"/>
      <c r="Y1056" s="197"/>
      <c r="Z1056" s="197"/>
      <c r="AA1056" s="197"/>
      <c r="AB1056" s="197"/>
      <c r="AC1056" s="197"/>
      <c r="AD1056" s="198" t="s">
        <v>5</v>
      </c>
    </row>
    <row r="1057" spans="1:38" s="188" customFormat="1" ht="33" customHeight="1" x14ac:dyDescent="0.3">
      <c r="A1057" s="190">
        <v>28</v>
      </c>
      <c r="B1057" s="191">
        <v>64</v>
      </c>
      <c r="C1057" s="192" t="str">
        <f t="shared" si="25"/>
        <v>28.64</v>
      </c>
      <c r="D1057" s="193" t="s">
        <v>1038</v>
      </c>
      <c r="E1057" s="64" t="str">
        <f>IF(ISBLANK(D1057)=TRUE,"",VLOOKUP(D1057,Krav!$C:$F,4,FALSE))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057" s="78" t="s">
        <v>174</v>
      </c>
      <c r="G1057" s="77"/>
      <c r="H1057" s="145" t="s">
        <v>1424</v>
      </c>
      <c r="I1057" s="83" t="s">
        <v>1425</v>
      </c>
      <c r="J1057" s="195" t="s">
        <v>222</v>
      </c>
      <c r="K1057" s="123" t="s">
        <v>222</v>
      </c>
      <c r="L1057" s="196" t="s">
        <v>3</v>
      </c>
      <c r="M1057" s="197" t="s">
        <v>129</v>
      </c>
      <c r="N1057" s="197" t="s">
        <v>131</v>
      </c>
      <c r="O1057" s="197" t="s">
        <v>376</v>
      </c>
      <c r="P1057" s="197" t="s">
        <v>96</v>
      </c>
      <c r="Q1057" s="197" t="s">
        <v>131</v>
      </c>
      <c r="R1057" s="197" t="s">
        <v>129</v>
      </c>
      <c r="S1057" s="197" t="s">
        <v>131</v>
      </c>
      <c r="T1057" s="197"/>
      <c r="U1057" s="197"/>
      <c r="V1057" s="198" t="s">
        <v>295</v>
      </c>
      <c r="W1057" s="197" t="s">
        <v>26</v>
      </c>
      <c r="X1057" s="197"/>
      <c r="Y1057" s="197"/>
      <c r="Z1057" s="197"/>
      <c r="AA1057" s="197"/>
      <c r="AB1057" s="197"/>
      <c r="AC1057" s="197"/>
      <c r="AD1057" s="198" t="s">
        <v>5</v>
      </c>
    </row>
    <row r="1058" spans="1:38" s="188" customFormat="1" ht="33" customHeight="1" x14ac:dyDescent="0.3">
      <c r="A1058" s="190">
        <v>28</v>
      </c>
      <c r="B1058" s="191">
        <v>65</v>
      </c>
      <c r="C1058" s="192" t="str">
        <f t="shared" si="25"/>
        <v>28.65</v>
      </c>
      <c r="D1058" s="193" t="s">
        <v>1038</v>
      </c>
      <c r="E1058" s="64" t="str">
        <f>IF(ISBLANK(D1058)=TRUE,"",VLOOKUP(D1058,Krav!$C:$F,4,FALSE))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058" s="78" t="s">
        <v>174</v>
      </c>
      <c r="G1058" s="194"/>
      <c r="H1058" s="145" t="s">
        <v>1424</v>
      </c>
      <c r="I1058" s="195" t="s">
        <v>1425</v>
      </c>
      <c r="J1058" s="195" t="s">
        <v>222</v>
      </c>
      <c r="K1058" s="123" t="s">
        <v>222</v>
      </c>
      <c r="L1058" s="196" t="s">
        <v>3</v>
      </c>
      <c r="M1058" s="197" t="s">
        <v>129</v>
      </c>
      <c r="N1058" s="197" t="s">
        <v>131</v>
      </c>
      <c r="O1058" s="197" t="s">
        <v>376</v>
      </c>
      <c r="P1058" s="197" t="s">
        <v>96</v>
      </c>
      <c r="Q1058" s="197" t="s">
        <v>131</v>
      </c>
      <c r="R1058" s="197" t="s">
        <v>129</v>
      </c>
      <c r="S1058" s="197" t="s">
        <v>131</v>
      </c>
      <c r="T1058" s="197"/>
      <c r="U1058" s="197"/>
      <c r="V1058" s="198" t="s">
        <v>295</v>
      </c>
      <c r="W1058" s="197" t="s">
        <v>166</v>
      </c>
      <c r="X1058" s="197" t="s">
        <v>26</v>
      </c>
      <c r="Y1058" s="197"/>
      <c r="Z1058" s="197"/>
      <c r="AA1058" s="197"/>
      <c r="AB1058" s="197"/>
      <c r="AC1058" s="197"/>
      <c r="AD1058" s="198" t="s">
        <v>5</v>
      </c>
    </row>
    <row r="1059" spans="1:38" s="188" customFormat="1" ht="33" customHeight="1" x14ac:dyDescent="0.3">
      <c r="A1059" s="190">
        <v>28</v>
      </c>
      <c r="B1059" s="191">
        <v>66</v>
      </c>
      <c r="C1059" s="192" t="str">
        <f t="shared" si="25"/>
        <v>28.66</v>
      </c>
      <c r="D1059" s="193" t="s">
        <v>1038</v>
      </c>
      <c r="E1059" s="64" t="str">
        <f>IF(ISBLANK(D1059)=TRUE,"",VLOOKUP(D1059,Krav!$C:$F,4,FALSE))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059" s="78" t="s">
        <v>174</v>
      </c>
      <c r="G1059" s="77"/>
      <c r="H1059" s="145" t="s">
        <v>1424</v>
      </c>
      <c r="I1059" s="83" t="s">
        <v>1425</v>
      </c>
      <c r="J1059" s="195" t="s">
        <v>222</v>
      </c>
      <c r="K1059" s="123" t="s">
        <v>222</v>
      </c>
      <c r="L1059" s="196" t="s">
        <v>3</v>
      </c>
      <c r="M1059" s="197" t="s">
        <v>129</v>
      </c>
      <c r="N1059" s="197" t="s">
        <v>131</v>
      </c>
      <c r="O1059" s="197" t="s">
        <v>376</v>
      </c>
      <c r="P1059" s="197" t="s">
        <v>96</v>
      </c>
      <c r="Q1059" s="197" t="s">
        <v>131</v>
      </c>
      <c r="R1059" s="197" t="s">
        <v>129</v>
      </c>
      <c r="S1059" s="197" t="s">
        <v>131</v>
      </c>
      <c r="T1059" s="197"/>
      <c r="U1059" s="197"/>
      <c r="V1059" s="198" t="s">
        <v>295</v>
      </c>
      <c r="W1059" s="197" t="s">
        <v>166</v>
      </c>
      <c r="X1059" s="197" t="s">
        <v>166</v>
      </c>
      <c r="Y1059" s="197" t="s">
        <v>580</v>
      </c>
      <c r="Z1059" s="197"/>
      <c r="AA1059" s="197"/>
      <c r="AB1059" s="197"/>
      <c r="AC1059" s="197"/>
      <c r="AD1059" s="198" t="s">
        <v>5</v>
      </c>
    </row>
    <row r="1060" spans="1:38" s="188" customFormat="1" ht="33" customHeight="1" x14ac:dyDescent="0.3">
      <c r="A1060" s="190">
        <v>28</v>
      </c>
      <c r="B1060" s="191">
        <v>67</v>
      </c>
      <c r="C1060" s="192" t="str">
        <f t="shared" si="25"/>
        <v>28.67</v>
      </c>
      <c r="D1060" s="193"/>
      <c r="E1060" s="64" t="str">
        <f>IF(ISBLANK(D1060)=TRUE,"",VLOOKUP(D1060,Krav!$C:$F,4,FALSE))</f>
        <v/>
      </c>
      <c r="F1060" s="78" t="s">
        <v>174</v>
      </c>
      <c r="G1060" s="194"/>
      <c r="H1060" s="145"/>
      <c r="I1060" s="83" t="s">
        <v>1414</v>
      </c>
      <c r="J1060" s="195" t="s">
        <v>222</v>
      </c>
      <c r="K1060" s="123" t="s">
        <v>222</v>
      </c>
      <c r="L1060" s="196" t="s">
        <v>4</v>
      </c>
      <c r="M1060" s="197" t="s">
        <v>129</v>
      </c>
      <c r="N1060" s="197" t="s">
        <v>131</v>
      </c>
      <c r="O1060" s="197" t="s">
        <v>376</v>
      </c>
      <c r="P1060" s="197" t="s">
        <v>96</v>
      </c>
      <c r="Q1060" s="197" t="s">
        <v>131</v>
      </c>
      <c r="R1060" s="197" t="s">
        <v>129</v>
      </c>
      <c r="S1060" s="197" t="s">
        <v>131</v>
      </c>
      <c r="T1060" s="197"/>
      <c r="U1060" s="197"/>
      <c r="V1060" s="198" t="s">
        <v>295</v>
      </c>
      <c r="W1060" s="197" t="s">
        <v>166</v>
      </c>
      <c r="X1060" s="197" t="s">
        <v>166</v>
      </c>
      <c r="Y1060" s="197" t="s">
        <v>369</v>
      </c>
      <c r="Z1060" s="197"/>
      <c r="AA1060" s="197"/>
      <c r="AB1060" s="197"/>
      <c r="AC1060" s="197"/>
      <c r="AD1060" s="198" t="s">
        <v>5</v>
      </c>
    </row>
    <row r="1061" spans="1:38" s="188" customFormat="1" ht="33" customHeight="1" x14ac:dyDescent="0.3">
      <c r="A1061" s="190">
        <v>28</v>
      </c>
      <c r="B1061" s="191">
        <v>68</v>
      </c>
      <c r="C1061" s="192" t="str">
        <f t="shared" si="25"/>
        <v>28.68</v>
      </c>
      <c r="D1061" s="193" t="s">
        <v>1040</v>
      </c>
      <c r="E1061" s="64" t="str">
        <f>IF(ISBLANK(D1061)=TRUE,"",VLOOKUP(D1061,Krav!$C:$F,4,FALSE))</f>
        <v xml:space="preserve">10.a.1.1.2.5 - Hvis fordringshaver har svaret ”aldrig” i spm. 9, kan der ikke opsættes en FLEX-filter konfiguration for populationen. </v>
      </c>
      <c r="F1061" s="78" t="s">
        <v>174</v>
      </c>
      <c r="G1061" s="194"/>
      <c r="H1061" s="145" t="s">
        <v>1426</v>
      </c>
      <c r="I1061" s="83" t="s">
        <v>1414</v>
      </c>
      <c r="J1061" s="83" t="s">
        <v>222</v>
      </c>
      <c r="K1061" s="123" t="s">
        <v>222</v>
      </c>
      <c r="L1061" s="196" t="s">
        <v>4</v>
      </c>
      <c r="M1061" s="197" t="s">
        <v>129</v>
      </c>
      <c r="N1061" s="197" t="s">
        <v>131</v>
      </c>
      <c r="O1061" s="197" t="s">
        <v>376</v>
      </c>
      <c r="P1061" s="197" t="s">
        <v>96</v>
      </c>
      <c r="Q1061" s="197" t="s">
        <v>131</v>
      </c>
      <c r="R1061" s="197" t="s">
        <v>129</v>
      </c>
      <c r="S1061" s="197" t="s">
        <v>131</v>
      </c>
      <c r="T1061" s="197"/>
      <c r="U1061" s="197"/>
      <c r="V1061" s="197" t="s">
        <v>303</v>
      </c>
      <c r="W1061" s="197"/>
      <c r="X1061" s="197"/>
      <c r="Y1061" s="197"/>
      <c r="Z1061" s="197"/>
      <c r="AA1061" s="197"/>
      <c r="AB1061" s="197"/>
      <c r="AC1061" s="197"/>
      <c r="AD1061" s="198" t="s">
        <v>5</v>
      </c>
    </row>
    <row r="1062" spans="1:38" s="188" customFormat="1" ht="33" customHeight="1" x14ac:dyDescent="0.3">
      <c r="A1062" s="190">
        <v>28</v>
      </c>
      <c r="B1062" s="191">
        <v>69</v>
      </c>
      <c r="C1062" s="192" t="str">
        <f t="shared" si="25"/>
        <v>28.69</v>
      </c>
      <c r="D1062" s="193" t="s">
        <v>1033</v>
      </c>
      <c r="E1062" s="64" t="str">
        <f>IF(ISBLANK(D1062)=TRUE,"",VLOOKUP(D1062,Krav!$C:$F,4,FALSE))</f>
        <v>10.a.1.1.2.1 - Hvis der er svaret "I visse tilfælde" i spørgsmål 9 og hvis der er svaret "Ja" i enten 9.b.1, 9.b.2.1 eller 9.b.2.2.1 skal brugeren ledes til spørgsmål 11</v>
      </c>
      <c r="F1062" s="77" t="s">
        <v>143</v>
      </c>
      <c r="G1062" s="77" t="s">
        <v>1427</v>
      </c>
      <c r="H1062" s="145" t="s">
        <v>1428</v>
      </c>
      <c r="I1062" s="83" t="s">
        <v>468</v>
      </c>
      <c r="J1062" s="83" t="s">
        <v>222</v>
      </c>
      <c r="K1062" s="123" t="s">
        <v>222</v>
      </c>
      <c r="L1062" s="196" t="s">
        <v>3</v>
      </c>
      <c r="M1062" s="197" t="s">
        <v>129</v>
      </c>
      <c r="N1062" s="197" t="s">
        <v>131</v>
      </c>
      <c r="O1062" s="197" t="s">
        <v>376</v>
      </c>
      <c r="P1062" s="197" t="s">
        <v>96</v>
      </c>
      <c r="Q1062" s="197" t="s">
        <v>131</v>
      </c>
      <c r="R1062" s="197" t="s">
        <v>129</v>
      </c>
      <c r="S1062" s="197" t="s">
        <v>131</v>
      </c>
      <c r="T1062" s="197"/>
      <c r="U1062" s="197"/>
      <c r="V1062" s="198" t="s">
        <v>295</v>
      </c>
      <c r="W1062" s="197" t="s">
        <v>26</v>
      </c>
      <c r="X1062" s="197"/>
      <c r="Y1062" s="197"/>
      <c r="Z1062" s="197"/>
      <c r="AA1062" s="197"/>
      <c r="AB1062" s="197"/>
      <c r="AC1062" s="197"/>
      <c r="AD1062" s="198" t="s">
        <v>5</v>
      </c>
    </row>
    <row r="1063" spans="1:38" s="188" customFormat="1" ht="33" customHeight="1" x14ac:dyDescent="0.3">
      <c r="A1063" s="190">
        <v>28</v>
      </c>
      <c r="B1063" s="191">
        <v>70</v>
      </c>
      <c r="C1063" s="192" t="str">
        <f t="shared" si="25"/>
        <v>28.70</v>
      </c>
      <c r="D1063" s="193" t="s">
        <v>1033</v>
      </c>
      <c r="E1063" s="64" t="str">
        <f>IF(ISBLANK(D1063)=TRUE,"",VLOOKUP(D1063,Krav!$C:$F,4,FALSE))</f>
        <v>10.a.1.1.2.1 - Hvis der er svaret "I visse tilfælde" i spørgsmål 9 og hvis der er svaret "Ja" i enten 9.b.1, 9.b.2.1 eller 9.b.2.2.1 skal brugeren ledes til spørgsmål 11</v>
      </c>
      <c r="F1063" s="77" t="s">
        <v>143</v>
      </c>
      <c r="G1063" s="77" t="s">
        <v>1427</v>
      </c>
      <c r="H1063" s="145" t="s">
        <v>1428</v>
      </c>
      <c r="I1063" s="83" t="s">
        <v>468</v>
      </c>
      <c r="J1063" s="83" t="s">
        <v>222</v>
      </c>
      <c r="K1063" s="123" t="s">
        <v>222</v>
      </c>
      <c r="L1063" s="196" t="s">
        <v>3</v>
      </c>
      <c r="M1063" s="197" t="s">
        <v>129</v>
      </c>
      <c r="N1063" s="197" t="s">
        <v>131</v>
      </c>
      <c r="O1063" s="197" t="s">
        <v>376</v>
      </c>
      <c r="P1063" s="197" t="s">
        <v>96</v>
      </c>
      <c r="Q1063" s="197" t="s">
        <v>131</v>
      </c>
      <c r="R1063" s="197" t="s">
        <v>129</v>
      </c>
      <c r="S1063" s="197" t="s">
        <v>131</v>
      </c>
      <c r="T1063" s="197"/>
      <c r="U1063" s="197"/>
      <c r="V1063" s="198" t="s">
        <v>295</v>
      </c>
      <c r="W1063" s="197" t="s">
        <v>166</v>
      </c>
      <c r="X1063" s="197" t="s">
        <v>26</v>
      </c>
      <c r="Y1063" s="197"/>
      <c r="Z1063" s="197"/>
      <c r="AA1063" s="197"/>
      <c r="AB1063" s="197"/>
      <c r="AC1063" s="197"/>
      <c r="AD1063" s="198" t="s">
        <v>5</v>
      </c>
    </row>
    <row r="1064" spans="1:38" s="188" customFormat="1" ht="33" customHeight="1" x14ac:dyDescent="0.3">
      <c r="A1064" s="190">
        <v>28</v>
      </c>
      <c r="B1064" s="191">
        <v>71</v>
      </c>
      <c r="C1064" s="192" t="str">
        <f t="shared" si="25"/>
        <v>28.71</v>
      </c>
      <c r="D1064" s="193" t="s">
        <v>1033</v>
      </c>
      <c r="E1064" s="64" t="str">
        <f>IF(ISBLANK(D1064)=TRUE,"",VLOOKUP(D1064,Krav!$C:$F,4,FALSE))</f>
        <v>10.a.1.1.2.1 - Hvis der er svaret "I visse tilfælde" i spørgsmål 9 og hvis der er svaret "Ja" i enten 9.b.1, 9.b.2.1 eller 9.b.2.2.1 skal brugeren ledes til spørgsmål 11</v>
      </c>
      <c r="F1064" s="77" t="s">
        <v>143</v>
      </c>
      <c r="G1064" s="77" t="s">
        <v>1427</v>
      </c>
      <c r="H1064" s="145" t="s">
        <v>1428</v>
      </c>
      <c r="I1064" s="83" t="s">
        <v>468</v>
      </c>
      <c r="J1064" s="83" t="s">
        <v>222</v>
      </c>
      <c r="K1064" s="123" t="s">
        <v>222</v>
      </c>
      <c r="L1064" s="199" t="s">
        <v>3</v>
      </c>
      <c r="M1064" s="197" t="s">
        <v>129</v>
      </c>
      <c r="N1064" s="197" t="s">
        <v>131</v>
      </c>
      <c r="O1064" s="197" t="s">
        <v>376</v>
      </c>
      <c r="P1064" s="197" t="s">
        <v>96</v>
      </c>
      <c r="Q1064" s="197" t="s">
        <v>131</v>
      </c>
      <c r="R1064" s="197" t="s">
        <v>129</v>
      </c>
      <c r="S1064" s="197" t="s">
        <v>131</v>
      </c>
      <c r="T1064" s="197"/>
      <c r="U1064" s="197"/>
      <c r="V1064" s="198" t="s">
        <v>295</v>
      </c>
      <c r="W1064" s="197" t="s">
        <v>166</v>
      </c>
      <c r="X1064" s="197" t="s">
        <v>166</v>
      </c>
      <c r="Y1064" s="197" t="s">
        <v>580</v>
      </c>
      <c r="Z1064" s="197"/>
      <c r="AA1064" s="197"/>
      <c r="AB1064" s="197"/>
      <c r="AC1064" s="197"/>
      <c r="AD1064" s="198" t="s">
        <v>5</v>
      </c>
    </row>
    <row r="1065" spans="1:38" s="188" customFormat="1" ht="33" customHeight="1" x14ac:dyDescent="0.3">
      <c r="A1065" s="190">
        <v>28</v>
      </c>
      <c r="B1065" s="191">
        <v>72</v>
      </c>
      <c r="C1065" s="192" t="str">
        <f t="shared" si="25"/>
        <v>28.72</v>
      </c>
      <c r="D1065" s="193"/>
      <c r="E1065" s="64" t="str">
        <f>IF(ISBLANK(D1065)=TRUE,"",VLOOKUP(D1065,Krav!$C:$F,4,FALSE))</f>
        <v/>
      </c>
      <c r="F1065" s="77" t="s">
        <v>143</v>
      </c>
      <c r="G1065" s="77" t="s">
        <v>1427</v>
      </c>
      <c r="H1065" s="145" t="s">
        <v>1429</v>
      </c>
      <c r="I1065" s="83" t="s">
        <v>468</v>
      </c>
      <c r="J1065" s="83" t="s">
        <v>222</v>
      </c>
      <c r="K1065" s="123" t="s">
        <v>222</v>
      </c>
      <c r="L1065" s="199" t="s">
        <v>3</v>
      </c>
      <c r="M1065" s="197" t="s">
        <v>129</v>
      </c>
      <c r="N1065" s="197" t="s">
        <v>131</v>
      </c>
      <c r="O1065" s="197" t="s">
        <v>376</v>
      </c>
      <c r="P1065" s="197" t="s">
        <v>96</v>
      </c>
      <c r="Q1065" s="197" t="s">
        <v>131</v>
      </c>
      <c r="R1065" s="197" t="s">
        <v>129</v>
      </c>
      <c r="S1065" s="197" t="s">
        <v>131</v>
      </c>
      <c r="T1065" s="197"/>
      <c r="U1065" s="197"/>
      <c r="V1065" s="197" t="s">
        <v>294</v>
      </c>
      <c r="W1065" s="197"/>
      <c r="X1065" s="197"/>
      <c r="Y1065" s="197"/>
      <c r="Z1065" s="197"/>
      <c r="AA1065" s="197"/>
      <c r="AB1065" s="197"/>
      <c r="AC1065" s="197"/>
      <c r="AD1065" s="198" t="s">
        <v>5</v>
      </c>
    </row>
    <row r="1066" spans="1:38" s="188" customFormat="1" ht="33" customHeight="1" x14ac:dyDescent="0.3">
      <c r="A1066" s="190">
        <v>28</v>
      </c>
      <c r="B1066" s="191">
        <v>73</v>
      </c>
      <c r="C1066" s="192" t="str">
        <f t="shared" si="25"/>
        <v>28.73</v>
      </c>
      <c r="D1066" s="193"/>
      <c r="E1066" s="64" t="str">
        <f>IF(ISBLANK(D1066)=TRUE,"",VLOOKUP(D1066,Krav!$C:$F,4,FALSE))</f>
        <v/>
      </c>
      <c r="F1066" s="77" t="s">
        <v>143</v>
      </c>
      <c r="G1066" s="77" t="s">
        <v>1427</v>
      </c>
      <c r="H1066" s="145" t="s">
        <v>1429</v>
      </c>
      <c r="I1066" s="83" t="s">
        <v>555</v>
      </c>
      <c r="J1066" s="83" t="s">
        <v>222</v>
      </c>
      <c r="K1066" s="123" t="s">
        <v>222</v>
      </c>
      <c r="L1066" s="199" t="s">
        <v>3</v>
      </c>
      <c r="M1066" s="197" t="s">
        <v>129</v>
      </c>
      <c r="N1066" s="197" t="s">
        <v>131</v>
      </c>
      <c r="O1066" s="197" t="s">
        <v>376</v>
      </c>
      <c r="P1066" s="197" t="s">
        <v>96</v>
      </c>
      <c r="Q1066" s="197" t="s">
        <v>131</v>
      </c>
      <c r="R1066" s="197" t="s">
        <v>129</v>
      </c>
      <c r="S1066" s="197" t="s">
        <v>131</v>
      </c>
      <c r="T1066" s="197"/>
      <c r="U1066" s="197"/>
      <c r="V1066" s="197" t="s">
        <v>294</v>
      </c>
      <c r="W1066" s="197"/>
      <c r="X1066" s="197"/>
      <c r="Y1066" s="197"/>
      <c r="Z1066" s="197" t="s">
        <v>129</v>
      </c>
      <c r="AA1066" s="197"/>
      <c r="AB1066" s="197"/>
      <c r="AC1066" s="197"/>
      <c r="AD1066" s="198" t="s">
        <v>5</v>
      </c>
    </row>
    <row r="1067" spans="1:38" s="188" customFormat="1" ht="33" customHeight="1" x14ac:dyDescent="0.3">
      <c r="A1067" s="190">
        <v>28</v>
      </c>
      <c r="B1067" s="191">
        <v>74</v>
      </c>
      <c r="C1067" s="192" t="str">
        <f t="shared" si="25"/>
        <v>28.74</v>
      </c>
      <c r="D1067" s="193" t="s">
        <v>1033</v>
      </c>
      <c r="E1067" s="64" t="str">
        <f>IF(ISBLANK(D1067)=TRUE,"",VLOOKUP(D1067,Krav!$C:$F,4,FALSE))</f>
        <v>10.a.1.1.2.1 - Hvis der er svaret "I visse tilfælde" i spørgsmål 9 og hvis der er svaret "Ja" i enten 9.b.1, 9.b.2.1 eller 9.b.2.2.1 skal brugeren ledes til spørgsmål 11</v>
      </c>
      <c r="F1067" s="77" t="s">
        <v>143</v>
      </c>
      <c r="G1067" s="77" t="s">
        <v>1427</v>
      </c>
      <c r="H1067" s="145" t="s">
        <v>1428</v>
      </c>
      <c r="I1067" s="83" t="s">
        <v>555</v>
      </c>
      <c r="J1067" s="83" t="s">
        <v>222</v>
      </c>
      <c r="K1067" s="123" t="s">
        <v>222</v>
      </c>
      <c r="L1067" s="196" t="s">
        <v>3</v>
      </c>
      <c r="M1067" s="197" t="s">
        <v>129</v>
      </c>
      <c r="N1067" s="197" t="s">
        <v>131</v>
      </c>
      <c r="O1067" s="197" t="s">
        <v>376</v>
      </c>
      <c r="P1067" s="197" t="s">
        <v>96</v>
      </c>
      <c r="Q1067" s="197" t="s">
        <v>131</v>
      </c>
      <c r="R1067" s="197" t="s">
        <v>129</v>
      </c>
      <c r="S1067" s="197" t="s">
        <v>131</v>
      </c>
      <c r="T1067" s="197"/>
      <c r="U1067" s="197"/>
      <c r="V1067" s="198" t="s">
        <v>295</v>
      </c>
      <c r="W1067" s="197" t="s">
        <v>26</v>
      </c>
      <c r="X1067" s="197"/>
      <c r="Y1067" s="197"/>
      <c r="Z1067" s="197" t="s">
        <v>129</v>
      </c>
      <c r="AA1067" s="197"/>
      <c r="AB1067" s="197"/>
      <c r="AC1067" s="197"/>
      <c r="AD1067" s="198" t="s">
        <v>5</v>
      </c>
    </row>
    <row r="1068" spans="1:38" s="188" customFormat="1" ht="33" customHeight="1" x14ac:dyDescent="0.3">
      <c r="A1068" s="190">
        <v>28</v>
      </c>
      <c r="B1068" s="191">
        <v>75</v>
      </c>
      <c r="C1068" s="192" t="str">
        <f t="shared" si="25"/>
        <v>28.75</v>
      </c>
      <c r="D1068" s="193" t="s">
        <v>1033</v>
      </c>
      <c r="E1068" s="64" t="str">
        <f>IF(ISBLANK(D1068)=TRUE,"",VLOOKUP(D1068,Krav!$C:$F,4,FALSE))</f>
        <v>10.a.1.1.2.1 - Hvis der er svaret "I visse tilfælde" i spørgsmål 9 og hvis der er svaret "Ja" i enten 9.b.1, 9.b.2.1 eller 9.b.2.2.1 skal brugeren ledes til spørgsmål 11</v>
      </c>
      <c r="F1068" s="77" t="s">
        <v>143</v>
      </c>
      <c r="G1068" s="77" t="s">
        <v>1427</v>
      </c>
      <c r="H1068" s="145" t="s">
        <v>1428</v>
      </c>
      <c r="I1068" s="83" t="s">
        <v>555</v>
      </c>
      <c r="J1068" s="83" t="s">
        <v>222</v>
      </c>
      <c r="K1068" s="123" t="s">
        <v>222</v>
      </c>
      <c r="L1068" s="196" t="s">
        <v>3</v>
      </c>
      <c r="M1068" s="197" t="s">
        <v>129</v>
      </c>
      <c r="N1068" s="197" t="s">
        <v>131</v>
      </c>
      <c r="O1068" s="197" t="s">
        <v>376</v>
      </c>
      <c r="P1068" s="197" t="s">
        <v>96</v>
      </c>
      <c r="Q1068" s="197" t="s">
        <v>131</v>
      </c>
      <c r="R1068" s="197" t="s">
        <v>129</v>
      </c>
      <c r="S1068" s="197" t="s">
        <v>131</v>
      </c>
      <c r="T1068" s="197"/>
      <c r="U1068" s="197"/>
      <c r="V1068" s="198" t="s">
        <v>295</v>
      </c>
      <c r="W1068" s="197" t="s">
        <v>166</v>
      </c>
      <c r="X1068" s="197" t="s">
        <v>26</v>
      </c>
      <c r="Y1068" s="197"/>
      <c r="Z1068" s="197" t="s">
        <v>129</v>
      </c>
      <c r="AA1068" s="197"/>
      <c r="AB1068" s="197"/>
      <c r="AC1068" s="197"/>
      <c r="AD1068" s="198" t="s">
        <v>5</v>
      </c>
    </row>
    <row r="1069" spans="1:38" s="188" customFormat="1" ht="33" customHeight="1" x14ac:dyDescent="0.3">
      <c r="A1069" s="190">
        <v>28</v>
      </c>
      <c r="B1069" s="191">
        <v>76</v>
      </c>
      <c r="C1069" s="192" t="str">
        <f t="shared" si="25"/>
        <v>28.76</v>
      </c>
      <c r="D1069" s="193" t="s">
        <v>1033</v>
      </c>
      <c r="E1069" s="64" t="str">
        <f>IF(ISBLANK(D1069)=TRUE,"",VLOOKUP(D1069,Krav!$C:$F,4,FALSE))</f>
        <v>10.a.1.1.2.1 - Hvis der er svaret "I visse tilfælde" i spørgsmål 9 og hvis der er svaret "Ja" i enten 9.b.1, 9.b.2.1 eller 9.b.2.2.1 skal brugeren ledes til spørgsmål 11</v>
      </c>
      <c r="F1069" s="77" t="s">
        <v>143</v>
      </c>
      <c r="G1069" s="77" t="s">
        <v>1427</v>
      </c>
      <c r="H1069" s="145" t="s">
        <v>1428</v>
      </c>
      <c r="I1069" s="83" t="s">
        <v>555</v>
      </c>
      <c r="J1069" s="83" t="s">
        <v>222</v>
      </c>
      <c r="K1069" s="123" t="s">
        <v>222</v>
      </c>
      <c r="L1069" s="199" t="s">
        <v>3</v>
      </c>
      <c r="M1069" s="197" t="s">
        <v>129</v>
      </c>
      <c r="N1069" s="197" t="s">
        <v>131</v>
      </c>
      <c r="O1069" s="197" t="s">
        <v>376</v>
      </c>
      <c r="P1069" s="197" t="s">
        <v>96</v>
      </c>
      <c r="Q1069" s="197" t="s">
        <v>131</v>
      </c>
      <c r="R1069" s="197" t="s">
        <v>129</v>
      </c>
      <c r="S1069" s="197" t="s">
        <v>131</v>
      </c>
      <c r="T1069" s="197"/>
      <c r="U1069" s="197"/>
      <c r="V1069" s="198" t="s">
        <v>295</v>
      </c>
      <c r="W1069" s="197" t="s">
        <v>166</v>
      </c>
      <c r="X1069" s="197" t="s">
        <v>166</v>
      </c>
      <c r="Y1069" s="197" t="s">
        <v>580</v>
      </c>
      <c r="Z1069" s="197" t="s">
        <v>129</v>
      </c>
      <c r="AA1069" s="197"/>
      <c r="AB1069" s="197"/>
      <c r="AC1069" s="197"/>
      <c r="AD1069" s="198" t="s">
        <v>5</v>
      </c>
    </row>
    <row r="1070" spans="1:38" s="188" customFormat="1" ht="33" customHeight="1" x14ac:dyDescent="0.3">
      <c r="A1070" s="190">
        <v>28</v>
      </c>
      <c r="B1070" s="191">
        <v>77</v>
      </c>
      <c r="C1070" s="192" t="str">
        <f t="shared" si="25"/>
        <v>28.77</v>
      </c>
      <c r="D1070" s="193"/>
      <c r="E1070" s="64" t="str">
        <f>IF(ISBLANK(D1070)=TRUE,"",VLOOKUP(D1070,Krav!$C:$F,4,FALSE))</f>
        <v/>
      </c>
      <c r="F1070" s="77" t="s">
        <v>143</v>
      </c>
      <c r="G1070" s="77" t="s">
        <v>1427</v>
      </c>
      <c r="H1070" s="145" t="s">
        <v>1429</v>
      </c>
      <c r="I1070" s="83" t="s">
        <v>560</v>
      </c>
      <c r="J1070" s="83" t="s">
        <v>222</v>
      </c>
      <c r="K1070" s="123" t="s">
        <v>222</v>
      </c>
      <c r="L1070" s="199" t="s">
        <v>3</v>
      </c>
      <c r="M1070" s="197" t="s">
        <v>129</v>
      </c>
      <c r="N1070" s="197" t="s">
        <v>131</v>
      </c>
      <c r="O1070" s="197" t="s">
        <v>376</v>
      </c>
      <c r="P1070" s="197" t="s">
        <v>96</v>
      </c>
      <c r="Q1070" s="197" t="s">
        <v>131</v>
      </c>
      <c r="R1070" s="197" t="s">
        <v>129</v>
      </c>
      <c r="S1070" s="197" t="s">
        <v>131</v>
      </c>
      <c r="T1070" s="197"/>
      <c r="U1070" s="197"/>
      <c r="V1070" s="197" t="s">
        <v>294</v>
      </c>
      <c r="W1070" s="197"/>
      <c r="X1070" s="197"/>
      <c r="Y1070" s="197"/>
      <c r="Z1070" s="197"/>
      <c r="AA1070" s="197" t="s">
        <v>129</v>
      </c>
      <c r="AB1070" s="197"/>
      <c r="AC1070" s="197"/>
      <c r="AD1070" s="198" t="s">
        <v>5</v>
      </c>
    </row>
    <row r="1071" spans="1:38" s="188" customFormat="1" ht="33" customHeight="1" x14ac:dyDescent="0.3">
      <c r="A1071" s="190">
        <v>28</v>
      </c>
      <c r="B1071" s="191">
        <v>78</v>
      </c>
      <c r="C1071" s="192" t="str">
        <f t="shared" si="25"/>
        <v>28.78</v>
      </c>
      <c r="D1071" s="193" t="s">
        <v>1033</v>
      </c>
      <c r="E1071" s="64" t="str">
        <f>IF(ISBLANK(D1071)=TRUE,"",VLOOKUP(D1071,Krav!$C:$F,4,FALSE))</f>
        <v>10.a.1.1.2.1 - Hvis der er svaret "I visse tilfælde" i spørgsmål 9 og hvis der er svaret "Ja" i enten 9.b.1, 9.b.2.1 eller 9.b.2.2.1 skal brugeren ledes til spørgsmål 11</v>
      </c>
      <c r="F1071" s="77" t="s">
        <v>143</v>
      </c>
      <c r="G1071" s="77" t="s">
        <v>1427</v>
      </c>
      <c r="H1071" s="145" t="s">
        <v>1428</v>
      </c>
      <c r="I1071" s="83" t="s">
        <v>560</v>
      </c>
      <c r="J1071" s="83" t="s">
        <v>222</v>
      </c>
      <c r="K1071" s="123" t="s">
        <v>222</v>
      </c>
      <c r="L1071" s="196" t="s">
        <v>3</v>
      </c>
      <c r="M1071" s="197" t="s">
        <v>129</v>
      </c>
      <c r="N1071" s="197" t="s">
        <v>131</v>
      </c>
      <c r="O1071" s="197" t="s">
        <v>376</v>
      </c>
      <c r="P1071" s="197" t="s">
        <v>96</v>
      </c>
      <c r="Q1071" s="197" t="s">
        <v>131</v>
      </c>
      <c r="R1071" s="197" t="s">
        <v>129</v>
      </c>
      <c r="S1071" s="197" t="s">
        <v>131</v>
      </c>
      <c r="T1071" s="197"/>
      <c r="U1071" s="197"/>
      <c r="V1071" s="198" t="s">
        <v>295</v>
      </c>
      <c r="W1071" s="197" t="s">
        <v>26</v>
      </c>
      <c r="X1071" s="197"/>
      <c r="Y1071" s="197"/>
      <c r="Z1071" s="197"/>
      <c r="AA1071" s="197" t="s">
        <v>129</v>
      </c>
      <c r="AB1071" s="197"/>
      <c r="AC1071" s="197"/>
      <c r="AD1071" s="198" t="s">
        <v>5</v>
      </c>
    </row>
    <row r="1072" spans="1:38" s="188" customFormat="1" ht="33" customHeight="1" x14ac:dyDescent="0.3">
      <c r="A1072" s="190">
        <v>28</v>
      </c>
      <c r="B1072" s="191">
        <v>79</v>
      </c>
      <c r="C1072" s="192" t="str">
        <f t="shared" si="25"/>
        <v>28.79</v>
      </c>
      <c r="D1072" s="193" t="s">
        <v>1033</v>
      </c>
      <c r="E1072" s="64" t="str">
        <f>IF(ISBLANK(D1072)=TRUE,"",VLOOKUP(D1072,Krav!$C:$F,4,FALSE))</f>
        <v>10.a.1.1.2.1 - Hvis der er svaret "I visse tilfælde" i spørgsmål 9 og hvis der er svaret "Ja" i enten 9.b.1, 9.b.2.1 eller 9.b.2.2.1 skal brugeren ledes til spørgsmål 11</v>
      </c>
      <c r="F1072" s="77" t="s">
        <v>143</v>
      </c>
      <c r="G1072" s="77" t="s">
        <v>1427</v>
      </c>
      <c r="H1072" s="145" t="s">
        <v>1428</v>
      </c>
      <c r="I1072" s="83" t="s">
        <v>560</v>
      </c>
      <c r="J1072" s="83" t="s">
        <v>222</v>
      </c>
      <c r="K1072" s="123" t="s">
        <v>222</v>
      </c>
      <c r="L1072" s="196" t="s">
        <v>3</v>
      </c>
      <c r="M1072" s="197" t="s">
        <v>129</v>
      </c>
      <c r="N1072" s="197" t="s">
        <v>131</v>
      </c>
      <c r="O1072" s="197" t="s">
        <v>376</v>
      </c>
      <c r="P1072" s="197" t="s">
        <v>96</v>
      </c>
      <c r="Q1072" s="197" t="s">
        <v>131</v>
      </c>
      <c r="R1072" s="197" t="s">
        <v>129</v>
      </c>
      <c r="S1072" s="197" t="s">
        <v>131</v>
      </c>
      <c r="T1072" s="197"/>
      <c r="U1072" s="197"/>
      <c r="V1072" s="198" t="s">
        <v>295</v>
      </c>
      <c r="W1072" s="197" t="s">
        <v>166</v>
      </c>
      <c r="X1072" s="197" t="s">
        <v>26</v>
      </c>
      <c r="Y1072" s="197"/>
      <c r="Z1072" s="197"/>
      <c r="AA1072" s="197" t="s">
        <v>129</v>
      </c>
      <c r="AB1072" s="197"/>
      <c r="AC1072" s="197"/>
      <c r="AD1072" s="198" t="s">
        <v>5</v>
      </c>
      <c r="AE1072" s="200"/>
      <c r="AF1072" s="200"/>
      <c r="AG1072" s="200"/>
      <c r="AH1072" s="200"/>
      <c r="AI1072" s="200"/>
      <c r="AJ1072" s="200"/>
      <c r="AK1072" s="200"/>
      <c r="AL1072" s="200"/>
    </row>
    <row r="1073" spans="1:38" s="188" customFormat="1" ht="33" customHeight="1" x14ac:dyDescent="0.3">
      <c r="A1073" s="190">
        <v>28</v>
      </c>
      <c r="B1073" s="191">
        <v>80</v>
      </c>
      <c r="C1073" s="192" t="str">
        <f t="shared" si="25"/>
        <v>28.80</v>
      </c>
      <c r="D1073" s="193" t="s">
        <v>1033</v>
      </c>
      <c r="E1073" s="64" t="str">
        <f>IF(ISBLANK(D1073)=TRUE,"",VLOOKUP(D1073,Krav!$C:$F,4,FALSE))</f>
        <v>10.a.1.1.2.1 - Hvis der er svaret "I visse tilfælde" i spørgsmål 9 og hvis der er svaret "Ja" i enten 9.b.1, 9.b.2.1 eller 9.b.2.2.1 skal brugeren ledes til spørgsmål 11</v>
      </c>
      <c r="F1073" s="77" t="s">
        <v>143</v>
      </c>
      <c r="G1073" s="77" t="s">
        <v>1427</v>
      </c>
      <c r="H1073" s="145" t="s">
        <v>1428</v>
      </c>
      <c r="I1073" s="83" t="s">
        <v>560</v>
      </c>
      <c r="J1073" s="83" t="s">
        <v>222</v>
      </c>
      <c r="K1073" s="123" t="s">
        <v>222</v>
      </c>
      <c r="L1073" s="199" t="s">
        <v>3</v>
      </c>
      <c r="M1073" s="197" t="s">
        <v>129</v>
      </c>
      <c r="N1073" s="197" t="s">
        <v>131</v>
      </c>
      <c r="O1073" s="197" t="s">
        <v>376</v>
      </c>
      <c r="P1073" s="197" t="s">
        <v>96</v>
      </c>
      <c r="Q1073" s="197" t="s">
        <v>131</v>
      </c>
      <c r="R1073" s="197" t="s">
        <v>129</v>
      </c>
      <c r="S1073" s="197" t="s">
        <v>131</v>
      </c>
      <c r="T1073" s="197"/>
      <c r="U1073" s="197"/>
      <c r="V1073" s="198" t="s">
        <v>295</v>
      </c>
      <c r="W1073" s="197" t="s">
        <v>166</v>
      </c>
      <c r="X1073" s="197" t="s">
        <v>166</v>
      </c>
      <c r="Y1073" s="197" t="s">
        <v>580</v>
      </c>
      <c r="Z1073" s="197"/>
      <c r="AA1073" s="197" t="s">
        <v>129</v>
      </c>
      <c r="AB1073" s="197"/>
      <c r="AC1073" s="197"/>
      <c r="AD1073" s="198" t="s">
        <v>5</v>
      </c>
      <c r="AE1073" s="200"/>
      <c r="AF1073" s="200"/>
      <c r="AG1073" s="200"/>
      <c r="AH1073" s="200"/>
      <c r="AI1073" s="200"/>
      <c r="AJ1073" s="200"/>
      <c r="AK1073" s="200"/>
      <c r="AL1073" s="200"/>
    </row>
    <row r="1074" spans="1:38" s="188" customFormat="1" ht="33" customHeight="1" x14ac:dyDescent="0.3">
      <c r="A1074" s="190">
        <v>28</v>
      </c>
      <c r="B1074" s="191">
        <v>81</v>
      </c>
      <c r="C1074" s="192" t="str">
        <f t="shared" si="25"/>
        <v>28.81</v>
      </c>
      <c r="D1074" s="193"/>
      <c r="E1074" s="64" t="str">
        <f>IF(ISBLANK(D1074)=TRUE,"",VLOOKUP(D1074,Krav!$C:$F,4,FALSE))</f>
        <v/>
      </c>
      <c r="F1074" s="77" t="s">
        <v>143</v>
      </c>
      <c r="G1074" s="77" t="s">
        <v>1427</v>
      </c>
      <c r="H1074" s="145" t="s">
        <v>1429</v>
      </c>
      <c r="I1074" s="83" t="s">
        <v>565</v>
      </c>
      <c r="J1074" s="83" t="s">
        <v>222</v>
      </c>
      <c r="K1074" s="123" t="s">
        <v>222</v>
      </c>
      <c r="L1074" s="199" t="s">
        <v>3</v>
      </c>
      <c r="M1074" s="197" t="s">
        <v>129</v>
      </c>
      <c r="N1074" s="197" t="s">
        <v>131</v>
      </c>
      <c r="O1074" s="197" t="s">
        <v>376</v>
      </c>
      <c r="P1074" s="197" t="s">
        <v>96</v>
      </c>
      <c r="Q1074" s="197" t="s">
        <v>131</v>
      </c>
      <c r="R1074" s="197" t="s">
        <v>129</v>
      </c>
      <c r="S1074" s="197" t="s">
        <v>131</v>
      </c>
      <c r="T1074" s="197"/>
      <c r="U1074" s="197"/>
      <c r="V1074" s="197" t="s">
        <v>294</v>
      </c>
      <c r="W1074" s="197"/>
      <c r="X1074" s="197"/>
      <c r="Y1074" s="197"/>
      <c r="Z1074" s="197"/>
      <c r="AA1074" s="197"/>
      <c r="AB1074" s="197" t="s">
        <v>129</v>
      </c>
      <c r="AC1074" s="197"/>
      <c r="AD1074" s="198" t="s">
        <v>5</v>
      </c>
      <c r="AE1074" s="200"/>
      <c r="AF1074" s="200"/>
      <c r="AG1074" s="200"/>
      <c r="AH1074" s="200"/>
      <c r="AI1074" s="200"/>
      <c r="AJ1074" s="200"/>
      <c r="AK1074" s="200"/>
      <c r="AL1074" s="200"/>
    </row>
    <row r="1075" spans="1:38" s="188" customFormat="1" ht="33" customHeight="1" x14ac:dyDescent="0.3">
      <c r="A1075" s="190">
        <v>28</v>
      </c>
      <c r="B1075" s="191">
        <v>82</v>
      </c>
      <c r="C1075" s="192" t="str">
        <f t="shared" si="25"/>
        <v>28.82</v>
      </c>
      <c r="D1075" s="193" t="s">
        <v>1033</v>
      </c>
      <c r="E1075" s="64" t="str">
        <f>IF(ISBLANK(D1075)=TRUE,"",VLOOKUP(D1075,Krav!$C:$F,4,FALSE))</f>
        <v>10.a.1.1.2.1 - Hvis der er svaret "I visse tilfælde" i spørgsmål 9 og hvis der er svaret "Ja" i enten 9.b.1, 9.b.2.1 eller 9.b.2.2.1 skal brugeren ledes til spørgsmål 11</v>
      </c>
      <c r="F1075" s="77" t="s">
        <v>143</v>
      </c>
      <c r="G1075" s="77" t="s">
        <v>1427</v>
      </c>
      <c r="H1075" s="145" t="s">
        <v>1428</v>
      </c>
      <c r="I1075" s="83" t="s">
        <v>565</v>
      </c>
      <c r="J1075" s="83" t="s">
        <v>222</v>
      </c>
      <c r="K1075" s="123" t="s">
        <v>222</v>
      </c>
      <c r="L1075" s="196" t="s">
        <v>3</v>
      </c>
      <c r="M1075" s="197" t="s">
        <v>129</v>
      </c>
      <c r="N1075" s="197" t="s">
        <v>131</v>
      </c>
      <c r="O1075" s="197" t="s">
        <v>376</v>
      </c>
      <c r="P1075" s="197" t="s">
        <v>96</v>
      </c>
      <c r="Q1075" s="197" t="s">
        <v>131</v>
      </c>
      <c r="R1075" s="197" t="s">
        <v>129</v>
      </c>
      <c r="S1075" s="197" t="s">
        <v>131</v>
      </c>
      <c r="T1075" s="197"/>
      <c r="U1075" s="197"/>
      <c r="V1075" s="198" t="s">
        <v>295</v>
      </c>
      <c r="W1075" s="197" t="s">
        <v>26</v>
      </c>
      <c r="X1075" s="197"/>
      <c r="Y1075" s="197"/>
      <c r="Z1075" s="197"/>
      <c r="AA1075" s="197"/>
      <c r="AB1075" s="197" t="s">
        <v>129</v>
      </c>
      <c r="AC1075" s="197"/>
      <c r="AD1075" s="198" t="s">
        <v>5</v>
      </c>
      <c r="AE1075" s="200"/>
      <c r="AF1075" s="200"/>
      <c r="AG1075" s="200"/>
      <c r="AH1075" s="200"/>
      <c r="AI1075" s="200"/>
      <c r="AJ1075" s="200"/>
      <c r="AK1075" s="200"/>
      <c r="AL1075" s="200"/>
    </row>
    <row r="1076" spans="1:38" s="188" customFormat="1" ht="33" customHeight="1" x14ac:dyDescent="0.3">
      <c r="A1076" s="190">
        <v>28</v>
      </c>
      <c r="B1076" s="191">
        <v>83</v>
      </c>
      <c r="C1076" s="192" t="str">
        <f t="shared" si="25"/>
        <v>28.83</v>
      </c>
      <c r="D1076" s="193" t="s">
        <v>1033</v>
      </c>
      <c r="E1076" s="64" t="str">
        <f>IF(ISBLANK(D1076)=TRUE,"",VLOOKUP(D1076,Krav!$C:$F,4,FALSE))</f>
        <v>10.a.1.1.2.1 - Hvis der er svaret "I visse tilfælde" i spørgsmål 9 og hvis der er svaret "Ja" i enten 9.b.1, 9.b.2.1 eller 9.b.2.2.1 skal brugeren ledes til spørgsmål 11</v>
      </c>
      <c r="F1076" s="77" t="s">
        <v>143</v>
      </c>
      <c r="G1076" s="77" t="s">
        <v>1427</v>
      </c>
      <c r="H1076" s="145" t="s">
        <v>1428</v>
      </c>
      <c r="I1076" s="83" t="s">
        <v>565</v>
      </c>
      <c r="J1076" s="83" t="s">
        <v>222</v>
      </c>
      <c r="K1076" s="123" t="s">
        <v>222</v>
      </c>
      <c r="L1076" s="196" t="s">
        <v>3</v>
      </c>
      <c r="M1076" s="197" t="s">
        <v>129</v>
      </c>
      <c r="N1076" s="197" t="s">
        <v>131</v>
      </c>
      <c r="O1076" s="197" t="s">
        <v>376</v>
      </c>
      <c r="P1076" s="197" t="s">
        <v>96</v>
      </c>
      <c r="Q1076" s="197" t="s">
        <v>131</v>
      </c>
      <c r="R1076" s="197" t="s">
        <v>129</v>
      </c>
      <c r="S1076" s="197" t="s">
        <v>131</v>
      </c>
      <c r="T1076" s="197"/>
      <c r="U1076" s="197"/>
      <c r="V1076" s="198" t="s">
        <v>295</v>
      </c>
      <c r="W1076" s="197" t="s">
        <v>166</v>
      </c>
      <c r="X1076" s="197" t="s">
        <v>26</v>
      </c>
      <c r="Y1076" s="197"/>
      <c r="Z1076" s="197"/>
      <c r="AA1076" s="197"/>
      <c r="AB1076" s="197" t="s">
        <v>129</v>
      </c>
      <c r="AC1076" s="197"/>
      <c r="AD1076" s="198" t="s">
        <v>5</v>
      </c>
      <c r="AE1076" s="200"/>
      <c r="AF1076" s="200"/>
      <c r="AG1076" s="200"/>
      <c r="AH1076" s="200"/>
      <c r="AI1076" s="200"/>
      <c r="AJ1076" s="200"/>
      <c r="AK1076" s="200"/>
      <c r="AL1076" s="200"/>
    </row>
    <row r="1077" spans="1:38" s="188" customFormat="1" ht="33" customHeight="1" x14ac:dyDescent="0.3">
      <c r="A1077" s="190">
        <v>28</v>
      </c>
      <c r="B1077" s="191">
        <v>84</v>
      </c>
      <c r="C1077" s="192" t="str">
        <f t="shared" si="25"/>
        <v>28.84</v>
      </c>
      <c r="D1077" s="193" t="s">
        <v>1033</v>
      </c>
      <c r="E1077" s="64" t="str">
        <f>IF(ISBLANK(D1077)=TRUE,"",VLOOKUP(D1077,Krav!$C:$F,4,FALSE))</f>
        <v>10.a.1.1.2.1 - Hvis der er svaret "I visse tilfælde" i spørgsmål 9 og hvis der er svaret "Ja" i enten 9.b.1, 9.b.2.1 eller 9.b.2.2.1 skal brugeren ledes til spørgsmål 11</v>
      </c>
      <c r="F1077" s="77" t="s">
        <v>143</v>
      </c>
      <c r="G1077" s="77" t="s">
        <v>1427</v>
      </c>
      <c r="H1077" s="145" t="s">
        <v>1428</v>
      </c>
      <c r="I1077" s="83" t="s">
        <v>565</v>
      </c>
      <c r="J1077" s="83" t="s">
        <v>222</v>
      </c>
      <c r="K1077" s="123" t="s">
        <v>222</v>
      </c>
      <c r="L1077" s="199" t="s">
        <v>3</v>
      </c>
      <c r="M1077" s="197" t="s">
        <v>129</v>
      </c>
      <c r="N1077" s="197" t="s">
        <v>131</v>
      </c>
      <c r="O1077" s="197" t="s">
        <v>376</v>
      </c>
      <c r="P1077" s="197" t="s">
        <v>96</v>
      </c>
      <c r="Q1077" s="197" t="s">
        <v>131</v>
      </c>
      <c r="R1077" s="197" t="s">
        <v>129</v>
      </c>
      <c r="S1077" s="197" t="s">
        <v>131</v>
      </c>
      <c r="T1077" s="197"/>
      <c r="U1077" s="197"/>
      <c r="V1077" s="198" t="s">
        <v>295</v>
      </c>
      <c r="W1077" s="197" t="s">
        <v>166</v>
      </c>
      <c r="X1077" s="197" t="s">
        <v>166</v>
      </c>
      <c r="Y1077" s="197" t="s">
        <v>580</v>
      </c>
      <c r="Z1077" s="197"/>
      <c r="AA1077" s="197"/>
      <c r="AB1077" s="197" t="s">
        <v>129</v>
      </c>
      <c r="AC1077" s="197"/>
      <c r="AD1077" s="198" t="s">
        <v>5</v>
      </c>
      <c r="AE1077" s="200"/>
      <c r="AF1077" s="200"/>
      <c r="AG1077" s="200"/>
      <c r="AH1077" s="200"/>
      <c r="AI1077" s="200"/>
      <c r="AJ1077" s="200"/>
      <c r="AK1077" s="200"/>
      <c r="AL1077" s="200"/>
    </row>
    <row r="1078" spans="1:38" s="188" customFormat="1" ht="33" customHeight="1" x14ac:dyDescent="0.3">
      <c r="A1078" s="190">
        <v>28</v>
      </c>
      <c r="B1078" s="191">
        <v>85</v>
      </c>
      <c r="C1078" s="192" t="str">
        <f t="shared" si="25"/>
        <v>28.85</v>
      </c>
      <c r="D1078" s="193"/>
      <c r="E1078" s="64" t="str">
        <f>IF(ISBLANK(D1078)=TRUE,"",VLOOKUP(D1078,Krav!$C:$F,4,FALSE))</f>
        <v/>
      </c>
      <c r="F1078" s="77" t="s">
        <v>143</v>
      </c>
      <c r="G1078" s="77" t="s">
        <v>1427</v>
      </c>
      <c r="H1078" s="145" t="s">
        <v>1429</v>
      </c>
      <c r="I1078" s="83" t="s">
        <v>549</v>
      </c>
      <c r="J1078" s="83" t="s">
        <v>222</v>
      </c>
      <c r="K1078" s="123" t="s">
        <v>222</v>
      </c>
      <c r="L1078" s="199" t="s">
        <v>3</v>
      </c>
      <c r="M1078" s="197" t="s">
        <v>129</v>
      </c>
      <c r="N1078" s="197" t="s">
        <v>131</v>
      </c>
      <c r="O1078" s="197" t="s">
        <v>376</v>
      </c>
      <c r="P1078" s="197" t="s">
        <v>96</v>
      </c>
      <c r="Q1078" s="197" t="s">
        <v>131</v>
      </c>
      <c r="R1078" s="197" t="s">
        <v>129</v>
      </c>
      <c r="S1078" s="197" t="s">
        <v>131</v>
      </c>
      <c r="T1078" s="197"/>
      <c r="U1078" s="197"/>
      <c r="V1078" s="197" t="s">
        <v>294</v>
      </c>
      <c r="W1078" s="197"/>
      <c r="X1078" s="197"/>
      <c r="Y1078" s="197"/>
      <c r="Z1078" s="197"/>
      <c r="AA1078" s="197"/>
      <c r="AB1078" s="197"/>
      <c r="AC1078" s="197" t="s">
        <v>129</v>
      </c>
      <c r="AD1078" s="198" t="s">
        <v>5</v>
      </c>
      <c r="AE1078" s="200"/>
      <c r="AF1078" s="200"/>
      <c r="AG1078" s="200"/>
      <c r="AH1078" s="200"/>
      <c r="AI1078" s="200"/>
      <c r="AJ1078" s="200"/>
      <c r="AK1078" s="200"/>
      <c r="AL1078" s="200"/>
    </row>
    <row r="1079" spans="1:38" s="188" customFormat="1" ht="33" customHeight="1" x14ac:dyDescent="0.3">
      <c r="A1079" s="190">
        <v>28</v>
      </c>
      <c r="B1079" s="191">
        <v>86</v>
      </c>
      <c r="C1079" s="192" t="str">
        <f t="shared" si="25"/>
        <v>28.86</v>
      </c>
      <c r="D1079" s="193" t="s">
        <v>1033</v>
      </c>
      <c r="E1079" s="64" t="str">
        <f>IF(ISBLANK(D1079)=TRUE,"",VLOOKUP(D1079,Krav!$C:$F,4,FALSE))</f>
        <v>10.a.1.1.2.1 - Hvis der er svaret "I visse tilfælde" i spørgsmål 9 og hvis der er svaret "Ja" i enten 9.b.1, 9.b.2.1 eller 9.b.2.2.1 skal brugeren ledes til spørgsmål 11</v>
      </c>
      <c r="F1079" s="77" t="s">
        <v>143</v>
      </c>
      <c r="G1079" s="77" t="s">
        <v>1427</v>
      </c>
      <c r="H1079" s="145" t="s">
        <v>1428</v>
      </c>
      <c r="I1079" s="83" t="s">
        <v>549</v>
      </c>
      <c r="J1079" s="83" t="s">
        <v>222</v>
      </c>
      <c r="K1079" s="123" t="s">
        <v>222</v>
      </c>
      <c r="L1079" s="196" t="s">
        <v>3</v>
      </c>
      <c r="M1079" s="197" t="s">
        <v>129</v>
      </c>
      <c r="N1079" s="197" t="s">
        <v>131</v>
      </c>
      <c r="O1079" s="197" t="s">
        <v>376</v>
      </c>
      <c r="P1079" s="197" t="s">
        <v>96</v>
      </c>
      <c r="Q1079" s="197" t="s">
        <v>131</v>
      </c>
      <c r="R1079" s="197" t="s">
        <v>129</v>
      </c>
      <c r="S1079" s="197" t="s">
        <v>131</v>
      </c>
      <c r="T1079" s="197"/>
      <c r="U1079" s="197"/>
      <c r="V1079" s="198" t="s">
        <v>295</v>
      </c>
      <c r="W1079" s="197" t="s">
        <v>26</v>
      </c>
      <c r="X1079" s="197"/>
      <c r="Y1079" s="197"/>
      <c r="Z1079" s="197"/>
      <c r="AA1079" s="197"/>
      <c r="AB1079" s="197"/>
      <c r="AC1079" s="197" t="s">
        <v>129</v>
      </c>
      <c r="AD1079" s="198" t="s">
        <v>5</v>
      </c>
      <c r="AE1079" s="200"/>
      <c r="AF1079" s="200"/>
      <c r="AG1079" s="200"/>
      <c r="AH1079" s="200"/>
      <c r="AI1079" s="200"/>
      <c r="AJ1079" s="200"/>
      <c r="AK1079" s="200"/>
      <c r="AL1079" s="200"/>
    </row>
    <row r="1080" spans="1:38" s="188" customFormat="1" ht="33" customHeight="1" x14ac:dyDescent="0.3">
      <c r="A1080" s="190">
        <v>28</v>
      </c>
      <c r="B1080" s="191">
        <v>87</v>
      </c>
      <c r="C1080" s="192" t="str">
        <f t="shared" si="25"/>
        <v>28.87</v>
      </c>
      <c r="D1080" s="193" t="s">
        <v>1033</v>
      </c>
      <c r="E1080" s="64" t="str">
        <f>IF(ISBLANK(D1080)=TRUE,"",VLOOKUP(D1080,Krav!$C:$F,4,FALSE))</f>
        <v>10.a.1.1.2.1 - Hvis der er svaret "I visse tilfælde" i spørgsmål 9 og hvis der er svaret "Ja" i enten 9.b.1, 9.b.2.1 eller 9.b.2.2.1 skal brugeren ledes til spørgsmål 11</v>
      </c>
      <c r="F1080" s="77" t="s">
        <v>143</v>
      </c>
      <c r="G1080" s="77" t="s">
        <v>1427</v>
      </c>
      <c r="H1080" s="145" t="s">
        <v>1428</v>
      </c>
      <c r="I1080" s="83" t="s">
        <v>549</v>
      </c>
      <c r="J1080" s="83" t="s">
        <v>222</v>
      </c>
      <c r="K1080" s="123" t="s">
        <v>222</v>
      </c>
      <c r="L1080" s="196" t="s">
        <v>3</v>
      </c>
      <c r="M1080" s="197" t="s">
        <v>129</v>
      </c>
      <c r="N1080" s="197" t="s">
        <v>131</v>
      </c>
      <c r="O1080" s="197" t="s">
        <v>376</v>
      </c>
      <c r="P1080" s="197" t="s">
        <v>96</v>
      </c>
      <c r="Q1080" s="197" t="s">
        <v>131</v>
      </c>
      <c r="R1080" s="197" t="s">
        <v>129</v>
      </c>
      <c r="S1080" s="197" t="s">
        <v>131</v>
      </c>
      <c r="T1080" s="197"/>
      <c r="U1080" s="197"/>
      <c r="V1080" s="198" t="s">
        <v>295</v>
      </c>
      <c r="W1080" s="197" t="s">
        <v>166</v>
      </c>
      <c r="X1080" s="197" t="s">
        <v>26</v>
      </c>
      <c r="Y1080" s="197"/>
      <c r="Z1080" s="197"/>
      <c r="AA1080" s="197"/>
      <c r="AB1080" s="197"/>
      <c r="AC1080" s="197" t="s">
        <v>129</v>
      </c>
      <c r="AD1080" s="198" t="s">
        <v>5</v>
      </c>
      <c r="AE1080" s="200"/>
      <c r="AF1080" s="200"/>
      <c r="AG1080" s="200"/>
      <c r="AH1080" s="200"/>
      <c r="AI1080" s="200"/>
      <c r="AJ1080" s="200"/>
      <c r="AK1080" s="200"/>
      <c r="AL1080" s="200"/>
    </row>
    <row r="1081" spans="1:38" s="188" customFormat="1" ht="33" customHeight="1" x14ac:dyDescent="0.3">
      <c r="A1081" s="190">
        <v>28</v>
      </c>
      <c r="B1081" s="191">
        <v>88</v>
      </c>
      <c r="C1081" s="192" t="str">
        <f t="shared" si="25"/>
        <v>28.88</v>
      </c>
      <c r="D1081" s="193" t="s">
        <v>1033</v>
      </c>
      <c r="E1081" s="64" t="str">
        <f>IF(ISBLANK(D1081)=TRUE,"",VLOOKUP(D1081,Krav!$C:$F,4,FALSE))</f>
        <v>10.a.1.1.2.1 - Hvis der er svaret "I visse tilfælde" i spørgsmål 9 og hvis der er svaret "Ja" i enten 9.b.1, 9.b.2.1 eller 9.b.2.2.1 skal brugeren ledes til spørgsmål 11</v>
      </c>
      <c r="F1081" s="77" t="s">
        <v>143</v>
      </c>
      <c r="G1081" s="77" t="s">
        <v>1427</v>
      </c>
      <c r="H1081" s="145" t="s">
        <v>1428</v>
      </c>
      <c r="I1081" s="83" t="s">
        <v>549</v>
      </c>
      <c r="J1081" s="83" t="s">
        <v>222</v>
      </c>
      <c r="K1081" s="123" t="s">
        <v>222</v>
      </c>
      <c r="L1081" s="199" t="s">
        <v>3</v>
      </c>
      <c r="M1081" s="197" t="s">
        <v>129</v>
      </c>
      <c r="N1081" s="197" t="s">
        <v>131</v>
      </c>
      <c r="O1081" s="197" t="s">
        <v>376</v>
      </c>
      <c r="P1081" s="197" t="s">
        <v>96</v>
      </c>
      <c r="Q1081" s="197" t="s">
        <v>131</v>
      </c>
      <c r="R1081" s="197" t="s">
        <v>129</v>
      </c>
      <c r="S1081" s="197" t="s">
        <v>131</v>
      </c>
      <c r="T1081" s="197"/>
      <c r="U1081" s="197"/>
      <c r="V1081" s="198" t="s">
        <v>295</v>
      </c>
      <c r="W1081" s="197" t="s">
        <v>166</v>
      </c>
      <c r="X1081" s="197" t="s">
        <v>166</v>
      </c>
      <c r="Y1081" s="197" t="s">
        <v>580</v>
      </c>
      <c r="Z1081" s="197"/>
      <c r="AA1081" s="197"/>
      <c r="AB1081" s="197"/>
      <c r="AC1081" s="197" t="s">
        <v>129</v>
      </c>
      <c r="AD1081" s="198" t="s">
        <v>5</v>
      </c>
      <c r="AE1081" s="200"/>
      <c r="AF1081" s="200"/>
      <c r="AG1081" s="200"/>
      <c r="AH1081" s="200"/>
      <c r="AI1081" s="200"/>
      <c r="AJ1081" s="200"/>
      <c r="AK1081" s="200"/>
      <c r="AL1081" s="200"/>
    </row>
    <row r="1082" spans="1:38" s="200" customFormat="1" ht="33" customHeight="1" x14ac:dyDescent="0.3">
      <c r="A1082" s="201">
        <v>28</v>
      </c>
      <c r="B1082" s="202">
        <v>89</v>
      </c>
      <c r="C1082" s="203" t="str">
        <f t="shared" si="25"/>
        <v>28.89</v>
      </c>
      <c r="D1082" s="18" t="s">
        <v>1043</v>
      </c>
      <c r="E1082" s="64" t="str">
        <f>IF(ISBLANK(D1082)=TRUE,"",VLOOKUP(D1082,Krav!$C:$F,4,FALSE))</f>
        <v>10.a.1.2.2 - Der angives et "NEJ" i i populationen under ”vil RIM beregne en tidligst mulig forældelsesdato?"</v>
      </c>
      <c r="F1082" s="53" t="s">
        <v>221</v>
      </c>
      <c r="G1082" s="19"/>
      <c r="H1082" s="76" t="s">
        <v>1430</v>
      </c>
      <c r="I1082" s="67" t="s">
        <v>241</v>
      </c>
      <c r="J1082" s="68" t="s">
        <v>222</v>
      </c>
      <c r="K1082" s="123" t="s">
        <v>222</v>
      </c>
      <c r="L1082" s="204" t="s">
        <v>3</v>
      </c>
      <c r="M1082" s="61" t="s">
        <v>129</v>
      </c>
      <c r="N1082" s="61" t="s">
        <v>131</v>
      </c>
      <c r="O1082" s="61" t="s">
        <v>96</v>
      </c>
      <c r="P1082" s="61" t="s">
        <v>376</v>
      </c>
      <c r="Q1082" s="61" t="s">
        <v>129</v>
      </c>
      <c r="R1082" s="61" t="s">
        <v>131</v>
      </c>
      <c r="S1082" s="61" t="s">
        <v>131</v>
      </c>
      <c r="T1082" s="61"/>
      <c r="U1082" s="61"/>
      <c r="V1082" s="61"/>
      <c r="W1082" s="61"/>
      <c r="X1082" s="61"/>
      <c r="Y1082" s="61"/>
      <c r="Z1082" s="61"/>
      <c r="AA1082" s="61"/>
      <c r="AB1082" s="61"/>
      <c r="AC1082" s="61"/>
      <c r="AD1082" s="59" t="s">
        <v>5</v>
      </c>
    </row>
    <row r="1083" spans="1:38" s="200" customFormat="1" ht="33" customHeight="1" x14ac:dyDescent="0.3">
      <c r="A1083" s="201">
        <v>28</v>
      </c>
      <c r="B1083" s="202">
        <v>90</v>
      </c>
      <c r="C1083" s="203" t="str">
        <f t="shared" si="25"/>
        <v>28.90</v>
      </c>
      <c r="D1083" s="18" t="s">
        <v>1044</v>
      </c>
      <c r="E1083" s="64" t="str">
        <f>IF(ISBLANK(D1083)=TRUE,"",VLOOKUP(D1083,Krav!$C:$F,4,FALSE))</f>
        <v>10.a.1.2.3 - Gruppe 1 deaktiveres</v>
      </c>
      <c r="F1083" s="53" t="s">
        <v>227</v>
      </c>
      <c r="G1083" s="19"/>
      <c r="H1083" s="25" t="s">
        <v>1423</v>
      </c>
      <c r="I1083" s="67" t="s">
        <v>241</v>
      </c>
      <c r="J1083" s="68" t="s">
        <v>222</v>
      </c>
      <c r="K1083" s="123" t="s">
        <v>222</v>
      </c>
      <c r="L1083" s="204" t="s">
        <v>3</v>
      </c>
      <c r="M1083" s="61" t="s">
        <v>129</v>
      </c>
      <c r="N1083" s="61" t="s">
        <v>131</v>
      </c>
      <c r="O1083" s="61" t="s">
        <v>96</v>
      </c>
      <c r="P1083" s="61" t="s">
        <v>376</v>
      </c>
      <c r="Q1083" s="61" t="s">
        <v>129</v>
      </c>
      <c r="R1083" s="61" t="s">
        <v>131</v>
      </c>
      <c r="S1083" s="61" t="s">
        <v>131</v>
      </c>
      <c r="T1083" s="61"/>
      <c r="U1083" s="61"/>
      <c r="V1083" s="61"/>
      <c r="W1083" s="61"/>
      <c r="X1083" s="61"/>
      <c r="Y1083" s="61"/>
      <c r="Z1083" s="61"/>
      <c r="AA1083" s="61"/>
      <c r="AB1083" s="61"/>
      <c r="AC1083" s="61"/>
      <c r="AD1083" s="59" t="s">
        <v>5</v>
      </c>
    </row>
    <row r="1084" spans="1:38" s="200" customFormat="1" ht="33" customHeight="1" x14ac:dyDescent="0.3">
      <c r="A1084" s="201">
        <v>28</v>
      </c>
      <c r="B1084" s="202">
        <v>91</v>
      </c>
      <c r="C1084" s="203" t="str">
        <f t="shared" si="25"/>
        <v>28.91</v>
      </c>
      <c r="D1084" s="18"/>
      <c r="E1084" s="64" t="str">
        <f>IF(ISBLANK(D1084)=TRUE,"",VLOOKUP(D1084,Krav!$C:$F,4,FALSE))</f>
        <v/>
      </c>
      <c r="F1084" s="53" t="s">
        <v>225</v>
      </c>
      <c r="G1084" s="19" t="s">
        <v>230</v>
      </c>
      <c r="H1084" s="76" t="s">
        <v>1431</v>
      </c>
      <c r="I1084" s="67" t="s">
        <v>1407</v>
      </c>
      <c r="J1084" s="68" t="s">
        <v>222</v>
      </c>
      <c r="K1084" s="123" t="s">
        <v>222</v>
      </c>
      <c r="L1084" s="204" t="s">
        <v>3</v>
      </c>
      <c r="M1084" s="61" t="s">
        <v>129</v>
      </c>
      <c r="N1084" s="61" t="s">
        <v>131</v>
      </c>
      <c r="O1084" s="61" t="s">
        <v>96</v>
      </c>
      <c r="P1084" s="61" t="s">
        <v>376</v>
      </c>
      <c r="Q1084" s="61" t="s">
        <v>129</v>
      </c>
      <c r="R1084" s="61" t="s">
        <v>131</v>
      </c>
      <c r="S1084" s="61" t="s">
        <v>131</v>
      </c>
      <c r="T1084" s="61"/>
      <c r="U1084" s="61"/>
      <c r="V1084" s="61"/>
      <c r="W1084" s="61"/>
      <c r="X1084" s="61"/>
      <c r="Y1084" s="61"/>
      <c r="Z1084" s="61"/>
      <c r="AA1084" s="61"/>
      <c r="AB1084" s="61"/>
      <c r="AC1084" s="61"/>
      <c r="AD1084" s="59" t="s">
        <v>5</v>
      </c>
    </row>
    <row r="1085" spans="1:38" s="200" customFormat="1" ht="33" customHeight="1" x14ac:dyDescent="0.3">
      <c r="A1085" s="201">
        <v>28</v>
      </c>
      <c r="B1085" s="202">
        <v>92</v>
      </c>
      <c r="C1085" s="203" t="str">
        <f t="shared" si="25"/>
        <v>28.92</v>
      </c>
      <c r="D1085" s="18"/>
      <c r="E1085" s="64" t="str">
        <f>IF(ISBLANK(D1085)=TRUE,"",VLOOKUP(D1085,Krav!$C:$F,4,FALSE))</f>
        <v/>
      </c>
      <c r="F1085" s="53" t="s">
        <v>225</v>
      </c>
      <c r="G1085" s="19" t="s">
        <v>1390</v>
      </c>
      <c r="H1085" s="76" t="s">
        <v>1431</v>
      </c>
      <c r="I1085" s="67" t="s">
        <v>369</v>
      </c>
      <c r="J1085" s="68" t="s">
        <v>222</v>
      </c>
      <c r="K1085" s="123" t="s">
        <v>222</v>
      </c>
      <c r="L1085" s="204" t="s">
        <v>3</v>
      </c>
      <c r="M1085" s="61" t="s">
        <v>129</v>
      </c>
      <c r="N1085" s="61" t="s">
        <v>131</v>
      </c>
      <c r="O1085" s="61" t="s">
        <v>96</v>
      </c>
      <c r="P1085" s="61" t="s">
        <v>376</v>
      </c>
      <c r="Q1085" s="61" t="s">
        <v>129</v>
      </c>
      <c r="R1085" s="61" t="s">
        <v>131</v>
      </c>
      <c r="S1085" s="61" t="s">
        <v>131</v>
      </c>
      <c r="T1085" s="61"/>
      <c r="U1085" s="61"/>
      <c r="V1085" s="61"/>
      <c r="W1085" s="61"/>
      <c r="X1085" s="61"/>
      <c r="Y1085" s="61"/>
      <c r="Z1085" s="61"/>
      <c r="AA1085" s="61"/>
      <c r="AB1085" s="61"/>
      <c r="AC1085" s="61"/>
      <c r="AD1085" s="59" t="s">
        <v>5</v>
      </c>
    </row>
    <row r="1086" spans="1:38" s="200" customFormat="1" ht="33" customHeight="1" x14ac:dyDescent="0.3">
      <c r="A1086" s="201">
        <v>28</v>
      </c>
      <c r="B1086" s="202">
        <v>93</v>
      </c>
      <c r="C1086" s="203" t="str">
        <f t="shared" si="25"/>
        <v>28.93</v>
      </c>
      <c r="D1086" s="18" t="s">
        <v>1038</v>
      </c>
      <c r="E1086" s="64" t="str">
        <f>IF(ISBLANK(D1086)=TRUE,"",VLOOKUP(D1086,Krav!$C:$F,4,FALSE))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086" s="29" t="s">
        <v>174</v>
      </c>
      <c r="G1086" s="19"/>
      <c r="H1086" s="76" t="s">
        <v>1424</v>
      </c>
      <c r="I1086" s="67" t="s">
        <v>1425</v>
      </c>
      <c r="J1086" s="68" t="s">
        <v>222</v>
      </c>
      <c r="K1086" s="123" t="s">
        <v>222</v>
      </c>
      <c r="L1086" s="204" t="s">
        <v>3</v>
      </c>
      <c r="M1086" s="61" t="s">
        <v>129</v>
      </c>
      <c r="N1086" s="61" t="s">
        <v>131</v>
      </c>
      <c r="O1086" s="61" t="s">
        <v>96</v>
      </c>
      <c r="P1086" s="61" t="s">
        <v>376</v>
      </c>
      <c r="Q1086" s="61" t="s">
        <v>129</v>
      </c>
      <c r="R1086" s="61" t="s">
        <v>131</v>
      </c>
      <c r="S1086" s="61" t="s">
        <v>131</v>
      </c>
      <c r="T1086" s="61"/>
      <c r="U1086" s="61"/>
      <c r="V1086" s="61" t="s">
        <v>294</v>
      </c>
      <c r="W1086" s="61"/>
      <c r="X1086" s="61"/>
      <c r="Y1086" s="61"/>
      <c r="Z1086" s="61"/>
      <c r="AA1086" s="61"/>
      <c r="AB1086" s="61"/>
      <c r="AC1086" s="61"/>
      <c r="AD1086" s="59" t="s">
        <v>5</v>
      </c>
    </row>
    <row r="1087" spans="1:38" s="200" customFormat="1" ht="33" customHeight="1" x14ac:dyDescent="0.3">
      <c r="A1087" s="201">
        <v>28</v>
      </c>
      <c r="B1087" s="202">
        <v>94</v>
      </c>
      <c r="C1087" s="203" t="str">
        <f t="shared" si="25"/>
        <v>28.94</v>
      </c>
      <c r="D1087" s="18" t="s">
        <v>1045</v>
      </c>
      <c r="E1087" s="64" t="str">
        <f>IF(ISBLANK(D1087)=TRUE,"",VLOOKUP(D1087,Krav!$C:$F,4,FALSE))</f>
        <v>10.a.1.2.4 -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087" s="29" t="s">
        <v>174</v>
      </c>
      <c r="G1087" s="53"/>
      <c r="H1087" s="76" t="s">
        <v>1432</v>
      </c>
      <c r="I1087" s="67" t="s">
        <v>1425</v>
      </c>
      <c r="J1087" s="68" t="s">
        <v>222</v>
      </c>
      <c r="K1087" s="123" t="s">
        <v>222</v>
      </c>
      <c r="L1087" s="204" t="s">
        <v>3</v>
      </c>
      <c r="M1087" s="61" t="s">
        <v>129</v>
      </c>
      <c r="N1087" s="61" t="s">
        <v>131</v>
      </c>
      <c r="O1087" s="61" t="s">
        <v>96</v>
      </c>
      <c r="P1087" s="61" t="s">
        <v>376</v>
      </c>
      <c r="Q1087" s="61" t="s">
        <v>129</v>
      </c>
      <c r="R1087" s="61" t="s">
        <v>131</v>
      </c>
      <c r="S1087" s="61" t="s">
        <v>131</v>
      </c>
      <c r="T1087" s="61"/>
      <c r="U1087" s="61"/>
      <c r="V1087" s="59" t="s">
        <v>295</v>
      </c>
      <c r="W1087" s="61" t="s">
        <v>26</v>
      </c>
      <c r="X1087" s="61"/>
      <c r="Y1087" s="61"/>
      <c r="Z1087" s="61"/>
      <c r="AA1087" s="61"/>
      <c r="AB1087" s="61"/>
      <c r="AC1087" s="61"/>
      <c r="AD1087" s="59" t="s">
        <v>5</v>
      </c>
    </row>
    <row r="1088" spans="1:38" s="200" customFormat="1" ht="33" customHeight="1" x14ac:dyDescent="0.3">
      <c r="A1088" s="201">
        <v>28</v>
      </c>
      <c r="B1088" s="202">
        <v>95</v>
      </c>
      <c r="C1088" s="203" t="str">
        <f t="shared" si="25"/>
        <v>28.95</v>
      </c>
      <c r="D1088" s="18" t="s">
        <v>1045</v>
      </c>
      <c r="E1088" s="64" t="str">
        <f>IF(ISBLANK(D1088)=TRUE,"",VLOOKUP(D1088,Krav!$C:$F,4,FALSE))</f>
        <v>10.a.1.2.4 -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088" s="29" t="s">
        <v>174</v>
      </c>
      <c r="G1088" s="19"/>
      <c r="H1088" s="76" t="s">
        <v>1432</v>
      </c>
      <c r="I1088" s="68" t="s">
        <v>1425</v>
      </c>
      <c r="J1088" s="68" t="s">
        <v>222</v>
      </c>
      <c r="K1088" s="123" t="s">
        <v>222</v>
      </c>
      <c r="L1088" s="204" t="s">
        <v>3</v>
      </c>
      <c r="M1088" s="61" t="s">
        <v>129</v>
      </c>
      <c r="N1088" s="61" t="s">
        <v>131</v>
      </c>
      <c r="O1088" s="61" t="s">
        <v>96</v>
      </c>
      <c r="P1088" s="61" t="s">
        <v>376</v>
      </c>
      <c r="Q1088" s="61" t="s">
        <v>129</v>
      </c>
      <c r="R1088" s="61" t="s">
        <v>131</v>
      </c>
      <c r="S1088" s="61" t="s">
        <v>131</v>
      </c>
      <c r="T1088" s="61"/>
      <c r="U1088" s="61"/>
      <c r="V1088" s="59" t="s">
        <v>295</v>
      </c>
      <c r="W1088" s="61" t="s">
        <v>166</v>
      </c>
      <c r="X1088" s="61" t="s">
        <v>26</v>
      </c>
      <c r="Y1088" s="61"/>
      <c r="Z1088" s="61"/>
      <c r="AA1088" s="61"/>
      <c r="AB1088" s="61"/>
      <c r="AC1088" s="61"/>
      <c r="AD1088" s="59" t="s">
        <v>5</v>
      </c>
    </row>
    <row r="1089" spans="1:30" s="200" customFormat="1" ht="33" customHeight="1" x14ac:dyDescent="0.3">
      <c r="A1089" s="201">
        <v>28</v>
      </c>
      <c r="B1089" s="202">
        <v>96</v>
      </c>
      <c r="C1089" s="203" t="str">
        <f t="shared" si="25"/>
        <v>28.96</v>
      </c>
      <c r="D1089" s="18" t="s">
        <v>1045</v>
      </c>
      <c r="E1089" s="64" t="str">
        <f>IF(ISBLANK(D1089)=TRUE,"",VLOOKUP(D1089,Krav!$C:$F,4,FALSE))</f>
        <v>10.a.1.2.4 -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089" s="29" t="s">
        <v>174</v>
      </c>
      <c r="G1089" s="53"/>
      <c r="H1089" s="76" t="s">
        <v>1432</v>
      </c>
      <c r="I1089" s="67" t="s">
        <v>1425</v>
      </c>
      <c r="J1089" s="68" t="s">
        <v>222</v>
      </c>
      <c r="K1089" s="123" t="s">
        <v>222</v>
      </c>
      <c r="L1089" s="204" t="s">
        <v>3</v>
      </c>
      <c r="M1089" s="61" t="s">
        <v>129</v>
      </c>
      <c r="N1089" s="61" t="s">
        <v>131</v>
      </c>
      <c r="O1089" s="61" t="s">
        <v>96</v>
      </c>
      <c r="P1089" s="61" t="s">
        <v>376</v>
      </c>
      <c r="Q1089" s="61" t="s">
        <v>129</v>
      </c>
      <c r="R1089" s="61" t="s">
        <v>131</v>
      </c>
      <c r="S1089" s="61" t="s">
        <v>131</v>
      </c>
      <c r="T1089" s="61"/>
      <c r="U1089" s="61"/>
      <c r="V1089" s="59" t="s">
        <v>295</v>
      </c>
      <c r="W1089" s="61" t="s">
        <v>166</v>
      </c>
      <c r="X1089" s="61" t="s">
        <v>166</v>
      </c>
      <c r="Y1089" s="61" t="s">
        <v>580</v>
      </c>
      <c r="Z1089" s="61"/>
      <c r="AA1089" s="61"/>
      <c r="AB1089" s="61"/>
      <c r="AC1089" s="61"/>
      <c r="AD1089" s="59" t="s">
        <v>5</v>
      </c>
    </row>
    <row r="1090" spans="1:30" s="200" customFormat="1" ht="33" customHeight="1" x14ac:dyDescent="0.3">
      <c r="A1090" s="201">
        <v>28</v>
      </c>
      <c r="B1090" s="202">
        <v>97</v>
      </c>
      <c r="C1090" s="203" t="str">
        <f t="shared" si="25"/>
        <v>28.97</v>
      </c>
      <c r="D1090" s="18" t="s">
        <v>1046</v>
      </c>
      <c r="E1090" s="64" t="str">
        <f>IF(ISBLANK(D1090)=TRUE,"",VLOOKUP(D1090,Krav!$C:$F,4,FALSE))</f>
        <v xml:space="preserve">10.a.1.2.5 - Hvis fordringshaver har svaret ”aldrig” i spm. 9, kan der ikke opsættes en FLEX-filter konfiguration for populationen. </v>
      </c>
      <c r="F1090" s="29" t="s">
        <v>174</v>
      </c>
      <c r="G1090" s="19"/>
      <c r="H1090" s="76"/>
      <c r="I1090" s="67" t="s">
        <v>1414</v>
      </c>
      <c r="J1090" s="68" t="s">
        <v>222</v>
      </c>
      <c r="K1090" s="123" t="s">
        <v>222</v>
      </c>
      <c r="L1090" s="204" t="s">
        <v>4</v>
      </c>
      <c r="M1090" s="61" t="s">
        <v>129</v>
      </c>
      <c r="N1090" s="61" t="s">
        <v>131</v>
      </c>
      <c r="O1090" s="61" t="s">
        <v>96</v>
      </c>
      <c r="P1090" s="61" t="s">
        <v>376</v>
      </c>
      <c r="Q1090" s="61" t="s">
        <v>129</v>
      </c>
      <c r="R1090" s="61" t="s">
        <v>131</v>
      </c>
      <c r="S1090" s="61" t="s">
        <v>131</v>
      </c>
      <c r="T1090" s="61"/>
      <c r="U1090" s="61"/>
      <c r="V1090" s="59" t="s">
        <v>295</v>
      </c>
      <c r="W1090" s="61" t="s">
        <v>166</v>
      </c>
      <c r="X1090" s="61" t="s">
        <v>166</v>
      </c>
      <c r="Y1090" s="61" t="s">
        <v>369</v>
      </c>
      <c r="Z1090" s="61"/>
      <c r="AA1090" s="61"/>
      <c r="AB1090" s="61"/>
      <c r="AC1090" s="61"/>
      <c r="AD1090" s="59" t="s">
        <v>5</v>
      </c>
    </row>
    <row r="1091" spans="1:30" s="200" customFormat="1" ht="31.5" customHeight="1" x14ac:dyDescent="0.3">
      <c r="A1091" s="201">
        <v>28</v>
      </c>
      <c r="B1091" s="202">
        <v>98</v>
      </c>
      <c r="C1091" s="203" t="str">
        <f t="shared" si="25"/>
        <v>28.98</v>
      </c>
      <c r="D1091" s="18" t="s">
        <v>1046</v>
      </c>
      <c r="E1091" s="64" t="str">
        <f>IF(ISBLANK(D1091)=TRUE,"",VLOOKUP(D1091,Krav!$C:$F,4,FALSE))</f>
        <v xml:space="preserve">10.a.1.2.5 - Hvis fordringshaver har svaret ”aldrig” i spm. 9, kan der ikke opsættes en FLEX-filter konfiguration for populationen. </v>
      </c>
      <c r="F1091" s="29" t="s">
        <v>174</v>
      </c>
      <c r="G1091" s="19"/>
      <c r="H1091" s="76" t="s">
        <v>1426</v>
      </c>
      <c r="I1091" s="67" t="s">
        <v>1414</v>
      </c>
      <c r="J1091" s="67" t="s">
        <v>222</v>
      </c>
      <c r="K1091" s="123" t="s">
        <v>222</v>
      </c>
      <c r="L1091" s="204" t="s">
        <v>4</v>
      </c>
      <c r="M1091" s="61" t="s">
        <v>129</v>
      </c>
      <c r="N1091" s="61" t="s">
        <v>131</v>
      </c>
      <c r="O1091" s="61" t="s">
        <v>96</v>
      </c>
      <c r="P1091" s="61" t="s">
        <v>376</v>
      </c>
      <c r="Q1091" s="61" t="s">
        <v>129</v>
      </c>
      <c r="R1091" s="61" t="s">
        <v>131</v>
      </c>
      <c r="S1091" s="61" t="s">
        <v>131</v>
      </c>
      <c r="T1091" s="61"/>
      <c r="U1091" s="61"/>
      <c r="V1091" s="61" t="s">
        <v>303</v>
      </c>
      <c r="W1091" s="61"/>
      <c r="X1091" s="61"/>
      <c r="Y1091" s="61"/>
      <c r="Z1091" s="61"/>
      <c r="AA1091" s="61"/>
      <c r="AB1091" s="61"/>
      <c r="AC1091" s="61"/>
      <c r="AD1091" s="59" t="s">
        <v>5</v>
      </c>
    </row>
    <row r="1092" spans="1:30" s="200" customFormat="1" ht="33" customHeight="1" x14ac:dyDescent="0.3">
      <c r="A1092" s="201">
        <v>28</v>
      </c>
      <c r="B1092" s="202">
        <v>99</v>
      </c>
      <c r="C1092" s="203" t="str">
        <f t="shared" si="25"/>
        <v>28.99</v>
      </c>
      <c r="D1092" s="18" t="s">
        <v>1042</v>
      </c>
      <c r="E1092" s="64" t="str">
        <f>IF(ISBLANK(D1092)=TRUE,"",VLOOKUP(D1092,Krav!$C:$F,4,FALSE))</f>
        <v>10.a.1.2.1 - Hvis der er svaret "I visse tilfælde" i spørgsmål 9 og hvis der er svaret "Ja" i enten 9.b.1, 9.b.2.1 eller 9.b.2.2.1 skal brugeren ledes til spørgsmål 11</v>
      </c>
      <c r="F1092" s="53" t="s">
        <v>143</v>
      </c>
      <c r="G1092" s="53" t="s">
        <v>1427</v>
      </c>
      <c r="H1092" s="76" t="s">
        <v>1433</v>
      </c>
      <c r="I1092" s="67" t="s">
        <v>468</v>
      </c>
      <c r="J1092" s="67" t="s">
        <v>222</v>
      </c>
      <c r="K1092" s="123" t="s">
        <v>222</v>
      </c>
      <c r="L1092" s="204" t="s">
        <v>3</v>
      </c>
      <c r="M1092" s="61" t="s">
        <v>129</v>
      </c>
      <c r="N1092" s="61" t="s">
        <v>131</v>
      </c>
      <c r="O1092" s="61" t="s">
        <v>96</v>
      </c>
      <c r="P1092" s="61" t="s">
        <v>376</v>
      </c>
      <c r="Q1092" s="61" t="s">
        <v>129</v>
      </c>
      <c r="R1092" s="61" t="s">
        <v>131</v>
      </c>
      <c r="S1092" s="61" t="s">
        <v>131</v>
      </c>
      <c r="T1092" s="61"/>
      <c r="U1092" s="61"/>
      <c r="V1092" s="59" t="s">
        <v>295</v>
      </c>
      <c r="W1092" s="61" t="s">
        <v>26</v>
      </c>
      <c r="X1092" s="61"/>
      <c r="Y1092" s="61"/>
      <c r="Z1092" s="61"/>
      <c r="AA1092" s="61"/>
      <c r="AB1092" s="61"/>
      <c r="AC1092" s="61"/>
      <c r="AD1092" s="59" t="s">
        <v>5</v>
      </c>
    </row>
    <row r="1093" spans="1:30" s="200" customFormat="1" ht="33" customHeight="1" x14ac:dyDescent="0.3">
      <c r="A1093" s="201">
        <v>28</v>
      </c>
      <c r="B1093" s="202">
        <v>100</v>
      </c>
      <c r="C1093" s="203" t="str">
        <f t="shared" si="25"/>
        <v>28.100</v>
      </c>
      <c r="D1093" s="18" t="s">
        <v>1042</v>
      </c>
      <c r="E1093" s="64" t="str">
        <f>IF(ISBLANK(D1093)=TRUE,"",VLOOKUP(D1093,Krav!$C:$F,4,FALSE))</f>
        <v>10.a.1.2.1 - Hvis der er svaret "I visse tilfælde" i spørgsmål 9 og hvis der er svaret "Ja" i enten 9.b.1, 9.b.2.1 eller 9.b.2.2.1 skal brugeren ledes til spørgsmål 11</v>
      </c>
      <c r="F1093" s="53" t="s">
        <v>143</v>
      </c>
      <c r="G1093" s="53" t="s">
        <v>1427</v>
      </c>
      <c r="H1093" s="76" t="s">
        <v>1433</v>
      </c>
      <c r="I1093" s="67" t="s">
        <v>468</v>
      </c>
      <c r="J1093" s="67" t="s">
        <v>222</v>
      </c>
      <c r="K1093" s="123" t="s">
        <v>222</v>
      </c>
      <c r="L1093" s="204" t="s">
        <v>3</v>
      </c>
      <c r="M1093" s="61" t="s">
        <v>129</v>
      </c>
      <c r="N1093" s="61" t="s">
        <v>131</v>
      </c>
      <c r="O1093" s="61" t="s">
        <v>96</v>
      </c>
      <c r="P1093" s="61" t="s">
        <v>376</v>
      </c>
      <c r="Q1093" s="61" t="s">
        <v>129</v>
      </c>
      <c r="R1093" s="61" t="s">
        <v>131</v>
      </c>
      <c r="S1093" s="61" t="s">
        <v>131</v>
      </c>
      <c r="T1093" s="61"/>
      <c r="U1093" s="61"/>
      <c r="V1093" s="59" t="s">
        <v>295</v>
      </c>
      <c r="W1093" s="61" t="s">
        <v>166</v>
      </c>
      <c r="X1093" s="61" t="s">
        <v>26</v>
      </c>
      <c r="Y1093" s="61"/>
      <c r="Z1093" s="61"/>
      <c r="AA1093" s="61"/>
      <c r="AB1093" s="61"/>
      <c r="AC1093" s="61"/>
      <c r="AD1093" s="59" t="s">
        <v>5</v>
      </c>
    </row>
    <row r="1094" spans="1:30" s="200" customFormat="1" ht="33" customHeight="1" x14ac:dyDescent="0.3">
      <c r="A1094" s="201">
        <v>28</v>
      </c>
      <c r="B1094" s="202">
        <v>101</v>
      </c>
      <c r="C1094" s="203" t="str">
        <f t="shared" si="25"/>
        <v>28.101</v>
      </c>
      <c r="D1094" s="18" t="s">
        <v>1042</v>
      </c>
      <c r="E1094" s="64" t="str">
        <f>IF(ISBLANK(D1094)=TRUE,"",VLOOKUP(D1094,Krav!$C:$F,4,FALSE))</f>
        <v>10.a.1.2.1 - Hvis der er svaret "I visse tilfælde" i spørgsmål 9 og hvis der er svaret "Ja" i enten 9.b.1, 9.b.2.1 eller 9.b.2.2.1 skal brugeren ledes til spørgsmål 11</v>
      </c>
      <c r="F1094" s="53" t="s">
        <v>143</v>
      </c>
      <c r="G1094" s="53" t="s">
        <v>1427</v>
      </c>
      <c r="H1094" s="76" t="s">
        <v>1433</v>
      </c>
      <c r="I1094" s="67" t="s">
        <v>468</v>
      </c>
      <c r="J1094" s="67" t="s">
        <v>222</v>
      </c>
      <c r="K1094" s="123" t="s">
        <v>222</v>
      </c>
      <c r="L1094" s="206" t="s">
        <v>3</v>
      </c>
      <c r="M1094" s="61" t="s">
        <v>129</v>
      </c>
      <c r="N1094" s="61" t="s">
        <v>131</v>
      </c>
      <c r="O1094" s="61" t="s">
        <v>96</v>
      </c>
      <c r="P1094" s="61" t="s">
        <v>376</v>
      </c>
      <c r="Q1094" s="61" t="s">
        <v>129</v>
      </c>
      <c r="R1094" s="61" t="s">
        <v>131</v>
      </c>
      <c r="S1094" s="61" t="s">
        <v>131</v>
      </c>
      <c r="T1094" s="61"/>
      <c r="U1094" s="61"/>
      <c r="V1094" s="59" t="s">
        <v>295</v>
      </c>
      <c r="W1094" s="61" t="s">
        <v>166</v>
      </c>
      <c r="X1094" s="61" t="s">
        <v>166</v>
      </c>
      <c r="Y1094" s="61" t="s">
        <v>580</v>
      </c>
      <c r="Z1094" s="61"/>
      <c r="AA1094" s="61"/>
      <c r="AB1094" s="61"/>
      <c r="AC1094" s="61"/>
      <c r="AD1094" s="59" t="s">
        <v>5</v>
      </c>
    </row>
    <row r="1095" spans="1:30" s="200" customFormat="1" ht="33" customHeight="1" x14ac:dyDescent="0.3">
      <c r="A1095" s="201">
        <v>28</v>
      </c>
      <c r="B1095" s="202">
        <v>102</v>
      </c>
      <c r="C1095" s="203" t="str">
        <f t="shared" si="25"/>
        <v>28.102</v>
      </c>
      <c r="D1095" s="18"/>
      <c r="E1095" s="64" t="str">
        <f>IF(ISBLANK(D1095)=TRUE,"",VLOOKUP(D1095,Krav!$C:$F,4,FALSE))</f>
        <v/>
      </c>
      <c r="F1095" s="53" t="s">
        <v>143</v>
      </c>
      <c r="G1095" s="53" t="s">
        <v>1427</v>
      </c>
      <c r="H1095" s="76" t="s">
        <v>1429</v>
      </c>
      <c r="I1095" s="67" t="s">
        <v>468</v>
      </c>
      <c r="J1095" s="67" t="s">
        <v>222</v>
      </c>
      <c r="K1095" s="123" t="s">
        <v>222</v>
      </c>
      <c r="L1095" s="206" t="s">
        <v>3</v>
      </c>
      <c r="M1095" s="61" t="s">
        <v>129</v>
      </c>
      <c r="N1095" s="61" t="s">
        <v>131</v>
      </c>
      <c r="O1095" s="61" t="s">
        <v>96</v>
      </c>
      <c r="P1095" s="61" t="s">
        <v>376</v>
      </c>
      <c r="Q1095" s="61" t="s">
        <v>129</v>
      </c>
      <c r="R1095" s="61" t="s">
        <v>131</v>
      </c>
      <c r="S1095" s="61" t="s">
        <v>131</v>
      </c>
      <c r="T1095" s="61"/>
      <c r="U1095" s="61"/>
      <c r="V1095" s="61" t="s">
        <v>294</v>
      </c>
      <c r="W1095" s="61"/>
      <c r="X1095" s="61"/>
      <c r="Y1095" s="61"/>
      <c r="Z1095" s="61"/>
      <c r="AA1095" s="61"/>
      <c r="AB1095" s="61"/>
      <c r="AC1095" s="61"/>
      <c r="AD1095" s="59" t="s">
        <v>5</v>
      </c>
    </row>
    <row r="1096" spans="1:30" s="200" customFormat="1" ht="33" customHeight="1" x14ac:dyDescent="0.3">
      <c r="A1096" s="201">
        <v>28</v>
      </c>
      <c r="B1096" s="202">
        <v>103</v>
      </c>
      <c r="C1096" s="203" t="str">
        <f t="shared" si="25"/>
        <v>28.103</v>
      </c>
      <c r="D1096" s="18" t="s">
        <v>1042</v>
      </c>
      <c r="E1096" s="64" t="str">
        <f>IF(ISBLANK(D1096)=TRUE,"",VLOOKUP(D1096,Krav!$C:$F,4,FALSE))</f>
        <v>10.a.1.2.1 - Hvis der er svaret "I visse tilfælde" i spørgsmål 9 og hvis der er svaret "Ja" i enten 9.b.1, 9.b.2.1 eller 9.b.2.2.1 skal brugeren ledes til spørgsmål 11</v>
      </c>
      <c r="F1096" s="53" t="s">
        <v>143</v>
      </c>
      <c r="G1096" s="53" t="s">
        <v>1427</v>
      </c>
      <c r="H1096" s="76" t="s">
        <v>1433</v>
      </c>
      <c r="I1096" s="67" t="s">
        <v>555</v>
      </c>
      <c r="J1096" s="67" t="s">
        <v>222</v>
      </c>
      <c r="K1096" s="123" t="s">
        <v>222</v>
      </c>
      <c r="L1096" s="204" t="s">
        <v>3</v>
      </c>
      <c r="M1096" s="61" t="s">
        <v>129</v>
      </c>
      <c r="N1096" s="61" t="s">
        <v>131</v>
      </c>
      <c r="O1096" s="61" t="s">
        <v>96</v>
      </c>
      <c r="P1096" s="61" t="s">
        <v>376</v>
      </c>
      <c r="Q1096" s="61" t="s">
        <v>129</v>
      </c>
      <c r="R1096" s="61" t="s">
        <v>131</v>
      </c>
      <c r="S1096" s="61" t="s">
        <v>131</v>
      </c>
      <c r="T1096" s="61"/>
      <c r="U1096" s="61"/>
      <c r="V1096" s="59" t="s">
        <v>295</v>
      </c>
      <c r="W1096" s="61" t="s">
        <v>26</v>
      </c>
      <c r="X1096" s="61"/>
      <c r="Y1096" s="61"/>
      <c r="Z1096" s="61" t="s">
        <v>129</v>
      </c>
      <c r="AA1096" s="61"/>
      <c r="AB1096" s="61"/>
      <c r="AC1096" s="61"/>
      <c r="AD1096" s="59" t="s">
        <v>5</v>
      </c>
    </row>
    <row r="1097" spans="1:30" s="200" customFormat="1" ht="33" customHeight="1" x14ac:dyDescent="0.3">
      <c r="A1097" s="201">
        <v>28</v>
      </c>
      <c r="B1097" s="202">
        <v>104</v>
      </c>
      <c r="C1097" s="203" t="str">
        <f t="shared" si="25"/>
        <v>28.104</v>
      </c>
      <c r="D1097" s="18" t="s">
        <v>1042</v>
      </c>
      <c r="E1097" s="64" t="str">
        <f>IF(ISBLANK(D1097)=TRUE,"",VLOOKUP(D1097,Krav!$C:$F,4,FALSE))</f>
        <v>10.a.1.2.1 - Hvis der er svaret "I visse tilfælde" i spørgsmål 9 og hvis der er svaret "Ja" i enten 9.b.1, 9.b.2.1 eller 9.b.2.2.1 skal brugeren ledes til spørgsmål 11</v>
      </c>
      <c r="F1097" s="53" t="s">
        <v>143</v>
      </c>
      <c r="G1097" s="53" t="s">
        <v>1427</v>
      </c>
      <c r="H1097" s="76" t="s">
        <v>1433</v>
      </c>
      <c r="I1097" s="67" t="s">
        <v>555</v>
      </c>
      <c r="J1097" s="67" t="s">
        <v>222</v>
      </c>
      <c r="K1097" s="123" t="s">
        <v>222</v>
      </c>
      <c r="L1097" s="204" t="s">
        <v>3</v>
      </c>
      <c r="M1097" s="61" t="s">
        <v>129</v>
      </c>
      <c r="N1097" s="61" t="s">
        <v>131</v>
      </c>
      <c r="O1097" s="61" t="s">
        <v>96</v>
      </c>
      <c r="P1097" s="61" t="s">
        <v>376</v>
      </c>
      <c r="Q1097" s="61" t="s">
        <v>129</v>
      </c>
      <c r="R1097" s="61" t="s">
        <v>131</v>
      </c>
      <c r="S1097" s="61" t="s">
        <v>131</v>
      </c>
      <c r="T1097" s="61"/>
      <c r="U1097" s="61"/>
      <c r="V1097" s="59" t="s">
        <v>295</v>
      </c>
      <c r="W1097" s="61" t="s">
        <v>166</v>
      </c>
      <c r="X1097" s="61" t="s">
        <v>26</v>
      </c>
      <c r="Y1097" s="61"/>
      <c r="Z1097" s="61" t="s">
        <v>129</v>
      </c>
      <c r="AA1097" s="61"/>
      <c r="AB1097" s="61"/>
      <c r="AC1097" s="61"/>
      <c r="AD1097" s="59" t="s">
        <v>5</v>
      </c>
    </row>
    <row r="1098" spans="1:30" s="200" customFormat="1" ht="33" customHeight="1" x14ac:dyDescent="0.3">
      <c r="A1098" s="201">
        <v>28</v>
      </c>
      <c r="B1098" s="202">
        <v>105</v>
      </c>
      <c r="C1098" s="203" t="str">
        <f t="shared" si="25"/>
        <v>28.105</v>
      </c>
      <c r="D1098" s="18" t="s">
        <v>1042</v>
      </c>
      <c r="E1098" s="64" t="str">
        <f>IF(ISBLANK(D1098)=TRUE,"",VLOOKUP(D1098,Krav!$C:$F,4,FALSE))</f>
        <v>10.a.1.2.1 - Hvis der er svaret "I visse tilfælde" i spørgsmål 9 og hvis der er svaret "Ja" i enten 9.b.1, 9.b.2.1 eller 9.b.2.2.1 skal brugeren ledes til spørgsmål 11</v>
      </c>
      <c r="F1098" s="53" t="s">
        <v>143</v>
      </c>
      <c r="G1098" s="53" t="s">
        <v>1427</v>
      </c>
      <c r="H1098" s="76" t="s">
        <v>1433</v>
      </c>
      <c r="I1098" s="67" t="s">
        <v>555</v>
      </c>
      <c r="J1098" s="67" t="s">
        <v>222</v>
      </c>
      <c r="K1098" s="123" t="s">
        <v>222</v>
      </c>
      <c r="L1098" s="206" t="s">
        <v>3</v>
      </c>
      <c r="M1098" s="61" t="s">
        <v>129</v>
      </c>
      <c r="N1098" s="61" t="s">
        <v>131</v>
      </c>
      <c r="O1098" s="61" t="s">
        <v>96</v>
      </c>
      <c r="P1098" s="61" t="s">
        <v>376</v>
      </c>
      <c r="Q1098" s="61" t="s">
        <v>129</v>
      </c>
      <c r="R1098" s="61" t="s">
        <v>131</v>
      </c>
      <c r="S1098" s="61" t="s">
        <v>131</v>
      </c>
      <c r="T1098" s="61"/>
      <c r="U1098" s="61"/>
      <c r="V1098" s="59" t="s">
        <v>295</v>
      </c>
      <c r="W1098" s="61" t="s">
        <v>166</v>
      </c>
      <c r="X1098" s="61" t="s">
        <v>166</v>
      </c>
      <c r="Y1098" s="61" t="s">
        <v>580</v>
      </c>
      <c r="Z1098" s="61" t="s">
        <v>129</v>
      </c>
      <c r="AA1098" s="61"/>
      <c r="AB1098" s="61"/>
      <c r="AC1098" s="61"/>
      <c r="AD1098" s="59" t="s">
        <v>5</v>
      </c>
    </row>
    <row r="1099" spans="1:30" s="200" customFormat="1" ht="33" customHeight="1" x14ac:dyDescent="0.3">
      <c r="A1099" s="201">
        <v>28</v>
      </c>
      <c r="B1099" s="202">
        <v>106</v>
      </c>
      <c r="C1099" s="203" t="str">
        <f t="shared" si="25"/>
        <v>28.106</v>
      </c>
      <c r="D1099" s="18"/>
      <c r="E1099" s="64" t="str">
        <f>IF(ISBLANK(D1099)=TRUE,"",VLOOKUP(D1099,Krav!$C:$F,4,FALSE))</f>
        <v/>
      </c>
      <c r="F1099" s="53" t="s">
        <v>143</v>
      </c>
      <c r="G1099" s="53" t="s">
        <v>1427</v>
      </c>
      <c r="H1099" s="76" t="s">
        <v>1429</v>
      </c>
      <c r="I1099" s="67" t="s">
        <v>555</v>
      </c>
      <c r="J1099" s="67" t="s">
        <v>222</v>
      </c>
      <c r="K1099" s="123" t="s">
        <v>222</v>
      </c>
      <c r="L1099" s="206" t="s">
        <v>3</v>
      </c>
      <c r="M1099" s="61" t="s">
        <v>129</v>
      </c>
      <c r="N1099" s="61" t="s">
        <v>131</v>
      </c>
      <c r="O1099" s="61" t="s">
        <v>96</v>
      </c>
      <c r="P1099" s="61" t="s">
        <v>376</v>
      </c>
      <c r="Q1099" s="61" t="s">
        <v>129</v>
      </c>
      <c r="R1099" s="61" t="s">
        <v>131</v>
      </c>
      <c r="S1099" s="61" t="s">
        <v>131</v>
      </c>
      <c r="T1099" s="61"/>
      <c r="U1099" s="61"/>
      <c r="V1099" s="61" t="s">
        <v>294</v>
      </c>
      <c r="W1099" s="61"/>
      <c r="X1099" s="61"/>
      <c r="Y1099" s="61"/>
      <c r="Z1099" s="61" t="s">
        <v>129</v>
      </c>
      <c r="AA1099" s="61"/>
      <c r="AB1099" s="61"/>
      <c r="AC1099" s="61"/>
      <c r="AD1099" s="59" t="s">
        <v>5</v>
      </c>
    </row>
    <row r="1100" spans="1:30" s="200" customFormat="1" ht="33" customHeight="1" x14ac:dyDescent="0.3">
      <c r="A1100" s="201">
        <v>28</v>
      </c>
      <c r="B1100" s="202">
        <v>107</v>
      </c>
      <c r="C1100" s="203" t="str">
        <f t="shared" si="25"/>
        <v>28.107</v>
      </c>
      <c r="D1100" s="18" t="s">
        <v>1042</v>
      </c>
      <c r="E1100" s="64" t="str">
        <f>IF(ISBLANK(D1100)=TRUE,"",VLOOKUP(D1100,Krav!$C:$F,4,FALSE))</f>
        <v>10.a.1.2.1 - Hvis der er svaret "I visse tilfælde" i spørgsmål 9 og hvis der er svaret "Ja" i enten 9.b.1, 9.b.2.1 eller 9.b.2.2.1 skal brugeren ledes til spørgsmål 11</v>
      </c>
      <c r="F1100" s="53" t="s">
        <v>143</v>
      </c>
      <c r="G1100" s="53" t="s">
        <v>1427</v>
      </c>
      <c r="H1100" s="76" t="s">
        <v>1433</v>
      </c>
      <c r="I1100" s="67" t="s">
        <v>560</v>
      </c>
      <c r="J1100" s="67" t="s">
        <v>222</v>
      </c>
      <c r="K1100" s="123" t="s">
        <v>222</v>
      </c>
      <c r="L1100" s="204" t="s">
        <v>3</v>
      </c>
      <c r="M1100" s="61" t="s">
        <v>129</v>
      </c>
      <c r="N1100" s="61" t="s">
        <v>131</v>
      </c>
      <c r="O1100" s="61" t="s">
        <v>96</v>
      </c>
      <c r="P1100" s="61" t="s">
        <v>376</v>
      </c>
      <c r="Q1100" s="61" t="s">
        <v>129</v>
      </c>
      <c r="R1100" s="61" t="s">
        <v>131</v>
      </c>
      <c r="S1100" s="61" t="s">
        <v>131</v>
      </c>
      <c r="T1100" s="61"/>
      <c r="U1100" s="61"/>
      <c r="V1100" s="59" t="s">
        <v>295</v>
      </c>
      <c r="W1100" s="61" t="s">
        <v>26</v>
      </c>
      <c r="X1100" s="61"/>
      <c r="Y1100" s="61"/>
      <c r="Z1100" s="61"/>
      <c r="AA1100" s="61" t="s">
        <v>129</v>
      </c>
      <c r="AB1100" s="61"/>
      <c r="AC1100" s="61"/>
      <c r="AD1100" s="59" t="s">
        <v>5</v>
      </c>
    </row>
    <row r="1101" spans="1:30" s="200" customFormat="1" ht="33" customHeight="1" x14ac:dyDescent="0.3">
      <c r="A1101" s="201">
        <v>28</v>
      </c>
      <c r="B1101" s="202">
        <v>108</v>
      </c>
      <c r="C1101" s="203" t="str">
        <f t="shared" si="25"/>
        <v>28.108</v>
      </c>
      <c r="D1101" s="18" t="s">
        <v>1042</v>
      </c>
      <c r="E1101" s="64" t="str">
        <f>IF(ISBLANK(D1101)=TRUE,"",VLOOKUP(D1101,Krav!$C:$F,4,FALSE))</f>
        <v>10.a.1.2.1 - Hvis der er svaret "I visse tilfælde" i spørgsmål 9 og hvis der er svaret "Ja" i enten 9.b.1, 9.b.2.1 eller 9.b.2.2.1 skal brugeren ledes til spørgsmål 11</v>
      </c>
      <c r="F1101" s="53" t="s">
        <v>143</v>
      </c>
      <c r="G1101" s="53" t="s">
        <v>1427</v>
      </c>
      <c r="H1101" s="76" t="s">
        <v>1433</v>
      </c>
      <c r="I1101" s="67" t="s">
        <v>560</v>
      </c>
      <c r="J1101" s="67" t="s">
        <v>222</v>
      </c>
      <c r="K1101" s="123" t="s">
        <v>222</v>
      </c>
      <c r="L1101" s="204" t="s">
        <v>3</v>
      </c>
      <c r="M1101" s="61" t="s">
        <v>129</v>
      </c>
      <c r="N1101" s="61" t="s">
        <v>131</v>
      </c>
      <c r="O1101" s="61" t="s">
        <v>96</v>
      </c>
      <c r="P1101" s="61" t="s">
        <v>376</v>
      </c>
      <c r="Q1101" s="61" t="s">
        <v>129</v>
      </c>
      <c r="R1101" s="61" t="s">
        <v>131</v>
      </c>
      <c r="S1101" s="61" t="s">
        <v>131</v>
      </c>
      <c r="T1101" s="61"/>
      <c r="U1101" s="61"/>
      <c r="V1101" s="59" t="s">
        <v>295</v>
      </c>
      <c r="W1101" s="61" t="s">
        <v>166</v>
      </c>
      <c r="X1101" s="61" t="s">
        <v>26</v>
      </c>
      <c r="Y1101" s="61"/>
      <c r="Z1101" s="61"/>
      <c r="AA1101" s="61" t="s">
        <v>129</v>
      </c>
      <c r="AB1101" s="61"/>
      <c r="AC1101" s="61"/>
      <c r="AD1101" s="59" t="s">
        <v>5</v>
      </c>
    </row>
    <row r="1102" spans="1:30" s="200" customFormat="1" ht="33" customHeight="1" x14ac:dyDescent="0.3">
      <c r="A1102" s="201">
        <v>28</v>
      </c>
      <c r="B1102" s="202">
        <v>109</v>
      </c>
      <c r="C1102" s="203" t="str">
        <f t="shared" si="25"/>
        <v>28.109</v>
      </c>
      <c r="D1102" s="18" t="s">
        <v>1042</v>
      </c>
      <c r="E1102" s="64" t="str">
        <f>IF(ISBLANK(D1102)=TRUE,"",VLOOKUP(D1102,Krav!$C:$F,4,FALSE))</f>
        <v>10.a.1.2.1 - Hvis der er svaret "I visse tilfælde" i spørgsmål 9 og hvis der er svaret "Ja" i enten 9.b.1, 9.b.2.1 eller 9.b.2.2.1 skal brugeren ledes til spørgsmål 11</v>
      </c>
      <c r="F1102" s="53" t="s">
        <v>143</v>
      </c>
      <c r="G1102" s="53" t="s">
        <v>1427</v>
      </c>
      <c r="H1102" s="76" t="s">
        <v>1433</v>
      </c>
      <c r="I1102" s="67" t="s">
        <v>560</v>
      </c>
      <c r="J1102" s="67" t="s">
        <v>222</v>
      </c>
      <c r="K1102" s="123" t="s">
        <v>222</v>
      </c>
      <c r="L1102" s="206" t="s">
        <v>3</v>
      </c>
      <c r="M1102" s="61" t="s">
        <v>129</v>
      </c>
      <c r="N1102" s="61" t="s">
        <v>131</v>
      </c>
      <c r="O1102" s="61" t="s">
        <v>96</v>
      </c>
      <c r="P1102" s="61" t="s">
        <v>376</v>
      </c>
      <c r="Q1102" s="61" t="s">
        <v>129</v>
      </c>
      <c r="R1102" s="61" t="s">
        <v>131</v>
      </c>
      <c r="S1102" s="61" t="s">
        <v>131</v>
      </c>
      <c r="T1102" s="61"/>
      <c r="U1102" s="61"/>
      <c r="V1102" s="59" t="s">
        <v>295</v>
      </c>
      <c r="W1102" s="61" t="s">
        <v>166</v>
      </c>
      <c r="X1102" s="61" t="s">
        <v>166</v>
      </c>
      <c r="Y1102" s="61" t="s">
        <v>580</v>
      </c>
      <c r="Z1102" s="61"/>
      <c r="AA1102" s="61" t="s">
        <v>129</v>
      </c>
      <c r="AB1102" s="61"/>
      <c r="AC1102" s="61"/>
      <c r="AD1102" s="59" t="s">
        <v>5</v>
      </c>
    </row>
    <row r="1103" spans="1:30" s="200" customFormat="1" ht="33" customHeight="1" x14ac:dyDescent="0.3">
      <c r="A1103" s="201">
        <v>28</v>
      </c>
      <c r="B1103" s="202">
        <v>110</v>
      </c>
      <c r="C1103" s="203" t="str">
        <f t="shared" si="25"/>
        <v>28.110</v>
      </c>
      <c r="D1103" s="18"/>
      <c r="E1103" s="64" t="str">
        <f>IF(ISBLANK(D1103)=TRUE,"",VLOOKUP(D1103,Krav!$C:$F,4,FALSE))</f>
        <v/>
      </c>
      <c r="F1103" s="53" t="s">
        <v>143</v>
      </c>
      <c r="G1103" s="53" t="s">
        <v>1427</v>
      </c>
      <c r="H1103" s="76" t="s">
        <v>1429</v>
      </c>
      <c r="I1103" s="67" t="s">
        <v>560</v>
      </c>
      <c r="J1103" s="67" t="s">
        <v>222</v>
      </c>
      <c r="K1103" s="123" t="s">
        <v>222</v>
      </c>
      <c r="L1103" s="206" t="s">
        <v>3</v>
      </c>
      <c r="M1103" s="61" t="s">
        <v>129</v>
      </c>
      <c r="N1103" s="61" t="s">
        <v>131</v>
      </c>
      <c r="O1103" s="61" t="s">
        <v>96</v>
      </c>
      <c r="P1103" s="61" t="s">
        <v>376</v>
      </c>
      <c r="Q1103" s="61" t="s">
        <v>129</v>
      </c>
      <c r="R1103" s="61" t="s">
        <v>131</v>
      </c>
      <c r="S1103" s="61" t="s">
        <v>131</v>
      </c>
      <c r="T1103" s="61"/>
      <c r="U1103" s="61"/>
      <c r="V1103" s="61" t="s">
        <v>294</v>
      </c>
      <c r="W1103" s="61"/>
      <c r="X1103" s="61"/>
      <c r="Y1103" s="61"/>
      <c r="Z1103" s="61"/>
      <c r="AA1103" s="61" t="s">
        <v>129</v>
      </c>
      <c r="AB1103" s="61"/>
      <c r="AC1103" s="61"/>
      <c r="AD1103" s="59" t="s">
        <v>5</v>
      </c>
    </row>
    <row r="1104" spans="1:30" s="200" customFormat="1" ht="33" customHeight="1" x14ac:dyDescent="0.3">
      <c r="A1104" s="201">
        <v>28</v>
      </c>
      <c r="B1104" s="202">
        <v>111</v>
      </c>
      <c r="C1104" s="203" t="str">
        <f t="shared" si="25"/>
        <v>28.111</v>
      </c>
      <c r="D1104" s="18" t="s">
        <v>1042</v>
      </c>
      <c r="E1104" s="64" t="str">
        <f>IF(ISBLANK(D1104)=TRUE,"",VLOOKUP(D1104,Krav!$C:$F,4,FALSE))</f>
        <v>10.a.1.2.1 - Hvis der er svaret "I visse tilfælde" i spørgsmål 9 og hvis der er svaret "Ja" i enten 9.b.1, 9.b.2.1 eller 9.b.2.2.1 skal brugeren ledes til spørgsmål 11</v>
      </c>
      <c r="F1104" s="53" t="s">
        <v>143</v>
      </c>
      <c r="G1104" s="53" t="s">
        <v>1427</v>
      </c>
      <c r="H1104" s="76" t="s">
        <v>1433</v>
      </c>
      <c r="I1104" s="67" t="s">
        <v>565</v>
      </c>
      <c r="J1104" s="67" t="s">
        <v>222</v>
      </c>
      <c r="K1104" s="123" t="s">
        <v>222</v>
      </c>
      <c r="L1104" s="204" t="s">
        <v>3</v>
      </c>
      <c r="M1104" s="61" t="s">
        <v>129</v>
      </c>
      <c r="N1104" s="61" t="s">
        <v>131</v>
      </c>
      <c r="O1104" s="61" t="s">
        <v>96</v>
      </c>
      <c r="P1104" s="61" t="s">
        <v>376</v>
      </c>
      <c r="Q1104" s="61" t="s">
        <v>129</v>
      </c>
      <c r="R1104" s="61" t="s">
        <v>131</v>
      </c>
      <c r="S1104" s="61" t="s">
        <v>131</v>
      </c>
      <c r="T1104" s="61"/>
      <c r="U1104" s="61"/>
      <c r="V1104" s="59" t="s">
        <v>295</v>
      </c>
      <c r="W1104" s="61" t="s">
        <v>26</v>
      </c>
      <c r="X1104" s="61"/>
      <c r="Y1104" s="61"/>
      <c r="Z1104" s="61"/>
      <c r="AA1104" s="61"/>
      <c r="AB1104" s="61" t="s">
        <v>129</v>
      </c>
      <c r="AC1104" s="61"/>
      <c r="AD1104" s="59" t="s">
        <v>5</v>
      </c>
    </row>
    <row r="1105" spans="1:38" s="200" customFormat="1" ht="33" customHeight="1" x14ac:dyDescent="0.3">
      <c r="A1105" s="201">
        <v>28</v>
      </c>
      <c r="B1105" s="202">
        <v>112</v>
      </c>
      <c r="C1105" s="203" t="str">
        <f t="shared" si="25"/>
        <v>28.112</v>
      </c>
      <c r="D1105" s="18" t="s">
        <v>1042</v>
      </c>
      <c r="E1105" s="64" t="str">
        <f>IF(ISBLANK(D1105)=TRUE,"",VLOOKUP(D1105,Krav!$C:$F,4,FALSE))</f>
        <v>10.a.1.2.1 - Hvis der er svaret "I visse tilfælde" i spørgsmål 9 og hvis der er svaret "Ja" i enten 9.b.1, 9.b.2.1 eller 9.b.2.2.1 skal brugeren ledes til spørgsmål 11</v>
      </c>
      <c r="F1105" s="53" t="s">
        <v>143</v>
      </c>
      <c r="G1105" s="53" t="s">
        <v>1427</v>
      </c>
      <c r="H1105" s="76" t="s">
        <v>1433</v>
      </c>
      <c r="I1105" s="67" t="s">
        <v>565</v>
      </c>
      <c r="J1105" s="67" t="s">
        <v>222</v>
      </c>
      <c r="K1105" s="123" t="s">
        <v>222</v>
      </c>
      <c r="L1105" s="204" t="s">
        <v>3</v>
      </c>
      <c r="M1105" s="61" t="s">
        <v>129</v>
      </c>
      <c r="N1105" s="61" t="s">
        <v>131</v>
      </c>
      <c r="O1105" s="61" t="s">
        <v>96</v>
      </c>
      <c r="P1105" s="61" t="s">
        <v>376</v>
      </c>
      <c r="Q1105" s="61" t="s">
        <v>129</v>
      </c>
      <c r="R1105" s="61" t="s">
        <v>131</v>
      </c>
      <c r="S1105" s="61" t="s">
        <v>131</v>
      </c>
      <c r="T1105" s="61"/>
      <c r="U1105" s="61"/>
      <c r="V1105" s="59" t="s">
        <v>295</v>
      </c>
      <c r="W1105" s="61" t="s">
        <v>166</v>
      </c>
      <c r="X1105" s="61" t="s">
        <v>26</v>
      </c>
      <c r="Y1105" s="61"/>
      <c r="Z1105" s="61"/>
      <c r="AA1105" s="61"/>
      <c r="AB1105" s="61" t="s">
        <v>129</v>
      </c>
      <c r="AC1105" s="61"/>
      <c r="AD1105" s="59" t="s">
        <v>5</v>
      </c>
    </row>
    <row r="1106" spans="1:38" s="200" customFormat="1" ht="33" customHeight="1" x14ac:dyDescent="0.3">
      <c r="A1106" s="201">
        <v>28</v>
      </c>
      <c r="B1106" s="202">
        <v>113</v>
      </c>
      <c r="C1106" s="203" t="str">
        <f t="shared" si="25"/>
        <v>28.113</v>
      </c>
      <c r="D1106" s="18" t="s">
        <v>1042</v>
      </c>
      <c r="E1106" s="64" t="str">
        <f>IF(ISBLANK(D1106)=TRUE,"",VLOOKUP(D1106,Krav!$C:$F,4,FALSE))</f>
        <v>10.a.1.2.1 - Hvis der er svaret "I visse tilfælde" i spørgsmål 9 og hvis der er svaret "Ja" i enten 9.b.1, 9.b.2.1 eller 9.b.2.2.1 skal brugeren ledes til spørgsmål 11</v>
      </c>
      <c r="F1106" s="53" t="s">
        <v>143</v>
      </c>
      <c r="G1106" s="53" t="s">
        <v>1427</v>
      </c>
      <c r="H1106" s="76" t="s">
        <v>1433</v>
      </c>
      <c r="I1106" s="67" t="s">
        <v>565</v>
      </c>
      <c r="J1106" s="67" t="s">
        <v>222</v>
      </c>
      <c r="K1106" s="123" t="s">
        <v>222</v>
      </c>
      <c r="L1106" s="206" t="s">
        <v>3</v>
      </c>
      <c r="M1106" s="61" t="s">
        <v>129</v>
      </c>
      <c r="N1106" s="61" t="s">
        <v>131</v>
      </c>
      <c r="O1106" s="61" t="s">
        <v>96</v>
      </c>
      <c r="P1106" s="61" t="s">
        <v>376</v>
      </c>
      <c r="Q1106" s="61" t="s">
        <v>129</v>
      </c>
      <c r="R1106" s="61" t="s">
        <v>131</v>
      </c>
      <c r="S1106" s="61" t="s">
        <v>131</v>
      </c>
      <c r="T1106" s="61"/>
      <c r="U1106" s="61"/>
      <c r="V1106" s="59" t="s">
        <v>295</v>
      </c>
      <c r="W1106" s="61" t="s">
        <v>166</v>
      </c>
      <c r="X1106" s="61" t="s">
        <v>166</v>
      </c>
      <c r="Y1106" s="61" t="s">
        <v>580</v>
      </c>
      <c r="Z1106" s="61"/>
      <c r="AA1106" s="61"/>
      <c r="AB1106" s="61" t="s">
        <v>129</v>
      </c>
      <c r="AC1106" s="61"/>
      <c r="AD1106" s="59" t="s">
        <v>5</v>
      </c>
    </row>
    <row r="1107" spans="1:38" s="200" customFormat="1" ht="33" customHeight="1" x14ac:dyDescent="0.3">
      <c r="A1107" s="201">
        <v>28</v>
      </c>
      <c r="B1107" s="202">
        <v>114</v>
      </c>
      <c r="C1107" s="203" t="str">
        <f t="shared" si="25"/>
        <v>28.114</v>
      </c>
      <c r="D1107" s="18"/>
      <c r="E1107" s="64" t="str">
        <f>IF(ISBLANK(D1107)=TRUE,"",VLOOKUP(D1107,Krav!$C:$F,4,FALSE))</f>
        <v/>
      </c>
      <c r="F1107" s="53" t="s">
        <v>143</v>
      </c>
      <c r="G1107" s="53" t="s">
        <v>1427</v>
      </c>
      <c r="H1107" s="76" t="s">
        <v>1429</v>
      </c>
      <c r="I1107" s="67" t="s">
        <v>565</v>
      </c>
      <c r="J1107" s="67" t="s">
        <v>222</v>
      </c>
      <c r="K1107" s="123" t="s">
        <v>222</v>
      </c>
      <c r="L1107" s="206" t="s">
        <v>3</v>
      </c>
      <c r="M1107" s="61" t="s">
        <v>129</v>
      </c>
      <c r="N1107" s="61" t="s">
        <v>131</v>
      </c>
      <c r="O1107" s="61" t="s">
        <v>96</v>
      </c>
      <c r="P1107" s="61" t="s">
        <v>376</v>
      </c>
      <c r="Q1107" s="61" t="s">
        <v>129</v>
      </c>
      <c r="R1107" s="61" t="s">
        <v>131</v>
      </c>
      <c r="S1107" s="61" t="s">
        <v>131</v>
      </c>
      <c r="T1107" s="61"/>
      <c r="U1107" s="61"/>
      <c r="V1107" s="61" t="s">
        <v>294</v>
      </c>
      <c r="W1107" s="61"/>
      <c r="X1107" s="61"/>
      <c r="Y1107" s="61"/>
      <c r="Z1107" s="61"/>
      <c r="AA1107" s="61"/>
      <c r="AB1107" s="61" t="s">
        <v>129</v>
      </c>
      <c r="AC1107" s="61"/>
      <c r="AD1107" s="59" t="s">
        <v>5</v>
      </c>
    </row>
    <row r="1108" spans="1:38" s="200" customFormat="1" ht="33" customHeight="1" x14ac:dyDescent="0.3">
      <c r="A1108" s="201">
        <v>28</v>
      </c>
      <c r="B1108" s="202">
        <v>115</v>
      </c>
      <c r="C1108" s="203" t="str">
        <f t="shared" si="25"/>
        <v>28.115</v>
      </c>
      <c r="D1108" s="18" t="s">
        <v>1042</v>
      </c>
      <c r="E1108" s="64" t="str">
        <f>IF(ISBLANK(D1108)=TRUE,"",VLOOKUP(D1108,Krav!$C:$F,4,FALSE))</f>
        <v>10.a.1.2.1 - Hvis der er svaret "I visse tilfælde" i spørgsmål 9 og hvis der er svaret "Ja" i enten 9.b.1, 9.b.2.1 eller 9.b.2.2.1 skal brugeren ledes til spørgsmål 11</v>
      </c>
      <c r="F1108" s="53" t="s">
        <v>143</v>
      </c>
      <c r="G1108" s="53" t="s">
        <v>1427</v>
      </c>
      <c r="H1108" s="76" t="s">
        <v>1433</v>
      </c>
      <c r="I1108" s="67" t="s">
        <v>549</v>
      </c>
      <c r="J1108" s="67" t="s">
        <v>222</v>
      </c>
      <c r="K1108" s="123" t="s">
        <v>222</v>
      </c>
      <c r="L1108" s="204" t="s">
        <v>3</v>
      </c>
      <c r="M1108" s="61" t="s">
        <v>129</v>
      </c>
      <c r="N1108" s="61" t="s">
        <v>131</v>
      </c>
      <c r="O1108" s="61" t="s">
        <v>96</v>
      </c>
      <c r="P1108" s="61" t="s">
        <v>376</v>
      </c>
      <c r="Q1108" s="61" t="s">
        <v>129</v>
      </c>
      <c r="R1108" s="61" t="s">
        <v>131</v>
      </c>
      <c r="S1108" s="61" t="s">
        <v>131</v>
      </c>
      <c r="T1108" s="61"/>
      <c r="U1108" s="61"/>
      <c r="V1108" s="59" t="s">
        <v>295</v>
      </c>
      <c r="W1108" s="61" t="s">
        <v>26</v>
      </c>
      <c r="X1108" s="61"/>
      <c r="Y1108" s="61"/>
      <c r="Z1108" s="61"/>
      <c r="AA1108" s="61"/>
      <c r="AB1108" s="61"/>
      <c r="AC1108" s="61" t="s">
        <v>129</v>
      </c>
      <c r="AD1108" s="59" t="s">
        <v>5</v>
      </c>
    </row>
    <row r="1109" spans="1:38" s="200" customFormat="1" ht="33" customHeight="1" x14ac:dyDescent="0.3">
      <c r="A1109" s="201">
        <v>28</v>
      </c>
      <c r="B1109" s="202">
        <v>116</v>
      </c>
      <c r="C1109" s="203" t="str">
        <f t="shared" si="25"/>
        <v>28.116</v>
      </c>
      <c r="D1109" s="18" t="s">
        <v>1042</v>
      </c>
      <c r="E1109" s="64" t="str">
        <f>IF(ISBLANK(D1109)=TRUE,"",VLOOKUP(D1109,Krav!$C:$F,4,FALSE))</f>
        <v>10.a.1.2.1 - Hvis der er svaret "I visse tilfælde" i spørgsmål 9 og hvis der er svaret "Ja" i enten 9.b.1, 9.b.2.1 eller 9.b.2.2.1 skal brugeren ledes til spørgsmål 11</v>
      </c>
      <c r="F1109" s="53" t="s">
        <v>143</v>
      </c>
      <c r="G1109" s="53" t="s">
        <v>1427</v>
      </c>
      <c r="H1109" s="76" t="s">
        <v>1433</v>
      </c>
      <c r="I1109" s="67" t="s">
        <v>549</v>
      </c>
      <c r="J1109" s="67" t="s">
        <v>222</v>
      </c>
      <c r="K1109" s="123" t="s">
        <v>222</v>
      </c>
      <c r="L1109" s="204" t="s">
        <v>3</v>
      </c>
      <c r="M1109" s="61" t="s">
        <v>129</v>
      </c>
      <c r="N1109" s="61" t="s">
        <v>131</v>
      </c>
      <c r="O1109" s="61" t="s">
        <v>96</v>
      </c>
      <c r="P1109" s="61" t="s">
        <v>376</v>
      </c>
      <c r="Q1109" s="61" t="s">
        <v>129</v>
      </c>
      <c r="R1109" s="61" t="s">
        <v>131</v>
      </c>
      <c r="S1109" s="61" t="s">
        <v>131</v>
      </c>
      <c r="T1109" s="61"/>
      <c r="U1109" s="61"/>
      <c r="V1109" s="59" t="s">
        <v>295</v>
      </c>
      <c r="W1109" s="61" t="s">
        <v>166</v>
      </c>
      <c r="X1109" s="61" t="s">
        <v>26</v>
      </c>
      <c r="Y1109" s="61"/>
      <c r="Z1109" s="61"/>
      <c r="AA1109" s="61"/>
      <c r="AB1109" s="61"/>
      <c r="AC1109" s="61" t="s">
        <v>129</v>
      </c>
      <c r="AD1109" s="59" t="s">
        <v>5</v>
      </c>
    </row>
    <row r="1110" spans="1:38" s="200" customFormat="1" ht="33" customHeight="1" x14ac:dyDescent="0.3">
      <c r="A1110" s="201">
        <v>28</v>
      </c>
      <c r="B1110" s="202">
        <v>117</v>
      </c>
      <c r="C1110" s="203" t="str">
        <f t="shared" si="25"/>
        <v>28.117</v>
      </c>
      <c r="D1110" s="18" t="s">
        <v>1042</v>
      </c>
      <c r="E1110" s="64" t="str">
        <f>IF(ISBLANK(D1110)=TRUE,"",VLOOKUP(D1110,Krav!$C:$F,4,FALSE))</f>
        <v>10.a.1.2.1 - Hvis der er svaret "I visse tilfælde" i spørgsmål 9 og hvis der er svaret "Ja" i enten 9.b.1, 9.b.2.1 eller 9.b.2.2.1 skal brugeren ledes til spørgsmål 11</v>
      </c>
      <c r="F1110" s="53" t="s">
        <v>143</v>
      </c>
      <c r="G1110" s="53" t="s">
        <v>1427</v>
      </c>
      <c r="H1110" s="76" t="s">
        <v>1433</v>
      </c>
      <c r="I1110" s="67" t="s">
        <v>549</v>
      </c>
      <c r="J1110" s="67" t="s">
        <v>222</v>
      </c>
      <c r="K1110" s="123" t="s">
        <v>222</v>
      </c>
      <c r="L1110" s="206" t="s">
        <v>3</v>
      </c>
      <c r="M1110" s="61" t="s">
        <v>129</v>
      </c>
      <c r="N1110" s="61" t="s">
        <v>131</v>
      </c>
      <c r="O1110" s="61" t="s">
        <v>96</v>
      </c>
      <c r="P1110" s="61" t="s">
        <v>376</v>
      </c>
      <c r="Q1110" s="61" t="s">
        <v>129</v>
      </c>
      <c r="R1110" s="61" t="s">
        <v>131</v>
      </c>
      <c r="S1110" s="61" t="s">
        <v>131</v>
      </c>
      <c r="T1110" s="61"/>
      <c r="U1110" s="61"/>
      <c r="V1110" s="59" t="s">
        <v>295</v>
      </c>
      <c r="W1110" s="61" t="s">
        <v>166</v>
      </c>
      <c r="X1110" s="61" t="s">
        <v>166</v>
      </c>
      <c r="Y1110" s="61" t="s">
        <v>580</v>
      </c>
      <c r="Z1110" s="61"/>
      <c r="AA1110" s="61"/>
      <c r="AB1110" s="61"/>
      <c r="AC1110" s="61" t="s">
        <v>129</v>
      </c>
      <c r="AD1110" s="59" t="s">
        <v>5</v>
      </c>
    </row>
    <row r="1111" spans="1:38" s="200" customFormat="1" ht="33" customHeight="1" x14ac:dyDescent="0.3">
      <c r="A1111" s="201">
        <v>28</v>
      </c>
      <c r="B1111" s="202">
        <v>118</v>
      </c>
      <c r="C1111" s="203" t="str">
        <f t="shared" si="25"/>
        <v>28.118</v>
      </c>
      <c r="D1111" s="18"/>
      <c r="E1111" s="64" t="str">
        <f>IF(ISBLANK(D1111)=TRUE,"",VLOOKUP(D1111,Krav!$C:$F,4,FALSE))</f>
        <v/>
      </c>
      <c r="F1111" s="53" t="s">
        <v>143</v>
      </c>
      <c r="G1111" s="53" t="s">
        <v>1427</v>
      </c>
      <c r="H1111" s="76" t="s">
        <v>1429</v>
      </c>
      <c r="I1111" s="67" t="s">
        <v>549</v>
      </c>
      <c r="J1111" s="67" t="s">
        <v>222</v>
      </c>
      <c r="K1111" s="123" t="s">
        <v>222</v>
      </c>
      <c r="L1111" s="206" t="s">
        <v>3</v>
      </c>
      <c r="M1111" s="61" t="s">
        <v>129</v>
      </c>
      <c r="N1111" s="61" t="s">
        <v>131</v>
      </c>
      <c r="O1111" s="61" t="s">
        <v>96</v>
      </c>
      <c r="P1111" s="61" t="s">
        <v>376</v>
      </c>
      <c r="Q1111" s="61" t="s">
        <v>129</v>
      </c>
      <c r="R1111" s="61" t="s">
        <v>131</v>
      </c>
      <c r="S1111" s="61" t="s">
        <v>131</v>
      </c>
      <c r="T1111" s="61"/>
      <c r="U1111" s="61"/>
      <c r="V1111" s="61" t="s">
        <v>294</v>
      </c>
      <c r="W1111" s="61"/>
      <c r="X1111" s="61"/>
      <c r="Y1111" s="61"/>
      <c r="Z1111" s="61"/>
      <c r="AA1111" s="61"/>
      <c r="AB1111" s="61"/>
      <c r="AC1111" s="61" t="s">
        <v>129</v>
      </c>
      <c r="AD1111" s="177" t="s">
        <v>5</v>
      </c>
      <c r="AE1111" s="207"/>
      <c r="AF1111" s="207"/>
      <c r="AG1111" s="207"/>
      <c r="AH1111" s="207"/>
      <c r="AI1111" s="207"/>
      <c r="AJ1111" s="207"/>
      <c r="AK1111" s="207"/>
      <c r="AL1111" s="207"/>
    </row>
    <row r="1112" spans="1:38" s="221" customFormat="1" ht="33" customHeight="1" x14ac:dyDescent="0.3">
      <c r="A1112" s="208">
        <v>28</v>
      </c>
      <c r="B1112" s="209">
        <v>119</v>
      </c>
      <c r="C1112" s="210" t="str">
        <f t="shared" si="25"/>
        <v>28.119</v>
      </c>
      <c r="D1112" s="211" t="s">
        <v>751</v>
      </c>
      <c r="E1112" s="64" t="str">
        <f>IF(ISBLANK(D1112)=TRUE,"",VLOOKUP(D1112,Krav!$C:$F,4,FALSE))</f>
        <v xml:space="preserve">10.a.1 - Det skal være muligt for brugeren, med checkbokse, at vælge om begyndelsestidspunktet for forældelsesfristen altid beregnes "Før" eller "Samme dag eller senere" </v>
      </c>
      <c r="F1112" s="213" t="s">
        <v>174</v>
      </c>
      <c r="G1112" s="214"/>
      <c r="H1112" s="215" t="s">
        <v>1434</v>
      </c>
      <c r="I1112" s="216" t="s">
        <v>1414</v>
      </c>
      <c r="J1112" s="217" t="s">
        <v>222</v>
      </c>
      <c r="K1112" s="123" t="s">
        <v>222</v>
      </c>
      <c r="L1112" s="218" t="s">
        <v>4</v>
      </c>
      <c r="M1112" s="219" t="s">
        <v>131</v>
      </c>
      <c r="N1112" s="219" t="s">
        <v>131</v>
      </c>
      <c r="O1112" s="219"/>
      <c r="P1112" s="219"/>
      <c r="Q1112" s="219"/>
      <c r="R1112" s="219"/>
      <c r="S1112" s="219"/>
      <c r="T1112" s="219"/>
      <c r="U1112" s="219"/>
      <c r="V1112" s="219"/>
      <c r="W1112" s="219"/>
      <c r="X1112" s="219"/>
      <c r="Y1112" s="219"/>
      <c r="Z1112" s="219"/>
      <c r="AA1112" s="219"/>
      <c r="AB1112" s="219"/>
      <c r="AC1112" s="219"/>
      <c r="AD1112" s="220" t="s">
        <v>5</v>
      </c>
    </row>
    <row r="1113" spans="1:38" s="221" customFormat="1" ht="33" customHeight="1" x14ac:dyDescent="0.3">
      <c r="A1113" s="208">
        <v>28</v>
      </c>
      <c r="B1113" s="209">
        <v>120</v>
      </c>
      <c r="C1113" s="210" t="str">
        <f t="shared" si="25"/>
        <v>28.120</v>
      </c>
      <c r="D1113" s="211" t="s">
        <v>751</v>
      </c>
      <c r="E1113" s="64" t="str">
        <f>IF(ISBLANK(D1113)=TRUE,"",VLOOKUP(D1113,Krav!$C:$F,4,FALSE))</f>
        <v xml:space="preserve">10.a.1 - Det skal være muligt for brugeren, med checkbokse, at vælge om begyndelsestidspunktet for forældelsesfristen altid beregnes "Før" eller "Samme dag eller senere" </v>
      </c>
      <c r="F1113" s="213" t="s">
        <v>418</v>
      </c>
      <c r="G1113" s="213" t="s">
        <v>419</v>
      </c>
      <c r="H1113" s="215" t="s">
        <v>1435</v>
      </c>
      <c r="I1113" s="216" t="s">
        <v>129</v>
      </c>
      <c r="J1113" s="217" t="s">
        <v>222</v>
      </c>
      <c r="K1113" s="123" t="s">
        <v>222</v>
      </c>
      <c r="L1113" s="222" t="s">
        <v>3</v>
      </c>
      <c r="M1113" s="219" t="s">
        <v>131</v>
      </c>
      <c r="N1113" s="219" t="s">
        <v>131</v>
      </c>
      <c r="O1113" s="219"/>
      <c r="P1113" s="219"/>
      <c r="Q1113" s="219"/>
      <c r="R1113" s="219"/>
      <c r="S1113" s="219"/>
      <c r="T1113" s="219"/>
      <c r="U1113" s="219"/>
      <c r="V1113" s="219"/>
      <c r="W1113" s="219"/>
      <c r="X1113" s="219"/>
      <c r="Y1113" s="219"/>
      <c r="Z1113" s="219"/>
      <c r="AA1113" s="219"/>
      <c r="AB1113" s="219"/>
      <c r="AC1113" s="219"/>
      <c r="AD1113" s="220" t="s">
        <v>5</v>
      </c>
    </row>
    <row r="1114" spans="1:38" s="221" customFormat="1" ht="33" customHeight="1" x14ac:dyDescent="0.3">
      <c r="A1114" s="208">
        <v>28</v>
      </c>
      <c r="B1114" s="209">
        <v>121</v>
      </c>
      <c r="C1114" s="210" t="str">
        <f t="shared" si="25"/>
        <v>28.121</v>
      </c>
      <c r="D1114" s="211" t="s">
        <v>785</v>
      </c>
      <c r="E1114" s="64" t="str">
        <f>IF(ISBLANK(D1114)=TRUE,"",VLOOKUP(D1114,Krav!$C:$F,4,FALSE))</f>
        <v>10.a.1.1.1 - Der skal fremgå en infoboks med teksten: ”Normalt” er fordringer undergivet en 3 års forældelsesfrist”.</v>
      </c>
      <c r="F1114" s="213" t="s">
        <v>228</v>
      </c>
      <c r="G1114" s="223" t="s">
        <v>230</v>
      </c>
      <c r="H1114" s="215" t="s">
        <v>1436</v>
      </c>
      <c r="I1114" s="216" t="s">
        <v>1437</v>
      </c>
      <c r="J1114" s="217" t="s">
        <v>222</v>
      </c>
      <c r="K1114" s="123" t="s">
        <v>222</v>
      </c>
      <c r="L1114" s="222" t="s">
        <v>3</v>
      </c>
      <c r="M1114" s="219"/>
      <c r="N1114" s="219"/>
      <c r="O1114" s="219"/>
      <c r="P1114" s="219"/>
      <c r="Q1114" s="219"/>
      <c r="R1114" s="219"/>
      <c r="S1114" s="219"/>
      <c r="T1114" s="219"/>
      <c r="U1114" s="219"/>
      <c r="V1114" s="219"/>
      <c r="W1114" s="219"/>
      <c r="X1114" s="219"/>
      <c r="Y1114" s="219"/>
      <c r="Z1114" s="219"/>
      <c r="AA1114" s="219"/>
      <c r="AB1114" s="219"/>
      <c r="AC1114" s="219"/>
      <c r="AD1114" s="220" t="s">
        <v>5</v>
      </c>
    </row>
    <row r="1115" spans="1:38" s="221" customFormat="1" ht="33" customHeight="1" x14ac:dyDescent="0.3">
      <c r="A1115" s="208">
        <v>28</v>
      </c>
      <c r="B1115" s="209">
        <v>122</v>
      </c>
      <c r="C1115" s="210" t="str">
        <f t="shared" si="25"/>
        <v>28.122</v>
      </c>
      <c r="D1115" s="211" t="s">
        <v>1075</v>
      </c>
      <c r="E1115" s="64" t="str">
        <f>IF(ISBLANK(D1115)=TRUE,"",VLOOKUP(D1115,Krav!$C:$F,4,FALSE))</f>
        <v>10.a.2.5 - Der skal være en infoboks med teksten: "Hvis begyndelsestidspunktet kan ligge samme dag som indholdet af stamdatafeltet svares 0 dage."</v>
      </c>
      <c r="F1115" s="213" t="s">
        <v>228</v>
      </c>
      <c r="G1115" s="223" t="s">
        <v>231</v>
      </c>
      <c r="H1115" s="215" t="s">
        <v>1438</v>
      </c>
      <c r="I1115" s="216" t="s">
        <v>1439</v>
      </c>
      <c r="J1115" s="217" t="s">
        <v>222</v>
      </c>
      <c r="K1115" s="123" t="s">
        <v>222</v>
      </c>
      <c r="L1115" s="222" t="s">
        <v>3</v>
      </c>
      <c r="M1115" s="219"/>
      <c r="N1115" s="219"/>
      <c r="O1115" s="219"/>
      <c r="P1115" s="219"/>
      <c r="Q1115" s="219"/>
      <c r="R1115" s="219"/>
      <c r="S1115" s="219"/>
      <c r="T1115" s="219"/>
      <c r="U1115" s="219"/>
      <c r="V1115" s="219"/>
      <c r="W1115" s="219"/>
      <c r="X1115" s="219"/>
      <c r="Y1115" s="219"/>
      <c r="Z1115" s="219"/>
      <c r="AA1115" s="219"/>
      <c r="AB1115" s="219"/>
      <c r="AC1115" s="219"/>
      <c r="AD1115" s="220" t="s">
        <v>5</v>
      </c>
    </row>
    <row r="1116" spans="1:38" s="234" customFormat="1" ht="33" customHeight="1" x14ac:dyDescent="0.3">
      <c r="A1116" s="224">
        <v>28</v>
      </c>
      <c r="B1116" s="225">
        <v>123</v>
      </c>
      <c r="C1116" s="226" t="str">
        <f t="shared" si="25"/>
        <v>28.123</v>
      </c>
      <c r="D1116" s="227" t="s">
        <v>1103</v>
      </c>
      <c r="E1116" s="64" t="str">
        <f>IF(ISBLANK(D1116)=TRUE,"",VLOOKUP(D1116,Krav!$C:$F,4,FALSE))</f>
        <v>10.a.2.1.1.1 - Gruppe 1 aktiveres</v>
      </c>
      <c r="F1116" s="228" t="s">
        <v>227</v>
      </c>
      <c r="G1116" s="228"/>
      <c r="H1116" s="229" t="s">
        <v>1440</v>
      </c>
      <c r="I1116" s="230" t="s">
        <v>240</v>
      </c>
      <c r="J1116" s="230" t="s">
        <v>222</v>
      </c>
      <c r="K1116" s="123" t="s">
        <v>222</v>
      </c>
      <c r="L1116" s="231" t="s">
        <v>3</v>
      </c>
      <c r="M1116" s="232" t="s">
        <v>131</v>
      </c>
      <c r="N1116" s="232" t="s">
        <v>129</v>
      </c>
      <c r="O1116" s="232" t="s">
        <v>376</v>
      </c>
      <c r="P1116" s="232" t="s">
        <v>376</v>
      </c>
      <c r="Q1116" s="232" t="s">
        <v>131</v>
      </c>
      <c r="R1116" s="232" t="s">
        <v>131</v>
      </c>
      <c r="S1116" s="232" t="s">
        <v>131</v>
      </c>
      <c r="T1116" s="232" t="s">
        <v>412</v>
      </c>
      <c r="U1116" s="232"/>
      <c r="V1116" s="232"/>
      <c r="W1116" s="232"/>
      <c r="X1116" s="232"/>
      <c r="Y1116" s="232"/>
      <c r="Z1116" s="232"/>
      <c r="AA1116" s="232"/>
      <c r="AB1116" s="232"/>
      <c r="AC1116" s="232"/>
      <c r="AD1116" s="233" t="s">
        <v>5</v>
      </c>
    </row>
    <row r="1117" spans="1:38" s="234" customFormat="1" ht="33" customHeight="1" x14ac:dyDescent="0.3">
      <c r="A1117" s="224">
        <v>28</v>
      </c>
      <c r="B1117" s="225">
        <v>124</v>
      </c>
      <c r="C1117" s="226" t="str">
        <f t="shared" si="25"/>
        <v>28.124</v>
      </c>
      <c r="D1117" s="227"/>
      <c r="E1117" s="64" t="str">
        <f>IF(ISBLANK(D1117)=TRUE,"",VLOOKUP(D1117,Krav!$C:$F,4,FALSE))</f>
        <v/>
      </c>
      <c r="F1117" s="228" t="s">
        <v>225</v>
      </c>
      <c r="G1117" s="235" t="s">
        <v>1389</v>
      </c>
      <c r="H1117" s="235" t="s">
        <v>158</v>
      </c>
      <c r="I1117" s="230" t="s">
        <v>1400</v>
      </c>
      <c r="J1117" s="236" t="s">
        <v>222</v>
      </c>
      <c r="K1117" s="123" t="s">
        <v>222</v>
      </c>
      <c r="L1117" s="231" t="s">
        <v>3</v>
      </c>
      <c r="M1117" s="232" t="s">
        <v>131</v>
      </c>
      <c r="N1117" s="232" t="s">
        <v>129</v>
      </c>
      <c r="O1117" s="232" t="s">
        <v>376</v>
      </c>
      <c r="P1117" s="232" t="s">
        <v>96</v>
      </c>
      <c r="Q1117" s="232" t="s">
        <v>131</v>
      </c>
      <c r="R1117" s="232" t="s">
        <v>131</v>
      </c>
      <c r="S1117" s="232" t="s">
        <v>129</v>
      </c>
      <c r="T1117" s="232"/>
      <c r="U1117" s="232"/>
      <c r="V1117" s="232"/>
      <c r="W1117" s="232"/>
      <c r="X1117" s="232"/>
      <c r="Y1117" s="232"/>
      <c r="Z1117" s="232"/>
      <c r="AA1117" s="232"/>
      <c r="AB1117" s="232"/>
      <c r="AC1117" s="232"/>
      <c r="AD1117" s="233" t="s">
        <v>5</v>
      </c>
    </row>
    <row r="1118" spans="1:38" s="234" customFormat="1" ht="16.5" customHeight="1" x14ac:dyDescent="0.3">
      <c r="A1118" s="224">
        <v>28</v>
      </c>
      <c r="B1118" s="225">
        <v>125</v>
      </c>
      <c r="C1118" s="226" t="str">
        <f t="shared" si="25"/>
        <v>28.125</v>
      </c>
      <c r="D1118" s="227" t="s">
        <v>1158</v>
      </c>
      <c r="E1118" s="64" t="str">
        <f>IF(ISBLANK(D1118)=TRUE,"",VLOOKUP(D1118,Krav!$C:$F,4,FALSE))</f>
        <v>10.a.2.1.1.56 - Hvis ForfaldsDato er valgt: Fristlængden indsættes i Regel R0047 - fristlængden beregnes ved at fratrække værdien fra spm. 10.a.2 med værdien fra 10.a.2.1</v>
      </c>
      <c r="F1118" s="228" t="s">
        <v>226</v>
      </c>
      <c r="G1118" s="228" t="s">
        <v>313</v>
      </c>
      <c r="H1118" s="229" t="s">
        <v>1441</v>
      </c>
      <c r="I1118" s="230" t="s">
        <v>1402</v>
      </c>
      <c r="J1118" s="237" t="s">
        <v>222</v>
      </c>
      <c r="K1118" s="123" t="s">
        <v>222</v>
      </c>
      <c r="L1118" s="231" t="s">
        <v>3</v>
      </c>
      <c r="M1118" s="232" t="s">
        <v>131</v>
      </c>
      <c r="N1118" s="232" t="s">
        <v>129</v>
      </c>
      <c r="O1118" s="232" t="s">
        <v>376</v>
      </c>
      <c r="P1118" s="232" t="s">
        <v>96</v>
      </c>
      <c r="Q1118" s="232" t="s">
        <v>131</v>
      </c>
      <c r="R1118" s="232" t="s">
        <v>131</v>
      </c>
      <c r="S1118" s="232" t="s">
        <v>129</v>
      </c>
      <c r="T1118" s="232"/>
      <c r="U1118" s="232" t="s">
        <v>1288</v>
      </c>
      <c r="V1118" s="232"/>
      <c r="W1118" s="232"/>
      <c r="X1118" s="232"/>
      <c r="Y1118" s="232"/>
      <c r="Z1118" s="232"/>
      <c r="AA1118" s="232"/>
      <c r="AB1118" s="232"/>
      <c r="AC1118" s="232"/>
      <c r="AD1118" s="233" t="s">
        <v>5</v>
      </c>
    </row>
    <row r="1119" spans="1:38" s="234" customFormat="1" ht="33" customHeight="1" x14ac:dyDescent="0.3">
      <c r="A1119" s="224">
        <v>28</v>
      </c>
      <c r="B1119" s="225">
        <v>126</v>
      </c>
      <c r="C1119" s="226" t="str">
        <f t="shared" si="25"/>
        <v>28.126</v>
      </c>
      <c r="D1119" s="227" t="s">
        <v>1160</v>
      </c>
      <c r="E1119" s="64" t="str">
        <f>IF(ISBLANK(D1119)=TRUE,"",VLOOKUP(D1119,Krav!$C:$F,4,FALSE))</f>
        <v>10.a.2.1.1.57 - Hvis ForfaldsDato er valgt: Fristlængden indsættes i Regel R0048 - fristlængden beregnes ved at fratrække værdien fra spm. 10.a.2 med værdien fra 10.a.2.1</v>
      </c>
      <c r="F1119" s="228" t="s">
        <v>226</v>
      </c>
      <c r="G1119" s="228" t="s">
        <v>313</v>
      </c>
      <c r="H1119" s="229" t="s">
        <v>1442</v>
      </c>
      <c r="I1119" s="230" t="s">
        <v>1402</v>
      </c>
      <c r="J1119" s="237" t="s">
        <v>222</v>
      </c>
      <c r="K1119" s="123" t="s">
        <v>222</v>
      </c>
      <c r="L1119" s="231" t="s">
        <v>3</v>
      </c>
      <c r="M1119" s="232" t="s">
        <v>131</v>
      </c>
      <c r="N1119" s="232" t="s">
        <v>129</v>
      </c>
      <c r="O1119" s="232" t="s">
        <v>376</v>
      </c>
      <c r="P1119" s="232" t="s">
        <v>96</v>
      </c>
      <c r="Q1119" s="232" t="s">
        <v>131</v>
      </c>
      <c r="R1119" s="232" t="s">
        <v>131</v>
      </c>
      <c r="S1119" s="232" t="s">
        <v>129</v>
      </c>
      <c r="T1119" s="232"/>
      <c r="U1119" s="232" t="s">
        <v>1289</v>
      </c>
      <c r="V1119" s="232"/>
      <c r="W1119" s="232"/>
      <c r="X1119" s="232"/>
      <c r="Y1119" s="232"/>
      <c r="Z1119" s="232"/>
      <c r="AA1119" s="232"/>
      <c r="AB1119" s="232"/>
      <c r="AC1119" s="232"/>
      <c r="AD1119" s="233" t="s">
        <v>5</v>
      </c>
    </row>
    <row r="1120" spans="1:38" s="234" customFormat="1" ht="33" customHeight="1" x14ac:dyDescent="0.3">
      <c r="A1120" s="224">
        <v>28</v>
      </c>
      <c r="B1120" s="225">
        <v>127</v>
      </c>
      <c r="C1120" s="226" t="str">
        <f t="shared" si="25"/>
        <v>28.127</v>
      </c>
      <c r="D1120" s="227" t="s">
        <v>1162</v>
      </c>
      <c r="E1120" s="64" t="str">
        <f>IF(ISBLANK(D1120)=TRUE,"",VLOOKUP(D1120,Krav!$C:$F,4,FALSE))</f>
        <v>10.a.2.1.1.58 - Hvis ForfaldsDato er valgt: Fristlængden indsættes i Regel R0049 - fristlængden beregnes ved at fratrække værdien fra spm. 10.a.2 med værdien fra 10.a.2.1</v>
      </c>
      <c r="F1120" s="228" t="s">
        <v>226</v>
      </c>
      <c r="G1120" s="228" t="s">
        <v>313</v>
      </c>
      <c r="H1120" s="229" t="s">
        <v>1441</v>
      </c>
      <c r="I1120" s="230" t="s">
        <v>1402</v>
      </c>
      <c r="J1120" s="230" t="s">
        <v>222</v>
      </c>
      <c r="K1120" s="123" t="s">
        <v>222</v>
      </c>
      <c r="L1120" s="238" t="s">
        <v>3</v>
      </c>
      <c r="M1120" s="232" t="s">
        <v>131</v>
      </c>
      <c r="N1120" s="232" t="s">
        <v>129</v>
      </c>
      <c r="O1120" s="232" t="s">
        <v>376</v>
      </c>
      <c r="P1120" s="232" t="s">
        <v>96</v>
      </c>
      <c r="Q1120" s="232" t="s">
        <v>131</v>
      </c>
      <c r="R1120" s="232" t="s">
        <v>131</v>
      </c>
      <c r="S1120" s="232" t="s">
        <v>129</v>
      </c>
      <c r="T1120" s="232"/>
      <c r="U1120" s="232" t="s">
        <v>1290</v>
      </c>
      <c r="V1120" s="232"/>
      <c r="W1120" s="232"/>
      <c r="X1120" s="232"/>
      <c r="Y1120" s="232"/>
      <c r="Z1120" s="232"/>
      <c r="AA1120" s="232"/>
      <c r="AB1120" s="232"/>
      <c r="AC1120" s="232"/>
      <c r="AD1120" s="233" t="s">
        <v>5</v>
      </c>
    </row>
    <row r="1121" spans="1:30" s="234" customFormat="1" ht="33" customHeight="1" x14ac:dyDescent="0.3">
      <c r="A1121" s="224">
        <v>28</v>
      </c>
      <c r="B1121" s="225">
        <v>128</v>
      </c>
      <c r="C1121" s="226" t="str">
        <f t="shared" si="25"/>
        <v>28.128</v>
      </c>
      <c r="D1121" s="227" t="s">
        <v>1164</v>
      </c>
      <c r="E1121" s="64" t="str">
        <f>IF(ISBLANK(D1121)=TRUE,"",VLOOKUP(D1121,Krav!$C:$F,4,FALSE))</f>
        <v>10.a.2.1.1.59 - Hvis ForfaldsDato er valgt: Fristlængden indsættes i Regel R0050 - fristlængden beregnes ved at fratrække værdien fra spm. 10.a.2 med værdien fra 10.a.2.1</v>
      </c>
      <c r="F1121" s="228" t="s">
        <v>226</v>
      </c>
      <c r="G1121" s="228" t="s">
        <v>313</v>
      </c>
      <c r="H1121" s="229" t="s">
        <v>1441</v>
      </c>
      <c r="I1121" s="230" t="s">
        <v>1402</v>
      </c>
      <c r="J1121" s="230" t="s">
        <v>222</v>
      </c>
      <c r="K1121" s="123" t="s">
        <v>222</v>
      </c>
      <c r="L1121" s="238" t="s">
        <v>3</v>
      </c>
      <c r="M1121" s="232" t="s">
        <v>131</v>
      </c>
      <c r="N1121" s="232" t="s">
        <v>129</v>
      </c>
      <c r="O1121" s="232" t="s">
        <v>376</v>
      </c>
      <c r="P1121" s="232" t="s">
        <v>96</v>
      </c>
      <c r="Q1121" s="232" t="s">
        <v>131</v>
      </c>
      <c r="R1121" s="232" t="s">
        <v>131</v>
      </c>
      <c r="S1121" s="232" t="s">
        <v>129</v>
      </c>
      <c r="T1121" s="232"/>
      <c r="U1121" s="232" t="s">
        <v>1291</v>
      </c>
      <c r="V1121" s="232"/>
      <c r="W1121" s="232"/>
      <c r="X1121" s="232"/>
      <c r="Y1121" s="232"/>
      <c r="Z1121" s="232"/>
      <c r="AA1121" s="232"/>
      <c r="AB1121" s="232"/>
      <c r="AC1121" s="232"/>
      <c r="AD1121" s="233" t="s">
        <v>5</v>
      </c>
    </row>
    <row r="1122" spans="1:30" s="234" customFormat="1" ht="33" customHeight="1" x14ac:dyDescent="0.3">
      <c r="A1122" s="224">
        <v>28</v>
      </c>
      <c r="B1122" s="225">
        <v>129</v>
      </c>
      <c r="C1122" s="226" t="str">
        <f t="shared" si="25"/>
        <v>28.129</v>
      </c>
      <c r="D1122" s="227" t="s">
        <v>1198</v>
      </c>
      <c r="E1122" s="64" t="str">
        <f>IF(ISBLANK(D1122)=TRUE,"",VLOOKUP(D1122,Krav!$C:$F,4,FALSE))</f>
        <v>10.a.2.1.1.76 - Hvis ForfaldsDato er valgt: Fristlængden indsættes i Regel R0067 - fristlængden beregnes ved at fratrække værdien fra spm. 10.a.2 med værdien fra 10.a.2.1</v>
      </c>
      <c r="F1122" s="228" t="s">
        <v>226</v>
      </c>
      <c r="G1122" s="228" t="s">
        <v>313</v>
      </c>
      <c r="H1122" s="229" t="s">
        <v>1441</v>
      </c>
      <c r="I1122" s="230" t="s">
        <v>1402</v>
      </c>
      <c r="J1122" s="230" t="s">
        <v>222</v>
      </c>
      <c r="K1122" s="123" t="s">
        <v>222</v>
      </c>
      <c r="L1122" s="238" t="s">
        <v>3</v>
      </c>
      <c r="M1122" s="232" t="s">
        <v>131</v>
      </c>
      <c r="N1122" s="232" t="s">
        <v>129</v>
      </c>
      <c r="O1122" s="232" t="s">
        <v>376</v>
      </c>
      <c r="P1122" s="232" t="s">
        <v>96</v>
      </c>
      <c r="Q1122" s="232" t="s">
        <v>131</v>
      </c>
      <c r="R1122" s="232" t="s">
        <v>131</v>
      </c>
      <c r="S1122" s="232" t="s">
        <v>129</v>
      </c>
      <c r="T1122" s="232"/>
      <c r="U1122" s="232" t="s">
        <v>1292</v>
      </c>
      <c r="V1122" s="232"/>
      <c r="W1122" s="232"/>
      <c r="X1122" s="232"/>
      <c r="Y1122" s="232"/>
      <c r="Z1122" s="232"/>
      <c r="AA1122" s="232"/>
      <c r="AB1122" s="232"/>
      <c r="AC1122" s="232"/>
      <c r="AD1122" s="233" t="s">
        <v>5</v>
      </c>
    </row>
    <row r="1123" spans="1:30" s="234" customFormat="1" ht="33" customHeight="1" x14ac:dyDescent="0.3">
      <c r="A1123" s="224">
        <v>28</v>
      </c>
      <c r="B1123" s="225">
        <v>130</v>
      </c>
      <c r="C1123" s="226" t="str">
        <f t="shared" si="25"/>
        <v>28.130</v>
      </c>
      <c r="D1123" s="227" t="s">
        <v>1158</v>
      </c>
      <c r="E1123" s="64" t="str">
        <f>IF(ISBLANK(D1123)=TRUE,"",VLOOKUP(D1123,Krav!$C:$F,4,FALSE))</f>
        <v>10.a.2.1.1.56 - Hvis ForfaldsDato er valgt: Fristlængden indsættes i Regel R0047 - fristlængden beregnes ved at fratrække værdien fra spm. 10.a.2 med værdien fra 10.a.2.1</v>
      </c>
      <c r="F1123" s="228" t="s">
        <v>226</v>
      </c>
      <c r="G1123" s="228" t="s">
        <v>313</v>
      </c>
      <c r="H1123" s="229" t="s">
        <v>1441</v>
      </c>
      <c r="I1123" s="230" t="s">
        <v>1403</v>
      </c>
      <c r="J1123" s="237" t="s">
        <v>222</v>
      </c>
      <c r="K1123" s="123" t="s">
        <v>222</v>
      </c>
      <c r="L1123" s="231" t="s">
        <v>3</v>
      </c>
      <c r="M1123" s="232" t="s">
        <v>131</v>
      </c>
      <c r="N1123" s="232" t="s">
        <v>129</v>
      </c>
      <c r="O1123" s="232" t="s">
        <v>376</v>
      </c>
      <c r="P1123" s="232" t="s">
        <v>376</v>
      </c>
      <c r="Q1123" s="232" t="s">
        <v>131</v>
      </c>
      <c r="R1123" s="232" t="s">
        <v>131</v>
      </c>
      <c r="S1123" s="232" t="s">
        <v>131</v>
      </c>
      <c r="T1123" s="232"/>
      <c r="U1123" s="232" t="s">
        <v>1288</v>
      </c>
      <c r="V1123" s="232"/>
      <c r="W1123" s="232"/>
      <c r="X1123" s="232"/>
      <c r="Y1123" s="232"/>
      <c r="Z1123" s="232"/>
      <c r="AA1123" s="232"/>
      <c r="AB1123" s="232"/>
      <c r="AC1123" s="232"/>
      <c r="AD1123" s="233" t="s">
        <v>5</v>
      </c>
    </row>
    <row r="1124" spans="1:30" s="234" customFormat="1" ht="33" customHeight="1" x14ac:dyDescent="0.3">
      <c r="A1124" s="224">
        <v>28</v>
      </c>
      <c r="B1124" s="225">
        <v>131</v>
      </c>
      <c r="C1124" s="226" t="str">
        <f t="shared" ref="C1124:C1187" si="26">IF(B1124&lt;10,_xlfn.CONCAT(A1124,".0",B1124),_xlfn.CONCAT(A1124,".",B1124))</f>
        <v>28.131</v>
      </c>
      <c r="D1124" s="227" t="s">
        <v>1160</v>
      </c>
      <c r="E1124" s="64" t="str">
        <f>IF(ISBLANK(D1124)=TRUE,"",VLOOKUP(D1124,Krav!$C:$F,4,FALSE))</f>
        <v>10.a.2.1.1.57 - Hvis ForfaldsDato er valgt: Fristlængden indsættes i Regel R0048 - fristlængden beregnes ved at fratrække værdien fra spm. 10.a.2 med værdien fra 10.a.2.1</v>
      </c>
      <c r="F1124" s="228" t="s">
        <v>226</v>
      </c>
      <c r="G1124" s="228" t="s">
        <v>313</v>
      </c>
      <c r="H1124" s="229" t="s">
        <v>1442</v>
      </c>
      <c r="I1124" s="230" t="s">
        <v>1403</v>
      </c>
      <c r="J1124" s="237" t="s">
        <v>222</v>
      </c>
      <c r="K1124" s="123" t="s">
        <v>222</v>
      </c>
      <c r="L1124" s="231" t="s">
        <v>3</v>
      </c>
      <c r="M1124" s="232" t="s">
        <v>131</v>
      </c>
      <c r="N1124" s="232" t="s">
        <v>129</v>
      </c>
      <c r="O1124" s="232" t="s">
        <v>376</v>
      </c>
      <c r="P1124" s="232" t="s">
        <v>376</v>
      </c>
      <c r="Q1124" s="232" t="s">
        <v>131</v>
      </c>
      <c r="R1124" s="232" t="s">
        <v>131</v>
      </c>
      <c r="S1124" s="232" t="s">
        <v>131</v>
      </c>
      <c r="T1124" s="232"/>
      <c r="U1124" s="232" t="s">
        <v>1289</v>
      </c>
      <c r="V1124" s="232"/>
      <c r="W1124" s="232"/>
      <c r="X1124" s="232"/>
      <c r="Y1124" s="232"/>
      <c r="Z1124" s="232"/>
      <c r="AA1124" s="232"/>
      <c r="AB1124" s="232"/>
      <c r="AC1124" s="232"/>
      <c r="AD1124" s="233" t="s">
        <v>5</v>
      </c>
    </row>
    <row r="1125" spans="1:30" s="234" customFormat="1" ht="33" customHeight="1" x14ac:dyDescent="0.3">
      <c r="A1125" s="224">
        <v>28</v>
      </c>
      <c r="B1125" s="225">
        <v>132</v>
      </c>
      <c r="C1125" s="226" t="str">
        <f t="shared" si="26"/>
        <v>28.132</v>
      </c>
      <c r="D1125" s="227" t="s">
        <v>1162</v>
      </c>
      <c r="E1125" s="64" t="str">
        <f>IF(ISBLANK(D1125)=TRUE,"",VLOOKUP(D1125,Krav!$C:$F,4,FALSE))</f>
        <v>10.a.2.1.1.58 - Hvis ForfaldsDato er valgt: Fristlængden indsættes i Regel R0049 - fristlængden beregnes ved at fratrække værdien fra spm. 10.a.2 med værdien fra 10.a.2.1</v>
      </c>
      <c r="F1125" s="228" t="s">
        <v>226</v>
      </c>
      <c r="G1125" s="228" t="s">
        <v>313</v>
      </c>
      <c r="H1125" s="229" t="s">
        <v>1441</v>
      </c>
      <c r="I1125" s="230" t="s">
        <v>1403</v>
      </c>
      <c r="J1125" s="230" t="s">
        <v>222</v>
      </c>
      <c r="K1125" s="123" t="s">
        <v>222</v>
      </c>
      <c r="L1125" s="238" t="s">
        <v>3</v>
      </c>
      <c r="M1125" s="232" t="s">
        <v>131</v>
      </c>
      <c r="N1125" s="232" t="s">
        <v>129</v>
      </c>
      <c r="O1125" s="232" t="s">
        <v>376</v>
      </c>
      <c r="P1125" s="232" t="s">
        <v>376</v>
      </c>
      <c r="Q1125" s="232" t="s">
        <v>131</v>
      </c>
      <c r="R1125" s="232" t="s">
        <v>131</v>
      </c>
      <c r="S1125" s="232" t="s">
        <v>131</v>
      </c>
      <c r="T1125" s="232"/>
      <c r="U1125" s="232" t="s">
        <v>1290</v>
      </c>
      <c r="V1125" s="232"/>
      <c r="W1125" s="232"/>
      <c r="X1125" s="232"/>
      <c r="Y1125" s="232"/>
      <c r="Z1125" s="232"/>
      <c r="AA1125" s="232"/>
      <c r="AB1125" s="232"/>
      <c r="AC1125" s="232"/>
      <c r="AD1125" s="233" t="s">
        <v>5</v>
      </c>
    </row>
    <row r="1126" spans="1:30" s="234" customFormat="1" ht="33" customHeight="1" x14ac:dyDescent="0.3">
      <c r="A1126" s="224">
        <v>28</v>
      </c>
      <c r="B1126" s="225">
        <v>133</v>
      </c>
      <c r="C1126" s="226" t="str">
        <f t="shared" si="26"/>
        <v>28.133</v>
      </c>
      <c r="D1126" s="227" t="s">
        <v>1164</v>
      </c>
      <c r="E1126" s="64" t="str">
        <f>IF(ISBLANK(D1126)=TRUE,"",VLOOKUP(D1126,Krav!$C:$F,4,FALSE))</f>
        <v>10.a.2.1.1.59 - Hvis ForfaldsDato er valgt: Fristlængden indsættes i Regel R0050 - fristlængden beregnes ved at fratrække værdien fra spm. 10.a.2 med værdien fra 10.a.2.1</v>
      </c>
      <c r="F1126" s="228" t="s">
        <v>226</v>
      </c>
      <c r="G1126" s="228" t="s">
        <v>313</v>
      </c>
      <c r="H1126" s="229" t="s">
        <v>1441</v>
      </c>
      <c r="I1126" s="230" t="s">
        <v>1403</v>
      </c>
      <c r="J1126" s="230" t="s">
        <v>222</v>
      </c>
      <c r="K1126" s="123" t="s">
        <v>222</v>
      </c>
      <c r="L1126" s="238" t="s">
        <v>3</v>
      </c>
      <c r="M1126" s="232" t="s">
        <v>131</v>
      </c>
      <c r="N1126" s="232" t="s">
        <v>129</v>
      </c>
      <c r="O1126" s="232" t="s">
        <v>376</v>
      </c>
      <c r="P1126" s="232" t="s">
        <v>376</v>
      </c>
      <c r="Q1126" s="232" t="s">
        <v>131</v>
      </c>
      <c r="R1126" s="232" t="s">
        <v>131</v>
      </c>
      <c r="S1126" s="232" t="s">
        <v>131</v>
      </c>
      <c r="T1126" s="232"/>
      <c r="U1126" s="232" t="s">
        <v>1291</v>
      </c>
      <c r="V1126" s="232"/>
      <c r="W1126" s="232"/>
      <c r="X1126" s="232"/>
      <c r="Y1126" s="232"/>
      <c r="Z1126" s="232"/>
      <c r="AA1126" s="232"/>
      <c r="AB1126" s="232"/>
      <c r="AC1126" s="232"/>
      <c r="AD1126" s="233" t="s">
        <v>5</v>
      </c>
    </row>
    <row r="1127" spans="1:30" s="234" customFormat="1" ht="33" customHeight="1" x14ac:dyDescent="0.3">
      <c r="A1127" s="224">
        <v>28</v>
      </c>
      <c r="B1127" s="225">
        <v>134</v>
      </c>
      <c r="C1127" s="226" t="str">
        <f t="shared" si="26"/>
        <v>28.134</v>
      </c>
      <c r="D1127" s="227" t="s">
        <v>1198</v>
      </c>
      <c r="E1127" s="64" t="str">
        <f>IF(ISBLANK(D1127)=TRUE,"",VLOOKUP(D1127,Krav!$C:$F,4,FALSE))</f>
        <v>10.a.2.1.1.76 - Hvis ForfaldsDato er valgt: Fristlængden indsættes i Regel R0067 - fristlængden beregnes ved at fratrække værdien fra spm. 10.a.2 med værdien fra 10.a.2.1</v>
      </c>
      <c r="F1127" s="228" t="s">
        <v>226</v>
      </c>
      <c r="G1127" s="228" t="s">
        <v>313</v>
      </c>
      <c r="H1127" s="229" t="s">
        <v>1441</v>
      </c>
      <c r="I1127" s="230" t="s">
        <v>1403</v>
      </c>
      <c r="J1127" s="230" t="s">
        <v>222</v>
      </c>
      <c r="K1127" s="123" t="s">
        <v>222</v>
      </c>
      <c r="L1127" s="238" t="s">
        <v>3</v>
      </c>
      <c r="M1127" s="232" t="s">
        <v>131</v>
      </c>
      <c r="N1127" s="232" t="s">
        <v>129</v>
      </c>
      <c r="O1127" s="232" t="s">
        <v>376</v>
      </c>
      <c r="P1127" s="232" t="s">
        <v>376</v>
      </c>
      <c r="Q1127" s="232" t="s">
        <v>131</v>
      </c>
      <c r="R1127" s="232" t="s">
        <v>131</v>
      </c>
      <c r="S1127" s="232" t="s">
        <v>131</v>
      </c>
      <c r="T1127" s="232"/>
      <c r="U1127" s="232" t="s">
        <v>1292</v>
      </c>
      <c r="V1127" s="232"/>
      <c r="W1127" s="232"/>
      <c r="X1127" s="232"/>
      <c r="Y1127" s="232"/>
      <c r="Z1127" s="232"/>
      <c r="AA1127" s="232"/>
      <c r="AB1127" s="232"/>
      <c r="AC1127" s="232"/>
      <c r="AD1127" s="233" t="s">
        <v>5</v>
      </c>
    </row>
    <row r="1128" spans="1:30" s="234" customFormat="1" ht="33" customHeight="1" x14ac:dyDescent="0.3">
      <c r="A1128" s="224">
        <v>28</v>
      </c>
      <c r="B1128" s="225">
        <v>135</v>
      </c>
      <c r="C1128" s="226" t="str">
        <f t="shared" si="26"/>
        <v>28.135</v>
      </c>
      <c r="D1128" s="227" t="s">
        <v>1158</v>
      </c>
      <c r="E1128" s="64" t="str">
        <f>IF(ISBLANK(D1128)=TRUE,"",VLOOKUP(D1128,Krav!$C:$F,4,FALSE))</f>
        <v>10.a.2.1.1.56 - Hvis ForfaldsDato er valgt: Fristlængden indsættes i Regel R0047 - fristlængden beregnes ved at fratrække værdien fra spm. 10.a.2 med værdien fra 10.a.2.1</v>
      </c>
      <c r="F1128" s="228" t="s">
        <v>226</v>
      </c>
      <c r="G1128" s="228" t="s">
        <v>313</v>
      </c>
      <c r="H1128" s="229" t="s">
        <v>1404</v>
      </c>
      <c r="I1128" s="237" t="s">
        <v>408</v>
      </c>
      <c r="J1128" s="237" t="s">
        <v>222</v>
      </c>
      <c r="K1128" s="123" t="s">
        <v>222</v>
      </c>
      <c r="L1128" s="231" t="s">
        <v>4</v>
      </c>
      <c r="M1128" s="232" t="s">
        <v>129</v>
      </c>
      <c r="N1128" s="232" t="s">
        <v>131</v>
      </c>
      <c r="O1128" s="232" t="s">
        <v>1403</v>
      </c>
      <c r="P1128" s="232" t="s">
        <v>1405</v>
      </c>
      <c r="Q1128" s="232" t="s">
        <v>131</v>
      </c>
      <c r="R1128" s="232" t="s">
        <v>131</v>
      </c>
      <c r="S1128" s="232" t="s">
        <v>131</v>
      </c>
      <c r="T1128" s="232"/>
      <c r="U1128" s="232" t="s">
        <v>1288</v>
      </c>
      <c r="V1128" s="232"/>
      <c r="W1128" s="232"/>
      <c r="X1128" s="232"/>
      <c r="Y1128" s="232"/>
      <c r="Z1128" s="232"/>
      <c r="AA1128" s="232"/>
      <c r="AB1128" s="232"/>
      <c r="AC1128" s="232"/>
      <c r="AD1128" s="233" t="s">
        <v>5</v>
      </c>
    </row>
    <row r="1129" spans="1:30" s="234" customFormat="1" ht="33" customHeight="1" x14ac:dyDescent="0.3">
      <c r="A1129" s="224">
        <v>28</v>
      </c>
      <c r="B1129" s="225">
        <v>136</v>
      </c>
      <c r="C1129" s="226" t="str">
        <f t="shared" si="26"/>
        <v>28.136</v>
      </c>
      <c r="D1129" s="227" t="s">
        <v>1160</v>
      </c>
      <c r="E1129" s="64" t="str">
        <f>IF(ISBLANK(D1129)=TRUE,"",VLOOKUP(D1129,Krav!$C:$F,4,FALSE))</f>
        <v>10.a.2.1.1.57 - Hvis ForfaldsDato er valgt: Fristlængden indsættes i Regel R0048 - fristlængden beregnes ved at fratrække værdien fra spm. 10.a.2 med værdien fra 10.a.2.1</v>
      </c>
      <c r="F1129" s="228" t="s">
        <v>226</v>
      </c>
      <c r="G1129" s="228" t="s">
        <v>313</v>
      </c>
      <c r="H1129" s="229" t="s">
        <v>1404</v>
      </c>
      <c r="I1129" s="237" t="s">
        <v>408</v>
      </c>
      <c r="J1129" s="237" t="s">
        <v>222</v>
      </c>
      <c r="K1129" s="123" t="s">
        <v>222</v>
      </c>
      <c r="L1129" s="231" t="s">
        <v>4</v>
      </c>
      <c r="M1129" s="232" t="s">
        <v>129</v>
      </c>
      <c r="N1129" s="232" t="s">
        <v>131</v>
      </c>
      <c r="O1129" s="232" t="s">
        <v>1403</v>
      </c>
      <c r="P1129" s="232" t="s">
        <v>1405</v>
      </c>
      <c r="Q1129" s="232" t="s">
        <v>131</v>
      </c>
      <c r="R1129" s="232" t="s">
        <v>131</v>
      </c>
      <c r="S1129" s="232" t="s">
        <v>131</v>
      </c>
      <c r="T1129" s="232"/>
      <c r="U1129" s="232" t="s">
        <v>1289</v>
      </c>
      <c r="V1129" s="232"/>
      <c r="W1129" s="232"/>
      <c r="X1129" s="232"/>
      <c r="Y1129" s="232"/>
      <c r="Z1129" s="232"/>
      <c r="AA1129" s="232"/>
      <c r="AB1129" s="232"/>
      <c r="AC1129" s="232"/>
      <c r="AD1129" s="233" t="s">
        <v>5</v>
      </c>
    </row>
    <row r="1130" spans="1:30" s="234" customFormat="1" ht="33" customHeight="1" x14ac:dyDescent="0.3">
      <c r="A1130" s="224">
        <v>28</v>
      </c>
      <c r="B1130" s="225">
        <v>137</v>
      </c>
      <c r="C1130" s="226" t="str">
        <f t="shared" si="26"/>
        <v>28.137</v>
      </c>
      <c r="D1130" s="227" t="s">
        <v>1162</v>
      </c>
      <c r="E1130" s="64" t="str">
        <f>IF(ISBLANK(D1130)=TRUE,"",VLOOKUP(D1130,Krav!$C:$F,4,FALSE))</f>
        <v>10.a.2.1.1.58 - Hvis ForfaldsDato er valgt: Fristlængden indsættes i Regel R0049 - fristlængden beregnes ved at fratrække værdien fra spm. 10.a.2 med værdien fra 10.a.2.1</v>
      </c>
      <c r="F1130" s="228" t="s">
        <v>226</v>
      </c>
      <c r="G1130" s="228" t="s">
        <v>313</v>
      </c>
      <c r="H1130" s="229" t="s">
        <v>1404</v>
      </c>
      <c r="I1130" s="237" t="s">
        <v>408</v>
      </c>
      <c r="J1130" s="230" t="s">
        <v>222</v>
      </c>
      <c r="K1130" s="123" t="s">
        <v>222</v>
      </c>
      <c r="L1130" s="231" t="s">
        <v>4</v>
      </c>
      <c r="M1130" s="232" t="s">
        <v>129</v>
      </c>
      <c r="N1130" s="232" t="s">
        <v>131</v>
      </c>
      <c r="O1130" s="232" t="s">
        <v>1403</v>
      </c>
      <c r="P1130" s="232" t="s">
        <v>1405</v>
      </c>
      <c r="Q1130" s="232" t="s">
        <v>131</v>
      </c>
      <c r="R1130" s="232" t="s">
        <v>131</v>
      </c>
      <c r="S1130" s="232" t="s">
        <v>131</v>
      </c>
      <c r="T1130" s="232"/>
      <c r="U1130" s="232" t="s">
        <v>1290</v>
      </c>
      <c r="V1130" s="232"/>
      <c r="W1130" s="232"/>
      <c r="X1130" s="232"/>
      <c r="Y1130" s="232"/>
      <c r="Z1130" s="232"/>
      <c r="AA1130" s="232"/>
      <c r="AB1130" s="232"/>
      <c r="AC1130" s="232"/>
      <c r="AD1130" s="233" t="s">
        <v>5</v>
      </c>
    </row>
    <row r="1131" spans="1:30" s="234" customFormat="1" ht="33" customHeight="1" x14ac:dyDescent="0.3">
      <c r="A1131" s="224">
        <v>28</v>
      </c>
      <c r="B1131" s="225">
        <v>138</v>
      </c>
      <c r="C1131" s="226" t="str">
        <f t="shared" si="26"/>
        <v>28.138</v>
      </c>
      <c r="D1131" s="227" t="s">
        <v>1164</v>
      </c>
      <c r="E1131" s="64" t="str">
        <f>IF(ISBLANK(D1131)=TRUE,"",VLOOKUP(D1131,Krav!$C:$F,4,FALSE))</f>
        <v>10.a.2.1.1.59 - Hvis ForfaldsDato er valgt: Fristlængden indsættes i Regel R0050 - fristlængden beregnes ved at fratrække værdien fra spm. 10.a.2 med værdien fra 10.a.2.1</v>
      </c>
      <c r="F1131" s="228" t="s">
        <v>226</v>
      </c>
      <c r="G1131" s="228" t="s">
        <v>313</v>
      </c>
      <c r="H1131" s="229" t="s">
        <v>1404</v>
      </c>
      <c r="I1131" s="237" t="s">
        <v>408</v>
      </c>
      <c r="J1131" s="230" t="s">
        <v>222</v>
      </c>
      <c r="K1131" s="123" t="s">
        <v>222</v>
      </c>
      <c r="L1131" s="231" t="s">
        <v>4</v>
      </c>
      <c r="M1131" s="232" t="s">
        <v>129</v>
      </c>
      <c r="N1131" s="232" t="s">
        <v>131</v>
      </c>
      <c r="O1131" s="232" t="s">
        <v>1403</v>
      </c>
      <c r="P1131" s="232" t="s">
        <v>1405</v>
      </c>
      <c r="Q1131" s="232" t="s">
        <v>131</v>
      </c>
      <c r="R1131" s="232" t="s">
        <v>131</v>
      </c>
      <c r="S1131" s="232" t="s">
        <v>131</v>
      </c>
      <c r="T1131" s="232"/>
      <c r="U1131" s="232" t="s">
        <v>1291</v>
      </c>
      <c r="V1131" s="232"/>
      <c r="W1131" s="232"/>
      <c r="X1131" s="232"/>
      <c r="Y1131" s="232"/>
      <c r="Z1131" s="232"/>
      <c r="AA1131" s="232"/>
      <c r="AB1131" s="232"/>
      <c r="AC1131" s="232"/>
      <c r="AD1131" s="233" t="s">
        <v>5</v>
      </c>
    </row>
    <row r="1132" spans="1:30" s="234" customFormat="1" ht="33" customHeight="1" x14ac:dyDescent="0.3">
      <c r="A1132" s="224">
        <v>28</v>
      </c>
      <c r="B1132" s="225">
        <v>139</v>
      </c>
      <c r="C1132" s="226" t="str">
        <f t="shared" si="26"/>
        <v>28.139</v>
      </c>
      <c r="D1132" s="227" t="s">
        <v>1198</v>
      </c>
      <c r="E1132" s="64" t="str">
        <f>IF(ISBLANK(D1132)=TRUE,"",VLOOKUP(D1132,Krav!$C:$F,4,FALSE))</f>
        <v>10.a.2.1.1.76 - Hvis ForfaldsDato er valgt: Fristlængden indsættes i Regel R0067 - fristlængden beregnes ved at fratrække værdien fra spm. 10.a.2 med værdien fra 10.a.2.1</v>
      </c>
      <c r="F1132" s="228" t="s">
        <v>226</v>
      </c>
      <c r="G1132" s="228" t="s">
        <v>313</v>
      </c>
      <c r="H1132" s="229" t="s">
        <v>1404</v>
      </c>
      <c r="I1132" s="237" t="s">
        <v>408</v>
      </c>
      <c r="J1132" s="230" t="s">
        <v>222</v>
      </c>
      <c r="K1132" s="123" t="s">
        <v>222</v>
      </c>
      <c r="L1132" s="231" t="s">
        <v>4</v>
      </c>
      <c r="M1132" s="232" t="s">
        <v>129</v>
      </c>
      <c r="N1132" s="232" t="s">
        <v>131</v>
      </c>
      <c r="O1132" s="232" t="s">
        <v>1403</v>
      </c>
      <c r="P1132" s="232" t="s">
        <v>1405</v>
      </c>
      <c r="Q1132" s="232" t="s">
        <v>131</v>
      </c>
      <c r="R1132" s="232" t="s">
        <v>131</v>
      </c>
      <c r="S1132" s="232" t="s">
        <v>131</v>
      </c>
      <c r="T1132" s="232"/>
      <c r="U1132" s="232" t="s">
        <v>1292</v>
      </c>
      <c r="V1132" s="232"/>
      <c r="W1132" s="232"/>
      <c r="X1132" s="232"/>
      <c r="Y1132" s="232"/>
      <c r="Z1132" s="232"/>
      <c r="AA1132" s="232"/>
      <c r="AB1132" s="232"/>
      <c r="AC1132" s="232"/>
      <c r="AD1132" s="233" t="s">
        <v>5</v>
      </c>
    </row>
    <row r="1133" spans="1:30" s="234" customFormat="1" ht="33" customHeight="1" x14ac:dyDescent="0.3">
      <c r="A1133" s="224">
        <v>28</v>
      </c>
      <c r="B1133" s="225">
        <v>140</v>
      </c>
      <c r="C1133" s="226" t="str">
        <f t="shared" si="26"/>
        <v>28.140</v>
      </c>
      <c r="D1133" s="227" t="s">
        <v>1158</v>
      </c>
      <c r="E1133" s="64" t="str">
        <f>IF(ISBLANK(D1133)=TRUE,"",VLOOKUP(D1133,Krav!$C:$F,4,FALSE))</f>
        <v>10.a.2.1.1.56 - Hvis ForfaldsDato er valgt: Fristlængden indsættes i Regel R0047 - fristlængden beregnes ved at fratrække værdien fra spm. 10.a.2 med værdien fra 10.a.2.1</v>
      </c>
      <c r="F1133" s="228" t="s">
        <v>226</v>
      </c>
      <c r="G1133" s="228" t="s">
        <v>313</v>
      </c>
      <c r="H1133" s="229" t="s">
        <v>1404</v>
      </c>
      <c r="I1133" s="230" t="s">
        <v>410</v>
      </c>
      <c r="J1133" s="237" t="s">
        <v>222</v>
      </c>
      <c r="K1133" s="123" t="s">
        <v>222</v>
      </c>
      <c r="L1133" s="231" t="s">
        <v>4</v>
      </c>
      <c r="M1133" s="232" t="s">
        <v>129</v>
      </c>
      <c r="N1133" s="232" t="s">
        <v>131</v>
      </c>
      <c r="O1133" s="232" t="s">
        <v>1405</v>
      </c>
      <c r="P1133" s="232" t="s">
        <v>1403</v>
      </c>
      <c r="Q1133" s="232" t="s">
        <v>131</v>
      </c>
      <c r="R1133" s="232" t="s">
        <v>131</v>
      </c>
      <c r="S1133" s="232" t="s">
        <v>131</v>
      </c>
      <c r="T1133" s="232"/>
      <c r="U1133" s="232" t="s">
        <v>1288</v>
      </c>
      <c r="V1133" s="232"/>
      <c r="W1133" s="232"/>
      <c r="X1133" s="232"/>
      <c r="Y1133" s="232"/>
      <c r="Z1133" s="232"/>
      <c r="AA1133" s="232"/>
      <c r="AB1133" s="232"/>
      <c r="AC1133" s="232"/>
      <c r="AD1133" s="233" t="s">
        <v>5</v>
      </c>
    </row>
    <row r="1134" spans="1:30" s="234" customFormat="1" ht="33" customHeight="1" x14ac:dyDescent="0.3">
      <c r="A1134" s="224">
        <v>28</v>
      </c>
      <c r="B1134" s="225">
        <v>141</v>
      </c>
      <c r="C1134" s="226" t="str">
        <f t="shared" si="26"/>
        <v>28.141</v>
      </c>
      <c r="D1134" s="227" t="s">
        <v>1160</v>
      </c>
      <c r="E1134" s="64" t="str">
        <f>IF(ISBLANK(D1134)=TRUE,"",VLOOKUP(D1134,Krav!$C:$F,4,FALSE))</f>
        <v>10.a.2.1.1.57 - Hvis ForfaldsDato er valgt: Fristlængden indsættes i Regel R0048 - fristlængden beregnes ved at fratrække værdien fra spm. 10.a.2 med værdien fra 10.a.2.1</v>
      </c>
      <c r="F1134" s="228" t="s">
        <v>226</v>
      </c>
      <c r="G1134" s="228" t="s">
        <v>313</v>
      </c>
      <c r="H1134" s="229" t="s">
        <v>1404</v>
      </c>
      <c r="I1134" s="230" t="s">
        <v>410</v>
      </c>
      <c r="J1134" s="237" t="s">
        <v>222</v>
      </c>
      <c r="K1134" s="123" t="s">
        <v>222</v>
      </c>
      <c r="L1134" s="231" t="s">
        <v>4</v>
      </c>
      <c r="M1134" s="232" t="s">
        <v>129</v>
      </c>
      <c r="N1134" s="232" t="s">
        <v>131</v>
      </c>
      <c r="O1134" s="232" t="s">
        <v>1405</v>
      </c>
      <c r="P1134" s="232" t="s">
        <v>1403</v>
      </c>
      <c r="Q1134" s="232" t="s">
        <v>131</v>
      </c>
      <c r="R1134" s="232" t="s">
        <v>131</v>
      </c>
      <c r="S1134" s="232" t="s">
        <v>131</v>
      </c>
      <c r="T1134" s="232"/>
      <c r="U1134" s="232" t="s">
        <v>1289</v>
      </c>
      <c r="V1134" s="232"/>
      <c r="W1134" s="232"/>
      <c r="X1134" s="232"/>
      <c r="Y1134" s="232"/>
      <c r="Z1134" s="232"/>
      <c r="AA1134" s="232"/>
      <c r="AB1134" s="232"/>
      <c r="AC1134" s="232"/>
      <c r="AD1134" s="233" t="s">
        <v>5</v>
      </c>
    </row>
    <row r="1135" spans="1:30" s="234" customFormat="1" ht="33" customHeight="1" x14ac:dyDescent="0.3">
      <c r="A1135" s="224">
        <v>28</v>
      </c>
      <c r="B1135" s="225">
        <v>142</v>
      </c>
      <c r="C1135" s="226" t="str">
        <f t="shared" si="26"/>
        <v>28.142</v>
      </c>
      <c r="D1135" s="227" t="s">
        <v>1162</v>
      </c>
      <c r="E1135" s="64" t="str">
        <f>IF(ISBLANK(D1135)=TRUE,"",VLOOKUP(D1135,Krav!$C:$F,4,FALSE))</f>
        <v>10.a.2.1.1.58 - Hvis ForfaldsDato er valgt: Fristlængden indsættes i Regel R0049 - fristlængden beregnes ved at fratrække værdien fra spm. 10.a.2 med værdien fra 10.a.2.1</v>
      </c>
      <c r="F1135" s="228" t="s">
        <v>226</v>
      </c>
      <c r="G1135" s="228" t="s">
        <v>313</v>
      </c>
      <c r="H1135" s="229" t="s">
        <v>1404</v>
      </c>
      <c r="I1135" s="230" t="s">
        <v>410</v>
      </c>
      <c r="J1135" s="230" t="s">
        <v>222</v>
      </c>
      <c r="K1135" s="123" t="s">
        <v>222</v>
      </c>
      <c r="L1135" s="231" t="s">
        <v>4</v>
      </c>
      <c r="M1135" s="232" t="s">
        <v>129</v>
      </c>
      <c r="N1135" s="232" t="s">
        <v>131</v>
      </c>
      <c r="O1135" s="232" t="s">
        <v>1405</v>
      </c>
      <c r="P1135" s="232" t="s">
        <v>1403</v>
      </c>
      <c r="Q1135" s="232" t="s">
        <v>131</v>
      </c>
      <c r="R1135" s="232" t="s">
        <v>131</v>
      </c>
      <c r="S1135" s="232" t="s">
        <v>131</v>
      </c>
      <c r="T1135" s="232"/>
      <c r="U1135" s="232" t="s">
        <v>1290</v>
      </c>
      <c r="V1135" s="232"/>
      <c r="W1135" s="232"/>
      <c r="X1135" s="232"/>
      <c r="Y1135" s="232"/>
      <c r="Z1135" s="232"/>
      <c r="AA1135" s="232"/>
      <c r="AB1135" s="232"/>
      <c r="AC1135" s="232"/>
      <c r="AD1135" s="233" t="s">
        <v>5</v>
      </c>
    </row>
    <row r="1136" spans="1:30" s="234" customFormat="1" ht="33" customHeight="1" x14ac:dyDescent="0.3">
      <c r="A1136" s="224">
        <v>28</v>
      </c>
      <c r="B1136" s="225">
        <v>143</v>
      </c>
      <c r="C1136" s="226" t="str">
        <f t="shared" si="26"/>
        <v>28.143</v>
      </c>
      <c r="D1136" s="227" t="s">
        <v>1164</v>
      </c>
      <c r="E1136" s="64" t="str">
        <f>IF(ISBLANK(D1136)=TRUE,"",VLOOKUP(D1136,Krav!$C:$F,4,FALSE))</f>
        <v>10.a.2.1.1.59 - Hvis ForfaldsDato er valgt: Fristlængden indsættes i Regel R0050 - fristlængden beregnes ved at fratrække værdien fra spm. 10.a.2 med værdien fra 10.a.2.1</v>
      </c>
      <c r="F1136" s="228" t="s">
        <v>226</v>
      </c>
      <c r="G1136" s="228" t="s">
        <v>313</v>
      </c>
      <c r="H1136" s="229" t="s">
        <v>1404</v>
      </c>
      <c r="I1136" s="230" t="s">
        <v>410</v>
      </c>
      <c r="J1136" s="230" t="s">
        <v>222</v>
      </c>
      <c r="K1136" s="123" t="s">
        <v>222</v>
      </c>
      <c r="L1136" s="231" t="s">
        <v>4</v>
      </c>
      <c r="M1136" s="232" t="s">
        <v>129</v>
      </c>
      <c r="N1136" s="232" t="s">
        <v>131</v>
      </c>
      <c r="O1136" s="232" t="s">
        <v>1405</v>
      </c>
      <c r="P1136" s="232" t="s">
        <v>1403</v>
      </c>
      <c r="Q1136" s="232" t="s">
        <v>131</v>
      </c>
      <c r="R1136" s="232" t="s">
        <v>131</v>
      </c>
      <c r="S1136" s="232" t="s">
        <v>131</v>
      </c>
      <c r="T1136" s="232"/>
      <c r="U1136" s="232" t="s">
        <v>1291</v>
      </c>
      <c r="V1136" s="232"/>
      <c r="W1136" s="232"/>
      <c r="X1136" s="232"/>
      <c r="Y1136" s="232"/>
      <c r="Z1136" s="232"/>
      <c r="AA1136" s="232"/>
      <c r="AB1136" s="232"/>
      <c r="AC1136" s="232"/>
      <c r="AD1136" s="233" t="s">
        <v>5</v>
      </c>
    </row>
    <row r="1137" spans="1:30" s="234" customFormat="1" ht="33" customHeight="1" x14ac:dyDescent="0.3">
      <c r="A1137" s="224">
        <v>28</v>
      </c>
      <c r="B1137" s="225">
        <v>144</v>
      </c>
      <c r="C1137" s="226" t="str">
        <f t="shared" si="26"/>
        <v>28.144</v>
      </c>
      <c r="D1137" s="227" t="s">
        <v>1198</v>
      </c>
      <c r="E1137" s="64" t="str">
        <f>IF(ISBLANK(D1137)=TRUE,"",VLOOKUP(D1137,Krav!$C:$F,4,FALSE))</f>
        <v>10.a.2.1.1.76 - Hvis ForfaldsDato er valgt: Fristlængden indsættes i Regel R0067 - fristlængden beregnes ved at fratrække værdien fra spm. 10.a.2 med værdien fra 10.a.2.1</v>
      </c>
      <c r="F1137" s="228" t="s">
        <v>226</v>
      </c>
      <c r="G1137" s="228" t="s">
        <v>313</v>
      </c>
      <c r="H1137" s="229" t="s">
        <v>1404</v>
      </c>
      <c r="I1137" s="230" t="s">
        <v>410</v>
      </c>
      <c r="J1137" s="230" t="s">
        <v>222</v>
      </c>
      <c r="K1137" s="123" t="s">
        <v>222</v>
      </c>
      <c r="L1137" s="231" t="s">
        <v>4</v>
      </c>
      <c r="M1137" s="232" t="s">
        <v>129</v>
      </c>
      <c r="N1137" s="232" t="s">
        <v>131</v>
      </c>
      <c r="O1137" s="232" t="s">
        <v>1405</v>
      </c>
      <c r="P1137" s="232" t="s">
        <v>1403</v>
      </c>
      <c r="Q1137" s="232" t="s">
        <v>131</v>
      </c>
      <c r="R1137" s="232" t="s">
        <v>131</v>
      </c>
      <c r="S1137" s="232" t="s">
        <v>131</v>
      </c>
      <c r="T1137" s="232"/>
      <c r="U1137" s="232" t="s">
        <v>1292</v>
      </c>
      <c r="V1137" s="232"/>
      <c r="W1137" s="232"/>
      <c r="X1137" s="232"/>
      <c r="Y1137" s="232"/>
      <c r="Z1137" s="232"/>
      <c r="AA1137" s="232"/>
      <c r="AB1137" s="232"/>
      <c r="AC1137" s="232"/>
      <c r="AD1137" s="233" t="s">
        <v>5</v>
      </c>
    </row>
    <row r="1138" spans="1:30" s="234" customFormat="1" ht="33" customHeight="1" x14ac:dyDescent="0.3">
      <c r="A1138" s="224">
        <v>28</v>
      </c>
      <c r="B1138" s="225">
        <v>145</v>
      </c>
      <c r="C1138" s="226" t="str">
        <f t="shared" si="26"/>
        <v>28.145</v>
      </c>
      <c r="D1138" s="227" t="s">
        <v>1233</v>
      </c>
      <c r="E1138" s="64" t="str">
        <f>IF(ISBLANK(D1138)=TRUE,"",VLOOKUP(D1138,Krav!$C:$F,4,FALSE))</f>
        <v>10.a.2.1.1.106 - Der angives et ”JA” i populationen under ”Vil RIM beregne en tidligst mulig forældelsesdato?”</v>
      </c>
      <c r="F1138" s="228" t="s">
        <v>221</v>
      </c>
      <c r="G1138" s="228"/>
      <c r="H1138" s="229" t="s">
        <v>1406</v>
      </c>
      <c r="I1138" s="230" t="s">
        <v>240</v>
      </c>
      <c r="J1138" s="230" t="s">
        <v>222</v>
      </c>
      <c r="K1138" s="123" t="s">
        <v>222</v>
      </c>
      <c r="L1138" s="238" t="s">
        <v>3</v>
      </c>
      <c r="M1138" s="232" t="s">
        <v>131</v>
      </c>
      <c r="N1138" s="232" t="s">
        <v>129</v>
      </c>
      <c r="O1138" s="232" t="s">
        <v>376</v>
      </c>
      <c r="P1138" s="232" t="s">
        <v>376</v>
      </c>
      <c r="Q1138" s="232" t="s">
        <v>131</v>
      </c>
      <c r="R1138" s="232" t="s">
        <v>131</v>
      </c>
      <c r="S1138" s="232" t="s">
        <v>131</v>
      </c>
      <c r="T1138" s="232"/>
      <c r="U1138" s="232"/>
      <c r="V1138" s="232"/>
      <c r="W1138" s="232"/>
      <c r="X1138" s="232"/>
      <c r="Y1138" s="232"/>
      <c r="Z1138" s="232"/>
      <c r="AA1138" s="232"/>
      <c r="AB1138" s="232"/>
      <c r="AC1138" s="232"/>
      <c r="AD1138" s="233" t="s">
        <v>5</v>
      </c>
    </row>
    <row r="1139" spans="1:30" s="234" customFormat="1" ht="33" customHeight="1" x14ac:dyDescent="0.3">
      <c r="A1139" s="224">
        <v>28</v>
      </c>
      <c r="B1139" s="225">
        <v>146</v>
      </c>
      <c r="C1139" s="226" t="str">
        <f t="shared" si="26"/>
        <v>28.146</v>
      </c>
      <c r="D1139" s="227"/>
      <c r="E1139" s="64" t="str">
        <f>IF(ISBLANK(D1139)=TRUE,"",VLOOKUP(D1139,Krav!$C:$F,4,FALSE))</f>
        <v/>
      </c>
      <c r="F1139" s="228" t="s">
        <v>225</v>
      </c>
      <c r="G1139" s="235" t="s">
        <v>231</v>
      </c>
      <c r="H1139" s="235" t="s">
        <v>158</v>
      </c>
      <c r="I1139" s="230" t="s">
        <v>1443</v>
      </c>
      <c r="J1139" s="230" t="s">
        <v>222</v>
      </c>
      <c r="K1139" s="123" t="s">
        <v>222</v>
      </c>
      <c r="L1139" s="238" t="s">
        <v>3</v>
      </c>
      <c r="M1139" s="232" t="s">
        <v>131</v>
      </c>
      <c r="N1139" s="232" t="s">
        <v>129</v>
      </c>
      <c r="O1139" s="232" t="s">
        <v>376</v>
      </c>
      <c r="P1139" s="232" t="s">
        <v>376</v>
      </c>
      <c r="Q1139" s="232" t="s">
        <v>131</v>
      </c>
      <c r="R1139" s="232" t="s">
        <v>131</v>
      </c>
      <c r="S1139" s="232" t="s">
        <v>131</v>
      </c>
      <c r="T1139" s="232"/>
      <c r="U1139" s="232"/>
      <c r="V1139" s="232"/>
      <c r="W1139" s="232"/>
      <c r="X1139" s="232"/>
      <c r="Y1139" s="232"/>
      <c r="Z1139" s="232"/>
      <c r="AA1139" s="232"/>
      <c r="AB1139" s="232"/>
      <c r="AC1139" s="232"/>
      <c r="AD1139" s="233" t="s">
        <v>5</v>
      </c>
    </row>
    <row r="1140" spans="1:30" s="234" customFormat="1" ht="33" customHeight="1" x14ac:dyDescent="0.3">
      <c r="A1140" s="224">
        <v>28</v>
      </c>
      <c r="B1140" s="225">
        <v>147</v>
      </c>
      <c r="C1140" s="226" t="str">
        <f t="shared" si="26"/>
        <v>28.147</v>
      </c>
      <c r="D1140" s="227"/>
      <c r="E1140" s="64" t="str">
        <f>IF(ISBLANK(D1140)=TRUE,"",VLOOKUP(D1140,Krav!$C:$F,4,FALSE))</f>
        <v/>
      </c>
      <c r="F1140" s="228" t="s">
        <v>225</v>
      </c>
      <c r="G1140" s="235" t="s">
        <v>1388</v>
      </c>
      <c r="H1140" s="235" t="s">
        <v>158</v>
      </c>
      <c r="I1140" s="230" t="s">
        <v>376</v>
      </c>
      <c r="J1140" s="230" t="s">
        <v>222</v>
      </c>
      <c r="K1140" s="123" t="s">
        <v>222</v>
      </c>
      <c r="L1140" s="238" t="s">
        <v>3</v>
      </c>
      <c r="M1140" s="232" t="s">
        <v>131</v>
      </c>
      <c r="N1140" s="232" t="s">
        <v>129</v>
      </c>
      <c r="O1140" s="232" t="s">
        <v>376</v>
      </c>
      <c r="P1140" s="232" t="s">
        <v>376</v>
      </c>
      <c r="Q1140" s="232" t="s">
        <v>131</v>
      </c>
      <c r="R1140" s="232" t="s">
        <v>131</v>
      </c>
      <c r="S1140" s="232" t="s">
        <v>131</v>
      </c>
      <c r="T1140" s="232"/>
      <c r="U1140" s="232"/>
      <c r="V1140" s="232"/>
      <c r="W1140" s="232"/>
      <c r="X1140" s="232"/>
      <c r="Y1140" s="232"/>
      <c r="Z1140" s="232"/>
      <c r="AA1140" s="232"/>
      <c r="AB1140" s="232"/>
      <c r="AC1140" s="232"/>
      <c r="AD1140" s="233" t="s">
        <v>5</v>
      </c>
    </row>
    <row r="1141" spans="1:30" s="234" customFormat="1" ht="33" customHeight="1" x14ac:dyDescent="0.3">
      <c r="A1141" s="224">
        <v>28</v>
      </c>
      <c r="B1141" s="225">
        <v>148</v>
      </c>
      <c r="C1141" s="226" t="str">
        <f t="shared" si="26"/>
        <v>28.148</v>
      </c>
      <c r="D1141" s="227"/>
      <c r="E1141" s="64" t="str">
        <f>IF(ISBLANK(D1141)=TRUE,"",VLOOKUP(D1141,Krav!$C:$F,4,FALSE))</f>
        <v/>
      </c>
      <c r="F1141" s="228" t="s">
        <v>225</v>
      </c>
      <c r="G1141" s="235" t="s">
        <v>1389</v>
      </c>
      <c r="H1141" s="235" t="s">
        <v>158</v>
      </c>
      <c r="I1141" s="230" t="s">
        <v>376</v>
      </c>
      <c r="J1141" s="230" t="s">
        <v>222</v>
      </c>
      <c r="K1141" s="123" t="s">
        <v>222</v>
      </c>
      <c r="L1141" s="238" t="s">
        <v>3</v>
      </c>
      <c r="M1141" s="232" t="s">
        <v>131</v>
      </c>
      <c r="N1141" s="232" t="s">
        <v>129</v>
      </c>
      <c r="O1141" s="232" t="s">
        <v>376</v>
      </c>
      <c r="P1141" s="232" t="s">
        <v>376</v>
      </c>
      <c r="Q1141" s="232" t="s">
        <v>131</v>
      </c>
      <c r="R1141" s="232" t="s">
        <v>131</v>
      </c>
      <c r="S1141" s="232" t="s">
        <v>131</v>
      </c>
      <c r="T1141" s="232"/>
      <c r="U1141" s="232"/>
      <c r="V1141" s="232"/>
      <c r="W1141" s="232"/>
      <c r="X1141" s="232"/>
      <c r="Y1141" s="232"/>
      <c r="Z1141" s="232"/>
      <c r="AA1141" s="232"/>
      <c r="AB1141" s="232"/>
      <c r="AC1141" s="232"/>
      <c r="AD1141" s="233" t="s">
        <v>5</v>
      </c>
    </row>
    <row r="1142" spans="1:30" s="234" customFormat="1" ht="33" customHeight="1" x14ac:dyDescent="0.3">
      <c r="A1142" s="224">
        <v>28</v>
      </c>
      <c r="B1142" s="225">
        <v>149</v>
      </c>
      <c r="C1142" s="226" t="str">
        <f t="shared" si="26"/>
        <v>28.149</v>
      </c>
      <c r="D1142" s="227" t="s">
        <v>1071</v>
      </c>
      <c r="E1142" s="64" t="str">
        <f>IF(ISBLANK(D1142)=TRUE,"",VLOOKUP(D1142,Krav!$C:$F,4,FALSE))</f>
        <v>10.a.2.3 - Såfremt brugeren angiver antal dage skal brugeren ledes til spørgsmål 10.a.2.1</v>
      </c>
      <c r="F1142" s="239" t="s">
        <v>174</v>
      </c>
      <c r="G1142" s="240"/>
      <c r="H1142" s="229" t="s">
        <v>1413</v>
      </c>
      <c r="I1142" s="230" t="s">
        <v>1414</v>
      </c>
      <c r="J1142" s="230" t="s">
        <v>222</v>
      </c>
      <c r="K1142" s="123" t="s">
        <v>222</v>
      </c>
      <c r="L1142" s="238" t="s">
        <v>4</v>
      </c>
      <c r="M1142" s="232" t="s">
        <v>131</v>
      </c>
      <c r="N1142" s="232" t="s">
        <v>129</v>
      </c>
      <c r="O1142" s="241" t="s">
        <v>96</v>
      </c>
      <c r="P1142" s="232" t="s">
        <v>376</v>
      </c>
      <c r="Q1142" s="232" t="s">
        <v>131</v>
      </c>
      <c r="R1142" s="232" t="s">
        <v>131</v>
      </c>
      <c r="S1142" s="232" t="s">
        <v>131</v>
      </c>
      <c r="T1142" s="232"/>
      <c r="U1142" s="232"/>
      <c r="V1142" s="232"/>
      <c r="W1142" s="232"/>
      <c r="X1142" s="232"/>
      <c r="Y1142" s="232"/>
      <c r="Z1142" s="232"/>
      <c r="AA1142" s="232"/>
      <c r="AB1142" s="232"/>
      <c r="AC1142" s="232"/>
      <c r="AD1142" s="233" t="s">
        <v>5</v>
      </c>
    </row>
    <row r="1143" spans="1:30" s="234" customFormat="1" ht="33" customHeight="1" x14ac:dyDescent="0.3">
      <c r="A1143" s="224">
        <v>28</v>
      </c>
      <c r="B1143" s="225">
        <v>150</v>
      </c>
      <c r="C1143" s="226" t="str">
        <f t="shared" si="26"/>
        <v>28.150</v>
      </c>
      <c r="D1143" s="227" t="s">
        <v>1071</v>
      </c>
      <c r="E1143" s="64" t="str">
        <f>IF(ISBLANK(D1143)=TRUE,"",VLOOKUP(D1143,Krav!$C:$F,4,FALSE))</f>
        <v>10.a.2.3 - Såfremt brugeren angiver antal dage skal brugeren ledes til spørgsmål 10.a.2.1</v>
      </c>
      <c r="F1143" s="239" t="s">
        <v>418</v>
      </c>
      <c r="G1143" s="239" t="s">
        <v>419</v>
      </c>
      <c r="H1143" s="229" t="s">
        <v>1415</v>
      </c>
      <c r="I1143" s="230" t="s">
        <v>129</v>
      </c>
      <c r="J1143" s="237" t="s">
        <v>222</v>
      </c>
      <c r="K1143" s="123" t="s">
        <v>222</v>
      </c>
      <c r="L1143" s="231" t="s">
        <v>3</v>
      </c>
      <c r="M1143" s="232" t="s">
        <v>131</v>
      </c>
      <c r="N1143" s="232" t="s">
        <v>129</v>
      </c>
      <c r="O1143" s="241" t="s">
        <v>96</v>
      </c>
      <c r="P1143" s="232" t="s">
        <v>376</v>
      </c>
      <c r="Q1143" s="232" t="s">
        <v>131</v>
      </c>
      <c r="R1143" s="232" t="s">
        <v>131</v>
      </c>
      <c r="S1143" s="232" t="s">
        <v>131</v>
      </c>
      <c r="T1143" s="232"/>
      <c r="U1143" s="232"/>
      <c r="V1143" s="232"/>
      <c r="W1143" s="232"/>
      <c r="X1143" s="232"/>
      <c r="Y1143" s="232"/>
      <c r="Z1143" s="232"/>
      <c r="AA1143" s="232"/>
      <c r="AB1143" s="232"/>
      <c r="AC1143" s="232"/>
      <c r="AD1143" s="233" t="s">
        <v>5</v>
      </c>
    </row>
    <row r="1144" spans="1:30" s="234" customFormat="1" ht="33" customHeight="1" x14ac:dyDescent="0.3">
      <c r="A1144" s="224">
        <v>28</v>
      </c>
      <c r="B1144" s="225">
        <v>151</v>
      </c>
      <c r="C1144" s="226" t="str">
        <f t="shared" si="26"/>
        <v>28.151</v>
      </c>
      <c r="D1144" s="227" t="s">
        <v>1099</v>
      </c>
      <c r="E1144" s="64" t="str">
        <f>IF(ISBLANK(D1144)=TRUE,"",VLOOKUP(D1144,Krav!$C:$F,4,FALSE))</f>
        <v>10.a.2.1.2 - Såfremt brugeren angiver en frist skal brugeren ledes til spørgsmål 10.a.2.1.1</v>
      </c>
      <c r="F1144" s="239" t="s">
        <v>174</v>
      </c>
      <c r="G1144" s="240"/>
      <c r="H1144" s="229" t="s">
        <v>1413</v>
      </c>
      <c r="I1144" s="230" t="s">
        <v>1414</v>
      </c>
      <c r="J1144" s="230" t="s">
        <v>222</v>
      </c>
      <c r="K1144" s="123" t="s">
        <v>222</v>
      </c>
      <c r="L1144" s="238" t="s">
        <v>4</v>
      </c>
      <c r="M1144" s="232" t="s">
        <v>131</v>
      </c>
      <c r="N1144" s="232" t="s">
        <v>129</v>
      </c>
      <c r="O1144" s="232" t="s">
        <v>376</v>
      </c>
      <c r="P1144" s="241" t="s">
        <v>96</v>
      </c>
      <c r="Q1144" s="232" t="s">
        <v>131</v>
      </c>
      <c r="R1144" s="232" t="s">
        <v>131</v>
      </c>
      <c r="S1144" s="232" t="s">
        <v>131</v>
      </c>
      <c r="T1144" s="232"/>
      <c r="U1144" s="232"/>
      <c r="V1144" s="232"/>
      <c r="W1144" s="232"/>
      <c r="X1144" s="232"/>
      <c r="Y1144" s="232"/>
      <c r="Z1144" s="232"/>
      <c r="AA1144" s="232"/>
      <c r="AB1144" s="232"/>
      <c r="AC1144" s="232"/>
      <c r="AD1144" s="233" t="s">
        <v>5</v>
      </c>
    </row>
    <row r="1145" spans="1:30" s="234" customFormat="1" ht="33" customHeight="1" x14ac:dyDescent="0.3">
      <c r="A1145" s="224">
        <v>28</v>
      </c>
      <c r="B1145" s="225">
        <v>152</v>
      </c>
      <c r="C1145" s="226" t="str">
        <f t="shared" si="26"/>
        <v>28.152</v>
      </c>
      <c r="D1145" s="227" t="s">
        <v>1099</v>
      </c>
      <c r="E1145" s="64" t="str">
        <f>IF(ISBLANK(D1145)=TRUE,"",VLOOKUP(D1145,Krav!$C:$F,4,FALSE))</f>
        <v>10.a.2.1.2 - Såfremt brugeren angiver en frist skal brugeren ledes til spørgsmål 10.a.2.1.1</v>
      </c>
      <c r="F1145" s="239" t="s">
        <v>418</v>
      </c>
      <c r="G1145" s="239" t="s">
        <v>419</v>
      </c>
      <c r="H1145" s="229" t="s">
        <v>1415</v>
      </c>
      <c r="I1145" s="230" t="s">
        <v>129</v>
      </c>
      <c r="J1145" s="230" t="s">
        <v>222</v>
      </c>
      <c r="K1145" s="123" t="s">
        <v>222</v>
      </c>
      <c r="L1145" s="238" t="s">
        <v>3</v>
      </c>
      <c r="M1145" s="232" t="s">
        <v>131</v>
      </c>
      <c r="N1145" s="232" t="s">
        <v>129</v>
      </c>
      <c r="O1145" s="232" t="s">
        <v>376</v>
      </c>
      <c r="P1145" s="241" t="s">
        <v>96</v>
      </c>
      <c r="Q1145" s="232" t="s">
        <v>131</v>
      </c>
      <c r="R1145" s="232" t="s">
        <v>131</v>
      </c>
      <c r="S1145" s="232" t="s">
        <v>131</v>
      </c>
      <c r="T1145" s="232"/>
      <c r="U1145" s="232"/>
      <c r="V1145" s="232"/>
      <c r="W1145" s="232"/>
      <c r="X1145" s="232"/>
      <c r="Y1145" s="232"/>
      <c r="Z1145" s="232"/>
      <c r="AA1145" s="232"/>
      <c r="AB1145" s="232"/>
      <c r="AC1145" s="232"/>
      <c r="AD1145" s="233" t="s">
        <v>5</v>
      </c>
    </row>
    <row r="1146" spans="1:30" s="234" customFormat="1" ht="33" customHeight="1" x14ac:dyDescent="0.3">
      <c r="A1146" s="224">
        <v>28</v>
      </c>
      <c r="B1146" s="225">
        <v>153</v>
      </c>
      <c r="C1146" s="226" t="str">
        <f t="shared" si="26"/>
        <v>28.153</v>
      </c>
      <c r="D1146" s="227" t="s">
        <v>1071</v>
      </c>
      <c r="E1146" s="64" t="str">
        <f>IF(ISBLANK(D1146)=TRUE,"",VLOOKUP(D1146,Krav!$C:$F,4,FALSE))</f>
        <v>10.a.2.3 - Såfremt brugeren angiver antal dage skal brugeren ledes til spørgsmål 10.a.2.1</v>
      </c>
      <c r="F1146" s="239" t="s">
        <v>174</v>
      </c>
      <c r="G1146" s="240"/>
      <c r="H1146" s="229" t="s">
        <v>1416</v>
      </c>
      <c r="I1146" s="230" t="s">
        <v>1414</v>
      </c>
      <c r="J1146" s="230" t="s">
        <v>222</v>
      </c>
      <c r="K1146" s="123" t="s">
        <v>222</v>
      </c>
      <c r="L1146" s="238" t="s">
        <v>3</v>
      </c>
      <c r="M1146" s="232" t="s">
        <v>131</v>
      </c>
      <c r="N1146" s="232" t="s">
        <v>129</v>
      </c>
      <c r="O1146" s="241" t="s">
        <v>97</v>
      </c>
      <c r="P1146" s="232" t="s">
        <v>376</v>
      </c>
      <c r="Q1146" s="232" t="s">
        <v>131</v>
      </c>
      <c r="R1146" s="232" t="s">
        <v>131</v>
      </c>
      <c r="S1146" s="232" t="s">
        <v>131</v>
      </c>
      <c r="T1146" s="232"/>
      <c r="U1146" s="232"/>
      <c r="V1146" s="232"/>
      <c r="W1146" s="232"/>
      <c r="X1146" s="232"/>
      <c r="Y1146" s="232"/>
      <c r="Z1146" s="232"/>
      <c r="AA1146" s="232"/>
      <c r="AB1146" s="232"/>
      <c r="AC1146" s="232"/>
      <c r="AD1146" s="233" t="s">
        <v>5</v>
      </c>
    </row>
    <row r="1147" spans="1:30" s="234" customFormat="1" ht="33" customHeight="1" x14ac:dyDescent="0.3">
      <c r="A1147" s="224">
        <v>28</v>
      </c>
      <c r="B1147" s="225">
        <v>154</v>
      </c>
      <c r="C1147" s="226" t="str">
        <f t="shared" si="26"/>
        <v>28.154</v>
      </c>
      <c r="D1147" s="227" t="s">
        <v>1071</v>
      </c>
      <c r="E1147" s="64" t="str">
        <f>IF(ISBLANK(D1147)=TRUE,"",VLOOKUP(D1147,Krav!$C:$F,4,FALSE))</f>
        <v>10.a.2.3 - Såfremt brugeren angiver antal dage skal brugeren ledes til spørgsmål 10.a.2.1</v>
      </c>
      <c r="F1147" s="239" t="s">
        <v>418</v>
      </c>
      <c r="G1147" s="239" t="s">
        <v>419</v>
      </c>
      <c r="H1147" s="229" t="s">
        <v>1417</v>
      </c>
      <c r="I1147" s="230" t="s">
        <v>129</v>
      </c>
      <c r="J1147" s="230" t="s">
        <v>222</v>
      </c>
      <c r="K1147" s="123" t="s">
        <v>222</v>
      </c>
      <c r="L1147" s="238" t="s">
        <v>3</v>
      </c>
      <c r="M1147" s="232" t="s">
        <v>131</v>
      </c>
      <c r="N1147" s="232" t="s">
        <v>129</v>
      </c>
      <c r="O1147" s="241" t="s">
        <v>97</v>
      </c>
      <c r="P1147" s="232" t="s">
        <v>376</v>
      </c>
      <c r="Q1147" s="232" t="s">
        <v>131</v>
      </c>
      <c r="R1147" s="232" t="s">
        <v>131</v>
      </c>
      <c r="S1147" s="232" t="s">
        <v>131</v>
      </c>
      <c r="T1147" s="232"/>
      <c r="U1147" s="232"/>
      <c r="V1147" s="232"/>
      <c r="W1147" s="232"/>
      <c r="X1147" s="232"/>
      <c r="Y1147" s="232"/>
      <c r="Z1147" s="232"/>
      <c r="AA1147" s="232"/>
      <c r="AB1147" s="232"/>
      <c r="AC1147" s="232"/>
      <c r="AD1147" s="233" t="s">
        <v>5</v>
      </c>
    </row>
    <row r="1148" spans="1:30" s="234" customFormat="1" ht="33" customHeight="1" x14ac:dyDescent="0.3">
      <c r="A1148" s="224">
        <v>28</v>
      </c>
      <c r="B1148" s="225">
        <v>155</v>
      </c>
      <c r="C1148" s="226" t="str">
        <f t="shared" si="26"/>
        <v>28.155</v>
      </c>
      <c r="D1148" s="227" t="s">
        <v>1099</v>
      </c>
      <c r="E1148" s="64" t="str">
        <f>IF(ISBLANK(D1148)=TRUE,"",VLOOKUP(D1148,Krav!$C:$F,4,FALSE))</f>
        <v>10.a.2.1.2 - Såfremt brugeren angiver en frist skal brugeren ledes til spørgsmål 10.a.2.1.1</v>
      </c>
      <c r="F1148" s="239" t="s">
        <v>174</v>
      </c>
      <c r="G1148" s="240"/>
      <c r="H1148" s="229" t="s">
        <v>1416</v>
      </c>
      <c r="I1148" s="230" t="s">
        <v>1414</v>
      </c>
      <c r="J1148" s="230" t="s">
        <v>222</v>
      </c>
      <c r="K1148" s="123" t="s">
        <v>222</v>
      </c>
      <c r="L1148" s="238" t="s">
        <v>4</v>
      </c>
      <c r="M1148" s="232" t="s">
        <v>131</v>
      </c>
      <c r="N1148" s="232" t="s">
        <v>129</v>
      </c>
      <c r="O1148" s="232" t="s">
        <v>376</v>
      </c>
      <c r="P1148" s="241" t="s">
        <v>97</v>
      </c>
      <c r="Q1148" s="232" t="s">
        <v>131</v>
      </c>
      <c r="R1148" s="232" t="s">
        <v>131</v>
      </c>
      <c r="S1148" s="232" t="s">
        <v>131</v>
      </c>
      <c r="T1148" s="232"/>
      <c r="U1148" s="232"/>
      <c r="V1148" s="232"/>
      <c r="W1148" s="232"/>
      <c r="X1148" s="232"/>
      <c r="Y1148" s="232"/>
      <c r="Z1148" s="232"/>
      <c r="AA1148" s="232"/>
      <c r="AB1148" s="232"/>
      <c r="AC1148" s="232"/>
      <c r="AD1148" s="233" t="s">
        <v>5</v>
      </c>
    </row>
    <row r="1149" spans="1:30" s="234" customFormat="1" ht="33" customHeight="1" x14ac:dyDescent="0.3">
      <c r="A1149" s="224">
        <v>28</v>
      </c>
      <c r="B1149" s="225">
        <v>156</v>
      </c>
      <c r="C1149" s="226" t="str">
        <f t="shared" si="26"/>
        <v>28.156</v>
      </c>
      <c r="D1149" s="227" t="s">
        <v>1099</v>
      </c>
      <c r="E1149" s="64" t="str">
        <f>IF(ISBLANK(D1149)=TRUE,"",VLOOKUP(D1149,Krav!$C:$F,4,FALSE))</f>
        <v>10.a.2.1.2 - Såfremt brugeren angiver en frist skal brugeren ledes til spørgsmål 10.a.2.1.1</v>
      </c>
      <c r="F1149" s="239" t="s">
        <v>418</v>
      </c>
      <c r="G1149" s="239" t="s">
        <v>419</v>
      </c>
      <c r="H1149" s="229" t="s">
        <v>1417</v>
      </c>
      <c r="I1149" s="230" t="s">
        <v>129</v>
      </c>
      <c r="J1149" s="237" t="s">
        <v>222</v>
      </c>
      <c r="K1149" s="123" t="s">
        <v>222</v>
      </c>
      <c r="L1149" s="231" t="s">
        <v>3</v>
      </c>
      <c r="M1149" s="232" t="s">
        <v>131</v>
      </c>
      <c r="N1149" s="232" t="s">
        <v>129</v>
      </c>
      <c r="O1149" s="232" t="s">
        <v>376</v>
      </c>
      <c r="P1149" s="241" t="s">
        <v>97</v>
      </c>
      <c r="Q1149" s="232" t="s">
        <v>131</v>
      </c>
      <c r="R1149" s="232" t="s">
        <v>131</v>
      </c>
      <c r="S1149" s="232" t="s">
        <v>131</v>
      </c>
      <c r="T1149" s="232"/>
      <c r="U1149" s="232"/>
      <c r="V1149" s="232"/>
      <c r="W1149" s="232"/>
      <c r="X1149" s="232"/>
      <c r="Y1149" s="232"/>
      <c r="Z1149" s="232"/>
      <c r="AA1149" s="232"/>
      <c r="AB1149" s="232"/>
      <c r="AC1149" s="232"/>
      <c r="AD1149" s="233" t="s">
        <v>5</v>
      </c>
    </row>
    <row r="1150" spans="1:30" s="234" customFormat="1" ht="33" customHeight="1" x14ac:dyDescent="0.3">
      <c r="A1150" s="224">
        <v>28</v>
      </c>
      <c r="B1150" s="225">
        <v>157</v>
      </c>
      <c r="C1150" s="226" t="str">
        <f t="shared" si="26"/>
        <v>28.157</v>
      </c>
      <c r="D1150" s="227"/>
      <c r="E1150" s="64" t="str">
        <f>IF(ISBLANK(D1150)=TRUE,"",VLOOKUP(D1150,Krav!$C:$F,4,FALSE))</f>
        <v/>
      </c>
      <c r="F1150" s="239" t="s">
        <v>174</v>
      </c>
      <c r="G1150" s="240"/>
      <c r="H1150" s="229" t="s">
        <v>1418</v>
      </c>
      <c r="I1150" s="230" t="s">
        <v>1414</v>
      </c>
      <c r="J1150" s="230" t="s">
        <v>222</v>
      </c>
      <c r="K1150" s="123" t="s">
        <v>222</v>
      </c>
      <c r="L1150" s="238" t="s">
        <v>4</v>
      </c>
      <c r="M1150" s="232" t="s">
        <v>131</v>
      </c>
      <c r="N1150" s="232" t="s">
        <v>129</v>
      </c>
      <c r="O1150" s="241" t="s">
        <v>404</v>
      </c>
      <c r="P1150" s="232" t="s">
        <v>376</v>
      </c>
      <c r="Q1150" s="232" t="s">
        <v>131</v>
      </c>
      <c r="R1150" s="232" t="s">
        <v>131</v>
      </c>
      <c r="S1150" s="232" t="s">
        <v>131</v>
      </c>
      <c r="T1150" s="232"/>
      <c r="U1150" s="232"/>
      <c r="V1150" s="232"/>
      <c r="W1150" s="232"/>
      <c r="X1150" s="232"/>
      <c r="Y1150" s="232"/>
      <c r="Z1150" s="232"/>
      <c r="AA1150" s="232"/>
      <c r="AB1150" s="232"/>
      <c r="AC1150" s="232"/>
      <c r="AD1150" s="233" t="s">
        <v>5</v>
      </c>
    </row>
    <row r="1151" spans="1:30" s="234" customFormat="1" ht="33" customHeight="1" x14ac:dyDescent="0.3">
      <c r="A1151" s="224">
        <v>28</v>
      </c>
      <c r="B1151" s="225">
        <v>158</v>
      </c>
      <c r="C1151" s="226" t="str">
        <f t="shared" si="26"/>
        <v>28.158</v>
      </c>
      <c r="D1151" s="227"/>
      <c r="E1151" s="64" t="str">
        <f>IF(ISBLANK(D1151)=TRUE,"",VLOOKUP(D1151,Krav!$C:$F,4,FALSE))</f>
        <v/>
      </c>
      <c r="F1151" s="239" t="s">
        <v>418</v>
      </c>
      <c r="G1151" s="239" t="s">
        <v>419</v>
      </c>
      <c r="H1151" s="229" t="s">
        <v>1419</v>
      </c>
      <c r="I1151" s="230" t="s">
        <v>129</v>
      </c>
      <c r="J1151" s="236" t="s">
        <v>222</v>
      </c>
      <c r="K1151" s="123" t="s">
        <v>222</v>
      </c>
      <c r="L1151" s="238" t="s">
        <v>4</v>
      </c>
      <c r="M1151" s="232" t="s">
        <v>131</v>
      </c>
      <c r="N1151" s="232" t="s">
        <v>129</v>
      </c>
      <c r="O1151" s="241" t="s">
        <v>404</v>
      </c>
      <c r="P1151" s="232" t="s">
        <v>376</v>
      </c>
      <c r="Q1151" s="232" t="s">
        <v>131</v>
      </c>
      <c r="R1151" s="232" t="s">
        <v>131</v>
      </c>
      <c r="S1151" s="232" t="s">
        <v>131</v>
      </c>
      <c r="T1151" s="232"/>
      <c r="U1151" s="232"/>
      <c r="V1151" s="232"/>
      <c r="W1151" s="232"/>
      <c r="X1151" s="232"/>
      <c r="Y1151" s="232"/>
      <c r="Z1151" s="232"/>
      <c r="AA1151" s="232"/>
      <c r="AB1151" s="232"/>
      <c r="AC1151" s="232"/>
      <c r="AD1151" s="233" t="s">
        <v>5</v>
      </c>
    </row>
    <row r="1152" spans="1:30" s="234" customFormat="1" ht="33" customHeight="1" x14ac:dyDescent="0.3">
      <c r="A1152" s="224">
        <v>28</v>
      </c>
      <c r="B1152" s="225">
        <v>159</v>
      </c>
      <c r="C1152" s="226" t="str">
        <f t="shared" si="26"/>
        <v>28.159</v>
      </c>
      <c r="D1152" s="227"/>
      <c r="E1152" s="64" t="str">
        <f>IF(ISBLANK(D1152)=TRUE,"",VLOOKUP(D1152,Krav!$C:$F,4,FALSE))</f>
        <v/>
      </c>
      <c r="F1152" s="239" t="s">
        <v>174</v>
      </c>
      <c r="G1152" s="240"/>
      <c r="H1152" s="229" t="s">
        <v>1420</v>
      </c>
      <c r="I1152" s="230" t="s">
        <v>1414</v>
      </c>
      <c r="J1152" s="230" t="s">
        <v>222</v>
      </c>
      <c r="K1152" s="123" t="s">
        <v>222</v>
      </c>
      <c r="L1152" s="238" t="s">
        <v>4</v>
      </c>
      <c r="M1152" s="232" t="s">
        <v>131</v>
      </c>
      <c r="N1152" s="232" t="s">
        <v>129</v>
      </c>
      <c r="O1152" s="232" t="s">
        <v>376</v>
      </c>
      <c r="P1152" s="241" t="s">
        <v>404</v>
      </c>
      <c r="Q1152" s="232" t="s">
        <v>131</v>
      </c>
      <c r="R1152" s="232" t="s">
        <v>131</v>
      </c>
      <c r="S1152" s="232" t="s">
        <v>131</v>
      </c>
      <c r="T1152" s="232"/>
      <c r="U1152" s="232"/>
      <c r="V1152" s="232"/>
      <c r="W1152" s="232"/>
      <c r="X1152" s="232"/>
      <c r="Y1152" s="232"/>
      <c r="Z1152" s="232"/>
      <c r="AA1152" s="232"/>
      <c r="AB1152" s="232"/>
      <c r="AC1152" s="232"/>
      <c r="AD1152" s="233" t="s">
        <v>5</v>
      </c>
    </row>
    <row r="1153" spans="1:30" s="234" customFormat="1" ht="33" customHeight="1" x14ac:dyDescent="0.3">
      <c r="A1153" s="224">
        <v>28</v>
      </c>
      <c r="B1153" s="225">
        <v>160</v>
      </c>
      <c r="C1153" s="226" t="str">
        <f t="shared" si="26"/>
        <v>28.160</v>
      </c>
      <c r="D1153" s="227"/>
      <c r="E1153" s="64" t="str">
        <f>IF(ISBLANK(D1153)=TRUE,"",VLOOKUP(D1153,Krav!$C:$F,4,FALSE))</f>
        <v/>
      </c>
      <c r="F1153" s="239" t="s">
        <v>418</v>
      </c>
      <c r="G1153" s="239" t="s">
        <v>419</v>
      </c>
      <c r="H1153" s="229" t="s">
        <v>1419</v>
      </c>
      <c r="I1153" s="230" t="s">
        <v>129</v>
      </c>
      <c r="J1153" s="242" t="s">
        <v>222</v>
      </c>
      <c r="K1153" s="123" t="s">
        <v>222</v>
      </c>
      <c r="L1153" s="238" t="s">
        <v>4</v>
      </c>
      <c r="M1153" s="232" t="s">
        <v>131</v>
      </c>
      <c r="N1153" s="232" t="s">
        <v>129</v>
      </c>
      <c r="O1153" s="232" t="s">
        <v>376</v>
      </c>
      <c r="P1153" s="241" t="s">
        <v>404</v>
      </c>
      <c r="Q1153" s="232" t="s">
        <v>131</v>
      </c>
      <c r="R1153" s="232" t="s">
        <v>131</v>
      </c>
      <c r="S1153" s="232" t="s">
        <v>131</v>
      </c>
      <c r="T1153" s="232"/>
      <c r="U1153" s="232"/>
      <c r="V1153" s="232"/>
      <c r="W1153" s="232"/>
      <c r="X1153" s="232"/>
      <c r="Y1153" s="232"/>
      <c r="Z1153" s="232"/>
      <c r="AA1153" s="232"/>
      <c r="AB1153" s="232"/>
      <c r="AC1153" s="232"/>
      <c r="AD1153" s="233" t="s">
        <v>5</v>
      </c>
    </row>
    <row r="1154" spans="1:30" s="234" customFormat="1" ht="33" customHeight="1" x14ac:dyDescent="0.3">
      <c r="A1154" s="224">
        <v>28</v>
      </c>
      <c r="B1154" s="225">
        <v>161</v>
      </c>
      <c r="C1154" s="226" t="str">
        <f t="shared" si="26"/>
        <v>28.161</v>
      </c>
      <c r="D1154" s="227" t="s">
        <v>1099</v>
      </c>
      <c r="E1154" s="64" t="str">
        <f>IF(ISBLANK(D1154)=TRUE,"",VLOOKUP(D1154,Krav!$C:$F,4,FALSE))</f>
        <v>10.a.2.1.2 - Såfremt brugeren angiver en frist skal brugeren ledes til spørgsmål 10.a.2.1.1</v>
      </c>
      <c r="F1154" s="239" t="s">
        <v>143</v>
      </c>
      <c r="G1154" s="239"/>
      <c r="H1154" s="229" t="s">
        <v>1444</v>
      </c>
      <c r="I1154" s="230" t="s">
        <v>468</v>
      </c>
      <c r="J1154" s="237" t="s">
        <v>222</v>
      </c>
      <c r="K1154" s="123" t="s">
        <v>222</v>
      </c>
      <c r="L1154" s="238" t="s">
        <v>3</v>
      </c>
      <c r="M1154" s="232" t="s">
        <v>131</v>
      </c>
      <c r="N1154" s="232" t="s">
        <v>129</v>
      </c>
      <c r="O1154" s="232" t="s">
        <v>376</v>
      </c>
      <c r="P1154" s="232" t="s">
        <v>376</v>
      </c>
      <c r="Q1154" s="232" t="s">
        <v>131</v>
      </c>
      <c r="R1154" s="232" t="s">
        <v>131</v>
      </c>
      <c r="S1154" s="232" t="s">
        <v>131</v>
      </c>
      <c r="T1154" s="232"/>
      <c r="U1154" s="232"/>
      <c r="V1154" s="232"/>
      <c r="W1154" s="232"/>
      <c r="X1154" s="232"/>
      <c r="Y1154" s="232"/>
      <c r="Z1154" s="232"/>
      <c r="AA1154" s="232"/>
      <c r="AB1154" s="232"/>
      <c r="AC1154" s="232"/>
      <c r="AD1154" s="233" t="s">
        <v>5</v>
      </c>
    </row>
    <row r="1155" spans="1:30" s="234" customFormat="1" ht="33" customHeight="1" x14ac:dyDescent="0.3">
      <c r="A1155" s="224">
        <v>28</v>
      </c>
      <c r="B1155" s="225">
        <v>162</v>
      </c>
      <c r="C1155" s="226" t="str">
        <f t="shared" si="26"/>
        <v>28.162</v>
      </c>
      <c r="D1155" s="227"/>
      <c r="E1155" s="64" t="str">
        <f>IF(ISBLANK(D1155)=TRUE,"",VLOOKUP(D1155,Krav!$C:$F,4,FALSE))</f>
        <v/>
      </c>
      <c r="F1155" s="239" t="s">
        <v>143</v>
      </c>
      <c r="G1155" s="239"/>
      <c r="H1155" s="229" t="s">
        <v>1409</v>
      </c>
      <c r="I1155" s="230" t="s">
        <v>555</v>
      </c>
      <c r="J1155" s="237" t="s">
        <v>222</v>
      </c>
      <c r="K1155" s="123" t="s">
        <v>222</v>
      </c>
      <c r="L1155" s="238" t="s">
        <v>3</v>
      </c>
      <c r="M1155" s="232" t="s">
        <v>131</v>
      </c>
      <c r="N1155" s="232" t="s">
        <v>129</v>
      </c>
      <c r="O1155" s="232" t="s">
        <v>376</v>
      </c>
      <c r="P1155" s="232" t="s">
        <v>376</v>
      </c>
      <c r="Q1155" s="232" t="s">
        <v>131</v>
      </c>
      <c r="R1155" s="232" t="s">
        <v>131</v>
      </c>
      <c r="S1155" s="232" t="s">
        <v>131</v>
      </c>
      <c r="T1155" s="232"/>
      <c r="U1155" s="232"/>
      <c r="V1155" s="232"/>
      <c r="W1155" s="232"/>
      <c r="X1155" s="232"/>
      <c r="Y1155" s="232"/>
      <c r="Z1155" s="232" t="s">
        <v>129</v>
      </c>
      <c r="AA1155" s="232"/>
      <c r="AB1155" s="232"/>
      <c r="AC1155" s="232"/>
      <c r="AD1155" s="233" t="s">
        <v>5</v>
      </c>
    </row>
    <row r="1156" spans="1:30" s="234" customFormat="1" ht="33" customHeight="1" x14ac:dyDescent="0.3">
      <c r="A1156" s="224">
        <v>28</v>
      </c>
      <c r="B1156" s="225">
        <v>163</v>
      </c>
      <c r="C1156" s="226" t="str">
        <f t="shared" si="26"/>
        <v>28.163</v>
      </c>
      <c r="D1156" s="227"/>
      <c r="E1156" s="64" t="str">
        <f>IF(ISBLANK(D1156)=TRUE,"",VLOOKUP(D1156,Krav!$C:$F,4,FALSE))</f>
        <v/>
      </c>
      <c r="F1156" s="239" t="s">
        <v>143</v>
      </c>
      <c r="G1156" s="239"/>
      <c r="H1156" s="229" t="s">
        <v>1410</v>
      </c>
      <c r="I1156" s="230" t="s">
        <v>560</v>
      </c>
      <c r="J1156" s="237" t="s">
        <v>222</v>
      </c>
      <c r="K1156" s="123" t="s">
        <v>222</v>
      </c>
      <c r="L1156" s="238" t="s">
        <v>3</v>
      </c>
      <c r="M1156" s="232" t="s">
        <v>131</v>
      </c>
      <c r="N1156" s="232" t="s">
        <v>129</v>
      </c>
      <c r="O1156" s="232" t="s">
        <v>376</v>
      </c>
      <c r="P1156" s="232" t="s">
        <v>376</v>
      </c>
      <c r="Q1156" s="232" t="s">
        <v>131</v>
      </c>
      <c r="R1156" s="232" t="s">
        <v>131</v>
      </c>
      <c r="S1156" s="232" t="s">
        <v>131</v>
      </c>
      <c r="T1156" s="232"/>
      <c r="U1156" s="232"/>
      <c r="V1156" s="232"/>
      <c r="W1156" s="232"/>
      <c r="X1156" s="232"/>
      <c r="Y1156" s="232"/>
      <c r="Z1156" s="232"/>
      <c r="AA1156" s="232" t="s">
        <v>129</v>
      </c>
      <c r="AB1156" s="232"/>
      <c r="AC1156" s="232"/>
      <c r="AD1156" s="233" t="s">
        <v>5</v>
      </c>
    </row>
    <row r="1157" spans="1:30" s="234" customFormat="1" ht="33" customHeight="1" x14ac:dyDescent="0.3">
      <c r="A1157" s="224">
        <v>28</v>
      </c>
      <c r="B1157" s="225">
        <v>164</v>
      </c>
      <c r="C1157" s="226" t="str">
        <f t="shared" si="26"/>
        <v>28.164</v>
      </c>
      <c r="D1157" s="227"/>
      <c r="E1157" s="64" t="str">
        <f>IF(ISBLANK(D1157)=TRUE,"",VLOOKUP(D1157,Krav!$C:$F,4,FALSE))</f>
        <v/>
      </c>
      <c r="F1157" s="239" t="s">
        <v>143</v>
      </c>
      <c r="G1157" s="239"/>
      <c r="H1157" s="229" t="s">
        <v>1411</v>
      </c>
      <c r="I1157" s="230" t="s">
        <v>565</v>
      </c>
      <c r="J1157" s="237" t="s">
        <v>222</v>
      </c>
      <c r="K1157" s="123" t="s">
        <v>222</v>
      </c>
      <c r="L1157" s="238" t="s">
        <v>3</v>
      </c>
      <c r="M1157" s="232" t="s">
        <v>131</v>
      </c>
      <c r="N1157" s="232" t="s">
        <v>129</v>
      </c>
      <c r="O1157" s="232" t="s">
        <v>376</v>
      </c>
      <c r="P1157" s="232" t="s">
        <v>376</v>
      </c>
      <c r="Q1157" s="232" t="s">
        <v>131</v>
      </c>
      <c r="R1157" s="232" t="s">
        <v>131</v>
      </c>
      <c r="S1157" s="232" t="s">
        <v>131</v>
      </c>
      <c r="T1157" s="232"/>
      <c r="U1157" s="232"/>
      <c r="V1157" s="232"/>
      <c r="W1157" s="232"/>
      <c r="X1157" s="232"/>
      <c r="Y1157" s="232"/>
      <c r="Z1157" s="232"/>
      <c r="AA1157" s="232"/>
      <c r="AB1157" s="232" t="s">
        <v>129</v>
      </c>
      <c r="AC1157" s="232"/>
      <c r="AD1157" s="233" t="s">
        <v>5</v>
      </c>
    </row>
    <row r="1158" spans="1:30" s="234" customFormat="1" ht="33" customHeight="1" x14ac:dyDescent="0.3">
      <c r="A1158" s="224">
        <v>28</v>
      </c>
      <c r="B1158" s="225">
        <v>165</v>
      </c>
      <c r="C1158" s="226" t="str">
        <f t="shared" si="26"/>
        <v>28.165</v>
      </c>
      <c r="D1158" s="227"/>
      <c r="E1158" s="64" t="str">
        <f>IF(ISBLANK(D1158)=TRUE,"",VLOOKUP(D1158,Krav!$C:$F,4,FALSE))</f>
        <v/>
      </c>
      <c r="F1158" s="239" t="s">
        <v>143</v>
      </c>
      <c r="G1158" s="239"/>
      <c r="H1158" s="229" t="s">
        <v>1412</v>
      </c>
      <c r="I1158" s="230" t="s">
        <v>549</v>
      </c>
      <c r="J1158" s="237" t="s">
        <v>222</v>
      </c>
      <c r="K1158" s="123" t="s">
        <v>222</v>
      </c>
      <c r="L1158" s="238" t="s">
        <v>3</v>
      </c>
      <c r="M1158" s="232" t="s">
        <v>131</v>
      </c>
      <c r="N1158" s="232" t="s">
        <v>129</v>
      </c>
      <c r="O1158" s="232" t="s">
        <v>376</v>
      </c>
      <c r="P1158" s="232" t="s">
        <v>376</v>
      </c>
      <c r="Q1158" s="232" t="s">
        <v>131</v>
      </c>
      <c r="R1158" s="232" t="s">
        <v>131</v>
      </c>
      <c r="S1158" s="232" t="s">
        <v>131</v>
      </c>
      <c r="T1158" s="232"/>
      <c r="U1158" s="232"/>
      <c r="V1158" s="232"/>
      <c r="W1158" s="232"/>
      <c r="X1158" s="232"/>
      <c r="Y1158" s="232"/>
      <c r="Z1158" s="232"/>
      <c r="AA1158" s="232"/>
      <c r="AB1158" s="232"/>
      <c r="AC1158" s="232" t="s">
        <v>129</v>
      </c>
      <c r="AD1158" s="233" t="s">
        <v>5</v>
      </c>
    </row>
    <row r="1159" spans="1:30" s="234" customFormat="1" ht="33" customHeight="1" x14ac:dyDescent="0.3">
      <c r="A1159" s="224">
        <v>28</v>
      </c>
      <c r="B1159" s="225">
        <v>166</v>
      </c>
      <c r="C1159" s="226" t="str">
        <f t="shared" si="26"/>
        <v>28.166</v>
      </c>
      <c r="D1159" s="227"/>
      <c r="E1159" s="64" t="str">
        <f>IF(ISBLANK(D1159)=TRUE,"",VLOOKUP(D1159,Krav!$C:$F,4,FALSE))</f>
        <v/>
      </c>
      <c r="F1159" s="228" t="s">
        <v>143</v>
      </c>
      <c r="G1159" s="228"/>
      <c r="H1159" s="229" t="s">
        <v>1353</v>
      </c>
      <c r="I1159" s="230" t="s">
        <v>549</v>
      </c>
      <c r="J1159" s="236" t="s">
        <v>222</v>
      </c>
      <c r="K1159" s="123" t="s">
        <v>222</v>
      </c>
      <c r="L1159" s="231" t="s">
        <v>3</v>
      </c>
      <c r="M1159" s="232" t="s">
        <v>129</v>
      </c>
      <c r="N1159" s="232" t="s">
        <v>131</v>
      </c>
      <c r="O1159" s="232" t="s">
        <v>376</v>
      </c>
      <c r="P1159" s="232" t="s">
        <v>376</v>
      </c>
      <c r="Q1159" s="232" t="s">
        <v>131</v>
      </c>
      <c r="R1159" s="232" t="s">
        <v>131</v>
      </c>
      <c r="S1159" s="232" t="s">
        <v>131</v>
      </c>
      <c r="T1159" s="232"/>
      <c r="U1159" s="232"/>
      <c r="V1159" s="232"/>
      <c r="W1159" s="232"/>
      <c r="X1159" s="232"/>
      <c r="Y1159" s="232"/>
      <c r="Z1159" s="232" t="s">
        <v>129</v>
      </c>
      <c r="AA1159" s="232" t="s">
        <v>129</v>
      </c>
      <c r="AB1159" s="232" t="s">
        <v>129</v>
      </c>
      <c r="AC1159" s="232" t="s">
        <v>129</v>
      </c>
      <c r="AD1159" s="233" t="s">
        <v>5</v>
      </c>
    </row>
    <row r="1160" spans="1:30" s="234" customFormat="1" ht="33" customHeight="1" x14ac:dyDescent="0.3">
      <c r="A1160" s="224">
        <v>28</v>
      </c>
      <c r="B1160" s="225">
        <v>167</v>
      </c>
      <c r="C1160" s="226" t="str">
        <f t="shared" si="26"/>
        <v>28.167</v>
      </c>
      <c r="D1160" s="227"/>
      <c r="E1160" s="64" t="str">
        <f>IF(ISBLANK(D1160)=TRUE,"",VLOOKUP(D1160,Krav!$C:$F,4,FALSE))</f>
        <v/>
      </c>
      <c r="F1160" s="228" t="s">
        <v>143</v>
      </c>
      <c r="G1160" s="228"/>
      <c r="H1160" s="229" t="s">
        <v>1355</v>
      </c>
      <c r="I1160" s="230" t="s">
        <v>555</v>
      </c>
      <c r="J1160" s="236" t="s">
        <v>222</v>
      </c>
      <c r="K1160" s="123" t="s">
        <v>222</v>
      </c>
      <c r="L1160" s="231" t="s">
        <v>3</v>
      </c>
      <c r="M1160" s="232" t="s">
        <v>129</v>
      </c>
      <c r="N1160" s="232" t="s">
        <v>131</v>
      </c>
      <c r="O1160" s="232" t="s">
        <v>376</v>
      </c>
      <c r="P1160" s="232" t="s">
        <v>376</v>
      </c>
      <c r="Q1160" s="232" t="s">
        <v>131</v>
      </c>
      <c r="R1160" s="232" t="s">
        <v>131</v>
      </c>
      <c r="S1160" s="232" t="s">
        <v>131</v>
      </c>
      <c r="T1160" s="232"/>
      <c r="U1160" s="232"/>
      <c r="V1160" s="232"/>
      <c r="W1160" s="232"/>
      <c r="X1160" s="232"/>
      <c r="Y1160" s="232"/>
      <c r="Z1160" s="232" t="s">
        <v>129</v>
      </c>
      <c r="AA1160" s="232" t="s">
        <v>129</v>
      </c>
      <c r="AB1160" s="232" t="s">
        <v>129</v>
      </c>
      <c r="AC1160" s="232"/>
      <c r="AD1160" s="233" t="s">
        <v>5</v>
      </c>
    </row>
    <row r="1161" spans="1:30" s="234" customFormat="1" ht="33" customHeight="1" x14ac:dyDescent="0.3">
      <c r="A1161" s="224">
        <v>28</v>
      </c>
      <c r="B1161" s="225">
        <v>168</v>
      </c>
      <c r="C1161" s="226" t="str">
        <f t="shared" si="26"/>
        <v>28.168</v>
      </c>
      <c r="D1161" s="227"/>
      <c r="E1161" s="64" t="str">
        <f>IF(ISBLANK(D1161)=TRUE,"",VLOOKUP(D1161,Krav!$C:$F,4,FALSE))</f>
        <v/>
      </c>
      <c r="F1161" s="228" t="s">
        <v>143</v>
      </c>
      <c r="G1161" s="228"/>
      <c r="H1161" s="235" t="s">
        <v>1356</v>
      </c>
      <c r="I1161" s="230" t="s">
        <v>560</v>
      </c>
      <c r="J1161" s="236" t="s">
        <v>222</v>
      </c>
      <c r="K1161" s="123" t="s">
        <v>222</v>
      </c>
      <c r="L1161" s="231" t="s">
        <v>3</v>
      </c>
      <c r="M1161" s="232" t="s">
        <v>129</v>
      </c>
      <c r="N1161" s="232" t="s">
        <v>131</v>
      </c>
      <c r="O1161" s="232" t="s">
        <v>376</v>
      </c>
      <c r="P1161" s="232" t="s">
        <v>376</v>
      </c>
      <c r="Q1161" s="232" t="s">
        <v>131</v>
      </c>
      <c r="R1161" s="232" t="s">
        <v>131</v>
      </c>
      <c r="S1161" s="232" t="s">
        <v>131</v>
      </c>
      <c r="T1161" s="232"/>
      <c r="U1161" s="232"/>
      <c r="V1161" s="232"/>
      <c r="W1161" s="232"/>
      <c r="X1161" s="232"/>
      <c r="Y1161" s="232"/>
      <c r="Z1161" s="232"/>
      <c r="AA1161" s="232" t="s">
        <v>129</v>
      </c>
      <c r="AB1161" s="232" t="s">
        <v>129</v>
      </c>
      <c r="AC1161" s="232"/>
      <c r="AD1161" s="233" t="s">
        <v>5</v>
      </c>
    </row>
    <row r="1162" spans="1:30" s="255" customFormat="1" ht="33" customHeight="1" x14ac:dyDescent="0.3">
      <c r="A1162" s="243">
        <v>28</v>
      </c>
      <c r="B1162" s="244">
        <v>169</v>
      </c>
      <c r="C1162" s="245" t="str">
        <f t="shared" si="26"/>
        <v>28.169</v>
      </c>
      <c r="D1162" s="246" t="s">
        <v>1239</v>
      </c>
      <c r="E1162" s="64" t="str">
        <f>IF(ISBLANK(D1162)=TRUE,"",VLOOKUP(D1162,Krav!$C:$F,4,FALSE))</f>
        <v>10.a.2.1.2.2 - Der angives et "NEJ" i i populationen under ”vil RIM beregne en tidligst mulig forældelsesdato?"</v>
      </c>
      <c r="F1162" s="247" t="s">
        <v>221</v>
      </c>
      <c r="G1162" s="248"/>
      <c r="H1162" s="249" t="s">
        <v>1421</v>
      </c>
      <c r="I1162" s="250" t="s">
        <v>241</v>
      </c>
      <c r="J1162" s="251" t="s">
        <v>222</v>
      </c>
      <c r="K1162" s="123" t="s">
        <v>222</v>
      </c>
      <c r="L1162" s="252" t="s">
        <v>3</v>
      </c>
      <c r="M1162" s="253" t="s">
        <v>131</v>
      </c>
      <c r="N1162" s="253" t="s">
        <v>129</v>
      </c>
      <c r="O1162" s="253" t="s">
        <v>376</v>
      </c>
      <c r="P1162" s="253" t="s">
        <v>96</v>
      </c>
      <c r="Q1162" s="253" t="s">
        <v>131</v>
      </c>
      <c r="R1162" s="253" t="s">
        <v>129</v>
      </c>
      <c r="S1162" s="253" t="s">
        <v>131</v>
      </c>
      <c r="T1162" s="253"/>
      <c r="U1162" s="253"/>
      <c r="V1162" s="253"/>
      <c r="W1162" s="253"/>
      <c r="X1162" s="253"/>
      <c r="Y1162" s="253"/>
      <c r="Z1162" s="253"/>
      <c r="AA1162" s="253"/>
      <c r="AB1162" s="253"/>
      <c r="AC1162" s="253"/>
      <c r="AD1162" s="254" t="s">
        <v>5</v>
      </c>
    </row>
    <row r="1163" spans="1:30" s="255" customFormat="1" ht="33" customHeight="1" x14ac:dyDescent="0.3">
      <c r="A1163" s="243">
        <v>28</v>
      </c>
      <c r="B1163" s="244">
        <v>170</v>
      </c>
      <c r="C1163" s="245" t="str">
        <f t="shared" si="26"/>
        <v>28.170</v>
      </c>
      <c r="D1163" s="246"/>
      <c r="E1163" s="64" t="str">
        <f>IF(ISBLANK(D1163)=TRUE,"",VLOOKUP(D1163,Krav!$C:$F,4,FALSE))</f>
        <v/>
      </c>
      <c r="F1163" s="247" t="s">
        <v>225</v>
      </c>
      <c r="G1163" s="256" t="s">
        <v>231</v>
      </c>
      <c r="H1163" s="256" t="s">
        <v>158</v>
      </c>
      <c r="I1163" s="250" t="s">
        <v>1407</v>
      </c>
      <c r="J1163" s="250" t="s">
        <v>222</v>
      </c>
      <c r="K1163" s="123" t="s">
        <v>222</v>
      </c>
      <c r="L1163" s="257" t="s">
        <v>3</v>
      </c>
      <c r="M1163" s="253" t="s">
        <v>131</v>
      </c>
      <c r="N1163" s="253" t="s">
        <v>129</v>
      </c>
      <c r="O1163" s="253" t="s">
        <v>376</v>
      </c>
      <c r="P1163" s="253" t="s">
        <v>96</v>
      </c>
      <c r="Q1163" s="253" t="s">
        <v>131</v>
      </c>
      <c r="R1163" s="253" t="s">
        <v>129</v>
      </c>
      <c r="S1163" s="253" t="s">
        <v>131</v>
      </c>
      <c r="T1163" s="253"/>
      <c r="U1163" s="253"/>
      <c r="V1163" s="253"/>
      <c r="W1163" s="253"/>
      <c r="X1163" s="253"/>
      <c r="Y1163" s="253"/>
      <c r="Z1163" s="253"/>
      <c r="AA1163" s="253"/>
      <c r="AB1163" s="253"/>
      <c r="AC1163" s="253"/>
      <c r="AD1163" s="254" t="s">
        <v>5</v>
      </c>
    </row>
    <row r="1164" spans="1:30" s="255" customFormat="1" ht="33" customHeight="1" x14ac:dyDescent="0.3">
      <c r="A1164" s="243">
        <v>28</v>
      </c>
      <c r="B1164" s="244">
        <v>171</v>
      </c>
      <c r="C1164" s="245" t="str">
        <f t="shared" si="26"/>
        <v>28.171</v>
      </c>
      <c r="D1164" s="246"/>
      <c r="E1164" s="64" t="str">
        <f>IF(ISBLANK(D1164)=TRUE,"",VLOOKUP(D1164,Krav!$C:$F,4,FALSE))</f>
        <v/>
      </c>
      <c r="F1164" s="247" t="s">
        <v>225</v>
      </c>
      <c r="G1164" s="256" t="s">
        <v>1388</v>
      </c>
      <c r="H1164" s="256" t="s">
        <v>158</v>
      </c>
      <c r="I1164" s="250" t="s">
        <v>376</v>
      </c>
      <c r="J1164" s="250" t="s">
        <v>222</v>
      </c>
      <c r="K1164" s="123" t="s">
        <v>222</v>
      </c>
      <c r="L1164" s="257" t="s">
        <v>3</v>
      </c>
      <c r="M1164" s="253" t="s">
        <v>131</v>
      </c>
      <c r="N1164" s="253" t="s">
        <v>129</v>
      </c>
      <c r="O1164" s="253" t="s">
        <v>376</v>
      </c>
      <c r="P1164" s="253" t="s">
        <v>96</v>
      </c>
      <c r="Q1164" s="253" t="s">
        <v>131</v>
      </c>
      <c r="R1164" s="253" t="s">
        <v>129</v>
      </c>
      <c r="S1164" s="253" t="s">
        <v>131</v>
      </c>
      <c r="T1164" s="253"/>
      <c r="U1164" s="253"/>
      <c r="V1164" s="253"/>
      <c r="W1164" s="253"/>
      <c r="X1164" s="253"/>
      <c r="Y1164" s="253"/>
      <c r="Z1164" s="253"/>
      <c r="AA1164" s="253"/>
      <c r="AB1164" s="253"/>
      <c r="AC1164" s="253"/>
      <c r="AD1164" s="254" t="s">
        <v>5</v>
      </c>
    </row>
    <row r="1165" spans="1:30" s="255" customFormat="1" ht="33" customHeight="1" x14ac:dyDescent="0.3">
      <c r="A1165" s="243">
        <v>28</v>
      </c>
      <c r="B1165" s="244">
        <v>172</v>
      </c>
      <c r="C1165" s="245" t="str">
        <f t="shared" si="26"/>
        <v>28.172</v>
      </c>
      <c r="D1165" s="246"/>
      <c r="E1165" s="64" t="str">
        <f>IF(ISBLANK(D1165)=TRUE,"",VLOOKUP(D1165,Krav!$C:$F,4,FALSE))</f>
        <v/>
      </c>
      <c r="F1165" s="247" t="s">
        <v>225</v>
      </c>
      <c r="G1165" s="256" t="s">
        <v>1391</v>
      </c>
      <c r="H1165" s="256" t="s">
        <v>158</v>
      </c>
      <c r="I1165" s="250" t="s">
        <v>376</v>
      </c>
      <c r="J1165" s="250" t="s">
        <v>222</v>
      </c>
      <c r="K1165" s="123" t="s">
        <v>222</v>
      </c>
      <c r="L1165" s="257" t="s">
        <v>3</v>
      </c>
      <c r="M1165" s="253" t="s">
        <v>131</v>
      </c>
      <c r="N1165" s="253" t="s">
        <v>129</v>
      </c>
      <c r="O1165" s="253" t="s">
        <v>376</v>
      </c>
      <c r="P1165" s="253" t="s">
        <v>96</v>
      </c>
      <c r="Q1165" s="253" t="s">
        <v>131</v>
      </c>
      <c r="R1165" s="253" t="s">
        <v>129</v>
      </c>
      <c r="S1165" s="253" t="s">
        <v>131</v>
      </c>
      <c r="T1165" s="253"/>
      <c r="U1165" s="253"/>
      <c r="V1165" s="253"/>
      <c r="W1165" s="253"/>
      <c r="X1165" s="253"/>
      <c r="Y1165" s="253"/>
      <c r="Z1165" s="253"/>
      <c r="AA1165" s="253"/>
      <c r="AB1165" s="253"/>
      <c r="AC1165" s="253"/>
      <c r="AD1165" s="254" t="s">
        <v>5</v>
      </c>
    </row>
    <row r="1166" spans="1:30" s="255" customFormat="1" ht="33" customHeight="1" x14ac:dyDescent="0.3">
      <c r="A1166" s="243">
        <v>28</v>
      </c>
      <c r="B1166" s="244">
        <v>173</v>
      </c>
      <c r="C1166" s="245" t="str">
        <f t="shared" si="26"/>
        <v>28.173</v>
      </c>
      <c r="D1166" s="246" t="s">
        <v>1240</v>
      </c>
      <c r="E1166" s="64" t="str">
        <f>IF(ISBLANK(D1166)=TRUE,"",VLOOKUP(D1166,Krav!$C:$F,4,FALSE))</f>
        <v>10.a.2.1.2.3 - Gruppe 1 deaktiveres</v>
      </c>
      <c r="F1166" s="247" t="s">
        <v>227</v>
      </c>
      <c r="G1166" s="248"/>
      <c r="H1166" s="249" t="s">
        <v>1423</v>
      </c>
      <c r="I1166" s="250" t="s">
        <v>241</v>
      </c>
      <c r="J1166" s="251" t="s">
        <v>222</v>
      </c>
      <c r="K1166" s="123" t="s">
        <v>222</v>
      </c>
      <c r="L1166" s="252" t="s">
        <v>3</v>
      </c>
      <c r="M1166" s="253" t="s">
        <v>131</v>
      </c>
      <c r="N1166" s="253" t="s">
        <v>129</v>
      </c>
      <c r="O1166" s="253" t="s">
        <v>376</v>
      </c>
      <c r="P1166" s="253" t="s">
        <v>96</v>
      </c>
      <c r="Q1166" s="253" t="s">
        <v>131</v>
      </c>
      <c r="R1166" s="253" t="s">
        <v>129</v>
      </c>
      <c r="S1166" s="253" t="s">
        <v>131</v>
      </c>
      <c r="T1166" s="253"/>
      <c r="U1166" s="253"/>
      <c r="V1166" s="253"/>
      <c r="W1166" s="253"/>
      <c r="X1166" s="253"/>
      <c r="Y1166" s="253"/>
      <c r="Z1166" s="253"/>
      <c r="AA1166" s="253"/>
      <c r="AB1166" s="253"/>
      <c r="AC1166" s="253"/>
      <c r="AD1166" s="254" t="s">
        <v>5</v>
      </c>
    </row>
    <row r="1167" spans="1:30" s="255" customFormat="1" ht="33" customHeight="1" x14ac:dyDescent="0.3">
      <c r="A1167" s="243">
        <v>28</v>
      </c>
      <c r="B1167" s="244">
        <v>174</v>
      </c>
      <c r="C1167" s="245" t="str">
        <f t="shared" si="26"/>
        <v>28.174</v>
      </c>
      <c r="D1167" s="246" t="s">
        <v>1038</v>
      </c>
      <c r="E1167" s="64" t="str">
        <f>IF(ISBLANK(D1167)=TRUE,"",VLOOKUP(D1167,Krav!$C:$F,4,FALSE))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167" s="258" t="s">
        <v>174</v>
      </c>
      <c r="G1167" s="248"/>
      <c r="H1167" s="256" t="s">
        <v>1445</v>
      </c>
      <c r="I1167" s="250" t="s">
        <v>1425</v>
      </c>
      <c r="J1167" s="251" t="s">
        <v>222</v>
      </c>
      <c r="K1167" s="123" t="s">
        <v>222</v>
      </c>
      <c r="L1167" s="252" t="s">
        <v>3</v>
      </c>
      <c r="M1167" s="253" t="s">
        <v>131</v>
      </c>
      <c r="N1167" s="253" t="s">
        <v>129</v>
      </c>
      <c r="O1167" s="253" t="s">
        <v>376</v>
      </c>
      <c r="P1167" s="253" t="s">
        <v>96</v>
      </c>
      <c r="Q1167" s="253" t="s">
        <v>131</v>
      </c>
      <c r="R1167" s="253" t="s">
        <v>129</v>
      </c>
      <c r="S1167" s="253" t="s">
        <v>131</v>
      </c>
      <c r="T1167" s="253"/>
      <c r="U1167" s="253"/>
      <c r="V1167" s="253" t="s">
        <v>294</v>
      </c>
      <c r="W1167" s="253"/>
      <c r="X1167" s="253"/>
      <c r="Y1167" s="253"/>
      <c r="Z1167" s="253"/>
      <c r="AA1167" s="253"/>
      <c r="AB1167" s="253"/>
      <c r="AC1167" s="253"/>
      <c r="AD1167" s="254" t="s">
        <v>5</v>
      </c>
    </row>
    <row r="1168" spans="1:30" s="255" customFormat="1" ht="33" customHeight="1" x14ac:dyDescent="0.3">
      <c r="A1168" s="243">
        <v>28</v>
      </c>
      <c r="B1168" s="244">
        <v>175</v>
      </c>
      <c r="C1168" s="245" t="str">
        <f t="shared" si="26"/>
        <v>28.175</v>
      </c>
      <c r="D1168" s="246" t="s">
        <v>1241</v>
      </c>
      <c r="E1168" s="64" t="str">
        <f>IF(ISBLANK(D1168)=TRUE,"",VLOOKUP(D1168,Krav!$C:$F,4,FALSE))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168" s="258" t="s">
        <v>174</v>
      </c>
      <c r="G1168" s="247"/>
      <c r="H1168" s="256" t="s">
        <v>1445</v>
      </c>
      <c r="I1168" s="250" t="s">
        <v>1425</v>
      </c>
      <c r="J1168" s="251" t="s">
        <v>222</v>
      </c>
      <c r="K1168" s="123" t="s">
        <v>222</v>
      </c>
      <c r="L1168" s="252" t="s">
        <v>3</v>
      </c>
      <c r="M1168" s="253" t="s">
        <v>131</v>
      </c>
      <c r="N1168" s="253" t="s">
        <v>129</v>
      </c>
      <c r="O1168" s="253" t="s">
        <v>376</v>
      </c>
      <c r="P1168" s="253" t="s">
        <v>96</v>
      </c>
      <c r="Q1168" s="253" t="s">
        <v>131</v>
      </c>
      <c r="R1168" s="253" t="s">
        <v>129</v>
      </c>
      <c r="S1168" s="253" t="s">
        <v>131</v>
      </c>
      <c r="T1168" s="253"/>
      <c r="U1168" s="253"/>
      <c r="V1168" s="254" t="s">
        <v>295</v>
      </c>
      <c r="W1168" s="253" t="s">
        <v>26</v>
      </c>
      <c r="X1168" s="253"/>
      <c r="Y1168" s="253"/>
      <c r="Z1168" s="253"/>
      <c r="AA1168" s="253"/>
      <c r="AB1168" s="253"/>
      <c r="AC1168" s="253"/>
      <c r="AD1168" s="254" t="s">
        <v>5</v>
      </c>
    </row>
    <row r="1169" spans="1:30" s="255" customFormat="1" ht="33" customHeight="1" x14ac:dyDescent="0.3">
      <c r="A1169" s="243">
        <v>28</v>
      </c>
      <c r="B1169" s="244">
        <v>176</v>
      </c>
      <c r="C1169" s="245" t="str">
        <f t="shared" si="26"/>
        <v>28.176</v>
      </c>
      <c r="D1169" s="246" t="s">
        <v>1241</v>
      </c>
      <c r="E1169" s="64" t="str">
        <f>IF(ISBLANK(D1169)=TRUE,"",VLOOKUP(D1169,Krav!$C:$F,4,FALSE))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169" s="258" t="s">
        <v>174</v>
      </c>
      <c r="G1169" s="248"/>
      <c r="H1169" s="256" t="s">
        <v>1445</v>
      </c>
      <c r="I1169" s="251" t="s">
        <v>1425</v>
      </c>
      <c r="J1169" s="251" t="s">
        <v>222</v>
      </c>
      <c r="K1169" s="123" t="s">
        <v>222</v>
      </c>
      <c r="L1169" s="252" t="s">
        <v>3</v>
      </c>
      <c r="M1169" s="253" t="s">
        <v>131</v>
      </c>
      <c r="N1169" s="253" t="s">
        <v>129</v>
      </c>
      <c r="O1169" s="253" t="s">
        <v>376</v>
      </c>
      <c r="P1169" s="253" t="s">
        <v>96</v>
      </c>
      <c r="Q1169" s="253" t="s">
        <v>131</v>
      </c>
      <c r="R1169" s="253" t="s">
        <v>129</v>
      </c>
      <c r="S1169" s="253" t="s">
        <v>131</v>
      </c>
      <c r="T1169" s="253"/>
      <c r="U1169" s="253"/>
      <c r="V1169" s="254" t="s">
        <v>295</v>
      </c>
      <c r="W1169" s="253" t="s">
        <v>166</v>
      </c>
      <c r="X1169" s="253" t="s">
        <v>26</v>
      </c>
      <c r="Y1169" s="253"/>
      <c r="Z1169" s="253"/>
      <c r="AA1169" s="253"/>
      <c r="AB1169" s="253"/>
      <c r="AC1169" s="253"/>
      <c r="AD1169" s="254" t="s">
        <v>5</v>
      </c>
    </row>
    <row r="1170" spans="1:30" s="255" customFormat="1" ht="33" customHeight="1" x14ac:dyDescent="0.3">
      <c r="A1170" s="243">
        <v>28</v>
      </c>
      <c r="B1170" s="244">
        <v>177</v>
      </c>
      <c r="C1170" s="245" t="str">
        <f t="shared" si="26"/>
        <v>28.177</v>
      </c>
      <c r="D1170" s="246" t="s">
        <v>1241</v>
      </c>
      <c r="E1170" s="64" t="str">
        <f>IF(ISBLANK(D1170)=TRUE,"",VLOOKUP(D1170,Krav!$C:$F,4,FALSE))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170" s="258" t="s">
        <v>174</v>
      </c>
      <c r="G1170" s="247"/>
      <c r="H1170" s="256" t="s">
        <v>1445</v>
      </c>
      <c r="I1170" s="250" t="s">
        <v>1425</v>
      </c>
      <c r="J1170" s="251" t="s">
        <v>222</v>
      </c>
      <c r="K1170" s="123" t="s">
        <v>222</v>
      </c>
      <c r="L1170" s="252" t="s">
        <v>3</v>
      </c>
      <c r="M1170" s="253" t="s">
        <v>131</v>
      </c>
      <c r="N1170" s="253" t="s">
        <v>129</v>
      </c>
      <c r="O1170" s="253" t="s">
        <v>376</v>
      </c>
      <c r="P1170" s="253" t="s">
        <v>96</v>
      </c>
      <c r="Q1170" s="253" t="s">
        <v>131</v>
      </c>
      <c r="R1170" s="253" t="s">
        <v>129</v>
      </c>
      <c r="S1170" s="253" t="s">
        <v>131</v>
      </c>
      <c r="T1170" s="253"/>
      <c r="U1170" s="253"/>
      <c r="V1170" s="254" t="s">
        <v>295</v>
      </c>
      <c r="W1170" s="253" t="s">
        <v>166</v>
      </c>
      <c r="X1170" s="253" t="s">
        <v>166</v>
      </c>
      <c r="Y1170" s="253" t="s">
        <v>580</v>
      </c>
      <c r="Z1170" s="253"/>
      <c r="AA1170" s="253"/>
      <c r="AB1170" s="253"/>
      <c r="AC1170" s="253"/>
      <c r="AD1170" s="254" t="s">
        <v>5</v>
      </c>
    </row>
    <row r="1171" spans="1:30" s="255" customFormat="1" ht="33" customHeight="1" x14ac:dyDescent="0.3">
      <c r="A1171" s="243">
        <v>28</v>
      </c>
      <c r="B1171" s="244">
        <v>178</v>
      </c>
      <c r="C1171" s="245" t="str">
        <f t="shared" si="26"/>
        <v>28.178</v>
      </c>
      <c r="D1171" s="246" t="s">
        <v>1243</v>
      </c>
      <c r="E1171" s="64" t="str">
        <f>IF(ISBLANK(D1171)=TRUE,"",VLOOKUP(D1171,Krav!$C:$F,4,FALSE))</f>
        <v xml:space="preserve">10.a.2.1.2.5 - Hvis fordringshaver har svaret ”aldrig” i spm. 9, kan der ikke opsættes en FLEX-filter konfiguration for populationen. </v>
      </c>
      <c r="F1171" s="258" t="s">
        <v>174</v>
      </c>
      <c r="G1171" s="248"/>
      <c r="H1171" s="256"/>
      <c r="I1171" s="250" t="s">
        <v>1414</v>
      </c>
      <c r="J1171" s="251" t="s">
        <v>222</v>
      </c>
      <c r="K1171" s="123" t="s">
        <v>222</v>
      </c>
      <c r="L1171" s="252" t="s">
        <v>4</v>
      </c>
      <c r="M1171" s="253" t="s">
        <v>131</v>
      </c>
      <c r="N1171" s="253" t="s">
        <v>129</v>
      </c>
      <c r="O1171" s="253" t="s">
        <v>376</v>
      </c>
      <c r="P1171" s="253" t="s">
        <v>96</v>
      </c>
      <c r="Q1171" s="253" t="s">
        <v>131</v>
      </c>
      <c r="R1171" s="253" t="s">
        <v>129</v>
      </c>
      <c r="S1171" s="253" t="s">
        <v>131</v>
      </c>
      <c r="T1171" s="253"/>
      <c r="U1171" s="253"/>
      <c r="V1171" s="254" t="s">
        <v>295</v>
      </c>
      <c r="W1171" s="253" t="s">
        <v>166</v>
      </c>
      <c r="X1171" s="253" t="s">
        <v>166</v>
      </c>
      <c r="Y1171" s="253" t="s">
        <v>369</v>
      </c>
      <c r="Z1171" s="253"/>
      <c r="AA1171" s="253"/>
      <c r="AB1171" s="253"/>
      <c r="AC1171" s="253"/>
      <c r="AD1171" s="254" t="s">
        <v>5</v>
      </c>
    </row>
    <row r="1172" spans="1:30" s="255" customFormat="1" ht="33" customHeight="1" x14ac:dyDescent="0.3">
      <c r="A1172" s="243">
        <v>28</v>
      </c>
      <c r="B1172" s="244">
        <v>179</v>
      </c>
      <c r="C1172" s="245" t="str">
        <f t="shared" si="26"/>
        <v>28.179</v>
      </c>
      <c r="D1172" s="246" t="s">
        <v>1243</v>
      </c>
      <c r="E1172" s="64" t="str">
        <f>IF(ISBLANK(D1172)=TRUE,"",VLOOKUP(D1172,Krav!$C:$F,4,FALSE))</f>
        <v xml:space="preserve">10.a.2.1.2.5 - Hvis fordringshaver har svaret ”aldrig” i spm. 9, kan der ikke opsættes en FLEX-filter konfiguration for populationen. </v>
      </c>
      <c r="F1172" s="258" t="s">
        <v>174</v>
      </c>
      <c r="G1172" s="248"/>
      <c r="H1172" s="256" t="s">
        <v>1426</v>
      </c>
      <c r="I1172" s="250" t="s">
        <v>1414</v>
      </c>
      <c r="J1172" s="250" t="s">
        <v>222</v>
      </c>
      <c r="K1172" s="123" t="s">
        <v>222</v>
      </c>
      <c r="L1172" s="252" t="s">
        <v>4</v>
      </c>
      <c r="M1172" s="253" t="s">
        <v>131</v>
      </c>
      <c r="N1172" s="253" t="s">
        <v>129</v>
      </c>
      <c r="O1172" s="253" t="s">
        <v>376</v>
      </c>
      <c r="P1172" s="253" t="s">
        <v>96</v>
      </c>
      <c r="Q1172" s="253" t="s">
        <v>131</v>
      </c>
      <c r="R1172" s="253" t="s">
        <v>129</v>
      </c>
      <c r="S1172" s="253" t="s">
        <v>131</v>
      </c>
      <c r="T1172" s="253"/>
      <c r="U1172" s="253"/>
      <c r="V1172" s="253" t="s">
        <v>303</v>
      </c>
      <c r="W1172" s="253"/>
      <c r="X1172" s="253"/>
      <c r="Y1172" s="253"/>
      <c r="Z1172" s="253"/>
      <c r="AA1172" s="253"/>
      <c r="AB1172" s="253"/>
      <c r="AC1172" s="253"/>
      <c r="AD1172" s="254" t="s">
        <v>5</v>
      </c>
    </row>
    <row r="1173" spans="1:30" s="255" customFormat="1" ht="33" customHeight="1" x14ac:dyDescent="0.3">
      <c r="A1173" s="243">
        <v>28</v>
      </c>
      <c r="B1173" s="244">
        <v>180</v>
      </c>
      <c r="C1173" s="245" t="str">
        <f t="shared" si="26"/>
        <v>28.180</v>
      </c>
      <c r="D1173" s="246" t="s">
        <v>1238</v>
      </c>
      <c r="E1173" s="64" t="str">
        <f>IF(ISBLANK(D1173)=TRUE,"",VLOOKUP(D1173,Krav!$C:$F,4,FALSE))</f>
        <v>10.a.2.1.2.1 - Hvis der er svaret "I visse tilfælde" i spørgsmål 9 og hvis der er svaret "Ja" i enten 9.b.1, 9.b.2.1 eller 9.b.2.2.1 skal brugeren ledes til spørgsmål 11</v>
      </c>
      <c r="F1173" s="247" t="s">
        <v>143</v>
      </c>
      <c r="G1173" s="247" t="s">
        <v>1427</v>
      </c>
      <c r="H1173" s="256" t="s">
        <v>1433</v>
      </c>
      <c r="I1173" s="250" t="s">
        <v>468</v>
      </c>
      <c r="J1173" s="250" t="s">
        <v>222</v>
      </c>
      <c r="K1173" s="123" t="s">
        <v>222</v>
      </c>
      <c r="L1173" s="252" t="s">
        <v>3</v>
      </c>
      <c r="M1173" s="253" t="s">
        <v>131</v>
      </c>
      <c r="N1173" s="253" t="s">
        <v>129</v>
      </c>
      <c r="O1173" s="253" t="s">
        <v>376</v>
      </c>
      <c r="P1173" s="253" t="s">
        <v>96</v>
      </c>
      <c r="Q1173" s="253" t="s">
        <v>131</v>
      </c>
      <c r="R1173" s="253" t="s">
        <v>129</v>
      </c>
      <c r="S1173" s="253" t="s">
        <v>131</v>
      </c>
      <c r="T1173" s="253"/>
      <c r="U1173" s="253"/>
      <c r="V1173" s="254" t="s">
        <v>295</v>
      </c>
      <c r="W1173" s="253" t="s">
        <v>26</v>
      </c>
      <c r="X1173" s="253"/>
      <c r="Y1173" s="253"/>
      <c r="Z1173" s="253"/>
      <c r="AA1173" s="253"/>
      <c r="AB1173" s="253"/>
      <c r="AC1173" s="253"/>
      <c r="AD1173" s="254" t="s">
        <v>5</v>
      </c>
    </row>
    <row r="1174" spans="1:30" s="255" customFormat="1" ht="33" customHeight="1" x14ac:dyDescent="0.3">
      <c r="A1174" s="243">
        <v>28</v>
      </c>
      <c r="B1174" s="244">
        <v>181</v>
      </c>
      <c r="C1174" s="245" t="str">
        <f t="shared" si="26"/>
        <v>28.181</v>
      </c>
      <c r="D1174" s="246" t="s">
        <v>1238</v>
      </c>
      <c r="E1174" s="64" t="str">
        <f>IF(ISBLANK(D1174)=TRUE,"",VLOOKUP(D1174,Krav!$C:$F,4,FALSE))</f>
        <v>10.a.2.1.2.1 - Hvis der er svaret "I visse tilfælde" i spørgsmål 9 og hvis der er svaret "Ja" i enten 9.b.1, 9.b.2.1 eller 9.b.2.2.1 skal brugeren ledes til spørgsmål 11</v>
      </c>
      <c r="F1174" s="247" t="s">
        <v>143</v>
      </c>
      <c r="G1174" s="247" t="s">
        <v>1427</v>
      </c>
      <c r="H1174" s="256" t="s">
        <v>1433</v>
      </c>
      <c r="I1174" s="250" t="s">
        <v>468</v>
      </c>
      <c r="J1174" s="250" t="s">
        <v>222</v>
      </c>
      <c r="K1174" s="123" t="s">
        <v>222</v>
      </c>
      <c r="L1174" s="252" t="s">
        <v>3</v>
      </c>
      <c r="M1174" s="253" t="s">
        <v>131</v>
      </c>
      <c r="N1174" s="253" t="s">
        <v>129</v>
      </c>
      <c r="O1174" s="253" t="s">
        <v>376</v>
      </c>
      <c r="P1174" s="253" t="s">
        <v>96</v>
      </c>
      <c r="Q1174" s="253" t="s">
        <v>131</v>
      </c>
      <c r="R1174" s="253" t="s">
        <v>129</v>
      </c>
      <c r="S1174" s="253" t="s">
        <v>131</v>
      </c>
      <c r="T1174" s="253"/>
      <c r="U1174" s="253"/>
      <c r="V1174" s="254" t="s">
        <v>295</v>
      </c>
      <c r="W1174" s="253" t="s">
        <v>166</v>
      </c>
      <c r="X1174" s="253" t="s">
        <v>26</v>
      </c>
      <c r="Y1174" s="253"/>
      <c r="Z1174" s="253"/>
      <c r="AA1174" s="253"/>
      <c r="AB1174" s="253"/>
      <c r="AC1174" s="253"/>
      <c r="AD1174" s="254" t="s">
        <v>5</v>
      </c>
    </row>
    <row r="1175" spans="1:30" s="255" customFormat="1" ht="33" customHeight="1" x14ac:dyDescent="0.3">
      <c r="A1175" s="243">
        <v>28</v>
      </c>
      <c r="B1175" s="244">
        <v>182</v>
      </c>
      <c r="C1175" s="245" t="str">
        <f t="shared" si="26"/>
        <v>28.182</v>
      </c>
      <c r="D1175" s="246" t="s">
        <v>1238</v>
      </c>
      <c r="E1175" s="64" t="str">
        <f>IF(ISBLANK(D1175)=TRUE,"",VLOOKUP(D1175,Krav!$C:$F,4,FALSE))</f>
        <v>10.a.2.1.2.1 - Hvis der er svaret "I visse tilfælde" i spørgsmål 9 og hvis der er svaret "Ja" i enten 9.b.1, 9.b.2.1 eller 9.b.2.2.1 skal brugeren ledes til spørgsmål 11</v>
      </c>
      <c r="F1175" s="247" t="s">
        <v>143</v>
      </c>
      <c r="G1175" s="247" t="s">
        <v>1427</v>
      </c>
      <c r="H1175" s="256" t="s">
        <v>1433</v>
      </c>
      <c r="I1175" s="250" t="s">
        <v>468</v>
      </c>
      <c r="J1175" s="250" t="s">
        <v>222</v>
      </c>
      <c r="K1175" s="123" t="s">
        <v>222</v>
      </c>
      <c r="L1175" s="257" t="s">
        <v>3</v>
      </c>
      <c r="M1175" s="253" t="s">
        <v>131</v>
      </c>
      <c r="N1175" s="253" t="s">
        <v>129</v>
      </c>
      <c r="O1175" s="253" t="s">
        <v>376</v>
      </c>
      <c r="P1175" s="253" t="s">
        <v>96</v>
      </c>
      <c r="Q1175" s="253" t="s">
        <v>131</v>
      </c>
      <c r="R1175" s="253" t="s">
        <v>129</v>
      </c>
      <c r="S1175" s="253" t="s">
        <v>131</v>
      </c>
      <c r="T1175" s="253"/>
      <c r="U1175" s="253"/>
      <c r="V1175" s="254" t="s">
        <v>295</v>
      </c>
      <c r="W1175" s="253" t="s">
        <v>166</v>
      </c>
      <c r="X1175" s="253" t="s">
        <v>166</v>
      </c>
      <c r="Y1175" s="253" t="s">
        <v>580</v>
      </c>
      <c r="Z1175" s="253"/>
      <c r="AA1175" s="253"/>
      <c r="AB1175" s="253"/>
      <c r="AC1175" s="253"/>
      <c r="AD1175" s="254" t="s">
        <v>5</v>
      </c>
    </row>
    <row r="1176" spans="1:30" s="255" customFormat="1" ht="33" customHeight="1" x14ac:dyDescent="0.3">
      <c r="A1176" s="243">
        <v>28</v>
      </c>
      <c r="B1176" s="244">
        <v>183</v>
      </c>
      <c r="C1176" s="245" t="str">
        <f t="shared" si="26"/>
        <v>28.183</v>
      </c>
      <c r="D1176" s="246"/>
      <c r="E1176" s="64" t="str">
        <f>IF(ISBLANK(D1176)=TRUE,"",VLOOKUP(D1176,Krav!$C:$F,4,FALSE))</f>
        <v/>
      </c>
      <c r="F1176" s="247" t="s">
        <v>143</v>
      </c>
      <c r="G1176" s="247" t="s">
        <v>1427</v>
      </c>
      <c r="H1176" s="256" t="s">
        <v>1446</v>
      </c>
      <c r="I1176" s="250" t="s">
        <v>468</v>
      </c>
      <c r="J1176" s="250" t="s">
        <v>222</v>
      </c>
      <c r="K1176" s="123" t="s">
        <v>222</v>
      </c>
      <c r="L1176" s="257" t="s">
        <v>3</v>
      </c>
      <c r="M1176" s="253" t="s">
        <v>131</v>
      </c>
      <c r="N1176" s="253" t="s">
        <v>129</v>
      </c>
      <c r="O1176" s="253" t="s">
        <v>376</v>
      </c>
      <c r="P1176" s="253" t="s">
        <v>96</v>
      </c>
      <c r="Q1176" s="253" t="s">
        <v>131</v>
      </c>
      <c r="R1176" s="253" t="s">
        <v>129</v>
      </c>
      <c r="S1176" s="253" t="s">
        <v>131</v>
      </c>
      <c r="T1176" s="253"/>
      <c r="U1176" s="253"/>
      <c r="V1176" s="253" t="s">
        <v>294</v>
      </c>
      <c r="W1176" s="253"/>
      <c r="X1176" s="253"/>
      <c r="Y1176" s="253"/>
      <c r="Z1176" s="253"/>
      <c r="AA1176" s="253"/>
      <c r="AB1176" s="253"/>
      <c r="AC1176" s="253"/>
      <c r="AD1176" s="254" t="s">
        <v>5</v>
      </c>
    </row>
    <row r="1177" spans="1:30" s="255" customFormat="1" ht="33" customHeight="1" x14ac:dyDescent="0.3">
      <c r="A1177" s="243">
        <v>28</v>
      </c>
      <c r="B1177" s="244">
        <v>184</v>
      </c>
      <c r="C1177" s="245" t="str">
        <f t="shared" si="26"/>
        <v>28.184</v>
      </c>
      <c r="D1177" s="246" t="s">
        <v>1238</v>
      </c>
      <c r="E1177" s="64" t="str">
        <f>IF(ISBLANK(D1177)=TRUE,"",VLOOKUP(D1177,Krav!$C:$F,4,FALSE))</f>
        <v>10.a.2.1.2.1 - Hvis der er svaret "I visse tilfælde" i spørgsmål 9 og hvis der er svaret "Ja" i enten 9.b.1, 9.b.2.1 eller 9.b.2.2.1 skal brugeren ledes til spørgsmål 11</v>
      </c>
      <c r="F1177" s="247" t="s">
        <v>143</v>
      </c>
      <c r="G1177" s="247" t="s">
        <v>1427</v>
      </c>
      <c r="H1177" s="256" t="s">
        <v>1433</v>
      </c>
      <c r="I1177" s="250" t="s">
        <v>555</v>
      </c>
      <c r="J1177" s="250" t="s">
        <v>222</v>
      </c>
      <c r="K1177" s="123" t="s">
        <v>222</v>
      </c>
      <c r="L1177" s="252" t="s">
        <v>3</v>
      </c>
      <c r="M1177" s="253" t="s">
        <v>131</v>
      </c>
      <c r="N1177" s="253" t="s">
        <v>129</v>
      </c>
      <c r="O1177" s="253" t="s">
        <v>376</v>
      </c>
      <c r="P1177" s="253" t="s">
        <v>96</v>
      </c>
      <c r="Q1177" s="253" t="s">
        <v>131</v>
      </c>
      <c r="R1177" s="253" t="s">
        <v>129</v>
      </c>
      <c r="S1177" s="253" t="s">
        <v>131</v>
      </c>
      <c r="T1177" s="253"/>
      <c r="U1177" s="253"/>
      <c r="V1177" s="254" t="s">
        <v>295</v>
      </c>
      <c r="W1177" s="253" t="s">
        <v>26</v>
      </c>
      <c r="X1177" s="253"/>
      <c r="Y1177" s="253"/>
      <c r="Z1177" s="253" t="s">
        <v>129</v>
      </c>
      <c r="AA1177" s="253"/>
      <c r="AB1177" s="253"/>
      <c r="AC1177" s="253"/>
      <c r="AD1177" s="254" t="s">
        <v>5</v>
      </c>
    </row>
    <row r="1178" spans="1:30" s="255" customFormat="1" ht="33" customHeight="1" x14ac:dyDescent="0.3">
      <c r="A1178" s="243">
        <v>28</v>
      </c>
      <c r="B1178" s="244">
        <v>185</v>
      </c>
      <c r="C1178" s="245" t="str">
        <f t="shared" si="26"/>
        <v>28.185</v>
      </c>
      <c r="D1178" s="246" t="s">
        <v>1238</v>
      </c>
      <c r="E1178" s="64" t="str">
        <f>IF(ISBLANK(D1178)=TRUE,"",VLOOKUP(D1178,Krav!$C:$F,4,FALSE))</f>
        <v>10.a.2.1.2.1 - Hvis der er svaret "I visse tilfælde" i spørgsmål 9 og hvis der er svaret "Ja" i enten 9.b.1, 9.b.2.1 eller 9.b.2.2.1 skal brugeren ledes til spørgsmål 11</v>
      </c>
      <c r="F1178" s="247" t="s">
        <v>143</v>
      </c>
      <c r="G1178" s="247" t="s">
        <v>1427</v>
      </c>
      <c r="H1178" s="256" t="s">
        <v>1433</v>
      </c>
      <c r="I1178" s="250" t="s">
        <v>555</v>
      </c>
      <c r="J1178" s="250" t="s">
        <v>222</v>
      </c>
      <c r="K1178" s="123" t="s">
        <v>222</v>
      </c>
      <c r="L1178" s="252" t="s">
        <v>3</v>
      </c>
      <c r="M1178" s="253" t="s">
        <v>131</v>
      </c>
      <c r="N1178" s="253" t="s">
        <v>129</v>
      </c>
      <c r="O1178" s="253" t="s">
        <v>376</v>
      </c>
      <c r="P1178" s="253" t="s">
        <v>96</v>
      </c>
      <c r="Q1178" s="253" t="s">
        <v>131</v>
      </c>
      <c r="R1178" s="253" t="s">
        <v>129</v>
      </c>
      <c r="S1178" s="253" t="s">
        <v>131</v>
      </c>
      <c r="T1178" s="253"/>
      <c r="U1178" s="253"/>
      <c r="V1178" s="254" t="s">
        <v>295</v>
      </c>
      <c r="W1178" s="253" t="s">
        <v>166</v>
      </c>
      <c r="X1178" s="253" t="s">
        <v>26</v>
      </c>
      <c r="Y1178" s="253"/>
      <c r="Z1178" s="253" t="s">
        <v>129</v>
      </c>
      <c r="AA1178" s="253"/>
      <c r="AB1178" s="253"/>
      <c r="AC1178" s="253"/>
      <c r="AD1178" s="254" t="s">
        <v>5</v>
      </c>
    </row>
    <row r="1179" spans="1:30" s="255" customFormat="1" ht="33" customHeight="1" x14ac:dyDescent="0.3">
      <c r="A1179" s="243">
        <v>28</v>
      </c>
      <c r="B1179" s="244">
        <v>186</v>
      </c>
      <c r="C1179" s="245" t="str">
        <f t="shared" si="26"/>
        <v>28.186</v>
      </c>
      <c r="D1179" s="246" t="s">
        <v>1238</v>
      </c>
      <c r="E1179" s="64" t="str">
        <f>IF(ISBLANK(D1179)=TRUE,"",VLOOKUP(D1179,Krav!$C:$F,4,FALSE))</f>
        <v>10.a.2.1.2.1 - Hvis der er svaret "I visse tilfælde" i spørgsmål 9 og hvis der er svaret "Ja" i enten 9.b.1, 9.b.2.1 eller 9.b.2.2.1 skal brugeren ledes til spørgsmål 11</v>
      </c>
      <c r="F1179" s="247" t="s">
        <v>143</v>
      </c>
      <c r="G1179" s="247" t="s">
        <v>1427</v>
      </c>
      <c r="H1179" s="256" t="s">
        <v>1433</v>
      </c>
      <c r="I1179" s="250" t="s">
        <v>555</v>
      </c>
      <c r="J1179" s="250" t="s">
        <v>222</v>
      </c>
      <c r="K1179" s="123" t="s">
        <v>222</v>
      </c>
      <c r="L1179" s="257" t="s">
        <v>3</v>
      </c>
      <c r="M1179" s="253" t="s">
        <v>131</v>
      </c>
      <c r="N1179" s="253" t="s">
        <v>129</v>
      </c>
      <c r="O1179" s="253" t="s">
        <v>376</v>
      </c>
      <c r="P1179" s="253" t="s">
        <v>96</v>
      </c>
      <c r="Q1179" s="253" t="s">
        <v>131</v>
      </c>
      <c r="R1179" s="253" t="s">
        <v>129</v>
      </c>
      <c r="S1179" s="253" t="s">
        <v>131</v>
      </c>
      <c r="T1179" s="253"/>
      <c r="U1179" s="253"/>
      <c r="V1179" s="254" t="s">
        <v>295</v>
      </c>
      <c r="W1179" s="253" t="s">
        <v>166</v>
      </c>
      <c r="X1179" s="253" t="s">
        <v>166</v>
      </c>
      <c r="Y1179" s="253" t="s">
        <v>580</v>
      </c>
      <c r="Z1179" s="253" t="s">
        <v>129</v>
      </c>
      <c r="AA1179" s="253"/>
      <c r="AB1179" s="253"/>
      <c r="AC1179" s="253"/>
      <c r="AD1179" s="254" t="s">
        <v>5</v>
      </c>
    </row>
    <row r="1180" spans="1:30" s="255" customFormat="1" ht="33" customHeight="1" x14ac:dyDescent="0.3">
      <c r="A1180" s="243">
        <v>28</v>
      </c>
      <c r="B1180" s="244">
        <v>187</v>
      </c>
      <c r="C1180" s="245" t="str">
        <f t="shared" si="26"/>
        <v>28.187</v>
      </c>
      <c r="D1180" s="246"/>
      <c r="E1180" s="64" t="str">
        <f>IF(ISBLANK(D1180)=TRUE,"",VLOOKUP(D1180,Krav!$C:$F,4,FALSE))</f>
        <v/>
      </c>
      <c r="F1180" s="247" t="s">
        <v>143</v>
      </c>
      <c r="G1180" s="247" t="s">
        <v>1427</v>
      </c>
      <c r="H1180" s="256" t="s">
        <v>1446</v>
      </c>
      <c r="I1180" s="250" t="s">
        <v>555</v>
      </c>
      <c r="J1180" s="250" t="s">
        <v>222</v>
      </c>
      <c r="K1180" s="123" t="s">
        <v>222</v>
      </c>
      <c r="L1180" s="257" t="s">
        <v>3</v>
      </c>
      <c r="M1180" s="253" t="s">
        <v>131</v>
      </c>
      <c r="N1180" s="253" t="s">
        <v>129</v>
      </c>
      <c r="O1180" s="253" t="s">
        <v>376</v>
      </c>
      <c r="P1180" s="253" t="s">
        <v>96</v>
      </c>
      <c r="Q1180" s="253" t="s">
        <v>131</v>
      </c>
      <c r="R1180" s="253" t="s">
        <v>129</v>
      </c>
      <c r="S1180" s="253" t="s">
        <v>131</v>
      </c>
      <c r="T1180" s="253"/>
      <c r="U1180" s="253"/>
      <c r="V1180" s="253" t="s">
        <v>294</v>
      </c>
      <c r="W1180" s="253"/>
      <c r="X1180" s="253"/>
      <c r="Y1180" s="253"/>
      <c r="Z1180" s="253" t="s">
        <v>129</v>
      </c>
      <c r="AA1180" s="253"/>
      <c r="AB1180" s="253"/>
      <c r="AC1180" s="253"/>
      <c r="AD1180" s="254" t="s">
        <v>5</v>
      </c>
    </row>
    <row r="1181" spans="1:30" s="255" customFormat="1" ht="33" customHeight="1" x14ac:dyDescent="0.3">
      <c r="A1181" s="243">
        <v>28</v>
      </c>
      <c r="B1181" s="244">
        <v>188</v>
      </c>
      <c r="C1181" s="245" t="str">
        <f t="shared" si="26"/>
        <v>28.188</v>
      </c>
      <c r="D1181" s="246" t="s">
        <v>1238</v>
      </c>
      <c r="E1181" s="64" t="str">
        <f>IF(ISBLANK(D1181)=TRUE,"",VLOOKUP(D1181,Krav!$C:$F,4,FALSE))</f>
        <v>10.a.2.1.2.1 - Hvis der er svaret "I visse tilfælde" i spørgsmål 9 og hvis der er svaret "Ja" i enten 9.b.1, 9.b.2.1 eller 9.b.2.2.1 skal brugeren ledes til spørgsmål 11</v>
      </c>
      <c r="F1181" s="247" t="s">
        <v>143</v>
      </c>
      <c r="G1181" s="247" t="s">
        <v>1427</v>
      </c>
      <c r="H1181" s="256" t="s">
        <v>1433</v>
      </c>
      <c r="I1181" s="250" t="s">
        <v>560</v>
      </c>
      <c r="J1181" s="250" t="s">
        <v>222</v>
      </c>
      <c r="K1181" s="123" t="s">
        <v>222</v>
      </c>
      <c r="L1181" s="252" t="s">
        <v>3</v>
      </c>
      <c r="M1181" s="253" t="s">
        <v>131</v>
      </c>
      <c r="N1181" s="253" t="s">
        <v>129</v>
      </c>
      <c r="O1181" s="253" t="s">
        <v>376</v>
      </c>
      <c r="P1181" s="253" t="s">
        <v>96</v>
      </c>
      <c r="Q1181" s="253" t="s">
        <v>131</v>
      </c>
      <c r="R1181" s="253" t="s">
        <v>129</v>
      </c>
      <c r="S1181" s="253" t="s">
        <v>131</v>
      </c>
      <c r="T1181" s="253"/>
      <c r="U1181" s="253"/>
      <c r="V1181" s="254" t="s">
        <v>295</v>
      </c>
      <c r="W1181" s="253" t="s">
        <v>26</v>
      </c>
      <c r="X1181" s="253"/>
      <c r="Y1181" s="253"/>
      <c r="Z1181" s="253"/>
      <c r="AA1181" s="253" t="s">
        <v>129</v>
      </c>
      <c r="AB1181" s="253"/>
      <c r="AC1181" s="253"/>
      <c r="AD1181" s="254" t="s">
        <v>5</v>
      </c>
    </row>
    <row r="1182" spans="1:30" s="255" customFormat="1" ht="33" customHeight="1" x14ac:dyDescent="0.3">
      <c r="A1182" s="243">
        <v>28</v>
      </c>
      <c r="B1182" s="244">
        <v>189</v>
      </c>
      <c r="C1182" s="245" t="str">
        <f t="shared" si="26"/>
        <v>28.189</v>
      </c>
      <c r="D1182" s="246" t="s">
        <v>1238</v>
      </c>
      <c r="E1182" s="64" t="str">
        <f>IF(ISBLANK(D1182)=TRUE,"",VLOOKUP(D1182,Krav!$C:$F,4,FALSE))</f>
        <v>10.a.2.1.2.1 - Hvis der er svaret "I visse tilfælde" i spørgsmål 9 og hvis der er svaret "Ja" i enten 9.b.1, 9.b.2.1 eller 9.b.2.2.1 skal brugeren ledes til spørgsmål 11</v>
      </c>
      <c r="F1182" s="247" t="s">
        <v>143</v>
      </c>
      <c r="G1182" s="247" t="s">
        <v>1427</v>
      </c>
      <c r="H1182" s="256" t="s">
        <v>1433</v>
      </c>
      <c r="I1182" s="250" t="s">
        <v>560</v>
      </c>
      <c r="J1182" s="250" t="s">
        <v>222</v>
      </c>
      <c r="K1182" s="123" t="s">
        <v>222</v>
      </c>
      <c r="L1182" s="252" t="s">
        <v>3</v>
      </c>
      <c r="M1182" s="253" t="s">
        <v>131</v>
      </c>
      <c r="N1182" s="253" t="s">
        <v>129</v>
      </c>
      <c r="O1182" s="253" t="s">
        <v>376</v>
      </c>
      <c r="P1182" s="253" t="s">
        <v>96</v>
      </c>
      <c r="Q1182" s="253" t="s">
        <v>131</v>
      </c>
      <c r="R1182" s="253" t="s">
        <v>129</v>
      </c>
      <c r="S1182" s="253" t="s">
        <v>131</v>
      </c>
      <c r="T1182" s="253"/>
      <c r="U1182" s="253"/>
      <c r="V1182" s="254" t="s">
        <v>295</v>
      </c>
      <c r="W1182" s="253" t="s">
        <v>166</v>
      </c>
      <c r="X1182" s="253" t="s">
        <v>26</v>
      </c>
      <c r="Y1182" s="253"/>
      <c r="Z1182" s="253"/>
      <c r="AA1182" s="253" t="s">
        <v>129</v>
      </c>
      <c r="AB1182" s="253"/>
      <c r="AC1182" s="253"/>
      <c r="AD1182" s="254" t="s">
        <v>5</v>
      </c>
    </row>
    <row r="1183" spans="1:30" s="255" customFormat="1" ht="33" customHeight="1" x14ac:dyDescent="0.3">
      <c r="A1183" s="243">
        <v>28</v>
      </c>
      <c r="B1183" s="244">
        <v>190</v>
      </c>
      <c r="C1183" s="245" t="str">
        <f t="shared" si="26"/>
        <v>28.190</v>
      </c>
      <c r="D1183" s="246" t="s">
        <v>1238</v>
      </c>
      <c r="E1183" s="64" t="str">
        <f>IF(ISBLANK(D1183)=TRUE,"",VLOOKUP(D1183,Krav!$C:$F,4,FALSE))</f>
        <v>10.a.2.1.2.1 - Hvis der er svaret "I visse tilfælde" i spørgsmål 9 og hvis der er svaret "Ja" i enten 9.b.1, 9.b.2.1 eller 9.b.2.2.1 skal brugeren ledes til spørgsmål 11</v>
      </c>
      <c r="F1183" s="247" t="s">
        <v>143</v>
      </c>
      <c r="G1183" s="247" t="s">
        <v>1427</v>
      </c>
      <c r="H1183" s="256" t="s">
        <v>1433</v>
      </c>
      <c r="I1183" s="250" t="s">
        <v>560</v>
      </c>
      <c r="J1183" s="250" t="s">
        <v>222</v>
      </c>
      <c r="K1183" s="123" t="s">
        <v>222</v>
      </c>
      <c r="L1183" s="257" t="s">
        <v>3</v>
      </c>
      <c r="M1183" s="253" t="s">
        <v>131</v>
      </c>
      <c r="N1183" s="253" t="s">
        <v>129</v>
      </c>
      <c r="O1183" s="253" t="s">
        <v>376</v>
      </c>
      <c r="P1183" s="253" t="s">
        <v>96</v>
      </c>
      <c r="Q1183" s="253" t="s">
        <v>131</v>
      </c>
      <c r="R1183" s="253" t="s">
        <v>129</v>
      </c>
      <c r="S1183" s="253" t="s">
        <v>131</v>
      </c>
      <c r="T1183" s="253"/>
      <c r="U1183" s="253"/>
      <c r="V1183" s="254" t="s">
        <v>295</v>
      </c>
      <c r="W1183" s="253" t="s">
        <v>166</v>
      </c>
      <c r="X1183" s="253" t="s">
        <v>166</v>
      </c>
      <c r="Y1183" s="253" t="s">
        <v>580</v>
      </c>
      <c r="Z1183" s="253"/>
      <c r="AA1183" s="253" t="s">
        <v>129</v>
      </c>
      <c r="AB1183" s="253"/>
      <c r="AC1183" s="253"/>
      <c r="AD1183" s="254" t="s">
        <v>5</v>
      </c>
    </row>
    <row r="1184" spans="1:30" s="255" customFormat="1" ht="33" customHeight="1" x14ac:dyDescent="0.3">
      <c r="A1184" s="243">
        <v>28</v>
      </c>
      <c r="B1184" s="244">
        <v>191</v>
      </c>
      <c r="C1184" s="245" t="str">
        <f t="shared" si="26"/>
        <v>28.191</v>
      </c>
      <c r="D1184" s="246"/>
      <c r="E1184" s="64" t="str">
        <f>IF(ISBLANK(D1184)=TRUE,"",VLOOKUP(D1184,Krav!$C:$F,4,FALSE))</f>
        <v/>
      </c>
      <c r="F1184" s="247" t="s">
        <v>143</v>
      </c>
      <c r="G1184" s="247" t="s">
        <v>1427</v>
      </c>
      <c r="H1184" s="256" t="s">
        <v>1446</v>
      </c>
      <c r="I1184" s="250" t="s">
        <v>560</v>
      </c>
      <c r="J1184" s="250" t="s">
        <v>222</v>
      </c>
      <c r="K1184" s="123" t="s">
        <v>222</v>
      </c>
      <c r="L1184" s="257" t="s">
        <v>3</v>
      </c>
      <c r="M1184" s="253" t="s">
        <v>131</v>
      </c>
      <c r="N1184" s="253" t="s">
        <v>129</v>
      </c>
      <c r="O1184" s="253" t="s">
        <v>376</v>
      </c>
      <c r="P1184" s="253" t="s">
        <v>96</v>
      </c>
      <c r="Q1184" s="253" t="s">
        <v>131</v>
      </c>
      <c r="R1184" s="253" t="s">
        <v>129</v>
      </c>
      <c r="S1184" s="253" t="s">
        <v>131</v>
      </c>
      <c r="T1184" s="253"/>
      <c r="U1184" s="253"/>
      <c r="V1184" s="253" t="s">
        <v>294</v>
      </c>
      <c r="W1184" s="253"/>
      <c r="X1184" s="253"/>
      <c r="Y1184" s="253"/>
      <c r="Z1184" s="253"/>
      <c r="AA1184" s="253" t="s">
        <v>129</v>
      </c>
      <c r="AB1184" s="253"/>
      <c r="AC1184" s="253"/>
      <c r="AD1184" s="254" t="s">
        <v>5</v>
      </c>
    </row>
    <row r="1185" spans="1:30" s="255" customFormat="1" ht="33" customHeight="1" x14ac:dyDescent="0.3">
      <c r="A1185" s="243">
        <v>28</v>
      </c>
      <c r="B1185" s="244">
        <v>192</v>
      </c>
      <c r="C1185" s="245" t="str">
        <f t="shared" si="26"/>
        <v>28.192</v>
      </c>
      <c r="D1185" s="246" t="s">
        <v>1238</v>
      </c>
      <c r="E1185" s="64" t="str">
        <f>IF(ISBLANK(D1185)=TRUE,"",VLOOKUP(D1185,Krav!$C:$F,4,FALSE))</f>
        <v>10.a.2.1.2.1 - Hvis der er svaret "I visse tilfælde" i spørgsmål 9 og hvis der er svaret "Ja" i enten 9.b.1, 9.b.2.1 eller 9.b.2.2.1 skal brugeren ledes til spørgsmål 11</v>
      </c>
      <c r="F1185" s="247" t="s">
        <v>143</v>
      </c>
      <c r="G1185" s="247" t="s">
        <v>1427</v>
      </c>
      <c r="H1185" s="256" t="s">
        <v>1433</v>
      </c>
      <c r="I1185" s="250" t="s">
        <v>565</v>
      </c>
      <c r="J1185" s="250" t="s">
        <v>222</v>
      </c>
      <c r="K1185" s="123" t="s">
        <v>222</v>
      </c>
      <c r="L1185" s="252" t="s">
        <v>3</v>
      </c>
      <c r="M1185" s="253" t="s">
        <v>131</v>
      </c>
      <c r="N1185" s="253" t="s">
        <v>129</v>
      </c>
      <c r="O1185" s="253" t="s">
        <v>376</v>
      </c>
      <c r="P1185" s="253" t="s">
        <v>96</v>
      </c>
      <c r="Q1185" s="253" t="s">
        <v>131</v>
      </c>
      <c r="R1185" s="253" t="s">
        <v>129</v>
      </c>
      <c r="S1185" s="253" t="s">
        <v>131</v>
      </c>
      <c r="T1185" s="253"/>
      <c r="U1185" s="253"/>
      <c r="V1185" s="254" t="s">
        <v>295</v>
      </c>
      <c r="W1185" s="253" t="s">
        <v>26</v>
      </c>
      <c r="X1185" s="253"/>
      <c r="Y1185" s="253"/>
      <c r="Z1185" s="253"/>
      <c r="AA1185" s="253"/>
      <c r="AB1185" s="253" t="s">
        <v>129</v>
      </c>
      <c r="AC1185" s="253"/>
      <c r="AD1185" s="254" t="s">
        <v>5</v>
      </c>
    </row>
    <row r="1186" spans="1:30" s="255" customFormat="1" ht="33" customHeight="1" x14ac:dyDescent="0.3">
      <c r="A1186" s="243">
        <v>28</v>
      </c>
      <c r="B1186" s="244">
        <v>193</v>
      </c>
      <c r="C1186" s="245" t="str">
        <f t="shared" si="26"/>
        <v>28.193</v>
      </c>
      <c r="D1186" s="246" t="s">
        <v>1238</v>
      </c>
      <c r="E1186" s="64" t="str">
        <f>IF(ISBLANK(D1186)=TRUE,"",VLOOKUP(D1186,Krav!$C:$F,4,FALSE))</f>
        <v>10.a.2.1.2.1 - Hvis der er svaret "I visse tilfælde" i spørgsmål 9 og hvis der er svaret "Ja" i enten 9.b.1, 9.b.2.1 eller 9.b.2.2.1 skal brugeren ledes til spørgsmål 11</v>
      </c>
      <c r="F1186" s="247" t="s">
        <v>143</v>
      </c>
      <c r="G1186" s="247" t="s">
        <v>1427</v>
      </c>
      <c r="H1186" s="256" t="s">
        <v>1433</v>
      </c>
      <c r="I1186" s="250" t="s">
        <v>565</v>
      </c>
      <c r="J1186" s="250" t="s">
        <v>222</v>
      </c>
      <c r="K1186" s="123" t="s">
        <v>222</v>
      </c>
      <c r="L1186" s="252" t="s">
        <v>3</v>
      </c>
      <c r="M1186" s="253" t="s">
        <v>131</v>
      </c>
      <c r="N1186" s="253" t="s">
        <v>129</v>
      </c>
      <c r="O1186" s="253" t="s">
        <v>376</v>
      </c>
      <c r="P1186" s="253" t="s">
        <v>96</v>
      </c>
      <c r="Q1186" s="253" t="s">
        <v>131</v>
      </c>
      <c r="R1186" s="253" t="s">
        <v>129</v>
      </c>
      <c r="S1186" s="253" t="s">
        <v>131</v>
      </c>
      <c r="T1186" s="253"/>
      <c r="U1186" s="253"/>
      <c r="V1186" s="254" t="s">
        <v>295</v>
      </c>
      <c r="W1186" s="253" t="s">
        <v>166</v>
      </c>
      <c r="X1186" s="253" t="s">
        <v>26</v>
      </c>
      <c r="Y1186" s="253"/>
      <c r="Z1186" s="253"/>
      <c r="AA1186" s="253"/>
      <c r="AB1186" s="253" t="s">
        <v>129</v>
      </c>
      <c r="AC1186" s="253"/>
      <c r="AD1186" s="254" t="s">
        <v>5</v>
      </c>
    </row>
    <row r="1187" spans="1:30" s="255" customFormat="1" ht="33" customHeight="1" x14ac:dyDescent="0.3">
      <c r="A1187" s="243">
        <v>28</v>
      </c>
      <c r="B1187" s="244">
        <v>194</v>
      </c>
      <c r="C1187" s="245" t="str">
        <f t="shared" si="26"/>
        <v>28.194</v>
      </c>
      <c r="D1187" s="246" t="s">
        <v>1238</v>
      </c>
      <c r="E1187" s="64" t="str">
        <f>IF(ISBLANK(D1187)=TRUE,"",VLOOKUP(D1187,Krav!$C:$F,4,FALSE))</f>
        <v>10.a.2.1.2.1 - Hvis der er svaret "I visse tilfælde" i spørgsmål 9 og hvis der er svaret "Ja" i enten 9.b.1, 9.b.2.1 eller 9.b.2.2.1 skal brugeren ledes til spørgsmål 11</v>
      </c>
      <c r="F1187" s="247" t="s">
        <v>143</v>
      </c>
      <c r="G1187" s="247" t="s">
        <v>1427</v>
      </c>
      <c r="H1187" s="256" t="s">
        <v>1433</v>
      </c>
      <c r="I1187" s="250" t="s">
        <v>565</v>
      </c>
      <c r="J1187" s="250" t="s">
        <v>222</v>
      </c>
      <c r="K1187" s="123" t="s">
        <v>222</v>
      </c>
      <c r="L1187" s="257" t="s">
        <v>3</v>
      </c>
      <c r="M1187" s="253" t="s">
        <v>131</v>
      </c>
      <c r="N1187" s="253" t="s">
        <v>129</v>
      </c>
      <c r="O1187" s="253" t="s">
        <v>376</v>
      </c>
      <c r="P1187" s="253" t="s">
        <v>96</v>
      </c>
      <c r="Q1187" s="253" t="s">
        <v>131</v>
      </c>
      <c r="R1187" s="253" t="s">
        <v>129</v>
      </c>
      <c r="S1187" s="253" t="s">
        <v>131</v>
      </c>
      <c r="T1187" s="253"/>
      <c r="U1187" s="253"/>
      <c r="V1187" s="254" t="s">
        <v>295</v>
      </c>
      <c r="W1187" s="253" t="s">
        <v>166</v>
      </c>
      <c r="X1187" s="253" t="s">
        <v>166</v>
      </c>
      <c r="Y1187" s="253" t="s">
        <v>580</v>
      </c>
      <c r="Z1187" s="253"/>
      <c r="AA1187" s="253"/>
      <c r="AB1187" s="253" t="s">
        <v>129</v>
      </c>
      <c r="AC1187" s="253"/>
      <c r="AD1187" s="254" t="s">
        <v>5</v>
      </c>
    </row>
    <row r="1188" spans="1:30" s="255" customFormat="1" ht="33" customHeight="1" x14ac:dyDescent="0.3">
      <c r="A1188" s="243">
        <v>28</v>
      </c>
      <c r="B1188" s="244">
        <v>195</v>
      </c>
      <c r="C1188" s="245" t="str">
        <f t="shared" ref="C1188:C1251" si="27">IF(B1188&lt;10,_xlfn.CONCAT(A1188,".0",B1188),_xlfn.CONCAT(A1188,".",B1188))</f>
        <v>28.195</v>
      </c>
      <c r="D1188" s="246"/>
      <c r="E1188" s="64" t="str">
        <f>IF(ISBLANK(D1188)=TRUE,"",VLOOKUP(D1188,Krav!$C:$F,4,FALSE))</f>
        <v/>
      </c>
      <c r="F1188" s="247" t="s">
        <v>143</v>
      </c>
      <c r="G1188" s="247" t="s">
        <v>1427</v>
      </c>
      <c r="H1188" s="256" t="s">
        <v>1446</v>
      </c>
      <c r="I1188" s="250" t="s">
        <v>565</v>
      </c>
      <c r="J1188" s="250" t="s">
        <v>222</v>
      </c>
      <c r="K1188" s="123" t="s">
        <v>222</v>
      </c>
      <c r="L1188" s="257" t="s">
        <v>3</v>
      </c>
      <c r="M1188" s="253" t="s">
        <v>131</v>
      </c>
      <c r="N1188" s="253" t="s">
        <v>129</v>
      </c>
      <c r="O1188" s="253" t="s">
        <v>376</v>
      </c>
      <c r="P1188" s="253" t="s">
        <v>96</v>
      </c>
      <c r="Q1188" s="253" t="s">
        <v>131</v>
      </c>
      <c r="R1188" s="253" t="s">
        <v>129</v>
      </c>
      <c r="S1188" s="253" t="s">
        <v>131</v>
      </c>
      <c r="T1188" s="253"/>
      <c r="U1188" s="253"/>
      <c r="V1188" s="253" t="s">
        <v>294</v>
      </c>
      <c r="W1188" s="253"/>
      <c r="X1188" s="253"/>
      <c r="Y1188" s="253"/>
      <c r="Z1188" s="253"/>
      <c r="AA1188" s="253"/>
      <c r="AB1188" s="253" t="s">
        <v>129</v>
      </c>
      <c r="AC1188" s="253"/>
      <c r="AD1188" s="254" t="s">
        <v>5</v>
      </c>
    </row>
    <row r="1189" spans="1:30" s="255" customFormat="1" ht="33" customHeight="1" x14ac:dyDescent="0.3">
      <c r="A1189" s="243">
        <v>28</v>
      </c>
      <c r="B1189" s="244">
        <v>196</v>
      </c>
      <c r="C1189" s="245" t="str">
        <f t="shared" si="27"/>
        <v>28.196</v>
      </c>
      <c r="D1189" s="246" t="s">
        <v>1238</v>
      </c>
      <c r="E1189" s="64" t="str">
        <f>IF(ISBLANK(D1189)=TRUE,"",VLOOKUP(D1189,Krav!$C:$F,4,FALSE))</f>
        <v>10.a.2.1.2.1 - Hvis der er svaret "I visse tilfælde" i spørgsmål 9 og hvis der er svaret "Ja" i enten 9.b.1, 9.b.2.1 eller 9.b.2.2.1 skal brugeren ledes til spørgsmål 11</v>
      </c>
      <c r="F1189" s="247" t="s">
        <v>143</v>
      </c>
      <c r="G1189" s="247" t="s">
        <v>1427</v>
      </c>
      <c r="H1189" s="256" t="s">
        <v>1433</v>
      </c>
      <c r="I1189" s="250" t="s">
        <v>549</v>
      </c>
      <c r="J1189" s="250" t="s">
        <v>222</v>
      </c>
      <c r="K1189" s="123" t="s">
        <v>222</v>
      </c>
      <c r="L1189" s="252" t="s">
        <v>3</v>
      </c>
      <c r="M1189" s="253" t="s">
        <v>131</v>
      </c>
      <c r="N1189" s="253" t="s">
        <v>129</v>
      </c>
      <c r="O1189" s="253" t="s">
        <v>376</v>
      </c>
      <c r="P1189" s="253" t="s">
        <v>96</v>
      </c>
      <c r="Q1189" s="253" t="s">
        <v>131</v>
      </c>
      <c r="R1189" s="253" t="s">
        <v>129</v>
      </c>
      <c r="S1189" s="253" t="s">
        <v>131</v>
      </c>
      <c r="T1189" s="253"/>
      <c r="U1189" s="253"/>
      <c r="V1189" s="254" t="s">
        <v>295</v>
      </c>
      <c r="W1189" s="253" t="s">
        <v>26</v>
      </c>
      <c r="X1189" s="253"/>
      <c r="Y1189" s="253"/>
      <c r="Z1189" s="253"/>
      <c r="AA1189" s="253"/>
      <c r="AB1189" s="253"/>
      <c r="AC1189" s="253" t="s">
        <v>129</v>
      </c>
      <c r="AD1189" s="254" t="s">
        <v>5</v>
      </c>
    </row>
    <row r="1190" spans="1:30" s="255" customFormat="1" ht="33" customHeight="1" x14ac:dyDescent="0.3">
      <c r="A1190" s="243">
        <v>28</v>
      </c>
      <c r="B1190" s="244">
        <v>197</v>
      </c>
      <c r="C1190" s="245" t="str">
        <f t="shared" si="27"/>
        <v>28.197</v>
      </c>
      <c r="D1190" s="246" t="s">
        <v>1238</v>
      </c>
      <c r="E1190" s="64" t="str">
        <f>IF(ISBLANK(D1190)=TRUE,"",VLOOKUP(D1190,Krav!$C:$F,4,FALSE))</f>
        <v>10.a.2.1.2.1 - Hvis der er svaret "I visse tilfælde" i spørgsmål 9 og hvis der er svaret "Ja" i enten 9.b.1, 9.b.2.1 eller 9.b.2.2.1 skal brugeren ledes til spørgsmål 11</v>
      </c>
      <c r="F1190" s="247" t="s">
        <v>143</v>
      </c>
      <c r="G1190" s="247" t="s">
        <v>1427</v>
      </c>
      <c r="H1190" s="256" t="s">
        <v>1433</v>
      </c>
      <c r="I1190" s="250" t="s">
        <v>549</v>
      </c>
      <c r="J1190" s="250" t="s">
        <v>222</v>
      </c>
      <c r="K1190" s="123" t="s">
        <v>222</v>
      </c>
      <c r="L1190" s="252" t="s">
        <v>3</v>
      </c>
      <c r="M1190" s="253" t="s">
        <v>131</v>
      </c>
      <c r="N1190" s="253" t="s">
        <v>129</v>
      </c>
      <c r="O1190" s="253" t="s">
        <v>376</v>
      </c>
      <c r="P1190" s="253" t="s">
        <v>96</v>
      </c>
      <c r="Q1190" s="253" t="s">
        <v>131</v>
      </c>
      <c r="R1190" s="253" t="s">
        <v>129</v>
      </c>
      <c r="S1190" s="253" t="s">
        <v>131</v>
      </c>
      <c r="T1190" s="253"/>
      <c r="U1190" s="253"/>
      <c r="V1190" s="254" t="s">
        <v>295</v>
      </c>
      <c r="W1190" s="253" t="s">
        <v>166</v>
      </c>
      <c r="X1190" s="253" t="s">
        <v>26</v>
      </c>
      <c r="Y1190" s="253"/>
      <c r="Z1190" s="253"/>
      <c r="AA1190" s="253"/>
      <c r="AB1190" s="253"/>
      <c r="AC1190" s="253" t="s">
        <v>129</v>
      </c>
      <c r="AD1190" s="254" t="s">
        <v>5</v>
      </c>
    </row>
    <row r="1191" spans="1:30" s="255" customFormat="1" ht="33" customHeight="1" x14ac:dyDescent="0.3">
      <c r="A1191" s="243">
        <v>28</v>
      </c>
      <c r="B1191" s="244">
        <v>198</v>
      </c>
      <c r="C1191" s="245" t="str">
        <f t="shared" si="27"/>
        <v>28.198</v>
      </c>
      <c r="D1191" s="246" t="s">
        <v>1238</v>
      </c>
      <c r="E1191" s="64" t="str">
        <f>IF(ISBLANK(D1191)=TRUE,"",VLOOKUP(D1191,Krav!$C:$F,4,FALSE))</f>
        <v>10.a.2.1.2.1 - Hvis der er svaret "I visse tilfælde" i spørgsmål 9 og hvis der er svaret "Ja" i enten 9.b.1, 9.b.2.1 eller 9.b.2.2.1 skal brugeren ledes til spørgsmål 11</v>
      </c>
      <c r="F1191" s="247" t="s">
        <v>143</v>
      </c>
      <c r="G1191" s="247" t="s">
        <v>1427</v>
      </c>
      <c r="H1191" s="256" t="s">
        <v>1433</v>
      </c>
      <c r="I1191" s="250" t="s">
        <v>549</v>
      </c>
      <c r="J1191" s="250" t="s">
        <v>222</v>
      </c>
      <c r="K1191" s="123" t="s">
        <v>222</v>
      </c>
      <c r="L1191" s="257" t="s">
        <v>3</v>
      </c>
      <c r="M1191" s="253" t="s">
        <v>131</v>
      </c>
      <c r="N1191" s="253" t="s">
        <v>129</v>
      </c>
      <c r="O1191" s="253" t="s">
        <v>376</v>
      </c>
      <c r="P1191" s="253" t="s">
        <v>96</v>
      </c>
      <c r="Q1191" s="253" t="s">
        <v>131</v>
      </c>
      <c r="R1191" s="253" t="s">
        <v>129</v>
      </c>
      <c r="S1191" s="253" t="s">
        <v>131</v>
      </c>
      <c r="T1191" s="253"/>
      <c r="U1191" s="253"/>
      <c r="V1191" s="254" t="s">
        <v>295</v>
      </c>
      <c r="W1191" s="253" t="s">
        <v>166</v>
      </c>
      <c r="X1191" s="253" t="s">
        <v>166</v>
      </c>
      <c r="Y1191" s="253" t="s">
        <v>580</v>
      </c>
      <c r="Z1191" s="253"/>
      <c r="AA1191" s="253"/>
      <c r="AB1191" s="253"/>
      <c r="AC1191" s="253" t="s">
        <v>129</v>
      </c>
      <c r="AD1191" s="254" t="s">
        <v>5</v>
      </c>
    </row>
    <row r="1192" spans="1:30" s="255" customFormat="1" ht="33" customHeight="1" x14ac:dyDescent="0.3">
      <c r="A1192" s="243">
        <v>28</v>
      </c>
      <c r="B1192" s="244">
        <v>199</v>
      </c>
      <c r="C1192" s="245" t="str">
        <f t="shared" si="27"/>
        <v>28.199</v>
      </c>
      <c r="D1192" s="246"/>
      <c r="E1192" s="64" t="str">
        <f>IF(ISBLANK(D1192)=TRUE,"",VLOOKUP(D1192,Krav!$C:$F,4,FALSE))</f>
        <v/>
      </c>
      <c r="F1192" s="247" t="s">
        <v>143</v>
      </c>
      <c r="G1192" s="247" t="s">
        <v>1427</v>
      </c>
      <c r="H1192" s="256" t="s">
        <v>1446</v>
      </c>
      <c r="I1192" s="250" t="s">
        <v>549</v>
      </c>
      <c r="J1192" s="250" t="s">
        <v>222</v>
      </c>
      <c r="K1192" s="123" t="s">
        <v>222</v>
      </c>
      <c r="L1192" s="257" t="s">
        <v>3</v>
      </c>
      <c r="M1192" s="253" t="s">
        <v>131</v>
      </c>
      <c r="N1192" s="253" t="s">
        <v>129</v>
      </c>
      <c r="O1192" s="253" t="s">
        <v>376</v>
      </c>
      <c r="P1192" s="253" t="s">
        <v>96</v>
      </c>
      <c r="Q1192" s="253" t="s">
        <v>131</v>
      </c>
      <c r="R1192" s="253" t="s">
        <v>129</v>
      </c>
      <c r="S1192" s="253" t="s">
        <v>131</v>
      </c>
      <c r="T1192" s="253"/>
      <c r="U1192" s="253"/>
      <c r="V1192" s="253" t="s">
        <v>294</v>
      </c>
      <c r="W1192" s="253"/>
      <c r="X1192" s="253"/>
      <c r="Y1192" s="253"/>
      <c r="Z1192" s="253"/>
      <c r="AA1192" s="253"/>
      <c r="AB1192" s="253"/>
      <c r="AC1192" s="253" t="s">
        <v>129</v>
      </c>
      <c r="AD1192" s="254" t="s">
        <v>5</v>
      </c>
    </row>
    <row r="1193" spans="1:30" s="271" customFormat="1" ht="33" customHeight="1" x14ac:dyDescent="0.3">
      <c r="A1193" s="259">
        <v>28</v>
      </c>
      <c r="B1193" s="260">
        <v>200</v>
      </c>
      <c r="C1193" s="261" t="str">
        <f t="shared" si="27"/>
        <v>28.200</v>
      </c>
      <c r="D1193" s="262" t="s">
        <v>1245</v>
      </c>
      <c r="E1193" s="64" t="str">
        <f>IF(ISBLANK(D1193)=TRUE,"",VLOOKUP(D1193,Krav!$C:$F,4,FALSE))</f>
        <v>10.a.2.2.2 - Der angives et "NEJ" i i populationen under ”vil RIM beregne en tidligst mulig forældelsesdato?"</v>
      </c>
      <c r="F1193" s="263" t="s">
        <v>221</v>
      </c>
      <c r="G1193" s="264"/>
      <c r="H1193" s="265" t="s">
        <v>1430</v>
      </c>
      <c r="I1193" s="266" t="s">
        <v>241</v>
      </c>
      <c r="J1193" s="267" t="s">
        <v>222</v>
      </c>
      <c r="K1193" s="123" t="s">
        <v>222</v>
      </c>
      <c r="L1193" s="268" t="s">
        <v>3</v>
      </c>
      <c r="M1193" s="269" t="s">
        <v>131</v>
      </c>
      <c r="N1193" s="269" t="s">
        <v>129</v>
      </c>
      <c r="O1193" s="269" t="s">
        <v>96</v>
      </c>
      <c r="P1193" s="269" t="s">
        <v>376</v>
      </c>
      <c r="Q1193" s="269" t="s">
        <v>129</v>
      </c>
      <c r="R1193" s="269" t="s">
        <v>131</v>
      </c>
      <c r="S1193" s="269" t="s">
        <v>131</v>
      </c>
      <c r="T1193" s="269"/>
      <c r="U1193" s="269"/>
      <c r="V1193" s="269"/>
      <c r="W1193" s="269"/>
      <c r="X1193" s="269"/>
      <c r="Y1193" s="269"/>
      <c r="Z1193" s="269"/>
      <c r="AA1193" s="269"/>
      <c r="AB1193" s="269"/>
      <c r="AC1193" s="269"/>
      <c r="AD1193" s="270" t="s">
        <v>5</v>
      </c>
    </row>
    <row r="1194" spans="1:30" s="271" customFormat="1" ht="33" customHeight="1" x14ac:dyDescent="0.3">
      <c r="A1194" s="259">
        <v>28</v>
      </c>
      <c r="B1194" s="260">
        <v>201</v>
      </c>
      <c r="C1194" s="261" t="str">
        <f t="shared" si="27"/>
        <v>28.201</v>
      </c>
      <c r="D1194" s="262" t="s">
        <v>1246</v>
      </c>
      <c r="E1194" s="64" t="str">
        <f>IF(ISBLANK(D1194)=TRUE,"",VLOOKUP(D1194,Krav!$C:$F,4,FALSE))</f>
        <v>10.a.2.2.3 - Gruppe 1 deaktiveres</v>
      </c>
      <c r="F1194" s="263" t="s">
        <v>227</v>
      </c>
      <c r="G1194" s="264"/>
      <c r="H1194" s="272" t="s">
        <v>1423</v>
      </c>
      <c r="I1194" s="266" t="s">
        <v>241</v>
      </c>
      <c r="J1194" s="267" t="s">
        <v>222</v>
      </c>
      <c r="K1194" s="123" t="s">
        <v>222</v>
      </c>
      <c r="L1194" s="268" t="s">
        <v>3</v>
      </c>
      <c r="M1194" s="269" t="s">
        <v>131</v>
      </c>
      <c r="N1194" s="269" t="s">
        <v>129</v>
      </c>
      <c r="O1194" s="269" t="s">
        <v>96</v>
      </c>
      <c r="P1194" s="269" t="s">
        <v>376</v>
      </c>
      <c r="Q1194" s="269" t="s">
        <v>129</v>
      </c>
      <c r="R1194" s="269" t="s">
        <v>131</v>
      </c>
      <c r="S1194" s="269" t="s">
        <v>131</v>
      </c>
      <c r="T1194" s="269"/>
      <c r="U1194" s="269"/>
      <c r="V1194" s="269"/>
      <c r="W1194" s="269"/>
      <c r="X1194" s="269"/>
      <c r="Y1194" s="269"/>
      <c r="Z1194" s="269"/>
      <c r="AA1194" s="269"/>
      <c r="AB1194" s="269"/>
      <c r="AC1194" s="269"/>
      <c r="AD1194" s="270" t="s">
        <v>5</v>
      </c>
    </row>
    <row r="1195" spans="1:30" s="271" customFormat="1" ht="33" customHeight="1" x14ac:dyDescent="0.3">
      <c r="A1195" s="259">
        <v>28</v>
      </c>
      <c r="B1195" s="260">
        <v>202</v>
      </c>
      <c r="C1195" s="261" t="str">
        <f t="shared" si="27"/>
        <v>28.202</v>
      </c>
      <c r="D1195" s="262"/>
      <c r="E1195" s="64" t="str">
        <f>IF(ISBLANK(D1195)=TRUE,"",VLOOKUP(D1195,Krav!$C:$F,4,FALSE))</f>
        <v/>
      </c>
      <c r="F1195" s="263" t="s">
        <v>225</v>
      </c>
      <c r="G1195" s="264" t="s">
        <v>230</v>
      </c>
      <c r="H1195" s="265" t="s">
        <v>1431</v>
      </c>
      <c r="I1195" s="266" t="s">
        <v>1407</v>
      </c>
      <c r="J1195" s="267" t="s">
        <v>222</v>
      </c>
      <c r="K1195" s="123" t="s">
        <v>222</v>
      </c>
      <c r="L1195" s="268" t="s">
        <v>3</v>
      </c>
      <c r="M1195" s="269" t="s">
        <v>131</v>
      </c>
      <c r="N1195" s="269" t="s">
        <v>129</v>
      </c>
      <c r="O1195" s="269" t="s">
        <v>96</v>
      </c>
      <c r="P1195" s="269" t="s">
        <v>376</v>
      </c>
      <c r="Q1195" s="269" t="s">
        <v>129</v>
      </c>
      <c r="R1195" s="269" t="s">
        <v>131</v>
      </c>
      <c r="S1195" s="269" t="s">
        <v>131</v>
      </c>
      <c r="T1195" s="269"/>
      <c r="U1195" s="269"/>
      <c r="V1195" s="269"/>
      <c r="W1195" s="269"/>
      <c r="X1195" s="269"/>
      <c r="Y1195" s="269"/>
      <c r="Z1195" s="269"/>
      <c r="AA1195" s="269"/>
      <c r="AB1195" s="269"/>
      <c r="AC1195" s="269"/>
      <c r="AD1195" s="270" t="s">
        <v>5</v>
      </c>
    </row>
    <row r="1196" spans="1:30" s="271" customFormat="1" ht="33" customHeight="1" x14ac:dyDescent="0.3">
      <c r="A1196" s="259">
        <v>28</v>
      </c>
      <c r="B1196" s="260">
        <v>203</v>
      </c>
      <c r="C1196" s="261" t="str">
        <f t="shared" si="27"/>
        <v>28.203</v>
      </c>
      <c r="D1196" s="262"/>
      <c r="E1196" s="64" t="str">
        <f>IF(ISBLANK(D1196)=TRUE,"",VLOOKUP(D1196,Krav!$C:$F,4,FALSE))</f>
        <v/>
      </c>
      <c r="F1196" s="263" t="s">
        <v>225</v>
      </c>
      <c r="G1196" s="264" t="s">
        <v>1390</v>
      </c>
      <c r="H1196" s="265" t="s">
        <v>1431</v>
      </c>
      <c r="I1196" s="266" t="s">
        <v>369</v>
      </c>
      <c r="J1196" s="267" t="s">
        <v>222</v>
      </c>
      <c r="K1196" s="123" t="s">
        <v>222</v>
      </c>
      <c r="L1196" s="268" t="s">
        <v>3</v>
      </c>
      <c r="M1196" s="269" t="s">
        <v>131</v>
      </c>
      <c r="N1196" s="269" t="s">
        <v>129</v>
      </c>
      <c r="O1196" s="269" t="s">
        <v>96</v>
      </c>
      <c r="P1196" s="269" t="s">
        <v>376</v>
      </c>
      <c r="Q1196" s="269" t="s">
        <v>129</v>
      </c>
      <c r="R1196" s="269" t="s">
        <v>131</v>
      </c>
      <c r="S1196" s="269" t="s">
        <v>131</v>
      </c>
      <c r="T1196" s="269"/>
      <c r="U1196" s="269"/>
      <c r="V1196" s="269"/>
      <c r="W1196" s="269"/>
      <c r="X1196" s="269"/>
      <c r="Y1196" s="269"/>
      <c r="Z1196" s="269"/>
      <c r="AA1196" s="269"/>
      <c r="AB1196" s="269"/>
      <c r="AC1196" s="269"/>
      <c r="AD1196" s="270" t="s">
        <v>5</v>
      </c>
    </row>
    <row r="1197" spans="1:30" s="271" customFormat="1" ht="33" customHeight="1" x14ac:dyDescent="0.3">
      <c r="A1197" s="259">
        <v>28</v>
      </c>
      <c r="B1197" s="260">
        <v>204</v>
      </c>
      <c r="C1197" s="261" t="str">
        <f t="shared" si="27"/>
        <v>28.204</v>
      </c>
      <c r="D1197" s="262" t="s">
        <v>1247</v>
      </c>
      <c r="E1197" s="64" t="str">
        <f>IF(ISBLANK(D1197)=TRUE,"",VLOOKUP(D1197,Krav!$C:$F,4,FALSE))</f>
        <v>10.a.2.2.4 -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197" s="273" t="s">
        <v>174</v>
      </c>
      <c r="G1197" s="264"/>
      <c r="H1197" s="265" t="s">
        <v>1424</v>
      </c>
      <c r="I1197" s="266" t="s">
        <v>1425</v>
      </c>
      <c r="J1197" s="267" t="s">
        <v>222</v>
      </c>
      <c r="K1197" s="123" t="s">
        <v>222</v>
      </c>
      <c r="L1197" s="268" t="s">
        <v>3</v>
      </c>
      <c r="M1197" s="269" t="s">
        <v>131</v>
      </c>
      <c r="N1197" s="269" t="s">
        <v>129</v>
      </c>
      <c r="O1197" s="269" t="s">
        <v>96</v>
      </c>
      <c r="P1197" s="269" t="s">
        <v>376</v>
      </c>
      <c r="Q1197" s="269" t="s">
        <v>129</v>
      </c>
      <c r="R1197" s="269" t="s">
        <v>131</v>
      </c>
      <c r="S1197" s="269" t="s">
        <v>131</v>
      </c>
      <c r="T1197" s="269"/>
      <c r="U1197" s="269"/>
      <c r="V1197" s="269" t="s">
        <v>294</v>
      </c>
      <c r="W1197" s="269"/>
      <c r="X1197" s="269"/>
      <c r="Y1197" s="269"/>
      <c r="Z1197" s="269"/>
      <c r="AA1197" s="269"/>
      <c r="AB1197" s="269"/>
      <c r="AC1197" s="269"/>
      <c r="AD1197" s="270" t="s">
        <v>5</v>
      </c>
    </row>
    <row r="1198" spans="1:30" s="271" customFormat="1" ht="33" customHeight="1" x14ac:dyDescent="0.3">
      <c r="A1198" s="259">
        <v>28</v>
      </c>
      <c r="B1198" s="260">
        <v>205</v>
      </c>
      <c r="C1198" s="261" t="str">
        <f t="shared" si="27"/>
        <v>28.205</v>
      </c>
      <c r="D1198" s="262" t="s">
        <v>1247</v>
      </c>
      <c r="E1198" s="64" t="str">
        <f>IF(ISBLANK(D1198)=TRUE,"",VLOOKUP(D1198,Krav!$C:$F,4,FALSE))</f>
        <v>10.a.2.2.4 -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198" s="273" t="s">
        <v>174</v>
      </c>
      <c r="G1198" s="263"/>
      <c r="H1198" s="265" t="s">
        <v>1447</v>
      </c>
      <c r="I1198" s="266" t="s">
        <v>1425</v>
      </c>
      <c r="J1198" s="267" t="s">
        <v>222</v>
      </c>
      <c r="K1198" s="123" t="s">
        <v>222</v>
      </c>
      <c r="L1198" s="268" t="s">
        <v>3</v>
      </c>
      <c r="M1198" s="269" t="s">
        <v>131</v>
      </c>
      <c r="N1198" s="269" t="s">
        <v>129</v>
      </c>
      <c r="O1198" s="269" t="s">
        <v>96</v>
      </c>
      <c r="P1198" s="269" t="s">
        <v>376</v>
      </c>
      <c r="Q1198" s="269" t="s">
        <v>129</v>
      </c>
      <c r="R1198" s="269" t="s">
        <v>131</v>
      </c>
      <c r="S1198" s="269" t="s">
        <v>131</v>
      </c>
      <c r="T1198" s="269"/>
      <c r="U1198" s="269"/>
      <c r="V1198" s="270" t="s">
        <v>295</v>
      </c>
      <c r="W1198" s="269" t="s">
        <v>26</v>
      </c>
      <c r="X1198" s="269"/>
      <c r="Y1198" s="269"/>
      <c r="Z1198" s="269"/>
      <c r="AA1198" s="269"/>
      <c r="AB1198" s="269"/>
      <c r="AC1198" s="269"/>
      <c r="AD1198" s="270" t="s">
        <v>5</v>
      </c>
    </row>
    <row r="1199" spans="1:30" s="271" customFormat="1" ht="33" customHeight="1" x14ac:dyDescent="0.3">
      <c r="A1199" s="259">
        <v>28</v>
      </c>
      <c r="B1199" s="260">
        <v>206</v>
      </c>
      <c r="C1199" s="261" t="str">
        <f t="shared" si="27"/>
        <v>28.206</v>
      </c>
      <c r="D1199" s="262" t="s">
        <v>1247</v>
      </c>
      <c r="E1199" s="64" t="str">
        <f>IF(ISBLANK(D1199)=TRUE,"",VLOOKUP(D1199,Krav!$C:$F,4,FALSE))</f>
        <v>10.a.2.2.4 -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199" s="273" t="s">
        <v>174</v>
      </c>
      <c r="G1199" s="264"/>
      <c r="H1199" s="265" t="s">
        <v>1447</v>
      </c>
      <c r="I1199" s="267" t="s">
        <v>1425</v>
      </c>
      <c r="J1199" s="267" t="s">
        <v>222</v>
      </c>
      <c r="K1199" s="123" t="s">
        <v>222</v>
      </c>
      <c r="L1199" s="268" t="s">
        <v>3</v>
      </c>
      <c r="M1199" s="269" t="s">
        <v>131</v>
      </c>
      <c r="N1199" s="269" t="s">
        <v>129</v>
      </c>
      <c r="O1199" s="269" t="s">
        <v>96</v>
      </c>
      <c r="P1199" s="269" t="s">
        <v>376</v>
      </c>
      <c r="Q1199" s="269" t="s">
        <v>129</v>
      </c>
      <c r="R1199" s="269" t="s">
        <v>131</v>
      </c>
      <c r="S1199" s="269" t="s">
        <v>131</v>
      </c>
      <c r="T1199" s="269"/>
      <c r="U1199" s="269"/>
      <c r="V1199" s="270" t="s">
        <v>295</v>
      </c>
      <c r="W1199" s="269" t="s">
        <v>166</v>
      </c>
      <c r="X1199" s="269" t="s">
        <v>26</v>
      </c>
      <c r="Y1199" s="269"/>
      <c r="Z1199" s="269"/>
      <c r="AA1199" s="269"/>
      <c r="AB1199" s="269"/>
      <c r="AC1199" s="269"/>
      <c r="AD1199" s="270" t="s">
        <v>5</v>
      </c>
    </row>
    <row r="1200" spans="1:30" s="271" customFormat="1" ht="33" customHeight="1" x14ac:dyDescent="0.3">
      <c r="A1200" s="259">
        <v>28</v>
      </c>
      <c r="B1200" s="260">
        <v>207</v>
      </c>
      <c r="C1200" s="261" t="str">
        <f t="shared" si="27"/>
        <v>28.207</v>
      </c>
      <c r="D1200" s="262" t="s">
        <v>1247</v>
      </c>
      <c r="E1200" s="64" t="str">
        <f>IF(ISBLANK(D1200)=TRUE,"",VLOOKUP(D1200,Krav!$C:$F,4,FALSE))</f>
        <v>10.a.2.2.4 -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200" s="273" t="s">
        <v>174</v>
      </c>
      <c r="G1200" s="263"/>
      <c r="H1200" s="265" t="s">
        <v>1447</v>
      </c>
      <c r="I1200" s="266" t="s">
        <v>1425</v>
      </c>
      <c r="J1200" s="267" t="s">
        <v>222</v>
      </c>
      <c r="K1200" s="123" t="s">
        <v>222</v>
      </c>
      <c r="L1200" s="268" t="s">
        <v>3</v>
      </c>
      <c r="M1200" s="269" t="s">
        <v>131</v>
      </c>
      <c r="N1200" s="269" t="s">
        <v>129</v>
      </c>
      <c r="O1200" s="269" t="s">
        <v>96</v>
      </c>
      <c r="P1200" s="269" t="s">
        <v>376</v>
      </c>
      <c r="Q1200" s="269" t="s">
        <v>129</v>
      </c>
      <c r="R1200" s="269" t="s">
        <v>131</v>
      </c>
      <c r="S1200" s="269" t="s">
        <v>131</v>
      </c>
      <c r="T1200" s="269"/>
      <c r="U1200" s="269"/>
      <c r="V1200" s="270" t="s">
        <v>295</v>
      </c>
      <c r="W1200" s="269" t="s">
        <v>166</v>
      </c>
      <c r="X1200" s="269" t="s">
        <v>166</v>
      </c>
      <c r="Y1200" s="269" t="s">
        <v>580</v>
      </c>
      <c r="Z1200" s="269"/>
      <c r="AA1200" s="269"/>
      <c r="AB1200" s="269"/>
      <c r="AC1200" s="269"/>
      <c r="AD1200" s="270" t="s">
        <v>5</v>
      </c>
    </row>
    <row r="1201" spans="1:30" s="271" customFormat="1" ht="33" customHeight="1" x14ac:dyDescent="0.3">
      <c r="A1201" s="259">
        <v>28</v>
      </c>
      <c r="B1201" s="260">
        <v>208</v>
      </c>
      <c r="C1201" s="261" t="str">
        <f t="shared" si="27"/>
        <v>28.208</v>
      </c>
      <c r="D1201" s="262" t="s">
        <v>1248</v>
      </c>
      <c r="E1201" s="64" t="str">
        <f>IF(ISBLANK(D1201)=TRUE,"",VLOOKUP(D1201,Krav!$C:$F,4,FALSE))</f>
        <v xml:space="preserve">10.a.2.2.5 - Hvis fordringshaver har svaret ”aldrig” i spm. 9, kan der ikke opsættes en FLEX-filter konfiguration for populationen. </v>
      </c>
      <c r="F1201" s="273" t="s">
        <v>174</v>
      </c>
      <c r="G1201" s="264"/>
      <c r="H1201" s="265"/>
      <c r="I1201" s="266" t="s">
        <v>1414</v>
      </c>
      <c r="J1201" s="267" t="s">
        <v>222</v>
      </c>
      <c r="K1201" s="123" t="s">
        <v>222</v>
      </c>
      <c r="L1201" s="268" t="s">
        <v>4</v>
      </c>
      <c r="M1201" s="269" t="s">
        <v>131</v>
      </c>
      <c r="N1201" s="269" t="s">
        <v>129</v>
      </c>
      <c r="O1201" s="269" t="s">
        <v>96</v>
      </c>
      <c r="P1201" s="269" t="s">
        <v>376</v>
      </c>
      <c r="Q1201" s="269" t="s">
        <v>129</v>
      </c>
      <c r="R1201" s="269" t="s">
        <v>131</v>
      </c>
      <c r="S1201" s="269" t="s">
        <v>131</v>
      </c>
      <c r="T1201" s="269"/>
      <c r="U1201" s="269"/>
      <c r="V1201" s="270" t="s">
        <v>295</v>
      </c>
      <c r="W1201" s="269" t="s">
        <v>166</v>
      </c>
      <c r="X1201" s="269" t="s">
        <v>166</v>
      </c>
      <c r="Y1201" s="269" t="s">
        <v>369</v>
      </c>
      <c r="Z1201" s="269"/>
      <c r="AA1201" s="269"/>
      <c r="AB1201" s="269"/>
      <c r="AC1201" s="269"/>
      <c r="AD1201" s="270" t="s">
        <v>5</v>
      </c>
    </row>
    <row r="1202" spans="1:30" s="271" customFormat="1" ht="33" customHeight="1" x14ac:dyDescent="0.3">
      <c r="A1202" s="259">
        <v>28</v>
      </c>
      <c r="B1202" s="260">
        <v>209</v>
      </c>
      <c r="C1202" s="261" t="str">
        <f t="shared" si="27"/>
        <v>28.209</v>
      </c>
      <c r="D1202" s="262" t="s">
        <v>1243</v>
      </c>
      <c r="E1202" s="64" t="str">
        <f>IF(ISBLANK(D1202)=TRUE,"",VLOOKUP(D1202,Krav!$C:$F,4,FALSE))</f>
        <v xml:space="preserve">10.a.2.1.2.5 - Hvis fordringshaver har svaret ”aldrig” i spm. 9, kan der ikke opsættes en FLEX-filter konfiguration for populationen. </v>
      </c>
      <c r="F1202" s="273" t="s">
        <v>174</v>
      </c>
      <c r="G1202" s="264"/>
      <c r="H1202" s="265" t="s">
        <v>1426</v>
      </c>
      <c r="I1202" s="266" t="s">
        <v>1414</v>
      </c>
      <c r="J1202" s="266" t="s">
        <v>222</v>
      </c>
      <c r="K1202" s="123" t="s">
        <v>222</v>
      </c>
      <c r="L1202" s="268" t="s">
        <v>4</v>
      </c>
      <c r="M1202" s="269" t="s">
        <v>131</v>
      </c>
      <c r="N1202" s="269" t="s">
        <v>129</v>
      </c>
      <c r="O1202" s="269" t="s">
        <v>96</v>
      </c>
      <c r="P1202" s="269" t="s">
        <v>376</v>
      </c>
      <c r="Q1202" s="269" t="s">
        <v>129</v>
      </c>
      <c r="R1202" s="269" t="s">
        <v>131</v>
      </c>
      <c r="S1202" s="269" t="s">
        <v>131</v>
      </c>
      <c r="T1202" s="269"/>
      <c r="U1202" s="269"/>
      <c r="V1202" s="269" t="s">
        <v>303</v>
      </c>
      <c r="W1202" s="269"/>
      <c r="X1202" s="269"/>
      <c r="Y1202" s="269"/>
      <c r="Z1202" s="269"/>
      <c r="AA1202" s="269"/>
      <c r="AB1202" s="269"/>
      <c r="AC1202" s="269"/>
      <c r="AD1202" s="270" t="s">
        <v>5</v>
      </c>
    </row>
    <row r="1203" spans="1:30" s="271" customFormat="1" ht="33" customHeight="1" x14ac:dyDescent="0.3">
      <c r="A1203" s="259">
        <v>28</v>
      </c>
      <c r="B1203" s="260">
        <v>210</v>
      </c>
      <c r="C1203" s="261" t="str">
        <f t="shared" si="27"/>
        <v>28.210</v>
      </c>
      <c r="D1203" s="262" t="s">
        <v>1244</v>
      </c>
      <c r="E1203" s="64" t="str">
        <f>IF(ISBLANK(D1203)=TRUE,"",VLOOKUP(D1203,Krav!$C:$F,4,FALSE))</f>
        <v>10.a.2.2.1 - Hvis der er svaret "I visse tilfælde" i spørgsmål 9 og hvis der er svaret "Ja" i enten 9.b.1, 9.b.2.1 eller 9.b.2.2.1 skal brugeren ledes til spørgsmål 11</v>
      </c>
      <c r="F1203" s="263" t="s">
        <v>143</v>
      </c>
      <c r="G1203" s="263" t="s">
        <v>1427</v>
      </c>
      <c r="H1203" s="265" t="s">
        <v>1433</v>
      </c>
      <c r="I1203" s="266" t="s">
        <v>468</v>
      </c>
      <c r="J1203" s="266" t="s">
        <v>222</v>
      </c>
      <c r="K1203" s="123" t="s">
        <v>222</v>
      </c>
      <c r="L1203" s="268" t="s">
        <v>3</v>
      </c>
      <c r="M1203" s="269" t="s">
        <v>131</v>
      </c>
      <c r="N1203" s="269" t="s">
        <v>129</v>
      </c>
      <c r="O1203" s="269" t="s">
        <v>96</v>
      </c>
      <c r="P1203" s="269" t="s">
        <v>376</v>
      </c>
      <c r="Q1203" s="269" t="s">
        <v>129</v>
      </c>
      <c r="R1203" s="269" t="s">
        <v>131</v>
      </c>
      <c r="S1203" s="269" t="s">
        <v>131</v>
      </c>
      <c r="T1203" s="269"/>
      <c r="U1203" s="269"/>
      <c r="V1203" s="270" t="s">
        <v>295</v>
      </c>
      <c r="W1203" s="269" t="s">
        <v>26</v>
      </c>
      <c r="X1203" s="269"/>
      <c r="Y1203" s="269"/>
      <c r="Z1203" s="269"/>
      <c r="AA1203" s="269"/>
      <c r="AB1203" s="269"/>
      <c r="AC1203" s="269"/>
      <c r="AD1203" s="270" t="s">
        <v>5</v>
      </c>
    </row>
    <row r="1204" spans="1:30" s="271" customFormat="1" ht="33" customHeight="1" x14ac:dyDescent="0.3">
      <c r="A1204" s="259">
        <v>28</v>
      </c>
      <c r="B1204" s="260">
        <v>211</v>
      </c>
      <c r="C1204" s="261" t="str">
        <f t="shared" si="27"/>
        <v>28.211</v>
      </c>
      <c r="D1204" s="262" t="s">
        <v>1244</v>
      </c>
      <c r="E1204" s="64" t="str">
        <f>IF(ISBLANK(D1204)=TRUE,"",VLOOKUP(D1204,Krav!$C:$F,4,FALSE))</f>
        <v>10.a.2.2.1 - Hvis der er svaret "I visse tilfælde" i spørgsmål 9 og hvis der er svaret "Ja" i enten 9.b.1, 9.b.2.1 eller 9.b.2.2.1 skal brugeren ledes til spørgsmål 11</v>
      </c>
      <c r="F1204" s="263" t="s">
        <v>143</v>
      </c>
      <c r="G1204" s="263" t="s">
        <v>1427</v>
      </c>
      <c r="H1204" s="265" t="s">
        <v>1433</v>
      </c>
      <c r="I1204" s="266" t="s">
        <v>468</v>
      </c>
      <c r="J1204" s="266" t="s">
        <v>222</v>
      </c>
      <c r="K1204" s="123" t="s">
        <v>222</v>
      </c>
      <c r="L1204" s="268" t="s">
        <v>3</v>
      </c>
      <c r="M1204" s="269" t="s">
        <v>131</v>
      </c>
      <c r="N1204" s="269" t="s">
        <v>129</v>
      </c>
      <c r="O1204" s="269" t="s">
        <v>96</v>
      </c>
      <c r="P1204" s="269" t="s">
        <v>376</v>
      </c>
      <c r="Q1204" s="269" t="s">
        <v>129</v>
      </c>
      <c r="R1204" s="269" t="s">
        <v>131</v>
      </c>
      <c r="S1204" s="269" t="s">
        <v>131</v>
      </c>
      <c r="T1204" s="269"/>
      <c r="U1204" s="269"/>
      <c r="V1204" s="270" t="s">
        <v>295</v>
      </c>
      <c r="W1204" s="269" t="s">
        <v>166</v>
      </c>
      <c r="X1204" s="269" t="s">
        <v>26</v>
      </c>
      <c r="Y1204" s="269"/>
      <c r="Z1204" s="269"/>
      <c r="AA1204" s="269"/>
      <c r="AB1204" s="269"/>
      <c r="AC1204" s="269"/>
      <c r="AD1204" s="270" t="s">
        <v>5</v>
      </c>
    </row>
    <row r="1205" spans="1:30" s="271" customFormat="1" ht="33" customHeight="1" x14ac:dyDescent="0.3">
      <c r="A1205" s="259">
        <v>28</v>
      </c>
      <c r="B1205" s="260">
        <v>212</v>
      </c>
      <c r="C1205" s="261" t="str">
        <f t="shared" si="27"/>
        <v>28.212</v>
      </c>
      <c r="D1205" s="262" t="s">
        <v>1244</v>
      </c>
      <c r="E1205" s="64" t="str">
        <f>IF(ISBLANK(D1205)=TRUE,"",VLOOKUP(D1205,Krav!$C:$F,4,FALSE))</f>
        <v>10.a.2.2.1 - Hvis der er svaret "I visse tilfælde" i spørgsmål 9 og hvis der er svaret "Ja" i enten 9.b.1, 9.b.2.1 eller 9.b.2.2.1 skal brugeren ledes til spørgsmål 11</v>
      </c>
      <c r="F1205" s="263" t="s">
        <v>143</v>
      </c>
      <c r="G1205" s="263" t="s">
        <v>1427</v>
      </c>
      <c r="H1205" s="265" t="s">
        <v>1433</v>
      </c>
      <c r="I1205" s="266" t="s">
        <v>468</v>
      </c>
      <c r="J1205" s="266" t="s">
        <v>222</v>
      </c>
      <c r="K1205" s="123" t="s">
        <v>222</v>
      </c>
      <c r="L1205" s="274" t="s">
        <v>3</v>
      </c>
      <c r="M1205" s="269" t="s">
        <v>131</v>
      </c>
      <c r="N1205" s="269" t="s">
        <v>129</v>
      </c>
      <c r="O1205" s="269" t="s">
        <v>96</v>
      </c>
      <c r="P1205" s="269" t="s">
        <v>376</v>
      </c>
      <c r="Q1205" s="269" t="s">
        <v>129</v>
      </c>
      <c r="R1205" s="269" t="s">
        <v>131</v>
      </c>
      <c r="S1205" s="269" t="s">
        <v>131</v>
      </c>
      <c r="T1205" s="269"/>
      <c r="U1205" s="269"/>
      <c r="V1205" s="270" t="s">
        <v>295</v>
      </c>
      <c r="W1205" s="269" t="s">
        <v>166</v>
      </c>
      <c r="X1205" s="269" t="s">
        <v>166</v>
      </c>
      <c r="Y1205" s="269" t="s">
        <v>580</v>
      </c>
      <c r="Z1205" s="269"/>
      <c r="AA1205" s="269"/>
      <c r="AB1205" s="269"/>
      <c r="AC1205" s="269"/>
      <c r="AD1205" s="270" t="s">
        <v>5</v>
      </c>
    </row>
    <row r="1206" spans="1:30" s="271" customFormat="1" ht="33" customHeight="1" x14ac:dyDescent="0.3">
      <c r="A1206" s="259">
        <v>28</v>
      </c>
      <c r="B1206" s="260">
        <v>213</v>
      </c>
      <c r="C1206" s="261" t="str">
        <f t="shared" si="27"/>
        <v>28.213</v>
      </c>
      <c r="D1206" s="262"/>
      <c r="E1206" s="64" t="str">
        <f>IF(ISBLANK(D1206)=TRUE,"",VLOOKUP(D1206,Krav!$C:$F,4,FALSE))</f>
        <v/>
      </c>
      <c r="F1206" s="263" t="s">
        <v>143</v>
      </c>
      <c r="G1206" s="263" t="s">
        <v>1427</v>
      </c>
      <c r="H1206" s="265" t="s">
        <v>1446</v>
      </c>
      <c r="I1206" s="266" t="s">
        <v>468</v>
      </c>
      <c r="J1206" s="266" t="s">
        <v>222</v>
      </c>
      <c r="K1206" s="123" t="s">
        <v>222</v>
      </c>
      <c r="L1206" s="274" t="s">
        <v>3</v>
      </c>
      <c r="M1206" s="269" t="s">
        <v>131</v>
      </c>
      <c r="N1206" s="269" t="s">
        <v>129</v>
      </c>
      <c r="O1206" s="269" t="s">
        <v>96</v>
      </c>
      <c r="P1206" s="269" t="s">
        <v>376</v>
      </c>
      <c r="Q1206" s="269" t="s">
        <v>129</v>
      </c>
      <c r="R1206" s="269" t="s">
        <v>131</v>
      </c>
      <c r="S1206" s="269" t="s">
        <v>131</v>
      </c>
      <c r="T1206" s="269"/>
      <c r="U1206" s="269"/>
      <c r="V1206" s="269" t="s">
        <v>294</v>
      </c>
      <c r="W1206" s="269"/>
      <c r="X1206" s="269"/>
      <c r="Y1206" s="269"/>
      <c r="Z1206" s="269"/>
      <c r="AA1206" s="269"/>
      <c r="AB1206" s="269"/>
      <c r="AC1206" s="269"/>
      <c r="AD1206" s="270" t="s">
        <v>5</v>
      </c>
    </row>
    <row r="1207" spans="1:30" s="271" customFormat="1" ht="33" customHeight="1" x14ac:dyDescent="0.3">
      <c r="A1207" s="259">
        <v>28</v>
      </c>
      <c r="B1207" s="260">
        <v>214</v>
      </c>
      <c r="C1207" s="261" t="str">
        <f t="shared" si="27"/>
        <v>28.214</v>
      </c>
      <c r="D1207" s="262" t="s">
        <v>1244</v>
      </c>
      <c r="E1207" s="64" t="str">
        <f>IF(ISBLANK(D1207)=TRUE,"",VLOOKUP(D1207,Krav!$C:$F,4,FALSE))</f>
        <v>10.a.2.2.1 - Hvis der er svaret "I visse tilfælde" i spørgsmål 9 og hvis der er svaret "Ja" i enten 9.b.1, 9.b.2.1 eller 9.b.2.2.1 skal brugeren ledes til spørgsmål 11</v>
      </c>
      <c r="F1207" s="263" t="s">
        <v>143</v>
      </c>
      <c r="G1207" s="263" t="s">
        <v>1427</v>
      </c>
      <c r="H1207" s="265" t="s">
        <v>1433</v>
      </c>
      <c r="I1207" s="266" t="s">
        <v>555</v>
      </c>
      <c r="J1207" s="266" t="s">
        <v>222</v>
      </c>
      <c r="K1207" s="123" t="s">
        <v>222</v>
      </c>
      <c r="L1207" s="268" t="s">
        <v>3</v>
      </c>
      <c r="M1207" s="269" t="s">
        <v>131</v>
      </c>
      <c r="N1207" s="269" t="s">
        <v>129</v>
      </c>
      <c r="O1207" s="269" t="s">
        <v>96</v>
      </c>
      <c r="P1207" s="269" t="s">
        <v>376</v>
      </c>
      <c r="Q1207" s="269" t="s">
        <v>129</v>
      </c>
      <c r="R1207" s="269" t="s">
        <v>131</v>
      </c>
      <c r="S1207" s="269" t="s">
        <v>131</v>
      </c>
      <c r="T1207" s="269"/>
      <c r="U1207" s="269"/>
      <c r="V1207" s="270" t="s">
        <v>295</v>
      </c>
      <c r="W1207" s="269" t="s">
        <v>26</v>
      </c>
      <c r="X1207" s="269"/>
      <c r="Y1207" s="269"/>
      <c r="Z1207" s="269" t="s">
        <v>129</v>
      </c>
      <c r="AA1207" s="269"/>
      <c r="AB1207" s="269"/>
      <c r="AC1207" s="269"/>
      <c r="AD1207" s="270" t="s">
        <v>5</v>
      </c>
    </row>
    <row r="1208" spans="1:30" s="271" customFormat="1" ht="33" customHeight="1" x14ac:dyDescent="0.3">
      <c r="A1208" s="259">
        <v>28</v>
      </c>
      <c r="B1208" s="260">
        <v>215</v>
      </c>
      <c r="C1208" s="261" t="str">
        <f t="shared" si="27"/>
        <v>28.215</v>
      </c>
      <c r="D1208" s="262" t="s">
        <v>1244</v>
      </c>
      <c r="E1208" s="64" t="str">
        <f>IF(ISBLANK(D1208)=TRUE,"",VLOOKUP(D1208,Krav!$C:$F,4,FALSE))</f>
        <v>10.a.2.2.1 - Hvis der er svaret "I visse tilfælde" i spørgsmål 9 og hvis der er svaret "Ja" i enten 9.b.1, 9.b.2.1 eller 9.b.2.2.1 skal brugeren ledes til spørgsmål 11</v>
      </c>
      <c r="F1208" s="263" t="s">
        <v>143</v>
      </c>
      <c r="G1208" s="263" t="s">
        <v>1427</v>
      </c>
      <c r="H1208" s="265" t="s">
        <v>1433</v>
      </c>
      <c r="I1208" s="266" t="s">
        <v>555</v>
      </c>
      <c r="J1208" s="266" t="s">
        <v>222</v>
      </c>
      <c r="K1208" s="123" t="s">
        <v>222</v>
      </c>
      <c r="L1208" s="268" t="s">
        <v>3</v>
      </c>
      <c r="M1208" s="269" t="s">
        <v>131</v>
      </c>
      <c r="N1208" s="269" t="s">
        <v>129</v>
      </c>
      <c r="O1208" s="269" t="s">
        <v>96</v>
      </c>
      <c r="P1208" s="269" t="s">
        <v>376</v>
      </c>
      <c r="Q1208" s="269" t="s">
        <v>129</v>
      </c>
      <c r="R1208" s="269" t="s">
        <v>131</v>
      </c>
      <c r="S1208" s="269" t="s">
        <v>131</v>
      </c>
      <c r="T1208" s="269"/>
      <c r="U1208" s="269"/>
      <c r="V1208" s="270" t="s">
        <v>295</v>
      </c>
      <c r="W1208" s="269" t="s">
        <v>166</v>
      </c>
      <c r="X1208" s="269" t="s">
        <v>26</v>
      </c>
      <c r="Y1208" s="269"/>
      <c r="Z1208" s="269" t="s">
        <v>129</v>
      </c>
      <c r="AA1208" s="269"/>
      <c r="AB1208" s="269"/>
      <c r="AC1208" s="269"/>
      <c r="AD1208" s="270" t="s">
        <v>5</v>
      </c>
    </row>
    <row r="1209" spans="1:30" s="271" customFormat="1" ht="33" customHeight="1" x14ac:dyDescent="0.3">
      <c r="A1209" s="259">
        <v>28</v>
      </c>
      <c r="B1209" s="260">
        <v>216</v>
      </c>
      <c r="C1209" s="261" t="str">
        <f t="shared" si="27"/>
        <v>28.216</v>
      </c>
      <c r="D1209" s="262" t="s">
        <v>1244</v>
      </c>
      <c r="E1209" s="64" t="str">
        <f>IF(ISBLANK(D1209)=TRUE,"",VLOOKUP(D1209,Krav!$C:$F,4,FALSE))</f>
        <v>10.a.2.2.1 - Hvis der er svaret "I visse tilfælde" i spørgsmål 9 og hvis der er svaret "Ja" i enten 9.b.1, 9.b.2.1 eller 9.b.2.2.1 skal brugeren ledes til spørgsmål 11</v>
      </c>
      <c r="F1209" s="263" t="s">
        <v>143</v>
      </c>
      <c r="G1209" s="263" t="s">
        <v>1427</v>
      </c>
      <c r="H1209" s="265" t="s">
        <v>1433</v>
      </c>
      <c r="I1209" s="266" t="s">
        <v>555</v>
      </c>
      <c r="J1209" s="266" t="s">
        <v>222</v>
      </c>
      <c r="K1209" s="123" t="s">
        <v>222</v>
      </c>
      <c r="L1209" s="274" t="s">
        <v>3</v>
      </c>
      <c r="M1209" s="269" t="s">
        <v>131</v>
      </c>
      <c r="N1209" s="269" t="s">
        <v>129</v>
      </c>
      <c r="O1209" s="269" t="s">
        <v>96</v>
      </c>
      <c r="P1209" s="269" t="s">
        <v>376</v>
      </c>
      <c r="Q1209" s="269" t="s">
        <v>129</v>
      </c>
      <c r="R1209" s="269" t="s">
        <v>131</v>
      </c>
      <c r="S1209" s="269" t="s">
        <v>131</v>
      </c>
      <c r="T1209" s="269"/>
      <c r="U1209" s="269"/>
      <c r="V1209" s="270" t="s">
        <v>295</v>
      </c>
      <c r="W1209" s="269" t="s">
        <v>166</v>
      </c>
      <c r="X1209" s="269" t="s">
        <v>166</v>
      </c>
      <c r="Y1209" s="269" t="s">
        <v>580</v>
      </c>
      <c r="Z1209" s="269" t="s">
        <v>129</v>
      </c>
      <c r="AA1209" s="269"/>
      <c r="AB1209" s="269"/>
      <c r="AC1209" s="269"/>
      <c r="AD1209" s="270" t="s">
        <v>5</v>
      </c>
    </row>
    <row r="1210" spans="1:30" s="271" customFormat="1" ht="33" customHeight="1" x14ac:dyDescent="0.3">
      <c r="A1210" s="259">
        <v>28</v>
      </c>
      <c r="B1210" s="260">
        <v>217</v>
      </c>
      <c r="C1210" s="261" t="str">
        <f t="shared" si="27"/>
        <v>28.217</v>
      </c>
      <c r="D1210" s="262"/>
      <c r="E1210" s="64" t="str">
        <f>IF(ISBLANK(D1210)=TRUE,"",VLOOKUP(D1210,Krav!$C:$F,4,FALSE))</f>
        <v/>
      </c>
      <c r="F1210" s="263" t="s">
        <v>143</v>
      </c>
      <c r="G1210" s="263" t="s">
        <v>1427</v>
      </c>
      <c r="H1210" s="265" t="s">
        <v>1446</v>
      </c>
      <c r="I1210" s="266" t="s">
        <v>555</v>
      </c>
      <c r="J1210" s="266" t="s">
        <v>222</v>
      </c>
      <c r="K1210" s="123" t="s">
        <v>222</v>
      </c>
      <c r="L1210" s="274" t="s">
        <v>3</v>
      </c>
      <c r="M1210" s="269" t="s">
        <v>131</v>
      </c>
      <c r="N1210" s="269" t="s">
        <v>129</v>
      </c>
      <c r="O1210" s="269" t="s">
        <v>96</v>
      </c>
      <c r="P1210" s="269" t="s">
        <v>376</v>
      </c>
      <c r="Q1210" s="269" t="s">
        <v>129</v>
      </c>
      <c r="R1210" s="269" t="s">
        <v>131</v>
      </c>
      <c r="S1210" s="269" t="s">
        <v>131</v>
      </c>
      <c r="T1210" s="269"/>
      <c r="U1210" s="269"/>
      <c r="V1210" s="269" t="s">
        <v>294</v>
      </c>
      <c r="W1210" s="269"/>
      <c r="X1210" s="269"/>
      <c r="Y1210" s="269"/>
      <c r="Z1210" s="269" t="s">
        <v>129</v>
      </c>
      <c r="AA1210" s="269"/>
      <c r="AB1210" s="269"/>
      <c r="AC1210" s="269"/>
      <c r="AD1210" s="270" t="s">
        <v>5</v>
      </c>
    </row>
    <row r="1211" spans="1:30" s="271" customFormat="1" ht="33" customHeight="1" x14ac:dyDescent="0.3">
      <c r="A1211" s="259">
        <v>28</v>
      </c>
      <c r="B1211" s="260">
        <v>218</v>
      </c>
      <c r="C1211" s="261" t="str">
        <f t="shared" si="27"/>
        <v>28.218</v>
      </c>
      <c r="D1211" s="262" t="s">
        <v>1244</v>
      </c>
      <c r="E1211" s="64" t="str">
        <f>IF(ISBLANK(D1211)=TRUE,"",VLOOKUP(D1211,Krav!$C:$F,4,FALSE))</f>
        <v>10.a.2.2.1 - Hvis der er svaret "I visse tilfælde" i spørgsmål 9 og hvis der er svaret "Ja" i enten 9.b.1, 9.b.2.1 eller 9.b.2.2.1 skal brugeren ledes til spørgsmål 11</v>
      </c>
      <c r="F1211" s="263" t="s">
        <v>143</v>
      </c>
      <c r="G1211" s="263" t="s">
        <v>1427</v>
      </c>
      <c r="H1211" s="265" t="s">
        <v>1433</v>
      </c>
      <c r="I1211" s="266" t="s">
        <v>560</v>
      </c>
      <c r="J1211" s="266" t="s">
        <v>222</v>
      </c>
      <c r="K1211" s="123" t="s">
        <v>222</v>
      </c>
      <c r="L1211" s="268" t="s">
        <v>3</v>
      </c>
      <c r="M1211" s="269" t="s">
        <v>131</v>
      </c>
      <c r="N1211" s="269" t="s">
        <v>129</v>
      </c>
      <c r="O1211" s="269" t="s">
        <v>96</v>
      </c>
      <c r="P1211" s="269" t="s">
        <v>376</v>
      </c>
      <c r="Q1211" s="269" t="s">
        <v>129</v>
      </c>
      <c r="R1211" s="269" t="s">
        <v>131</v>
      </c>
      <c r="S1211" s="269" t="s">
        <v>131</v>
      </c>
      <c r="T1211" s="269"/>
      <c r="U1211" s="269"/>
      <c r="V1211" s="270" t="s">
        <v>295</v>
      </c>
      <c r="W1211" s="269" t="s">
        <v>26</v>
      </c>
      <c r="X1211" s="269"/>
      <c r="Y1211" s="269"/>
      <c r="Z1211" s="269"/>
      <c r="AA1211" s="269" t="s">
        <v>129</v>
      </c>
      <c r="AB1211" s="269"/>
      <c r="AC1211" s="269"/>
      <c r="AD1211" s="270" t="s">
        <v>5</v>
      </c>
    </row>
    <row r="1212" spans="1:30" s="271" customFormat="1" ht="33" customHeight="1" x14ac:dyDescent="0.3">
      <c r="A1212" s="259">
        <v>28</v>
      </c>
      <c r="B1212" s="260">
        <v>219</v>
      </c>
      <c r="C1212" s="261" t="str">
        <f t="shared" si="27"/>
        <v>28.219</v>
      </c>
      <c r="D1212" s="262" t="s">
        <v>1244</v>
      </c>
      <c r="E1212" s="64" t="str">
        <f>IF(ISBLANK(D1212)=TRUE,"",VLOOKUP(D1212,Krav!$C:$F,4,FALSE))</f>
        <v>10.a.2.2.1 - Hvis der er svaret "I visse tilfælde" i spørgsmål 9 og hvis der er svaret "Ja" i enten 9.b.1, 9.b.2.1 eller 9.b.2.2.1 skal brugeren ledes til spørgsmål 11</v>
      </c>
      <c r="F1212" s="263" t="s">
        <v>143</v>
      </c>
      <c r="G1212" s="263" t="s">
        <v>1427</v>
      </c>
      <c r="H1212" s="265" t="s">
        <v>1433</v>
      </c>
      <c r="I1212" s="266" t="s">
        <v>560</v>
      </c>
      <c r="J1212" s="266" t="s">
        <v>222</v>
      </c>
      <c r="K1212" s="123" t="s">
        <v>222</v>
      </c>
      <c r="L1212" s="268" t="s">
        <v>3</v>
      </c>
      <c r="M1212" s="269" t="s">
        <v>131</v>
      </c>
      <c r="N1212" s="269" t="s">
        <v>129</v>
      </c>
      <c r="O1212" s="269" t="s">
        <v>96</v>
      </c>
      <c r="P1212" s="269" t="s">
        <v>376</v>
      </c>
      <c r="Q1212" s="269" t="s">
        <v>129</v>
      </c>
      <c r="R1212" s="269" t="s">
        <v>131</v>
      </c>
      <c r="S1212" s="269" t="s">
        <v>131</v>
      </c>
      <c r="T1212" s="269"/>
      <c r="U1212" s="269"/>
      <c r="V1212" s="270" t="s">
        <v>295</v>
      </c>
      <c r="W1212" s="269" t="s">
        <v>166</v>
      </c>
      <c r="X1212" s="269" t="s">
        <v>26</v>
      </c>
      <c r="Y1212" s="269"/>
      <c r="Z1212" s="269"/>
      <c r="AA1212" s="269" t="s">
        <v>129</v>
      </c>
      <c r="AB1212" s="269"/>
      <c r="AC1212" s="269"/>
      <c r="AD1212" s="270" t="s">
        <v>5</v>
      </c>
    </row>
    <row r="1213" spans="1:30" s="271" customFormat="1" ht="33" customHeight="1" x14ac:dyDescent="0.3">
      <c r="A1213" s="259">
        <v>28</v>
      </c>
      <c r="B1213" s="260">
        <v>220</v>
      </c>
      <c r="C1213" s="261" t="str">
        <f t="shared" si="27"/>
        <v>28.220</v>
      </c>
      <c r="D1213" s="262" t="s">
        <v>1244</v>
      </c>
      <c r="E1213" s="64" t="str">
        <f>IF(ISBLANK(D1213)=TRUE,"",VLOOKUP(D1213,Krav!$C:$F,4,FALSE))</f>
        <v>10.a.2.2.1 - Hvis der er svaret "I visse tilfælde" i spørgsmål 9 og hvis der er svaret "Ja" i enten 9.b.1, 9.b.2.1 eller 9.b.2.2.1 skal brugeren ledes til spørgsmål 11</v>
      </c>
      <c r="F1213" s="263" t="s">
        <v>143</v>
      </c>
      <c r="G1213" s="263" t="s">
        <v>1427</v>
      </c>
      <c r="H1213" s="265" t="s">
        <v>1433</v>
      </c>
      <c r="I1213" s="266" t="s">
        <v>560</v>
      </c>
      <c r="J1213" s="266" t="s">
        <v>222</v>
      </c>
      <c r="K1213" s="123" t="s">
        <v>222</v>
      </c>
      <c r="L1213" s="274" t="s">
        <v>3</v>
      </c>
      <c r="M1213" s="269" t="s">
        <v>131</v>
      </c>
      <c r="N1213" s="269" t="s">
        <v>129</v>
      </c>
      <c r="O1213" s="269" t="s">
        <v>96</v>
      </c>
      <c r="P1213" s="269" t="s">
        <v>376</v>
      </c>
      <c r="Q1213" s="269" t="s">
        <v>129</v>
      </c>
      <c r="R1213" s="269" t="s">
        <v>131</v>
      </c>
      <c r="S1213" s="269" t="s">
        <v>131</v>
      </c>
      <c r="T1213" s="269"/>
      <c r="U1213" s="269"/>
      <c r="V1213" s="270" t="s">
        <v>295</v>
      </c>
      <c r="W1213" s="269" t="s">
        <v>166</v>
      </c>
      <c r="X1213" s="269" t="s">
        <v>166</v>
      </c>
      <c r="Y1213" s="269" t="s">
        <v>580</v>
      </c>
      <c r="Z1213" s="269"/>
      <c r="AA1213" s="269" t="s">
        <v>129</v>
      </c>
      <c r="AB1213" s="269"/>
      <c r="AC1213" s="269"/>
      <c r="AD1213" s="270" t="s">
        <v>5</v>
      </c>
    </row>
    <row r="1214" spans="1:30" s="271" customFormat="1" ht="33" customHeight="1" x14ac:dyDescent="0.3">
      <c r="A1214" s="259">
        <v>28</v>
      </c>
      <c r="B1214" s="260">
        <v>221</v>
      </c>
      <c r="C1214" s="261" t="str">
        <f t="shared" si="27"/>
        <v>28.221</v>
      </c>
      <c r="D1214" s="262"/>
      <c r="E1214" s="64" t="str">
        <f>IF(ISBLANK(D1214)=TRUE,"",VLOOKUP(D1214,Krav!$C:$F,4,FALSE))</f>
        <v/>
      </c>
      <c r="F1214" s="263" t="s">
        <v>143</v>
      </c>
      <c r="G1214" s="263" t="s">
        <v>1427</v>
      </c>
      <c r="H1214" s="265" t="s">
        <v>1446</v>
      </c>
      <c r="I1214" s="266" t="s">
        <v>560</v>
      </c>
      <c r="J1214" s="266" t="s">
        <v>222</v>
      </c>
      <c r="K1214" s="123" t="s">
        <v>222</v>
      </c>
      <c r="L1214" s="274" t="s">
        <v>3</v>
      </c>
      <c r="M1214" s="269" t="s">
        <v>131</v>
      </c>
      <c r="N1214" s="269" t="s">
        <v>129</v>
      </c>
      <c r="O1214" s="269" t="s">
        <v>96</v>
      </c>
      <c r="P1214" s="269" t="s">
        <v>376</v>
      </c>
      <c r="Q1214" s="269" t="s">
        <v>129</v>
      </c>
      <c r="R1214" s="269" t="s">
        <v>131</v>
      </c>
      <c r="S1214" s="269" t="s">
        <v>131</v>
      </c>
      <c r="T1214" s="269"/>
      <c r="U1214" s="269"/>
      <c r="V1214" s="269" t="s">
        <v>294</v>
      </c>
      <c r="W1214" s="269"/>
      <c r="X1214" s="269"/>
      <c r="Y1214" s="269"/>
      <c r="Z1214" s="269"/>
      <c r="AA1214" s="269" t="s">
        <v>129</v>
      </c>
      <c r="AB1214" s="269"/>
      <c r="AC1214" s="269"/>
      <c r="AD1214" s="270" t="s">
        <v>5</v>
      </c>
    </row>
    <row r="1215" spans="1:30" s="271" customFormat="1" ht="33" customHeight="1" x14ac:dyDescent="0.3">
      <c r="A1215" s="259">
        <v>28</v>
      </c>
      <c r="B1215" s="260">
        <v>222</v>
      </c>
      <c r="C1215" s="261" t="str">
        <f t="shared" si="27"/>
        <v>28.222</v>
      </c>
      <c r="D1215" s="262" t="s">
        <v>1244</v>
      </c>
      <c r="E1215" s="64" t="str">
        <f>IF(ISBLANK(D1215)=TRUE,"",VLOOKUP(D1215,Krav!$C:$F,4,FALSE))</f>
        <v>10.a.2.2.1 - Hvis der er svaret "I visse tilfælde" i spørgsmål 9 og hvis der er svaret "Ja" i enten 9.b.1, 9.b.2.1 eller 9.b.2.2.1 skal brugeren ledes til spørgsmål 11</v>
      </c>
      <c r="F1215" s="263" t="s">
        <v>143</v>
      </c>
      <c r="G1215" s="263" t="s">
        <v>1427</v>
      </c>
      <c r="H1215" s="265" t="s">
        <v>1433</v>
      </c>
      <c r="I1215" s="266" t="s">
        <v>565</v>
      </c>
      <c r="J1215" s="266" t="s">
        <v>222</v>
      </c>
      <c r="K1215" s="123" t="s">
        <v>222</v>
      </c>
      <c r="L1215" s="268" t="s">
        <v>3</v>
      </c>
      <c r="M1215" s="269" t="s">
        <v>131</v>
      </c>
      <c r="N1215" s="269" t="s">
        <v>129</v>
      </c>
      <c r="O1215" s="269" t="s">
        <v>96</v>
      </c>
      <c r="P1215" s="269" t="s">
        <v>376</v>
      </c>
      <c r="Q1215" s="269" t="s">
        <v>129</v>
      </c>
      <c r="R1215" s="269" t="s">
        <v>131</v>
      </c>
      <c r="S1215" s="269" t="s">
        <v>131</v>
      </c>
      <c r="T1215" s="269"/>
      <c r="U1215" s="269"/>
      <c r="V1215" s="270" t="s">
        <v>295</v>
      </c>
      <c r="W1215" s="269" t="s">
        <v>26</v>
      </c>
      <c r="X1215" s="269"/>
      <c r="Y1215" s="269"/>
      <c r="Z1215" s="269"/>
      <c r="AA1215" s="269"/>
      <c r="AB1215" s="269" t="s">
        <v>129</v>
      </c>
      <c r="AC1215" s="269"/>
      <c r="AD1215" s="270" t="s">
        <v>5</v>
      </c>
    </row>
    <row r="1216" spans="1:30" s="271" customFormat="1" ht="33" customHeight="1" x14ac:dyDescent="0.3">
      <c r="A1216" s="259">
        <v>28</v>
      </c>
      <c r="B1216" s="260">
        <v>223</v>
      </c>
      <c r="C1216" s="261" t="str">
        <f t="shared" si="27"/>
        <v>28.223</v>
      </c>
      <c r="D1216" s="262" t="s">
        <v>1244</v>
      </c>
      <c r="E1216" s="64" t="str">
        <f>IF(ISBLANK(D1216)=TRUE,"",VLOOKUP(D1216,Krav!$C:$F,4,FALSE))</f>
        <v>10.a.2.2.1 - Hvis der er svaret "I visse tilfælde" i spørgsmål 9 og hvis der er svaret "Ja" i enten 9.b.1, 9.b.2.1 eller 9.b.2.2.1 skal brugeren ledes til spørgsmål 11</v>
      </c>
      <c r="F1216" s="263" t="s">
        <v>143</v>
      </c>
      <c r="G1216" s="263" t="s">
        <v>1427</v>
      </c>
      <c r="H1216" s="265" t="s">
        <v>1433</v>
      </c>
      <c r="I1216" s="266" t="s">
        <v>565</v>
      </c>
      <c r="J1216" s="266" t="s">
        <v>222</v>
      </c>
      <c r="K1216" s="123" t="s">
        <v>222</v>
      </c>
      <c r="L1216" s="268" t="s">
        <v>3</v>
      </c>
      <c r="M1216" s="269" t="s">
        <v>131</v>
      </c>
      <c r="N1216" s="269" t="s">
        <v>129</v>
      </c>
      <c r="O1216" s="269" t="s">
        <v>96</v>
      </c>
      <c r="P1216" s="269" t="s">
        <v>376</v>
      </c>
      <c r="Q1216" s="269" t="s">
        <v>129</v>
      </c>
      <c r="R1216" s="269" t="s">
        <v>131</v>
      </c>
      <c r="S1216" s="269" t="s">
        <v>131</v>
      </c>
      <c r="T1216" s="269"/>
      <c r="U1216" s="269"/>
      <c r="V1216" s="270" t="s">
        <v>295</v>
      </c>
      <c r="W1216" s="269" t="s">
        <v>166</v>
      </c>
      <c r="X1216" s="269" t="s">
        <v>26</v>
      </c>
      <c r="Y1216" s="269"/>
      <c r="Z1216" s="269"/>
      <c r="AA1216" s="269"/>
      <c r="AB1216" s="269" t="s">
        <v>129</v>
      </c>
      <c r="AC1216" s="269"/>
      <c r="AD1216" s="270" t="s">
        <v>5</v>
      </c>
    </row>
    <row r="1217" spans="1:38" s="271" customFormat="1" ht="33" customHeight="1" x14ac:dyDescent="0.3">
      <c r="A1217" s="259">
        <v>28</v>
      </c>
      <c r="B1217" s="260">
        <v>224</v>
      </c>
      <c r="C1217" s="261" t="str">
        <f t="shared" si="27"/>
        <v>28.224</v>
      </c>
      <c r="D1217" s="262" t="s">
        <v>1244</v>
      </c>
      <c r="E1217" s="64" t="str">
        <f>IF(ISBLANK(D1217)=TRUE,"",VLOOKUP(D1217,Krav!$C:$F,4,FALSE))</f>
        <v>10.a.2.2.1 - Hvis der er svaret "I visse tilfælde" i spørgsmål 9 og hvis der er svaret "Ja" i enten 9.b.1, 9.b.2.1 eller 9.b.2.2.1 skal brugeren ledes til spørgsmål 11</v>
      </c>
      <c r="F1217" s="263" t="s">
        <v>143</v>
      </c>
      <c r="G1217" s="263" t="s">
        <v>1427</v>
      </c>
      <c r="H1217" s="265" t="s">
        <v>1433</v>
      </c>
      <c r="I1217" s="266" t="s">
        <v>565</v>
      </c>
      <c r="J1217" s="266" t="s">
        <v>222</v>
      </c>
      <c r="K1217" s="123" t="s">
        <v>222</v>
      </c>
      <c r="L1217" s="274" t="s">
        <v>3</v>
      </c>
      <c r="M1217" s="269" t="s">
        <v>131</v>
      </c>
      <c r="N1217" s="269" t="s">
        <v>129</v>
      </c>
      <c r="O1217" s="269" t="s">
        <v>96</v>
      </c>
      <c r="P1217" s="269" t="s">
        <v>376</v>
      </c>
      <c r="Q1217" s="269" t="s">
        <v>129</v>
      </c>
      <c r="R1217" s="269" t="s">
        <v>131</v>
      </c>
      <c r="S1217" s="269" t="s">
        <v>131</v>
      </c>
      <c r="T1217" s="269"/>
      <c r="U1217" s="269"/>
      <c r="V1217" s="270" t="s">
        <v>295</v>
      </c>
      <c r="W1217" s="269" t="s">
        <v>166</v>
      </c>
      <c r="X1217" s="269" t="s">
        <v>166</v>
      </c>
      <c r="Y1217" s="269" t="s">
        <v>580</v>
      </c>
      <c r="Z1217" s="269"/>
      <c r="AA1217" s="269"/>
      <c r="AB1217" s="269" t="s">
        <v>129</v>
      </c>
      <c r="AC1217" s="269"/>
      <c r="AD1217" s="270" t="s">
        <v>5</v>
      </c>
    </row>
    <row r="1218" spans="1:38" s="271" customFormat="1" ht="33" customHeight="1" x14ac:dyDescent="0.3">
      <c r="A1218" s="259">
        <v>28</v>
      </c>
      <c r="B1218" s="260">
        <v>225</v>
      </c>
      <c r="C1218" s="261" t="str">
        <f t="shared" si="27"/>
        <v>28.225</v>
      </c>
      <c r="D1218" s="262"/>
      <c r="E1218" s="64" t="str">
        <f>IF(ISBLANK(D1218)=TRUE,"",VLOOKUP(D1218,Krav!$C:$F,4,FALSE))</f>
        <v/>
      </c>
      <c r="F1218" s="263" t="s">
        <v>143</v>
      </c>
      <c r="G1218" s="263" t="s">
        <v>1427</v>
      </c>
      <c r="H1218" s="265" t="s">
        <v>1446</v>
      </c>
      <c r="I1218" s="266" t="s">
        <v>565</v>
      </c>
      <c r="J1218" s="266" t="s">
        <v>222</v>
      </c>
      <c r="K1218" s="123" t="s">
        <v>222</v>
      </c>
      <c r="L1218" s="274" t="s">
        <v>3</v>
      </c>
      <c r="M1218" s="269" t="s">
        <v>131</v>
      </c>
      <c r="N1218" s="269" t="s">
        <v>129</v>
      </c>
      <c r="O1218" s="269" t="s">
        <v>96</v>
      </c>
      <c r="P1218" s="269" t="s">
        <v>376</v>
      </c>
      <c r="Q1218" s="269" t="s">
        <v>129</v>
      </c>
      <c r="R1218" s="269" t="s">
        <v>131</v>
      </c>
      <c r="S1218" s="269" t="s">
        <v>131</v>
      </c>
      <c r="T1218" s="269"/>
      <c r="U1218" s="269"/>
      <c r="V1218" s="269" t="s">
        <v>294</v>
      </c>
      <c r="W1218" s="269"/>
      <c r="X1218" s="269"/>
      <c r="Y1218" s="269"/>
      <c r="Z1218" s="269"/>
      <c r="AA1218" s="269"/>
      <c r="AB1218" s="269" t="s">
        <v>129</v>
      </c>
      <c r="AC1218" s="269"/>
      <c r="AD1218" s="270" t="s">
        <v>5</v>
      </c>
    </row>
    <row r="1219" spans="1:38" s="271" customFormat="1" ht="33" customHeight="1" x14ac:dyDescent="0.3">
      <c r="A1219" s="259">
        <v>28</v>
      </c>
      <c r="B1219" s="260">
        <v>226</v>
      </c>
      <c r="C1219" s="261" t="str">
        <f t="shared" si="27"/>
        <v>28.226</v>
      </c>
      <c r="D1219" s="262" t="s">
        <v>1244</v>
      </c>
      <c r="E1219" s="64" t="str">
        <f>IF(ISBLANK(D1219)=TRUE,"",VLOOKUP(D1219,Krav!$C:$F,4,FALSE))</f>
        <v>10.a.2.2.1 - Hvis der er svaret "I visse tilfælde" i spørgsmål 9 og hvis der er svaret "Ja" i enten 9.b.1, 9.b.2.1 eller 9.b.2.2.1 skal brugeren ledes til spørgsmål 11</v>
      </c>
      <c r="F1219" s="263" t="s">
        <v>143</v>
      </c>
      <c r="G1219" s="263" t="s">
        <v>1427</v>
      </c>
      <c r="H1219" s="265" t="s">
        <v>1433</v>
      </c>
      <c r="I1219" s="266" t="s">
        <v>549</v>
      </c>
      <c r="J1219" s="266" t="s">
        <v>222</v>
      </c>
      <c r="K1219" s="123" t="s">
        <v>222</v>
      </c>
      <c r="L1219" s="268" t="s">
        <v>3</v>
      </c>
      <c r="M1219" s="269" t="s">
        <v>131</v>
      </c>
      <c r="N1219" s="269" t="s">
        <v>129</v>
      </c>
      <c r="O1219" s="269" t="s">
        <v>96</v>
      </c>
      <c r="P1219" s="269" t="s">
        <v>376</v>
      </c>
      <c r="Q1219" s="269" t="s">
        <v>129</v>
      </c>
      <c r="R1219" s="269" t="s">
        <v>131</v>
      </c>
      <c r="S1219" s="269" t="s">
        <v>131</v>
      </c>
      <c r="T1219" s="269"/>
      <c r="U1219" s="269"/>
      <c r="V1219" s="270" t="s">
        <v>295</v>
      </c>
      <c r="W1219" s="269" t="s">
        <v>26</v>
      </c>
      <c r="X1219" s="269"/>
      <c r="Y1219" s="269"/>
      <c r="Z1219" s="269"/>
      <c r="AA1219" s="269"/>
      <c r="AB1219" s="269"/>
      <c r="AC1219" s="269" t="s">
        <v>129</v>
      </c>
      <c r="AD1219" s="270" t="s">
        <v>5</v>
      </c>
      <c r="AE1219" s="275"/>
      <c r="AF1219" s="275"/>
      <c r="AG1219" s="275"/>
      <c r="AH1219" s="275"/>
      <c r="AI1219" s="275"/>
      <c r="AJ1219" s="275"/>
      <c r="AK1219" s="275"/>
      <c r="AL1219" s="275"/>
    </row>
    <row r="1220" spans="1:38" s="271" customFormat="1" ht="33" customHeight="1" x14ac:dyDescent="0.3">
      <c r="A1220" s="259">
        <v>28</v>
      </c>
      <c r="B1220" s="260">
        <v>227</v>
      </c>
      <c r="C1220" s="261" t="str">
        <f t="shared" si="27"/>
        <v>28.227</v>
      </c>
      <c r="D1220" s="262" t="s">
        <v>1244</v>
      </c>
      <c r="E1220" s="64" t="str">
        <f>IF(ISBLANK(D1220)=TRUE,"",VLOOKUP(D1220,Krav!$C:$F,4,FALSE))</f>
        <v>10.a.2.2.1 - Hvis der er svaret "I visse tilfælde" i spørgsmål 9 og hvis der er svaret "Ja" i enten 9.b.1, 9.b.2.1 eller 9.b.2.2.1 skal brugeren ledes til spørgsmål 11</v>
      </c>
      <c r="F1220" s="263" t="s">
        <v>143</v>
      </c>
      <c r="G1220" s="263" t="s">
        <v>1427</v>
      </c>
      <c r="H1220" s="265" t="s">
        <v>1433</v>
      </c>
      <c r="I1220" s="266" t="s">
        <v>549</v>
      </c>
      <c r="J1220" s="266" t="s">
        <v>222</v>
      </c>
      <c r="K1220" s="123" t="s">
        <v>222</v>
      </c>
      <c r="L1220" s="268" t="s">
        <v>3</v>
      </c>
      <c r="M1220" s="269" t="s">
        <v>131</v>
      </c>
      <c r="N1220" s="269" t="s">
        <v>129</v>
      </c>
      <c r="O1220" s="269" t="s">
        <v>96</v>
      </c>
      <c r="P1220" s="269" t="s">
        <v>376</v>
      </c>
      <c r="Q1220" s="269" t="s">
        <v>129</v>
      </c>
      <c r="R1220" s="269" t="s">
        <v>131</v>
      </c>
      <c r="S1220" s="269" t="s">
        <v>131</v>
      </c>
      <c r="T1220" s="269"/>
      <c r="U1220" s="269"/>
      <c r="V1220" s="270" t="s">
        <v>295</v>
      </c>
      <c r="W1220" s="269" t="s">
        <v>166</v>
      </c>
      <c r="X1220" s="269" t="s">
        <v>26</v>
      </c>
      <c r="Y1220" s="269"/>
      <c r="Z1220" s="269"/>
      <c r="AA1220" s="269"/>
      <c r="AB1220" s="269"/>
      <c r="AC1220" s="269" t="s">
        <v>129</v>
      </c>
      <c r="AD1220" s="270" t="s">
        <v>5</v>
      </c>
      <c r="AE1220" s="275"/>
      <c r="AF1220" s="275"/>
      <c r="AG1220" s="275"/>
      <c r="AH1220" s="275"/>
      <c r="AI1220" s="275"/>
      <c r="AJ1220" s="275"/>
      <c r="AK1220" s="275"/>
      <c r="AL1220" s="275"/>
    </row>
    <row r="1221" spans="1:38" s="271" customFormat="1" ht="33" customHeight="1" x14ac:dyDescent="0.3">
      <c r="A1221" s="259">
        <v>28</v>
      </c>
      <c r="B1221" s="260">
        <v>228</v>
      </c>
      <c r="C1221" s="261" t="str">
        <f t="shared" si="27"/>
        <v>28.228</v>
      </c>
      <c r="D1221" s="262" t="s">
        <v>1244</v>
      </c>
      <c r="E1221" s="64" t="str">
        <f>IF(ISBLANK(D1221)=TRUE,"",VLOOKUP(D1221,Krav!$C:$F,4,FALSE))</f>
        <v>10.a.2.2.1 - Hvis der er svaret "I visse tilfælde" i spørgsmål 9 og hvis der er svaret "Ja" i enten 9.b.1, 9.b.2.1 eller 9.b.2.2.1 skal brugeren ledes til spørgsmål 11</v>
      </c>
      <c r="F1221" s="263" t="s">
        <v>143</v>
      </c>
      <c r="G1221" s="263" t="s">
        <v>1427</v>
      </c>
      <c r="H1221" s="265" t="s">
        <v>1433</v>
      </c>
      <c r="I1221" s="266" t="s">
        <v>549</v>
      </c>
      <c r="J1221" s="266" t="s">
        <v>222</v>
      </c>
      <c r="K1221" s="123" t="s">
        <v>222</v>
      </c>
      <c r="L1221" s="274" t="s">
        <v>3</v>
      </c>
      <c r="M1221" s="269" t="s">
        <v>131</v>
      </c>
      <c r="N1221" s="269" t="s">
        <v>129</v>
      </c>
      <c r="O1221" s="269" t="s">
        <v>96</v>
      </c>
      <c r="P1221" s="269" t="s">
        <v>376</v>
      </c>
      <c r="Q1221" s="269" t="s">
        <v>129</v>
      </c>
      <c r="R1221" s="269" t="s">
        <v>131</v>
      </c>
      <c r="S1221" s="269" t="s">
        <v>131</v>
      </c>
      <c r="T1221" s="269"/>
      <c r="U1221" s="269"/>
      <c r="V1221" s="270" t="s">
        <v>295</v>
      </c>
      <c r="W1221" s="269" t="s">
        <v>166</v>
      </c>
      <c r="X1221" s="269" t="s">
        <v>166</v>
      </c>
      <c r="Y1221" s="269" t="s">
        <v>580</v>
      </c>
      <c r="Z1221" s="269"/>
      <c r="AA1221" s="269"/>
      <c r="AB1221" s="269"/>
      <c r="AC1221" s="269" t="s">
        <v>129</v>
      </c>
      <c r="AD1221" s="270" t="s">
        <v>5</v>
      </c>
    </row>
    <row r="1222" spans="1:38" s="271" customFormat="1" ht="33" customHeight="1" x14ac:dyDescent="0.3">
      <c r="A1222" s="259">
        <v>28</v>
      </c>
      <c r="B1222" s="260">
        <v>229</v>
      </c>
      <c r="C1222" s="261" t="str">
        <f t="shared" si="27"/>
        <v>28.229</v>
      </c>
      <c r="D1222" s="262"/>
      <c r="E1222" s="64" t="str">
        <f>IF(ISBLANK(D1222)=TRUE,"",VLOOKUP(D1222,Krav!$C:$F,4,FALSE))</f>
        <v/>
      </c>
      <c r="F1222" s="263" t="s">
        <v>143</v>
      </c>
      <c r="G1222" s="263" t="s">
        <v>1427</v>
      </c>
      <c r="H1222" s="265" t="s">
        <v>1446</v>
      </c>
      <c r="I1222" s="266" t="s">
        <v>549</v>
      </c>
      <c r="J1222" s="266" t="s">
        <v>222</v>
      </c>
      <c r="K1222" s="123" t="s">
        <v>222</v>
      </c>
      <c r="L1222" s="274" t="s">
        <v>3</v>
      </c>
      <c r="M1222" s="269" t="s">
        <v>131</v>
      </c>
      <c r="N1222" s="269" t="s">
        <v>129</v>
      </c>
      <c r="O1222" s="269" t="s">
        <v>96</v>
      </c>
      <c r="P1222" s="269" t="s">
        <v>376</v>
      </c>
      <c r="Q1222" s="269" t="s">
        <v>129</v>
      </c>
      <c r="R1222" s="269" t="s">
        <v>131</v>
      </c>
      <c r="S1222" s="269" t="s">
        <v>131</v>
      </c>
      <c r="T1222" s="269"/>
      <c r="U1222" s="269"/>
      <c r="V1222" s="269" t="s">
        <v>294</v>
      </c>
      <c r="W1222" s="269"/>
      <c r="X1222" s="269"/>
      <c r="Y1222" s="269"/>
      <c r="Z1222" s="269"/>
      <c r="AA1222" s="269"/>
      <c r="AB1222" s="269"/>
      <c r="AC1222" s="269" t="s">
        <v>129</v>
      </c>
      <c r="AD1222" s="270" t="s">
        <v>5</v>
      </c>
    </row>
    <row r="1223" spans="1:38" s="182" customFormat="1" ht="33" customHeight="1" x14ac:dyDescent="0.3">
      <c r="A1223" s="276">
        <v>28</v>
      </c>
      <c r="B1223" s="277">
        <v>230</v>
      </c>
      <c r="C1223" s="278" t="str">
        <f t="shared" si="27"/>
        <v>28.230</v>
      </c>
      <c r="D1223" s="279"/>
      <c r="E1223" s="64" t="str">
        <f>IF(ISBLANK(D1223)=TRUE,"",VLOOKUP(D1223,Krav!$C:$F,4,FALSE))</f>
        <v/>
      </c>
      <c r="F1223" s="281" t="s">
        <v>224</v>
      </c>
      <c r="G1223" s="282" t="s">
        <v>230</v>
      </c>
      <c r="H1223" s="283" t="s">
        <v>1448</v>
      </c>
      <c r="I1223" s="284" t="s">
        <v>129</v>
      </c>
      <c r="J1223" s="285" t="s">
        <v>222</v>
      </c>
      <c r="K1223" s="125" t="s">
        <v>222</v>
      </c>
      <c r="L1223" s="287" t="s">
        <v>3</v>
      </c>
      <c r="M1223" s="288" t="s">
        <v>129</v>
      </c>
      <c r="N1223" s="288"/>
      <c r="O1223" s="288"/>
      <c r="P1223" s="288"/>
      <c r="Q1223" s="288"/>
      <c r="R1223" s="288"/>
      <c r="S1223" s="288"/>
      <c r="T1223" s="288"/>
      <c r="U1223" s="288"/>
      <c r="V1223" s="288"/>
      <c r="W1223" s="288"/>
      <c r="X1223" s="288"/>
      <c r="Y1223" s="288"/>
      <c r="Z1223" s="288"/>
      <c r="AA1223" s="288"/>
      <c r="AB1223" s="288"/>
      <c r="AC1223" s="288"/>
      <c r="AD1223" s="289" t="s">
        <v>5</v>
      </c>
    </row>
    <row r="1224" spans="1:38" s="182" customFormat="1" ht="33" customHeight="1" x14ac:dyDescent="0.3">
      <c r="A1224" s="276">
        <v>28</v>
      </c>
      <c r="B1224" s="277">
        <v>231</v>
      </c>
      <c r="C1224" s="278" t="str">
        <f t="shared" si="27"/>
        <v>28.231</v>
      </c>
      <c r="D1224" s="279"/>
      <c r="E1224" s="64" t="str">
        <f>IF(ISBLANK(D1224)=TRUE,"",VLOOKUP(D1224,Krav!$C:$F,4,FALSE))</f>
        <v/>
      </c>
      <c r="F1224" s="281" t="s">
        <v>224</v>
      </c>
      <c r="G1224" s="282" t="s">
        <v>230</v>
      </c>
      <c r="H1224" s="280" t="s">
        <v>1449</v>
      </c>
      <c r="I1224" s="290" t="s">
        <v>131</v>
      </c>
      <c r="J1224" s="286" t="s">
        <v>222</v>
      </c>
      <c r="K1224" s="123" t="s">
        <v>222</v>
      </c>
      <c r="L1224" s="287" t="s">
        <v>3</v>
      </c>
      <c r="M1224" s="288"/>
      <c r="N1224" s="288"/>
      <c r="O1224" s="288"/>
      <c r="P1224" s="288"/>
      <c r="Q1224" s="288"/>
      <c r="R1224" s="288"/>
      <c r="S1224" s="288"/>
      <c r="T1224" s="288"/>
      <c r="U1224" s="288"/>
      <c r="V1224" s="288"/>
      <c r="W1224" s="288"/>
      <c r="X1224" s="288"/>
      <c r="Y1224" s="288"/>
      <c r="Z1224" s="288"/>
      <c r="AA1224" s="288"/>
      <c r="AB1224" s="288"/>
      <c r="AC1224" s="288"/>
      <c r="AD1224" s="289" t="s">
        <v>5</v>
      </c>
    </row>
    <row r="1225" spans="1:38" s="182" customFormat="1" ht="33" customHeight="1" x14ac:dyDescent="0.3">
      <c r="A1225" s="276">
        <v>28</v>
      </c>
      <c r="B1225" s="277">
        <v>232</v>
      </c>
      <c r="C1225" s="278" t="str">
        <f t="shared" si="27"/>
        <v>28.232</v>
      </c>
      <c r="D1225" s="279"/>
      <c r="E1225" s="64" t="str">
        <f>IF(ISBLANK(D1225)=TRUE,"",VLOOKUP(D1225,Krav!$C:$F,4,FALSE))</f>
        <v/>
      </c>
      <c r="F1225" s="281" t="s">
        <v>224</v>
      </c>
      <c r="G1225" s="282" t="s">
        <v>231</v>
      </c>
      <c r="H1225" s="283" t="s">
        <v>1450</v>
      </c>
      <c r="I1225" s="284" t="s">
        <v>129</v>
      </c>
      <c r="J1225" s="285" t="s">
        <v>222</v>
      </c>
      <c r="K1225" s="125" t="s">
        <v>222</v>
      </c>
      <c r="L1225" s="291" t="s">
        <v>3</v>
      </c>
      <c r="M1225" s="288"/>
      <c r="N1225" s="288" t="s">
        <v>129</v>
      </c>
      <c r="O1225" s="288"/>
      <c r="P1225" s="288"/>
      <c r="Q1225" s="288"/>
      <c r="R1225" s="288"/>
      <c r="S1225" s="288"/>
      <c r="T1225" s="288"/>
      <c r="U1225" s="288"/>
      <c r="V1225" s="288"/>
      <c r="W1225" s="288"/>
      <c r="X1225" s="288"/>
      <c r="Y1225" s="288"/>
      <c r="Z1225" s="288"/>
      <c r="AA1225" s="288"/>
      <c r="AB1225" s="288"/>
      <c r="AC1225" s="288"/>
      <c r="AD1225" s="289" t="s">
        <v>5</v>
      </c>
    </row>
    <row r="1226" spans="1:38" s="182" customFormat="1" ht="33" customHeight="1" x14ac:dyDescent="0.3">
      <c r="A1226" s="276">
        <v>28</v>
      </c>
      <c r="B1226" s="277">
        <v>233</v>
      </c>
      <c r="C1226" s="278" t="str">
        <f t="shared" si="27"/>
        <v>28.233</v>
      </c>
      <c r="D1226" s="279"/>
      <c r="E1226" s="64" t="str">
        <f>IF(ISBLANK(D1226)=TRUE,"",VLOOKUP(D1226,Krav!$C:$F,4,FALSE))</f>
        <v/>
      </c>
      <c r="F1226" s="281" t="s">
        <v>224</v>
      </c>
      <c r="G1226" s="282" t="s">
        <v>231</v>
      </c>
      <c r="H1226" s="280" t="s">
        <v>350</v>
      </c>
      <c r="I1226" s="290" t="s">
        <v>131</v>
      </c>
      <c r="J1226" s="286" t="s">
        <v>222</v>
      </c>
      <c r="K1226" s="123" t="s">
        <v>222</v>
      </c>
      <c r="L1226" s="291" t="s">
        <v>3</v>
      </c>
      <c r="M1226" s="288"/>
      <c r="N1226" s="288"/>
      <c r="O1226" s="288"/>
      <c r="P1226" s="288"/>
      <c r="Q1226" s="288"/>
      <c r="R1226" s="288"/>
      <c r="S1226" s="288"/>
      <c r="T1226" s="288"/>
      <c r="U1226" s="288"/>
      <c r="V1226" s="288"/>
      <c r="W1226" s="288"/>
      <c r="X1226" s="288"/>
      <c r="Y1226" s="288"/>
      <c r="Z1226" s="288"/>
      <c r="AA1226" s="288"/>
      <c r="AB1226" s="288"/>
      <c r="AC1226" s="288"/>
      <c r="AD1226" s="289" t="s">
        <v>5</v>
      </c>
    </row>
    <row r="1227" spans="1:38" s="182" customFormat="1" ht="33" customHeight="1" x14ac:dyDescent="0.3">
      <c r="A1227" s="276">
        <v>28</v>
      </c>
      <c r="B1227" s="277">
        <v>234</v>
      </c>
      <c r="C1227" s="278" t="str">
        <f t="shared" si="27"/>
        <v>28.234</v>
      </c>
      <c r="D1227" s="279"/>
      <c r="E1227" s="64" t="str">
        <f>IF(ISBLANK(D1227)=TRUE,"",VLOOKUP(D1227,Krav!$C:$F,4,FALSE))</f>
        <v/>
      </c>
      <c r="F1227" s="281" t="s">
        <v>224</v>
      </c>
      <c r="G1227" s="282" t="s">
        <v>1388</v>
      </c>
      <c r="H1227" s="283" t="s">
        <v>1451</v>
      </c>
      <c r="I1227" s="284" t="s">
        <v>376</v>
      </c>
      <c r="J1227" s="285" t="s">
        <v>222</v>
      </c>
      <c r="K1227" s="123" t="s">
        <v>222</v>
      </c>
      <c r="L1227" s="287" t="s">
        <v>3</v>
      </c>
      <c r="M1227" s="288"/>
      <c r="N1227" s="288"/>
      <c r="O1227" s="288" t="s">
        <v>376</v>
      </c>
      <c r="P1227" s="288"/>
      <c r="Q1227" s="288"/>
      <c r="R1227" s="288"/>
      <c r="S1227" s="288"/>
      <c r="T1227" s="288"/>
      <c r="U1227" s="288"/>
      <c r="V1227" s="288"/>
      <c r="W1227" s="288"/>
      <c r="X1227" s="288"/>
      <c r="Y1227" s="288"/>
      <c r="Z1227" s="288"/>
      <c r="AA1227" s="288"/>
      <c r="AB1227" s="288"/>
      <c r="AC1227" s="288"/>
      <c r="AD1227" s="289" t="s">
        <v>5</v>
      </c>
    </row>
    <row r="1228" spans="1:38" s="182" customFormat="1" ht="33" customHeight="1" x14ac:dyDescent="0.3">
      <c r="A1228" s="276">
        <v>28</v>
      </c>
      <c r="B1228" s="277">
        <v>235</v>
      </c>
      <c r="C1228" s="278" t="str">
        <f t="shared" si="27"/>
        <v>28.235</v>
      </c>
      <c r="D1228" s="279"/>
      <c r="E1228" s="64" t="str">
        <f>IF(ISBLANK(D1228)=TRUE,"",VLOOKUP(D1228,Krav!$C:$F,4,FALSE))</f>
        <v/>
      </c>
      <c r="F1228" s="281" t="s">
        <v>224</v>
      </c>
      <c r="G1228" s="282" t="s">
        <v>1388</v>
      </c>
      <c r="H1228" s="292" t="s">
        <v>1449</v>
      </c>
      <c r="I1228" s="286" t="s">
        <v>469</v>
      </c>
      <c r="J1228" s="286" t="s">
        <v>222</v>
      </c>
      <c r="K1228" s="125" t="s">
        <v>222</v>
      </c>
      <c r="L1228" s="287" t="s">
        <v>3</v>
      </c>
      <c r="M1228" s="288"/>
      <c r="N1228" s="288"/>
      <c r="O1228" s="288"/>
      <c r="P1228" s="288"/>
      <c r="Q1228" s="288"/>
      <c r="R1228" s="288"/>
      <c r="S1228" s="288"/>
      <c r="T1228" s="288"/>
      <c r="U1228" s="288"/>
      <c r="V1228" s="288"/>
      <c r="W1228" s="288"/>
      <c r="X1228" s="288"/>
      <c r="Y1228" s="288"/>
      <c r="Z1228" s="288"/>
      <c r="AA1228" s="288"/>
      <c r="AB1228" s="288"/>
      <c r="AC1228" s="288"/>
      <c r="AD1228" s="289" t="s">
        <v>5</v>
      </c>
    </row>
    <row r="1229" spans="1:38" s="295" customFormat="1" ht="33" customHeight="1" x14ac:dyDescent="0.3">
      <c r="A1229" s="276">
        <v>28</v>
      </c>
      <c r="B1229" s="277">
        <v>236</v>
      </c>
      <c r="C1229" s="278" t="str">
        <f t="shared" si="27"/>
        <v>28.236</v>
      </c>
      <c r="D1229" s="279"/>
      <c r="E1229" s="64" t="str">
        <f>IF(ISBLANK(D1229)=TRUE,"",VLOOKUP(D1229,Krav!$C:$F,4,FALSE))</f>
        <v/>
      </c>
      <c r="F1229" s="281" t="s">
        <v>224</v>
      </c>
      <c r="G1229" s="282" t="s">
        <v>1389</v>
      </c>
      <c r="H1229" s="283" t="s">
        <v>1452</v>
      </c>
      <c r="I1229" s="284" t="s">
        <v>376</v>
      </c>
      <c r="J1229" s="293" t="s">
        <v>222</v>
      </c>
      <c r="K1229" s="128" t="s">
        <v>222</v>
      </c>
      <c r="L1229" s="291" t="s">
        <v>3</v>
      </c>
      <c r="M1229" s="288"/>
      <c r="N1229" s="288"/>
      <c r="O1229" s="288"/>
      <c r="P1229" s="288" t="s">
        <v>376</v>
      </c>
      <c r="Q1229" s="288"/>
      <c r="R1229" s="288"/>
      <c r="S1229" s="288"/>
      <c r="T1229" s="288"/>
      <c r="U1229" s="288"/>
      <c r="V1229" s="288"/>
      <c r="W1229" s="288"/>
      <c r="X1229" s="288"/>
      <c r="Y1229" s="288"/>
      <c r="Z1229" s="288"/>
      <c r="AA1229" s="288"/>
      <c r="AB1229" s="288"/>
      <c r="AC1229" s="288"/>
      <c r="AD1229" s="289" t="s">
        <v>5</v>
      </c>
      <c r="AE1229" s="182"/>
      <c r="AF1229" s="182"/>
      <c r="AG1229" s="182"/>
      <c r="AH1229" s="182"/>
      <c r="AI1229" s="182"/>
      <c r="AJ1229" s="182"/>
      <c r="AK1229" s="182"/>
      <c r="AL1229" s="182"/>
    </row>
    <row r="1230" spans="1:38" s="295" customFormat="1" ht="33" customHeight="1" x14ac:dyDescent="0.3">
      <c r="A1230" s="276">
        <v>28</v>
      </c>
      <c r="B1230" s="277">
        <v>237</v>
      </c>
      <c r="C1230" s="278" t="str">
        <f t="shared" si="27"/>
        <v>28.237</v>
      </c>
      <c r="D1230" s="279"/>
      <c r="E1230" s="64" t="str">
        <f>IF(ISBLANK(D1230)=TRUE,"",VLOOKUP(D1230,Krav!$C:$F,4,FALSE))</f>
        <v/>
      </c>
      <c r="F1230" s="281" t="s">
        <v>224</v>
      </c>
      <c r="G1230" s="282" t="s">
        <v>1389</v>
      </c>
      <c r="H1230" s="292" t="s">
        <v>1449</v>
      </c>
      <c r="I1230" s="286" t="s">
        <v>469</v>
      </c>
      <c r="J1230" s="293" t="s">
        <v>222</v>
      </c>
      <c r="K1230" s="127" t="s">
        <v>222</v>
      </c>
      <c r="L1230" s="291" t="s">
        <v>3</v>
      </c>
      <c r="M1230" s="288"/>
      <c r="N1230" s="288"/>
      <c r="O1230" s="288"/>
      <c r="P1230" s="288"/>
      <c r="Q1230" s="288"/>
      <c r="R1230" s="288"/>
      <c r="S1230" s="288"/>
      <c r="T1230" s="288"/>
      <c r="U1230" s="288"/>
      <c r="V1230" s="288"/>
      <c r="W1230" s="288"/>
      <c r="X1230" s="288"/>
      <c r="Y1230" s="288"/>
      <c r="Z1230" s="288"/>
      <c r="AA1230" s="288"/>
      <c r="AB1230" s="288"/>
      <c r="AC1230" s="288"/>
      <c r="AD1230" s="289" t="s">
        <v>5</v>
      </c>
      <c r="AE1230" s="182"/>
      <c r="AF1230" s="182"/>
      <c r="AG1230" s="182"/>
      <c r="AH1230" s="182"/>
      <c r="AI1230" s="182"/>
      <c r="AJ1230" s="182"/>
      <c r="AK1230" s="182"/>
      <c r="AL1230" s="182"/>
    </row>
    <row r="1231" spans="1:38" s="182" customFormat="1" ht="33" customHeight="1" x14ac:dyDescent="0.3">
      <c r="A1231" s="276">
        <v>28</v>
      </c>
      <c r="B1231" s="277">
        <v>238</v>
      </c>
      <c r="C1231" s="278" t="str">
        <f t="shared" si="27"/>
        <v>28.238</v>
      </c>
      <c r="D1231" s="279"/>
      <c r="E1231" s="64" t="str">
        <f>IF(ISBLANK(D1231)=TRUE,"",VLOOKUP(D1231,Krav!$C:$F,4,FALSE))</f>
        <v/>
      </c>
      <c r="F1231" s="281" t="s">
        <v>418</v>
      </c>
      <c r="G1231" s="282" t="s">
        <v>445</v>
      </c>
      <c r="H1231" s="296" t="s">
        <v>451</v>
      </c>
      <c r="I1231" s="286" t="s">
        <v>129</v>
      </c>
      <c r="J1231" s="285" t="s">
        <v>222</v>
      </c>
      <c r="K1231" s="123" t="s">
        <v>222</v>
      </c>
      <c r="L1231" s="291" t="s">
        <v>3</v>
      </c>
      <c r="M1231" s="288" t="s">
        <v>129</v>
      </c>
      <c r="N1231" s="288" t="s">
        <v>131</v>
      </c>
      <c r="O1231" s="288" t="s">
        <v>376</v>
      </c>
      <c r="P1231" s="288" t="s">
        <v>376</v>
      </c>
      <c r="Q1231" s="288" t="s">
        <v>131</v>
      </c>
      <c r="R1231" s="288" t="s">
        <v>131</v>
      </c>
      <c r="S1231" s="288" t="s">
        <v>131</v>
      </c>
      <c r="T1231" s="288"/>
      <c r="U1231" s="288"/>
      <c r="V1231" s="288"/>
      <c r="W1231" s="288"/>
      <c r="X1231" s="288"/>
      <c r="Y1231" s="288"/>
      <c r="Z1231" s="288"/>
      <c r="AA1231" s="288"/>
      <c r="AB1231" s="288"/>
      <c r="AC1231" s="288"/>
      <c r="AD1231" s="289" t="s">
        <v>5</v>
      </c>
    </row>
    <row r="1232" spans="1:38" s="182" customFormat="1" ht="33" customHeight="1" x14ac:dyDescent="0.3">
      <c r="A1232" s="276">
        <v>28</v>
      </c>
      <c r="B1232" s="277">
        <v>239</v>
      </c>
      <c r="C1232" s="278" t="str">
        <f t="shared" si="27"/>
        <v>28.239</v>
      </c>
      <c r="D1232" s="279"/>
      <c r="E1232" s="64" t="str">
        <f>IF(ISBLANK(D1232)=TRUE,"",VLOOKUP(D1232,Krav!$C:$F,4,FALSE))</f>
        <v/>
      </c>
      <c r="F1232" s="281" t="s">
        <v>418</v>
      </c>
      <c r="G1232" s="282" t="s">
        <v>445</v>
      </c>
      <c r="H1232" s="296" t="s">
        <v>451</v>
      </c>
      <c r="I1232" s="286" t="s">
        <v>129</v>
      </c>
      <c r="J1232" s="285" t="s">
        <v>222</v>
      </c>
      <c r="K1232" s="123" t="s">
        <v>222</v>
      </c>
      <c r="L1232" s="291" t="s">
        <v>3</v>
      </c>
      <c r="M1232" s="288" t="s">
        <v>129</v>
      </c>
      <c r="N1232" s="288" t="s">
        <v>131</v>
      </c>
      <c r="O1232" s="288" t="s">
        <v>376</v>
      </c>
      <c r="P1232" s="288" t="s">
        <v>376</v>
      </c>
      <c r="Q1232" s="288" t="s">
        <v>131</v>
      </c>
      <c r="R1232" s="288" t="s">
        <v>131</v>
      </c>
      <c r="S1232" s="288" t="s">
        <v>131</v>
      </c>
      <c r="T1232" s="288"/>
      <c r="U1232" s="288"/>
      <c r="V1232" s="288"/>
      <c r="W1232" s="288"/>
      <c r="X1232" s="288"/>
      <c r="Y1232" s="288"/>
      <c r="Z1232" s="288"/>
      <c r="AA1232" s="288"/>
      <c r="AB1232" s="288"/>
      <c r="AC1232" s="288"/>
      <c r="AD1232" s="289" t="s">
        <v>5</v>
      </c>
    </row>
    <row r="1233" spans="1:38" s="182" customFormat="1" ht="33" customHeight="1" x14ac:dyDescent="0.3">
      <c r="A1233" s="276">
        <v>28</v>
      </c>
      <c r="B1233" s="277">
        <v>240</v>
      </c>
      <c r="C1233" s="278" t="str">
        <f t="shared" si="27"/>
        <v>28.240</v>
      </c>
      <c r="D1233" s="279"/>
      <c r="E1233" s="64" t="str">
        <f>IF(ISBLANK(D1233)=TRUE,"",VLOOKUP(D1233,Krav!$C:$F,4,FALSE))</f>
        <v/>
      </c>
      <c r="F1233" s="281" t="s">
        <v>418</v>
      </c>
      <c r="G1233" s="282" t="s">
        <v>445</v>
      </c>
      <c r="H1233" s="296" t="s">
        <v>451</v>
      </c>
      <c r="I1233" s="286" t="s">
        <v>129</v>
      </c>
      <c r="J1233" s="285" t="s">
        <v>222</v>
      </c>
      <c r="K1233" s="123" t="s">
        <v>222</v>
      </c>
      <c r="L1233" s="291" t="s">
        <v>3</v>
      </c>
      <c r="M1233" s="288" t="s">
        <v>129</v>
      </c>
      <c r="N1233" s="288" t="s">
        <v>131</v>
      </c>
      <c r="O1233" s="288" t="s">
        <v>376</v>
      </c>
      <c r="P1233" s="288" t="s">
        <v>96</v>
      </c>
      <c r="Q1233" s="288" t="s">
        <v>131</v>
      </c>
      <c r="R1233" s="288" t="s">
        <v>131</v>
      </c>
      <c r="S1233" s="288" t="s">
        <v>129</v>
      </c>
      <c r="T1233" s="288"/>
      <c r="U1233" s="288"/>
      <c r="V1233" s="288"/>
      <c r="W1233" s="288"/>
      <c r="X1233" s="288"/>
      <c r="Y1233" s="288"/>
      <c r="Z1233" s="288"/>
      <c r="AA1233" s="288"/>
      <c r="AB1233" s="288"/>
      <c r="AC1233" s="288"/>
      <c r="AD1233" s="289" t="s">
        <v>5</v>
      </c>
    </row>
    <row r="1234" spans="1:38" s="182" customFormat="1" ht="33" customHeight="1" x14ac:dyDescent="0.3">
      <c r="A1234" s="276">
        <v>28</v>
      </c>
      <c r="B1234" s="277">
        <v>241</v>
      </c>
      <c r="C1234" s="278" t="str">
        <f t="shared" si="27"/>
        <v>28.241</v>
      </c>
      <c r="D1234" s="279"/>
      <c r="E1234" s="64" t="str">
        <f>IF(ISBLANK(D1234)=TRUE,"",VLOOKUP(D1234,Krav!$C:$F,4,FALSE))</f>
        <v/>
      </c>
      <c r="F1234" s="281" t="s">
        <v>418</v>
      </c>
      <c r="G1234" s="297" t="s">
        <v>446</v>
      </c>
      <c r="H1234" s="296" t="s">
        <v>451</v>
      </c>
      <c r="I1234" s="286" t="s">
        <v>129</v>
      </c>
      <c r="J1234" s="388" t="s">
        <v>222</v>
      </c>
      <c r="K1234" s="123" t="s">
        <v>222</v>
      </c>
      <c r="L1234" s="291" t="s">
        <v>3</v>
      </c>
      <c r="M1234" s="288" t="s">
        <v>129</v>
      </c>
      <c r="N1234" s="288" t="s">
        <v>131</v>
      </c>
      <c r="O1234" s="288" t="s">
        <v>376</v>
      </c>
      <c r="P1234" s="288" t="s">
        <v>96</v>
      </c>
      <c r="Q1234" s="288" t="s">
        <v>131</v>
      </c>
      <c r="R1234" s="288" t="s">
        <v>129</v>
      </c>
      <c r="S1234" s="288" t="s">
        <v>131</v>
      </c>
      <c r="T1234" s="288"/>
      <c r="U1234" s="288"/>
      <c r="V1234" s="288" t="s">
        <v>294</v>
      </c>
      <c r="W1234" s="288"/>
      <c r="X1234" s="288"/>
      <c r="Y1234" s="288"/>
      <c r="Z1234" s="288"/>
      <c r="AA1234" s="288"/>
      <c r="AB1234" s="288"/>
      <c r="AC1234" s="288"/>
      <c r="AD1234" s="289" t="s">
        <v>5</v>
      </c>
    </row>
    <row r="1235" spans="1:38" s="182" customFormat="1" ht="33" customHeight="1" x14ac:dyDescent="0.3">
      <c r="A1235" s="276">
        <v>28</v>
      </c>
      <c r="B1235" s="277">
        <v>242</v>
      </c>
      <c r="C1235" s="278" t="str">
        <f t="shared" si="27"/>
        <v>28.242</v>
      </c>
      <c r="D1235" s="279"/>
      <c r="E1235" s="64" t="str">
        <f>IF(ISBLANK(D1235)=TRUE,"",VLOOKUP(D1235,Krav!$C:$F,4,FALSE))</f>
        <v/>
      </c>
      <c r="F1235" s="281" t="s">
        <v>418</v>
      </c>
      <c r="G1235" s="282" t="s">
        <v>446</v>
      </c>
      <c r="H1235" s="296" t="s">
        <v>451</v>
      </c>
      <c r="I1235" s="286" t="s">
        <v>129</v>
      </c>
      <c r="J1235" s="285" t="s">
        <v>222</v>
      </c>
      <c r="K1235" s="123" t="s">
        <v>222</v>
      </c>
      <c r="L1235" s="291" t="s">
        <v>3</v>
      </c>
      <c r="M1235" s="288" t="s">
        <v>129</v>
      </c>
      <c r="N1235" s="288" t="s">
        <v>131</v>
      </c>
      <c r="O1235" s="288" t="s">
        <v>376</v>
      </c>
      <c r="P1235" s="288" t="s">
        <v>96</v>
      </c>
      <c r="Q1235" s="288" t="s">
        <v>131</v>
      </c>
      <c r="R1235" s="288" t="s">
        <v>129</v>
      </c>
      <c r="S1235" s="288" t="s">
        <v>131</v>
      </c>
      <c r="T1235" s="288"/>
      <c r="U1235" s="288"/>
      <c r="V1235" s="289" t="s">
        <v>295</v>
      </c>
      <c r="W1235" s="288" t="s">
        <v>26</v>
      </c>
      <c r="X1235" s="288"/>
      <c r="Y1235" s="288"/>
      <c r="Z1235" s="288"/>
      <c r="AA1235" s="288"/>
      <c r="AB1235" s="288"/>
      <c r="AC1235" s="288"/>
      <c r="AD1235" s="289" t="s">
        <v>5</v>
      </c>
    </row>
    <row r="1236" spans="1:38" s="182" customFormat="1" ht="33" customHeight="1" x14ac:dyDescent="0.3">
      <c r="A1236" s="276">
        <v>28</v>
      </c>
      <c r="B1236" s="277">
        <v>243</v>
      </c>
      <c r="C1236" s="278" t="str">
        <f t="shared" si="27"/>
        <v>28.243</v>
      </c>
      <c r="D1236" s="279"/>
      <c r="E1236" s="64" t="str">
        <f>IF(ISBLANK(D1236)=TRUE,"",VLOOKUP(D1236,Krav!$C:$F,4,FALSE))</f>
        <v/>
      </c>
      <c r="F1236" s="281" t="s">
        <v>418</v>
      </c>
      <c r="G1236" s="297" t="s">
        <v>446</v>
      </c>
      <c r="H1236" s="296" t="s">
        <v>451</v>
      </c>
      <c r="I1236" s="286" t="s">
        <v>129</v>
      </c>
      <c r="J1236" s="285" t="s">
        <v>222</v>
      </c>
      <c r="K1236" s="123" t="s">
        <v>222</v>
      </c>
      <c r="L1236" s="291" t="s">
        <v>3</v>
      </c>
      <c r="M1236" s="288" t="s">
        <v>129</v>
      </c>
      <c r="N1236" s="288" t="s">
        <v>131</v>
      </c>
      <c r="O1236" s="288" t="s">
        <v>376</v>
      </c>
      <c r="P1236" s="288" t="s">
        <v>96</v>
      </c>
      <c r="Q1236" s="288" t="s">
        <v>131</v>
      </c>
      <c r="R1236" s="288" t="s">
        <v>129</v>
      </c>
      <c r="S1236" s="288" t="s">
        <v>131</v>
      </c>
      <c r="T1236" s="288"/>
      <c r="U1236" s="288"/>
      <c r="V1236" s="289" t="s">
        <v>295</v>
      </c>
      <c r="W1236" s="288" t="s">
        <v>166</v>
      </c>
      <c r="X1236" s="288" t="s">
        <v>26</v>
      </c>
      <c r="Y1236" s="288"/>
      <c r="Z1236" s="288"/>
      <c r="AA1236" s="288"/>
      <c r="AB1236" s="288"/>
      <c r="AC1236" s="288"/>
      <c r="AD1236" s="289" t="s">
        <v>5</v>
      </c>
    </row>
    <row r="1237" spans="1:38" s="182" customFormat="1" ht="33" customHeight="1" x14ac:dyDescent="0.3">
      <c r="A1237" s="276">
        <v>28</v>
      </c>
      <c r="B1237" s="277">
        <v>244</v>
      </c>
      <c r="C1237" s="278" t="str">
        <f t="shared" si="27"/>
        <v>28.244</v>
      </c>
      <c r="D1237" s="279"/>
      <c r="E1237" s="64" t="str">
        <f>IF(ISBLANK(D1237)=TRUE,"",VLOOKUP(D1237,Krav!$C:$F,4,FALSE))</f>
        <v/>
      </c>
      <c r="F1237" s="281" t="s">
        <v>418</v>
      </c>
      <c r="G1237" s="282" t="s">
        <v>446</v>
      </c>
      <c r="H1237" s="296" t="s">
        <v>451</v>
      </c>
      <c r="I1237" s="286" t="s">
        <v>129</v>
      </c>
      <c r="J1237" s="285" t="s">
        <v>222</v>
      </c>
      <c r="K1237" s="123" t="s">
        <v>222</v>
      </c>
      <c r="L1237" s="291" t="s">
        <v>3</v>
      </c>
      <c r="M1237" s="288" t="s">
        <v>129</v>
      </c>
      <c r="N1237" s="288" t="s">
        <v>131</v>
      </c>
      <c r="O1237" s="288" t="s">
        <v>376</v>
      </c>
      <c r="P1237" s="288" t="s">
        <v>96</v>
      </c>
      <c r="Q1237" s="288" t="s">
        <v>131</v>
      </c>
      <c r="R1237" s="288" t="s">
        <v>129</v>
      </c>
      <c r="S1237" s="288" t="s">
        <v>131</v>
      </c>
      <c r="T1237" s="288"/>
      <c r="U1237" s="288"/>
      <c r="V1237" s="289" t="s">
        <v>295</v>
      </c>
      <c r="W1237" s="288" t="s">
        <v>166</v>
      </c>
      <c r="X1237" s="288" t="s">
        <v>166</v>
      </c>
      <c r="Y1237" s="288" t="s">
        <v>580</v>
      </c>
      <c r="Z1237" s="288"/>
      <c r="AA1237" s="288"/>
      <c r="AB1237" s="288"/>
      <c r="AC1237" s="288"/>
      <c r="AD1237" s="289" t="s">
        <v>5</v>
      </c>
    </row>
    <row r="1238" spans="1:38" s="182" customFormat="1" ht="33" customHeight="1" x14ac:dyDescent="0.3">
      <c r="A1238" s="276">
        <v>28</v>
      </c>
      <c r="B1238" s="277">
        <v>245</v>
      </c>
      <c r="C1238" s="278" t="str">
        <f t="shared" si="27"/>
        <v>28.245</v>
      </c>
      <c r="D1238" s="279"/>
      <c r="E1238" s="64" t="str">
        <f>IF(ISBLANK(D1238)=TRUE,"",VLOOKUP(D1238,Krav!$C:$F,4,FALSE))</f>
        <v/>
      </c>
      <c r="F1238" s="281" t="s">
        <v>418</v>
      </c>
      <c r="G1238" s="297" t="s">
        <v>446</v>
      </c>
      <c r="H1238" s="296" t="s">
        <v>451</v>
      </c>
      <c r="I1238" s="286" t="s">
        <v>129</v>
      </c>
      <c r="J1238" s="285" t="s">
        <v>222</v>
      </c>
      <c r="K1238" s="123" t="s">
        <v>222</v>
      </c>
      <c r="L1238" s="291" t="s">
        <v>3</v>
      </c>
      <c r="M1238" s="288" t="s">
        <v>129</v>
      </c>
      <c r="N1238" s="288" t="s">
        <v>131</v>
      </c>
      <c r="O1238" s="288" t="s">
        <v>96</v>
      </c>
      <c r="P1238" s="288" t="s">
        <v>96</v>
      </c>
      <c r="Q1238" s="288" t="s">
        <v>129</v>
      </c>
      <c r="R1238" s="288" t="s">
        <v>131</v>
      </c>
      <c r="S1238" s="288" t="s">
        <v>131</v>
      </c>
      <c r="T1238" s="288"/>
      <c r="U1238" s="288"/>
      <c r="V1238" s="289" t="s">
        <v>295</v>
      </c>
      <c r="W1238" s="288" t="s">
        <v>26</v>
      </c>
      <c r="X1238" s="288"/>
      <c r="Y1238" s="288"/>
      <c r="Z1238" s="288"/>
      <c r="AA1238" s="288"/>
      <c r="AB1238" s="288"/>
      <c r="AC1238" s="288"/>
      <c r="AD1238" s="289" t="s">
        <v>5</v>
      </c>
    </row>
    <row r="1239" spans="1:38" s="182" customFormat="1" ht="33" customHeight="1" x14ac:dyDescent="0.3">
      <c r="A1239" s="276">
        <v>28</v>
      </c>
      <c r="B1239" s="277">
        <v>246</v>
      </c>
      <c r="C1239" s="278" t="str">
        <f t="shared" si="27"/>
        <v>28.246</v>
      </c>
      <c r="D1239" s="279"/>
      <c r="E1239" s="64" t="str">
        <f>IF(ISBLANK(D1239)=TRUE,"",VLOOKUP(D1239,Krav!$C:$F,4,FALSE))</f>
        <v/>
      </c>
      <c r="F1239" s="281" t="s">
        <v>418</v>
      </c>
      <c r="G1239" s="282" t="s">
        <v>446</v>
      </c>
      <c r="H1239" s="296" t="s">
        <v>451</v>
      </c>
      <c r="I1239" s="286" t="s">
        <v>129</v>
      </c>
      <c r="J1239" s="286" t="s">
        <v>222</v>
      </c>
      <c r="K1239" s="123" t="s">
        <v>222</v>
      </c>
      <c r="L1239" s="291" t="s">
        <v>3</v>
      </c>
      <c r="M1239" s="288" t="s">
        <v>129</v>
      </c>
      <c r="N1239" s="288" t="s">
        <v>131</v>
      </c>
      <c r="O1239" s="288" t="s">
        <v>96</v>
      </c>
      <c r="P1239" s="288" t="s">
        <v>96</v>
      </c>
      <c r="Q1239" s="288" t="s">
        <v>129</v>
      </c>
      <c r="R1239" s="288" t="s">
        <v>131</v>
      </c>
      <c r="S1239" s="288" t="s">
        <v>131</v>
      </c>
      <c r="T1239" s="288"/>
      <c r="U1239" s="288"/>
      <c r="V1239" s="289" t="s">
        <v>295</v>
      </c>
      <c r="W1239" s="288" t="s">
        <v>166</v>
      </c>
      <c r="X1239" s="288" t="s">
        <v>26</v>
      </c>
      <c r="Y1239" s="288"/>
      <c r="Z1239" s="288"/>
      <c r="AA1239" s="288"/>
      <c r="AB1239" s="288"/>
      <c r="AC1239" s="288"/>
      <c r="AD1239" s="289" t="s">
        <v>5</v>
      </c>
    </row>
    <row r="1240" spans="1:38" s="182" customFormat="1" ht="33" customHeight="1" x14ac:dyDescent="0.3">
      <c r="A1240" s="276">
        <v>28</v>
      </c>
      <c r="B1240" s="277">
        <v>247</v>
      </c>
      <c r="C1240" s="278" t="str">
        <f t="shared" si="27"/>
        <v>28.247</v>
      </c>
      <c r="D1240" s="279"/>
      <c r="E1240" s="64" t="str">
        <f>IF(ISBLANK(D1240)=TRUE,"",VLOOKUP(D1240,Krav!$C:$F,4,FALSE))</f>
        <v/>
      </c>
      <c r="F1240" s="281" t="s">
        <v>418</v>
      </c>
      <c r="G1240" s="297" t="s">
        <v>446</v>
      </c>
      <c r="H1240" s="296" t="s">
        <v>451</v>
      </c>
      <c r="I1240" s="286" t="s">
        <v>129</v>
      </c>
      <c r="J1240" s="285" t="s">
        <v>222</v>
      </c>
      <c r="K1240" s="123" t="s">
        <v>222</v>
      </c>
      <c r="L1240" s="291" t="s">
        <v>3</v>
      </c>
      <c r="M1240" s="288" t="s">
        <v>129</v>
      </c>
      <c r="N1240" s="288" t="s">
        <v>131</v>
      </c>
      <c r="O1240" s="288" t="s">
        <v>96</v>
      </c>
      <c r="P1240" s="288" t="s">
        <v>96</v>
      </c>
      <c r="Q1240" s="288" t="s">
        <v>129</v>
      </c>
      <c r="R1240" s="288" t="s">
        <v>131</v>
      </c>
      <c r="S1240" s="288" t="s">
        <v>131</v>
      </c>
      <c r="T1240" s="288"/>
      <c r="U1240" s="288"/>
      <c r="V1240" s="289" t="s">
        <v>295</v>
      </c>
      <c r="W1240" s="288" t="s">
        <v>166</v>
      </c>
      <c r="X1240" s="288" t="s">
        <v>166</v>
      </c>
      <c r="Y1240" s="288" t="s">
        <v>580</v>
      </c>
      <c r="Z1240" s="288"/>
      <c r="AA1240" s="288"/>
      <c r="AB1240" s="288"/>
      <c r="AC1240" s="288"/>
      <c r="AD1240" s="289" t="s">
        <v>5</v>
      </c>
    </row>
    <row r="1241" spans="1:38" s="182" customFormat="1" ht="33" customHeight="1" x14ac:dyDescent="0.3">
      <c r="A1241" s="276">
        <v>28</v>
      </c>
      <c r="B1241" s="277">
        <v>248</v>
      </c>
      <c r="C1241" s="278" t="str">
        <f t="shared" si="27"/>
        <v>28.248</v>
      </c>
      <c r="D1241" s="279"/>
      <c r="E1241" s="64" t="str">
        <f>IF(ISBLANK(D1241)=TRUE,"",VLOOKUP(D1241,Krav!$C:$F,4,FALSE))</f>
        <v/>
      </c>
      <c r="F1241" s="281" t="s">
        <v>418</v>
      </c>
      <c r="G1241" s="282" t="s">
        <v>446</v>
      </c>
      <c r="H1241" s="296" t="s">
        <v>451</v>
      </c>
      <c r="I1241" s="286" t="s">
        <v>129</v>
      </c>
      <c r="J1241" s="286" t="s">
        <v>222</v>
      </c>
      <c r="K1241" s="123" t="s">
        <v>222</v>
      </c>
      <c r="L1241" s="287" t="s">
        <v>3</v>
      </c>
      <c r="M1241" s="288" t="s">
        <v>129</v>
      </c>
      <c r="N1241" s="288" t="s">
        <v>131</v>
      </c>
      <c r="O1241" s="288" t="s">
        <v>96</v>
      </c>
      <c r="P1241" s="288" t="s">
        <v>96</v>
      </c>
      <c r="Q1241" s="288" t="s">
        <v>129</v>
      </c>
      <c r="R1241" s="288" t="s">
        <v>131</v>
      </c>
      <c r="S1241" s="288" t="s">
        <v>131</v>
      </c>
      <c r="T1241" s="288"/>
      <c r="U1241" s="288"/>
      <c r="V1241" s="288" t="s">
        <v>294</v>
      </c>
      <c r="W1241" s="288"/>
      <c r="X1241" s="288"/>
      <c r="Y1241" s="288"/>
      <c r="Z1241" s="288"/>
      <c r="AA1241" s="288"/>
      <c r="AB1241" s="288"/>
      <c r="AC1241" s="288"/>
      <c r="AD1241" s="289" t="s">
        <v>5</v>
      </c>
    </row>
    <row r="1242" spans="1:38" s="182" customFormat="1" ht="33" customHeight="1" x14ac:dyDescent="0.3">
      <c r="A1242" s="276">
        <v>28</v>
      </c>
      <c r="B1242" s="277">
        <v>249</v>
      </c>
      <c r="C1242" s="278" t="str">
        <f t="shared" si="27"/>
        <v>28.249</v>
      </c>
      <c r="D1242" s="279"/>
      <c r="E1242" s="64" t="str">
        <f>IF(ISBLANK(D1242)=TRUE,"",VLOOKUP(D1242,Krav!$C:$F,4,FALSE))</f>
        <v/>
      </c>
      <c r="F1242" s="281" t="s">
        <v>418</v>
      </c>
      <c r="G1242" s="282" t="s">
        <v>445</v>
      </c>
      <c r="H1242" s="296" t="s">
        <v>451</v>
      </c>
      <c r="I1242" s="286" t="s">
        <v>129</v>
      </c>
      <c r="J1242" s="285" t="s">
        <v>222</v>
      </c>
      <c r="K1242" s="123" t="s">
        <v>222</v>
      </c>
      <c r="L1242" s="291" t="s">
        <v>3</v>
      </c>
      <c r="M1242" s="288" t="s">
        <v>131</v>
      </c>
      <c r="N1242" s="288" t="s">
        <v>129</v>
      </c>
      <c r="O1242" s="288" t="s">
        <v>376</v>
      </c>
      <c r="P1242" s="288" t="s">
        <v>376</v>
      </c>
      <c r="Q1242" s="288" t="s">
        <v>131</v>
      </c>
      <c r="R1242" s="288" t="s">
        <v>131</v>
      </c>
      <c r="S1242" s="288" t="s">
        <v>131</v>
      </c>
      <c r="T1242" s="288"/>
      <c r="U1242" s="288"/>
      <c r="V1242" s="288"/>
      <c r="W1242" s="288"/>
      <c r="X1242" s="288"/>
      <c r="Y1242" s="288"/>
      <c r="Z1242" s="288"/>
      <c r="AA1242" s="288"/>
      <c r="AB1242" s="288"/>
      <c r="AC1242" s="288"/>
      <c r="AD1242" s="289" t="s">
        <v>5</v>
      </c>
    </row>
    <row r="1243" spans="1:38" s="182" customFormat="1" ht="33" customHeight="1" x14ac:dyDescent="0.3">
      <c r="A1243" s="276">
        <v>28</v>
      </c>
      <c r="B1243" s="277">
        <v>250</v>
      </c>
      <c r="C1243" s="278" t="str">
        <f t="shared" si="27"/>
        <v>28.250</v>
      </c>
      <c r="D1243" s="279"/>
      <c r="E1243" s="64" t="str">
        <f>IF(ISBLANK(D1243)=TRUE,"",VLOOKUP(D1243,Krav!$C:$F,4,FALSE))</f>
        <v/>
      </c>
      <c r="F1243" s="281" t="s">
        <v>418</v>
      </c>
      <c r="G1243" s="282" t="s">
        <v>445</v>
      </c>
      <c r="H1243" s="296" t="s">
        <v>451</v>
      </c>
      <c r="I1243" s="286" t="s">
        <v>129</v>
      </c>
      <c r="J1243" s="285" t="s">
        <v>222</v>
      </c>
      <c r="K1243" s="123" t="s">
        <v>222</v>
      </c>
      <c r="L1243" s="291" t="s">
        <v>3</v>
      </c>
      <c r="M1243" s="288" t="s">
        <v>131</v>
      </c>
      <c r="N1243" s="288" t="s">
        <v>129</v>
      </c>
      <c r="O1243" s="288" t="s">
        <v>376</v>
      </c>
      <c r="P1243" s="288" t="s">
        <v>376</v>
      </c>
      <c r="Q1243" s="288" t="s">
        <v>131</v>
      </c>
      <c r="R1243" s="288" t="s">
        <v>131</v>
      </c>
      <c r="S1243" s="288" t="s">
        <v>131</v>
      </c>
      <c r="T1243" s="288"/>
      <c r="U1243" s="288"/>
      <c r="V1243" s="288"/>
      <c r="W1243" s="288"/>
      <c r="X1243" s="288"/>
      <c r="Y1243" s="288"/>
      <c r="Z1243" s="288"/>
      <c r="AA1243" s="288"/>
      <c r="AB1243" s="288"/>
      <c r="AC1243" s="288"/>
      <c r="AD1243" s="289" t="s">
        <v>5</v>
      </c>
      <c r="AE1243" s="298"/>
      <c r="AF1243" s="298"/>
      <c r="AG1243" s="298"/>
      <c r="AH1243" s="298"/>
      <c r="AI1243" s="298"/>
      <c r="AJ1243" s="298"/>
      <c r="AK1243" s="298"/>
      <c r="AL1243" s="298"/>
    </row>
    <row r="1244" spans="1:38" s="182" customFormat="1" ht="33" customHeight="1" x14ac:dyDescent="0.3">
      <c r="A1244" s="276">
        <v>28</v>
      </c>
      <c r="B1244" s="277">
        <v>251</v>
      </c>
      <c r="C1244" s="278" t="str">
        <f t="shared" si="27"/>
        <v>28.251</v>
      </c>
      <c r="D1244" s="279"/>
      <c r="E1244" s="64" t="str">
        <f>IF(ISBLANK(D1244)=TRUE,"",VLOOKUP(D1244,Krav!$C:$F,4,FALSE))</f>
        <v/>
      </c>
      <c r="F1244" s="281" t="s">
        <v>418</v>
      </c>
      <c r="G1244" s="282" t="s">
        <v>445</v>
      </c>
      <c r="H1244" s="296" t="s">
        <v>451</v>
      </c>
      <c r="I1244" s="286" t="s">
        <v>129</v>
      </c>
      <c r="J1244" s="285" t="s">
        <v>222</v>
      </c>
      <c r="K1244" s="123" t="s">
        <v>222</v>
      </c>
      <c r="L1244" s="291" t="s">
        <v>3</v>
      </c>
      <c r="M1244" s="288" t="s">
        <v>131</v>
      </c>
      <c r="N1244" s="288" t="s">
        <v>129</v>
      </c>
      <c r="O1244" s="288" t="s">
        <v>376</v>
      </c>
      <c r="P1244" s="288" t="s">
        <v>96</v>
      </c>
      <c r="Q1244" s="288" t="s">
        <v>131</v>
      </c>
      <c r="R1244" s="288" t="s">
        <v>131</v>
      </c>
      <c r="S1244" s="288" t="s">
        <v>129</v>
      </c>
      <c r="T1244" s="288"/>
      <c r="U1244" s="288"/>
      <c r="V1244" s="288"/>
      <c r="W1244" s="288"/>
      <c r="X1244" s="288"/>
      <c r="Y1244" s="288"/>
      <c r="Z1244" s="288"/>
      <c r="AA1244" s="288"/>
      <c r="AB1244" s="288"/>
      <c r="AC1244" s="288"/>
      <c r="AD1244" s="289" t="s">
        <v>5</v>
      </c>
      <c r="AE1244" s="298"/>
      <c r="AF1244" s="298"/>
      <c r="AG1244" s="298"/>
      <c r="AH1244" s="298"/>
      <c r="AI1244" s="298"/>
      <c r="AJ1244" s="298"/>
      <c r="AK1244" s="298"/>
      <c r="AL1244" s="298"/>
    </row>
    <row r="1245" spans="1:38" s="182" customFormat="1" ht="33" customHeight="1" x14ac:dyDescent="0.3">
      <c r="A1245" s="276">
        <v>28</v>
      </c>
      <c r="B1245" s="277">
        <v>252</v>
      </c>
      <c r="C1245" s="278" t="str">
        <f t="shared" si="27"/>
        <v>28.252</v>
      </c>
      <c r="D1245" s="279"/>
      <c r="E1245" s="64" t="str">
        <f>IF(ISBLANK(D1245)=TRUE,"",VLOOKUP(D1245,Krav!$C:$F,4,FALSE))</f>
        <v/>
      </c>
      <c r="F1245" s="281" t="s">
        <v>418</v>
      </c>
      <c r="G1245" s="282" t="s">
        <v>446</v>
      </c>
      <c r="H1245" s="296" t="s">
        <v>451</v>
      </c>
      <c r="I1245" s="286" t="s">
        <v>129</v>
      </c>
      <c r="J1245" s="388" t="s">
        <v>222</v>
      </c>
      <c r="K1245" s="123" t="s">
        <v>222</v>
      </c>
      <c r="L1245" s="291" t="s">
        <v>3</v>
      </c>
      <c r="M1245" s="288" t="s">
        <v>131</v>
      </c>
      <c r="N1245" s="288" t="s">
        <v>129</v>
      </c>
      <c r="O1245" s="288" t="s">
        <v>376</v>
      </c>
      <c r="P1245" s="288" t="s">
        <v>96</v>
      </c>
      <c r="Q1245" s="288" t="s">
        <v>131</v>
      </c>
      <c r="R1245" s="288" t="s">
        <v>129</v>
      </c>
      <c r="S1245" s="288" t="s">
        <v>131</v>
      </c>
      <c r="T1245" s="288"/>
      <c r="U1245" s="288"/>
      <c r="V1245" s="288" t="s">
        <v>294</v>
      </c>
      <c r="W1245" s="288"/>
      <c r="X1245" s="288"/>
      <c r="Y1245" s="288"/>
      <c r="Z1245" s="288"/>
      <c r="AA1245" s="288"/>
      <c r="AB1245" s="288"/>
      <c r="AC1245" s="288"/>
      <c r="AD1245" s="289" t="s">
        <v>5</v>
      </c>
      <c r="AE1245" s="298"/>
      <c r="AF1245" s="298"/>
      <c r="AG1245" s="298"/>
      <c r="AH1245" s="298"/>
      <c r="AI1245" s="298"/>
      <c r="AJ1245" s="298"/>
      <c r="AK1245" s="298"/>
      <c r="AL1245" s="298"/>
    </row>
    <row r="1246" spans="1:38" s="182" customFormat="1" ht="33" customHeight="1" x14ac:dyDescent="0.3">
      <c r="A1246" s="276">
        <v>28</v>
      </c>
      <c r="B1246" s="277">
        <v>253</v>
      </c>
      <c r="C1246" s="278" t="str">
        <f t="shared" si="27"/>
        <v>28.253</v>
      </c>
      <c r="D1246" s="279"/>
      <c r="E1246" s="64" t="str">
        <f>IF(ISBLANK(D1246)=TRUE,"",VLOOKUP(D1246,Krav!$C:$F,4,FALSE))</f>
        <v/>
      </c>
      <c r="F1246" s="281" t="s">
        <v>418</v>
      </c>
      <c r="G1246" s="282" t="s">
        <v>446</v>
      </c>
      <c r="H1246" s="296" t="s">
        <v>451</v>
      </c>
      <c r="I1246" s="286" t="s">
        <v>129</v>
      </c>
      <c r="J1246" s="285" t="s">
        <v>222</v>
      </c>
      <c r="K1246" s="123" t="s">
        <v>222</v>
      </c>
      <c r="L1246" s="291" t="s">
        <v>3</v>
      </c>
      <c r="M1246" s="288" t="s">
        <v>131</v>
      </c>
      <c r="N1246" s="288" t="s">
        <v>129</v>
      </c>
      <c r="O1246" s="288" t="s">
        <v>376</v>
      </c>
      <c r="P1246" s="288" t="s">
        <v>96</v>
      </c>
      <c r="Q1246" s="288" t="s">
        <v>131</v>
      </c>
      <c r="R1246" s="288" t="s">
        <v>129</v>
      </c>
      <c r="S1246" s="288" t="s">
        <v>131</v>
      </c>
      <c r="T1246" s="288"/>
      <c r="U1246" s="288"/>
      <c r="V1246" s="289" t="s">
        <v>295</v>
      </c>
      <c r="W1246" s="288" t="s">
        <v>26</v>
      </c>
      <c r="X1246" s="288"/>
      <c r="Y1246" s="288"/>
      <c r="Z1246" s="288"/>
      <c r="AA1246" s="288"/>
      <c r="AB1246" s="288"/>
      <c r="AC1246" s="288"/>
      <c r="AD1246" s="289" t="s">
        <v>5</v>
      </c>
      <c r="AE1246" s="298"/>
      <c r="AF1246" s="298"/>
      <c r="AG1246" s="298"/>
      <c r="AH1246" s="298"/>
      <c r="AI1246" s="298"/>
      <c r="AJ1246" s="298"/>
      <c r="AK1246" s="298"/>
      <c r="AL1246" s="298"/>
    </row>
    <row r="1247" spans="1:38" s="182" customFormat="1" ht="33" customHeight="1" x14ac:dyDescent="0.3">
      <c r="A1247" s="276">
        <v>28</v>
      </c>
      <c r="B1247" s="277">
        <v>254</v>
      </c>
      <c r="C1247" s="278" t="str">
        <f t="shared" si="27"/>
        <v>28.254</v>
      </c>
      <c r="D1247" s="279"/>
      <c r="E1247" s="64" t="str">
        <f>IF(ISBLANK(D1247)=TRUE,"",VLOOKUP(D1247,Krav!$C:$F,4,FALSE))</f>
        <v/>
      </c>
      <c r="F1247" s="281" t="s">
        <v>418</v>
      </c>
      <c r="G1247" s="282" t="s">
        <v>446</v>
      </c>
      <c r="H1247" s="296" t="s">
        <v>451</v>
      </c>
      <c r="I1247" s="286" t="s">
        <v>129</v>
      </c>
      <c r="J1247" s="285" t="s">
        <v>222</v>
      </c>
      <c r="K1247" s="123" t="s">
        <v>222</v>
      </c>
      <c r="L1247" s="291" t="s">
        <v>3</v>
      </c>
      <c r="M1247" s="288" t="s">
        <v>131</v>
      </c>
      <c r="N1247" s="288" t="s">
        <v>129</v>
      </c>
      <c r="O1247" s="288" t="s">
        <v>376</v>
      </c>
      <c r="P1247" s="288" t="s">
        <v>96</v>
      </c>
      <c r="Q1247" s="288" t="s">
        <v>131</v>
      </c>
      <c r="R1247" s="288" t="s">
        <v>129</v>
      </c>
      <c r="S1247" s="288" t="s">
        <v>131</v>
      </c>
      <c r="T1247" s="288"/>
      <c r="U1247" s="288"/>
      <c r="V1247" s="289" t="s">
        <v>295</v>
      </c>
      <c r="W1247" s="288" t="s">
        <v>166</v>
      </c>
      <c r="X1247" s="288" t="s">
        <v>26</v>
      </c>
      <c r="Y1247" s="288"/>
      <c r="Z1247" s="288"/>
      <c r="AA1247" s="288"/>
      <c r="AB1247" s="288"/>
      <c r="AC1247" s="288"/>
      <c r="AD1247" s="289" t="s">
        <v>5</v>
      </c>
      <c r="AE1247" s="298"/>
      <c r="AF1247" s="298"/>
      <c r="AG1247" s="298"/>
      <c r="AH1247" s="298"/>
      <c r="AI1247" s="298"/>
      <c r="AJ1247" s="298"/>
      <c r="AK1247" s="298"/>
      <c r="AL1247" s="298"/>
    </row>
    <row r="1248" spans="1:38" s="182" customFormat="1" ht="33" customHeight="1" x14ac:dyDescent="0.3">
      <c r="A1248" s="276">
        <v>28</v>
      </c>
      <c r="B1248" s="277">
        <v>255</v>
      </c>
      <c r="C1248" s="278" t="str">
        <f t="shared" si="27"/>
        <v>28.255</v>
      </c>
      <c r="D1248" s="279"/>
      <c r="E1248" s="64" t="str">
        <f>IF(ISBLANK(D1248)=TRUE,"",VLOOKUP(D1248,Krav!$C:$F,4,FALSE))</f>
        <v/>
      </c>
      <c r="F1248" s="281" t="s">
        <v>418</v>
      </c>
      <c r="G1248" s="282" t="s">
        <v>446</v>
      </c>
      <c r="H1248" s="296" t="s">
        <v>451</v>
      </c>
      <c r="I1248" s="286" t="s">
        <v>129</v>
      </c>
      <c r="J1248" s="285" t="s">
        <v>222</v>
      </c>
      <c r="K1248" s="123" t="s">
        <v>222</v>
      </c>
      <c r="L1248" s="291" t="s">
        <v>3</v>
      </c>
      <c r="M1248" s="288" t="s">
        <v>131</v>
      </c>
      <c r="N1248" s="288" t="s">
        <v>129</v>
      </c>
      <c r="O1248" s="288" t="s">
        <v>376</v>
      </c>
      <c r="P1248" s="288" t="s">
        <v>96</v>
      </c>
      <c r="Q1248" s="288" t="s">
        <v>131</v>
      </c>
      <c r="R1248" s="288" t="s">
        <v>129</v>
      </c>
      <c r="S1248" s="288" t="s">
        <v>131</v>
      </c>
      <c r="T1248" s="288"/>
      <c r="U1248" s="288"/>
      <c r="V1248" s="289" t="s">
        <v>295</v>
      </c>
      <c r="W1248" s="288" t="s">
        <v>166</v>
      </c>
      <c r="X1248" s="288" t="s">
        <v>166</v>
      </c>
      <c r="Y1248" s="288" t="s">
        <v>580</v>
      </c>
      <c r="Z1248" s="288"/>
      <c r="AA1248" s="288"/>
      <c r="AB1248" s="288"/>
      <c r="AC1248" s="288"/>
      <c r="AD1248" s="289" t="s">
        <v>5</v>
      </c>
      <c r="AE1248" s="298"/>
      <c r="AF1248" s="298"/>
      <c r="AG1248" s="298"/>
      <c r="AH1248" s="298"/>
      <c r="AI1248" s="298"/>
      <c r="AJ1248" s="298"/>
      <c r="AK1248" s="298"/>
      <c r="AL1248" s="298"/>
    </row>
    <row r="1249" spans="1:38" s="182" customFormat="1" ht="33" customHeight="1" x14ac:dyDescent="0.3">
      <c r="A1249" s="276">
        <v>28</v>
      </c>
      <c r="B1249" s="277">
        <v>256</v>
      </c>
      <c r="C1249" s="278" t="str">
        <f t="shared" si="27"/>
        <v>28.256</v>
      </c>
      <c r="D1249" s="279"/>
      <c r="E1249" s="64" t="str">
        <f>IF(ISBLANK(D1249)=TRUE,"",VLOOKUP(D1249,Krav!$C:$F,4,FALSE))</f>
        <v/>
      </c>
      <c r="F1249" s="281" t="s">
        <v>418</v>
      </c>
      <c r="G1249" s="282" t="s">
        <v>446</v>
      </c>
      <c r="H1249" s="296" t="s">
        <v>451</v>
      </c>
      <c r="I1249" s="286" t="s">
        <v>129</v>
      </c>
      <c r="J1249" s="285" t="s">
        <v>222</v>
      </c>
      <c r="K1249" s="123" t="s">
        <v>222</v>
      </c>
      <c r="L1249" s="291" t="s">
        <v>3</v>
      </c>
      <c r="M1249" s="288" t="s">
        <v>131</v>
      </c>
      <c r="N1249" s="288" t="s">
        <v>129</v>
      </c>
      <c r="O1249" s="288" t="s">
        <v>96</v>
      </c>
      <c r="P1249" s="288" t="s">
        <v>376</v>
      </c>
      <c r="Q1249" s="288" t="s">
        <v>129</v>
      </c>
      <c r="R1249" s="288" t="s">
        <v>131</v>
      </c>
      <c r="S1249" s="288" t="s">
        <v>131</v>
      </c>
      <c r="T1249" s="288"/>
      <c r="U1249" s="288"/>
      <c r="V1249" s="289" t="s">
        <v>295</v>
      </c>
      <c r="W1249" s="288" t="s">
        <v>26</v>
      </c>
      <c r="X1249" s="288"/>
      <c r="Y1249" s="288"/>
      <c r="Z1249" s="288"/>
      <c r="AA1249" s="288"/>
      <c r="AB1249" s="288"/>
      <c r="AC1249" s="288"/>
      <c r="AD1249" s="289" t="s">
        <v>5</v>
      </c>
      <c r="AE1249" s="298"/>
      <c r="AF1249" s="298"/>
      <c r="AG1249" s="298"/>
      <c r="AH1249" s="298"/>
      <c r="AI1249" s="298"/>
      <c r="AJ1249" s="298"/>
      <c r="AK1249" s="298"/>
      <c r="AL1249" s="298"/>
    </row>
    <row r="1250" spans="1:38" s="182" customFormat="1" ht="33" customHeight="1" x14ac:dyDescent="0.3">
      <c r="A1250" s="276">
        <v>28</v>
      </c>
      <c r="B1250" s="277">
        <v>257</v>
      </c>
      <c r="C1250" s="278" t="str">
        <f t="shared" si="27"/>
        <v>28.257</v>
      </c>
      <c r="D1250" s="279"/>
      <c r="E1250" s="64" t="str">
        <f>IF(ISBLANK(D1250)=TRUE,"",VLOOKUP(D1250,Krav!$C:$F,4,FALSE))</f>
        <v/>
      </c>
      <c r="F1250" s="281" t="s">
        <v>418</v>
      </c>
      <c r="G1250" s="282" t="s">
        <v>446</v>
      </c>
      <c r="H1250" s="296" t="s">
        <v>451</v>
      </c>
      <c r="I1250" s="286" t="s">
        <v>129</v>
      </c>
      <c r="J1250" s="285" t="s">
        <v>222</v>
      </c>
      <c r="K1250" s="123" t="s">
        <v>222</v>
      </c>
      <c r="L1250" s="291" t="s">
        <v>3</v>
      </c>
      <c r="M1250" s="288" t="s">
        <v>131</v>
      </c>
      <c r="N1250" s="288" t="s">
        <v>129</v>
      </c>
      <c r="O1250" s="288" t="s">
        <v>96</v>
      </c>
      <c r="P1250" s="288" t="s">
        <v>376</v>
      </c>
      <c r="Q1250" s="288" t="s">
        <v>129</v>
      </c>
      <c r="R1250" s="288" t="s">
        <v>131</v>
      </c>
      <c r="S1250" s="288" t="s">
        <v>131</v>
      </c>
      <c r="T1250" s="288"/>
      <c r="U1250" s="288"/>
      <c r="V1250" s="289" t="s">
        <v>295</v>
      </c>
      <c r="W1250" s="288" t="s">
        <v>166</v>
      </c>
      <c r="X1250" s="288" t="s">
        <v>26</v>
      </c>
      <c r="Y1250" s="288"/>
      <c r="Z1250" s="288"/>
      <c r="AA1250" s="288"/>
      <c r="AB1250" s="288"/>
      <c r="AC1250" s="288"/>
      <c r="AD1250" s="289" t="s">
        <v>5</v>
      </c>
      <c r="AE1250" s="298"/>
      <c r="AF1250" s="298"/>
      <c r="AG1250" s="298"/>
      <c r="AH1250" s="298"/>
      <c r="AI1250" s="298"/>
      <c r="AJ1250" s="298"/>
      <c r="AK1250" s="298"/>
      <c r="AL1250" s="298"/>
    </row>
    <row r="1251" spans="1:38" s="182" customFormat="1" ht="33" customHeight="1" x14ac:dyDescent="0.3">
      <c r="A1251" s="276">
        <v>28</v>
      </c>
      <c r="B1251" s="277">
        <v>258</v>
      </c>
      <c r="C1251" s="278" t="str">
        <f t="shared" si="27"/>
        <v>28.258</v>
      </c>
      <c r="D1251" s="279"/>
      <c r="E1251" s="64" t="str">
        <f>IF(ISBLANK(D1251)=TRUE,"",VLOOKUP(D1251,Krav!$C:$F,4,FALSE))</f>
        <v/>
      </c>
      <c r="F1251" s="281" t="s">
        <v>418</v>
      </c>
      <c r="G1251" s="282" t="s">
        <v>446</v>
      </c>
      <c r="H1251" s="296" t="s">
        <v>451</v>
      </c>
      <c r="I1251" s="286" t="s">
        <v>129</v>
      </c>
      <c r="J1251" s="285" t="s">
        <v>222</v>
      </c>
      <c r="K1251" s="123" t="s">
        <v>222</v>
      </c>
      <c r="L1251" s="291" t="s">
        <v>3</v>
      </c>
      <c r="M1251" s="288" t="s">
        <v>131</v>
      </c>
      <c r="N1251" s="288" t="s">
        <v>129</v>
      </c>
      <c r="O1251" s="288" t="s">
        <v>96</v>
      </c>
      <c r="P1251" s="288" t="s">
        <v>376</v>
      </c>
      <c r="Q1251" s="288" t="s">
        <v>129</v>
      </c>
      <c r="R1251" s="288" t="s">
        <v>131</v>
      </c>
      <c r="S1251" s="288" t="s">
        <v>131</v>
      </c>
      <c r="T1251" s="288"/>
      <c r="U1251" s="288"/>
      <c r="V1251" s="289" t="s">
        <v>295</v>
      </c>
      <c r="W1251" s="288" t="s">
        <v>166</v>
      </c>
      <c r="X1251" s="288" t="s">
        <v>166</v>
      </c>
      <c r="Y1251" s="288" t="s">
        <v>580</v>
      </c>
      <c r="Z1251" s="288"/>
      <c r="AA1251" s="288"/>
      <c r="AB1251" s="288"/>
      <c r="AC1251" s="288"/>
      <c r="AD1251" s="289" t="s">
        <v>5</v>
      </c>
      <c r="AE1251" s="298"/>
      <c r="AF1251" s="298"/>
      <c r="AG1251" s="298"/>
      <c r="AH1251" s="298"/>
      <c r="AI1251" s="298"/>
      <c r="AJ1251" s="298"/>
      <c r="AK1251" s="298"/>
      <c r="AL1251" s="298"/>
    </row>
    <row r="1252" spans="1:38" s="182" customFormat="1" ht="33" customHeight="1" x14ac:dyDescent="0.3">
      <c r="A1252" s="276">
        <v>28</v>
      </c>
      <c r="B1252" s="277">
        <v>259</v>
      </c>
      <c r="C1252" s="278" t="str">
        <f t="shared" ref="C1252:C1272" si="28">IF(B1252&lt;10,_xlfn.CONCAT(A1252,".0",B1252),_xlfn.CONCAT(A1252,".",B1252))</f>
        <v>28.259</v>
      </c>
      <c r="D1252" s="279"/>
      <c r="E1252" s="64" t="str">
        <f>IF(ISBLANK(D1252)=TRUE,"",VLOOKUP(D1252,Krav!$C:$F,4,FALSE))</f>
        <v/>
      </c>
      <c r="F1252" s="281" t="s">
        <v>418</v>
      </c>
      <c r="G1252" s="282" t="s">
        <v>446</v>
      </c>
      <c r="H1252" s="296" t="s">
        <v>451</v>
      </c>
      <c r="I1252" s="286" t="s">
        <v>129</v>
      </c>
      <c r="J1252" s="285" t="s">
        <v>222</v>
      </c>
      <c r="K1252" s="123" t="s">
        <v>222</v>
      </c>
      <c r="L1252" s="287" t="s">
        <v>3</v>
      </c>
      <c r="M1252" s="288" t="s">
        <v>131</v>
      </c>
      <c r="N1252" s="288" t="s">
        <v>129</v>
      </c>
      <c r="O1252" s="288" t="s">
        <v>96</v>
      </c>
      <c r="P1252" s="288" t="s">
        <v>376</v>
      </c>
      <c r="Q1252" s="288" t="s">
        <v>129</v>
      </c>
      <c r="R1252" s="288" t="s">
        <v>131</v>
      </c>
      <c r="S1252" s="288" t="s">
        <v>131</v>
      </c>
      <c r="T1252" s="288"/>
      <c r="U1252" s="288"/>
      <c r="V1252" s="288" t="s">
        <v>294</v>
      </c>
      <c r="W1252" s="288"/>
      <c r="X1252" s="288"/>
      <c r="Y1252" s="288"/>
      <c r="Z1252" s="288"/>
      <c r="AA1252" s="288"/>
      <c r="AB1252" s="288"/>
      <c r="AC1252" s="288"/>
      <c r="AD1252" s="289" t="s">
        <v>5</v>
      </c>
      <c r="AE1252" s="298"/>
      <c r="AF1252" s="298"/>
      <c r="AG1252" s="298"/>
      <c r="AH1252" s="298"/>
      <c r="AI1252" s="298"/>
      <c r="AJ1252" s="298"/>
      <c r="AK1252" s="298"/>
      <c r="AL1252" s="298"/>
    </row>
    <row r="1253" spans="1:38" s="387" customFormat="1" ht="33" customHeight="1" x14ac:dyDescent="0.3">
      <c r="A1253" s="374">
        <v>28</v>
      </c>
      <c r="B1253" s="375">
        <v>260</v>
      </c>
      <c r="C1253" s="376" t="str">
        <f t="shared" si="28"/>
        <v>28.260</v>
      </c>
      <c r="D1253" s="380"/>
      <c r="E1253" s="381" t="str">
        <f>IF(ISBLANK(D1253)=TRUE,"",VLOOKUP(D1253,Krav!$C:$F,4,FALSE))</f>
        <v/>
      </c>
      <c r="F1253" s="382" t="s">
        <v>226</v>
      </c>
      <c r="G1253" s="383" t="s">
        <v>308</v>
      </c>
      <c r="H1253" s="379" t="s">
        <v>2371</v>
      </c>
      <c r="I1253" s="384" t="s">
        <v>241</v>
      </c>
      <c r="J1253" s="384" t="s">
        <v>222</v>
      </c>
      <c r="K1253" s="384" t="s">
        <v>222</v>
      </c>
      <c r="L1253" s="385" t="s">
        <v>3</v>
      </c>
      <c r="M1253" s="377" t="s">
        <v>129</v>
      </c>
      <c r="N1253" s="377" t="s">
        <v>131</v>
      </c>
      <c r="O1253" s="377" t="s">
        <v>96</v>
      </c>
      <c r="P1253" s="377" t="s">
        <v>376</v>
      </c>
      <c r="Q1253" s="377" t="s">
        <v>129</v>
      </c>
      <c r="R1253" s="377" t="s">
        <v>131</v>
      </c>
      <c r="S1253" s="377" t="s">
        <v>131</v>
      </c>
      <c r="T1253" s="377"/>
      <c r="U1253" s="379" t="s">
        <v>1288</v>
      </c>
      <c r="V1253" s="377"/>
      <c r="W1253" s="377"/>
      <c r="X1253" s="377"/>
      <c r="Y1253" s="377"/>
      <c r="Z1253" s="377"/>
      <c r="AA1253" s="377"/>
      <c r="AB1253" s="377"/>
      <c r="AC1253" s="377"/>
      <c r="AD1253" s="378" t="s">
        <v>5</v>
      </c>
      <c r="AE1253" s="386"/>
      <c r="AF1253" s="386"/>
      <c r="AG1253" s="386"/>
      <c r="AH1253" s="386"/>
      <c r="AI1253" s="386"/>
      <c r="AJ1253" s="386"/>
      <c r="AK1253" s="386"/>
      <c r="AL1253" s="386"/>
    </row>
    <row r="1254" spans="1:38" s="387" customFormat="1" ht="33" customHeight="1" x14ac:dyDescent="0.3">
      <c r="A1254" s="374">
        <v>28</v>
      </c>
      <c r="B1254" s="375">
        <v>261</v>
      </c>
      <c r="C1254" s="376" t="str">
        <f t="shared" si="28"/>
        <v>28.261</v>
      </c>
      <c r="D1254" s="380"/>
      <c r="E1254" s="381" t="str">
        <f>IF(ISBLANK(D1254)=TRUE,"",VLOOKUP(D1254,Krav!$C:$F,4,FALSE))</f>
        <v/>
      </c>
      <c r="F1254" s="382" t="s">
        <v>226</v>
      </c>
      <c r="G1254" s="383" t="s">
        <v>308</v>
      </c>
      <c r="H1254" s="379" t="s">
        <v>2372</v>
      </c>
      <c r="I1254" s="384" t="s">
        <v>241</v>
      </c>
      <c r="J1254" s="384" t="s">
        <v>222</v>
      </c>
      <c r="K1254" s="384" t="s">
        <v>222</v>
      </c>
      <c r="L1254" s="385" t="s">
        <v>3</v>
      </c>
      <c r="M1254" s="377" t="s">
        <v>129</v>
      </c>
      <c r="N1254" s="377" t="s">
        <v>131</v>
      </c>
      <c r="O1254" s="377" t="s">
        <v>96</v>
      </c>
      <c r="P1254" s="377" t="s">
        <v>376</v>
      </c>
      <c r="Q1254" s="377" t="s">
        <v>129</v>
      </c>
      <c r="R1254" s="377" t="s">
        <v>131</v>
      </c>
      <c r="S1254" s="377" t="s">
        <v>131</v>
      </c>
      <c r="T1254" s="377"/>
      <c r="U1254" s="379" t="s">
        <v>1289</v>
      </c>
      <c r="V1254" s="377"/>
      <c r="W1254" s="377"/>
      <c r="X1254" s="377"/>
      <c r="Y1254" s="377"/>
      <c r="Z1254" s="377"/>
      <c r="AA1254" s="377"/>
      <c r="AB1254" s="377"/>
      <c r="AC1254" s="377"/>
      <c r="AD1254" s="378" t="s">
        <v>5</v>
      </c>
      <c r="AE1254" s="386"/>
      <c r="AF1254" s="386"/>
      <c r="AG1254" s="386"/>
      <c r="AH1254" s="386"/>
      <c r="AI1254" s="386"/>
      <c r="AJ1254" s="386"/>
      <c r="AK1254" s="386"/>
      <c r="AL1254" s="386"/>
    </row>
    <row r="1255" spans="1:38" s="387" customFormat="1" ht="33" customHeight="1" x14ac:dyDescent="0.3">
      <c r="A1255" s="374">
        <v>28</v>
      </c>
      <c r="B1255" s="375">
        <v>262</v>
      </c>
      <c r="C1255" s="376" t="str">
        <f t="shared" si="28"/>
        <v>28.262</v>
      </c>
      <c r="D1255" s="380"/>
      <c r="E1255" s="381" t="str">
        <f>IF(ISBLANK(D1255)=TRUE,"",VLOOKUP(D1255,Krav!$C:$F,4,FALSE))</f>
        <v/>
      </c>
      <c r="F1255" s="382" t="s">
        <v>226</v>
      </c>
      <c r="G1255" s="383" t="s">
        <v>308</v>
      </c>
      <c r="H1255" s="379" t="s">
        <v>2373</v>
      </c>
      <c r="I1255" s="384" t="s">
        <v>241</v>
      </c>
      <c r="J1255" s="384" t="s">
        <v>222</v>
      </c>
      <c r="K1255" s="384" t="s">
        <v>222</v>
      </c>
      <c r="L1255" s="385" t="s">
        <v>3</v>
      </c>
      <c r="M1255" s="377" t="s">
        <v>129</v>
      </c>
      <c r="N1255" s="377" t="s">
        <v>131</v>
      </c>
      <c r="O1255" s="377" t="s">
        <v>96</v>
      </c>
      <c r="P1255" s="377" t="s">
        <v>376</v>
      </c>
      <c r="Q1255" s="377" t="s">
        <v>129</v>
      </c>
      <c r="R1255" s="377" t="s">
        <v>131</v>
      </c>
      <c r="S1255" s="377" t="s">
        <v>131</v>
      </c>
      <c r="T1255" s="377"/>
      <c r="U1255" s="379" t="s">
        <v>1290</v>
      </c>
      <c r="V1255" s="377"/>
      <c r="W1255" s="377"/>
      <c r="X1255" s="377"/>
      <c r="Y1255" s="377"/>
      <c r="Z1255" s="377"/>
      <c r="AA1255" s="377"/>
      <c r="AB1255" s="377"/>
      <c r="AC1255" s="377"/>
      <c r="AD1255" s="378" t="s">
        <v>5</v>
      </c>
      <c r="AE1255" s="386"/>
      <c r="AF1255" s="386"/>
      <c r="AG1255" s="386"/>
      <c r="AH1255" s="386"/>
      <c r="AI1255" s="386"/>
      <c r="AJ1255" s="386"/>
      <c r="AK1255" s="386"/>
      <c r="AL1255" s="386"/>
    </row>
    <row r="1256" spans="1:38" s="387" customFormat="1" ht="33" customHeight="1" x14ac:dyDescent="0.3">
      <c r="A1256" s="374">
        <v>28</v>
      </c>
      <c r="B1256" s="375">
        <v>263</v>
      </c>
      <c r="C1256" s="376" t="str">
        <f t="shared" si="28"/>
        <v>28.263</v>
      </c>
      <c r="D1256" s="380"/>
      <c r="E1256" s="381" t="str">
        <f>IF(ISBLANK(D1256)=TRUE,"",VLOOKUP(D1256,Krav!$C:$F,4,FALSE))</f>
        <v/>
      </c>
      <c r="F1256" s="382" t="s">
        <v>226</v>
      </c>
      <c r="G1256" s="383" t="s">
        <v>308</v>
      </c>
      <c r="H1256" s="379" t="s">
        <v>2374</v>
      </c>
      <c r="I1256" s="384" t="s">
        <v>241</v>
      </c>
      <c r="J1256" s="384" t="s">
        <v>222</v>
      </c>
      <c r="K1256" s="384" t="s">
        <v>222</v>
      </c>
      <c r="L1256" s="385" t="s">
        <v>3</v>
      </c>
      <c r="M1256" s="377" t="s">
        <v>129</v>
      </c>
      <c r="N1256" s="377" t="s">
        <v>131</v>
      </c>
      <c r="O1256" s="377" t="s">
        <v>96</v>
      </c>
      <c r="P1256" s="377" t="s">
        <v>376</v>
      </c>
      <c r="Q1256" s="377" t="s">
        <v>129</v>
      </c>
      <c r="R1256" s="377" t="s">
        <v>131</v>
      </c>
      <c r="S1256" s="377" t="s">
        <v>131</v>
      </c>
      <c r="T1256" s="377"/>
      <c r="U1256" s="379" t="s">
        <v>1291</v>
      </c>
      <c r="V1256" s="377"/>
      <c r="W1256" s="377"/>
      <c r="X1256" s="377"/>
      <c r="Y1256" s="377"/>
      <c r="Z1256" s="377"/>
      <c r="AA1256" s="377"/>
      <c r="AB1256" s="377"/>
      <c r="AC1256" s="377"/>
      <c r="AD1256" s="378" t="s">
        <v>5</v>
      </c>
      <c r="AE1256" s="386"/>
      <c r="AF1256" s="386"/>
      <c r="AG1256" s="386"/>
      <c r="AH1256" s="386"/>
      <c r="AI1256" s="386"/>
      <c r="AJ1256" s="386"/>
      <c r="AK1256" s="386"/>
      <c r="AL1256" s="386"/>
    </row>
    <row r="1257" spans="1:38" s="387" customFormat="1" ht="33" customHeight="1" x14ac:dyDescent="0.3">
      <c r="A1257" s="374">
        <v>28</v>
      </c>
      <c r="B1257" s="375">
        <v>264</v>
      </c>
      <c r="C1257" s="376" t="str">
        <f t="shared" si="28"/>
        <v>28.264</v>
      </c>
      <c r="D1257" s="380"/>
      <c r="E1257" s="381" t="str">
        <f>IF(ISBLANK(D1257)=TRUE,"",VLOOKUP(D1257,Krav!$C:$F,4,FALSE))</f>
        <v/>
      </c>
      <c r="F1257" s="382" t="s">
        <v>226</v>
      </c>
      <c r="G1257" s="383" t="s">
        <v>308</v>
      </c>
      <c r="H1257" s="379" t="s">
        <v>2375</v>
      </c>
      <c r="I1257" s="384" t="s">
        <v>241</v>
      </c>
      <c r="J1257" s="384" t="s">
        <v>222</v>
      </c>
      <c r="K1257" s="384" t="s">
        <v>222</v>
      </c>
      <c r="L1257" s="385" t="s">
        <v>3</v>
      </c>
      <c r="M1257" s="377" t="s">
        <v>129</v>
      </c>
      <c r="N1257" s="377" t="s">
        <v>131</v>
      </c>
      <c r="O1257" s="377" t="s">
        <v>96</v>
      </c>
      <c r="P1257" s="377" t="s">
        <v>376</v>
      </c>
      <c r="Q1257" s="377" t="s">
        <v>129</v>
      </c>
      <c r="R1257" s="377" t="s">
        <v>131</v>
      </c>
      <c r="S1257" s="377" t="s">
        <v>131</v>
      </c>
      <c r="T1257" s="377"/>
      <c r="U1257" s="379" t="s">
        <v>1292</v>
      </c>
      <c r="V1257" s="377"/>
      <c r="W1257" s="377"/>
      <c r="X1257" s="377"/>
      <c r="Y1257" s="377"/>
      <c r="Z1257" s="377"/>
      <c r="AA1257" s="377"/>
      <c r="AB1257" s="377"/>
      <c r="AC1257" s="377"/>
      <c r="AD1257" s="378" t="s">
        <v>5</v>
      </c>
      <c r="AE1257" s="386"/>
      <c r="AF1257" s="386"/>
      <c r="AG1257" s="386"/>
      <c r="AH1257" s="386"/>
      <c r="AI1257" s="386"/>
      <c r="AJ1257" s="386"/>
      <c r="AK1257" s="386"/>
      <c r="AL1257" s="386"/>
    </row>
    <row r="1258" spans="1:38" s="387" customFormat="1" ht="33" customHeight="1" x14ac:dyDescent="0.3">
      <c r="A1258" s="374">
        <v>28</v>
      </c>
      <c r="B1258" s="375">
        <v>265</v>
      </c>
      <c r="C1258" s="376" t="str">
        <f t="shared" si="28"/>
        <v>28.265</v>
      </c>
      <c r="D1258" s="380"/>
      <c r="E1258" s="381" t="str">
        <f>IF(ISBLANK(D1258)=TRUE,"",VLOOKUP(D1258,Krav!$C:$F,4,FALSE))</f>
        <v/>
      </c>
      <c r="F1258" s="382" t="s">
        <v>226</v>
      </c>
      <c r="G1258" s="383" t="s">
        <v>308</v>
      </c>
      <c r="H1258" s="379" t="s">
        <v>2371</v>
      </c>
      <c r="I1258" s="384" t="s">
        <v>241</v>
      </c>
      <c r="J1258" s="384" t="s">
        <v>222</v>
      </c>
      <c r="K1258" s="384" t="s">
        <v>222</v>
      </c>
      <c r="L1258" s="385" t="s">
        <v>3</v>
      </c>
      <c r="M1258" s="377" t="s">
        <v>129</v>
      </c>
      <c r="N1258" s="377" t="s">
        <v>131</v>
      </c>
      <c r="O1258" s="377" t="s">
        <v>376</v>
      </c>
      <c r="P1258" s="377" t="s">
        <v>96</v>
      </c>
      <c r="Q1258" s="377" t="s">
        <v>131</v>
      </c>
      <c r="R1258" s="377" t="s">
        <v>129</v>
      </c>
      <c r="S1258" s="377" t="s">
        <v>131</v>
      </c>
      <c r="T1258" s="377"/>
      <c r="U1258" s="379" t="s">
        <v>1288</v>
      </c>
      <c r="V1258" s="377"/>
      <c r="W1258" s="377"/>
      <c r="X1258" s="377"/>
      <c r="Y1258" s="377"/>
      <c r="Z1258" s="377"/>
      <c r="AA1258" s="377"/>
      <c r="AB1258" s="377"/>
      <c r="AC1258" s="377"/>
      <c r="AD1258" s="378" t="s">
        <v>5</v>
      </c>
      <c r="AE1258" s="386"/>
      <c r="AF1258" s="386"/>
      <c r="AG1258" s="386"/>
      <c r="AH1258" s="386"/>
      <c r="AI1258" s="386"/>
      <c r="AJ1258" s="386"/>
      <c r="AK1258" s="386"/>
      <c r="AL1258" s="386"/>
    </row>
    <row r="1259" spans="1:38" s="387" customFormat="1" ht="33" customHeight="1" x14ac:dyDescent="0.3">
      <c r="A1259" s="374">
        <v>28</v>
      </c>
      <c r="B1259" s="375">
        <v>266</v>
      </c>
      <c r="C1259" s="376" t="str">
        <f t="shared" si="28"/>
        <v>28.266</v>
      </c>
      <c r="D1259" s="380"/>
      <c r="E1259" s="381" t="str">
        <f>IF(ISBLANK(D1259)=TRUE,"",VLOOKUP(D1259,Krav!$C:$F,4,FALSE))</f>
        <v/>
      </c>
      <c r="F1259" s="382" t="s">
        <v>226</v>
      </c>
      <c r="G1259" s="383" t="s">
        <v>308</v>
      </c>
      <c r="H1259" s="379" t="s">
        <v>2372</v>
      </c>
      <c r="I1259" s="384" t="s">
        <v>241</v>
      </c>
      <c r="J1259" s="384" t="s">
        <v>222</v>
      </c>
      <c r="K1259" s="384" t="s">
        <v>222</v>
      </c>
      <c r="L1259" s="385" t="s">
        <v>3</v>
      </c>
      <c r="M1259" s="377" t="s">
        <v>129</v>
      </c>
      <c r="N1259" s="377" t="s">
        <v>131</v>
      </c>
      <c r="O1259" s="377" t="s">
        <v>376</v>
      </c>
      <c r="P1259" s="377" t="s">
        <v>96</v>
      </c>
      <c r="Q1259" s="377" t="s">
        <v>131</v>
      </c>
      <c r="R1259" s="377" t="s">
        <v>129</v>
      </c>
      <c r="S1259" s="377" t="s">
        <v>131</v>
      </c>
      <c r="T1259" s="377"/>
      <c r="U1259" s="379" t="s">
        <v>1289</v>
      </c>
      <c r="V1259" s="377"/>
      <c r="W1259" s="377"/>
      <c r="X1259" s="377"/>
      <c r="Y1259" s="377"/>
      <c r="Z1259" s="377"/>
      <c r="AA1259" s="377"/>
      <c r="AB1259" s="377"/>
      <c r="AC1259" s="377"/>
      <c r="AD1259" s="378" t="s">
        <v>5</v>
      </c>
      <c r="AE1259" s="386"/>
      <c r="AF1259" s="386"/>
      <c r="AG1259" s="386"/>
      <c r="AH1259" s="386"/>
      <c r="AI1259" s="386"/>
      <c r="AJ1259" s="386"/>
      <c r="AK1259" s="386"/>
      <c r="AL1259" s="386"/>
    </row>
    <row r="1260" spans="1:38" s="387" customFormat="1" ht="33" customHeight="1" x14ac:dyDescent="0.3">
      <c r="A1260" s="374">
        <v>28</v>
      </c>
      <c r="B1260" s="375">
        <v>267</v>
      </c>
      <c r="C1260" s="376" t="str">
        <f t="shared" si="28"/>
        <v>28.267</v>
      </c>
      <c r="D1260" s="380"/>
      <c r="E1260" s="381" t="str">
        <f>IF(ISBLANK(D1260)=TRUE,"",VLOOKUP(D1260,Krav!$C:$F,4,FALSE))</f>
        <v/>
      </c>
      <c r="F1260" s="382" t="s">
        <v>226</v>
      </c>
      <c r="G1260" s="383" t="s">
        <v>308</v>
      </c>
      <c r="H1260" s="379" t="s">
        <v>2373</v>
      </c>
      <c r="I1260" s="384" t="s">
        <v>241</v>
      </c>
      <c r="J1260" s="384" t="s">
        <v>222</v>
      </c>
      <c r="K1260" s="384" t="s">
        <v>222</v>
      </c>
      <c r="L1260" s="385" t="s">
        <v>3</v>
      </c>
      <c r="M1260" s="377" t="s">
        <v>129</v>
      </c>
      <c r="N1260" s="377" t="s">
        <v>131</v>
      </c>
      <c r="O1260" s="377" t="s">
        <v>376</v>
      </c>
      <c r="P1260" s="377" t="s">
        <v>96</v>
      </c>
      <c r="Q1260" s="377" t="s">
        <v>131</v>
      </c>
      <c r="R1260" s="377" t="s">
        <v>129</v>
      </c>
      <c r="S1260" s="377" t="s">
        <v>131</v>
      </c>
      <c r="T1260" s="377"/>
      <c r="U1260" s="379" t="s">
        <v>1290</v>
      </c>
      <c r="V1260" s="377"/>
      <c r="W1260" s="377"/>
      <c r="X1260" s="377"/>
      <c r="Y1260" s="377"/>
      <c r="Z1260" s="377"/>
      <c r="AA1260" s="377"/>
      <c r="AB1260" s="377"/>
      <c r="AC1260" s="377"/>
      <c r="AD1260" s="378" t="s">
        <v>5</v>
      </c>
      <c r="AE1260" s="386"/>
      <c r="AF1260" s="386"/>
      <c r="AG1260" s="386"/>
      <c r="AH1260" s="386"/>
      <c r="AI1260" s="386"/>
      <c r="AJ1260" s="386"/>
      <c r="AK1260" s="386"/>
      <c r="AL1260" s="386"/>
    </row>
    <row r="1261" spans="1:38" s="387" customFormat="1" ht="33" customHeight="1" x14ac:dyDescent="0.3">
      <c r="A1261" s="374">
        <v>28</v>
      </c>
      <c r="B1261" s="375">
        <v>268</v>
      </c>
      <c r="C1261" s="376" t="str">
        <f t="shared" si="28"/>
        <v>28.268</v>
      </c>
      <c r="D1261" s="380"/>
      <c r="E1261" s="381" t="str">
        <f>IF(ISBLANK(D1261)=TRUE,"",VLOOKUP(D1261,Krav!$C:$F,4,FALSE))</f>
        <v/>
      </c>
      <c r="F1261" s="382" t="s">
        <v>226</v>
      </c>
      <c r="G1261" s="383" t="s">
        <v>308</v>
      </c>
      <c r="H1261" s="379" t="s">
        <v>2374</v>
      </c>
      <c r="I1261" s="384" t="s">
        <v>241</v>
      </c>
      <c r="J1261" s="384" t="s">
        <v>222</v>
      </c>
      <c r="K1261" s="384" t="s">
        <v>222</v>
      </c>
      <c r="L1261" s="385" t="s">
        <v>3</v>
      </c>
      <c r="M1261" s="377" t="s">
        <v>129</v>
      </c>
      <c r="N1261" s="377" t="s">
        <v>131</v>
      </c>
      <c r="O1261" s="377" t="s">
        <v>376</v>
      </c>
      <c r="P1261" s="377" t="s">
        <v>96</v>
      </c>
      <c r="Q1261" s="377" t="s">
        <v>131</v>
      </c>
      <c r="R1261" s="377" t="s">
        <v>129</v>
      </c>
      <c r="S1261" s="377" t="s">
        <v>131</v>
      </c>
      <c r="T1261" s="377"/>
      <c r="U1261" s="379" t="s">
        <v>1291</v>
      </c>
      <c r="V1261" s="377"/>
      <c r="W1261" s="377"/>
      <c r="X1261" s="377"/>
      <c r="Y1261" s="377"/>
      <c r="Z1261" s="377"/>
      <c r="AA1261" s="377"/>
      <c r="AB1261" s="377"/>
      <c r="AC1261" s="377"/>
      <c r="AD1261" s="378" t="s">
        <v>5</v>
      </c>
      <c r="AE1261" s="386"/>
      <c r="AF1261" s="386"/>
      <c r="AG1261" s="386"/>
      <c r="AH1261" s="386"/>
      <c r="AI1261" s="386"/>
      <c r="AJ1261" s="386"/>
      <c r="AK1261" s="386"/>
      <c r="AL1261" s="386"/>
    </row>
    <row r="1262" spans="1:38" s="387" customFormat="1" ht="33" customHeight="1" x14ac:dyDescent="0.3">
      <c r="A1262" s="374">
        <v>28</v>
      </c>
      <c r="B1262" s="375">
        <v>269</v>
      </c>
      <c r="C1262" s="376" t="str">
        <f t="shared" si="28"/>
        <v>28.269</v>
      </c>
      <c r="D1262" s="380"/>
      <c r="E1262" s="381" t="str">
        <f>IF(ISBLANK(D1262)=TRUE,"",VLOOKUP(D1262,Krav!$C:$F,4,FALSE))</f>
        <v/>
      </c>
      <c r="F1262" s="382" t="s">
        <v>226</v>
      </c>
      <c r="G1262" s="383" t="s">
        <v>308</v>
      </c>
      <c r="H1262" s="379" t="s">
        <v>2375</v>
      </c>
      <c r="I1262" s="384" t="s">
        <v>241</v>
      </c>
      <c r="J1262" s="384" t="s">
        <v>222</v>
      </c>
      <c r="K1262" s="384" t="s">
        <v>222</v>
      </c>
      <c r="L1262" s="385" t="s">
        <v>3</v>
      </c>
      <c r="M1262" s="377" t="s">
        <v>129</v>
      </c>
      <c r="N1262" s="377" t="s">
        <v>131</v>
      </c>
      <c r="O1262" s="377" t="s">
        <v>376</v>
      </c>
      <c r="P1262" s="377" t="s">
        <v>96</v>
      </c>
      <c r="Q1262" s="377" t="s">
        <v>131</v>
      </c>
      <c r="R1262" s="377" t="s">
        <v>129</v>
      </c>
      <c r="S1262" s="377" t="s">
        <v>131</v>
      </c>
      <c r="T1262" s="377"/>
      <c r="U1262" s="379" t="s">
        <v>1292</v>
      </c>
      <c r="V1262" s="377"/>
      <c r="W1262" s="377"/>
      <c r="X1262" s="377"/>
      <c r="Y1262" s="377"/>
      <c r="Z1262" s="377"/>
      <c r="AA1262" s="377"/>
      <c r="AB1262" s="377"/>
      <c r="AC1262" s="377"/>
      <c r="AD1262" s="378" t="s">
        <v>5</v>
      </c>
      <c r="AE1262" s="386"/>
      <c r="AF1262" s="386"/>
      <c r="AG1262" s="386"/>
      <c r="AH1262" s="386"/>
      <c r="AI1262" s="386"/>
      <c r="AJ1262" s="386"/>
      <c r="AK1262" s="386"/>
      <c r="AL1262" s="386"/>
    </row>
    <row r="1263" spans="1:38" s="387" customFormat="1" ht="33" customHeight="1" x14ac:dyDescent="0.3">
      <c r="A1263" s="374">
        <v>28</v>
      </c>
      <c r="B1263" s="375">
        <v>270</v>
      </c>
      <c r="C1263" s="376" t="str">
        <f t="shared" si="28"/>
        <v>28.270</v>
      </c>
      <c r="D1263" s="380"/>
      <c r="E1263" s="381" t="str">
        <f>IF(ISBLANK(D1263)=TRUE,"",VLOOKUP(D1263,Krav!$C:$F,4,FALSE))</f>
        <v/>
      </c>
      <c r="F1263" s="382" t="s">
        <v>226</v>
      </c>
      <c r="G1263" s="383" t="s">
        <v>308</v>
      </c>
      <c r="H1263" s="379" t="s">
        <v>2371</v>
      </c>
      <c r="I1263" s="384" t="s">
        <v>241</v>
      </c>
      <c r="J1263" s="384" t="s">
        <v>222</v>
      </c>
      <c r="K1263" s="384" t="s">
        <v>222</v>
      </c>
      <c r="L1263" s="385" t="s">
        <v>3</v>
      </c>
      <c r="M1263" s="377" t="s">
        <v>131</v>
      </c>
      <c r="N1263" s="377" t="s">
        <v>129</v>
      </c>
      <c r="O1263" s="377" t="s">
        <v>96</v>
      </c>
      <c r="P1263" s="377" t="s">
        <v>376</v>
      </c>
      <c r="Q1263" s="377" t="s">
        <v>129</v>
      </c>
      <c r="R1263" s="377" t="s">
        <v>131</v>
      </c>
      <c r="S1263" s="377" t="s">
        <v>131</v>
      </c>
      <c r="T1263" s="377"/>
      <c r="U1263" s="379" t="s">
        <v>1288</v>
      </c>
      <c r="V1263" s="377"/>
      <c r="W1263" s="377"/>
      <c r="X1263" s="377"/>
      <c r="Y1263" s="377"/>
      <c r="Z1263" s="377"/>
      <c r="AA1263" s="377"/>
      <c r="AB1263" s="377"/>
      <c r="AC1263" s="377"/>
      <c r="AD1263" s="378" t="s">
        <v>5</v>
      </c>
      <c r="AE1263" s="386"/>
      <c r="AF1263" s="386"/>
      <c r="AG1263" s="386"/>
      <c r="AH1263" s="386"/>
      <c r="AI1263" s="386"/>
      <c r="AJ1263" s="386"/>
      <c r="AK1263" s="386"/>
      <c r="AL1263" s="386"/>
    </row>
    <row r="1264" spans="1:38" s="387" customFormat="1" ht="33" customHeight="1" x14ac:dyDescent="0.3">
      <c r="A1264" s="374">
        <v>28</v>
      </c>
      <c r="B1264" s="375">
        <v>271</v>
      </c>
      <c r="C1264" s="376" t="str">
        <f t="shared" si="28"/>
        <v>28.271</v>
      </c>
      <c r="D1264" s="380"/>
      <c r="E1264" s="381" t="str">
        <f>IF(ISBLANK(D1264)=TRUE,"",VLOOKUP(D1264,Krav!$C:$F,4,FALSE))</f>
        <v/>
      </c>
      <c r="F1264" s="382" t="s">
        <v>226</v>
      </c>
      <c r="G1264" s="383" t="s">
        <v>308</v>
      </c>
      <c r="H1264" s="379" t="s">
        <v>2372</v>
      </c>
      <c r="I1264" s="384" t="s">
        <v>241</v>
      </c>
      <c r="J1264" s="384" t="s">
        <v>222</v>
      </c>
      <c r="K1264" s="384" t="s">
        <v>222</v>
      </c>
      <c r="L1264" s="385" t="s">
        <v>3</v>
      </c>
      <c r="M1264" s="377" t="s">
        <v>131</v>
      </c>
      <c r="N1264" s="377" t="s">
        <v>129</v>
      </c>
      <c r="O1264" s="377" t="s">
        <v>96</v>
      </c>
      <c r="P1264" s="377" t="s">
        <v>376</v>
      </c>
      <c r="Q1264" s="377" t="s">
        <v>129</v>
      </c>
      <c r="R1264" s="377" t="s">
        <v>131</v>
      </c>
      <c r="S1264" s="377" t="s">
        <v>131</v>
      </c>
      <c r="T1264" s="377"/>
      <c r="U1264" s="379" t="s">
        <v>1289</v>
      </c>
      <c r="V1264" s="377"/>
      <c r="W1264" s="377"/>
      <c r="X1264" s="377"/>
      <c r="Y1264" s="377"/>
      <c r="Z1264" s="377"/>
      <c r="AA1264" s="377"/>
      <c r="AB1264" s="377"/>
      <c r="AC1264" s="377"/>
      <c r="AD1264" s="378" t="s">
        <v>5</v>
      </c>
      <c r="AE1264" s="386"/>
      <c r="AF1264" s="386"/>
      <c r="AG1264" s="386"/>
      <c r="AH1264" s="386"/>
      <c r="AI1264" s="386"/>
      <c r="AJ1264" s="386"/>
      <c r="AK1264" s="386"/>
      <c r="AL1264" s="386"/>
    </row>
    <row r="1265" spans="1:38" s="387" customFormat="1" ht="33" customHeight="1" x14ac:dyDescent="0.3">
      <c r="A1265" s="374">
        <v>28</v>
      </c>
      <c r="B1265" s="375">
        <v>272</v>
      </c>
      <c r="C1265" s="376" t="str">
        <f t="shared" si="28"/>
        <v>28.272</v>
      </c>
      <c r="D1265" s="380"/>
      <c r="E1265" s="381" t="str">
        <f>IF(ISBLANK(D1265)=TRUE,"",VLOOKUP(D1265,Krav!$C:$F,4,FALSE))</f>
        <v/>
      </c>
      <c r="F1265" s="382" t="s">
        <v>226</v>
      </c>
      <c r="G1265" s="383" t="s">
        <v>308</v>
      </c>
      <c r="H1265" s="379" t="s">
        <v>2373</v>
      </c>
      <c r="I1265" s="384" t="s">
        <v>241</v>
      </c>
      <c r="J1265" s="384" t="s">
        <v>222</v>
      </c>
      <c r="K1265" s="384" t="s">
        <v>222</v>
      </c>
      <c r="L1265" s="385" t="s">
        <v>3</v>
      </c>
      <c r="M1265" s="377" t="s">
        <v>131</v>
      </c>
      <c r="N1265" s="377" t="s">
        <v>129</v>
      </c>
      <c r="O1265" s="377" t="s">
        <v>96</v>
      </c>
      <c r="P1265" s="377" t="s">
        <v>376</v>
      </c>
      <c r="Q1265" s="377" t="s">
        <v>129</v>
      </c>
      <c r="R1265" s="377" t="s">
        <v>131</v>
      </c>
      <c r="S1265" s="377" t="s">
        <v>131</v>
      </c>
      <c r="T1265" s="377"/>
      <c r="U1265" s="379" t="s">
        <v>1290</v>
      </c>
      <c r="V1265" s="377"/>
      <c r="W1265" s="377"/>
      <c r="X1265" s="377"/>
      <c r="Y1265" s="377"/>
      <c r="Z1265" s="377"/>
      <c r="AA1265" s="377"/>
      <c r="AB1265" s="377"/>
      <c r="AC1265" s="377"/>
      <c r="AD1265" s="378" t="s">
        <v>5</v>
      </c>
      <c r="AE1265" s="386"/>
      <c r="AF1265" s="386"/>
      <c r="AG1265" s="386"/>
      <c r="AH1265" s="386"/>
      <c r="AI1265" s="386"/>
      <c r="AJ1265" s="386"/>
      <c r="AK1265" s="386"/>
      <c r="AL1265" s="386"/>
    </row>
    <row r="1266" spans="1:38" s="387" customFormat="1" ht="33" customHeight="1" x14ac:dyDescent="0.3">
      <c r="A1266" s="374">
        <v>28</v>
      </c>
      <c r="B1266" s="375">
        <v>273</v>
      </c>
      <c r="C1266" s="376" t="str">
        <f t="shared" si="28"/>
        <v>28.273</v>
      </c>
      <c r="D1266" s="380"/>
      <c r="E1266" s="381" t="str">
        <f>IF(ISBLANK(D1266)=TRUE,"",VLOOKUP(D1266,Krav!$C:$F,4,FALSE))</f>
        <v/>
      </c>
      <c r="F1266" s="382" t="s">
        <v>226</v>
      </c>
      <c r="G1266" s="383" t="s">
        <v>308</v>
      </c>
      <c r="H1266" s="379" t="s">
        <v>2374</v>
      </c>
      <c r="I1266" s="384" t="s">
        <v>241</v>
      </c>
      <c r="J1266" s="384" t="s">
        <v>222</v>
      </c>
      <c r="K1266" s="384" t="s">
        <v>222</v>
      </c>
      <c r="L1266" s="385" t="s">
        <v>3</v>
      </c>
      <c r="M1266" s="377" t="s">
        <v>131</v>
      </c>
      <c r="N1266" s="377" t="s">
        <v>129</v>
      </c>
      <c r="O1266" s="377" t="s">
        <v>96</v>
      </c>
      <c r="P1266" s="377" t="s">
        <v>376</v>
      </c>
      <c r="Q1266" s="377" t="s">
        <v>129</v>
      </c>
      <c r="R1266" s="377" t="s">
        <v>131</v>
      </c>
      <c r="S1266" s="377" t="s">
        <v>131</v>
      </c>
      <c r="T1266" s="377"/>
      <c r="U1266" s="379" t="s">
        <v>1291</v>
      </c>
      <c r="V1266" s="377"/>
      <c r="W1266" s="377"/>
      <c r="X1266" s="377"/>
      <c r="Y1266" s="377"/>
      <c r="Z1266" s="377"/>
      <c r="AA1266" s="377"/>
      <c r="AB1266" s="377"/>
      <c r="AC1266" s="377"/>
      <c r="AD1266" s="378" t="s">
        <v>5</v>
      </c>
      <c r="AE1266" s="386"/>
      <c r="AF1266" s="386"/>
      <c r="AG1266" s="386"/>
      <c r="AH1266" s="386"/>
      <c r="AI1266" s="386"/>
      <c r="AJ1266" s="386"/>
      <c r="AK1266" s="386"/>
      <c r="AL1266" s="386"/>
    </row>
    <row r="1267" spans="1:38" s="387" customFormat="1" ht="33" customHeight="1" x14ac:dyDescent="0.3">
      <c r="A1267" s="374">
        <v>28</v>
      </c>
      <c r="B1267" s="375">
        <v>274</v>
      </c>
      <c r="C1267" s="376" t="str">
        <f t="shared" si="28"/>
        <v>28.274</v>
      </c>
      <c r="D1267" s="380"/>
      <c r="E1267" s="381" t="str">
        <f>IF(ISBLANK(D1267)=TRUE,"",VLOOKUP(D1267,Krav!$C:$F,4,FALSE))</f>
        <v/>
      </c>
      <c r="F1267" s="382" t="s">
        <v>226</v>
      </c>
      <c r="G1267" s="383" t="s">
        <v>308</v>
      </c>
      <c r="H1267" s="379" t="s">
        <v>2375</v>
      </c>
      <c r="I1267" s="384" t="s">
        <v>241</v>
      </c>
      <c r="J1267" s="384" t="s">
        <v>222</v>
      </c>
      <c r="K1267" s="384" t="s">
        <v>222</v>
      </c>
      <c r="L1267" s="385" t="s">
        <v>3</v>
      </c>
      <c r="M1267" s="377" t="s">
        <v>131</v>
      </c>
      <c r="N1267" s="377" t="s">
        <v>129</v>
      </c>
      <c r="O1267" s="377" t="s">
        <v>96</v>
      </c>
      <c r="P1267" s="377" t="s">
        <v>376</v>
      </c>
      <c r="Q1267" s="377" t="s">
        <v>129</v>
      </c>
      <c r="R1267" s="377" t="s">
        <v>131</v>
      </c>
      <c r="S1267" s="377" t="s">
        <v>131</v>
      </c>
      <c r="T1267" s="377"/>
      <c r="U1267" s="379" t="s">
        <v>1292</v>
      </c>
      <c r="V1267" s="377"/>
      <c r="W1267" s="377"/>
      <c r="X1267" s="377"/>
      <c r="Y1267" s="377"/>
      <c r="Z1267" s="377"/>
      <c r="AA1267" s="377"/>
      <c r="AB1267" s="377"/>
      <c r="AC1267" s="377"/>
      <c r="AD1267" s="378" t="s">
        <v>5</v>
      </c>
      <c r="AE1267" s="386"/>
      <c r="AF1267" s="386"/>
      <c r="AG1267" s="386"/>
      <c r="AH1267" s="386"/>
      <c r="AI1267" s="386"/>
      <c r="AJ1267" s="386"/>
      <c r="AK1267" s="386"/>
      <c r="AL1267" s="386"/>
    </row>
    <row r="1268" spans="1:38" s="387" customFormat="1" ht="33" customHeight="1" x14ac:dyDescent="0.3">
      <c r="A1268" s="374">
        <v>28</v>
      </c>
      <c r="B1268" s="375">
        <v>275</v>
      </c>
      <c r="C1268" s="376" t="str">
        <f t="shared" si="28"/>
        <v>28.275</v>
      </c>
      <c r="D1268" s="380"/>
      <c r="E1268" s="381" t="str">
        <f>IF(ISBLANK(D1268)=TRUE,"",VLOOKUP(D1268,Krav!$C:$F,4,FALSE))</f>
        <v/>
      </c>
      <c r="F1268" s="382" t="s">
        <v>226</v>
      </c>
      <c r="G1268" s="383" t="s">
        <v>308</v>
      </c>
      <c r="H1268" s="379" t="s">
        <v>2371</v>
      </c>
      <c r="I1268" s="384" t="s">
        <v>241</v>
      </c>
      <c r="J1268" s="384" t="s">
        <v>222</v>
      </c>
      <c r="K1268" s="384" t="s">
        <v>222</v>
      </c>
      <c r="L1268" s="385" t="s">
        <v>3</v>
      </c>
      <c r="M1268" s="377" t="s">
        <v>131</v>
      </c>
      <c r="N1268" s="377" t="s">
        <v>129</v>
      </c>
      <c r="O1268" s="377" t="s">
        <v>376</v>
      </c>
      <c r="P1268" s="377" t="s">
        <v>96</v>
      </c>
      <c r="Q1268" s="377" t="s">
        <v>131</v>
      </c>
      <c r="R1268" s="377" t="s">
        <v>129</v>
      </c>
      <c r="S1268" s="377" t="s">
        <v>131</v>
      </c>
      <c r="T1268" s="377"/>
      <c r="U1268" s="379" t="s">
        <v>1288</v>
      </c>
      <c r="V1268" s="377"/>
      <c r="W1268" s="377"/>
      <c r="X1268" s="377"/>
      <c r="Y1268" s="377"/>
      <c r="Z1268" s="377"/>
      <c r="AA1268" s="377"/>
      <c r="AB1268" s="377"/>
      <c r="AC1268" s="377"/>
      <c r="AD1268" s="378" t="s">
        <v>5</v>
      </c>
      <c r="AE1268" s="386"/>
      <c r="AF1268" s="386"/>
      <c r="AG1268" s="386"/>
      <c r="AH1268" s="386"/>
      <c r="AI1268" s="386"/>
      <c r="AJ1268" s="386"/>
      <c r="AK1268" s="386"/>
      <c r="AL1268" s="386"/>
    </row>
    <row r="1269" spans="1:38" s="387" customFormat="1" ht="33" customHeight="1" x14ac:dyDescent="0.3">
      <c r="A1269" s="374">
        <v>28</v>
      </c>
      <c r="B1269" s="375">
        <v>276</v>
      </c>
      <c r="C1269" s="376" t="str">
        <f t="shared" si="28"/>
        <v>28.276</v>
      </c>
      <c r="D1269" s="380"/>
      <c r="E1269" s="381" t="str">
        <f>IF(ISBLANK(D1269)=TRUE,"",VLOOKUP(D1269,Krav!$C:$F,4,FALSE))</f>
        <v/>
      </c>
      <c r="F1269" s="382" t="s">
        <v>226</v>
      </c>
      <c r="G1269" s="383" t="s">
        <v>308</v>
      </c>
      <c r="H1269" s="379" t="s">
        <v>2372</v>
      </c>
      <c r="I1269" s="384" t="s">
        <v>241</v>
      </c>
      <c r="J1269" s="384" t="s">
        <v>222</v>
      </c>
      <c r="K1269" s="384" t="s">
        <v>222</v>
      </c>
      <c r="L1269" s="385" t="s">
        <v>3</v>
      </c>
      <c r="M1269" s="377" t="s">
        <v>131</v>
      </c>
      <c r="N1269" s="377" t="s">
        <v>129</v>
      </c>
      <c r="O1269" s="377" t="s">
        <v>376</v>
      </c>
      <c r="P1269" s="377" t="s">
        <v>96</v>
      </c>
      <c r="Q1269" s="377" t="s">
        <v>131</v>
      </c>
      <c r="R1269" s="377" t="s">
        <v>129</v>
      </c>
      <c r="S1269" s="377" t="s">
        <v>131</v>
      </c>
      <c r="T1269" s="377"/>
      <c r="U1269" s="379" t="s">
        <v>1289</v>
      </c>
      <c r="V1269" s="377"/>
      <c r="W1269" s="377"/>
      <c r="X1269" s="377"/>
      <c r="Y1269" s="377"/>
      <c r="Z1269" s="377"/>
      <c r="AA1269" s="377"/>
      <c r="AB1269" s="377"/>
      <c r="AC1269" s="377"/>
      <c r="AD1269" s="378" t="s">
        <v>5</v>
      </c>
      <c r="AE1269" s="386"/>
      <c r="AF1269" s="386"/>
      <c r="AG1269" s="386"/>
      <c r="AH1269" s="386"/>
      <c r="AI1269" s="386"/>
      <c r="AJ1269" s="386"/>
      <c r="AK1269" s="386"/>
      <c r="AL1269" s="386"/>
    </row>
    <row r="1270" spans="1:38" s="387" customFormat="1" ht="33" customHeight="1" x14ac:dyDescent="0.3">
      <c r="A1270" s="374">
        <v>28</v>
      </c>
      <c r="B1270" s="375">
        <v>277</v>
      </c>
      <c r="C1270" s="376" t="str">
        <f t="shared" si="28"/>
        <v>28.277</v>
      </c>
      <c r="D1270" s="380"/>
      <c r="E1270" s="381" t="str">
        <f>IF(ISBLANK(D1270)=TRUE,"",VLOOKUP(D1270,Krav!$C:$F,4,FALSE))</f>
        <v/>
      </c>
      <c r="F1270" s="382" t="s">
        <v>226</v>
      </c>
      <c r="G1270" s="383" t="s">
        <v>308</v>
      </c>
      <c r="H1270" s="379" t="s">
        <v>2373</v>
      </c>
      <c r="I1270" s="384" t="s">
        <v>241</v>
      </c>
      <c r="J1270" s="384" t="s">
        <v>222</v>
      </c>
      <c r="K1270" s="384" t="s">
        <v>222</v>
      </c>
      <c r="L1270" s="385" t="s">
        <v>3</v>
      </c>
      <c r="M1270" s="377" t="s">
        <v>131</v>
      </c>
      <c r="N1270" s="377" t="s">
        <v>129</v>
      </c>
      <c r="O1270" s="377" t="s">
        <v>376</v>
      </c>
      <c r="P1270" s="377" t="s">
        <v>96</v>
      </c>
      <c r="Q1270" s="377" t="s">
        <v>131</v>
      </c>
      <c r="R1270" s="377" t="s">
        <v>129</v>
      </c>
      <c r="S1270" s="377" t="s">
        <v>131</v>
      </c>
      <c r="T1270" s="377"/>
      <c r="U1270" s="379" t="s">
        <v>1290</v>
      </c>
      <c r="V1270" s="377"/>
      <c r="W1270" s="377"/>
      <c r="X1270" s="377"/>
      <c r="Y1270" s="377"/>
      <c r="Z1270" s="377"/>
      <c r="AA1270" s="377"/>
      <c r="AB1270" s="377"/>
      <c r="AC1270" s="377"/>
      <c r="AD1270" s="378" t="s">
        <v>5</v>
      </c>
      <c r="AE1270" s="386"/>
      <c r="AF1270" s="386"/>
      <c r="AG1270" s="386"/>
      <c r="AH1270" s="386"/>
      <c r="AI1270" s="386"/>
      <c r="AJ1270" s="386"/>
      <c r="AK1270" s="386"/>
      <c r="AL1270" s="386"/>
    </row>
    <row r="1271" spans="1:38" s="387" customFormat="1" ht="33" customHeight="1" x14ac:dyDescent="0.3">
      <c r="A1271" s="374">
        <v>28</v>
      </c>
      <c r="B1271" s="375">
        <v>278</v>
      </c>
      <c r="C1271" s="376" t="str">
        <f t="shared" si="28"/>
        <v>28.278</v>
      </c>
      <c r="D1271" s="380"/>
      <c r="E1271" s="381" t="str">
        <f>IF(ISBLANK(D1271)=TRUE,"",VLOOKUP(D1271,Krav!$C:$F,4,FALSE))</f>
        <v/>
      </c>
      <c r="F1271" s="382" t="s">
        <v>226</v>
      </c>
      <c r="G1271" s="383" t="s">
        <v>308</v>
      </c>
      <c r="H1271" s="379" t="s">
        <v>2374</v>
      </c>
      <c r="I1271" s="384" t="s">
        <v>241</v>
      </c>
      <c r="J1271" s="384" t="s">
        <v>222</v>
      </c>
      <c r="K1271" s="384" t="s">
        <v>222</v>
      </c>
      <c r="L1271" s="385" t="s">
        <v>3</v>
      </c>
      <c r="M1271" s="377" t="s">
        <v>131</v>
      </c>
      <c r="N1271" s="377" t="s">
        <v>129</v>
      </c>
      <c r="O1271" s="377" t="s">
        <v>376</v>
      </c>
      <c r="P1271" s="377" t="s">
        <v>96</v>
      </c>
      <c r="Q1271" s="377" t="s">
        <v>131</v>
      </c>
      <c r="R1271" s="377" t="s">
        <v>129</v>
      </c>
      <c r="S1271" s="377" t="s">
        <v>131</v>
      </c>
      <c r="T1271" s="377"/>
      <c r="U1271" s="379" t="s">
        <v>1291</v>
      </c>
      <c r="V1271" s="377"/>
      <c r="W1271" s="377"/>
      <c r="X1271" s="377"/>
      <c r="Y1271" s="377"/>
      <c r="Z1271" s="377"/>
      <c r="AA1271" s="377"/>
      <c r="AB1271" s="377"/>
      <c r="AC1271" s="377"/>
      <c r="AD1271" s="378" t="s">
        <v>5</v>
      </c>
      <c r="AE1271" s="386"/>
      <c r="AF1271" s="386"/>
      <c r="AG1271" s="386"/>
      <c r="AH1271" s="386"/>
      <c r="AI1271" s="386"/>
      <c r="AJ1271" s="386"/>
      <c r="AK1271" s="386"/>
      <c r="AL1271" s="386"/>
    </row>
    <row r="1272" spans="1:38" s="387" customFormat="1" ht="33" customHeight="1" x14ac:dyDescent="0.3">
      <c r="A1272" s="374">
        <v>28</v>
      </c>
      <c r="B1272" s="375">
        <v>279</v>
      </c>
      <c r="C1272" s="376" t="str">
        <f t="shared" si="28"/>
        <v>28.279</v>
      </c>
      <c r="D1272" s="380"/>
      <c r="E1272" s="381" t="str">
        <f>IF(ISBLANK(D1272)=TRUE,"",VLOOKUP(D1272,Krav!$C:$F,4,FALSE))</f>
        <v/>
      </c>
      <c r="F1272" s="382" t="s">
        <v>226</v>
      </c>
      <c r="G1272" s="383" t="s">
        <v>308</v>
      </c>
      <c r="H1272" s="379" t="s">
        <v>2375</v>
      </c>
      <c r="I1272" s="384" t="s">
        <v>241</v>
      </c>
      <c r="J1272" s="384" t="s">
        <v>222</v>
      </c>
      <c r="K1272" s="384" t="s">
        <v>222</v>
      </c>
      <c r="L1272" s="385" t="s">
        <v>3</v>
      </c>
      <c r="M1272" s="377" t="s">
        <v>131</v>
      </c>
      <c r="N1272" s="377" t="s">
        <v>129</v>
      </c>
      <c r="O1272" s="377" t="s">
        <v>376</v>
      </c>
      <c r="P1272" s="377" t="s">
        <v>96</v>
      </c>
      <c r="Q1272" s="377" t="s">
        <v>131</v>
      </c>
      <c r="R1272" s="377" t="s">
        <v>129</v>
      </c>
      <c r="S1272" s="377" t="s">
        <v>131</v>
      </c>
      <c r="T1272" s="377"/>
      <c r="U1272" s="379" t="s">
        <v>1292</v>
      </c>
      <c r="V1272" s="377"/>
      <c r="W1272" s="377"/>
      <c r="X1272" s="377"/>
      <c r="Y1272" s="377"/>
      <c r="Z1272" s="377"/>
      <c r="AA1272" s="377"/>
      <c r="AB1272" s="377"/>
      <c r="AC1272" s="377"/>
      <c r="AD1272" s="378" t="s">
        <v>5</v>
      </c>
      <c r="AE1272" s="386"/>
      <c r="AF1272" s="386"/>
      <c r="AG1272" s="386"/>
      <c r="AH1272" s="386"/>
      <c r="AI1272" s="386"/>
      <c r="AJ1272" s="386"/>
      <c r="AK1272" s="386"/>
      <c r="AL1272" s="386"/>
    </row>
    <row r="1273" spans="1:38" s="57" customFormat="1" ht="14.4" x14ac:dyDescent="0.3"/>
    <row r="1274" spans="1:38" s="57" customFormat="1" ht="14.4" x14ac:dyDescent="0.3"/>
    <row r="1275" spans="1:38" s="57" customFormat="1" ht="14.4" x14ac:dyDescent="0.3"/>
    <row r="1276" spans="1:38" s="57" customFormat="1" ht="14.4" x14ac:dyDescent="0.3">
      <c r="N1276" s="57" t="s">
        <v>2376</v>
      </c>
    </row>
    <row r="1277" spans="1:38" s="57" customFormat="1" ht="14.4" x14ac:dyDescent="0.3"/>
    <row r="1278" spans="1:38" s="57" customFormat="1" ht="14.4" x14ac:dyDescent="0.3"/>
    <row r="1279" spans="1:38" s="57" customFormat="1" ht="14.4" x14ac:dyDescent="0.3"/>
    <row r="1280" spans="1:38" s="57" customFormat="1" ht="14.4" x14ac:dyDescent="0.3"/>
    <row r="1281" spans="1:30" s="1" customFormat="1" ht="15" customHeight="1" x14ac:dyDescent="0.3">
      <c r="A1281" s="50" t="s">
        <v>6</v>
      </c>
      <c r="B1281" s="51" t="s">
        <v>7</v>
      </c>
      <c r="C1281" s="31" t="s">
        <v>0</v>
      </c>
      <c r="D1281" s="31" t="s">
        <v>22</v>
      </c>
      <c r="E1281" s="52" t="s">
        <v>99</v>
      </c>
      <c r="F1281" s="52" t="s">
        <v>216</v>
      </c>
      <c r="G1281" s="31" t="s">
        <v>217</v>
      </c>
      <c r="H1281" s="52" t="s">
        <v>28</v>
      </c>
      <c r="I1281" s="31" t="s">
        <v>218</v>
      </c>
      <c r="J1281" s="31" t="s">
        <v>219</v>
      </c>
      <c r="K1281" s="31" t="s">
        <v>220</v>
      </c>
      <c r="L1281" s="31" t="s">
        <v>1</v>
      </c>
      <c r="M1281" s="62" t="s">
        <v>230</v>
      </c>
      <c r="N1281" s="62" t="s">
        <v>231</v>
      </c>
      <c r="O1281" s="62" t="s">
        <v>1388</v>
      </c>
      <c r="P1281" s="62" t="s">
        <v>1389</v>
      </c>
      <c r="Q1281" s="62" t="s">
        <v>1390</v>
      </c>
      <c r="R1281" s="62" t="s">
        <v>1391</v>
      </c>
      <c r="S1281" s="62" t="s">
        <v>1392</v>
      </c>
      <c r="T1281" s="62" t="s">
        <v>361</v>
      </c>
      <c r="U1281" s="62" t="s">
        <v>234</v>
      </c>
      <c r="V1281" s="62" t="s">
        <v>1393</v>
      </c>
      <c r="W1281" s="62" t="s">
        <v>1394</v>
      </c>
      <c r="X1281" s="62" t="s">
        <v>1395</v>
      </c>
      <c r="Y1281" s="62" t="s">
        <v>1396</v>
      </c>
      <c r="Z1281" s="166" t="s">
        <v>523</v>
      </c>
      <c r="AA1281" s="166" t="s">
        <v>1397</v>
      </c>
      <c r="AB1281" s="166" t="s">
        <v>1398</v>
      </c>
      <c r="AC1281" s="166" t="s">
        <v>522</v>
      </c>
      <c r="AD1281" s="62" t="s">
        <v>233</v>
      </c>
    </row>
    <row r="1282" spans="1:30" s="178" customFormat="1" ht="20.25" customHeight="1" x14ac:dyDescent="0.3">
      <c r="A1282" s="167">
        <v>29</v>
      </c>
      <c r="B1282" s="168">
        <v>1</v>
      </c>
      <c r="C1282" s="169" t="str">
        <f t="shared" ref="C1282:C1392" si="29">IF(B1282&lt;10,_xlfn.CONCAT(A1282,".0",B1282),_xlfn.CONCAT(A1282,".",B1282))</f>
        <v>29.01</v>
      </c>
      <c r="D1282" s="170" t="s">
        <v>823</v>
      </c>
      <c r="E1282" s="64" t="str">
        <f>IF(ISBLANK(D1282)=TRUE,"",VLOOKUP(D1282,Krav!$C:$F,4,FALSE))</f>
        <v>10.a.1.1.1.2 - Gruppe 1 aktiveres</v>
      </c>
      <c r="F1282" s="171" t="s">
        <v>227</v>
      </c>
      <c r="G1282" s="171"/>
      <c r="H1282" s="172" t="s">
        <v>1399</v>
      </c>
      <c r="I1282" s="173" t="s">
        <v>240</v>
      </c>
      <c r="J1282" s="174" t="s">
        <v>222</v>
      </c>
      <c r="K1282" s="125" t="s">
        <v>222</v>
      </c>
      <c r="L1282" s="175" t="s">
        <v>3</v>
      </c>
      <c r="M1282" s="176" t="s">
        <v>129</v>
      </c>
      <c r="N1282" s="176" t="s">
        <v>131</v>
      </c>
      <c r="O1282" s="176" t="s">
        <v>376</v>
      </c>
      <c r="P1282" s="176" t="s">
        <v>376</v>
      </c>
      <c r="Q1282" s="176" t="s">
        <v>131</v>
      </c>
      <c r="R1282" s="176" t="s">
        <v>131</v>
      </c>
      <c r="S1282" s="176" t="s">
        <v>131</v>
      </c>
      <c r="T1282" s="176" t="s">
        <v>412</v>
      </c>
      <c r="U1282" s="176"/>
      <c r="V1282" s="176"/>
      <c r="W1282" s="176"/>
      <c r="X1282" s="176"/>
      <c r="Y1282" s="176"/>
      <c r="Z1282" s="176"/>
      <c r="AA1282" s="176"/>
      <c r="AB1282" s="176"/>
      <c r="AC1282" s="176"/>
      <c r="AD1282" s="177" t="s">
        <v>5</v>
      </c>
    </row>
    <row r="1283" spans="1:30" s="182" customFormat="1" ht="33" customHeight="1" x14ac:dyDescent="0.3">
      <c r="A1283" s="167">
        <v>29</v>
      </c>
      <c r="B1283" s="168">
        <v>2</v>
      </c>
      <c r="C1283" s="169" t="str">
        <f t="shared" si="29"/>
        <v>29.02</v>
      </c>
      <c r="D1283" s="170"/>
      <c r="E1283" s="64" t="str">
        <f>IF(ISBLANK(D1283)=TRUE,"",VLOOKUP(D1283,Krav!$C:$F,4,FALSE))</f>
        <v/>
      </c>
      <c r="F1283" s="171" t="s">
        <v>225</v>
      </c>
      <c r="G1283" s="179" t="s">
        <v>1389</v>
      </c>
      <c r="H1283" s="179" t="s">
        <v>158</v>
      </c>
      <c r="I1283" s="174" t="s">
        <v>1400</v>
      </c>
      <c r="J1283" s="180" t="s">
        <v>222</v>
      </c>
      <c r="K1283" s="125" t="s">
        <v>222</v>
      </c>
      <c r="L1283" s="181" t="s">
        <v>3</v>
      </c>
      <c r="M1283" s="176" t="s">
        <v>129</v>
      </c>
      <c r="N1283" s="176" t="s">
        <v>131</v>
      </c>
      <c r="O1283" s="176" t="s">
        <v>376</v>
      </c>
      <c r="P1283" s="176" t="s">
        <v>96</v>
      </c>
      <c r="Q1283" s="176" t="s">
        <v>131</v>
      </c>
      <c r="R1283" s="176" t="s">
        <v>131</v>
      </c>
      <c r="S1283" s="176" t="s">
        <v>129</v>
      </c>
      <c r="T1283" s="176"/>
      <c r="U1283" s="176"/>
      <c r="V1283" s="176"/>
      <c r="W1283" s="176"/>
      <c r="X1283" s="176"/>
      <c r="Y1283" s="176"/>
      <c r="Z1283" s="176"/>
      <c r="AA1283" s="176"/>
      <c r="AB1283" s="176"/>
      <c r="AC1283" s="176"/>
      <c r="AD1283" s="177" t="s">
        <v>5</v>
      </c>
    </row>
    <row r="1284" spans="1:30" s="178" customFormat="1" ht="16.5" customHeight="1" x14ac:dyDescent="0.3">
      <c r="A1284" s="167">
        <v>29</v>
      </c>
      <c r="B1284" s="168">
        <v>3</v>
      </c>
      <c r="C1284" s="169" t="str">
        <f t="shared" si="29"/>
        <v>29.03</v>
      </c>
      <c r="D1284" s="170" t="s">
        <v>935</v>
      </c>
      <c r="E1284" s="64" t="str">
        <f>IF(ISBLANK(D1284)=TRUE,"",VLOOKUP(D1284,Krav!$C:$F,4,FALSE))</f>
        <v>10.a.1.1.1.60 - Hvis StiftelsesDato er valgt: Fristlængden indsættes i Regel R0051 - fristlængden beregnes ved at fratrække værdien fra spm. 10.a.1 med værdien fra 10.a.1.1</v>
      </c>
      <c r="F1284" s="171" t="s">
        <v>226</v>
      </c>
      <c r="G1284" s="171" t="s">
        <v>313</v>
      </c>
      <c r="H1284" s="172" t="s">
        <v>1401</v>
      </c>
      <c r="I1284" s="174" t="s">
        <v>1402</v>
      </c>
      <c r="J1284" s="173" t="s">
        <v>222</v>
      </c>
      <c r="K1284" s="123" t="s">
        <v>222</v>
      </c>
      <c r="L1284" s="181" t="s">
        <v>3</v>
      </c>
      <c r="M1284" s="176" t="s">
        <v>129</v>
      </c>
      <c r="N1284" s="176" t="s">
        <v>131</v>
      </c>
      <c r="O1284" s="176" t="s">
        <v>376</v>
      </c>
      <c r="P1284" s="176" t="s">
        <v>96</v>
      </c>
      <c r="Q1284" s="176" t="s">
        <v>131</v>
      </c>
      <c r="R1284" s="176" t="s">
        <v>131</v>
      </c>
      <c r="S1284" s="176" t="s">
        <v>129</v>
      </c>
      <c r="T1284" s="176"/>
      <c r="U1284" s="176" t="s">
        <v>1299</v>
      </c>
      <c r="V1284" s="176"/>
      <c r="W1284" s="176"/>
      <c r="X1284" s="176"/>
      <c r="Y1284" s="176"/>
      <c r="Z1284" s="176"/>
      <c r="AA1284" s="176"/>
      <c r="AB1284" s="176"/>
      <c r="AC1284" s="176"/>
      <c r="AD1284" s="177" t="s">
        <v>5</v>
      </c>
    </row>
    <row r="1285" spans="1:30" s="178" customFormat="1" ht="33" customHeight="1" x14ac:dyDescent="0.3">
      <c r="A1285" s="167">
        <v>29</v>
      </c>
      <c r="B1285" s="168">
        <v>4</v>
      </c>
      <c r="C1285" s="169" t="str">
        <f t="shared" si="29"/>
        <v>29.04</v>
      </c>
      <c r="D1285" s="170" t="s">
        <v>937</v>
      </c>
      <c r="E1285" s="64" t="str">
        <f>IF(ISBLANK(D1285)=TRUE,"",VLOOKUP(D1285,Krav!$C:$F,4,FALSE))</f>
        <v>10.a.1.1.1.61 - Hvis StiftelsesDato er valgt: Fristlængden indsættes i Regel R0052 - fristlængden beregnes ved at fratrække værdien fra spm. 10.a.1 med værdien fra 10.a.1.1</v>
      </c>
      <c r="F1285" s="171" t="s">
        <v>226</v>
      </c>
      <c r="G1285" s="171" t="s">
        <v>313</v>
      </c>
      <c r="H1285" s="172" t="s">
        <v>1401</v>
      </c>
      <c r="I1285" s="174" t="s">
        <v>1402</v>
      </c>
      <c r="J1285" s="173" t="s">
        <v>222</v>
      </c>
      <c r="K1285" s="123" t="s">
        <v>222</v>
      </c>
      <c r="L1285" s="181" t="s">
        <v>3</v>
      </c>
      <c r="M1285" s="176" t="s">
        <v>129</v>
      </c>
      <c r="N1285" s="176" t="s">
        <v>131</v>
      </c>
      <c r="O1285" s="176" t="s">
        <v>376</v>
      </c>
      <c r="P1285" s="176" t="s">
        <v>96</v>
      </c>
      <c r="Q1285" s="176" t="s">
        <v>131</v>
      </c>
      <c r="R1285" s="176" t="s">
        <v>131</v>
      </c>
      <c r="S1285" s="176" t="s">
        <v>129</v>
      </c>
      <c r="T1285" s="176"/>
      <c r="U1285" s="176" t="s">
        <v>1300</v>
      </c>
      <c r="V1285" s="176"/>
      <c r="W1285" s="176"/>
      <c r="X1285" s="176"/>
      <c r="Y1285" s="176"/>
      <c r="Z1285" s="176"/>
      <c r="AA1285" s="176"/>
      <c r="AB1285" s="176"/>
      <c r="AC1285" s="176"/>
      <c r="AD1285" s="177" t="s">
        <v>5</v>
      </c>
    </row>
    <row r="1286" spans="1:30" s="178" customFormat="1" ht="33" customHeight="1" x14ac:dyDescent="0.3">
      <c r="A1286" s="167">
        <v>29</v>
      </c>
      <c r="B1286" s="168">
        <v>5</v>
      </c>
      <c r="C1286" s="169" t="str">
        <f t="shared" si="29"/>
        <v>29.05</v>
      </c>
      <c r="D1286" s="170" t="s">
        <v>939</v>
      </c>
      <c r="E1286" s="64" t="str">
        <f>IF(ISBLANK(D1286)=TRUE,"",VLOOKUP(D1286,Krav!$C:$F,4,FALSE))</f>
        <v>10.a.1.1.1.62 - Hvis StiftelsesDato er valgt: Fristlængden indsættes i Regel R0053 - fristlængden beregnes ved at fratrække værdien fra spm. 10.a.1 med værdien fra 10.a.1.1</v>
      </c>
      <c r="F1286" s="171" t="s">
        <v>226</v>
      </c>
      <c r="G1286" s="171" t="s">
        <v>313</v>
      </c>
      <c r="H1286" s="172" t="s">
        <v>1401</v>
      </c>
      <c r="I1286" s="174" t="s">
        <v>1402</v>
      </c>
      <c r="J1286" s="174" t="s">
        <v>222</v>
      </c>
      <c r="K1286" s="123" t="s">
        <v>222</v>
      </c>
      <c r="L1286" s="175" t="s">
        <v>3</v>
      </c>
      <c r="M1286" s="176" t="s">
        <v>129</v>
      </c>
      <c r="N1286" s="176" t="s">
        <v>131</v>
      </c>
      <c r="O1286" s="176" t="s">
        <v>376</v>
      </c>
      <c r="P1286" s="176" t="s">
        <v>96</v>
      </c>
      <c r="Q1286" s="176" t="s">
        <v>131</v>
      </c>
      <c r="R1286" s="176" t="s">
        <v>131</v>
      </c>
      <c r="S1286" s="176" t="s">
        <v>129</v>
      </c>
      <c r="T1286" s="176"/>
      <c r="U1286" s="176" t="s">
        <v>1301</v>
      </c>
      <c r="V1286" s="176"/>
      <c r="W1286" s="176"/>
      <c r="X1286" s="176"/>
      <c r="Y1286" s="176"/>
      <c r="Z1286" s="176"/>
      <c r="AA1286" s="176"/>
      <c r="AB1286" s="176"/>
      <c r="AC1286" s="176"/>
      <c r="AD1286" s="177" t="s">
        <v>5</v>
      </c>
    </row>
    <row r="1287" spans="1:30" s="178" customFormat="1" ht="33" customHeight="1" x14ac:dyDescent="0.3">
      <c r="A1287" s="167">
        <v>29</v>
      </c>
      <c r="B1287" s="168">
        <v>6</v>
      </c>
      <c r="C1287" s="169" t="str">
        <f t="shared" si="29"/>
        <v>29.06</v>
      </c>
      <c r="D1287" s="170" t="s">
        <v>941</v>
      </c>
      <c r="E1287" s="64" t="str">
        <f>IF(ISBLANK(D1287)=TRUE,"",VLOOKUP(D1287,Krav!$C:$F,4,FALSE))</f>
        <v>10.a.1.1.1.63 - Hvis StiftelsesDato er valgt: Fristlængden indsættes i Regel R0054 - fristlængden beregnes ved at fratrække værdien fra spm. 10.a.1 med værdien fra 10.a.1.1</v>
      </c>
      <c r="F1287" s="171" t="s">
        <v>226</v>
      </c>
      <c r="G1287" s="171" t="s">
        <v>313</v>
      </c>
      <c r="H1287" s="172" t="s">
        <v>1401</v>
      </c>
      <c r="I1287" s="174" t="s">
        <v>1402</v>
      </c>
      <c r="J1287" s="174" t="s">
        <v>222</v>
      </c>
      <c r="K1287" s="123" t="s">
        <v>222</v>
      </c>
      <c r="L1287" s="175" t="s">
        <v>3</v>
      </c>
      <c r="M1287" s="176" t="s">
        <v>129</v>
      </c>
      <c r="N1287" s="176" t="s">
        <v>131</v>
      </c>
      <c r="O1287" s="176" t="s">
        <v>376</v>
      </c>
      <c r="P1287" s="176" t="s">
        <v>96</v>
      </c>
      <c r="Q1287" s="176" t="s">
        <v>131</v>
      </c>
      <c r="R1287" s="176" t="s">
        <v>131</v>
      </c>
      <c r="S1287" s="176" t="s">
        <v>129</v>
      </c>
      <c r="T1287" s="176"/>
      <c r="U1287" s="176" t="s">
        <v>1302</v>
      </c>
      <c r="V1287" s="176"/>
      <c r="W1287" s="176"/>
      <c r="X1287" s="176"/>
      <c r="Y1287" s="176"/>
      <c r="Z1287" s="176"/>
      <c r="AA1287" s="176"/>
      <c r="AB1287" s="176"/>
      <c r="AC1287" s="176"/>
      <c r="AD1287" s="177" t="s">
        <v>5</v>
      </c>
    </row>
    <row r="1288" spans="1:30" s="178" customFormat="1" ht="33" customHeight="1" x14ac:dyDescent="0.3">
      <c r="A1288" s="167">
        <v>29</v>
      </c>
      <c r="B1288" s="168">
        <v>7</v>
      </c>
      <c r="C1288" s="169" t="str">
        <f t="shared" si="29"/>
        <v>29.07</v>
      </c>
      <c r="D1288" s="170" t="s">
        <v>969</v>
      </c>
      <c r="E1288" s="64" t="str">
        <f>IF(ISBLANK(D1288)=TRUE,"",VLOOKUP(D1288,Krav!$C:$F,4,FALSE))</f>
        <v>10.a.1.1.1.77 - Hvis StiftelsesDato er valgt: Fristlængden indsættes i Regel R0068 - fristlængden beregnes ved at fratrække værdien fra spm. 10.a.1 med værdien fra 10.a.1.1</v>
      </c>
      <c r="F1288" s="171" t="s">
        <v>226</v>
      </c>
      <c r="G1288" s="171" t="s">
        <v>313</v>
      </c>
      <c r="H1288" s="172" t="s">
        <v>1401</v>
      </c>
      <c r="I1288" s="174" t="s">
        <v>1402</v>
      </c>
      <c r="J1288" s="174" t="s">
        <v>222</v>
      </c>
      <c r="K1288" s="123" t="s">
        <v>222</v>
      </c>
      <c r="L1288" s="175" t="s">
        <v>3</v>
      </c>
      <c r="M1288" s="176" t="s">
        <v>129</v>
      </c>
      <c r="N1288" s="176" t="s">
        <v>131</v>
      </c>
      <c r="O1288" s="176" t="s">
        <v>376</v>
      </c>
      <c r="P1288" s="176" t="s">
        <v>96</v>
      </c>
      <c r="Q1288" s="176" t="s">
        <v>131</v>
      </c>
      <c r="R1288" s="176" t="s">
        <v>131</v>
      </c>
      <c r="S1288" s="176" t="s">
        <v>129</v>
      </c>
      <c r="T1288" s="176"/>
      <c r="U1288" s="176" t="s">
        <v>1303</v>
      </c>
      <c r="V1288" s="176"/>
      <c r="W1288" s="176"/>
      <c r="X1288" s="176"/>
      <c r="Y1288" s="176"/>
      <c r="Z1288" s="176"/>
      <c r="AA1288" s="176"/>
      <c r="AB1288" s="176"/>
      <c r="AC1288" s="176"/>
      <c r="AD1288" s="177" t="s">
        <v>5</v>
      </c>
    </row>
    <row r="1289" spans="1:30" s="178" customFormat="1" ht="16.5" customHeight="1" x14ac:dyDescent="0.3">
      <c r="A1289" s="167">
        <v>29</v>
      </c>
      <c r="B1289" s="168">
        <v>8</v>
      </c>
      <c r="C1289" s="169" t="str">
        <f t="shared" si="29"/>
        <v>29.08</v>
      </c>
      <c r="D1289" s="170" t="s">
        <v>935</v>
      </c>
      <c r="E1289" s="64" t="str">
        <f>IF(ISBLANK(D1289)=TRUE,"",VLOOKUP(D1289,Krav!$C:$F,4,FALSE))</f>
        <v>10.a.1.1.1.60 - Hvis StiftelsesDato er valgt: Fristlængden indsættes i Regel R0051 - fristlængden beregnes ved at fratrække værdien fra spm. 10.a.1 med værdien fra 10.a.1.1</v>
      </c>
      <c r="F1289" s="171" t="s">
        <v>226</v>
      </c>
      <c r="G1289" s="171" t="s">
        <v>313</v>
      </c>
      <c r="H1289" s="172" t="s">
        <v>1401</v>
      </c>
      <c r="I1289" s="174" t="s">
        <v>33</v>
      </c>
      <c r="J1289" s="173" t="s">
        <v>222</v>
      </c>
      <c r="K1289" s="123" t="s">
        <v>222</v>
      </c>
      <c r="L1289" s="181" t="s">
        <v>3</v>
      </c>
      <c r="M1289" s="176" t="s">
        <v>129</v>
      </c>
      <c r="N1289" s="176" t="s">
        <v>131</v>
      </c>
      <c r="O1289" s="176" t="s">
        <v>376</v>
      </c>
      <c r="P1289" s="176" t="s">
        <v>376</v>
      </c>
      <c r="Q1289" s="176" t="s">
        <v>131</v>
      </c>
      <c r="R1289" s="176" t="s">
        <v>131</v>
      </c>
      <c r="S1289" s="176" t="s">
        <v>131</v>
      </c>
      <c r="T1289" s="176"/>
      <c r="U1289" s="176" t="s">
        <v>1299</v>
      </c>
      <c r="V1289" s="176"/>
      <c r="W1289" s="176"/>
      <c r="X1289" s="176"/>
      <c r="Y1289" s="176"/>
      <c r="Z1289" s="176"/>
      <c r="AA1289" s="176"/>
      <c r="AB1289" s="176"/>
      <c r="AC1289" s="176"/>
      <c r="AD1289" s="177" t="s">
        <v>5</v>
      </c>
    </row>
    <row r="1290" spans="1:30" s="178" customFormat="1" ht="33" customHeight="1" x14ac:dyDescent="0.3">
      <c r="A1290" s="167">
        <v>29</v>
      </c>
      <c r="B1290" s="168">
        <v>9</v>
      </c>
      <c r="C1290" s="169" t="str">
        <f t="shared" si="29"/>
        <v>29.09</v>
      </c>
      <c r="D1290" s="170" t="s">
        <v>937</v>
      </c>
      <c r="E1290" s="64" t="str">
        <f>IF(ISBLANK(D1290)=TRUE,"",VLOOKUP(D1290,Krav!$C:$F,4,FALSE))</f>
        <v>10.a.1.1.1.61 - Hvis StiftelsesDato er valgt: Fristlængden indsættes i Regel R0052 - fristlængden beregnes ved at fratrække værdien fra spm. 10.a.1 med værdien fra 10.a.1.1</v>
      </c>
      <c r="F1290" s="171" t="s">
        <v>226</v>
      </c>
      <c r="G1290" s="171" t="s">
        <v>313</v>
      </c>
      <c r="H1290" s="172" t="s">
        <v>1401</v>
      </c>
      <c r="I1290" s="174" t="s">
        <v>33</v>
      </c>
      <c r="J1290" s="173" t="s">
        <v>222</v>
      </c>
      <c r="K1290" s="123" t="s">
        <v>222</v>
      </c>
      <c r="L1290" s="181" t="s">
        <v>3</v>
      </c>
      <c r="M1290" s="176" t="s">
        <v>129</v>
      </c>
      <c r="N1290" s="176" t="s">
        <v>131</v>
      </c>
      <c r="O1290" s="176" t="s">
        <v>376</v>
      </c>
      <c r="P1290" s="176" t="s">
        <v>376</v>
      </c>
      <c r="Q1290" s="176" t="s">
        <v>131</v>
      </c>
      <c r="R1290" s="176" t="s">
        <v>131</v>
      </c>
      <c r="S1290" s="176" t="s">
        <v>131</v>
      </c>
      <c r="T1290" s="176"/>
      <c r="U1290" s="176" t="s">
        <v>1300</v>
      </c>
      <c r="V1290" s="176"/>
      <c r="W1290" s="176"/>
      <c r="X1290" s="176"/>
      <c r="Y1290" s="176"/>
      <c r="Z1290" s="176"/>
      <c r="AA1290" s="176"/>
      <c r="AB1290" s="176"/>
      <c r="AC1290" s="176"/>
      <c r="AD1290" s="177" t="s">
        <v>5</v>
      </c>
    </row>
    <row r="1291" spans="1:30" s="178" customFormat="1" ht="33" customHeight="1" x14ac:dyDescent="0.3">
      <c r="A1291" s="167">
        <v>29</v>
      </c>
      <c r="B1291" s="168">
        <v>10</v>
      </c>
      <c r="C1291" s="169" t="str">
        <f t="shared" si="29"/>
        <v>29.10</v>
      </c>
      <c r="D1291" s="170" t="s">
        <v>939</v>
      </c>
      <c r="E1291" s="64" t="str">
        <f>IF(ISBLANK(D1291)=TRUE,"",VLOOKUP(D1291,Krav!$C:$F,4,FALSE))</f>
        <v>10.a.1.1.1.62 - Hvis StiftelsesDato er valgt: Fristlængden indsættes i Regel R0053 - fristlængden beregnes ved at fratrække værdien fra spm. 10.a.1 med værdien fra 10.a.1.1</v>
      </c>
      <c r="F1291" s="171" t="s">
        <v>226</v>
      </c>
      <c r="G1291" s="171" t="s">
        <v>313</v>
      </c>
      <c r="H1291" s="172" t="s">
        <v>1401</v>
      </c>
      <c r="I1291" s="174" t="s">
        <v>33</v>
      </c>
      <c r="J1291" s="174" t="s">
        <v>222</v>
      </c>
      <c r="K1291" s="123" t="s">
        <v>222</v>
      </c>
      <c r="L1291" s="175" t="s">
        <v>3</v>
      </c>
      <c r="M1291" s="176" t="s">
        <v>129</v>
      </c>
      <c r="N1291" s="176" t="s">
        <v>131</v>
      </c>
      <c r="O1291" s="176" t="s">
        <v>376</v>
      </c>
      <c r="P1291" s="176" t="s">
        <v>376</v>
      </c>
      <c r="Q1291" s="176" t="s">
        <v>131</v>
      </c>
      <c r="R1291" s="176" t="s">
        <v>131</v>
      </c>
      <c r="S1291" s="176" t="s">
        <v>131</v>
      </c>
      <c r="T1291" s="176"/>
      <c r="U1291" s="176" t="s">
        <v>1301</v>
      </c>
      <c r="V1291" s="176"/>
      <c r="W1291" s="176"/>
      <c r="X1291" s="176"/>
      <c r="Y1291" s="176"/>
      <c r="Z1291" s="176"/>
      <c r="AA1291" s="176"/>
      <c r="AB1291" s="176"/>
      <c r="AC1291" s="176"/>
      <c r="AD1291" s="177" t="s">
        <v>5</v>
      </c>
    </row>
    <row r="1292" spans="1:30" s="178" customFormat="1" ht="33" customHeight="1" x14ac:dyDescent="0.3">
      <c r="A1292" s="167">
        <v>29</v>
      </c>
      <c r="B1292" s="168">
        <v>11</v>
      </c>
      <c r="C1292" s="169" t="str">
        <f t="shared" si="29"/>
        <v>29.11</v>
      </c>
      <c r="D1292" s="170" t="s">
        <v>941</v>
      </c>
      <c r="E1292" s="64" t="str">
        <f>IF(ISBLANK(D1292)=TRUE,"",VLOOKUP(D1292,Krav!$C:$F,4,FALSE))</f>
        <v>10.a.1.1.1.63 - Hvis StiftelsesDato er valgt: Fristlængden indsættes i Regel R0054 - fristlængden beregnes ved at fratrække værdien fra spm. 10.a.1 med værdien fra 10.a.1.1</v>
      </c>
      <c r="F1292" s="171" t="s">
        <v>226</v>
      </c>
      <c r="G1292" s="171" t="s">
        <v>313</v>
      </c>
      <c r="H1292" s="172" t="s">
        <v>1401</v>
      </c>
      <c r="I1292" s="174" t="s">
        <v>33</v>
      </c>
      <c r="J1292" s="174" t="s">
        <v>222</v>
      </c>
      <c r="K1292" s="123" t="s">
        <v>222</v>
      </c>
      <c r="L1292" s="175" t="s">
        <v>3</v>
      </c>
      <c r="M1292" s="176" t="s">
        <v>129</v>
      </c>
      <c r="N1292" s="176" t="s">
        <v>131</v>
      </c>
      <c r="O1292" s="176" t="s">
        <v>376</v>
      </c>
      <c r="P1292" s="176" t="s">
        <v>376</v>
      </c>
      <c r="Q1292" s="176" t="s">
        <v>131</v>
      </c>
      <c r="R1292" s="176" t="s">
        <v>131</v>
      </c>
      <c r="S1292" s="176" t="s">
        <v>131</v>
      </c>
      <c r="T1292" s="176"/>
      <c r="U1292" s="176" t="s">
        <v>1302</v>
      </c>
      <c r="V1292" s="176"/>
      <c r="W1292" s="176"/>
      <c r="X1292" s="176"/>
      <c r="Y1292" s="176"/>
      <c r="Z1292" s="176"/>
      <c r="AA1292" s="176"/>
      <c r="AB1292" s="176"/>
      <c r="AC1292" s="176"/>
      <c r="AD1292" s="177" t="s">
        <v>5</v>
      </c>
    </row>
    <row r="1293" spans="1:30" s="178" customFormat="1" ht="33" customHeight="1" x14ac:dyDescent="0.3">
      <c r="A1293" s="167">
        <v>29</v>
      </c>
      <c r="B1293" s="168">
        <v>12</v>
      </c>
      <c r="C1293" s="169" t="str">
        <f t="shared" si="29"/>
        <v>29.12</v>
      </c>
      <c r="D1293" s="170" t="s">
        <v>969</v>
      </c>
      <c r="E1293" s="64" t="str">
        <f>IF(ISBLANK(D1293)=TRUE,"",VLOOKUP(D1293,Krav!$C:$F,4,FALSE))</f>
        <v>10.a.1.1.1.77 - Hvis StiftelsesDato er valgt: Fristlængden indsættes i Regel R0068 - fristlængden beregnes ved at fratrække værdien fra spm. 10.a.1 med værdien fra 10.a.1.1</v>
      </c>
      <c r="F1293" s="171" t="s">
        <v>226</v>
      </c>
      <c r="G1293" s="171" t="s">
        <v>313</v>
      </c>
      <c r="H1293" s="172" t="s">
        <v>1401</v>
      </c>
      <c r="I1293" s="174" t="s">
        <v>33</v>
      </c>
      <c r="J1293" s="174" t="s">
        <v>222</v>
      </c>
      <c r="K1293" s="123" t="s">
        <v>222</v>
      </c>
      <c r="L1293" s="175" t="s">
        <v>3</v>
      </c>
      <c r="M1293" s="176" t="s">
        <v>129</v>
      </c>
      <c r="N1293" s="176" t="s">
        <v>131</v>
      </c>
      <c r="O1293" s="176" t="s">
        <v>376</v>
      </c>
      <c r="P1293" s="176" t="s">
        <v>376</v>
      </c>
      <c r="Q1293" s="176" t="s">
        <v>131</v>
      </c>
      <c r="R1293" s="176" t="s">
        <v>131</v>
      </c>
      <c r="S1293" s="176" t="s">
        <v>131</v>
      </c>
      <c r="T1293" s="176"/>
      <c r="U1293" s="176" t="s">
        <v>1303</v>
      </c>
      <c r="V1293" s="176"/>
      <c r="W1293" s="176"/>
      <c r="X1293" s="176"/>
      <c r="Y1293" s="176"/>
      <c r="Z1293" s="176"/>
      <c r="AA1293" s="176"/>
      <c r="AB1293" s="176"/>
      <c r="AC1293" s="176"/>
      <c r="AD1293" s="177" t="s">
        <v>5</v>
      </c>
    </row>
    <row r="1294" spans="1:30" s="178" customFormat="1" ht="33" customHeight="1" x14ac:dyDescent="0.3">
      <c r="A1294" s="167">
        <v>29</v>
      </c>
      <c r="B1294" s="168">
        <v>13</v>
      </c>
      <c r="C1294" s="169" t="str">
        <f t="shared" si="29"/>
        <v>29.13</v>
      </c>
      <c r="D1294" s="170" t="s">
        <v>935</v>
      </c>
      <c r="E1294" s="64" t="str">
        <f>IF(ISBLANK(D1294)=TRUE,"",VLOOKUP(D1294,Krav!$C:$F,4,FALSE))</f>
        <v>10.a.1.1.1.60 - Hvis StiftelsesDato er valgt: Fristlængden indsættes i Regel R0051 - fristlængden beregnes ved at fratrække værdien fra spm. 10.a.1 med værdien fra 10.a.1.1</v>
      </c>
      <c r="F1294" s="171" t="s">
        <v>226</v>
      </c>
      <c r="G1294" s="171" t="s">
        <v>313</v>
      </c>
      <c r="H1294" s="172" t="s">
        <v>1401</v>
      </c>
      <c r="I1294" s="174" t="s">
        <v>404</v>
      </c>
      <c r="J1294" s="173" t="s">
        <v>222</v>
      </c>
      <c r="K1294" s="123" t="s">
        <v>222</v>
      </c>
      <c r="L1294" s="181" t="s">
        <v>3</v>
      </c>
      <c r="M1294" s="176" t="s">
        <v>129</v>
      </c>
      <c r="N1294" s="176" t="s">
        <v>131</v>
      </c>
      <c r="O1294" s="176" t="s">
        <v>1403</v>
      </c>
      <c r="P1294" s="176" t="s">
        <v>376</v>
      </c>
      <c r="Q1294" s="176" t="s">
        <v>131</v>
      </c>
      <c r="R1294" s="176" t="s">
        <v>131</v>
      </c>
      <c r="S1294" s="176" t="s">
        <v>131</v>
      </c>
      <c r="T1294" s="176"/>
      <c r="U1294" s="176" t="s">
        <v>1299</v>
      </c>
      <c r="V1294" s="176"/>
      <c r="W1294" s="176"/>
      <c r="X1294" s="176"/>
      <c r="Y1294" s="176"/>
      <c r="Z1294" s="176"/>
      <c r="AA1294" s="176"/>
      <c r="AB1294" s="176"/>
      <c r="AC1294" s="176"/>
      <c r="AD1294" s="177" t="s">
        <v>5</v>
      </c>
    </row>
    <row r="1295" spans="1:30" s="178" customFormat="1" ht="33" customHeight="1" x14ac:dyDescent="0.3">
      <c r="A1295" s="167">
        <v>29</v>
      </c>
      <c r="B1295" s="168">
        <v>14</v>
      </c>
      <c r="C1295" s="169" t="str">
        <f t="shared" si="29"/>
        <v>29.14</v>
      </c>
      <c r="D1295" s="170" t="s">
        <v>937</v>
      </c>
      <c r="E1295" s="64" t="str">
        <f>IF(ISBLANK(D1295)=TRUE,"",VLOOKUP(D1295,Krav!$C:$F,4,FALSE))</f>
        <v>10.a.1.1.1.61 - Hvis StiftelsesDato er valgt: Fristlængden indsættes i Regel R0052 - fristlængden beregnes ved at fratrække værdien fra spm. 10.a.1 med værdien fra 10.a.1.1</v>
      </c>
      <c r="F1295" s="171" t="s">
        <v>226</v>
      </c>
      <c r="G1295" s="171" t="s">
        <v>313</v>
      </c>
      <c r="H1295" s="172" t="s">
        <v>1401</v>
      </c>
      <c r="I1295" s="174" t="s">
        <v>404</v>
      </c>
      <c r="J1295" s="173" t="s">
        <v>222</v>
      </c>
      <c r="K1295" s="123" t="s">
        <v>222</v>
      </c>
      <c r="L1295" s="181" t="s">
        <v>3</v>
      </c>
      <c r="M1295" s="176" t="s">
        <v>129</v>
      </c>
      <c r="N1295" s="176" t="s">
        <v>131</v>
      </c>
      <c r="O1295" s="176" t="s">
        <v>1403</v>
      </c>
      <c r="P1295" s="176" t="s">
        <v>376</v>
      </c>
      <c r="Q1295" s="176" t="s">
        <v>131</v>
      </c>
      <c r="R1295" s="176" t="s">
        <v>131</v>
      </c>
      <c r="S1295" s="176" t="s">
        <v>131</v>
      </c>
      <c r="T1295" s="176"/>
      <c r="U1295" s="176" t="s">
        <v>1300</v>
      </c>
      <c r="V1295" s="176"/>
      <c r="W1295" s="176"/>
      <c r="X1295" s="176"/>
      <c r="Y1295" s="176"/>
      <c r="Z1295" s="176"/>
      <c r="AA1295" s="176"/>
      <c r="AB1295" s="176"/>
      <c r="AC1295" s="176"/>
      <c r="AD1295" s="177" t="s">
        <v>5</v>
      </c>
    </row>
    <row r="1296" spans="1:30" s="178" customFormat="1" ht="33" customHeight="1" x14ac:dyDescent="0.3">
      <c r="A1296" s="167">
        <v>29</v>
      </c>
      <c r="B1296" s="168">
        <v>15</v>
      </c>
      <c r="C1296" s="169" t="str">
        <f t="shared" si="29"/>
        <v>29.15</v>
      </c>
      <c r="D1296" s="170" t="s">
        <v>939</v>
      </c>
      <c r="E1296" s="64" t="str">
        <f>IF(ISBLANK(D1296)=TRUE,"",VLOOKUP(D1296,Krav!$C:$F,4,FALSE))</f>
        <v>10.a.1.1.1.62 - Hvis StiftelsesDato er valgt: Fristlængden indsættes i Regel R0053 - fristlængden beregnes ved at fratrække værdien fra spm. 10.a.1 med værdien fra 10.a.1.1</v>
      </c>
      <c r="F1296" s="171" t="s">
        <v>226</v>
      </c>
      <c r="G1296" s="171" t="s">
        <v>313</v>
      </c>
      <c r="H1296" s="172" t="s">
        <v>1401</v>
      </c>
      <c r="I1296" s="174" t="s">
        <v>404</v>
      </c>
      <c r="J1296" s="174" t="s">
        <v>222</v>
      </c>
      <c r="K1296" s="123" t="s">
        <v>222</v>
      </c>
      <c r="L1296" s="175" t="s">
        <v>3</v>
      </c>
      <c r="M1296" s="176" t="s">
        <v>129</v>
      </c>
      <c r="N1296" s="176" t="s">
        <v>131</v>
      </c>
      <c r="O1296" s="176" t="s">
        <v>1403</v>
      </c>
      <c r="P1296" s="176" t="s">
        <v>376</v>
      </c>
      <c r="Q1296" s="176" t="s">
        <v>131</v>
      </c>
      <c r="R1296" s="176" t="s">
        <v>131</v>
      </c>
      <c r="S1296" s="176" t="s">
        <v>131</v>
      </c>
      <c r="T1296" s="176"/>
      <c r="U1296" s="176" t="s">
        <v>1301</v>
      </c>
      <c r="V1296" s="176"/>
      <c r="W1296" s="176"/>
      <c r="X1296" s="176"/>
      <c r="Y1296" s="176"/>
      <c r="Z1296" s="176"/>
      <c r="AA1296" s="176"/>
      <c r="AB1296" s="176"/>
      <c r="AC1296" s="176"/>
      <c r="AD1296" s="177" t="s">
        <v>5</v>
      </c>
    </row>
    <row r="1297" spans="1:30" s="178" customFormat="1" ht="33" customHeight="1" x14ac:dyDescent="0.3">
      <c r="A1297" s="167">
        <v>29</v>
      </c>
      <c r="B1297" s="168">
        <v>16</v>
      </c>
      <c r="C1297" s="169" t="str">
        <f t="shared" si="29"/>
        <v>29.16</v>
      </c>
      <c r="D1297" s="170" t="s">
        <v>941</v>
      </c>
      <c r="E1297" s="64" t="str">
        <f>IF(ISBLANK(D1297)=TRUE,"",VLOOKUP(D1297,Krav!$C:$F,4,FALSE))</f>
        <v>10.a.1.1.1.63 - Hvis StiftelsesDato er valgt: Fristlængden indsættes i Regel R0054 - fristlængden beregnes ved at fratrække værdien fra spm. 10.a.1 med værdien fra 10.a.1.1</v>
      </c>
      <c r="F1297" s="171" t="s">
        <v>226</v>
      </c>
      <c r="G1297" s="171" t="s">
        <v>313</v>
      </c>
      <c r="H1297" s="172" t="s">
        <v>1401</v>
      </c>
      <c r="I1297" s="174" t="s">
        <v>404</v>
      </c>
      <c r="J1297" s="174" t="s">
        <v>222</v>
      </c>
      <c r="K1297" s="123" t="s">
        <v>222</v>
      </c>
      <c r="L1297" s="175" t="s">
        <v>3</v>
      </c>
      <c r="M1297" s="176" t="s">
        <v>129</v>
      </c>
      <c r="N1297" s="176" t="s">
        <v>131</v>
      </c>
      <c r="O1297" s="176" t="s">
        <v>1403</v>
      </c>
      <c r="P1297" s="176" t="s">
        <v>376</v>
      </c>
      <c r="Q1297" s="176" t="s">
        <v>131</v>
      </c>
      <c r="R1297" s="176" t="s">
        <v>131</v>
      </c>
      <c r="S1297" s="176" t="s">
        <v>131</v>
      </c>
      <c r="T1297" s="176"/>
      <c r="U1297" s="176" t="s">
        <v>1302</v>
      </c>
      <c r="V1297" s="176"/>
      <c r="W1297" s="176"/>
      <c r="X1297" s="176"/>
      <c r="Y1297" s="176"/>
      <c r="Z1297" s="176"/>
      <c r="AA1297" s="176"/>
      <c r="AB1297" s="176"/>
      <c r="AC1297" s="176"/>
      <c r="AD1297" s="177" t="s">
        <v>5</v>
      </c>
    </row>
    <row r="1298" spans="1:30" s="178" customFormat="1" ht="33" customHeight="1" x14ac:dyDescent="0.3">
      <c r="A1298" s="167">
        <v>29</v>
      </c>
      <c r="B1298" s="168">
        <v>17</v>
      </c>
      <c r="C1298" s="169" t="str">
        <f t="shared" si="29"/>
        <v>29.17</v>
      </c>
      <c r="D1298" s="170" t="s">
        <v>969</v>
      </c>
      <c r="E1298" s="64" t="str">
        <f>IF(ISBLANK(D1298)=TRUE,"",VLOOKUP(D1298,Krav!$C:$F,4,FALSE))</f>
        <v>10.a.1.1.1.77 - Hvis StiftelsesDato er valgt: Fristlængden indsættes i Regel R0068 - fristlængden beregnes ved at fratrække værdien fra spm. 10.a.1 med værdien fra 10.a.1.1</v>
      </c>
      <c r="F1298" s="171" t="s">
        <v>226</v>
      </c>
      <c r="G1298" s="171" t="s">
        <v>313</v>
      </c>
      <c r="H1298" s="172" t="s">
        <v>1401</v>
      </c>
      <c r="I1298" s="174" t="s">
        <v>404</v>
      </c>
      <c r="J1298" s="174" t="s">
        <v>222</v>
      </c>
      <c r="K1298" s="123" t="s">
        <v>222</v>
      </c>
      <c r="L1298" s="175" t="s">
        <v>3</v>
      </c>
      <c r="M1298" s="176" t="s">
        <v>129</v>
      </c>
      <c r="N1298" s="176" t="s">
        <v>131</v>
      </c>
      <c r="O1298" s="176" t="s">
        <v>1403</v>
      </c>
      <c r="P1298" s="176" t="s">
        <v>376</v>
      </c>
      <c r="Q1298" s="176" t="s">
        <v>131</v>
      </c>
      <c r="R1298" s="176" t="s">
        <v>131</v>
      </c>
      <c r="S1298" s="176" t="s">
        <v>131</v>
      </c>
      <c r="T1298" s="176"/>
      <c r="U1298" s="176" t="s">
        <v>1303</v>
      </c>
      <c r="V1298" s="176"/>
      <c r="W1298" s="176"/>
      <c r="X1298" s="176"/>
      <c r="Y1298" s="176"/>
      <c r="Z1298" s="176"/>
      <c r="AA1298" s="176"/>
      <c r="AB1298" s="176"/>
      <c r="AC1298" s="176"/>
      <c r="AD1298" s="177" t="s">
        <v>5</v>
      </c>
    </row>
    <row r="1299" spans="1:30" s="178" customFormat="1" ht="33" customHeight="1" x14ac:dyDescent="0.3">
      <c r="A1299" s="167">
        <v>29</v>
      </c>
      <c r="B1299" s="168">
        <v>18</v>
      </c>
      <c r="C1299" s="169" t="str">
        <f t="shared" si="29"/>
        <v>29.18</v>
      </c>
      <c r="D1299" s="170" t="s">
        <v>935</v>
      </c>
      <c r="E1299" s="64" t="str">
        <f>IF(ISBLANK(D1299)=TRUE,"",VLOOKUP(D1299,Krav!$C:$F,4,FALSE))</f>
        <v>10.a.1.1.1.60 - Hvis StiftelsesDato er valgt: Fristlængden indsættes i Regel R0051 - fristlængden beregnes ved at fratrække værdien fra spm. 10.a.1 med værdien fra 10.a.1.1</v>
      </c>
      <c r="F1299" s="171" t="s">
        <v>226</v>
      </c>
      <c r="G1299" s="171" t="s">
        <v>313</v>
      </c>
      <c r="H1299" s="172" t="s">
        <v>1401</v>
      </c>
      <c r="I1299" s="173" t="s">
        <v>376</v>
      </c>
      <c r="J1299" s="173" t="s">
        <v>222</v>
      </c>
      <c r="K1299" s="123" t="s">
        <v>222</v>
      </c>
      <c r="L1299" s="181" t="s">
        <v>3</v>
      </c>
      <c r="M1299" s="176" t="s">
        <v>129</v>
      </c>
      <c r="N1299" s="176" t="s">
        <v>131</v>
      </c>
      <c r="O1299" s="176" t="s">
        <v>376</v>
      </c>
      <c r="P1299" s="176" t="s">
        <v>1403</v>
      </c>
      <c r="Q1299" s="176" t="s">
        <v>131</v>
      </c>
      <c r="R1299" s="176" t="s">
        <v>131</v>
      </c>
      <c r="S1299" s="176" t="s">
        <v>131</v>
      </c>
      <c r="T1299" s="176"/>
      <c r="U1299" s="176" t="s">
        <v>1299</v>
      </c>
      <c r="V1299" s="176"/>
      <c r="W1299" s="176"/>
      <c r="X1299" s="176"/>
      <c r="Y1299" s="176"/>
      <c r="Z1299" s="176"/>
      <c r="AA1299" s="176"/>
      <c r="AB1299" s="176"/>
      <c r="AC1299" s="176"/>
      <c r="AD1299" s="177" t="s">
        <v>5</v>
      </c>
    </row>
    <row r="1300" spans="1:30" s="178" customFormat="1" ht="33" customHeight="1" x14ac:dyDescent="0.3">
      <c r="A1300" s="167">
        <v>29</v>
      </c>
      <c r="B1300" s="168">
        <v>19</v>
      </c>
      <c r="C1300" s="169" t="str">
        <f t="shared" si="29"/>
        <v>29.19</v>
      </c>
      <c r="D1300" s="170" t="s">
        <v>937</v>
      </c>
      <c r="E1300" s="64" t="str">
        <f>IF(ISBLANK(D1300)=TRUE,"",VLOOKUP(D1300,Krav!$C:$F,4,FALSE))</f>
        <v>10.a.1.1.1.61 - Hvis StiftelsesDato er valgt: Fristlængden indsættes i Regel R0052 - fristlængden beregnes ved at fratrække værdien fra spm. 10.a.1 med værdien fra 10.a.1.1</v>
      </c>
      <c r="F1300" s="171" t="s">
        <v>226</v>
      </c>
      <c r="G1300" s="171" t="s">
        <v>313</v>
      </c>
      <c r="H1300" s="172" t="s">
        <v>1401</v>
      </c>
      <c r="I1300" s="173" t="s">
        <v>376</v>
      </c>
      <c r="J1300" s="173" t="s">
        <v>222</v>
      </c>
      <c r="K1300" s="123" t="s">
        <v>222</v>
      </c>
      <c r="L1300" s="181" t="s">
        <v>3</v>
      </c>
      <c r="M1300" s="176" t="s">
        <v>129</v>
      </c>
      <c r="N1300" s="176" t="s">
        <v>131</v>
      </c>
      <c r="O1300" s="176" t="s">
        <v>376</v>
      </c>
      <c r="P1300" s="176" t="s">
        <v>1403</v>
      </c>
      <c r="Q1300" s="176" t="s">
        <v>131</v>
      </c>
      <c r="R1300" s="176" t="s">
        <v>131</v>
      </c>
      <c r="S1300" s="176" t="s">
        <v>131</v>
      </c>
      <c r="T1300" s="176"/>
      <c r="U1300" s="176" t="s">
        <v>1300</v>
      </c>
      <c r="V1300" s="176"/>
      <c r="W1300" s="176"/>
      <c r="X1300" s="176"/>
      <c r="Y1300" s="176"/>
      <c r="Z1300" s="176"/>
      <c r="AA1300" s="176"/>
      <c r="AB1300" s="176"/>
      <c r="AC1300" s="176"/>
      <c r="AD1300" s="177" t="s">
        <v>5</v>
      </c>
    </row>
    <row r="1301" spans="1:30" s="178" customFormat="1" ht="33" customHeight="1" x14ac:dyDescent="0.3">
      <c r="A1301" s="167">
        <v>29</v>
      </c>
      <c r="B1301" s="168">
        <v>20</v>
      </c>
      <c r="C1301" s="169" t="str">
        <f t="shared" si="29"/>
        <v>29.20</v>
      </c>
      <c r="D1301" s="170" t="s">
        <v>939</v>
      </c>
      <c r="E1301" s="64" t="str">
        <f>IF(ISBLANK(D1301)=TRUE,"",VLOOKUP(D1301,Krav!$C:$F,4,FALSE))</f>
        <v>10.a.1.1.1.62 - Hvis StiftelsesDato er valgt: Fristlængden indsættes i Regel R0053 - fristlængden beregnes ved at fratrække værdien fra spm. 10.a.1 med værdien fra 10.a.1.1</v>
      </c>
      <c r="F1301" s="171" t="s">
        <v>226</v>
      </c>
      <c r="G1301" s="171" t="s">
        <v>313</v>
      </c>
      <c r="H1301" s="172" t="s">
        <v>1401</v>
      </c>
      <c r="I1301" s="174" t="s">
        <v>376</v>
      </c>
      <c r="J1301" s="174" t="s">
        <v>222</v>
      </c>
      <c r="K1301" s="123" t="s">
        <v>222</v>
      </c>
      <c r="L1301" s="175" t="s">
        <v>3</v>
      </c>
      <c r="M1301" s="176" t="s">
        <v>129</v>
      </c>
      <c r="N1301" s="176" t="s">
        <v>131</v>
      </c>
      <c r="O1301" s="176" t="s">
        <v>376</v>
      </c>
      <c r="P1301" s="176" t="s">
        <v>1403</v>
      </c>
      <c r="Q1301" s="176" t="s">
        <v>131</v>
      </c>
      <c r="R1301" s="176" t="s">
        <v>131</v>
      </c>
      <c r="S1301" s="176" t="s">
        <v>131</v>
      </c>
      <c r="T1301" s="176"/>
      <c r="U1301" s="176" t="s">
        <v>1301</v>
      </c>
      <c r="V1301" s="176"/>
      <c r="W1301" s="176"/>
      <c r="X1301" s="176"/>
      <c r="Y1301" s="176"/>
      <c r="Z1301" s="176"/>
      <c r="AA1301" s="176"/>
      <c r="AB1301" s="176"/>
      <c r="AC1301" s="176"/>
      <c r="AD1301" s="177" t="s">
        <v>5</v>
      </c>
    </row>
    <row r="1302" spans="1:30" s="178" customFormat="1" ht="33" customHeight="1" x14ac:dyDescent="0.3">
      <c r="A1302" s="167">
        <v>29</v>
      </c>
      <c r="B1302" s="168">
        <v>21</v>
      </c>
      <c r="C1302" s="169" t="str">
        <f t="shared" si="29"/>
        <v>29.21</v>
      </c>
      <c r="D1302" s="170" t="s">
        <v>941</v>
      </c>
      <c r="E1302" s="64" t="str">
        <f>IF(ISBLANK(D1302)=TRUE,"",VLOOKUP(D1302,Krav!$C:$F,4,FALSE))</f>
        <v>10.a.1.1.1.63 - Hvis StiftelsesDato er valgt: Fristlængden indsættes i Regel R0054 - fristlængden beregnes ved at fratrække værdien fra spm. 10.a.1 med værdien fra 10.a.1.1</v>
      </c>
      <c r="F1302" s="171" t="s">
        <v>226</v>
      </c>
      <c r="G1302" s="171" t="s">
        <v>313</v>
      </c>
      <c r="H1302" s="172" t="s">
        <v>1401</v>
      </c>
      <c r="I1302" s="174" t="s">
        <v>376</v>
      </c>
      <c r="J1302" s="174" t="s">
        <v>222</v>
      </c>
      <c r="K1302" s="123" t="s">
        <v>222</v>
      </c>
      <c r="L1302" s="175" t="s">
        <v>3</v>
      </c>
      <c r="M1302" s="176" t="s">
        <v>129</v>
      </c>
      <c r="N1302" s="176" t="s">
        <v>131</v>
      </c>
      <c r="O1302" s="176" t="s">
        <v>376</v>
      </c>
      <c r="P1302" s="176" t="s">
        <v>1403</v>
      </c>
      <c r="Q1302" s="176" t="s">
        <v>131</v>
      </c>
      <c r="R1302" s="176" t="s">
        <v>131</v>
      </c>
      <c r="S1302" s="176" t="s">
        <v>131</v>
      </c>
      <c r="T1302" s="176"/>
      <c r="U1302" s="176" t="s">
        <v>1302</v>
      </c>
      <c r="V1302" s="176"/>
      <c r="W1302" s="176"/>
      <c r="X1302" s="176"/>
      <c r="Y1302" s="176"/>
      <c r="Z1302" s="176"/>
      <c r="AA1302" s="176"/>
      <c r="AB1302" s="176"/>
      <c r="AC1302" s="176"/>
      <c r="AD1302" s="177" t="s">
        <v>5</v>
      </c>
    </row>
    <row r="1303" spans="1:30" s="178" customFormat="1" ht="33" customHeight="1" x14ac:dyDescent="0.3">
      <c r="A1303" s="167">
        <v>29</v>
      </c>
      <c r="B1303" s="168">
        <v>22</v>
      </c>
      <c r="C1303" s="169" t="str">
        <f t="shared" si="29"/>
        <v>29.22</v>
      </c>
      <c r="D1303" s="170" t="s">
        <v>969</v>
      </c>
      <c r="E1303" s="64" t="str">
        <f>IF(ISBLANK(D1303)=TRUE,"",VLOOKUP(D1303,Krav!$C:$F,4,FALSE))</f>
        <v>10.a.1.1.1.77 - Hvis StiftelsesDato er valgt: Fristlængden indsættes i Regel R0068 - fristlængden beregnes ved at fratrække værdien fra spm. 10.a.1 med værdien fra 10.a.1.1</v>
      </c>
      <c r="F1303" s="171" t="s">
        <v>226</v>
      </c>
      <c r="G1303" s="171" t="s">
        <v>313</v>
      </c>
      <c r="H1303" s="172" t="s">
        <v>1401</v>
      </c>
      <c r="I1303" s="174" t="s">
        <v>376</v>
      </c>
      <c r="J1303" s="174" t="s">
        <v>222</v>
      </c>
      <c r="K1303" s="123" t="s">
        <v>222</v>
      </c>
      <c r="L1303" s="175" t="s">
        <v>3</v>
      </c>
      <c r="M1303" s="176" t="s">
        <v>129</v>
      </c>
      <c r="N1303" s="176" t="s">
        <v>131</v>
      </c>
      <c r="O1303" s="176" t="s">
        <v>376</v>
      </c>
      <c r="P1303" s="176" t="s">
        <v>1403</v>
      </c>
      <c r="Q1303" s="176" t="s">
        <v>131</v>
      </c>
      <c r="R1303" s="176" t="s">
        <v>131</v>
      </c>
      <c r="S1303" s="176" t="s">
        <v>131</v>
      </c>
      <c r="T1303" s="176"/>
      <c r="U1303" s="176" t="s">
        <v>1303</v>
      </c>
      <c r="V1303" s="176"/>
      <c r="W1303" s="176"/>
      <c r="X1303" s="176"/>
      <c r="Y1303" s="176"/>
      <c r="Z1303" s="176"/>
      <c r="AA1303" s="176"/>
      <c r="AB1303" s="176"/>
      <c r="AC1303" s="176"/>
      <c r="AD1303" s="177" t="s">
        <v>5</v>
      </c>
    </row>
    <row r="1304" spans="1:30" s="178" customFormat="1" ht="33" customHeight="1" x14ac:dyDescent="0.3">
      <c r="A1304" s="167">
        <v>29</v>
      </c>
      <c r="B1304" s="168">
        <v>23</v>
      </c>
      <c r="C1304" s="169" t="str">
        <f t="shared" si="29"/>
        <v>29.23</v>
      </c>
      <c r="D1304" s="170" t="s">
        <v>935</v>
      </c>
      <c r="E1304" s="64" t="str">
        <f>IF(ISBLANK(D1304)=TRUE,"",VLOOKUP(D1304,Krav!$C:$F,4,FALSE))</f>
        <v>10.a.1.1.1.60 - Hvis StiftelsesDato er valgt: Fristlængden indsættes i Regel R0051 - fristlængden beregnes ved at fratrække værdien fra spm. 10.a.1 med værdien fra 10.a.1.1</v>
      </c>
      <c r="F1304" s="171" t="s">
        <v>226</v>
      </c>
      <c r="G1304" s="171" t="s">
        <v>313</v>
      </c>
      <c r="H1304" s="172" t="s">
        <v>1404</v>
      </c>
      <c r="I1304" s="173" t="s">
        <v>408</v>
      </c>
      <c r="J1304" s="173" t="s">
        <v>222</v>
      </c>
      <c r="K1304" s="123" t="s">
        <v>222</v>
      </c>
      <c r="L1304" s="181" t="s">
        <v>4</v>
      </c>
      <c r="M1304" s="176" t="s">
        <v>129</v>
      </c>
      <c r="N1304" s="176" t="s">
        <v>131</v>
      </c>
      <c r="O1304" s="176" t="s">
        <v>1403</v>
      </c>
      <c r="P1304" s="176" t="s">
        <v>1405</v>
      </c>
      <c r="Q1304" s="176" t="s">
        <v>131</v>
      </c>
      <c r="R1304" s="176" t="s">
        <v>131</v>
      </c>
      <c r="S1304" s="176" t="s">
        <v>131</v>
      </c>
      <c r="T1304" s="176"/>
      <c r="U1304" s="176" t="s">
        <v>1299</v>
      </c>
      <c r="V1304" s="176"/>
      <c r="W1304" s="176"/>
      <c r="X1304" s="176"/>
      <c r="Y1304" s="176"/>
      <c r="Z1304" s="176"/>
      <c r="AA1304" s="176"/>
      <c r="AB1304" s="176"/>
      <c r="AC1304" s="176"/>
      <c r="AD1304" s="177" t="s">
        <v>5</v>
      </c>
    </row>
    <row r="1305" spans="1:30" s="178" customFormat="1" ht="33" customHeight="1" x14ac:dyDescent="0.3">
      <c r="A1305" s="167">
        <v>29</v>
      </c>
      <c r="B1305" s="168">
        <v>24</v>
      </c>
      <c r="C1305" s="169" t="str">
        <f t="shared" si="29"/>
        <v>29.24</v>
      </c>
      <c r="D1305" s="170" t="s">
        <v>937</v>
      </c>
      <c r="E1305" s="64" t="str">
        <f>IF(ISBLANK(D1305)=TRUE,"",VLOOKUP(D1305,Krav!$C:$F,4,FALSE))</f>
        <v>10.a.1.1.1.61 - Hvis StiftelsesDato er valgt: Fristlængden indsættes i Regel R0052 - fristlængden beregnes ved at fratrække værdien fra spm. 10.a.1 med værdien fra 10.a.1.1</v>
      </c>
      <c r="F1305" s="171" t="s">
        <v>226</v>
      </c>
      <c r="G1305" s="171" t="s">
        <v>313</v>
      </c>
      <c r="H1305" s="172" t="s">
        <v>1404</v>
      </c>
      <c r="I1305" s="173" t="s">
        <v>408</v>
      </c>
      <c r="J1305" s="173" t="s">
        <v>222</v>
      </c>
      <c r="K1305" s="123" t="s">
        <v>222</v>
      </c>
      <c r="L1305" s="181" t="s">
        <v>4</v>
      </c>
      <c r="M1305" s="176" t="s">
        <v>129</v>
      </c>
      <c r="N1305" s="176" t="s">
        <v>131</v>
      </c>
      <c r="O1305" s="176" t="s">
        <v>1403</v>
      </c>
      <c r="P1305" s="176" t="s">
        <v>1405</v>
      </c>
      <c r="Q1305" s="176" t="s">
        <v>131</v>
      </c>
      <c r="R1305" s="176" t="s">
        <v>131</v>
      </c>
      <c r="S1305" s="176" t="s">
        <v>131</v>
      </c>
      <c r="T1305" s="176"/>
      <c r="U1305" s="176" t="s">
        <v>1300</v>
      </c>
      <c r="V1305" s="176"/>
      <c r="W1305" s="176"/>
      <c r="X1305" s="176"/>
      <c r="Y1305" s="176"/>
      <c r="Z1305" s="176"/>
      <c r="AA1305" s="176"/>
      <c r="AB1305" s="176"/>
      <c r="AC1305" s="176"/>
      <c r="AD1305" s="177" t="s">
        <v>5</v>
      </c>
    </row>
    <row r="1306" spans="1:30" s="178" customFormat="1" ht="33" customHeight="1" x14ac:dyDescent="0.3">
      <c r="A1306" s="167">
        <v>29</v>
      </c>
      <c r="B1306" s="168">
        <v>25</v>
      </c>
      <c r="C1306" s="169" t="str">
        <f t="shared" si="29"/>
        <v>29.25</v>
      </c>
      <c r="D1306" s="170" t="s">
        <v>939</v>
      </c>
      <c r="E1306" s="64" t="str">
        <f>IF(ISBLANK(D1306)=TRUE,"",VLOOKUP(D1306,Krav!$C:$F,4,FALSE))</f>
        <v>10.a.1.1.1.62 - Hvis StiftelsesDato er valgt: Fristlængden indsættes i Regel R0053 - fristlængden beregnes ved at fratrække værdien fra spm. 10.a.1 med værdien fra 10.a.1.1</v>
      </c>
      <c r="F1306" s="171" t="s">
        <v>226</v>
      </c>
      <c r="G1306" s="171" t="s">
        <v>313</v>
      </c>
      <c r="H1306" s="172" t="s">
        <v>1404</v>
      </c>
      <c r="I1306" s="173" t="s">
        <v>408</v>
      </c>
      <c r="J1306" s="174" t="s">
        <v>222</v>
      </c>
      <c r="K1306" s="123" t="s">
        <v>222</v>
      </c>
      <c r="L1306" s="181" t="s">
        <v>4</v>
      </c>
      <c r="M1306" s="176" t="s">
        <v>129</v>
      </c>
      <c r="N1306" s="176" t="s">
        <v>131</v>
      </c>
      <c r="O1306" s="176" t="s">
        <v>1403</v>
      </c>
      <c r="P1306" s="176" t="s">
        <v>1405</v>
      </c>
      <c r="Q1306" s="176" t="s">
        <v>131</v>
      </c>
      <c r="R1306" s="176" t="s">
        <v>131</v>
      </c>
      <c r="S1306" s="176" t="s">
        <v>131</v>
      </c>
      <c r="T1306" s="176"/>
      <c r="U1306" s="176" t="s">
        <v>1301</v>
      </c>
      <c r="V1306" s="176"/>
      <c r="W1306" s="176"/>
      <c r="X1306" s="176"/>
      <c r="Y1306" s="176"/>
      <c r="Z1306" s="176"/>
      <c r="AA1306" s="176"/>
      <c r="AB1306" s="176"/>
      <c r="AC1306" s="176"/>
      <c r="AD1306" s="177" t="s">
        <v>5</v>
      </c>
    </row>
    <row r="1307" spans="1:30" s="178" customFormat="1" ht="33" customHeight="1" x14ac:dyDescent="0.3">
      <c r="A1307" s="167">
        <v>29</v>
      </c>
      <c r="B1307" s="168">
        <v>26</v>
      </c>
      <c r="C1307" s="169" t="str">
        <f t="shared" si="29"/>
        <v>29.26</v>
      </c>
      <c r="D1307" s="170" t="s">
        <v>941</v>
      </c>
      <c r="E1307" s="64" t="str">
        <f>IF(ISBLANK(D1307)=TRUE,"",VLOOKUP(D1307,Krav!$C:$F,4,FALSE))</f>
        <v>10.a.1.1.1.63 - Hvis StiftelsesDato er valgt: Fristlængden indsættes i Regel R0054 - fristlængden beregnes ved at fratrække værdien fra spm. 10.a.1 med værdien fra 10.a.1.1</v>
      </c>
      <c r="F1307" s="171" t="s">
        <v>226</v>
      </c>
      <c r="G1307" s="171" t="s">
        <v>313</v>
      </c>
      <c r="H1307" s="172" t="s">
        <v>1404</v>
      </c>
      <c r="I1307" s="173" t="s">
        <v>408</v>
      </c>
      <c r="J1307" s="174" t="s">
        <v>222</v>
      </c>
      <c r="K1307" s="123" t="s">
        <v>222</v>
      </c>
      <c r="L1307" s="181" t="s">
        <v>4</v>
      </c>
      <c r="M1307" s="176" t="s">
        <v>129</v>
      </c>
      <c r="N1307" s="176" t="s">
        <v>131</v>
      </c>
      <c r="O1307" s="176" t="s">
        <v>1403</v>
      </c>
      <c r="P1307" s="176" t="s">
        <v>1405</v>
      </c>
      <c r="Q1307" s="176" t="s">
        <v>131</v>
      </c>
      <c r="R1307" s="176" t="s">
        <v>131</v>
      </c>
      <c r="S1307" s="176" t="s">
        <v>131</v>
      </c>
      <c r="T1307" s="176"/>
      <c r="U1307" s="176" t="s">
        <v>1302</v>
      </c>
      <c r="V1307" s="176"/>
      <c r="W1307" s="176"/>
      <c r="X1307" s="176"/>
      <c r="Y1307" s="176"/>
      <c r="Z1307" s="176"/>
      <c r="AA1307" s="176"/>
      <c r="AB1307" s="176"/>
      <c r="AC1307" s="176"/>
      <c r="AD1307" s="177" t="s">
        <v>5</v>
      </c>
    </row>
    <row r="1308" spans="1:30" s="178" customFormat="1" ht="33" customHeight="1" x14ac:dyDescent="0.3">
      <c r="A1308" s="167">
        <v>29</v>
      </c>
      <c r="B1308" s="168">
        <v>27</v>
      </c>
      <c r="C1308" s="169" t="str">
        <f t="shared" si="29"/>
        <v>29.27</v>
      </c>
      <c r="D1308" s="170" t="s">
        <v>969</v>
      </c>
      <c r="E1308" s="64" t="str">
        <f>IF(ISBLANK(D1308)=TRUE,"",VLOOKUP(D1308,Krav!$C:$F,4,FALSE))</f>
        <v>10.a.1.1.1.77 - Hvis StiftelsesDato er valgt: Fristlængden indsættes i Regel R0068 - fristlængden beregnes ved at fratrække værdien fra spm. 10.a.1 med værdien fra 10.a.1.1</v>
      </c>
      <c r="F1308" s="171" t="s">
        <v>226</v>
      </c>
      <c r="G1308" s="171" t="s">
        <v>313</v>
      </c>
      <c r="H1308" s="172" t="s">
        <v>1404</v>
      </c>
      <c r="I1308" s="173" t="s">
        <v>408</v>
      </c>
      <c r="J1308" s="174" t="s">
        <v>222</v>
      </c>
      <c r="K1308" s="123" t="s">
        <v>222</v>
      </c>
      <c r="L1308" s="181" t="s">
        <v>4</v>
      </c>
      <c r="M1308" s="176" t="s">
        <v>129</v>
      </c>
      <c r="N1308" s="176" t="s">
        <v>131</v>
      </c>
      <c r="O1308" s="176" t="s">
        <v>1403</v>
      </c>
      <c r="P1308" s="176" t="s">
        <v>1405</v>
      </c>
      <c r="Q1308" s="176" t="s">
        <v>131</v>
      </c>
      <c r="R1308" s="176" t="s">
        <v>131</v>
      </c>
      <c r="S1308" s="176" t="s">
        <v>131</v>
      </c>
      <c r="T1308" s="176"/>
      <c r="U1308" s="176" t="s">
        <v>1303</v>
      </c>
      <c r="V1308" s="176"/>
      <c r="W1308" s="176"/>
      <c r="X1308" s="176"/>
      <c r="Y1308" s="176"/>
      <c r="Z1308" s="176"/>
      <c r="AA1308" s="176"/>
      <c r="AB1308" s="176"/>
      <c r="AC1308" s="176"/>
      <c r="AD1308" s="177" t="s">
        <v>5</v>
      </c>
    </row>
    <row r="1309" spans="1:30" s="178" customFormat="1" ht="33" customHeight="1" x14ac:dyDescent="0.3">
      <c r="A1309" s="167">
        <v>29</v>
      </c>
      <c r="B1309" s="168">
        <v>28</v>
      </c>
      <c r="C1309" s="169" t="str">
        <f t="shared" si="29"/>
        <v>29.28</v>
      </c>
      <c r="D1309" s="170" t="s">
        <v>935</v>
      </c>
      <c r="E1309" s="64" t="str">
        <f>IF(ISBLANK(D1309)=TRUE,"",VLOOKUP(D1309,Krav!$C:$F,4,FALSE))</f>
        <v>10.a.1.1.1.60 - Hvis StiftelsesDato er valgt: Fristlængden indsættes i Regel R0051 - fristlængden beregnes ved at fratrække værdien fra spm. 10.a.1 med værdien fra 10.a.1.1</v>
      </c>
      <c r="F1309" s="171" t="s">
        <v>226</v>
      </c>
      <c r="G1309" s="171" t="s">
        <v>313</v>
      </c>
      <c r="H1309" s="172" t="s">
        <v>1404</v>
      </c>
      <c r="I1309" s="174" t="s">
        <v>410</v>
      </c>
      <c r="J1309" s="173" t="s">
        <v>222</v>
      </c>
      <c r="K1309" s="123" t="s">
        <v>222</v>
      </c>
      <c r="L1309" s="181" t="s">
        <v>4</v>
      </c>
      <c r="M1309" s="176" t="s">
        <v>129</v>
      </c>
      <c r="N1309" s="176" t="s">
        <v>131</v>
      </c>
      <c r="O1309" s="176" t="s">
        <v>1405</v>
      </c>
      <c r="P1309" s="176" t="s">
        <v>1403</v>
      </c>
      <c r="Q1309" s="176" t="s">
        <v>131</v>
      </c>
      <c r="R1309" s="176" t="s">
        <v>131</v>
      </c>
      <c r="S1309" s="176" t="s">
        <v>131</v>
      </c>
      <c r="T1309" s="176"/>
      <c r="U1309" s="176" t="s">
        <v>1299</v>
      </c>
      <c r="V1309" s="176"/>
      <c r="W1309" s="176"/>
      <c r="X1309" s="176"/>
      <c r="Y1309" s="176"/>
      <c r="Z1309" s="176"/>
      <c r="AA1309" s="176"/>
      <c r="AB1309" s="176"/>
      <c r="AC1309" s="176"/>
      <c r="AD1309" s="177" t="s">
        <v>5</v>
      </c>
    </row>
    <row r="1310" spans="1:30" s="178" customFormat="1" ht="33" customHeight="1" x14ac:dyDescent="0.3">
      <c r="A1310" s="167">
        <v>29</v>
      </c>
      <c r="B1310" s="168">
        <v>29</v>
      </c>
      <c r="C1310" s="169" t="str">
        <f t="shared" si="29"/>
        <v>29.29</v>
      </c>
      <c r="D1310" s="170" t="s">
        <v>937</v>
      </c>
      <c r="E1310" s="64" t="str">
        <f>IF(ISBLANK(D1310)=TRUE,"",VLOOKUP(D1310,Krav!$C:$F,4,FALSE))</f>
        <v>10.a.1.1.1.61 - Hvis StiftelsesDato er valgt: Fristlængden indsættes i Regel R0052 - fristlængden beregnes ved at fratrække værdien fra spm. 10.a.1 med værdien fra 10.a.1.1</v>
      </c>
      <c r="F1310" s="171" t="s">
        <v>226</v>
      </c>
      <c r="G1310" s="171" t="s">
        <v>313</v>
      </c>
      <c r="H1310" s="172" t="s">
        <v>1404</v>
      </c>
      <c r="I1310" s="174" t="s">
        <v>410</v>
      </c>
      <c r="J1310" s="173" t="s">
        <v>222</v>
      </c>
      <c r="K1310" s="123" t="s">
        <v>222</v>
      </c>
      <c r="L1310" s="181" t="s">
        <v>4</v>
      </c>
      <c r="M1310" s="176" t="s">
        <v>129</v>
      </c>
      <c r="N1310" s="176" t="s">
        <v>131</v>
      </c>
      <c r="O1310" s="176" t="s">
        <v>1405</v>
      </c>
      <c r="P1310" s="176" t="s">
        <v>1403</v>
      </c>
      <c r="Q1310" s="176" t="s">
        <v>131</v>
      </c>
      <c r="R1310" s="176" t="s">
        <v>131</v>
      </c>
      <c r="S1310" s="176" t="s">
        <v>131</v>
      </c>
      <c r="T1310" s="176"/>
      <c r="U1310" s="176" t="s">
        <v>1300</v>
      </c>
      <c r="V1310" s="176"/>
      <c r="W1310" s="176"/>
      <c r="X1310" s="176"/>
      <c r="Y1310" s="176"/>
      <c r="Z1310" s="176"/>
      <c r="AA1310" s="176"/>
      <c r="AB1310" s="176"/>
      <c r="AC1310" s="176"/>
      <c r="AD1310" s="177" t="s">
        <v>5</v>
      </c>
    </row>
    <row r="1311" spans="1:30" s="178" customFormat="1" ht="33" customHeight="1" x14ac:dyDescent="0.3">
      <c r="A1311" s="167">
        <v>29</v>
      </c>
      <c r="B1311" s="168">
        <v>30</v>
      </c>
      <c r="C1311" s="169" t="str">
        <f t="shared" si="29"/>
        <v>29.30</v>
      </c>
      <c r="D1311" s="170" t="s">
        <v>939</v>
      </c>
      <c r="E1311" s="64" t="str">
        <f>IF(ISBLANK(D1311)=TRUE,"",VLOOKUP(D1311,Krav!$C:$F,4,FALSE))</f>
        <v>10.a.1.1.1.62 - Hvis StiftelsesDato er valgt: Fristlængden indsættes i Regel R0053 - fristlængden beregnes ved at fratrække værdien fra spm. 10.a.1 med værdien fra 10.a.1.1</v>
      </c>
      <c r="F1311" s="171" t="s">
        <v>226</v>
      </c>
      <c r="G1311" s="171" t="s">
        <v>313</v>
      </c>
      <c r="H1311" s="172" t="s">
        <v>1404</v>
      </c>
      <c r="I1311" s="174" t="s">
        <v>410</v>
      </c>
      <c r="J1311" s="174" t="s">
        <v>222</v>
      </c>
      <c r="K1311" s="123" t="s">
        <v>222</v>
      </c>
      <c r="L1311" s="181" t="s">
        <v>4</v>
      </c>
      <c r="M1311" s="176" t="s">
        <v>129</v>
      </c>
      <c r="N1311" s="176" t="s">
        <v>131</v>
      </c>
      <c r="O1311" s="176" t="s">
        <v>1405</v>
      </c>
      <c r="P1311" s="176" t="s">
        <v>1403</v>
      </c>
      <c r="Q1311" s="176" t="s">
        <v>131</v>
      </c>
      <c r="R1311" s="176" t="s">
        <v>131</v>
      </c>
      <c r="S1311" s="176" t="s">
        <v>131</v>
      </c>
      <c r="T1311" s="176"/>
      <c r="U1311" s="176" t="s">
        <v>1301</v>
      </c>
      <c r="V1311" s="176"/>
      <c r="W1311" s="176"/>
      <c r="X1311" s="176"/>
      <c r="Y1311" s="176"/>
      <c r="Z1311" s="176"/>
      <c r="AA1311" s="176"/>
      <c r="AB1311" s="176"/>
      <c r="AC1311" s="176"/>
      <c r="AD1311" s="177" t="s">
        <v>5</v>
      </c>
    </row>
    <row r="1312" spans="1:30" s="178" customFormat="1" ht="33" customHeight="1" x14ac:dyDescent="0.3">
      <c r="A1312" s="167">
        <v>29</v>
      </c>
      <c r="B1312" s="168">
        <v>31</v>
      </c>
      <c r="C1312" s="169" t="str">
        <f t="shared" si="29"/>
        <v>29.31</v>
      </c>
      <c r="D1312" s="170" t="s">
        <v>941</v>
      </c>
      <c r="E1312" s="64" t="str">
        <f>IF(ISBLANK(D1312)=TRUE,"",VLOOKUP(D1312,Krav!$C:$F,4,FALSE))</f>
        <v>10.a.1.1.1.63 - Hvis StiftelsesDato er valgt: Fristlængden indsættes i Regel R0054 - fristlængden beregnes ved at fratrække værdien fra spm. 10.a.1 med værdien fra 10.a.1.1</v>
      </c>
      <c r="F1312" s="171" t="s">
        <v>226</v>
      </c>
      <c r="G1312" s="171" t="s">
        <v>313</v>
      </c>
      <c r="H1312" s="172" t="s">
        <v>1404</v>
      </c>
      <c r="I1312" s="174" t="s">
        <v>410</v>
      </c>
      <c r="J1312" s="174" t="s">
        <v>222</v>
      </c>
      <c r="K1312" s="123" t="s">
        <v>222</v>
      </c>
      <c r="L1312" s="181" t="s">
        <v>4</v>
      </c>
      <c r="M1312" s="176" t="s">
        <v>129</v>
      </c>
      <c r="N1312" s="176" t="s">
        <v>131</v>
      </c>
      <c r="O1312" s="176" t="s">
        <v>1405</v>
      </c>
      <c r="P1312" s="176" t="s">
        <v>1403</v>
      </c>
      <c r="Q1312" s="176" t="s">
        <v>131</v>
      </c>
      <c r="R1312" s="176" t="s">
        <v>131</v>
      </c>
      <c r="S1312" s="176" t="s">
        <v>131</v>
      </c>
      <c r="T1312" s="176"/>
      <c r="U1312" s="176" t="s">
        <v>1302</v>
      </c>
      <c r="V1312" s="176"/>
      <c r="W1312" s="176"/>
      <c r="X1312" s="176"/>
      <c r="Y1312" s="176"/>
      <c r="Z1312" s="176"/>
      <c r="AA1312" s="176"/>
      <c r="AB1312" s="176"/>
      <c r="AC1312" s="176"/>
      <c r="AD1312" s="177" t="s">
        <v>5</v>
      </c>
    </row>
    <row r="1313" spans="1:38" s="178" customFormat="1" ht="33" customHeight="1" x14ac:dyDescent="0.3">
      <c r="A1313" s="167">
        <v>29</v>
      </c>
      <c r="B1313" s="168">
        <v>32</v>
      </c>
      <c r="C1313" s="169" t="str">
        <f t="shared" si="29"/>
        <v>29.32</v>
      </c>
      <c r="D1313" s="170" t="s">
        <v>969</v>
      </c>
      <c r="E1313" s="64" t="str">
        <f>IF(ISBLANK(D1313)=TRUE,"",VLOOKUP(D1313,Krav!$C:$F,4,FALSE))</f>
        <v>10.a.1.1.1.77 - Hvis StiftelsesDato er valgt: Fristlængden indsættes i Regel R0068 - fristlængden beregnes ved at fratrække værdien fra spm. 10.a.1 med værdien fra 10.a.1.1</v>
      </c>
      <c r="F1313" s="171" t="s">
        <v>226</v>
      </c>
      <c r="G1313" s="171" t="s">
        <v>313</v>
      </c>
      <c r="H1313" s="172" t="s">
        <v>1404</v>
      </c>
      <c r="I1313" s="174" t="s">
        <v>410</v>
      </c>
      <c r="J1313" s="174" t="s">
        <v>222</v>
      </c>
      <c r="K1313" s="123" t="s">
        <v>222</v>
      </c>
      <c r="L1313" s="181" t="s">
        <v>4</v>
      </c>
      <c r="M1313" s="176" t="s">
        <v>129</v>
      </c>
      <c r="N1313" s="176" t="s">
        <v>131</v>
      </c>
      <c r="O1313" s="176" t="s">
        <v>1405</v>
      </c>
      <c r="P1313" s="176" t="s">
        <v>1403</v>
      </c>
      <c r="Q1313" s="176" t="s">
        <v>131</v>
      </c>
      <c r="R1313" s="176" t="s">
        <v>131</v>
      </c>
      <c r="S1313" s="176" t="s">
        <v>131</v>
      </c>
      <c r="T1313" s="176"/>
      <c r="U1313" s="176" t="s">
        <v>1303</v>
      </c>
      <c r="V1313" s="176"/>
      <c r="W1313" s="176"/>
      <c r="X1313" s="176"/>
      <c r="Y1313" s="176"/>
      <c r="Z1313" s="176"/>
      <c r="AA1313" s="176"/>
      <c r="AB1313" s="176"/>
      <c r="AC1313" s="176"/>
      <c r="AD1313" s="177" t="s">
        <v>5</v>
      </c>
    </row>
    <row r="1314" spans="1:38" s="178" customFormat="1" ht="33" customHeight="1" x14ac:dyDescent="0.3">
      <c r="A1314" s="167">
        <v>29</v>
      </c>
      <c r="B1314" s="168">
        <v>33</v>
      </c>
      <c r="C1314" s="169" t="str">
        <f t="shared" si="29"/>
        <v>29.33</v>
      </c>
      <c r="D1314" s="170" t="s">
        <v>1029</v>
      </c>
      <c r="E1314" s="64" t="str">
        <f>IF(ISBLANK(D1314)=TRUE,"",VLOOKUP(D1314,Krav!$C:$F,4,FALSE))</f>
        <v>10.a.1.1.1.107 - Der angives et ”JA” i populationen under ”Vil RIM beregne en tidligst mulig forældelsesdato?”</v>
      </c>
      <c r="F1314" s="171" t="s">
        <v>221</v>
      </c>
      <c r="G1314" s="171"/>
      <c r="H1314" s="172" t="s">
        <v>1406</v>
      </c>
      <c r="I1314" s="174" t="s">
        <v>240</v>
      </c>
      <c r="J1314" s="174" t="s">
        <v>222</v>
      </c>
      <c r="K1314" s="125" t="s">
        <v>222</v>
      </c>
      <c r="L1314" s="175" t="s">
        <v>3</v>
      </c>
      <c r="M1314" s="176" t="s">
        <v>129</v>
      </c>
      <c r="N1314" s="176" t="s">
        <v>131</v>
      </c>
      <c r="O1314" s="176" t="s">
        <v>376</v>
      </c>
      <c r="P1314" s="176" t="s">
        <v>376</v>
      </c>
      <c r="Q1314" s="176" t="s">
        <v>131</v>
      </c>
      <c r="R1314" s="176" t="s">
        <v>131</v>
      </c>
      <c r="S1314" s="176" t="s">
        <v>131</v>
      </c>
      <c r="T1314" s="176"/>
      <c r="U1314" s="176"/>
      <c r="V1314" s="176"/>
      <c r="W1314" s="176"/>
      <c r="X1314" s="176"/>
      <c r="Y1314" s="176"/>
      <c r="Z1314" s="176"/>
      <c r="AA1314" s="176"/>
      <c r="AB1314" s="176"/>
      <c r="AC1314" s="176"/>
      <c r="AD1314" s="177" t="s">
        <v>5</v>
      </c>
    </row>
    <row r="1315" spans="1:38" s="178" customFormat="1" ht="33" customHeight="1" x14ac:dyDescent="0.3">
      <c r="A1315" s="167">
        <v>29</v>
      </c>
      <c r="B1315" s="168">
        <v>34</v>
      </c>
      <c r="C1315" s="169" t="str">
        <f t="shared" si="29"/>
        <v>29.34</v>
      </c>
      <c r="D1315" s="170"/>
      <c r="E1315" s="64" t="str">
        <f>IF(ISBLANK(D1315)=TRUE,"",VLOOKUP(D1315,Krav!$C:$F,4,FALSE))</f>
        <v/>
      </c>
      <c r="F1315" s="171" t="s">
        <v>225</v>
      </c>
      <c r="G1315" s="179" t="s">
        <v>230</v>
      </c>
      <c r="H1315" s="179" t="s">
        <v>158</v>
      </c>
      <c r="I1315" s="174" t="s">
        <v>1407</v>
      </c>
      <c r="J1315" s="174" t="s">
        <v>222</v>
      </c>
      <c r="K1315" s="123" t="s">
        <v>222</v>
      </c>
      <c r="L1315" s="175" t="s">
        <v>3</v>
      </c>
      <c r="M1315" s="176" t="s">
        <v>129</v>
      </c>
      <c r="N1315" s="176" t="s">
        <v>131</v>
      </c>
      <c r="O1315" s="176" t="s">
        <v>376</v>
      </c>
      <c r="P1315" s="176" t="s">
        <v>376</v>
      </c>
      <c r="Q1315" s="176" t="s">
        <v>131</v>
      </c>
      <c r="R1315" s="176" t="s">
        <v>131</v>
      </c>
      <c r="S1315" s="176" t="s">
        <v>131</v>
      </c>
      <c r="T1315" s="176"/>
      <c r="U1315" s="176"/>
      <c r="V1315" s="176"/>
      <c r="W1315" s="176"/>
      <c r="X1315" s="176"/>
      <c r="Y1315" s="176"/>
      <c r="Z1315" s="176"/>
      <c r="AA1315" s="176"/>
      <c r="AB1315" s="176"/>
      <c r="AC1315" s="176"/>
      <c r="AD1315" s="177" t="s">
        <v>5</v>
      </c>
    </row>
    <row r="1316" spans="1:38" s="178" customFormat="1" ht="33" customHeight="1" x14ac:dyDescent="0.3">
      <c r="A1316" s="167">
        <v>29</v>
      </c>
      <c r="B1316" s="168">
        <v>35</v>
      </c>
      <c r="C1316" s="169" t="str">
        <f t="shared" si="29"/>
        <v>29.35</v>
      </c>
      <c r="D1316" s="170"/>
      <c r="E1316" s="64" t="str">
        <f>IF(ISBLANK(D1316)=TRUE,"",VLOOKUP(D1316,Krav!$C:$F,4,FALSE))</f>
        <v/>
      </c>
      <c r="F1316" s="171" t="s">
        <v>225</v>
      </c>
      <c r="G1316" s="179" t="s">
        <v>1388</v>
      </c>
      <c r="H1316" s="179" t="s">
        <v>158</v>
      </c>
      <c r="I1316" s="174" t="s">
        <v>376</v>
      </c>
      <c r="J1316" s="174" t="s">
        <v>222</v>
      </c>
      <c r="K1316" s="123" t="s">
        <v>222</v>
      </c>
      <c r="L1316" s="175" t="s">
        <v>3</v>
      </c>
      <c r="M1316" s="176" t="s">
        <v>129</v>
      </c>
      <c r="N1316" s="176" t="s">
        <v>131</v>
      </c>
      <c r="O1316" s="176" t="s">
        <v>376</v>
      </c>
      <c r="P1316" s="176" t="s">
        <v>376</v>
      </c>
      <c r="Q1316" s="176" t="s">
        <v>131</v>
      </c>
      <c r="R1316" s="176" t="s">
        <v>131</v>
      </c>
      <c r="S1316" s="176" t="s">
        <v>131</v>
      </c>
      <c r="T1316" s="176"/>
      <c r="U1316" s="176"/>
      <c r="V1316" s="176"/>
      <c r="W1316" s="176"/>
      <c r="X1316" s="176"/>
      <c r="Y1316" s="176"/>
      <c r="Z1316" s="176"/>
      <c r="AA1316" s="176"/>
      <c r="AB1316" s="176"/>
      <c r="AC1316" s="176"/>
      <c r="AD1316" s="177" t="s">
        <v>5</v>
      </c>
    </row>
    <row r="1317" spans="1:38" s="178" customFormat="1" ht="33" customHeight="1" x14ac:dyDescent="0.3">
      <c r="A1317" s="167">
        <v>29</v>
      </c>
      <c r="B1317" s="168">
        <v>36</v>
      </c>
      <c r="C1317" s="169" t="str">
        <f t="shared" si="29"/>
        <v>29.36</v>
      </c>
      <c r="D1317" s="170"/>
      <c r="E1317" s="64" t="str">
        <f>IF(ISBLANK(D1317)=TRUE,"",VLOOKUP(D1317,Krav!$C:$F,4,FALSE))</f>
        <v/>
      </c>
      <c r="F1317" s="171" t="s">
        <v>225</v>
      </c>
      <c r="G1317" s="179" t="s">
        <v>1389</v>
      </c>
      <c r="H1317" s="179" t="s">
        <v>158</v>
      </c>
      <c r="I1317" s="174" t="s">
        <v>376</v>
      </c>
      <c r="J1317" s="174" t="s">
        <v>222</v>
      </c>
      <c r="K1317" s="123" t="s">
        <v>222</v>
      </c>
      <c r="L1317" s="175" t="s">
        <v>3</v>
      </c>
      <c r="M1317" s="176" t="s">
        <v>129</v>
      </c>
      <c r="N1317" s="176" t="s">
        <v>131</v>
      </c>
      <c r="O1317" s="176" t="s">
        <v>376</v>
      </c>
      <c r="P1317" s="176" t="s">
        <v>376</v>
      </c>
      <c r="Q1317" s="176" t="s">
        <v>131</v>
      </c>
      <c r="R1317" s="176" t="s">
        <v>131</v>
      </c>
      <c r="S1317" s="176" t="s">
        <v>131</v>
      </c>
      <c r="T1317" s="176"/>
      <c r="U1317" s="176"/>
      <c r="V1317" s="176"/>
      <c r="W1317" s="176"/>
      <c r="X1317" s="176"/>
      <c r="Y1317" s="176"/>
      <c r="Z1317" s="176"/>
      <c r="AA1317" s="176"/>
      <c r="AB1317" s="176"/>
      <c r="AC1317" s="176"/>
      <c r="AD1317" s="177" t="s">
        <v>5</v>
      </c>
    </row>
    <row r="1318" spans="1:38" s="310" customFormat="1" ht="33" customHeight="1" x14ac:dyDescent="0.3">
      <c r="A1318" s="301">
        <v>29</v>
      </c>
      <c r="B1318" s="302">
        <v>37</v>
      </c>
      <c r="C1318" s="303" t="str">
        <f t="shared" si="29"/>
        <v>29.37</v>
      </c>
      <c r="D1318" s="304" t="s">
        <v>801</v>
      </c>
      <c r="E1318" s="64" t="str">
        <f>IF(ISBLANK(D1318)=TRUE,"",VLOOKUP(D1318,Krav!$C:$F,4,FALSE))</f>
        <v>10.a.1.1.11 - Såfremt brugeren angiver en frist skal brugeren ledes til spørgsmål 10.a.1.1.1</v>
      </c>
      <c r="F1318" s="305" t="s">
        <v>143</v>
      </c>
      <c r="G1318" s="305"/>
      <c r="H1318" s="305" t="s">
        <v>1408</v>
      </c>
      <c r="I1318" s="306" t="s">
        <v>468</v>
      </c>
      <c r="J1318" s="306" t="s">
        <v>222</v>
      </c>
      <c r="K1318" s="335" t="s">
        <v>222</v>
      </c>
      <c r="L1318" s="307" t="s">
        <v>3</v>
      </c>
      <c r="M1318" s="308" t="s">
        <v>129</v>
      </c>
      <c r="N1318" s="308" t="s">
        <v>131</v>
      </c>
      <c r="O1318" s="308" t="s">
        <v>376</v>
      </c>
      <c r="P1318" s="308" t="s">
        <v>376</v>
      </c>
      <c r="Q1318" s="308" t="s">
        <v>131</v>
      </c>
      <c r="R1318" s="308" t="s">
        <v>131</v>
      </c>
      <c r="S1318" s="308" t="s">
        <v>131</v>
      </c>
      <c r="T1318" s="308"/>
      <c r="U1318" s="308"/>
      <c r="V1318" s="308"/>
      <c r="W1318" s="308"/>
      <c r="X1318" s="308"/>
      <c r="Y1318" s="308"/>
      <c r="Z1318" s="308"/>
      <c r="AA1318" s="308"/>
      <c r="AB1318" s="308"/>
      <c r="AC1318" s="308"/>
      <c r="AD1318" s="309" t="s">
        <v>5</v>
      </c>
    </row>
    <row r="1319" spans="1:38" s="310" customFormat="1" ht="33" customHeight="1" x14ac:dyDescent="0.3">
      <c r="A1319" s="301">
        <v>29</v>
      </c>
      <c r="B1319" s="302">
        <v>38</v>
      </c>
      <c r="C1319" s="303" t="str">
        <f t="shared" si="29"/>
        <v>29.38</v>
      </c>
      <c r="D1319" s="304" t="s">
        <v>1033</v>
      </c>
      <c r="E1319" s="64" t="str">
        <f>IF(ISBLANK(D1319)=TRUE,"",VLOOKUP(D1319,Krav!$C:$F,4,FALSE))</f>
        <v>10.a.1.1.2.1 - Hvis der er svaret "I visse tilfælde" i spørgsmål 9 og hvis der er svaret "Ja" i enten 9.b.1, 9.b.2.1 eller 9.b.2.2.1 skal brugeren ledes til spørgsmål 11</v>
      </c>
      <c r="F1319" s="305" t="s">
        <v>143</v>
      </c>
      <c r="G1319" s="305"/>
      <c r="H1319" s="311" t="s">
        <v>1410</v>
      </c>
      <c r="I1319" s="306" t="s">
        <v>560</v>
      </c>
      <c r="J1319" s="312" t="s">
        <v>222</v>
      </c>
      <c r="K1319" s="335" t="s">
        <v>222</v>
      </c>
      <c r="L1319" s="307" t="s">
        <v>3</v>
      </c>
      <c r="M1319" s="308" t="s">
        <v>129</v>
      </c>
      <c r="N1319" s="308" t="s">
        <v>131</v>
      </c>
      <c r="O1319" s="308" t="s">
        <v>376</v>
      </c>
      <c r="P1319" s="308" t="s">
        <v>376</v>
      </c>
      <c r="Q1319" s="308" t="s">
        <v>131</v>
      </c>
      <c r="R1319" s="308" t="s">
        <v>131</v>
      </c>
      <c r="S1319" s="308" t="s">
        <v>131</v>
      </c>
      <c r="T1319" s="313"/>
      <c r="U1319" s="308"/>
      <c r="V1319" s="308"/>
      <c r="W1319" s="308"/>
      <c r="X1319" s="308"/>
      <c r="Y1319" s="308"/>
      <c r="Z1319" s="308"/>
      <c r="AA1319" s="308" t="s">
        <v>129</v>
      </c>
      <c r="AB1319" s="308"/>
      <c r="AC1319" s="308"/>
      <c r="AD1319" s="309" t="s">
        <v>5</v>
      </c>
    </row>
    <row r="1320" spans="1:38" s="310" customFormat="1" ht="33" customHeight="1" x14ac:dyDescent="0.3">
      <c r="A1320" s="301">
        <v>29</v>
      </c>
      <c r="B1320" s="302">
        <v>39</v>
      </c>
      <c r="C1320" s="303" t="str">
        <f t="shared" si="29"/>
        <v>29.39</v>
      </c>
      <c r="D1320" s="304" t="s">
        <v>1033</v>
      </c>
      <c r="E1320" s="64" t="str">
        <f>IF(ISBLANK(D1320)=TRUE,"",VLOOKUP(D1320,Krav!$C:$F,4,FALSE))</f>
        <v>10.a.1.1.2.1 - Hvis der er svaret "I visse tilfælde" i spørgsmål 9 og hvis der er svaret "Ja" i enten 9.b.1, 9.b.2.1 eller 9.b.2.2.1 skal brugeren ledes til spørgsmål 11</v>
      </c>
      <c r="F1320" s="305" t="s">
        <v>143</v>
      </c>
      <c r="G1320" s="305"/>
      <c r="H1320" s="311" t="s">
        <v>1411</v>
      </c>
      <c r="I1320" s="306" t="s">
        <v>565</v>
      </c>
      <c r="J1320" s="306" t="s">
        <v>222</v>
      </c>
      <c r="K1320" s="335" t="s">
        <v>222</v>
      </c>
      <c r="L1320" s="307" t="s">
        <v>3</v>
      </c>
      <c r="M1320" s="308" t="s">
        <v>129</v>
      </c>
      <c r="N1320" s="308" t="s">
        <v>131</v>
      </c>
      <c r="O1320" s="308" t="s">
        <v>376</v>
      </c>
      <c r="P1320" s="308" t="s">
        <v>376</v>
      </c>
      <c r="Q1320" s="308" t="s">
        <v>131</v>
      </c>
      <c r="R1320" s="308" t="s">
        <v>131</v>
      </c>
      <c r="S1320" s="308" t="s">
        <v>131</v>
      </c>
      <c r="T1320" s="308"/>
      <c r="U1320" s="308"/>
      <c r="V1320" s="308"/>
      <c r="W1320" s="308"/>
      <c r="X1320" s="308"/>
      <c r="Y1320" s="308"/>
      <c r="Z1320" s="308"/>
      <c r="AA1320" s="308"/>
      <c r="AB1320" s="308" t="s">
        <v>129</v>
      </c>
      <c r="AC1320" s="308"/>
      <c r="AD1320" s="309" t="s">
        <v>5</v>
      </c>
    </row>
    <row r="1321" spans="1:38" s="310" customFormat="1" ht="33" customHeight="1" x14ac:dyDescent="0.3">
      <c r="A1321" s="301">
        <v>29</v>
      </c>
      <c r="B1321" s="302">
        <v>40</v>
      </c>
      <c r="C1321" s="303" t="str">
        <f t="shared" si="29"/>
        <v>29.40</v>
      </c>
      <c r="D1321" s="304"/>
      <c r="E1321" s="64" t="str">
        <f>IF(ISBLANK(D1321)=TRUE,"",VLOOKUP(D1321,Krav!$C:$F,4,FALSE))</f>
        <v/>
      </c>
      <c r="F1321" s="305" t="s">
        <v>143</v>
      </c>
      <c r="G1321" s="305"/>
      <c r="H1321" s="311" t="s">
        <v>1356</v>
      </c>
      <c r="I1321" s="306" t="s">
        <v>560</v>
      </c>
      <c r="J1321" s="312" t="s">
        <v>222</v>
      </c>
      <c r="K1321" s="335" t="s">
        <v>222</v>
      </c>
      <c r="L1321" s="314" t="s">
        <v>3</v>
      </c>
      <c r="M1321" s="308" t="s">
        <v>129</v>
      </c>
      <c r="N1321" s="308" t="s">
        <v>131</v>
      </c>
      <c r="O1321" s="308" t="s">
        <v>376</v>
      </c>
      <c r="P1321" s="308" t="s">
        <v>376</v>
      </c>
      <c r="Q1321" s="308" t="s">
        <v>131</v>
      </c>
      <c r="R1321" s="308" t="s">
        <v>131</v>
      </c>
      <c r="S1321" s="308" t="s">
        <v>131</v>
      </c>
      <c r="T1321" s="308"/>
      <c r="U1321" s="308"/>
      <c r="V1321" s="308"/>
      <c r="W1321" s="308"/>
      <c r="X1321" s="308"/>
      <c r="Y1321" s="308"/>
      <c r="Z1321" s="308"/>
      <c r="AA1321" s="308" t="s">
        <v>129</v>
      </c>
      <c r="AB1321" s="308" t="s">
        <v>129</v>
      </c>
      <c r="AC1321" s="308"/>
      <c r="AD1321" s="309" t="s">
        <v>5</v>
      </c>
    </row>
    <row r="1322" spans="1:38" s="178" customFormat="1" ht="33" customHeight="1" x14ac:dyDescent="0.3">
      <c r="A1322" s="167">
        <v>29</v>
      </c>
      <c r="B1322" s="168">
        <v>41</v>
      </c>
      <c r="C1322" s="169" t="str">
        <f t="shared" si="29"/>
        <v>29.41</v>
      </c>
      <c r="D1322" s="170"/>
      <c r="E1322" s="64" t="str">
        <f>IF(ISBLANK(D1322)=TRUE,"",VLOOKUP(D1322,Krav!$C:$F,4,FALSE))</f>
        <v/>
      </c>
      <c r="F1322" s="186" t="s">
        <v>185</v>
      </c>
      <c r="G1322" s="186"/>
      <c r="H1322" s="172" t="s">
        <v>351</v>
      </c>
      <c r="I1322" s="174" t="s">
        <v>305</v>
      </c>
      <c r="J1322" s="173" t="s">
        <v>222</v>
      </c>
      <c r="K1322" s="123" t="s">
        <v>222</v>
      </c>
      <c r="L1322" s="175" t="s">
        <v>3</v>
      </c>
      <c r="M1322" s="176" t="s">
        <v>129</v>
      </c>
      <c r="N1322" s="176" t="s">
        <v>131</v>
      </c>
      <c r="O1322" s="176" t="s">
        <v>376</v>
      </c>
      <c r="P1322" s="176" t="s">
        <v>376</v>
      </c>
      <c r="Q1322" s="176" t="s">
        <v>131</v>
      </c>
      <c r="R1322" s="176" t="s">
        <v>131</v>
      </c>
      <c r="S1322" s="176" t="s">
        <v>131</v>
      </c>
      <c r="T1322" s="176"/>
      <c r="U1322" s="176"/>
      <c r="V1322" s="176"/>
      <c r="W1322" s="176"/>
      <c r="X1322" s="176"/>
      <c r="Y1322" s="176"/>
      <c r="Z1322" s="176"/>
      <c r="AA1322" s="176"/>
      <c r="AB1322" s="176"/>
      <c r="AC1322" s="176"/>
      <c r="AD1322" s="177" t="s">
        <v>5</v>
      </c>
    </row>
    <row r="1323" spans="1:38" s="178" customFormat="1" ht="33" customHeight="1" x14ac:dyDescent="0.3">
      <c r="A1323" s="167">
        <v>29</v>
      </c>
      <c r="B1323" s="168">
        <v>42</v>
      </c>
      <c r="C1323" s="169" t="str">
        <f t="shared" si="29"/>
        <v>29.42</v>
      </c>
      <c r="D1323" s="170" t="s">
        <v>768</v>
      </c>
      <c r="E1323" s="64" t="str">
        <f>IF(ISBLANK(D1323)=TRUE,"",VLOOKUP(D1323,Krav!$C:$F,4,FALSE))</f>
        <v>10.a.1.7 - Såfremt brugeren angiver antal dage skal brugeren ledes til spørgsmål 10.a.1.1</v>
      </c>
      <c r="F1323" s="186" t="s">
        <v>174</v>
      </c>
      <c r="G1323" s="184"/>
      <c r="H1323" s="172" t="s">
        <v>1413</v>
      </c>
      <c r="I1323" s="174" t="s">
        <v>1414</v>
      </c>
      <c r="J1323" s="174" t="s">
        <v>222</v>
      </c>
      <c r="K1323" s="125" t="s">
        <v>222</v>
      </c>
      <c r="L1323" s="175" t="s">
        <v>4</v>
      </c>
      <c r="M1323" s="176" t="s">
        <v>129</v>
      </c>
      <c r="N1323" s="176" t="s">
        <v>131</v>
      </c>
      <c r="O1323" s="187" t="s">
        <v>96</v>
      </c>
      <c r="P1323" s="176" t="s">
        <v>376</v>
      </c>
      <c r="Q1323" s="176" t="s">
        <v>131</v>
      </c>
      <c r="R1323" s="176" t="s">
        <v>131</v>
      </c>
      <c r="S1323" s="176" t="s">
        <v>131</v>
      </c>
      <c r="T1323" s="176"/>
      <c r="U1323" s="176"/>
      <c r="V1323" s="176"/>
      <c r="W1323" s="176"/>
      <c r="X1323" s="176"/>
      <c r="Y1323" s="176"/>
      <c r="Z1323" s="176"/>
      <c r="AA1323" s="176"/>
      <c r="AB1323" s="176"/>
      <c r="AC1323" s="176"/>
      <c r="AD1323" s="177" t="s">
        <v>5</v>
      </c>
    </row>
    <row r="1324" spans="1:38" s="178" customFormat="1" ht="33" customHeight="1" x14ac:dyDescent="0.3">
      <c r="A1324" s="167">
        <v>29</v>
      </c>
      <c r="B1324" s="168">
        <v>43</v>
      </c>
      <c r="C1324" s="169" t="str">
        <f t="shared" si="29"/>
        <v>29.43</v>
      </c>
      <c r="D1324" s="170" t="s">
        <v>768</v>
      </c>
      <c r="E1324" s="64" t="str">
        <f>IF(ISBLANK(D1324)=TRUE,"",VLOOKUP(D1324,Krav!$C:$F,4,FALSE))</f>
        <v>10.a.1.7 - Såfremt brugeren angiver antal dage skal brugeren ledes til spørgsmål 10.a.1.1</v>
      </c>
      <c r="F1324" s="186" t="s">
        <v>418</v>
      </c>
      <c r="G1324" s="186" t="s">
        <v>419</v>
      </c>
      <c r="H1324" s="172" t="s">
        <v>1415</v>
      </c>
      <c r="I1324" s="174" t="s">
        <v>129</v>
      </c>
      <c r="J1324" s="173" t="s">
        <v>222</v>
      </c>
      <c r="K1324" s="123" t="s">
        <v>222</v>
      </c>
      <c r="L1324" s="175" t="s">
        <v>4</v>
      </c>
      <c r="M1324" s="176" t="s">
        <v>129</v>
      </c>
      <c r="N1324" s="176" t="s">
        <v>131</v>
      </c>
      <c r="O1324" s="187" t="s">
        <v>96</v>
      </c>
      <c r="P1324" s="176" t="s">
        <v>376</v>
      </c>
      <c r="Q1324" s="176" t="s">
        <v>131</v>
      </c>
      <c r="R1324" s="176" t="s">
        <v>131</v>
      </c>
      <c r="S1324" s="176" t="s">
        <v>131</v>
      </c>
      <c r="T1324" s="176"/>
      <c r="U1324" s="176"/>
      <c r="V1324" s="176"/>
      <c r="W1324" s="176"/>
      <c r="X1324" s="176"/>
      <c r="Y1324" s="176"/>
      <c r="Z1324" s="176"/>
      <c r="AA1324" s="176"/>
      <c r="AB1324" s="176"/>
      <c r="AC1324" s="176"/>
      <c r="AD1324" s="177" t="s">
        <v>5</v>
      </c>
    </row>
    <row r="1325" spans="1:38" s="178" customFormat="1" ht="33" customHeight="1" x14ac:dyDescent="0.3">
      <c r="A1325" s="167">
        <v>29</v>
      </c>
      <c r="B1325" s="168">
        <v>44</v>
      </c>
      <c r="C1325" s="169" t="str">
        <f t="shared" si="29"/>
        <v>29.44</v>
      </c>
      <c r="D1325" s="170" t="s">
        <v>801</v>
      </c>
      <c r="E1325" s="64" t="str">
        <f>IF(ISBLANK(D1325)=TRUE,"",VLOOKUP(D1325,Krav!$C:$F,4,FALSE))</f>
        <v>10.a.1.1.11 - Såfremt brugeren angiver en frist skal brugeren ledes til spørgsmål 10.a.1.1.1</v>
      </c>
      <c r="F1325" s="186" t="s">
        <v>174</v>
      </c>
      <c r="G1325" s="184"/>
      <c r="H1325" s="172" t="s">
        <v>1413</v>
      </c>
      <c r="I1325" s="174" t="s">
        <v>1414</v>
      </c>
      <c r="J1325" s="174" t="s">
        <v>222</v>
      </c>
      <c r="K1325" s="125" t="s">
        <v>222</v>
      </c>
      <c r="L1325" s="175" t="s">
        <v>4</v>
      </c>
      <c r="M1325" s="176" t="s">
        <v>129</v>
      </c>
      <c r="N1325" s="176" t="s">
        <v>131</v>
      </c>
      <c r="O1325" s="176" t="s">
        <v>376</v>
      </c>
      <c r="P1325" s="187" t="s">
        <v>96</v>
      </c>
      <c r="Q1325" s="176" t="s">
        <v>131</v>
      </c>
      <c r="R1325" s="176" t="s">
        <v>131</v>
      </c>
      <c r="S1325" s="176" t="s">
        <v>131</v>
      </c>
      <c r="T1325" s="176"/>
      <c r="U1325" s="176"/>
      <c r="V1325" s="176"/>
      <c r="W1325" s="176"/>
      <c r="X1325" s="176"/>
      <c r="Y1325" s="176"/>
      <c r="Z1325" s="176"/>
      <c r="AA1325" s="176"/>
      <c r="AB1325" s="176"/>
      <c r="AC1325" s="176"/>
      <c r="AD1325" s="177" t="s">
        <v>5</v>
      </c>
      <c r="AE1325" s="188"/>
      <c r="AF1325" s="188"/>
      <c r="AG1325" s="188"/>
      <c r="AH1325" s="188"/>
      <c r="AI1325" s="188"/>
      <c r="AJ1325" s="188"/>
      <c r="AK1325" s="188"/>
      <c r="AL1325" s="188"/>
    </row>
    <row r="1326" spans="1:38" s="178" customFormat="1" ht="33" customHeight="1" x14ac:dyDescent="0.3">
      <c r="A1326" s="167">
        <v>29</v>
      </c>
      <c r="B1326" s="168">
        <v>45</v>
      </c>
      <c r="C1326" s="169" t="str">
        <f t="shared" si="29"/>
        <v>29.45</v>
      </c>
      <c r="D1326" s="170" t="s">
        <v>801</v>
      </c>
      <c r="E1326" s="64" t="str">
        <f>IF(ISBLANK(D1326)=TRUE,"",VLOOKUP(D1326,Krav!$C:$F,4,FALSE))</f>
        <v>10.a.1.1.11 - Såfremt brugeren angiver en frist skal brugeren ledes til spørgsmål 10.a.1.1.1</v>
      </c>
      <c r="F1326" s="186" t="s">
        <v>418</v>
      </c>
      <c r="G1326" s="186" t="s">
        <v>419</v>
      </c>
      <c r="H1326" s="172" t="s">
        <v>1415</v>
      </c>
      <c r="I1326" s="174" t="s">
        <v>129</v>
      </c>
      <c r="J1326" s="174" t="s">
        <v>222</v>
      </c>
      <c r="K1326" s="123" t="s">
        <v>222</v>
      </c>
      <c r="L1326" s="175" t="s">
        <v>4</v>
      </c>
      <c r="M1326" s="176" t="s">
        <v>129</v>
      </c>
      <c r="N1326" s="176" t="s">
        <v>131</v>
      </c>
      <c r="O1326" s="176" t="s">
        <v>376</v>
      </c>
      <c r="P1326" s="187" t="s">
        <v>96</v>
      </c>
      <c r="Q1326" s="176" t="s">
        <v>131</v>
      </c>
      <c r="R1326" s="176" t="s">
        <v>131</v>
      </c>
      <c r="S1326" s="176" t="s">
        <v>131</v>
      </c>
      <c r="T1326" s="176"/>
      <c r="U1326" s="176"/>
      <c r="V1326" s="176"/>
      <c r="W1326" s="176"/>
      <c r="X1326" s="176"/>
      <c r="Y1326" s="176"/>
      <c r="Z1326" s="176"/>
      <c r="AA1326" s="176"/>
      <c r="AB1326" s="176"/>
      <c r="AC1326" s="176"/>
      <c r="AD1326" s="177" t="s">
        <v>5</v>
      </c>
      <c r="AE1326" s="188"/>
      <c r="AF1326" s="188"/>
      <c r="AG1326" s="188"/>
      <c r="AH1326" s="188"/>
      <c r="AI1326" s="188"/>
      <c r="AJ1326" s="188"/>
      <c r="AK1326" s="188"/>
      <c r="AL1326" s="188"/>
    </row>
    <row r="1327" spans="1:38" s="178" customFormat="1" ht="33" customHeight="1" x14ac:dyDescent="0.3">
      <c r="A1327" s="167">
        <v>29</v>
      </c>
      <c r="B1327" s="168">
        <v>46</v>
      </c>
      <c r="C1327" s="169" t="str">
        <f t="shared" si="29"/>
        <v>29.46</v>
      </c>
      <c r="D1327" s="170" t="s">
        <v>768</v>
      </c>
      <c r="E1327" s="64" t="str">
        <f>IF(ISBLANK(D1327)=TRUE,"",VLOOKUP(D1327,Krav!$C:$F,4,FALSE))</f>
        <v>10.a.1.7 - Såfremt brugeren angiver antal dage skal brugeren ledes til spørgsmål 10.a.1.1</v>
      </c>
      <c r="F1327" s="186" t="s">
        <v>174</v>
      </c>
      <c r="G1327" s="184"/>
      <c r="H1327" s="172" t="s">
        <v>1416</v>
      </c>
      <c r="I1327" s="174" t="s">
        <v>1414</v>
      </c>
      <c r="J1327" s="174" t="s">
        <v>222</v>
      </c>
      <c r="K1327" s="125" t="s">
        <v>222</v>
      </c>
      <c r="L1327" s="175" t="s">
        <v>4</v>
      </c>
      <c r="M1327" s="176" t="s">
        <v>129</v>
      </c>
      <c r="N1327" s="176" t="s">
        <v>131</v>
      </c>
      <c r="O1327" s="187" t="s">
        <v>97</v>
      </c>
      <c r="P1327" s="176" t="s">
        <v>376</v>
      </c>
      <c r="Q1327" s="176" t="s">
        <v>131</v>
      </c>
      <c r="R1327" s="176" t="s">
        <v>131</v>
      </c>
      <c r="S1327" s="176" t="s">
        <v>131</v>
      </c>
      <c r="T1327" s="176"/>
      <c r="U1327" s="176"/>
      <c r="V1327" s="176"/>
      <c r="W1327" s="176"/>
      <c r="X1327" s="176"/>
      <c r="Y1327" s="176"/>
      <c r="Z1327" s="176"/>
      <c r="AA1327" s="176"/>
      <c r="AB1327" s="176"/>
      <c r="AC1327" s="176"/>
      <c r="AD1327" s="177" t="s">
        <v>5</v>
      </c>
      <c r="AE1327" s="188"/>
      <c r="AF1327" s="188"/>
      <c r="AG1327" s="188"/>
      <c r="AH1327" s="188"/>
      <c r="AI1327" s="188"/>
      <c r="AJ1327" s="188"/>
      <c r="AK1327" s="188"/>
      <c r="AL1327" s="188"/>
    </row>
    <row r="1328" spans="1:38" s="178" customFormat="1" ht="33" customHeight="1" x14ac:dyDescent="0.3">
      <c r="A1328" s="167">
        <v>29</v>
      </c>
      <c r="B1328" s="168">
        <v>47</v>
      </c>
      <c r="C1328" s="169" t="str">
        <f t="shared" si="29"/>
        <v>29.47</v>
      </c>
      <c r="D1328" s="170" t="s">
        <v>768</v>
      </c>
      <c r="E1328" s="64" t="str">
        <f>IF(ISBLANK(D1328)=TRUE,"",VLOOKUP(D1328,Krav!$C:$F,4,FALSE))</f>
        <v>10.a.1.7 - Såfremt brugeren angiver antal dage skal brugeren ledes til spørgsmål 10.a.1.1</v>
      </c>
      <c r="F1328" s="186" t="s">
        <v>418</v>
      </c>
      <c r="G1328" s="186" t="s">
        <v>419</v>
      </c>
      <c r="H1328" s="172" t="s">
        <v>1417</v>
      </c>
      <c r="I1328" s="174" t="s">
        <v>129</v>
      </c>
      <c r="J1328" s="174" t="s">
        <v>222</v>
      </c>
      <c r="K1328" s="123" t="s">
        <v>222</v>
      </c>
      <c r="L1328" s="175" t="s">
        <v>4</v>
      </c>
      <c r="M1328" s="176" t="s">
        <v>129</v>
      </c>
      <c r="N1328" s="176" t="s">
        <v>131</v>
      </c>
      <c r="O1328" s="187" t="s">
        <v>97</v>
      </c>
      <c r="P1328" s="176" t="s">
        <v>376</v>
      </c>
      <c r="Q1328" s="176" t="s">
        <v>131</v>
      </c>
      <c r="R1328" s="176" t="s">
        <v>131</v>
      </c>
      <c r="S1328" s="176" t="s">
        <v>131</v>
      </c>
      <c r="T1328" s="176"/>
      <c r="U1328" s="176"/>
      <c r="V1328" s="176"/>
      <c r="W1328" s="176"/>
      <c r="X1328" s="176"/>
      <c r="Y1328" s="176"/>
      <c r="Z1328" s="176"/>
      <c r="AA1328" s="176"/>
      <c r="AB1328" s="176"/>
      <c r="AC1328" s="176"/>
      <c r="AD1328" s="177" t="s">
        <v>5</v>
      </c>
      <c r="AE1328" s="188"/>
      <c r="AF1328" s="188"/>
      <c r="AG1328" s="188"/>
      <c r="AH1328" s="188"/>
      <c r="AI1328" s="188"/>
      <c r="AJ1328" s="188"/>
      <c r="AK1328" s="188"/>
      <c r="AL1328" s="188"/>
    </row>
    <row r="1329" spans="1:38" s="178" customFormat="1" ht="33" customHeight="1" x14ac:dyDescent="0.3">
      <c r="A1329" s="167">
        <v>29</v>
      </c>
      <c r="B1329" s="168">
        <v>48</v>
      </c>
      <c r="C1329" s="169" t="str">
        <f t="shared" si="29"/>
        <v>29.48</v>
      </c>
      <c r="D1329" s="170" t="s">
        <v>801</v>
      </c>
      <c r="E1329" s="64" t="str">
        <f>IF(ISBLANK(D1329)=TRUE,"",VLOOKUP(D1329,Krav!$C:$F,4,FALSE))</f>
        <v>10.a.1.1.11 - Såfremt brugeren angiver en frist skal brugeren ledes til spørgsmål 10.a.1.1.1</v>
      </c>
      <c r="F1329" s="186" t="s">
        <v>174</v>
      </c>
      <c r="G1329" s="184"/>
      <c r="H1329" s="172" t="s">
        <v>1416</v>
      </c>
      <c r="I1329" s="174" t="s">
        <v>1414</v>
      </c>
      <c r="J1329" s="174" t="s">
        <v>222</v>
      </c>
      <c r="K1329" s="125" t="s">
        <v>222</v>
      </c>
      <c r="L1329" s="175" t="s">
        <v>4</v>
      </c>
      <c r="M1329" s="176" t="s">
        <v>129</v>
      </c>
      <c r="N1329" s="176" t="s">
        <v>131</v>
      </c>
      <c r="O1329" s="176" t="s">
        <v>376</v>
      </c>
      <c r="P1329" s="187" t="s">
        <v>97</v>
      </c>
      <c r="Q1329" s="176" t="s">
        <v>131</v>
      </c>
      <c r="R1329" s="176" t="s">
        <v>131</v>
      </c>
      <c r="S1329" s="176" t="s">
        <v>131</v>
      </c>
      <c r="T1329" s="176"/>
      <c r="U1329" s="176"/>
      <c r="V1329" s="176"/>
      <c r="W1329" s="176"/>
      <c r="X1329" s="176"/>
      <c r="Y1329" s="176"/>
      <c r="Z1329" s="176"/>
      <c r="AA1329" s="176"/>
      <c r="AB1329" s="176"/>
      <c r="AC1329" s="176"/>
      <c r="AD1329" s="177" t="s">
        <v>5</v>
      </c>
      <c r="AE1329" s="188"/>
      <c r="AF1329" s="188"/>
      <c r="AG1329" s="188"/>
      <c r="AH1329" s="188"/>
      <c r="AI1329" s="188"/>
      <c r="AJ1329" s="188"/>
      <c r="AK1329" s="188"/>
      <c r="AL1329" s="188"/>
    </row>
    <row r="1330" spans="1:38" s="178" customFormat="1" ht="33" customHeight="1" x14ac:dyDescent="0.3">
      <c r="A1330" s="167">
        <v>29</v>
      </c>
      <c r="B1330" s="168">
        <v>49</v>
      </c>
      <c r="C1330" s="169" t="str">
        <f t="shared" si="29"/>
        <v>29.49</v>
      </c>
      <c r="D1330" s="170" t="s">
        <v>801</v>
      </c>
      <c r="E1330" s="64" t="str">
        <f>IF(ISBLANK(D1330)=TRUE,"",VLOOKUP(D1330,Krav!$C:$F,4,FALSE))</f>
        <v>10.a.1.1.11 - Såfremt brugeren angiver en frist skal brugeren ledes til spørgsmål 10.a.1.1.1</v>
      </c>
      <c r="F1330" s="186" t="s">
        <v>418</v>
      </c>
      <c r="G1330" s="186" t="s">
        <v>419</v>
      </c>
      <c r="H1330" s="172" t="s">
        <v>1417</v>
      </c>
      <c r="I1330" s="174" t="s">
        <v>129</v>
      </c>
      <c r="J1330" s="173" t="s">
        <v>222</v>
      </c>
      <c r="K1330" s="123" t="s">
        <v>222</v>
      </c>
      <c r="L1330" s="175" t="s">
        <v>4</v>
      </c>
      <c r="M1330" s="176" t="s">
        <v>129</v>
      </c>
      <c r="N1330" s="176" t="s">
        <v>131</v>
      </c>
      <c r="O1330" s="176" t="s">
        <v>376</v>
      </c>
      <c r="P1330" s="187" t="s">
        <v>97</v>
      </c>
      <c r="Q1330" s="176" t="s">
        <v>131</v>
      </c>
      <c r="R1330" s="176" t="s">
        <v>131</v>
      </c>
      <c r="S1330" s="176" t="s">
        <v>131</v>
      </c>
      <c r="T1330" s="176"/>
      <c r="U1330" s="176"/>
      <c r="V1330" s="176"/>
      <c r="W1330" s="176"/>
      <c r="X1330" s="176"/>
      <c r="Y1330" s="176"/>
      <c r="Z1330" s="176"/>
      <c r="AA1330" s="176"/>
      <c r="AB1330" s="176"/>
      <c r="AC1330" s="176"/>
      <c r="AD1330" s="177" t="s">
        <v>5</v>
      </c>
      <c r="AE1330" s="188"/>
      <c r="AF1330" s="188"/>
      <c r="AG1330" s="188"/>
      <c r="AH1330" s="188"/>
      <c r="AI1330" s="188"/>
      <c r="AJ1330" s="188"/>
      <c r="AK1330" s="188"/>
      <c r="AL1330" s="188"/>
    </row>
    <row r="1331" spans="1:38" s="178" customFormat="1" ht="33" customHeight="1" x14ac:dyDescent="0.3">
      <c r="A1331" s="167">
        <v>29</v>
      </c>
      <c r="B1331" s="168">
        <v>50</v>
      </c>
      <c r="C1331" s="169" t="str">
        <f t="shared" si="29"/>
        <v>29.50</v>
      </c>
      <c r="D1331" s="170"/>
      <c r="E1331" s="64" t="str">
        <f>IF(ISBLANK(D1331)=TRUE,"",VLOOKUP(D1331,Krav!$C:$F,4,FALSE))</f>
        <v/>
      </c>
      <c r="F1331" s="186" t="s">
        <v>174</v>
      </c>
      <c r="G1331" s="184"/>
      <c r="H1331" s="172" t="s">
        <v>1418</v>
      </c>
      <c r="I1331" s="174" t="s">
        <v>1414</v>
      </c>
      <c r="J1331" s="174" t="s">
        <v>222</v>
      </c>
      <c r="K1331" s="125" t="s">
        <v>222</v>
      </c>
      <c r="L1331" s="175" t="s">
        <v>4</v>
      </c>
      <c r="M1331" s="176" t="s">
        <v>129</v>
      </c>
      <c r="N1331" s="176" t="s">
        <v>131</v>
      </c>
      <c r="O1331" s="187" t="s">
        <v>404</v>
      </c>
      <c r="P1331" s="176" t="s">
        <v>376</v>
      </c>
      <c r="Q1331" s="176" t="s">
        <v>131</v>
      </c>
      <c r="R1331" s="176" t="s">
        <v>131</v>
      </c>
      <c r="S1331" s="176" t="s">
        <v>131</v>
      </c>
      <c r="T1331" s="176"/>
      <c r="U1331" s="176"/>
      <c r="V1331" s="176"/>
      <c r="W1331" s="176"/>
      <c r="X1331" s="176"/>
      <c r="Y1331" s="176"/>
      <c r="Z1331" s="176"/>
      <c r="AA1331" s="176"/>
      <c r="AB1331" s="176"/>
      <c r="AC1331" s="176"/>
      <c r="AD1331" s="177" t="s">
        <v>5</v>
      </c>
      <c r="AE1331" s="188"/>
      <c r="AF1331" s="188"/>
      <c r="AG1331" s="188"/>
      <c r="AH1331" s="188"/>
      <c r="AI1331" s="188"/>
      <c r="AJ1331" s="188"/>
      <c r="AK1331" s="188"/>
      <c r="AL1331" s="188"/>
    </row>
    <row r="1332" spans="1:38" s="178" customFormat="1" ht="33" customHeight="1" x14ac:dyDescent="0.3">
      <c r="A1332" s="167">
        <v>29</v>
      </c>
      <c r="B1332" s="168">
        <v>51</v>
      </c>
      <c r="C1332" s="169" t="str">
        <f t="shared" si="29"/>
        <v>29.51</v>
      </c>
      <c r="D1332" s="170"/>
      <c r="E1332" s="64" t="str">
        <f>IF(ISBLANK(D1332)=TRUE,"",VLOOKUP(D1332,Krav!$C:$F,4,FALSE))</f>
        <v/>
      </c>
      <c r="F1332" s="186" t="s">
        <v>418</v>
      </c>
      <c r="G1332" s="186" t="s">
        <v>419</v>
      </c>
      <c r="H1332" s="172" t="s">
        <v>1419</v>
      </c>
      <c r="I1332" s="174" t="s">
        <v>129</v>
      </c>
      <c r="J1332" s="180" t="s">
        <v>222</v>
      </c>
      <c r="K1332" s="125" t="s">
        <v>222</v>
      </c>
      <c r="L1332" s="175" t="s">
        <v>4</v>
      </c>
      <c r="M1332" s="176" t="s">
        <v>129</v>
      </c>
      <c r="N1332" s="176" t="s">
        <v>131</v>
      </c>
      <c r="O1332" s="187" t="s">
        <v>404</v>
      </c>
      <c r="P1332" s="176" t="s">
        <v>376</v>
      </c>
      <c r="Q1332" s="176" t="s">
        <v>131</v>
      </c>
      <c r="R1332" s="176" t="s">
        <v>131</v>
      </c>
      <c r="S1332" s="176" t="s">
        <v>131</v>
      </c>
      <c r="T1332" s="176"/>
      <c r="U1332" s="176"/>
      <c r="V1332" s="176"/>
      <c r="W1332" s="176"/>
      <c r="X1332" s="176"/>
      <c r="Y1332" s="176"/>
      <c r="Z1332" s="176"/>
      <c r="AA1332" s="176"/>
      <c r="AB1332" s="176"/>
      <c r="AC1332" s="176"/>
      <c r="AD1332" s="177" t="s">
        <v>5</v>
      </c>
      <c r="AE1332" s="188"/>
      <c r="AF1332" s="188"/>
      <c r="AG1332" s="188"/>
      <c r="AH1332" s="188"/>
      <c r="AI1332" s="188"/>
      <c r="AJ1332" s="188"/>
      <c r="AK1332" s="188"/>
      <c r="AL1332" s="188"/>
    </row>
    <row r="1333" spans="1:38" s="178" customFormat="1" ht="33" customHeight="1" x14ac:dyDescent="0.3">
      <c r="A1333" s="167">
        <v>29</v>
      </c>
      <c r="B1333" s="168">
        <v>52</v>
      </c>
      <c r="C1333" s="169" t="str">
        <f t="shared" si="29"/>
        <v>29.52</v>
      </c>
      <c r="D1333" s="170"/>
      <c r="E1333" s="64" t="str">
        <f>IF(ISBLANK(D1333)=TRUE,"",VLOOKUP(D1333,Krav!$C:$F,4,FALSE))</f>
        <v/>
      </c>
      <c r="F1333" s="186" t="s">
        <v>174</v>
      </c>
      <c r="G1333" s="184"/>
      <c r="H1333" s="172" t="s">
        <v>1420</v>
      </c>
      <c r="I1333" s="174" t="s">
        <v>1414</v>
      </c>
      <c r="J1333" s="174" t="s">
        <v>222</v>
      </c>
      <c r="K1333" s="125" t="s">
        <v>222</v>
      </c>
      <c r="L1333" s="175" t="s">
        <v>4</v>
      </c>
      <c r="M1333" s="176" t="s">
        <v>129</v>
      </c>
      <c r="N1333" s="176" t="s">
        <v>131</v>
      </c>
      <c r="O1333" s="176" t="s">
        <v>376</v>
      </c>
      <c r="P1333" s="187" t="s">
        <v>404</v>
      </c>
      <c r="Q1333" s="176" t="s">
        <v>131</v>
      </c>
      <c r="R1333" s="176" t="s">
        <v>131</v>
      </c>
      <c r="S1333" s="176" t="s">
        <v>131</v>
      </c>
      <c r="T1333" s="176"/>
      <c r="U1333" s="176"/>
      <c r="V1333" s="176"/>
      <c r="W1333" s="176"/>
      <c r="X1333" s="176"/>
      <c r="Y1333" s="176"/>
      <c r="Z1333" s="176"/>
      <c r="AA1333" s="176"/>
      <c r="AB1333" s="176"/>
      <c r="AC1333" s="176"/>
      <c r="AD1333" s="177" t="s">
        <v>5</v>
      </c>
      <c r="AE1333" s="188"/>
      <c r="AF1333" s="188"/>
      <c r="AG1333" s="188"/>
      <c r="AH1333" s="188"/>
      <c r="AI1333" s="188"/>
      <c r="AJ1333" s="188"/>
      <c r="AK1333" s="188"/>
      <c r="AL1333" s="188"/>
    </row>
    <row r="1334" spans="1:38" s="178" customFormat="1" ht="33" customHeight="1" x14ac:dyDescent="0.3">
      <c r="A1334" s="167">
        <v>29</v>
      </c>
      <c r="B1334" s="168">
        <v>53</v>
      </c>
      <c r="C1334" s="169" t="str">
        <f t="shared" si="29"/>
        <v>29.53</v>
      </c>
      <c r="D1334" s="170"/>
      <c r="E1334" s="64" t="str">
        <f>IF(ISBLANK(D1334)=TRUE,"",VLOOKUP(D1334,Krav!$C:$F,4,FALSE))</f>
        <v/>
      </c>
      <c r="F1334" s="186" t="s">
        <v>418</v>
      </c>
      <c r="G1334" s="186" t="s">
        <v>419</v>
      </c>
      <c r="H1334" s="172" t="s">
        <v>1419</v>
      </c>
      <c r="I1334" s="174" t="s">
        <v>129</v>
      </c>
      <c r="J1334" s="189" t="s">
        <v>222</v>
      </c>
      <c r="K1334" s="125" t="s">
        <v>222</v>
      </c>
      <c r="L1334" s="175" t="s">
        <v>4</v>
      </c>
      <c r="M1334" s="176" t="s">
        <v>129</v>
      </c>
      <c r="N1334" s="176" t="s">
        <v>131</v>
      </c>
      <c r="O1334" s="176" t="s">
        <v>376</v>
      </c>
      <c r="P1334" s="187" t="s">
        <v>404</v>
      </c>
      <c r="Q1334" s="176" t="s">
        <v>131</v>
      </c>
      <c r="R1334" s="176" t="s">
        <v>131</v>
      </c>
      <c r="S1334" s="176" t="s">
        <v>131</v>
      </c>
      <c r="T1334" s="176"/>
      <c r="U1334" s="176"/>
      <c r="V1334" s="176"/>
      <c r="W1334" s="176"/>
      <c r="X1334" s="176"/>
      <c r="Y1334" s="176"/>
      <c r="Z1334" s="176"/>
      <c r="AA1334" s="176"/>
      <c r="AB1334" s="176"/>
      <c r="AC1334" s="176"/>
      <c r="AD1334" s="177" t="s">
        <v>5</v>
      </c>
      <c r="AE1334" s="188"/>
      <c r="AF1334" s="188"/>
      <c r="AG1334" s="188"/>
      <c r="AH1334" s="188"/>
      <c r="AI1334" s="188"/>
      <c r="AJ1334" s="188"/>
      <c r="AK1334" s="188"/>
      <c r="AL1334" s="188"/>
    </row>
    <row r="1335" spans="1:38" s="188" customFormat="1" ht="33" customHeight="1" x14ac:dyDescent="0.3">
      <c r="A1335" s="167">
        <v>29</v>
      </c>
      <c r="B1335" s="168">
        <v>54</v>
      </c>
      <c r="C1335" s="192" t="str">
        <f t="shared" si="29"/>
        <v>29.54</v>
      </c>
      <c r="D1335" s="193" t="s">
        <v>1035</v>
      </c>
      <c r="E1335" s="64" t="str">
        <f>IF(ISBLANK(D1335)=TRUE,"",VLOOKUP(D1335,Krav!$C:$F,4,FALSE))</f>
        <v>10.a.1.1.2.2 - Der angives et "NEJ" i i populationen under ”vil RIM beregne en tidligst mulig forældelsesdato?"</v>
      </c>
      <c r="F1335" s="77" t="s">
        <v>221</v>
      </c>
      <c r="G1335" s="194"/>
      <c r="H1335" s="81" t="s">
        <v>1421</v>
      </c>
      <c r="I1335" s="83" t="s">
        <v>241</v>
      </c>
      <c r="J1335" s="195" t="s">
        <v>222</v>
      </c>
      <c r="K1335" s="125" t="s">
        <v>222</v>
      </c>
      <c r="L1335" s="196" t="s">
        <v>3</v>
      </c>
      <c r="M1335" s="197" t="s">
        <v>129</v>
      </c>
      <c r="N1335" s="197" t="s">
        <v>131</v>
      </c>
      <c r="O1335" s="197" t="s">
        <v>376</v>
      </c>
      <c r="P1335" s="197" t="s">
        <v>96</v>
      </c>
      <c r="Q1335" s="197" t="s">
        <v>131</v>
      </c>
      <c r="R1335" s="197" t="s">
        <v>129</v>
      </c>
      <c r="S1335" s="197" t="s">
        <v>131</v>
      </c>
      <c r="T1335" s="197"/>
      <c r="U1335" s="197"/>
      <c r="V1335" s="198"/>
      <c r="W1335" s="197"/>
      <c r="X1335" s="197"/>
      <c r="Y1335" s="197"/>
      <c r="Z1335" s="197"/>
      <c r="AA1335" s="197"/>
      <c r="AB1335" s="197"/>
      <c r="AC1335" s="197"/>
      <c r="AD1335" s="198" t="s">
        <v>5</v>
      </c>
    </row>
    <row r="1336" spans="1:38" s="188" customFormat="1" ht="33" customHeight="1" x14ac:dyDescent="0.3">
      <c r="A1336" s="167">
        <v>29</v>
      </c>
      <c r="B1336" s="168">
        <v>55</v>
      </c>
      <c r="C1336" s="192" t="str">
        <f t="shared" si="29"/>
        <v>29.55</v>
      </c>
      <c r="D1336" s="193"/>
      <c r="E1336" s="64" t="str">
        <f>IF(ISBLANK(D1336)=TRUE,"",VLOOKUP(D1336,Krav!$C:$F,4,FALSE))</f>
        <v/>
      </c>
      <c r="F1336" s="77" t="s">
        <v>225</v>
      </c>
      <c r="G1336" s="145" t="s">
        <v>230</v>
      </c>
      <c r="H1336" s="81" t="s">
        <v>1422</v>
      </c>
      <c r="I1336" s="83" t="s">
        <v>1407</v>
      </c>
      <c r="J1336" s="195" t="s">
        <v>222</v>
      </c>
      <c r="K1336" s="125" t="s">
        <v>222</v>
      </c>
      <c r="L1336" s="196"/>
      <c r="M1336" s="197" t="s">
        <v>129</v>
      </c>
      <c r="N1336" s="197" t="s">
        <v>131</v>
      </c>
      <c r="O1336" s="197" t="s">
        <v>376</v>
      </c>
      <c r="P1336" s="197" t="s">
        <v>96</v>
      </c>
      <c r="Q1336" s="197" t="s">
        <v>131</v>
      </c>
      <c r="R1336" s="197" t="s">
        <v>129</v>
      </c>
      <c r="S1336" s="197" t="s">
        <v>131</v>
      </c>
      <c r="T1336" s="197"/>
      <c r="U1336" s="197"/>
      <c r="V1336" s="198"/>
      <c r="W1336" s="197"/>
      <c r="X1336" s="197"/>
      <c r="Y1336" s="197"/>
      <c r="Z1336" s="197"/>
      <c r="AA1336" s="197"/>
      <c r="AB1336" s="197"/>
      <c r="AC1336" s="197"/>
      <c r="AD1336" s="198" t="s">
        <v>5</v>
      </c>
    </row>
    <row r="1337" spans="1:38" s="188" customFormat="1" ht="33" customHeight="1" x14ac:dyDescent="0.3">
      <c r="A1337" s="167">
        <v>29</v>
      </c>
      <c r="B1337" s="168">
        <v>56</v>
      </c>
      <c r="C1337" s="192" t="str">
        <f t="shared" si="29"/>
        <v>29.56</v>
      </c>
      <c r="D1337" s="193"/>
      <c r="E1337" s="64" t="str">
        <f>IF(ISBLANK(D1337)=TRUE,"",VLOOKUP(D1337,Krav!$C:$F,4,FALSE))</f>
        <v/>
      </c>
      <c r="F1337" s="77" t="s">
        <v>225</v>
      </c>
      <c r="G1337" s="145" t="s">
        <v>1388</v>
      </c>
      <c r="H1337" s="81" t="s">
        <v>1422</v>
      </c>
      <c r="I1337" s="83" t="s">
        <v>376</v>
      </c>
      <c r="J1337" s="195" t="s">
        <v>222</v>
      </c>
      <c r="K1337" s="125" t="s">
        <v>222</v>
      </c>
      <c r="L1337" s="196"/>
      <c r="M1337" s="197" t="s">
        <v>129</v>
      </c>
      <c r="N1337" s="197" t="s">
        <v>131</v>
      </c>
      <c r="O1337" s="197" t="s">
        <v>376</v>
      </c>
      <c r="P1337" s="197" t="s">
        <v>96</v>
      </c>
      <c r="Q1337" s="197" t="s">
        <v>131</v>
      </c>
      <c r="R1337" s="197" t="s">
        <v>129</v>
      </c>
      <c r="S1337" s="197" t="s">
        <v>131</v>
      </c>
      <c r="T1337" s="197"/>
      <c r="U1337" s="197"/>
      <c r="V1337" s="198"/>
      <c r="W1337" s="197"/>
      <c r="X1337" s="197"/>
      <c r="Y1337" s="197"/>
      <c r="Z1337" s="197"/>
      <c r="AA1337" s="197"/>
      <c r="AB1337" s="197"/>
      <c r="AC1337" s="197"/>
      <c r="AD1337" s="198" t="s">
        <v>5</v>
      </c>
    </row>
    <row r="1338" spans="1:38" s="188" customFormat="1" ht="33" customHeight="1" x14ac:dyDescent="0.3">
      <c r="A1338" s="167">
        <v>29</v>
      </c>
      <c r="B1338" s="168">
        <v>57</v>
      </c>
      <c r="C1338" s="192" t="str">
        <f t="shared" si="29"/>
        <v>29.57</v>
      </c>
      <c r="D1338" s="193"/>
      <c r="E1338" s="64" t="str">
        <f>IF(ISBLANK(D1338)=TRUE,"",VLOOKUP(D1338,Krav!$C:$F,4,FALSE))</f>
        <v/>
      </c>
      <c r="F1338" s="77" t="s">
        <v>225</v>
      </c>
      <c r="G1338" s="145" t="s">
        <v>1391</v>
      </c>
      <c r="H1338" s="81" t="s">
        <v>1422</v>
      </c>
      <c r="I1338" s="83" t="s">
        <v>369</v>
      </c>
      <c r="J1338" s="195" t="s">
        <v>222</v>
      </c>
      <c r="K1338" s="123" t="s">
        <v>222</v>
      </c>
      <c r="L1338" s="196"/>
      <c r="M1338" s="197" t="s">
        <v>129</v>
      </c>
      <c r="N1338" s="197" t="s">
        <v>131</v>
      </c>
      <c r="O1338" s="197" t="s">
        <v>376</v>
      </c>
      <c r="P1338" s="197" t="s">
        <v>96</v>
      </c>
      <c r="Q1338" s="197" t="s">
        <v>131</v>
      </c>
      <c r="R1338" s="197" t="s">
        <v>129</v>
      </c>
      <c r="S1338" s="197" t="s">
        <v>131</v>
      </c>
      <c r="T1338" s="197"/>
      <c r="U1338" s="197"/>
      <c r="V1338" s="198"/>
      <c r="W1338" s="197"/>
      <c r="X1338" s="197"/>
      <c r="Y1338" s="197"/>
      <c r="Z1338" s="197"/>
      <c r="AA1338" s="197"/>
      <c r="AB1338" s="197"/>
      <c r="AC1338" s="197"/>
      <c r="AD1338" s="198" t="s">
        <v>5</v>
      </c>
    </row>
    <row r="1339" spans="1:38" s="188" customFormat="1" ht="33" customHeight="1" x14ac:dyDescent="0.3">
      <c r="A1339" s="167">
        <v>29</v>
      </c>
      <c r="B1339" s="168">
        <v>58</v>
      </c>
      <c r="C1339" s="192" t="str">
        <f t="shared" si="29"/>
        <v>29.58</v>
      </c>
      <c r="D1339" s="193" t="s">
        <v>1037</v>
      </c>
      <c r="E1339" s="64" t="str">
        <f>IF(ISBLANK(D1339)=TRUE,"",VLOOKUP(D1339,Krav!$C:$F,4,FALSE))</f>
        <v>10.a.1.1.2.3 - Gruppe 1 deaktiveres</v>
      </c>
      <c r="F1339" s="77" t="s">
        <v>227</v>
      </c>
      <c r="G1339" s="194"/>
      <c r="H1339" s="81" t="s">
        <v>1423</v>
      </c>
      <c r="I1339" s="83" t="s">
        <v>241</v>
      </c>
      <c r="J1339" s="195" t="s">
        <v>222</v>
      </c>
      <c r="K1339" s="125" t="s">
        <v>222</v>
      </c>
      <c r="L1339" s="196" t="s">
        <v>3</v>
      </c>
      <c r="M1339" s="197" t="s">
        <v>129</v>
      </c>
      <c r="N1339" s="197" t="s">
        <v>131</v>
      </c>
      <c r="O1339" s="197" t="s">
        <v>376</v>
      </c>
      <c r="P1339" s="197" t="s">
        <v>96</v>
      </c>
      <c r="Q1339" s="197" t="s">
        <v>131</v>
      </c>
      <c r="R1339" s="197" t="s">
        <v>129</v>
      </c>
      <c r="S1339" s="197" t="s">
        <v>131</v>
      </c>
      <c r="T1339" s="197"/>
      <c r="U1339" s="197"/>
      <c r="V1339" s="197"/>
      <c r="W1339" s="197"/>
      <c r="X1339" s="197"/>
      <c r="Y1339" s="197"/>
      <c r="Z1339" s="197"/>
      <c r="AA1339" s="197"/>
      <c r="AB1339" s="197"/>
      <c r="AC1339" s="197"/>
      <c r="AD1339" s="198" t="s">
        <v>5</v>
      </c>
    </row>
    <row r="1340" spans="1:38" s="188" customFormat="1" ht="33" customHeight="1" x14ac:dyDescent="0.3">
      <c r="A1340" s="167">
        <v>29</v>
      </c>
      <c r="B1340" s="168">
        <v>59</v>
      </c>
      <c r="C1340" s="192" t="str">
        <f t="shared" si="29"/>
        <v>29.59</v>
      </c>
      <c r="D1340" s="193" t="s">
        <v>1038</v>
      </c>
      <c r="E1340" s="64" t="str">
        <f>IF(ISBLANK(D1340)=TRUE,"",VLOOKUP(D1340,Krav!$C:$F,4,FALSE))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340" s="78" t="s">
        <v>174</v>
      </c>
      <c r="G1340" s="194"/>
      <c r="H1340" s="145" t="s">
        <v>1424</v>
      </c>
      <c r="I1340" s="83" t="s">
        <v>1425</v>
      </c>
      <c r="J1340" s="195" t="s">
        <v>222</v>
      </c>
      <c r="K1340" s="125" t="s">
        <v>222</v>
      </c>
      <c r="L1340" s="196" t="s">
        <v>3</v>
      </c>
      <c r="M1340" s="197" t="s">
        <v>129</v>
      </c>
      <c r="N1340" s="197" t="s">
        <v>131</v>
      </c>
      <c r="O1340" s="197" t="s">
        <v>376</v>
      </c>
      <c r="P1340" s="197" t="s">
        <v>96</v>
      </c>
      <c r="Q1340" s="197" t="s">
        <v>131</v>
      </c>
      <c r="R1340" s="197" t="s">
        <v>129</v>
      </c>
      <c r="S1340" s="197" t="s">
        <v>131</v>
      </c>
      <c r="T1340" s="197"/>
      <c r="U1340" s="197"/>
      <c r="V1340" s="197" t="s">
        <v>294</v>
      </c>
      <c r="W1340" s="197"/>
      <c r="X1340" s="197"/>
      <c r="Y1340" s="197"/>
      <c r="Z1340" s="197"/>
      <c r="AA1340" s="197"/>
      <c r="AB1340" s="197"/>
      <c r="AC1340" s="197"/>
      <c r="AD1340" s="198" t="s">
        <v>5</v>
      </c>
    </row>
    <row r="1341" spans="1:38" s="188" customFormat="1" ht="33" customHeight="1" x14ac:dyDescent="0.3">
      <c r="A1341" s="167">
        <v>29</v>
      </c>
      <c r="B1341" s="168">
        <v>60</v>
      </c>
      <c r="C1341" s="192" t="str">
        <f t="shared" si="29"/>
        <v>29.60</v>
      </c>
      <c r="D1341" s="193" t="s">
        <v>1038</v>
      </c>
      <c r="E1341" s="64" t="str">
        <f>IF(ISBLANK(D1341)=TRUE,"",VLOOKUP(D1341,Krav!$C:$F,4,FALSE))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341" s="78" t="s">
        <v>174</v>
      </c>
      <c r="G1341" s="77"/>
      <c r="H1341" s="145" t="s">
        <v>1424</v>
      </c>
      <c r="I1341" s="83" t="s">
        <v>1425</v>
      </c>
      <c r="J1341" s="195" t="s">
        <v>222</v>
      </c>
      <c r="K1341" s="125" t="s">
        <v>222</v>
      </c>
      <c r="L1341" s="196" t="s">
        <v>3</v>
      </c>
      <c r="M1341" s="197" t="s">
        <v>129</v>
      </c>
      <c r="N1341" s="197" t="s">
        <v>131</v>
      </c>
      <c r="O1341" s="197" t="s">
        <v>376</v>
      </c>
      <c r="P1341" s="197" t="s">
        <v>96</v>
      </c>
      <c r="Q1341" s="197" t="s">
        <v>131</v>
      </c>
      <c r="R1341" s="197" t="s">
        <v>129</v>
      </c>
      <c r="S1341" s="197" t="s">
        <v>131</v>
      </c>
      <c r="T1341" s="197"/>
      <c r="U1341" s="197"/>
      <c r="V1341" s="198" t="s">
        <v>295</v>
      </c>
      <c r="W1341" s="197" t="s">
        <v>26</v>
      </c>
      <c r="X1341" s="197"/>
      <c r="Y1341" s="197"/>
      <c r="Z1341" s="197"/>
      <c r="AA1341" s="197"/>
      <c r="AB1341" s="197"/>
      <c r="AC1341" s="197"/>
      <c r="AD1341" s="198" t="s">
        <v>5</v>
      </c>
    </row>
    <row r="1342" spans="1:38" s="188" customFormat="1" ht="33" customHeight="1" x14ac:dyDescent="0.3">
      <c r="A1342" s="167">
        <v>29</v>
      </c>
      <c r="B1342" s="168">
        <v>61</v>
      </c>
      <c r="C1342" s="192" t="str">
        <f t="shared" si="29"/>
        <v>29.61</v>
      </c>
      <c r="D1342" s="193" t="s">
        <v>1038</v>
      </c>
      <c r="E1342" s="64" t="str">
        <f>IF(ISBLANK(D1342)=TRUE,"",VLOOKUP(D1342,Krav!$C:$F,4,FALSE))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342" s="78" t="s">
        <v>174</v>
      </c>
      <c r="G1342" s="194"/>
      <c r="H1342" s="145" t="s">
        <v>1424</v>
      </c>
      <c r="I1342" s="195" t="s">
        <v>1425</v>
      </c>
      <c r="J1342" s="195" t="s">
        <v>222</v>
      </c>
      <c r="K1342" s="125" t="s">
        <v>222</v>
      </c>
      <c r="L1342" s="196" t="s">
        <v>3</v>
      </c>
      <c r="M1342" s="197" t="s">
        <v>129</v>
      </c>
      <c r="N1342" s="197" t="s">
        <v>131</v>
      </c>
      <c r="O1342" s="197" t="s">
        <v>376</v>
      </c>
      <c r="P1342" s="197" t="s">
        <v>96</v>
      </c>
      <c r="Q1342" s="197" t="s">
        <v>131</v>
      </c>
      <c r="R1342" s="197" t="s">
        <v>129</v>
      </c>
      <c r="S1342" s="197" t="s">
        <v>131</v>
      </c>
      <c r="T1342" s="197"/>
      <c r="U1342" s="197"/>
      <c r="V1342" s="198" t="s">
        <v>295</v>
      </c>
      <c r="W1342" s="197" t="s">
        <v>166</v>
      </c>
      <c r="X1342" s="197" t="s">
        <v>26</v>
      </c>
      <c r="Y1342" s="197"/>
      <c r="Z1342" s="197"/>
      <c r="AA1342" s="197"/>
      <c r="AB1342" s="197"/>
      <c r="AC1342" s="197"/>
      <c r="AD1342" s="198" t="s">
        <v>5</v>
      </c>
    </row>
    <row r="1343" spans="1:38" s="188" customFormat="1" ht="33" customHeight="1" x14ac:dyDescent="0.3">
      <c r="A1343" s="167">
        <v>29</v>
      </c>
      <c r="B1343" s="168">
        <v>62</v>
      </c>
      <c r="C1343" s="192" t="str">
        <f t="shared" si="29"/>
        <v>29.62</v>
      </c>
      <c r="D1343" s="193" t="s">
        <v>1038</v>
      </c>
      <c r="E1343" s="64" t="str">
        <f>IF(ISBLANK(D1343)=TRUE,"",VLOOKUP(D1343,Krav!$C:$F,4,FALSE))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343" s="78" t="s">
        <v>174</v>
      </c>
      <c r="G1343" s="77"/>
      <c r="H1343" s="145" t="s">
        <v>1424</v>
      </c>
      <c r="I1343" s="83" t="s">
        <v>1425</v>
      </c>
      <c r="J1343" s="195" t="s">
        <v>222</v>
      </c>
      <c r="K1343" s="125" t="s">
        <v>222</v>
      </c>
      <c r="L1343" s="196" t="s">
        <v>3</v>
      </c>
      <c r="M1343" s="197" t="s">
        <v>129</v>
      </c>
      <c r="N1343" s="197" t="s">
        <v>131</v>
      </c>
      <c r="O1343" s="197" t="s">
        <v>376</v>
      </c>
      <c r="P1343" s="197" t="s">
        <v>96</v>
      </c>
      <c r="Q1343" s="197" t="s">
        <v>131</v>
      </c>
      <c r="R1343" s="197" t="s">
        <v>129</v>
      </c>
      <c r="S1343" s="197" t="s">
        <v>131</v>
      </c>
      <c r="T1343" s="197"/>
      <c r="U1343" s="197"/>
      <c r="V1343" s="198" t="s">
        <v>295</v>
      </c>
      <c r="W1343" s="197" t="s">
        <v>166</v>
      </c>
      <c r="X1343" s="197" t="s">
        <v>166</v>
      </c>
      <c r="Y1343" s="197" t="s">
        <v>580</v>
      </c>
      <c r="Z1343" s="197"/>
      <c r="AA1343" s="197"/>
      <c r="AB1343" s="197"/>
      <c r="AC1343" s="197"/>
      <c r="AD1343" s="198" t="s">
        <v>5</v>
      </c>
    </row>
    <row r="1344" spans="1:38" s="188" customFormat="1" ht="33" customHeight="1" x14ac:dyDescent="0.3">
      <c r="A1344" s="167">
        <v>29</v>
      </c>
      <c r="B1344" s="168">
        <v>63</v>
      </c>
      <c r="C1344" s="192" t="str">
        <f t="shared" si="29"/>
        <v>29.63</v>
      </c>
      <c r="D1344" s="193"/>
      <c r="E1344" s="64" t="str">
        <f>IF(ISBLANK(D1344)=TRUE,"",VLOOKUP(D1344,Krav!$C:$F,4,FALSE))</f>
        <v/>
      </c>
      <c r="F1344" s="78" t="s">
        <v>174</v>
      </c>
      <c r="G1344" s="194"/>
      <c r="H1344" s="145"/>
      <c r="I1344" s="83" t="s">
        <v>1414</v>
      </c>
      <c r="J1344" s="195" t="s">
        <v>222</v>
      </c>
      <c r="K1344" s="125" t="s">
        <v>222</v>
      </c>
      <c r="L1344" s="196" t="s">
        <v>4</v>
      </c>
      <c r="M1344" s="197" t="s">
        <v>129</v>
      </c>
      <c r="N1344" s="197" t="s">
        <v>131</v>
      </c>
      <c r="O1344" s="197" t="s">
        <v>376</v>
      </c>
      <c r="P1344" s="197" t="s">
        <v>96</v>
      </c>
      <c r="Q1344" s="197" t="s">
        <v>131</v>
      </c>
      <c r="R1344" s="197" t="s">
        <v>129</v>
      </c>
      <c r="S1344" s="197" t="s">
        <v>131</v>
      </c>
      <c r="T1344" s="197"/>
      <c r="U1344" s="197"/>
      <c r="V1344" s="198" t="s">
        <v>295</v>
      </c>
      <c r="W1344" s="197" t="s">
        <v>166</v>
      </c>
      <c r="X1344" s="197" t="s">
        <v>166</v>
      </c>
      <c r="Y1344" s="197" t="s">
        <v>369</v>
      </c>
      <c r="Z1344" s="197"/>
      <c r="AA1344" s="197"/>
      <c r="AB1344" s="197"/>
      <c r="AC1344" s="197"/>
      <c r="AD1344" s="198" t="s">
        <v>5</v>
      </c>
    </row>
    <row r="1345" spans="1:38" s="188" customFormat="1" ht="33" customHeight="1" x14ac:dyDescent="0.3">
      <c r="A1345" s="167">
        <v>29</v>
      </c>
      <c r="B1345" s="168">
        <v>64</v>
      </c>
      <c r="C1345" s="192" t="str">
        <f t="shared" si="29"/>
        <v>29.64</v>
      </c>
      <c r="D1345" s="193" t="s">
        <v>1040</v>
      </c>
      <c r="E1345" s="64" t="str">
        <f>IF(ISBLANK(D1345)=TRUE,"",VLOOKUP(D1345,Krav!$C:$F,4,FALSE))</f>
        <v xml:space="preserve">10.a.1.1.2.5 - Hvis fordringshaver har svaret ”aldrig” i spm. 9, kan der ikke opsættes en FLEX-filter konfiguration for populationen. </v>
      </c>
      <c r="F1345" s="78" t="s">
        <v>174</v>
      </c>
      <c r="G1345" s="194"/>
      <c r="H1345" s="145" t="s">
        <v>1426</v>
      </c>
      <c r="I1345" s="83" t="s">
        <v>1414</v>
      </c>
      <c r="J1345" s="83" t="s">
        <v>222</v>
      </c>
      <c r="K1345" s="125" t="s">
        <v>222</v>
      </c>
      <c r="L1345" s="196" t="s">
        <v>4</v>
      </c>
      <c r="M1345" s="197" t="s">
        <v>129</v>
      </c>
      <c r="N1345" s="197" t="s">
        <v>131</v>
      </c>
      <c r="O1345" s="197" t="s">
        <v>376</v>
      </c>
      <c r="P1345" s="197" t="s">
        <v>96</v>
      </c>
      <c r="Q1345" s="197" t="s">
        <v>131</v>
      </c>
      <c r="R1345" s="197" t="s">
        <v>129</v>
      </c>
      <c r="S1345" s="197" t="s">
        <v>131</v>
      </c>
      <c r="T1345" s="197"/>
      <c r="U1345" s="197"/>
      <c r="V1345" s="197" t="s">
        <v>303</v>
      </c>
      <c r="W1345" s="197"/>
      <c r="X1345" s="197"/>
      <c r="Y1345" s="197"/>
      <c r="Z1345" s="197"/>
      <c r="AA1345" s="197"/>
      <c r="AB1345" s="197"/>
      <c r="AC1345" s="197"/>
      <c r="AD1345" s="198" t="s">
        <v>5</v>
      </c>
    </row>
    <row r="1346" spans="1:38" s="188" customFormat="1" ht="33" customHeight="1" x14ac:dyDescent="0.3">
      <c r="A1346" s="167">
        <v>29</v>
      </c>
      <c r="B1346" s="168">
        <v>65</v>
      </c>
      <c r="C1346" s="192" t="str">
        <f t="shared" si="29"/>
        <v>29.65</v>
      </c>
      <c r="D1346" s="193" t="s">
        <v>1033</v>
      </c>
      <c r="E1346" s="64" t="str">
        <f>IF(ISBLANK(D1346)=TRUE,"",VLOOKUP(D1346,Krav!$C:$F,4,FALSE))</f>
        <v>10.a.1.1.2.1 - Hvis der er svaret "I visse tilfælde" i spørgsmål 9 og hvis der er svaret "Ja" i enten 9.b.1, 9.b.2.1 eller 9.b.2.2.1 skal brugeren ledes til spørgsmål 11</v>
      </c>
      <c r="F1346" s="77" t="s">
        <v>143</v>
      </c>
      <c r="G1346" s="77" t="s">
        <v>1427</v>
      </c>
      <c r="H1346" s="145" t="s">
        <v>1428</v>
      </c>
      <c r="I1346" s="83" t="s">
        <v>468</v>
      </c>
      <c r="J1346" s="83" t="s">
        <v>222</v>
      </c>
      <c r="K1346" s="125" t="s">
        <v>222</v>
      </c>
      <c r="L1346" s="196" t="s">
        <v>3</v>
      </c>
      <c r="M1346" s="197" t="s">
        <v>129</v>
      </c>
      <c r="N1346" s="197" t="s">
        <v>131</v>
      </c>
      <c r="O1346" s="197" t="s">
        <v>376</v>
      </c>
      <c r="P1346" s="197" t="s">
        <v>96</v>
      </c>
      <c r="Q1346" s="197" t="s">
        <v>131</v>
      </c>
      <c r="R1346" s="197" t="s">
        <v>129</v>
      </c>
      <c r="S1346" s="197" t="s">
        <v>131</v>
      </c>
      <c r="T1346" s="197"/>
      <c r="U1346" s="197"/>
      <c r="V1346" s="198" t="s">
        <v>295</v>
      </c>
      <c r="W1346" s="197" t="s">
        <v>26</v>
      </c>
      <c r="X1346" s="197"/>
      <c r="Y1346" s="197"/>
      <c r="Z1346" s="197"/>
      <c r="AA1346" s="197"/>
      <c r="AB1346" s="197"/>
      <c r="AC1346" s="197"/>
      <c r="AD1346" s="198" t="s">
        <v>5</v>
      </c>
    </row>
    <row r="1347" spans="1:38" s="188" customFormat="1" ht="33" customHeight="1" x14ac:dyDescent="0.3">
      <c r="A1347" s="167">
        <v>29</v>
      </c>
      <c r="B1347" s="168">
        <v>66</v>
      </c>
      <c r="C1347" s="192" t="str">
        <f t="shared" si="29"/>
        <v>29.66</v>
      </c>
      <c r="D1347" s="193" t="s">
        <v>1033</v>
      </c>
      <c r="E1347" s="64" t="str">
        <f>IF(ISBLANK(D1347)=TRUE,"",VLOOKUP(D1347,Krav!$C:$F,4,FALSE))</f>
        <v>10.a.1.1.2.1 - Hvis der er svaret "I visse tilfælde" i spørgsmål 9 og hvis der er svaret "Ja" i enten 9.b.1, 9.b.2.1 eller 9.b.2.2.1 skal brugeren ledes til spørgsmål 11</v>
      </c>
      <c r="F1347" s="77" t="s">
        <v>143</v>
      </c>
      <c r="G1347" s="77" t="s">
        <v>1427</v>
      </c>
      <c r="H1347" s="145" t="s">
        <v>1428</v>
      </c>
      <c r="I1347" s="83" t="s">
        <v>468</v>
      </c>
      <c r="J1347" s="83" t="s">
        <v>222</v>
      </c>
      <c r="K1347" s="125" t="s">
        <v>222</v>
      </c>
      <c r="L1347" s="196" t="s">
        <v>3</v>
      </c>
      <c r="M1347" s="197" t="s">
        <v>129</v>
      </c>
      <c r="N1347" s="197" t="s">
        <v>131</v>
      </c>
      <c r="O1347" s="197" t="s">
        <v>376</v>
      </c>
      <c r="P1347" s="197" t="s">
        <v>96</v>
      </c>
      <c r="Q1347" s="197" t="s">
        <v>131</v>
      </c>
      <c r="R1347" s="197" t="s">
        <v>129</v>
      </c>
      <c r="S1347" s="197" t="s">
        <v>131</v>
      </c>
      <c r="T1347" s="197"/>
      <c r="U1347" s="197"/>
      <c r="V1347" s="198" t="s">
        <v>295</v>
      </c>
      <c r="W1347" s="197" t="s">
        <v>166</v>
      </c>
      <c r="X1347" s="197" t="s">
        <v>26</v>
      </c>
      <c r="Y1347" s="197"/>
      <c r="Z1347" s="197"/>
      <c r="AA1347" s="197"/>
      <c r="AB1347" s="197"/>
      <c r="AC1347" s="197"/>
      <c r="AD1347" s="198" t="s">
        <v>5</v>
      </c>
    </row>
    <row r="1348" spans="1:38" s="188" customFormat="1" ht="33" customHeight="1" x14ac:dyDescent="0.3">
      <c r="A1348" s="167">
        <v>29</v>
      </c>
      <c r="B1348" s="168">
        <v>67</v>
      </c>
      <c r="C1348" s="192" t="str">
        <f t="shared" si="29"/>
        <v>29.67</v>
      </c>
      <c r="D1348" s="193" t="s">
        <v>1033</v>
      </c>
      <c r="E1348" s="64" t="str">
        <f>IF(ISBLANK(D1348)=TRUE,"",VLOOKUP(D1348,Krav!$C:$F,4,FALSE))</f>
        <v>10.a.1.1.2.1 - Hvis der er svaret "I visse tilfælde" i spørgsmål 9 og hvis der er svaret "Ja" i enten 9.b.1, 9.b.2.1 eller 9.b.2.2.1 skal brugeren ledes til spørgsmål 11</v>
      </c>
      <c r="F1348" s="77" t="s">
        <v>143</v>
      </c>
      <c r="G1348" s="77" t="s">
        <v>1427</v>
      </c>
      <c r="H1348" s="145" t="s">
        <v>1428</v>
      </c>
      <c r="I1348" s="83" t="s">
        <v>468</v>
      </c>
      <c r="J1348" s="83" t="s">
        <v>222</v>
      </c>
      <c r="K1348" s="125" t="s">
        <v>222</v>
      </c>
      <c r="L1348" s="199" t="s">
        <v>3</v>
      </c>
      <c r="M1348" s="197" t="s">
        <v>129</v>
      </c>
      <c r="N1348" s="197" t="s">
        <v>131</v>
      </c>
      <c r="O1348" s="197" t="s">
        <v>376</v>
      </c>
      <c r="P1348" s="197" t="s">
        <v>96</v>
      </c>
      <c r="Q1348" s="197" t="s">
        <v>131</v>
      </c>
      <c r="R1348" s="197" t="s">
        <v>129</v>
      </c>
      <c r="S1348" s="197" t="s">
        <v>131</v>
      </c>
      <c r="T1348" s="197"/>
      <c r="U1348" s="197"/>
      <c r="V1348" s="198" t="s">
        <v>295</v>
      </c>
      <c r="W1348" s="197" t="s">
        <v>166</v>
      </c>
      <c r="X1348" s="197" t="s">
        <v>166</v>
      </c>
      <c r="Y1348" s="197" t="s">
        <v>580</v>
      </c>
      <c r="Z1348" s="197"/>
      <c r="AA1348" s="197"/>
      <c r="AB1348" s="197"/>
      <c r="AC1348" s="197"/>
      <c r="AD1348" s="198" t="s">
        <v>5</v>
      </c>
    </row>
    <row r="1349" spans="1:38" s="188" customFormat="1" ht="33" customHeight="1" x14ac:dyDescent="0.3">
      <c r="A1349" s="167">
        <v>29</v>
      </c>
      <c r="B1349" s="168">
        <v>68</v>
      </c>
      <c r="C1349" s="192" t="str">
        <f t="shared" si="29"/>
        <v>29.68</v>
      </c>
      <c r="D1349" s="193"/>
      <c r="E1349" s="64" t="str">
        <f>IF(ISBLANK(D1349)=TRUE,"",VLOOKUP(D1349,Krav!$C:$F,4,FALSE))</f>
        <v/>
      </c>
      <c r="F1349" s="77" t="s">
        <v>143</v>
      </c>
      <c r="G1349" s="77" t="s">
        <v>1427</v>
      </c>
      <c r="H1349" s="145" t="s">
        <v>1429</v>
      </c>
      <c r="I1349" s="83" t="s">
        <v>468</v>
      </c>
      <c r="J1349" s="83" t="s">
        <v>222</v>
      </c>
      <c r="K1349" s="125" t="s">
        <v>222</v>
      </c>
      <c r="L1349" s="199" t="s">
        <v>3</v>
      </c>
      <c r="M1349" s="197" t="s">
        <v>129</v>
      </c>
      <c r="N1349" s="197" t="s">
        <v>131</v>
      </c>
      <c r="O1349" s="197" t="s">
        <v>376</v>
      </c>
      <c r="P1349" s="197" t="s">
        <v>96</v>
      </c>
      <c r="Q1349" s="197" t="s">
        <v>131</v>
      </c>
      <c r="R1349" s="197" t="s">
        <v>129</v>
      </c>
      <c r="S1349" s="197" t="s">
        <v>131</v>
      </c>
      <c r="T1349" s="197"/>
      <c r="U1349" s="197"/>
      <c r="V1349" s="197" t="s">
        <v>294</v>
      </c>
      <c r="W1349" s="197"/>
      <c r="X1349" s="197"/>
      <c r="Y1349" s="197"/>
      <c r="Z1349" s="197"/>
      <c r="AA1349" s="197"/>
      <c r="AB1349" s="197"/>
      <c r="AC1349" s="197"/>
      <c r="AD1349" s="198" t="s">
        <v>5</v>
      </c>
    </row>
    <row r="1350" spans="1:38" s="188" customFormat="1" ht="33" customHeight="1" x14ac:dyDescent="0.3">
      <c r="A1350" s="167">
        <v>29</v>
      </c>
      <c r="B1350" s="168">
        <v>69</v>
      </c>
      <c r="C1350" s="192" t="str">
        <f t="shared" si="29"/>
        <v>29.69</v>
      </c>
      <c r="D1350" s="193"/>
      <c r="E1350" s="64" t="str">
        <f>IF(ISBLANK(D1350)=TRUE,"",VLOOKUP(D1350,Krav!$C:$F,4,FALSE))</f>
        <v/>
      </c>
      <c r="F1350" s="77" t="s">
        <v>143</v>
      </c>
      <c r="G1350" s="77" t="s">
        <v>1427</v>
      </c>
      <c r="H1350" s="145" t="s">
        <v>1429</v>
      </c>
      <c r="I1350" s="83" t="s">
        <v>560</v>
      </c>
      <c r="J1350" s="83" t="s">
        <v>222</v>
      </c>
      <c r="K1350" s="125" t="s">
        <v>222</v>
      </c>
      <c r="L1350" s="199" t="s">
        <v>3</v>
      </c>
      <c r="M1350" s="197" t="s">
        <v>129</v>
      </c>
      <c r="N1350" s="197" t="s">
        <v>131</v>
      </c>
      <c r="O1350" s="197" t="s">
        <v>376</v>
      </c>
      <c r="P1350" s="197" t="s">
        <v>96</v>
      </c>
      <c r="Q1350" s="197" t="s">
        <v>131</v>
      </c>
      <c r="R1350" s="197" t="s">
        <v>129</v>
      </c>
      <c r="S1350" s="197" t="s">
        <v>131</v>
      </c>
      <c r="T1350" s="197"/>
      <c r="U1350" s="197"/>
      <c r="V1350" s="197" t="s">
        <v>294</v>
      </c>
      <c r="W1350" s="197"/>
      <c r="X1350" s="197"/>
      <c r="Y1350" s="197"/>
      <c r="Z1350" s="197"/>
      <c r="AA1350" s="197" t="s">
        <v>129</v>
      </c>
      <c r="AB1350" s="197"/>
      <c r="AC1350" s="197"/>
      <c r="AD1350" s="198" t="s">
        <v>5</v>
      </c>
    </row>
    <row r="1351" spans="1:38" s="188" customFormat="1" ht="33" customHeight="1" x14ac:dyDescent="0.3">
      <c r="A1351" s="167">
        <v>29</v>
      </c>
      <c r="B1351" s="168">
        <v>70</v>
      </c>
      <c r="C1351" s="192" t="str">
        <f t="shared" si="29"/>
        <v>29.70</v>
      </c>
      <c r="D1351" s="193" t="s">
        <v>1033</v>
      </c>
      <c r="E1351" s="64" t="str">
        <f>IF(ISBLANK(D1351)=TRUE,"",VLOOKUP(D1351,Krav!$C:$F,4,FALSE))</f>
        <v>10.a.1.1.2.1 - Hvis der er svaret "I visse tilfælde" i spørgsmål 9 og hvis der er svaret "Ja" i enten 9.b.1, 9.b.2.1 eller 9.b.2.2.1 skal brugeren ledes til spørgsmål 11</v>
      </c>
      <c r="F1351" s="77" t="s">
        <v>143</v>
      </c>
      <c r="G1351" s="77" t="s">
        <v>1427</v>
      </c>
      <c r="H1351" s="145" t="s">
        <v>1428</v>
      </c>
      <c r="I1351" s="83" t="s">
        <v>560</v>
      </c>
      <c r="J1351" s="83" t="s">
        <v>222</v>
      </c>
      <c r="K1351" s="125" t="s">
        <v>222</v>
      </c>
      <c r="L1351" s="196" t="s">
        <v>3</v>
      </c>
      <c r="M1351" s="197" t="s">
        <v>129</v>
      </c>
      <c r="N1351" s="197" t="s">
        <v>131</v>
      </c>
      <c r="O1351" s="197" t="s">
        <v>376</v>
      </c>
      <c r="P1351" s="197" t="s">
        <v>96</v>
      </c>
      <c r="Q1351" s="197" t="s">
        <v>131</v>
      </c>
      <c r="R1351" s="197" t="s">
        <v>129</v>
      </c>
      <c r="S1351" s="197" t="s">
        <v>131</v>
      </c>
      <c r="T1351" s="197"/>
      <c r="U1351" s="197"/>
      <c r="V1351" s="198" t="s">
        <v>295</v>
      </c>
      <c r="W1351" s="197" t="s">
        <v>26</v>
      </c>
      <c r="X1351" s="197"/>
      <c r="Y1351" s="197"/>
      <c r="Z1351" s="197"/>
      <c r="AA1351" s="197" t="s">
        <v>129</v>
      </c>
      <c r="AB1351" s="197"/>
      <c r="AC1351" s="197"/>
      <c r="AD1351" s="198" t="s">
        <v>5</v>
      </c>
    </row>
    <row r="1352" spans="1:38" s="188" customFormat="1" ht="33" customHeight="1" x14ac:dyDescent="0.3">
      <c r="A1352" s="167">
        <v>29</v>
      </c>
      <c r="B1352" s="168">
        <v>71</v>
      </c>
      <c r="C1352" s="192" t="str">
        <f t="shared" si="29"/>
        <v>29.71</v>
      </c>
      <c r="D1352" s="193" t="s">
        <v>1033</v>
      </c>
      <c r="E1352" s="64" t="str">
        <f>IF(ISBLANK(D1352)=TRUE,"",VLOOKUP(D1352,Krav!$C:$F,4,FALSE))</f>
        <v>10.a.1.1.2.1 - Hvis der er svaret "I visse tilfælde" i spørgsmål 9 og hvis der er svaret "Ja" i enten 9.b.1, 9.b.2.1 eller 9.b.2.2.1 skal brugeren ledes til spørgsmål 11</v>
      </c>
      <c r="F1352" s="77" t="s">
        <v>143</v>
      </c>
      <c r="G1352" s="77" t="s">
        <v>1427</v>
      </c>
      <c r="H1352" s="145" t="s">
        <v>1428</v>
      </c>
      <c r="I1352" s="83" t="s">
        <v>560</v>
      </c>
      <c r="J1352" s="83" t="s">
        <v>222</v>
      </c>
      <c r="K1352" s="125" t="s">
        <v>222</v>
      </c>
      <c r="L1352" s="196" t="s">
        <v>3</v>
      </c>
      <c r="M1352" s="197" t="s">
        <v>129</v>
      </c>
      <c r="N1352" s="197" t="s">
        <v>131</v>
      </c>
      <c r="O1352" s="197" t="s">
        <v>376</v>
      </c>
      <c r="P1352" s="197" t="s">
        <v>96</v>
      </c>
      <c r="Q1352" s="197" t="s">
        <v>131</v>
      </c>
      <c r="R1352" s="197" t="s">
        <v>129</v>
      </c>
      <c r="S1352" s="197" t="s">
        <v>131</v>
      </c>
      <c r="T1352" s="197"/>
      <c r="U1352" s="197"/>
      <c r="V1352" s="198" t="s">
        <v>295</v>
      </c>
      <c r="W1352" s="197" t="s">
        <v>166</v>
      </c>
      <c r="X1352" s="197" t="s">
        <v>26</v>
      </c>
      <c r="Y1352" s="197"/>
      <c r="Z1352" s="197"/>
      <c r="AA1352" s="197" t="s">
        <v>129</v>
      </c>
      <c r="AB1352" s="197"/>
      <c r="AC1352" s="197"/>
      <c r="AD1352" s="198" t="s">
        <v>5</v>
      </c>
      <c r="AE1352" s="200"/>
      <c r="AF1352" s="200"/>
      <c r="AG1352" s="200"/>
      <c r="AH1352" s="200"/>
      <c r="AI1352" s="200"/>
      <c r="AJ1352" s="200"/>
      <c r="AK1352" s="200"/>
      <c r="AL1352" s="200"/>
    </row>
    <row r="1353" spans="1:38" s="188" customFormat="1" ht="33" customHeight="1" x14ac:dyDescent="0.3">
      <c r="A1353" s="167">
        <v>29</v>
      </c>
      <c r="B1353" s="168">
        <v>72</v>
      </c>
      <c r="C1353" s="192" t="str">
        <f t="shared" si="29"/>
        <v>29.72</v>
      </c>
      <c r="D1353" s="193" t="s">
        <v>1033</v>
      </c>
      <c r="E1353" s="64" t="str">
        <f>IF(ISBLANK(D1353)=TRUE,"",VLOOKUP(D1353,Krav!$C:$F,4,FALSE))</f>
        <v>10.a.1.1.2.1 - Hvis der er svaret "I visse tilfælde" i spørgsmål 9 og hvis der er svaret "Ja" i enten 9.b.1, 9.b.2.1 eller 9.b.2.2.1 skal brugeren ledes til spørgsmål 11</v>
      </c>
      <c r="F1353" s="77" t="s">
        <v>143</v>
      </c>
      <c r="G1353" s="77" t="s">
        <v>1427</v>
      </c>
      <c r="H1353" s="145" t="s">
        <v>1428</v>
      </c>
      <c r="I1353" s="83" t="s">
        <v>560</v>
      </c>
      <c r="J1353" s="83" t="s">
        <v>222</v>
      </c>
      <c r="K1353" s="125" t="s">
        <v>222</v>
      </c>
      <c r="L1353" s="199" t="s">
        <v>3</v>
      </c>
      <c r="M1353" s="197" t="s">
        <v>129</v>
      </c>
      <c r="N1353" s="197" t="s">
        <v>131</v>
      </c>
      <c r="O1353" s="197" t="s">
        <v>376</v>
      </c>
      <c r="P1353" s="197" t="s">
        <v>96</v>
      </c>
      <c r="Q1353" s="197" t="s">
        <v>131</v>
      </c>
      <c r="R1353" s="197" t="s">
        <v>129</v>
      </c>
      <c r="S1353" s="197" t="s">
        <v>131</v>
      </c>
      <c r="T1353" s="197"/>
      <c r="U1353" s="197"/>
      <c r="V1353" s="198" t="s">
        <v>295</v>
      </c>
      <c r="W1353" s="197" t="s">
        <v>166</v>
      </c>
      <c r="X1353" s="197" t="s">
        <v>166</v>
      </c>
      <c r="Y1353" s="197" t="s">
        <v>580</v>
      </c>
      <c r="Z1353" s="197"/>
      <c r="AA1353" s="197" t="s">
        <v>129</v>
      </c>
      <c r="AB1353" s="197"/>
      <c r="AC1353" s="197"/>
      <c r="AD1353" s="198" t="s">
        <v>5</v>
      </c>
      <c r="AE1353" s="200"/>
      <c r="AF1353" s="200"/>
      <c r="AG1353" s="200"/>
      <c r="AH1353" s="200"/>
      <c r="AI1353" s="200"/>
      <c r="AJ1353" s="200"/>
      <c r="AK1353" s="200"/>
      <c r="AL1353" s="200"/>
    </row>
    <row r="1354" spans="1:38" s="188" customFormat="1" ht="33" customHeight="1" x14ac:dyDescent="0.3">
      <c r="A1354" s="167">
        <v>29</v>
      </c>
      <c r="B1354" s="168">
        <v>73</v>
      </c>
      <c r="C1354" s="192" t="str">
        <f t="shared" si="29"/>
        <v>29.73</v>
      </c>
      <c r="D1354" s="193"/>
      <c r="E1354" s="64" t="str">
        <f>IF(ISBLANK(D1354)=TRUE,"",VLOOKUP(D1354,Krav!$C:$F,4,FALSE))</f>
        <v/>
      </c>
      <c r="F1354" s="77" t="s">
        <v>143</v>
      </c>
      <c r="G1354" s="77" t="s">
        <v>1427</v>
      </c>
      <c r="H1354" s="145" t="s">
        <v>1429</v>
      </c>
      <c r="I1354" s="83" t="s">
        <v>565</v>
      </c>
      <c r="J1354" s="83" t="s">
        <v>222</v>
      </c>
      <c r="K1354" s="125" t="s">
        <v>222</v>
      </c>
      <c r="L1354" s="199" t="s">
        <v>3</v>
      </c>
      <c r="M1354" s="197" t="s">
        <v>129</v>
      </c>
      <c r="N1354" s="197" t="s">
        <v>131</v>
      </c>
      <c r="O1354" s="197" t="s">
        <v>376</v>
      </c>
      <c r="P1354" s="197" t="s">
        <v>96</v>
      </c>
      <c r="Q1354" s="197" t="s">
        <v>131</v>
      </c>
      <c r="R1354" s="197" t="s">
        <v>129</v>
      </c>
      <c r="S1354" s="197" t="s">
        <v>131</v>
      </c>
      <c r="T1354" s="197"/>
      <c r="U1354" s="197"/>
      <c r="V1354" s="197" t="s">
        <v>294</v>
      </c>
      <c r="W1354" s="197"/>
      <c r="X1354" s="197"/>
      <c r="Y1354" s="197"/>
      <c r="Z1354" s="197"/>
      <c r="AA1354" s="197"/>
      <c r="AB1354" s="197" t="s">
        <v>129</v>
      </c>
      <c r="AC1354" s="197"/>
      <c r="AD1354" s="198" t="s">
        <v>5</v>
      </c>
      <c r="AE1354" s="200"/>
      <c r="AF1354" s="200"/>
      <c r="AG1354" s="200"/>
      <c r="AH1354" s="200"/>
      <c r="AI1354" s="200"/>
      <c r="AJ1354" s="200"/>
      <c r="AK1354" s="200"/>
      <c r="AL1354" s="200"/>
    </row>
    <row r="1355" spans="1:38" s="188" customFormat="1" ht="33" customHeight="1" x14ac:dyDescent="0.3">
      <c r="A1355" s="167">
        <v>29</v>
      </c>
      <c r="B1355" s="168">
        <v>74</v>
      </c>
      <c r="C1355" s="192" t="str">
        <f t="shared" si="29"/>
        <v>29.74</v>
      </c>
      <c r="D1355" s="193" t="s">
        <v>1033</v>
      </c>
      <c r="E1355" s="64" t="str">
        <f>IF(ISBLANK(D1355)=TRUE,"",VLOOKUP(D1355,Krav!$C:$F,4,FALSE))</f>
        <v>10.a.1.1.2.1 - Hvis der er svaret "I visse tilfælde" i spørgsmål 9 og hvis der er svaret "Ja" i enten 9.b.1, 9.b.2.1 eller 9.b.2.2.1 skal brugeren ledes til spørgsmål 11</v>
      </c>
      <c r="F1355" s="77" t="s">
        <v>143</v>
      </c>
      <c r="G1355" s="77" t="s">
        <v>1427</v>
      </c>
      <c r="H1355" s="145" t="s">
        <v>1428</v>
      </c>
      <c r="I1355" s="83" t="s">
        <v>565</v>
      </c>
      <c r="J1355" s="83" t="s">
        <v>222</v>
      </c>
      <c r="K1355" s="125" t="s">
        <v>222</v>
      </c>
      <c r="L1355" s="196" t="s">
        <v>3</v>
      </c>
      <c r="M1355" s="197" t="s">
        <v>129</v>
      </c>
      <c r="N1355" s="197" t="s">
        <v>131</v>
      </c>
      <c r="O1355" s="197" t="s">
        <v>376</v>
      </c>
      <c r="P1355" s="197" t="s">
        <v>96</v>
      </c>
      <c r="Q1355" s="197" t="s">
        <v>131</v>
      </c>
      <c r="R1355" s="197" t="s">
        <v>129</v>
      </c>
      <c r="S1355" s="197" t="s">
        <v>131</v>
      </c>
      <c r="T1355" s="197"/>
      <c r="U1355" s="197"/>
      <c r="V1355" s="198" t="s">
        <v>295</v>
      </c>
      <c r="W1355" s="197" t="s">
        <v>26</v>
      </c>
      <c r="X1355" s="197"/>
      <c r="Y1355" s="197"/>
      <c r="Z1355" s="197"/>
      <c r="AA1355" s="197"/>
      <c r="AB1355" s="197" t="s">
        <v>129</v>
      </c>
      <c r="AC1355" s="197"/>
      <c r="AD1355" s="198" t="s">
        <v>5</v>
      </c>
      <c r="AE1355" s="200"/>
      <c r="AF1355" s="200"/>
      <c r="AG1355" s="200"/>
      <c r="AH1355" s="200"/>
      <c r="AI1355" s="200"/>
      <c r="AJ1355" s="200"/>
      <c r="AK1355" s="200"/>
      <c r="AL1355" s="200"/>
    </row>
    <row r="1356" spans="1:38" s="188" customFormat="1" ht="33" customHeight="1" x14ac:dyDescent="0.3">
      <c r="A1356" s="167">
        <v>29</v>
      </c>
      <c r="B1356" s="168">
        <v>75</v>
      </c>
      <c r="C1356" s="192" t="str">
        <f t="shared" si="29"/>
        <v>29.75</v>
      </c>
      <c r="D1356" s="193" t="s">
        <v>1033</v>
      </c>
      <c r="E1356" s="64" t="str">
        <f>IF(ISBLANK(D1356)=TRUE,"",VLOOKUP(D1356,Krav!$C:$F,4,FALSE))</f>
        <v>10.a.1.1.2.1 - Hvis der er svaret "I visse tilfælde" i spørgsmål 9 og hvis der er svaret "Ja" i enten 9.b.1, 9.b.2.1 eller 9.b.2.2.1 skal brugeren ledes til spørgsmål 11</v>
      </c>
      <c r="F1356" s="77" t="s">
        <v>143</v>
      </c>
      <c r="G1356" s="77" t="s">
        <v>1427</v>
      </c>
      <c r="H1356" s="145" t="s">
        <v>1428</v>
      </c>
      <c r="I1356" s="83" t="s">
        <v>565</v>
      </c>
      <c r="J1356" s="83" t="s">
        <v>222</v>
      </c>
      <c r="K1356" s="125" t="s">
        <v>222</v>
      </c>
      <c r="L1356" s="196" t="s">
        <v>3</v>
      </c>
      <c r="M1356" s="197" t="s">
        <v>129</v>
      </c>
      <c r="N1356" s="197" t="s">
        <v>131</v>
      </c>
      <c r="O1356" s="197" t="s">
        <v>376</v>
      </c>
      <c r="P1356" s="197" t="s">
        <v>96</v>
      </c>
      <c r="Q1356" s="197" t="s">
        <v>131</v>
      </c>
      <c r="R1356" s="197" t="s">
        <v>129</v>
      </c>
      <c r="S1356" s="197" t="s">
        <v>131</v>
      </c>
      <c r="T1356" s="197"/>
      <c r="U1356" s="197"/>
      <c r="V1356" s="198" t="s">
        <v>295</v>
      </c>
      <c r="W1356" s="197" t="s">
        <v>166</v>
      </c>
      <c r="X1356" s="197" t="s">
        <v>26</v>
      </c>
      <c r="Y1356" s="197"/>
      <c r="Z1356" s="197"/>
      <c r="AA1356" s="197"/>
      <c r="AB1356" s="197" t="s">
        <v>129</v>
      </c>
      <c r="AC1356" s="197"/>
      <c r="AD1356" s="198" t="s">
        <v>5</v>
      </c>
      <c r="AE1356" s="200"/>
      <c r="AF1356" s="200"/>
      <c r="AG1356" s="200"/>
      <c r="AH1356" s="200"/>
      <c r="AI1356" s="200"/>
      <c r="AJ1356" s="200"/>
      <c r="AK1356" s="200"/>
      <c r="AL1356" s="200"/>
    </row>
    <row r="1357" spans="1:38" s="188" customFormat="1" ht="33" customHeight="1" x14ac:dyDescent="0.3">
      <c r="A1357" s="167">
        <v>29</v>
      </c>
      <c r="B1357" s="168">
        <v>76</v>
      </c>
      <c r="C1357" s="192" t="str">
        <f t="shared" si="29"/>
        <v>29.76</v>
      </c>
      <c r="D1357" s="193" t="s">
        <v>1033</v>
      </c>
      <c r="E1357" s="64" t="str">
        <f>IF(ISBLANK(D1357)=TRUE,"",VLOOKUP(D1357,Krav!$C:$F,4,FALSE))</f>
        <v>10.a.1.1.2.1 - Hvis der er svaret "I visse tilfælde" i spørgsmål 9 og hvis der er svaret "Ja" i enten 9.b.1, 9.b.2.1 eller 9.b.2.2.1 skal brugeren ledes til spørgsmål 11</v>
      </c>
      <c r="F1357" s="77" t="s">
        <v>143</v>
      </c>
      <c r="G1357" s="77" t="s">
        <v>1427</v>
      </c>
      <c r="H1357" s="145" t="s">
        <v>1428</v>
      </c>
      <c r="I1357" s="83" t="s">
        <v>565</v>
      </c>
      <c r="J1357" s="83" t="s">
        <v>222</v>
      </c>
      <c r="K1357" s="125" t="s">
        <v>222</v>
      </c>
      <c r="L1357" s="199" t="s">
        <v>3</v>
      </c>
      <c r="M1357" s="197" t="s">
        <v>129</v>
      </c>
      <c r="N1357" s="197" t="s">
        <v>131</v>
      </c>
      <c r="O1357" s="197" t="s">
        <v>376</v>
      </c>
      <c r="P1357" s="197" t="s">
        <v>96</v>
      </c>
      <c r="Q1357" s="197" t="s">
        <v>131</v>
      </c>
      <c r="R1357" s="197" t="s">
        <v>129</v>
      </c>
      <c r="S1357" s="197" t="s">
        <v>131</v>
      </c>
      <c r="T1357" s="197"/>
      <c r="U1357" s="197"/>
      <c r="V1357" s="198" t="s">
        <v>295</v>
      </c>
      <c r="W1357" s="197" t="s">
        <v>166</v>
      </c>
      <c r="X1357" s="197" t="s">
        <v>166</v>
      </c>
      <c r="Y1357" s="197" t="s">
        <v>580</v>
      </c>
      <c r="Z1357" s="197"/>
      <c r="AA1357" s="197"/>
      <c r="AB1357" s="197" t="s">
        <v>129</v>
      </c>
      <c r="AC1357" s="197"/>
      <c r="AD1357" s="198" t="s">
        <v>5</v>
      </c>
      <c r="AE1357" s="200"/>
      <c r="AF1357" s="200"/>
      <c r="AG1357" s="200"/>
      <c r="AH1357" s="200"/>
      <c r="AI1357" s="200"/>
      <c r="AJ1357" s="200"/>
      <c r="AK1357" s="200"/>
      <c r="AL1357" s="200"/>
    </row>
    <row r="1358" spans="1:38" s="200" customFormat="1" ht="33" customHeight="1" x14ac:dyDescent="0.3">
      <c r="A1358" s="167">
        <v>29</v>
      </c>
      <c r="B1358" s="168">
        <v>77</v>
      </c>
      <c r="C1358" s="203" t="str">
        <f t="shared" si="29"/>
        <v>29.77</v>
      </c>
      <c r="D1358" s="18" t="s">
        <v>1048</v>
      </c>
      <c r="E1358" s="64" t="str">
        <f>IF(ISBLANK(D1358)=TRUE,"",VLOOKUP(D1358,Krav!$C:$F,4,FALSE))</f>
        <v>10.a.1.2.7 - Der angives et "NEJ" i i populationen under ”vil RIM beregne en tidligst mulig forældelsesdato?"</v>
      </c>
      <c r="F1358" s="53" t="s">
        <v>221</v>
      </c>
      <c r="G1358" s="19"/>
      <c r="H1358" s="76" t="s">
        <v>1430</v>
      </c>
      <c r="I1358" s="67" t="s">
        <v>241</v>
      </c>
      <c r="J1358" s="68" t="s">
        <v>222</v>
      </c>
      <c r="K1358" s="125" t="s">
        <v>222</v>
      </c>
      <c r="L1358" s="204" t="s">
        <v>3</v>
      </c>
      <c r="M1358" s="61" t="s">
        <v>129</v>
      </c>
      <c r="N1358" s="61" t="s">
        <v>131</v>
      </c>
      <c r="O1358" s="61" t="s">
        <v>96</v>
      </c>
      <c r="P1358" s="61" t="s">
        <v>376</v>
      </c>
      <c r="Q1358" s="61" t="s">
        <v>129</v>
      </c>
      <c r="R1358" s="61" t="s">
        <v>131</v>
      </c>
      <c r="S1358" s="61" t="s">
        <v>131</v>
      </c>
      <c r="T1358" s="61"/>
      <c r="U1358" s="61"/>
      <c r="V1358" s="61"/>
      <c r="W1358" s="61"/>
      <c r="X1358" s="61"/>
      <c r="Y1358" s="61"/>
      <c r="Z1358" s="61"/>
      <c r="AA1358" s="61"/>
      <c r="AB1358" s="61"/>
      <c r="AC1358" s="61"/>
      <c r="AD1358" s="59" t="s">
        <v>5</v>
      </c>
    </row>
    <row r="1359" spans="1:38" s="200" customFormat="1" ht="33" customHeight="1" x14ac:dyDescent="0.3">
      <c r="A1359" s="167">
        <v>29</v>
      </c>
      <c r="B1359" s="168">
        <v>78</v>
      </c>
      <c r="C1359" s="203" t="str">
        <f t="shared" si="29"/>
        <v>29.78</v>
      </c>
      <c r="D1359" s="18" t="s">
        <v>1049</v>
      </c>
      <c r="E1359" s="64" t="str">
        <f>IF(ISBLANK(D1359)=TRUE,"",VLOOKUP(D1359,Krav!$C:$F,4,FALSE))</f>
        <v>10.a.1.2.8 - Gruppe 1 deaktiveres</v>
      </c>
      <c r="F1359" s="53" t="s">
        <v>227</v>
      </c>
      <c r="G1359" s="19"/>
      <c r="H1359" s="25" t="s">
        <v>1423</v>
      </c>
      <c r="I1359" s="67" t="s">
        <v>241</v>
      </c>
      <c r="J1359" s="68" t="s">
        <v>222</v>
      </c>
      <c r="K1359" s="125" t="s">
        <v>222</v>
      </c>
      <c r="L1359" s="204" t="s">
        <v>3</v>
      </c>
      <c r="M1359" s="61" t="s">
        <v>129</v>
      </c>
      <c r="N1359" s="61" t="s">
        <v>131</v>
      </c>
      <c r="O1359" s="61" t="s">
        <v>96</v>
      </c>
      <c r="P1359" s="61" t="s">
        <v>376</v>
      </c>
      <c r="Q1359" s="61" t="s">
        <v>129</v>
      </c>
      <c r="R1359" s="61" t="s">
        <v>131</v>
      </c>
      <c r="S1359" s="61" t="s">
        <v>131</v>
      </c>
      <c r="T1359" s="61"/>
      <c r="U1359" s="61"/>
      <c r="V1359" s="61"/>
      <c r="W1359" s="61"/>
      <c r="X1359" s="61"/>
      <c r="Y1359" s="61"/>
      <c r="Z1359" s="61"/>
      <c r="AA1359" s="61"/>
      <c r="AB1359" s="61"/>
      <c r="AC1359" s="61"/>
      <c r="AD1359" s="59" t="s">
        <v>5</v>
      </c>
    </row>
    <row r="1360" spans="1:38" s="200" customFormat="1" ht="33" customHeight="1" x14ac:dyDescent="0.3">
      <c r="A1360" s="167">
        <v>29</v>
      </c>
      <c r="B1360" s="168">
        <v>79</v>
      </c>
      <c r="C1360" s="203" t="str">
        <f t="shared" si="29"/>
        <v>29.79</v>
      </c>
      <c r="D1360" s="18"/>
      <c r="E1360" s="64" t="str">
        <f>IF(ISBLANK(D1360)=TRUE,"",VLOOKUP(D1360,Krav!$C:$F,4,FALSE))</f>
        <v/>
      </c>
      <c r="F1360" s="53" t="s">
        <v>225</v>
      </c>
      <c r="G1360" s="19" t="s">
        <v>230</v>
      </c>
      <c r="H1360" s="76" t="s">
        <v>1431</v>
      </c>
      <c r="I1360" s="67" t="s">
        <v>1407</v>
      </c>
      <c r="J1360" s="68" t="s">
        <v>222</v>
      </c>
      <c r="K1360" s="125" t="s">
        <v>222</v>
      </c>
      <c r="L1360" s="204" t="s">
        <v>3</v>
      </c>
      <c r="M1360" s="61" t="s">
        <v>129</v>
      </c>
      <c r="N1360" s="61" t="s">
        <v>131</v>
      </c>
      <c r="O1360" s="61" t="s">
        <v>96</v>
      </c>
      <c r="P1360" s="61" t="s">
        <v>376</v>
      </c>
      <c r="Q1360" s="61" t="s">
        <v>129</v>
      </c>
      <c r="R1360" s="61" t="s">
        <v>131</v>
      </c>
      <c r="S1360" s="61" t="s">
        <v>131</v>
      </c>
      <c r="T1360" s="61"/>
      <c r="U1360" s="61"/>
      <c r="V1360" s="61"/>
      <c r="W1360" s="61"/>
      <c r="X1360" s="61"/>
      <c r="Y1360" s="61"/>
      <c r="Z1360" s="61"/>
      <c r="AA1360" s="61"/>
      <c r="AB1360" s="61"/>
      <c r="AC1360" s="61"/>
      <c r="AD1360" s="59" t="s">
        <v>5</v>
      </c>
    </row>
    <row r="1361" spans="1:30" s="200" customFormat="1" ht="33" customHeight="1" x14ac:dyDescent="0.3">
      <c r="A1361" s="167">
        <v>29</v>
      </c>
      <c r="B1361" s="168">
        <v>80</v>
      </c>
      <c r="C1361" s="203" t="str">
        <f t="shared" si="29"/>
        <v>29.80</v>
      </c>
      <c r="D1361" s="18"/>
      <c r="E1361" s="64" t="str">
        <f>IF(ISBLANK(D1361)=TRUE,"",VLOOKUP(D1361,Krav!$C:$F,4,FALSE))</f>
        <v/>
      </c>
      <c r="F1361" s="53" t="s">
        <v>225</v>
      </c>
      <c r="G1361" s="19" t="s">
        <v>1390</v>
      </c>
      <c r="H1361" s="76" t="s">
        <v>1431</v>
      </c>
      <c r="I1361" s="67" t="s">
        <v>369</v>
      </c>
      <c r="J1361" s="68" t="s">
        <v>222</v>
      </c>
      <c r="K1361" s="125" t="s">
        <v>222</v>
      </c>
      <c r="L1361" s="204" t="s">
        <v>3</v>
      </c>
      <c r="M1361" s="61" t="s">
        <v>129</v>
      </c>
      <c r="N1361" s="61" t="s">
        <v>131</v>
      </c>
      <c r="O1361" s="61" t="s">
        <v>96</v>
      </c>
      <c r="P1361" s="61" t="s">
        <v>376</v>
      </c>
      <c r="Q1361" s="61" t="s">
        <v>129</v>
      </c>
      <c r="R1361" s="61" t="s">
        <v>131</v>
      </c>
      <c r="S1361" s="61" t="s">
        <v>131</v>
      </c>
      <c r="T1361" s="61"/>
      <c r="U1361" s="61"/>
      <c r="V1361" s="61"/>
      <c r="W1361" s="61"/>
      <c r="X1361" s="61"/>
      <c r="Y1361" s="61"/>
      <c r="Z1361" s="61"/>
      <c r="AA1361" s="61"/>
      <c r="AB1361" s="61"/>
      <c r="AC1361" s="61"/>
      <c r="AD1361" s="59" t="s">
        <v>5</v>
      </c>
    </row>
    <row r="1362" spans="1:30" s="200" customFormat="1" ht="33" customHeight="1" x14ac:dyDescent="0.3">
      <c r="A1362" s="167">
        <v>29</v>
      </c>
      <c r="B1362" s="168">
        <v>81</v>
      </c>
      <c r="C1362" s="203" t="str">
        <f t="shared" si="29"/>
        <v>29.81</v>
      </c>
      <c r="D1362" s="18" t="s">
        <v>1038</v>
      </c>
      <c r="E1362" s="64" t="str">
        <f>IF(ISBLANK(D1362)=TRUE,"",VLOOKUP(D1362,Krav!$C:$F,4,FALSE))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362" s="29" t="s">
        <v>174</v>
      </c>
      <c r="G1362" s="19"/>
      <c r="H1362" s="76" t="s">
        <v>1424</v>
      </c>
      <c r="I1362" s="67" t="s">
        <v>1425</v>
      </c>
      <c r="J1362" s="68" t="s">
        <v>222</v>
      </c>
      <c r="K1362" s="125" t="s">
        <v>222</v>
      </c>
      <c r="L1362" s="204" t="s">
        <v>3</v>
      </c>
      <c r="M1362" s="61" t="s">
        <v>129</v>
      </c>
      <c r="N1362" s="61" t="s">
        <v>131</v>
      </c>
      <c r="O1362" s="61" t="s">
        <v>96</v>
      </c>
      <c r="P1362" s="61" t="s">
        <v>376</v>
      </c>
      <c r="Q1362" s="61" t="s">
        <v>129</v>
      </c>
      <c r="R1362" s="61" t="s">
        <v>131</v>
      </c>
      <c r="S1362" s="61" t="s">
        <v>131</v>
      </c>
      <c r="T1362" s="61"/>
      <c r="U1362" s="61"/>
      <c r="V1362" s="61" t="s">
        <v>294</v>
      </c>
      <c r="W1362" s="61"/>
      <c r="X1362" s="61"/>
      <c r="Y1362" s="61"/>
      <c r="Z1362" s="61"/>
      <c r="AA1362" s="61"/>
      <c r="AB1362" s="61"/>
      <c r="AC1362" s="61"/>
      <c r="AD1362" s="59" t="s">
        <v>5</v>
      </c>
    </row>
    <row r="1363" spans="1:30" s="200" customFormat="1" ht="33" customHeight="1" x14ac:dyDescent="0.3">
      <c r="A1363" s="167">
        <v>29</v>
      </c>
      <c r="B1363" s="168">
        <v>82</v>
      </c>
      <c r="C1363" s="203" t="str">
        <f t="shared" si="29"/>
        <v>29.82</v>
      </c>
      <c r="D1363" s="18" t="s">
        <v>1050</v>
      </c>
      <c r="E1363" s="64" t="str">
        <f>IF(ISBLANK(D1363)=TRUE,"",VLOOKUP(D1363,Krav!$C:$F,4,FALSE))</f>
        <v>10.a.1.2.9 -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363" s="29" t="s">
        <v>174</v>
      </c>
      <c r="G1363" s="53"/>
      <c r="H1363" s="76" t="s">
        <v>1432</v>
      </c>
      <c r="I1363" s="67" t="s">
        <v>1425</v>
      </c>
      <c r="J1363" s="68" t="s">
        <v>222</v>
      </c>
      <c r="K1363" s="125" t="s">
        <v>222</v>
      </c>
      <c r="L1363" s="204" t="s">
        <v>3</v>
      </c>
      <c r="M1363" s="61" t="s">
        <v>129</v>
      </c>
      <c r="N1363" s="61" t="s">
        <v>131</v>
      </c>
      <c r="O1363" s="61" t="s">
        <v>96</v>
      </c>
      <c r="P1363" s="61" t="s">
        <v>376</v>
      </c>
      <c r="Q1363" s="61" t="s">
        <v>129</v>
      </c>
      <c r="R1363" s="61" t="s">
        <v>131</v>
      </c>
      <c r="S1363" s="61" t="s">
        <v>131</v>
      </c>
      <c r="T1363" s="61"/>
      <c r="U1363" s="61"/>
      <c r="V1363" s="59" t="s">
        <v>295</v>
      </c>
      <c r="W1363" s="61" t="s">
        <v>26</v>
      </c>
      <c r="X1363" s="61"/>
      <c r="Y1363" s="61"/>
      <c r="Z1363" s="61"/>
      <c r="AA1363" s="61"/>
      <c r="AB1363" s="61"/>
      <c r="AC1363" s="61"/>
      <c r="AD1363" s="59" t="s">
        <v>5</v>
      </c>
    </row>
    <row r="1364" spans="1:30" s="200" customFormat="1" ht="33" customHeight="1" x14ac:dyDescent="0.3">
      <c r="A1364" s="167">
        <v>29</v>
      </c>
      <c r="B1364" s="168">
        <v>83</v>
      </c>
      <c r="C1364" s="203" t="str">
        <f t="shared" si="29"/>
        <v>29.83</v>
      </c>
      <c r="D1364" s="18" t="s">
        <v>1050</v>
      </c>
      <c r="E1364" s="64" t="str">
        <f>IF(ISBLANK(D1364)=TRUE,"",VLOOKUP(D1364,Krav!$C:$F,4,FALSE))</f>
        <v>10.a.1.2.9 -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364" s="29" t="s">
        <v>174</v>
      </c>
      <c r="G1364" s="19"/>
      <c r="H1364" s="76" t="s">
        <v>1432</v>
      </c>
      <c r="I1364" s="68" t="s">
        <v>1425</v>
      </c>
      <c r="J1364" s="68" t="s">
        <v>222</v>
      </c>
      <c r="K1364" s="125" t="s">
        <v>222</v>
      </c>
      <c r="L1364" s="204" t="s">
        <v>3</v>
      </c>
      <c r="M1364" s="61" t="s">
        <v>129</v>
      </c>
      <c r="N1364" s="61" t="s">
        <v>131</v>
      </c>
      <c r="O1364" s="61" t="s">
        <v>96</v>
      </c>
      <c r="P1364" s="61" t="s">
        <v>376</v>
      </c>
      <c r="Q1364" s="61" t="s">
        <v>129</v>
      </c>
      <c r="R1364" s="61" t="s">
        <v>131</v>
      </c>
      <c r="S1364" s="61" t="s">
        <v>131</v>
      </c>
      <c r="T1364" s="61"/>
      <c r="U1364" s="61"/>
      <c r="V1364" s="59" t="s">
        <v>295</v>
      </c>
      <c r="W1364" s="61" t="s">
        <v>166</v>
      </c>
      <c r="X1364" s="61" t="s">
        <v>26</v>
      </c>
      <c r="Y1364" s="61"/>
      <c r="Z1364" s="61"/>
      <c r="AA1364" s="61"/>
      <c r="AB1364" s="61"/>
      <c r="AC1364" s="61"/>
      <c r="AD1364" s="59" t="s">
        <v>5</v>
      </c>
    </row>
    <row r="1365" spans="1:30" s="200" customFormat="1" ht="33" customHeight="1" x14ac:dyDescent="0.3">
      <c r="A1365" s="167">
        <v>29</v>
      </c>
      <c r="B1365" s="168">
        <v>84</v>
      </c>
      <c r="C1365" s="203" t="str">
        <f t="shared" si="29"/>
        <v>29.84</v>
      </c>
      <c r="D1365" s="18" t="s">
        <v>1050</v>
      </c>
      <c r="E1365" s="64" t="str">
        <f>IF(ISBLANK(D1365)=TRUE,"",VLOOKUP(D1365,Krav!$C:$F,4,FALSE))</f>
        <v>10.a.1.2.9 -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365" s="29" t="s">
        <v>174</v>
      </c>
      <c r="G1365" s="53"/>
      <c r="H1365" s="76" t="s">
        <v>1432</v>
      </c>
      <c r="I1365" s="67" t="s">
        <v>1425</v>
      </c>
      <c r="J1365" s="68" t="s">
        <v>222</v>
      </c>
      <c r="K1365" s="125" t="s">
        <v>222</v>
      </c>
      <c r="L1365" s="204" t="s">
        <v>3</v>
      </c>
      <c r="M1365" s="61" t="s">
        <v>129</v>
      </c>
      <c r="N1365" s="61" t="s">
        <v>131</v>
      </c>
      <c r="O1365" s="61" t="s">
        <v>96</v>
      </c>
      <c r="P1365" s="61" t="s">
        <v>376</v>
      </c>
      <c r="Q1365" s="61" t="s">
        <v>129</v>
      </c>
      <c r="R1365" s="61" t="s">
        <v>131</v>
      </c>
      <c r="S1365" s="61" t="s">
        <v>131</v>
      </c>
      <c r="T1365" s="61"/>
      <c r="U1365" s="61"/>
      <c r="V1365" s="59" t="s">
        <v>295</v>
      </c>
      <c r="W1365" s="61" t="s">
        <v>166</v>
      </c>
      <c r="X1365" s="61" t="s">
        <v>166</v>
      </c>
      <c r="Y1365" s="61" t="s">
        <v>580</v>
      </c>
      <c r="Z1365" s="61"/>
      <c r="AA1365" s="61"/>
      <c r="AB1365" s="61"/>
      <c r="AC1365" s="61"/>
      <c r="AD1365" s="59" t="s">
        <v>5</v>
      </c>
    </row>
    <row r="1366" spans="1:30" s="200" customFormat="1" ht="33" customHeight="1" x14ac:dyDescent="0.3">
      <c r="A1366" s="167">
        <v>29</v>
      </c>
      <c r="B1366" s="168">
        <v>85</v>
      </c>
      <c r="C1366" s="203" t="str">
        <f t="shared" si="29"/>
        <v>29.85</v>
      </c>
      <c r="D1366" s="18" t="s">
        <v>1051</v>
      </c>
      <c r="E1366" s="64" t="str">
        <f>IF(ISBLANK(D1366)=TRUE,"",VLOOKUP(D1366,Krav!$C:$F,4,FALSE))</f>
        <v xml:space="preserve">10.a.1.2.10 - Hvis fordringshaver har svaret ”aldrig” i spm. 9, kan der ikke opsættes en FLEX-filter konfiguration for populationen. </v>
      </c>
      <c r="F1366" s="29" t="s">
        <v>174</v>
      </c>
      <c r="G1366" s="19"/>
      <c r="H1366" s="76"/>
      <c r="I1366" s="67" t="s">
        <v>1414</v>
      </c>
      <c r="J1366" s="68" t="s">
        <v>222</v>
      </c>
      <c r="K1366" s="125" t="s">
        <v>222</v>
      </c>
      <c r="L1366" s="204" t="s">
        <v>4</v>
      </c>
      <c r="M1366" s="61" t="s">
        <v>129</v>
      </c>
      <c r="N1366" s="61" t="s">
        <v>131</v>
      </c>
      <c r="O1366" s="61" t="s">
        <v>96</v>
      </c>
      <c r="P1366" s="61" t="s">
        <v>376</v>
      </c>
      <c r="Q1366" s="61" t="s">
        <v>129</v>
      </c>
      <c r="R1366" s="61" t="s">
        <v>131</v>
      </c>
      <c r="S1366" s="61" t="s">
        <v>131</v>
      </c>
      <c r="T1366" s="61"/>
      <c r="U1366" s="61"/>
      <c r="V1366" s="59" t="s">
        <v>295</v>
      </c>
      <c r="W1366" s="61" t="s">
        <v>166</v>
      </c>
      <c r="X1366" s="61" t="s">
        <v>166</v>
      </c>
      <c r="Y1366" s="61" t="s">
        <v>369</v>
      </c>
      <c r="Z1366" s="61"/>
      <c r="AA1366" s="61"/>
      <c r="AB1366" s="61"/>
      <c r="AC1366" s="61"/>
      <c r="AD1366" s="59" t="s">
        <v>5</v>
      </c>
    </row>
    <row r="1367" spans="1:30" s="200" customFormat="1" ht="33" customHeight="1" x14ac:dyDescent="0.3">
      <c r="A1367" s="167">
        <v>29</v>
      </c>
      <c r="B1367" s="168">
        <v>86</v>
      </c>
      <c r="C1367" s="203" t="str">
        <f t="shared" si="29"/>
        <v>29.86</v>
      </c>
      <c r="D1367" s="18" t="s">
        <v>1051</v>
      </c>
      <c r="E1367" s="64" t="str">
        <f>IF(ISBLANK(D1367)=TRUE,"",VLOOKUP(D1367,Krav!$C:$F,4,FALSE))</f>
        <v xml:space="preserve">10.a.1.2.10 - Hvis fordringshaver har svaret ”aldrig” i spm. 9, kan der ikke opsættes en FLEX-filter konfiguration for populationen. </v>
      </c>
      <c r="F1367" s="29" t="s">
        <v>174</v>
      </c>
      <c r="G1367" s="19"/>
      <c r="H1367" s="76" t="s">
        <v>1426</v>
      </c>
      <c r="I1367" s="67" t="s">
        <v>1414</v>
      </c>
      <c r="J1367" s="67" t="s">
        <v>222</v>
      </c>
      <c r="K1367" s="125" t="s">
        <v>222</v>
      </c>
      <c r="L1367" s="204" t="s">
        <v>4</v>
      </c>
      <c r="M1367" s="61" t="s">
        <v>129</v>
      </c>
      <c r="N1367" s="61" t="s">
        <v>131</v>
      </c>
      <c r="O1367" s="61" t="s">
        <v>96</v>
      </c>
      <c r="P1367" s="61" t="s">
        <v>376</v>
      </c>
      <c r="Q1367" s="61" t="s">
        <v>129</v>
      </c>
      <c r="R1367" s="61" t="s">
        <v>131</v>
      </c>
      <c r="S1367" s="61" t="s">
        <v>131</v>
      </c>
      <c r="T1367" s="61"/>
      <c r="U1367" s="61"/>
      <c r="V1367" s="61" t="s">
        <v>303</v>
      </c>
      <c r="W1367" s="61"/>
      <c r="X1367" s="61"/>
      <c r="Y1367" s="61"/>
      <c r="Z1367" s="61"/>
      <c r="AA1367" s="61"/>
      <c r="AB1367" s="61"/>
      <c r="AC1367" s="61"/>
      <c r="AD1367" s="59" t="s">
        <v>5</v>
      </c>
    </row>
    <row r="1368" spans="1:30" s="200" customFormat="1" ht="33" customHeight="1" x14ac:dyDescent="0.3">
      <c r="A1368" s="167">
        <v>29</v>
      </c>
      <c r="B1368" s="168">
        <v>87</v>
      </c>
      <c r="C1368" s="203" t="str">
        <f t="shared" si="29"/>
        <v>29.87</v>
      </c>
      <c r="D1368" s="18" t="s">
        <v>1047</v>
      </c>
      <c r="E1368" s="64" t="str">
        <f>IF(ISBLANK(D1368)=TRUE,"",VLOOKUP(D1368,Krav!$C:$F,4,FALSE))</f>
        <v>10.a.1.2.6 - Hvis der er svaret "I visse tilfælde" i spørgsmål 9 og hvis der er svaret "Ja" i enten 9.b.1, 9.b.2.1 eller 9.b.2.2.1 skal brugeren ledes til spørgsmål 11</v>
      </c>
      <c r="F1368" s="53" t="s">
        <v>143</v>
      </c>
      <c r="G1368" s="53" t="s">
        <v>1427</v>
      </c>
      <c r="H1368" s="76" t="s">
        <v>1433</v>
      </c>
      <c r="I1368" s="67" t="s">
        <v>468</v>
      </c>
      <c r="J1368" s="67" t="s">
        <v>222</v>
      </c>
      <c r="K1368" s="125" t="s">
        <v>222</v>
      </c>
      <c r="L1368" s="204" t="s">
        <v>3</v>
      </c>
      <c r="M1368" s="61" t="s">
        <v>129</v>
      </c>
      <c r="N1368" s="61" t="s">
        <v>131</v>
      </c>
      <c r="O1368" s="61" t="s">
        <v>96</v>
      </c>
      <c r="P1368" s="61" t="s">
        <v>376</v>
      </c>
      <c r="Q1368" s="61" t="s">
        <v>129</v>
      </c>
      <c r="R1368" s="61" t="s">
        <v>131</v>
      </c>
      <c r="S1368" s="61" t="s">
        <v>131</v>
      </c>
      <c r="T1368" s="61"/>
      <c r="U1368" s="61"/>
      <c r="V1368" s="59" t="s">
        <v>295</v>
      </c>
      <c r="W1368" s="61" t="s">
        <v>26</v>
      </c>
      <c r="X1368" s="61"/>
      <c r="Y1368" s="61"/>
      <c r="Z1368" s="61"/>
      <c r="AA1368" s="61"/>
      <c r="AB1368" s="61"/>
      <c r="AC1368" s="61"/>
      <c r="AD1368" s="59" t="s">
        <v>5</v>
      </c>
    </row>
    <row r="1369" spans="1:30" s="200" customFormat="1" ht="33" customHeight="1" x14ac:dyDescent="0.3">
      <c r="A1369" s="167">
        <v>29</v>
      </c>
      <c r="B1369" s="168">
        <v>88</v>
      </c>
      <c r="C1369" s="203" t="str">
        <f t="shared" si="29"/>
        <v>29.88</v>
      </c>
      <c r="D1369" s="18" t="s">
        <v>1047</v>
      </c>
      <c r="E1369" s="64" t="str">
        <f>IF(ISBLANK(D1369)=TRUE,"",VLOOKUP(D1369,Krav!$C:$F,4,FALSE))</f>
        <v>10.a.1.2.6 - Hvis der er svaret "I visse tilfælde" i spørgsmål 9 og hvis der er svaret "Ja" i enten 9.b.1, 9.b.2.1 eller 9.b.2.2.1 skal brugeren ledes til spørgsmål 11</v>
      </c>
      <c r="F1369" s="53" t="s">
        <v>143</v>
      </c>
      <c r="G1369" s="53" t="s">
        <v>1427</v>
      </c>
      <c r="H1369" s="76" t="s">
        <v>1433</v>
      </c>
      <c r="I1369" s="67" t="s">
        <v>468</v>
      </c>
      <c r="J1369" s="67" t="s">
        <v>222</v>
      </c>
      <c r="K1369" s="125" t="s">
        <v>222</v>
      </c>
      <c r="L1369" s="204" t="s">
        <v>3</v>
      </c>
      <c r="M1369" s="61" t="s">
        <v>129</v>
      </c>
      <c r="N1369" s="61" t="s">
        <v>131</v>
      </c>
      <c r="O1369" s="61" t="s">
        <v>96</v>
      </c>
      <c r="P1369" s="61" t="s">
        <v>376</v>
      </c>
      <c r="Q1369" s="61" t="s">
        <v>129</v>
      </c>
      <c r="R1369" s="61" t="s">
        <v>131</v>
      </c>
      <c r="S1369" s="61" t="s">
        <v>131</v>
      </c>
      <c r="T1369" s="61"/>
      <c r="U1369" s="61"/>
      <c r="V1369" s="59" t="s">
        <v>295</v>
      </c>
      <c r="W1369" s="61" t="s">
        <v>166</v>
      </c>
      <c r="X1369" s="61" t="s">
        <v>26</v>
      </c>
      <c r="Y1369" s="61"/>
      <c r="Z1369" s="61"/>
      <c r="AA1369" s="61"/>
      <c r="AB1369" s="61"/>
      <c r="AC1369" s="61"/>
      <c r="AD1369" s="59" t="s">
        <v>5</v>
      </c>
    </row>
    <row r="1370" spans="1:30" s="200" customFormat="1" ht="33" customHeight="1" x14ac:dyDescent="0.3">
      <c r="A1370" s="167">
        <v>29</v>
      </c>
      <c r="B1370" s="168">
        <v>89</v>
      </c>
      <c r="C1370" s="203" t="str">
        <f t="shared" si="29"/>
        <v>29.89</v>
      </c>
      <c r="D1370" s="18" t="s">
        <v>1047</v>
      </c>
      <c r="E1370" s="64" t="str">
        <f>IF(ISBLANK(D1370)=TRUE,"",VLOOKUP(D1370,Krav!$C:$F,4,FALSE))</f>
        <v>10.a.1.2.6 - Hvis der er svaret "I visse tilfælde" i spørgsmål 9 og hvis der er svaret "Ja" i enten 9.b.1, 9.b.2.1 eller 9.b.2.2.1 skal brugeren ledes til spørgsmål 11</v>
      </c>
      <c r="F1370" s="53" t="s">
        <v>143</v>
      </c>
      <c r="G1370" s="53" t="s">
        <v>1427</v>
      </c>
      <c r="H1370" s="76" t="s">
        <v>1433</v>
      </c>
      <c r="I1370" s="67" t="s">
        <v>468</v>
      </c>
      <c r="J1370" s="67" t="s">
        <v>222</v>
      </c>
      <c r="K1370" s="125" t="s">
        <v>222</v>
      </c>
      <c r="L1370" s="206" t="s">
        <v>3</v>
      </c>
      <c r="M1370" s="61" t="s">
        <v>129</v>
      </c>
      <c r="N1370" s="61" t="s">
        <v>131</v>
      </c>
      <c r="O1370" s="61" t="s">
        <v>96</v>
      </c>
      <c r="P1370" s="61" t="s">
        <v>376</v>
      </c>
      <c r="Q1370" s="61" t="s">
        <v>129</v>
      </c>
      <c r="R1370" s="61" t="s">
        <v>131</v>
      </c>
      <c r="S1370" s="61" t="s">
        <v>131</v>
      </c>
      <c r="T1370" s="61"/>
      <c r="U1370" s="61"/>
      <c r="V1370" s="59" t="s">
        <v>295</v>
      </c>
      <c r="W1370" s="61" t="s">
        <v>166</v>
      </c>
      <c r="X1370" s="61" t="s">
        <v>166</v>
      </c>
      <c r="Y1370" s="61" t="s">
        <v>580</v>
      </c>
      <c r="Z1370" s="61"/>
      <c r="AA1370" s="61"/>
      <c r="AB1370" s="61"/>
      <c r="AC1370" s="61"/>
      <c r="AD1370" s="59" t="s">
        <v>5</v>
      </c>
    </row>
    <row r="1371" spans="1:30" s="200" customFormat="1" ht="33" customHeight="1" x14ac:dyDescent="0.3">
      <c r="A1371" s="167">
        <v>29</v>
      </c>
      <c r="B1371" s="168">
        <v>90</v>
      </c>
      <c r="C1371" s="203" t="str">
        <f t="shared" si="29"/>
        <v>29.90</v>
      </c>
      <c r="D1371" s="18"/>
      <c r="E1371" s="64" t="str">
        <f>IF(ISBLANK(D1371)=TRUE,"",VLOOKUP(D1371,Krav!$C:$F,4,FALSE))</f>
        <v/>
      </c>
      <c r="F1371" s="53" t="s">
        <v>143</v>
      </c>
      <c r="G1371" s="53" t="s">
        <v>1427</v>
      </c>
      <c r="H1371" s="76" t="s">
        <v>1429</v>
      </c>
      <c r="I1371" s="67" t="s">
        <v>468</v>
      </c>
      <c r="J1371" s="67" t="s">
        <v>222</v>
      </c>
      <c r="K1371" s="125" t="s">
        <v>222</v>
      </c>
      <c r="L1371" s="206" t="s">
        <v>3</v>
      </c>
      <c r="M1371" s="61" t="s">
        <v>129</v>
      </c>
      <c r="N1371" s="61" t="s">
        <v>131</v>
      </c>
      <c r="O1371" s="61" t="s">
        <v>96</v>
      </c>
      <c r="P1371" s="61" t="s">
        <v>376</v>
      </c>
      <c r="Q1371" s="61" t="s">
        <v>129</v>
      </c>
      <c r="R1371" s="61" t="s">
        <v>131</v>
      </c>
      <c r="S1371" s="61" t="s">
        <v>131</v>
      </c>
      <c r="T1371" s="61"/>
      <c r="U1371" s="61"/>
      <c r="V1371" s="61" t="s">
        <v>294</v>
      </c>
      <c r="W1371" s="61"/>
      <c r="X1371" s="61"/>
      <c r="Y1371" s="61"/>
      <c r="Z1371" s="61"/>
      <c r="AA1371" s="61"/>
      <c r="AB1371" s="61"/>
      <c r="AC1371" s="61"/>
      <c r="AD1371" s="59" t="s">
        <v>5</v>
      </c>
    </row>
    <row r="1372" spans="1:30" s="200" customFormat="1" ht="33" customHeight="1" x14ac:dyDescent="0.3">
      <c r="A1372" s="167">
        <v>29</v>
      </c>
      <c r="B1372" s="168">
        <v>91</v>
      </c>
      <c r="C1372" s="203" t="str">
        <f t="shared" si="29"/>
        <v>29.91</v>
      </c>
      <c r="D1372" s="18" t="s">
        <v>1047</v>
      </c>
      <c r="E1372" s="64" t="str">
        <f>IF(ISBLANK(D1372)=TRUE,"",VLOOKUP(D1372,Krav!$C:$F,4,FALSE))</f>
        <v>10.a.1.2.6 - Hvis der er svaret "I visse tilfælde" i spørgsmål 9 og hvis der er svaret "Ja" i enten 9.b.1, 9.b.2.1 eller 9.b.2.2.1 skal brugeren ledes til spørgsmål 11</v>
      </c>
      <c r="F1372" s="53" t="s">
        <v>143</v>
      </c>
      <c r="G1372" s="53" t="s">
        <v>1427</v>
      </c>
      <c r="H1372" s="76" t="s">
        <v>1433</v>
      </c>
      <c r="I1372" s="67" t="s">
        <v>555</v>
      </c>
      <c r="J1372" s="67" t="s">
        <v>222</v>
      </c>
      <c r="K1372" s="123" t="s">
        <v>222</v>
      </c>
      <c r="L1372" s="204" t="s">
        <v>3</v>
      </c>
      <c r="M1372" s="61" t="s">
        <v>129</v>
      </c>
      <c r="N1372" s="61" t="s">
        <v>131</v>
      </c>
      <c r="O1372" s="61" t="s">
        <v>96</v>
      </c>
      <c r="P1372" s="61" t="s">
        <v>376</v>
      </c>
      <c r="Q1372" s="61" t="s">
        <v>129</v>
      </c>
      <c r="R1372" s="61" t="s">
        <v>131</v>
      </c>
      <c r="S1372" s="61" t="s">
        <v>131</v>
      </c>
      <c r="T1372" s="61"/>
      <c r="U1372" s="61"/>
      <c r="V1372" s="59" t="s">
        <v>295</v>
      </c>
      <c r="W1372" s="61" t="s">
        <v>26</v>
      </c>
      <c r="X1372" s="61"/>
      <c r="Y1372" s="61"/>
      <c r="Z1372" s="61" t="s">
        <v>129</v>
      </c>
      <c r="AA1372" s="61"/>
      <c r="AB1372" s="61"/>
      <c r="AC1372" s="61"/>
      <c r="AD1372" s="59" t="s">
        <v>5</v>
      </c>
    </row>
    <row r="1373" spans="1:30" s="200" customFormat="1" ht="33" customHeight="1" x14ac:dyDescent="0.3">
      <c r="A1373" s="167">
        <v>29</v>
      </c>
      <c r="B1373" s="168">
        <v>92</v>
      </c>
      <c r="C1373" s="203" t="str">
        <f t="shared" si="29"/>
        <v>29.92</v>
      </c>
      <c r="D1373" s="18" t="s">
        <v>1047</v>
      </c>
      <c r="E1373" s="64" t="str">
        <f>IF(ISBLANK(D1373)=TRUE,"",VLOOKUP(D1373,Krav!$C:$F,4,FALSE))</f>
        <v>10.a.1.2.6 - Hvis der er svaret "I visse tilfælde" i spørgsmål 9 og hvis der er svaret "Ja" i enten 9.b.1, 9.b.2.1 eller 9.b.2.2.1 skal brugeren ledes til spørgsmål 11</v>
      </c>
      <c r="F1373" s="53" t="s">
        <v>143</v>
      </c>
      <c r="G1373" s="53" t="s">
        <v>1427</v>
      </c>
      <c r="H1373" s="76" t="s">
        <v>1433</v>
      </c>
      <c r="I1373" s="67" t="s">
        <v>560</v>
      </c>
      <c r="J1373" s="67" t="s">
        <v>222</v>
      </c>
      <c r="K1373" s="125" t="s">
        <v>222</v>
      </c>
      <c r="L1373" s="204" t="s">
        <v>3</v>
      </c>
      <c r="M1373" s="61" t="s">
        <v>129</v>
      </c>
      <c r="N1373" s="61" t="s">
        <v>131</v>
      </c>
      <c r="O1373" s="61" t="s">
        <v>96</v>
      </c>
      <c r="P1373" s="61" t="s">
        <v>376</v>
      </c>
      <c r="Q1373" s="61" t="s">
        <v>129</v>
      </c>
      <c r="R1373" s="61" t="s">
        <v>131</v>
      </c>
      <c r="S1373" s="61" t="s">
        <v>131</v>
      </c>
      <c r="T1373" s="61"/>
      <c r="U1373" s="61"/>
      <c r="V1373" s="59" t="s">
        <v>295</v>
      </c>
      <c r="W1373" s="61" t="s">
        <v>26</v>
      </c>
      <c r="X1373" s="61"/>
      <c r="Y1373" s="61"/>
      <c r="Z1373" s="61"/>
      <c r="AA1373" s="61" t="s">
        <v>129</v>
      </c>
      <c r="AB1373" s="61"/>
      <c r="AC1373" s="61"/>
      <c r="AD1373" s="59" t="s">
        <v>5</v>
      </c>
    </row>
    <row r="1374" spans="1:30" s="200" customFormat="1" ht="33" customHeight="1" x14ac:dyDescent="0.3">
      <c r="A1374" s="167">
        <v>29</v>
      </c>
      <c r="B1374" s="168">
        <v>93</v>
      </c>
      <c r="C1374" s="203" t="str">
        <f t="shared" si="29"/>
        <v>29.93</v>
      </c>
      <c r="D1374" s="18" t="s">
        <v>1047</v>
      </c>
      <c r="E1374" s="64" t="str">
        <f>IF(ISBLANK(D1374)=TRUE,"",VLOOKUP(D1374,Krav!$C:$F,4,FALSE))</f>
        <v>10.a.1.2.6 - Hvis der er svaret "I visse tilfælde" i spørgsmål 9 og hvis der er svaret "Ja" i enten 9.b.1, 9.b.2.1 eller 9.b.2.2.1 skal brugeren ledes til spørgsmål 11</v>
      </c>
      <c r="F1374" s="53" t="s">
        <v>143</v>
      </c>
      <c r="G1374" s="53" t="s">
        <v>1427</v>
      </c>
      <c r="H1374" s="76" t="s">
        <v>1433</v>
      </c>
      <c r="I1374" s="67" t="s">
        <v>560</v>
      </c>
      <c r="J1374" s="67" t="s">
        <v>222</v>
      </c>
      <c r="K1374" s="125" t="s">
        <v>222</v>
      </c>
      <c r="L1374" s="204" t="s">
        <v>3</v>
      </c>
      <c r="M1374" s="61" t="s">
        <v>129</v>
      </c>
      <c r="N1374" s="61" t="s">
        <v>131</v>
      </c>
      <c r="O1374" s="61" t="s">
        <v>96</v>
      </c>
      <c r="P1374" s="61" t="s">
        <v>376</v>
      </c>
      <c r="Q1374" s="61" t="s">
        <v>129</v>
      </c>
      <c r="R1374" s="61" t="s">
        <v>131</v>
      </c>
      <c r="S1374" s="61" t="s">
        <v>131</v>
      </c>
      <c r="T1374" s="61"/>
      <c r="U1374" s="61"/>
      <c r="V1374" s="59" t="s">
        <v>295</v>
      </c>
      <c r="W1374" s="61" t="s">
        <v>166</v>
      </c>
      <c r="X1374" s="61" t="s">
        <v>26</v>
      </c>
      <c r="Y1374" s="61"/>
      <c r="Z1374" s="61"/>
      <c r="AA1374" s="61" t="s">
        <v>129</v>
      </c>
      <c r="AB1374" s="61"/>
      <c r="AC1374" s="61"/>
      <c r="AD1374" s="59" t="s">
        <v>5</v>
      </c>
    </row>
    <row r="1375" spans="1:30" s="200" customFormat="1" ht="33" customHeight="1" x14ac:dyDescent="0.3">
      <c r="A1375" s="167">
        <v>29</v>
      </c>
      <c r="B1375" s="168">
        <v>94</v>
      </c>
      <c r="C1375" s="203" t="str">
        <f t="shared" si="29"/>
        <v>29.94</v>
      </c>
      <c r="D1375" s="18" t="s">
        <v>1047</v>
      </c>
      <c r="E1375" s="64" t="str">
        <f>IF(ISBLANK(D1375)=TRUE,"",VLOOKUP(D1375,Krav!$C:$F,4,FALSE))</f>
        <v>10.a.1.2.6 - Hvis der er svaret "I visse tilfælde" i spørgsmål 9 og hvis der er svaret "Ja" i enten 9.b.1, 9.b.2.1 eller 9.b.2.2.1 skal brugeren ledes til spørgsmål 11</v>
      </c>
      <c r="F1375" s="53" t="s">
        <v>143</v>
      </c>
      <c r="G1375" s="53" t="s">
        <v>1427</v>
      </c>
      <c r="H1375" s="76" t="s">
        <v>1433</v>
      </c>
      <c r="I1375" s="67" t="s">
        <v>560</v>
      </c>
      <c r="J1375" s="67" t="s">
        <v>222</v>
      </c>
      <c r="K1375" s="125" t="s">
        <v>222</v>
      </c>
      <c r="L1375" s="206" t="s">
        <v>3</v>
      </c>
      <c r="M1375" s="61" t="s">
        <v>129</v>
      </c>
      <c r="N1375" s="61" t="s">
        <v>131</v>
      </c>
      <c r="O1375" s="61" t="s">
        <v>96</v>
      </c>
      <c r="P1375" s="61" t="s">
        <v>376</v>
      </c>
      <c r="Q1375" s="61" t="s">
        <v>129</v>
      </c>
      <c r="R1375" s="61" t="s">
        <v>131</v>
      </c>
      <c r="S1375" s="61" t="s">
        <v>131</v>
      </c>
      <c r="T1375" s="61"/>
      <c r="U1375" s="61"/>
      <c r="V1375" s="59" t="s">
        <v>295</v>
      </c>
      <c r="W1375" s="61" t="s">
        <v>166</v>
      </c>
      <c r="X1375" s="61" t="s">
        <v>166</v>
      </c>
      <c r="Y1375" s="61" t="s">
        <v>580</v>
      </c>
      <c r="Z1375" s="61"/>
      <c r="AA1375" s="61" t="s">
        <v>129</v>
      </c>
      <c r="AB1375" s="61"/>
      <c r="AC1375" s="61"/>
      <c r="AD1375" s="59" t="s">
        <v>5</v>
      </c>
    </row>
    <row r="1376" spans="1:30" s="200" customFormat="1" ht="33" customHeight="1" x14ac:dyDescent="0.3">
      <c r="A1376" s="167">
        <v>29</v>
      </c>
      <c r="B1376" s="168">
        <v>95</v>
      </c>
      <c r="C1376" s="203" t="str">
        <f t="shared" si="29"/>
        <v>29.95</v>
      </c>
      <c r="D1376" s="18"/>
      <c r="E1376" s="64" t="str">
        <f>IF(ISBLANK(D1376)=TRUE,"",VLOOKUP(D1376,Krav!$C:$F,4,FALSE))</f>
        <v/>
      </c>
      <c r="F1376" s="53" t="s">
        <v>143</v>
      </c>
      <c r="G1376" s="53" t="s">
        <v>1427</v>
      </c>
      <c r="H1376" s="76" t="s">
        <v>1429</v>
      </c>
      <c r="I1376" s="67" t="s">
        <v>560</v>
      </c>
      <c r="J1376" s="67" t="s">
        <v>222</v>
      </c>
      <c r="K1376" s="125" t="s">
        <v>222</v>
      </c>
      <c r="L1376" s="206" t="s">
        <v>3</v>
      </c>
      <c r="M1376" s="61" t="s">
        <v>129</v>
      </c>
      <c r="N1376" s="61" t="s">
        <v>131</v>
      </c>
      <c r="O1376" s="61" t="s">
        <v>96</v>
      </c>
      <c r="P1376" s="61" t="s">
        <v>376</v>
      </c>
      <c r="Q1376" s="61" t="s">
        <v>129</v>
      </c>
      <c r="R1376" s="61" t="s">
        <v>131</v>
      </c>
      <c r="S1376" s="61" t="s">
        <v>131</v>
      </c>
      <c r="T1376" s="61"/>
      <c r="U1376" s="61"/>
      <c r="V1376" s="61" t="s">
        <v>294</v>
      </c>
      <c r="W1376" s="61"/>
      <c r="X1376" s="61"/>
      <c r="Y1376" s="61"/>
      <c r="Z1376" s="61"/>
      <c r="AA1376" s="61" t="s">
        <v>129</v>
      </c>
      <c r="AB1376" s="61"/>
      <c r="AC1376" s="61"/>
      <c r="AD1376" s="59" t="s">
        <v>5</v>
      </c>
    </row>
    <row r="1377" spans="1:30" s="200" customFormat="1" ht="33" customHeight="1" x14ac:dyDescent="0.3">
      <c r="A1377" s="167">
        <v>29</v>
      </c>
      <c r="B1377" s="168">
        <v>96</v>
      </c>
      <c r="C1377" s="203" t="str">
        <f t="shared" si="29"/>
        <v>29.96</v>
      </c>
      <c r="D1377" s="18" t="s">
        <v>1047</v>
      </c>
      <c r="E1377" s="64" t="str">
        <f>IF(ISBLANK(D1377)=TRUE,"",VLOOKUP(D1377,Krav!$C:$F,4,FALSE))</f>
        <v>10.a.1.2.6 - Hvis der er svaret "I visse tilfælde" i spørgsmål 9 og hvis der er svaret "Ja" i enten 9.b.1, 9.b.2.1 eller 9.b.2.2.1 skal brugeren ledes til spørgsmål 11</v>
      </c>
      <c r="F1377" s="53" t="s">
        <v>143</v>
      </c>
      <c r="G1377" s="53" t="s">
        <v>1427</v>
      </c>
      <c r="H1377" s="76" t="s">
        <v>1433</v>
      </c>
      <c r="I1377" s="67" t="s">
        <v>565</v>
      </c>
      <c r="J1377" s="67" t="s">
        <v>222</v>
      </c>
      <c r="K1377" s="125" t="s">
        <v>222</v>
      </c>
      <c r="L1377" s="204" t="s">
        <v>3</v>
      </c>
      <c r="M1377" s="61" t="s">
        <v>129</v>
      </c>
      <c r="N1377" s="61" t="s">
        <v>131</v>
      </c>
      <c r="O1377" s="61" t="s">
        <v>96</v>
      </c>
      <c r="P1377" s="61" t="s">
        <v>376</v>
      </c>
      <c r="Q1377" s="61" t="s">
        <v>129</v>
      </c>
      <c r="R1377" s="61" t="s">
        <v>131</v>
      </c>
      <c r="S1377" s="61" t="s">
        <v>131</v>
      </c>
      <c r="T1377" s="61"/>
      <c r="U1377" s="61"/>
      <c r="V1377" s="59" t="s">
        <v>295</v>
      </c>
      <c r="W1377" s="61" t="s">
        <v>26</v>
      </c>
      <c r="X1377" s="61"/>
      <c r="Y1377" s="61"/>
      <c r="Z1377" s="61"/>
      <c r="AA1377" s="61"/>
      <c r="AB1377" s="61" t="s">
        <v>129</v>
      </c>
      <c r="AC1377" s="61"/>
      <c r="AD1377" s="59" t="s">
        <v>5</v>
      </c>
    </row>
    <row r="1378" spans="1:30" s="200" customFormat="1" ht="33" customHeight="1" x14ac:dyDescent="0.3">
      <c r="A1378" s="167">
        <v>29</v>
      </c>
      <c r="B1378" s="168">
        <v>97</v>
      </c>
      <c r="C1378" s="203" t="str">
        <f t="shared" si="29"/>
        <v>29.97</v>
      </c>
      <c r="D1378" s="18" t="s">
        <v>1047</v>
      </c>
      <c r="E1378" s="64" t="str">
        <f>IF(ISBLANK(D1378)=TRUE,"",VLOOKUP(D1378,Krav!$C:$F,4,FALSE))</f>
        <v>10.a.1.2.6 - Hvis der er svaret "I visse tilfælde" i spørgsmål 9 og hvis der er svaret "Ja" i enten 9.b.1, 9.b.2.1 eller 9.b.2.2.1 skal brugeren ledes til spørgsmål 11</v>
      </c>
      <c r="F1378" s="53" t="s">
        <v>143</v>
      </c>
      <c r="G1378" s="53" t="s">
        <v>1427</v>
      </c>
      <c r="H1378" s="76" t="s">
        <v>1433</v>
      </c>
      <c r="I1378" s="67" t="s">
        <v>565</v>
      </c>
      <c r="J1378" s="67" t="s">
        <v>222</v>
      </c>
      <c r="K1378" s="125" t="s">
        <v>222</v>
      </c>
      <c r="L1378" s="204" t="s">
        <v>3</v>
      </c>
      <c r="M1378" s="61" t="s">
        <v>129</v>
      </c>
      <c r="N1378" s="61" t="s">
        <v>131</v>
      </c>
      <c r="O1378" s="61" t="s">
        <v>96</v>
      </c>
      <c r="P1378" s="61" t="s">
        <v>376</v>
      </c>
      <c r="Q1378" s="61" t="s">
        <v>129</v>
      </c>
      <c r="R1378" s="61" t="s">
        <v>131</v>
      </c>
      <c r="S1378" s="61" t="s">
        <v>131</v>
      </c>
      <c r="T1378" s="61"/>
      <c r="U1378" s="61"/>
      <c r="V1378" s="59" t="s">
        <v>295</v>
      </c>
      <c r="W1378" s="61" t="s">
        <v>166</v>
      </c>
      <c r="X1378" s="61" t="s">
        <v>26</v>
      </c>
      <c r="Y1378" s="61"/>
      <c r="Z1378" s="61"/>
      <c r="AA1378" s="61"/>
      <c r="AB1378" s="61" t="s">
        <v>129</v>
      </c>
      <c r="AC1378" s="61"/>
      <c r="AD1378" s="59" t="s">
        <v>5</v>
      </c>
    </row>
    <row r="1379" spans="1:30" s="200" customFormat="1" ht="33" customHeight="1" x14ac:dyDescent="0.3">
      <c r="A1379" s="167">
        <v>29</v>
      </c>
      <c r="B1379" s="168">
        <v>98</v>
      </c>
      <c r="C1379" s="203" t="str">
        <f t="shared" si="29"/>
        <v>29.98</v>
      </c>
      <c r="D1379" s="18" t="s">
        <v>1047</v>
      </c>
      <c r="E1379" s="64" t="str">
        <f>IF(ISBLANK(D1379)=TRUE,"",VLOOKUP(D1379,Krav!$C:$F,4,FALSE))</f>
        <v>10.a.1.2.6 - Hvis der er svaret "I visse tilfælde" i spørgsmål 9 og hvis der er svaret "Ja" i enten 9.b.1, 9.b.2.1 eller 9.b.2.2.1 skal brugeren ledes til spørgsmål 11</v>
      </c>
      <c r="F1379" s="53" t="s">
        <v>143</v>
      </c>
      <c r="G1379" s="53" t="s">
        <v>1427</v>
      </c>
      <c r="H1379" s="76" t="s">
        <v>1433</v>
      </c>
      <c r="I1379" s="67" t="s">
        <v>565</v>
      </c>
      <c r="J1379" s="67" t="s">
        <v>222</v>
      </c>
      <c r="K1379" s="125" t="s">
        <v>222</v>
      </c>
      <c r="L1379" s="206" t="s">
        <v>3</v>
      </c>
      <c r="M1379" s="61" t="s">
        <v>129</v>
      </c>
      <c r="N1379" s="61" t="s">
        <v>131</v>
      </c>
      <c r="O1379" s="61" t="s">
        <v>96</v>
      </c>
      <c r="P1379" s="61" t="s">
        <v>376</v>
      </c>
      <c r="Q1379" s="61" t="s">
        <v>129</v>
      </c>
      <c r="R1379" s="61" t="s">
        <v>131</v>
      </c>
      <c r="S1379" s="61" t="s">
        <v>131</v>
      </c>
      <c r="T1379" s="61"/>
      <c r="U1379" s="61"/>
      <c r="V1379" s="59" t="s">
        <v>295</v>
      </c>
      <c r="W1379" s="61" t="s">
        <v>166</v>
      </c>
      <c r="X1379" s="61" t="s">
        <v>166</v>
      </c>
      <c r="Y1379" s="61" t="s">
        <v>580</v>
      </c>
      <c r="Z1379" s="61"/>
      <c r="AA1379" s="61"/>
      <c r="AB1379" s="61" t="s">
        <v>129</v>
      </c>
      <c r="AC1379" s="61"/>
      <c r="AD1379" s="59" t="s">
        <v>5</v>
      </c>
    </row>
    <row r="1380" spans="1:30" s="200" customFormat="1" ht="33" customHeight="1" x14ac:dyDescent="0.3">
      <c r="A1380" s="167">
        <v>29</v>
      </c>
      <c r="B1380" s="168">
        <v>99</v>
      </c>
      <c r="C1380" s="203" t="str">
        <f t="shared" si="29"/>
        <v>29.99</v>
      </c>
      <c r="D1380" s="18"/>
      <c r="E1380" s="64" t="str">
        <f>IF(ISBLANK(D1380)=TRUE,"",VLOOKUP(D1380,Krav!$C:$F,4,FALSE))</f>
        <v/>
      </c>
      <c r="F1380" s="53" t="s">
        <v>143</v>
      </c>
      <c r="G1380" s="53" t="s">
        <v>1427</v>
      </c>
      <c r="H1380" s="76" t="s">
        <v>1429</v>
      </c>
      <c r="I1380" s="67" t="s">
        <v>565</v>
      </c>
      <c r="J1380" s="67" t="s">
        <v>222</v>
      </c>
      <c r="K1380" s="125" t="s">
        <v>222</v>
      </c>
      <c r="L1380" s="206" t="s">
        <v>3</v>
      </c>
      <c r="M1380" s="61" t="s">
        <v>129</v>
      </c>
      <c r="N1380" s="61" t="s">
        <v>131</v>
      </c>
      <c r="O1380" s="61" t="s">
        <v>96</v>
      </c>
      <c r="P1380" s="61" t="s">
        <v>376</v>
      </c>
      <c r="Q1380" s="61" t="s">
        <v>129</v>
      </c>
      <c r="R1380" s="61" t="s">
        <v>131</v>
      </c>
      <c r="S1380" s="61" t="s">
        <v>131</v>
      </c>
      <c r="T1380" s="61"/>
      <c r="U1380" s="61"/>
      <c r="V1380" s="61" t="s">
        <v>294</v>
      </c>
      <c r="W1380" s="61"/>
      <c r="X1380" s="61"/>
      <c r="Y1380" s="61"/>
      <c r="Z1380" s="61"/>
      <c r="AA1380" s="61"/>
      <c r="AB1380" s="61" t="s">
        <v>129</v>
      </c>
      <c r="AC1380" s="61"/>
      <c r="AD1380" s="59" t="s">
        <v>5</v>
      </c>
    </row>
    <row r="1381" spans="1:30" s="221" customFormat="1" ht="33" customHeight="1" x14ac:dyDescent="0.3">
      <c r="A1381" s="167">
        <v>29</v>
      </c>
      <c r="B1381" s="168">
        <v>100</v>
      </c>
      <c r="C1381" s="210" t="str">
        <f t="shared" si="29"/>
        <v>29.100</v>
      </c>
      <c r="D1381" s="211" t="s">
        <v>766</v>
      </c>
      <c r="E1381" s="64" t="str">
        <f>IF(ISBLANK(D1381)=TRUE,"",VLOOKUP(D1381,Krav!$C:$F,4,FALSE))</f>
        <v>10.a.1.5 - Det skal være muligt for brugeren, via tekstfelt, at udfylde det antal dage, for hvor lang tid før det [valgte stamdatafelt] kan begyndelsestidspunktet for forældelsesfristens beregning tidligst ligge for den afgrænsede population.</v>
      </c>
      <c r="F1381" s="213" t="s">
        <v>174</v>
      </c>
      <c r="G1381" s="214"/>
      <c r="H1381" s="215" t="s">
        <v>1434</v>
      </c>
      <c r="I1381" s="216" t="s">
        <v>1414</v>
      </c>
      <c r="J1381" s="217" t="s">
        <v>222</v>
      </c>
      <c r="K1381" s="125" t="s">
        <v>222</v>
      </c>
      <c r="L1381" s="218" t="s">
        <v>4</v>
      </c>
      <c r="M1381" s="219" t="s">
        <v>131</v>
      </c>
      <c r="N1381" s="219" t="s">
        <v>131</v>
      </c>
      <c r="O1381" s="219"/>
      <c r="P1381" s="219"/>
      <c r="Q1381" s="219"/>
      <c r="R1381" s="219"/>
      <c r="S1381" s="219"/>
      <c r="T1381" s="219"/>
      <c r="U1381" s="219"/>
      <c r="V1381" s="219"/>
      <c r="W1381" s="219"/>
      <c r="X1381" s="219"/>
      <c r="Y1381" s="219"/>
      <c r="Z1381" s="219"/>
      <c r="AA1381" s="219"/>
      <c r="AB1381" s="219"/>
      <c r="AC1381" s="219"/>
      <c r="AD1381" s="220" t="s">
        <v>5</v>
      </c>
    </row>
    <row r="1382" spans="1:30" s="221" customFormat="1" ht="33" customHeight="1" x14ac:dyDescent="0.3">
      <c r="A1382" s="167">
        <v>29</v>
      </c>
      <c r="B1382" s="168">
        <v>101</v>
      </c>
      <c r="C1382" s="210" t="str">
        <f t="shared" si="29"/>
        <v>29.101</v>
      </c>
      <c r="D1382" s="211" t="s">
        <v>766</v>
      </c>
      <c r="E1382" s="64" t="str">
        <f>IF(ISBLANK(D1382)=TRUE,"",VLOOKUP(D1382,Krav!$C:$F,4,FALSE))</f>
        <v>10.a.1.5 - Det skal være muligt for brugeren, via tekstfelt, at udfylde det antal dage, for hvor lang tid før det [valgte stamdatafelt] kan begyndelsestidspunktet for forældelsesfristens beregning tidligst ligge for den afgrænsede population.</v>
      </c>
      <c r="F1382" s="213" t="s">
        <v>418</v>
      </c>
      <c r="G1382" s="213" t="s">
        <v>419</v>
      </c>
      <c r="H1382" s="215" t="s">
        <v>1435</v>
      </c>
      <c r="I1382" s="216" t="s">
        <v>129</v>
      </c>
      <c r="J1382" s="217" t="s">
        <v>222</v>
      </c>
      <c r="K1382" s="123" t="s">
        <v>222</v>
      </c>
      <c r="L1382" s="222" t="s">
        <v>3</v>
      </c>
      <c r="M1382" s="219" t="s">
        <v>131</v>
      </c>
      <c r="N1382" s="219" t="s">
        <v>131</v>
      </c>
      <c r="O1382" s="219"/>
      <c r="P1382" s="219"/>
      <c r="Q1382" s="219"/>
      <c r="R1382" s="219"/>
      <c r="S1382" s="219"/>
      <c r="T1382" s="219"/>
      <c r="U1382" s="219"/>
      <c r="V1382" s="219"/>
      <c r="W1382" s="219"/>
      <c r="X1382" s="219"/>
      <c r="Y1382" s="219"/>
      <c r="Z1382" s="219"/>
      <c r="AA1382" s="219"/>
      <c r="AB1382" s="219"/>
      <c r="AC1382" s="219"/>
      <c r="AD1382" s="220" t="s">
        <v>5</v>
      </c>
    </row>
    <row r="1383" spans="1:30" s="221" customFormat="1" ht="33" customHeight="1" x14ac:dyDescent="0.3">
      <c r="A1383" s="167">
        <v>29</v>
      </c>
      <c r="B1383" s="168">
        <v>102</v>
      </c>
      <c r="C1383" s="210" t="str">
        <f t="shared" si="29"/>
        <v>29.102</v>
      </c>
      <c r="D1383" s="211" t="s">
        <v>797</v>
      </c>
      <c r="E1383" s="64" t="str">
        <f>IF(ISBLANK(D1383)=TRUE,"",VLOOKUP(D1383,Krav!$C:$F,4,FALSE))</f>
        <v>10.a.1.1.7 - Der skal fremgå en infoboks med teksten: ”Normalt” er fordringer undergivet en 3 års forældelsesfrist”.</v>
      </c>
      <c r="F1383" s="213" t="s">
        <v>228</v>
      </c>
      <c r="G1383" s="223" t="s">
        <v>230</v>
      </c>
      <c r="H1383" s="215" t="s">
        <v>1436</v>
      </c>
      <c r="I1383" s="216" t="s">
        <v>1437</v>
      </c>
      <c r="J1383" s="217" t="s">
        <v>222</v>
      </c>
      <c r="K1383" s="123" t="s">
        <v>222</v>
      </c>
      <c r="L1383" s="222" t="s">
        <v>3</v>
      </c>
      <c r="M1383" s="219"/>
      <c r="N1383" s="219"/>
      <c r="O1383" s="219"/>
      <c r="P1383" s="219"/>
      <c r="Q1383" s="219"/>
      <c r="R1383" s="219"/>
      <c r="S1383" s="219"/>
      <c r="T1383" s="219"/>
      <c r="U1383" s="219"/>
      <c r="V1383" s="219"/>
      <c r="W1383" s="219"/>
      <c r="X1383" s="219"/>
      <c r="Y1383" s="219"/>
      <c r="Z1383" s="219"/>
      <c r="AA1383" s="219"/>
      <c r="AB1383" s="219"/>
      <c r="AC1383" s="219"/>
      <c r="AD1383" s="220" t="s">
        <v>5</v>
      </c>
    </row>
    <row r="1384" spans="1:30" s="221" customFormat="1" ht="33" customHeight="1" x14ac:dyDescent="0.3">
      <c r="A1384" s="167">
        <v>29</v>
      </c>
      <c r="B1384" s="168">
        <v>103</v>
      </c>
      <c r="C1384" s="210" t="str">
        <f t="shared" si="29"/>
        <v>29.103</v>
      </c>
      <c r="D1384" s="211" t="s">
        <v>1081</v>
      </c>
      <c r="E1384" s="64" t="str">
        <f>IF(ISBLANK(D1384)=TRUE,"",VLOOKUP(D1384,Krav!$C:$F,4,FALSE))</f>
        <v>10.a.2.10 - Der skal være en infoboks med teksten: "Hvis begyndelsestidspunktet kan ligge samme dag som indholdet af stamdatafeltet svares 0 dage."</v>
      </c>
      <c r="F1384" s="213" t="s">
        <v>228</v>
      </c>
      <c r="G1384" s="223" t="s">
        <v>231</v>
      </c>
      <c r="H1384" s="215" t="s">
        <v>1438</v>
      </c>
      <c r="I1384" s="216" t="s">
        <v>1439</v>
      </c>
      <c r="J1384" s="217" t="s">
        <v>222</v>
      </c>
      <c r="K1384" s="123" t="s">
        <v>222</v>
      </c>
      <c r="L1384" s="222" t="s">
        <v>3</v>
      </c>
      <c r="M1384" s="219"/>
      <c r="N1384" s="219"/>
      <c r="O1384" s="219"/>
      <c r="P1384" s="219"/>
      <c r="Q1384" s="219"/>
      <c r="R1384" s="219"/>
      <c r="S1384" s="219"/>
      <c r="T1384" s="219"/>
      <c r="U1384" s="219"/>
      <c r="V1384" s="219"/>
      <c r="W1384" s="219"/>
      <c r="X1384" s="219"/>
      <c r="Y1384" s="219"/>
      <c r="Z1384" s="219"/>
      <c r="AA1384" s="219"/>
      <c r="AB1384" s="219"/>
      <c r="AC1384" s="219"/>
      <c r="AD1384" s="220" t="s">
        <v>5</v>
      </c>
    </row>
    <row r="1385" spans="1:30" s="234" customFormat="1" ht="33" customHeight="1" x14ac:dyDescent="0.3">
      <c r="A1385" s="167">
        <v>29</v>
      </c>
      <c r="B1385" s="168">
        <v>104</v>
      </c>
      <c r="C1385" s="226" t="str">
        <f t="shared" si="29"/>
        <v>29.104</v>
      </c>
      <c r="D1385" s="227" t="s">
        <v>1104</v>
      </c>
      <c r="E1385" s="64" t="str">
        <f>IF(ISBLANK(D1385)=TRUE,"",VLOOKUP(D1385,Krav!$C:$F,4,FALSE))</f>
        <v>10.a.2.1.1.2 - Gruppe 1 aktiveres</v>
      </c>
      <c r="F1385" s="228" t="s">
        <v>227</v>
      </c>
      <c r="G1385" s="228"/>
      <c r="H1385" s="229" t="s">
        <v>1440</v>
      </c>
      <c r="I1385" s="230" t="s">
        <v>240</v>
      </c>
      <c r="J1385" s="230" t="s">
        <v>222</v>
      </c>
      <c r="K1385" s="125" t="s">
        <v>222</v>
      </c>
      <c r="L1385" s="231" t="s">
        <v>3</v>
      </c>
      <c r="M1385" s="232" t="s">
        <v>131</v>
      </c>
      <c r="N1385" s="232" t="s">
        <v>129</v>
      </c>
      <c r="O1385" s="232" t="s">
        <v>376</v>
      </c>
      <c r="P1385" s="232" t="s">
        <v>376</v>
      </c>
      <c r="Q1385" s="232" t="s">
        <v>131</v>
      </c>
      <c r="R1385" s="232" t="s">
        <v>131</v>
      </c>
      <c r="S1385" s="232" t="s">
        <v>131</v>
      </c>
      <c r="T1385" s="232" t="s">
        <v>412</v>
      </c>
      <c r="U1385" s="232"/>
      <c r="V1385" s="232"/>
      <c r="W1385" s="232"/>
      <c r="X1385" s="232"/>
      <c r="Y1385" s="232"/>
      <c r="Z1385" s="232"/>
      <c r="AA1385" s="232"/>
      <c r="AB1385" s="232"/>
      <c r="AC1385" s="232"/>
      <c r="AD1385" s="233" t="s">
        <v>5</v>
      </c>
    </row>
    <row r="1386" spans="1:30" s="234" customFormat="1" ht="33" customHeight="1" x14ac:dyDescent="0.3">
      <c r="A1386" s="167">
        <v>29</v>
      </c>
      <c r="B1386" s="168">
        <v>105</v>
      </c>
      <c r="C1386" s="226" t="str">
        <f t="shared" si="29"/>
        <v>29.105</v>
      </c>
      <c r="D1386" s="227"/>
      <c r="E1386" s="64" t="str">
        <f>IF(ISBLANK(D1386)=TRUE,"",VLOOKUP(D1386,Krav!$C:$F,4,FALSE))</f>
        <v/>
      </c>
      <c r="F1386" s="228" t="s">
        <v>225</v>
      </c>
      <c r="G1386" s="235" t="s">
        <v>1389</v>
      </c>
      <c r="H1386" s="235" t="s">
        <v>158</v>
      </c>
      <c r="I1386" s="230" t="s">
        <v>1400</v>
      </c>
      <c r="J1386" s="236" t="s">
        <v>222</v>
      </c>
      <c r="K1386" s="125" t="s">
        <v>222</v>
      </c>
      <c r="L1386" s="231" t="s">
        <v>3</v>
      </c>
      <c r="M1386" s="232" t="s">
        <v>131</v>
      </c>
      <c r="N1386" s="232" t="s">
        <v>129</v>
      </c>
      <c r="O1386" s="232" t="s">
        <v>376</v>
      </c>
      <c r="P1386" s="232" t="s">
        <v>96</v>
      </c>
      <c r="Q1386" s="232" t="s">
        <v>131</v>
      </c>
      <c r="R1386" s="232" t="s">
        <v>131</v>
      </c>
      <c r="S1386" s="232" t="s">
        <v>129</v>
      </c>
      <c r="T1386" s="232"/>
      <c r="U1386" s="232"/>
      <c r="V1386" s="232"/>
      <c r="W1386" s="232"/>
      <c r="X1386" s="232"/>
      <c r="Y1386" s="232"/>
      <c r="Z1386" s="232"/>
      <c r="AA1386" s="232"/>
      <c r="AB1386" s="232"/>
      <c r="AC1386" s="232"/>
      <c r="AD1386" s="233" t="s">
        <v>5</v>
      </c>
    </row>
    <row r="1387" spans="1:30" s="234" customFormat="1" ht="16.5" customHeight="1" x14ac:dyDescent="0.3">
      <c r="A1387" s="167">
        <v>29</v>
      </c>
      <c r="B1387" s="168">
        <v>106</v>
      </c>
      <c r="C1387" s="226" t="str">
        <f t="shared" si="29"/>
        <v>29.106</v>
      </c>
      <c r="D1387" s="299" t="s">
        <v>1137</v>
      </c>
      <c r="E1387" s="64" t="str">
        <f>IF(ISBLANK(D1387)=TRUE,"",VLOOKUP(D1387,Krav!$C:$F,4,FALSE))</f>
        <v>10.a.2.1.1.35 - Hvis stiftelsesdato ikke er valgt: Regel R0051 deaktiveres</v>
      </c>
      <c r="F1387" s="228" t="s">
        <v>226</v>
      </c>
      <c r="G1387" s="228" t="s">
        <v>313</v>
      </c>
      <c r="H1387" s="229" t="s">
        <v>1441</v>
      </c>
      <c r="I1387" s="230" t="s">
        <v>1402</v>
      </c>
      <c r="J1387" s="237" t="s">
        <v>222</v>
      </c>
      <c r="K1387" s="125" t="s">
        <v>222</v>
      </c>
      <c r="L1387" s="231" t="s">
        <v>3</v>
      </c>
      <c r="M1387" s="232" t="s">
        <v>131</v>
      </c>
      <c r="N1387" s="232" t="s">
        <v>129</v>
      </c>
      <c r="O1387" s="232" t="s">
        <v>376</v>
      </c>
      <c r="P1387" s="232" t="s">
        <v>96</v>
      </c>
      <c r="Q1387" s="232" t="s">
        <v>131</v>
      </c>
      <c r="R1387" s="232" t="s">
        <v>131</v>
      </c>
      <c r="S1387" s="232" t="s">
        <v>129</v>
      </c>
      <c r="T1387" s="232"/>
      <c r="U1387" s="232" t="s">
        <v>1299</v>
      </c>
      <c r="V1387" s="232"/>
      <c r="W1387" s="232"/>
      <c r="X1387" s="232"/>
      <c r="Y1387" s="232"/>
      <c r="Z1387" s="232"/>
      <c r="AA1387" s="232"/>
      <c r="AB1387" s="232"/>
      <c r="AC1387" s="232"/>
      <c r="AD1387" s="233" t="s">
        <v>5</v>
      </c>
    </row>
    <row r="1388" spans="1:30" s="234" customFormat="1" ht="33" customHeight="1" x14ac:dyDescent="0.3">
      <c r="A1388" s="167">
        <v>29</v>
      </c>
      <c r="B1388" s="168">
        <v>107</v>
      </c>
      <c r="C1388" s="226" t="str">
        <f t="shared" si="29"/>
        <v>29.107</v>
      </c>
      <c r="D1388" s="300" t="s">
        <v>1138</v>
      </c>
      <c r="E1388" s="64" t="str">
        <f>IF(ISBLANK(D1388)=TRUE,"",VLOOKUP(D1388,Krav!$C:$F,4,FALSE))</f>
        <v>10.a.2.1.1.36 - Hvis stiftelsesdato ikke er valgt: Regel R0052 deaktiveres</v>
      </c>
      <c r="F1388" s="228" t="s">
        <v>226</v>
      </c>
      <c r="G1388" s="228" t="s">
        <v>313</v>
      </c>
      <c r="H1388" s="229" t="s">
        <v>1442</v>
      </c>
      <c r="I1388" s="230" t="s">
        <v>1402</v>
      </c>
      <c r="J1388" s="237" t="s">
        <v>222</v>
      </c>
      <c r="K1388" s="125" t="s">
        <v>222</v>
      </c>
      <c r="L1388" s="231" t="s">
        <v>3</v>
      </c>
      <c r="M1388" s="232" t="s">
        <v>131</v>
      </c>
      <c r="N1388" s="232" t="s">
        <v>129</v>
      </c>
      <c r="O1388" s="232" t="s">
        <v>376</v>
      </c>
      <c r="P1388" s="232" t="s">
        <v>96</v>
      </c>
      <c r="Q1388" s="232" t="s">
        <v>131</v>
      </c>
      <c r="R1388" s="232" t="s">
        <v>131</v>
      </c>
      <c r="S1388" s="232" t="s">
        <v>129</v>
      </c>
      <c r="T1388" s="232"/>
      <c r="U1388" s="232" t="s">
        <v>1300</v>
      </c>
      <c r="V1388" s="232"/>
      <c r="W1388" s="232"/>
      <c r="X1388" s="232"/>
      <c r="Y1388" s="232"/>
      <c r="Z1388" s="232"/>
      <c r="AA1388" s="232"/>
      <c r="AB1388" s="232"/>
      <c r="AC1388" s="232"/>
      <c r="AD1388" s="233" t="s">
        <v>5</v>
      </c>
    </row>
    <row r="1389" spans="1:30" s="234" customFormat="1" ht="33" customHeight="1" x14ac:dyDescent="0.3">
      <c r="A1389" s="167">
        <v>29</v>
      </c>
      <c r="B1389" s="168">
        <v>108</v>
      </c>
      <c r="C1389" s="226" t="str">
        <f t="shared" si="29"/>
        <v>29.108</v>
      </c>
      <c r="D1389" s="299" t="s">
        <v>1139</v>
      </c>
      <c r="E1389" s="64" t="str">
        <f>IF(ISBLANK(D1389)=TRUE,"",VLOOKUP(D1389,Krav!$C:$F,4,FALSE))</f>
        <v>10.a.2.1.1.37 - Hvis stiftelsesdato ikke er valgt: Regel R0053 deaktiveres</v>
      </c>
      <c r="F1389" s="228" t="s">
        <v>226</v>
      </c>
      <c r="G1389" s="228" t="s">
        <v>313</v>
      </c>
      <c r="H1389" s="229" t="s">
        <v>1441</v>
      </c>
      <c r="I1389" s="230" t="s">
        <v>1402</v>
      </c>
      <c r="J1389" s="230" t="s">
        <v>222</v>
      </c>
      <c r="K1389" s="125" t="s">
        <v>222</v>
      </c>
      <c r="L1389" s="238" t="s">
        <v>3</v>
      </c>
      <c r="M1389" s="232" t="s">
        <v>131</v>
      </c>
      <c r="N1389" s="232" t="s">
        <v>129</v>
      </c>
      <c r="O1389" s="232" t="s">
        <v>376</v>
      </c>
      <c r="P1389" s="232" t="s">
        <v>96</v>
      </c>
      <c r="Q1389" s="232" t="s">
        <v>131</v>
      </c>
      <c r="R1389" s="232" t="s">
        <v>131</v>
      </c>
      <c r="S1389" s="232" t="s">
        <v>129</v>
      </c>
      <c r="T1389" s="232"/>
      <c r="U1389" s="232" t="s">
        <v>1301</v>
      </c>
      <c r="V1389" s="232"/>
      <c r="W1389" s="232"/>
      <c r="X1389" s="232"/>
      <c r="Y1389" s="232"/>
      <c r="Z1389" s="232"/>
      <c r="AA1389" s="232"/>
      <c r="AB1389" s="232"/>
      <c r="AC1389" s="232"/>
      <c r="AD1389" s="233" t="s">
        <v>5</v>
      </c>
    </row>
    <row r="1390" spans="1:30" s="234" customFormat="1" ht="33" customHeight="1" x14ac:dyDescent="0.3">
      <c r="A1390" s="167">
        <v>29</v>
      </c>
      <c r="B1390" s="168">
        <v>109</v>
      </c>
      <c r="C1390" s="226" t="str">
        <f t="shared" si="29"/>
        <v>29.109</v>
      </c>
      <c r="D1390" s="300" t="s">
        <v>1140</v>
      </c>
      <c r="E1390" s="64" t="str">
        <f>IF(ISBLANK(D1390)=TRUE,"",VLOOKUP(D1390,Krav!$C:$F,4,FALSE))</f>
        <v>10.a.2.1.1.38 - Hvis stiftelsesdato ikke er valgt: Regel R0054 deaktiveres</v>
      </c>
      <c r="F1390" s="228" t="s">
        <v>226</v>
      </c>
      <c r="G1390" s="228" t="s">
        <v>313</v>
      </c>
      <c r="H1390" s="229" t="s">
        <v>1441</v>
      </c>
      <c r="I1390" s="230" t="s">
        <v>1402</v>
      </c>
      <c r="J1390" s="230" t="s">
        <v>222</v>
      </c>
      <c r="K1390" s="125" t="s">
        <v>222</v>
      </c>
      <c r="L1390" s="238" t="s">
        <v>3</v>
      </c>
      <c r="M1390" s="232" t="s">
        <v>131</v>
      </c>
      <c r="N1390" s="232" t="s">
        <v>129</v>
      </c>
      <c r="O1390" s="232" t="s">
        <v>376</v>
      </c>
      <c r="P1390" s="232" t="s">
        <v>96</v>
      </c>
      <c r="Q1390" s="232" t="s">
        <v>131</v>
      </c>
      <c r="R1390" s="232" t="s">
        <v>131</v>
      </c>
      <c r="S1390" s="232" t="s">
        <v>129</v>
      </c>
      <c r="T1390" s="232"/>
      <c r="U1390" s="232" t="s">
        <v>1302</v>
      </c>
      <c r="V1390" s="232"/>
      <c r="W1390" s="232"/>
      <c r="X1390" s="232"/>
      <c r="Y1390" s="232"/>
      <c r="Z1390" s="232"/>
      <c r="AA1390" s="232"/>
      <c r="AB1390" s="232"/>
      <c r="AC1390" s="232"/>
      <c r="AD1390" s="233" t="s">
        <v>5</v>
      </c>
    </row>
    <row r="1391" spans="1:30" s="234" customFormat="1" ht="33" customHeight="1" x14ac:dyDescent="0.3">
      <c r="A1391" s="167">
        <v>29</v>
      </c>
      <c r="B1391" s="168">
        <v>110</v>
      </c>
      <c r="C1391" s="226" t="str">
        <f t="shared" si="29"/>
        <v>29.110</v>
      </c>
      <c r="D1391" s="299" t="s">
        <v>1154</v>
      </c>
      <c r="E1391" s="64" t="str">
        <f>IF(ISBLANK(D1391)=TRUE,"",VLOOKUP(D1391,Krav!$C:$F,4,FALSE))</f>
        <v>10.a.2.1.1.52 - Hvis StiftelsesDato ikke er valgt: Regel R0068 deaktiveres</v>
      </c>
      <c r="F1391" s="228" t="s">
        <v>226</v>
      </c>
      <c r="G1391" s="228" t="s">
        <v>313</v>
      </c>
      <c r="H1391" s="229" t="s">
        <v>1441</v>
      </c>
      <c r="I1391" s="230" t="s">
        <v>1402</v>
      </c>
      <c r="J1391" s="230" t="s">
        <v>222</v>
      </c>
      <c r="K1391" s="125" t="s">
        <v>222</v>
      </c>
      <c r="L1391" s="238" t="s">
        <v>3</v>
      </c>
      <c r="M1391" s="232" t="s">
        <v>131</v>
      </c>
      <c r="N1391" s="232" t="s">
        <v>129</v>
      </c>
      <c r="O1391" s="232" t="s">
        <v>376</v>
      </c>
      <c r="P1391" s="232" t="s">
        <v>96</v>
      </c>
      <c r="Q1391" s="232" t="s">
        <v>131</v>
      </c>
      <c r="R1391" s="232" t="s">
        <v>131</v>
      </c>
      <c r="S1391" s="232" t="s">
        <v>129</v>
      </c>
      <c r="T1391" s="232"/>
      <c r="U1391" s="232" t="s">
        <v>1303</v>
      </c>
      <c r="V1391" s="232"/>
      <c r="W1391" s="232"/>
      <c r="X1391" s="232"/>
      <c r="Y1391" s="232"/>
      <c r="Z1391" s="232"/>
      <c r="AA1391" s="232"/>
      <c r="AB1391" s="232"/>
      <c r="AC1391" s="232"/>
      <c r="AD1391" s="233" t="s">
        <v>5</v>
      </c>
    </row>
    <row r="1392" spans="1:30" s="234" customFormat="1" ht="33" customHeight="1" x14ac:dyDescent="0.3">
      <c r="A1392" s="167">
        <v>29</v>
      </c>
      <c r="B1392" s="168">
        <v>111</v>
      </c>
      <c r="C1392" s="226" t="str">
        <f t="shared" si="29"/>
        <v>29.111</v>
      </c>
      <c r="D1392" s="299" t="s">
        <v>1137</v>
      </c>
      <c r="E1392" s="64" t="str">
        <f>IF(ISBLANK(D1392)=TRUE,"",VLOOKUP(D1392,Krav!$C:$F,4,FALSE))</f>
        <v>10.a.2.1.1.35 - Hvis stiftelsesdato ikke er valgt: Regel R0051 deaktiveres</v>
      </c>
      <c r="F1392" s="228" t="s">
        <v>226</v>
      </c>
      <c r="G1392" s="228" t="s">
        <v>313</v>
      </c>
      <c r="H1392" s="229" t="s">
        <v>1441</v>
      </c>
      <c r="I1392" s="230" t="s">
        <v>1403</v>
      </c>
      <c r="J1392" s="237" t="s">
        <v>222</v>
      </c>
      <c r="K1392" s="123" t="s">
        <v>222</v>
      </c>
      <c r="L1392" s="231" t="s">
        <v>3</v>
      </c>
      <c r="M1392" s="232" t="s">
        <v>131</v>
      </c>
      <c r="N1392" s="232" t="s">
        <v>129</v>
      </c>
      <c r="O1392" s="232" t="s">
        <v>376</v>
      </c>
      <c r="P1392" s="232" t="s">
        <v>376</v>
      </c>
      <c r="Q1392" s="232" t="s">
        <v>131</v>
      </c>
      <c r="R1392" s="232" t="s">
        <v>131</v>
      </c>
      <c r="S1392" s="232" t="s">
        <v>131</v>
      </c>
      <c r="T1392" s="232"/>
      <c r="U1392" s="232" t="s">
        <v>1299</v>
      </c>
      <c r="V1392" s="232"/>
      <c r="W1392" s="232"/>
      <c r="X1392" s="232"/>
      <c r="Y1392" s="232"/>
      <c r="Z1392" s="232"/>
      <c r="AA1392" s="232"/>
      <c r="AB1392" s="232"/>
      <c r="AC1392" s="232"/>
      <c r="AD1392" s="233" t="s">
        <v>5</v>
      </c>
    </row>
    <row r="1393" spans="1:30" s="234" customFormat="1" ht="33" customHeight="1" x14ac:dyDescent="0.3">
      <c r="A1393" s="167">
        <v>29</v>
      </c>
      <c r="B1393" s="168">
        <v>112</v>
      </c>
      <c r="C1393" s="226" t="str">
        <f t="shared" ref="C1393:C1456" si="30">IF(B1393&lt;10,_xlfn.CONCAT(A1393,".0",B1393),_xlfn.CONCAT(A1393,".",B1393))</f>
        <v>29.112</v>
      </c>
      <c r="D1393" s="300" t="s">
        <v>1138</v>
      </c>
      <c r="E1393" s="64" t="str">
        <f>IF(ISBLANK(D1393)=TRUE,"",VLOOKUP(D1393,Krav!$C:$F,4,FALSE))</f>
        <v>10.a.2.1.1.36 - Hvis stiftelsesdato ikke er valgt: Regel R0052 deaktiveres</v>
      </c>
      <c r="F1393" s="228" t="s">
        <v>226</v>
      </c>
      <c r="G1393" s="228" t="s">
        <v>313</v>
      </c>
      <c r="H1393" s="229" t="s">
        <v>1442</v>
      </c>
      <c r="I1393" s="230" t="s">
        <v>1403</v>
      </c>
      <c r="J1393" s="237" t="s">
        <v>222</v>
      </c>
      <c r="K1393" s="123" t="s">
        <v>222</v>
      </c>
      <c r="L1393" s="231" t="s">
        <v>3</v>
      </c>
      <c r="M1393" s="232" t="s">
        <v>131</v>
      </c>
      <c r="N1393" s="232" t="s">
        <v>129</v>
      </c>
      <c r="O1393" s="232" t="s">
        <v>376</v>
      </c>
      <c r="P1393" s="232" t="s">
        <v>376</v>
      </c>
      <c r="Q1393" s="232" t="s">
        <v>131</v>
      </c>
      <c r="R1393" s="232" t="s">
        <v>131</v>
      </c>
      <c r="S1393" s="232" t="s">
        <v>131</v>
      </c>
      <c r="T1393" s="232"/>
      <c r="U1393" s="232" t="s">
        <v>1300</v>
      </c>
      <c r="V1393" s="232"/>
      <c r="W1393" s="232"/>
      <c r="X1393" s="232"/>
      <c r="Y1393" s="232"/>
      <c r="Z1393" s="232"/>
      <c r="AA1393" s="232"/>
      <c r="AB1393" s="232"/>
      <c r="AC1393" s="232"/>
      <c r="AD1393" s="233" t="s">
        <v>5</v>
      </c>
    </row>
    <row r="1394" spans="1:30" s="234" customFormat="1" ht="33" customHeight="1" x14ac:dyDescent="0.3">
      <c r="A1394" s="167">
        <v>29</v>
      </c>
      <c r="B1394" s="168">
        <v>113</v>
      </c>
      <c r="C1394" s="226" t="str">
        <f t="shared" si="30"/>
        <v>29.113</v>
      </c>
      <c r="D1394" s="299" t="s">
        <v>1139</v>
      </c>
      <c r="E1394" s="64" t="str">
        <f>IF(ISBLANK(D1394)=TRUE,"",VLOOKUP(D1394,Krav!$C:$F,4,FALSE))</f>
        <v>10.a.2.1.1.37 - Hvis stiftelsesdato ikke er valgt: Regel R0053 deaktiveres</v>
      </c>
      <c r="F1394" s="228" t="s">
        <v>226</v>
      </c>
      <c r="G1394" s="228" t="s">
        <v>313</v>
      </c>
      <c r="H1394" s="229" t="s">
        <v>1441</v>
      </c>
      <c r="I1394" s="230" t="s">
        <v>1403</v>
      </c>
      <c r="J1394" s="230" t="s">
        <v>222</v>
      </c>
      <c r="K1394" s="123" t="s">
        <v>222</v>
      </c>
      <c r="L1394" s="238" t="s">
        <v>3</v>
      </c>
      <c r="M1394" s="232" t="s">
        <v>131</v>
      </c>
      <c r="N1394" s="232" t="s">
        <v>129</v>
      </c>
      <c r="O1394" s="232" t="s">
        <v>376</v>
      </c>
      <c r="P1394" s="232" t="s">
        <v>376</v>
      </c>
      <c r="Q1394" s="232" t="s">
        <v>131</v>
      </c>
      <c r="R1394" s="232" t="s">
        <v>131</v>
      </c>
      <c r="S1394" s="232" t="s">
        <v>131</v>
      </c>
      <c r="T1394" s="232"/>
      <c r="U1394" s="232" t="s">
        <v>1301</v>
      </c>
      <c r="V1394" s="232"/>
      <c r="W1394" s="232"/>
      <c r="X1394" s="232"/>
      <c r="Y1394" s="232"/>
      <c r="Z1394" s="232"/>
      <c r="AA1394" s="232"/>
      <c r="AB1394" s="232"/>
      <c r="AC1394" s="232"/>
      <c r="AD1394" s="233" t="s">
        <v>5</v>
      </c>
    </row>
    <row r="1395" spans="1:30" s="234" customFormat="1" ht="33" customHeight="1" x14ac:dyDescent="0.3">
      <c r="A1395" s="167">
        <v>29</v>
      </c>
      <c r="B1395" s="168">
        <v>114</v>
      </c>
      <c r="C1395" s="226" t="str">
        <f t="shared" si="30"/>
        <v>29.114</v>
      </c>
      <c r="D1395" s="300" t="s">
        <v>1140</v>
      </c>
      <c r="E1395" s="64" t="str">
        <f>IF(ISBLANK(D1395)=TRUE,"",VLOOKUP(D1395,Krav!$C:$F,4,FALSE))</f>
        <v>10.a.2.1.1.38 - Hvis stiftelsesdato ikke er valgt: Regel R0054 deaktiveres</v>
      </c>
      <c r="F1395" s="228" t="s">
        <v>226</v>
      </c>
      <c r="G1395" s="228" t="s">
        <v>313</v>
      </c>
      <c r="H1395" s="229" t="s">
        <v>1441</v>
      </c>
      <c r="I1395" s="230" t="s">
        <v>1403</v>
      </c>
      <c r="J1395" s="230" t="s">
        <v>222</v>
      </c>
      <c r="K1395" s="123" t="s">
        <v>222</v>
      </c>
      <c r="L1395" s="238" t="s">
        <v>3</v>
      </c>
      <c r="M1395" s="232" t="s">
        <v>131</v>
      </c>
      <c r="N1395" s="232" t="s">
        <v>129</v>
      </c>
      <c r="O1395" s="232" t="s">
        <v>376</v>
      </c>
      <c r="P1395" s="232" t="s">
        <v>376</v>
      </c>
      <c r="Q1395" s="232" t="s">
        <v>131</v>
      </c>
      <c r="R1395" s="232" t="s">
        <v>131</v>
      </c>
      <c r="S1395" s="232" t="s">
        <v>131</v>
      </c>
      <c r="T1395" s="232"/>
      <c r="U1395" s="232" t="s">
        <v>1302</v>
      </c>
      <c r="V1395" s="232"/>
      <c r="W1395" s="232"/>
      <c r="X1395" s="232"/>
      <c r="Y1395" s="232"/>
      <c r="Z1395" s="232"/>
      <c r="AA1395" s="232"/>
      <c r="AB1395" s="232"/>
      <c r="AC1395" s="232"/>
      <c r="AD1395" s="233" t="s">
        <v>5</v>
      </c>
    </row>
    <row r="1396" spans="1:30" s="234" customFormat="1" ht="33" customHeight="1" x14ac:dyDescent="0.3">
      <c r="A1396" s="167">
        <v>29</v>
      </c>
      <c r="B1396" s="168">
        <v>115</v>
      </c>
      <c r="C1396" s="226" t="str">
        <f t="shared" si="30"/>
        <v>29.115</v>
      </c>
      <c r="D1396" s="299" t="s">
        <v>1154</v>
      </c>
      <c r="E1396" s="64" t="str">
        <f>IF(ISBLANK(D1396)=TRUE,"",VLOOKUP(D1396,Krav!$C:$F,4,FALSE))</f>
        <v>10.a.2.1.1.52 - Hvis StiftelsesDato ikke er valgt: Regel R0068 deaktiveres</v>
      </c>
      <c r="F1396" s="228" t="s">
        <v>226</v>
      </c>
      <c r="G1396" s="228" t="s">
        <v>313</v>
      </c>
      <c r="H1396" s="229" t="s">
        <v>1441</v>
      </c>
      <c r="I1396" s="230" t="s">
        <v>1403</v>
      </c>
      <c r="J1396" s="230" t="s">
        <v>222</v>
      </c>
      <c r="K1396" s="123" t="s">
        <v>222</v>
      </c>
      <c r="L1396" s="238" t="s">
        <v>3</v>
      </c>
      <c r="M1396" s="232" t="s">
        <v>131</v>
      </c>
      <c r="N1396" s="232" t="s">
        <v>129</v>
      </c>
      <c r="O1396" s="232" t="s">
        <v>376</v>
      </c>
      <c r="P1396" s="232" t="s">
        <v>376</v>
      </c>
      <c r="Q1396" s="232" t="s">
        <v>131</v>
      </c>
      <c r="R1396" s="232" t="s">
        <v>131</v>
      </c>
      <c r="S1396" s="232" t="s">
        <v>131</v>
      </c>
      <c r="T1396" s="232"/>
      <c r="U1396" s="232" t="s">
        <v>1303</v>
      </c>
      <c r="V1396" s="232"/>
      <c r="W1396" s="232"/>
      <c r="X1396" s="232"/>
      <c r="Y1396" s="232"/>
      <c r="Z1396" s="232"/>
      <c r="AA1396" s="232"/>
      <c r="AB1396" s="232"/>
      <c r="AC1396" s="232"/>
      <c r="AD1396" s="233" t="s">
        <v>5</v>
      </c>
    </row>
    <row r="1397" spans="1:30" s="234" customFormat="1" ht="33" customHeight="1" x14ac:dyDescent="0.3">
      <c r="A1397" s="167">
        <v>29</v>
      </c>
      <c r="B1397" s="168">
        <v>116</v>
      </c>
      <c r="C1397" s="226" t="str">
        <f t="shared" si="30"/>
        <v>29.116</v>
      </c>
      <c r="D1397" s="299" t="s">
        <v>1137</v>
      </c>
      <c r="E1397" s="64" t="str">
        <f>IF(ISBLANK(D1397)=TRUE,"",VLOOKUP(D1397,Krav!$C:$F,4,FALSE))</f>
        <v>10.a.2.1.1.35 - Hvis stiftelsesdato ikke er valgt: Regel R0051 deaktiveres</v>
      </c>
      <c r="F1397" s="228" t="s">
        <v>226</v>
      </c>
      <c r="G1397" s="228" t="s">
        <v>313</v>
      </c>
      <c r="H1397" s="229" t="s">
        <v>1404</v>
      </c>
      <c r="I1397" s="237" t="s">
        <v>408</v>
      </c>
      <c r="J1397" s="237" t="s">
        <v>222</v>
      </c>
      <c r="K1397" s="123" t="s">
        <v>222</v>
      </c>
      <c r="L1397" s="231" t="s">
        <v>4</v>
      </c>
      <c r="M1397" s="232" t="s">
        <v>129</v>
      </c>
      <c r="N1397" s="232" t="s">
        <v>131</v>
      </c>
      <c r="O1397" s="232" t="s">
        <v>1403</v>
      </c>
      <c r="P1397" s="232" t="s">
        <v>1405</v>
      </c>
      <c r="Q1397" s="232" t="s">
        <v>131</v>
      </c>
      <c r="R1397" s="232" t="s">
        <v>131</v>
      </c>
      <c r="S1397" s="232" t="s">
        <v>131</v>
      </c>
      <c r="T1397" s="232"/>
      <c r="U1397" s="232" t="s">
        <v>1299</v>
      </c>
      <c r="V1397" s="232"/>
      <c r="W1397" s="232"/>
      <c r="X1397" s="232"/>
      <c r="Y1397" s="232"/>
      <c r="Z1397" s="232"/>
      <c r="AA1397" s="232"/>
      <c r="AB1397" s="232"/>
      <c r="AC1397" s="232"/>
      <c r="AD1397" s="233" t="s">
        <v>5</v>
      </c>
    </row>
    <row r="1398" spans="1:30" s="234" customFormat="1" ht="33" customHeight="1" x14ac:dyDescent="0.3">
      <c r="A1398" s="167">
        <v>29</v>
      </c>
      <c r="B1398" s="168">
        <v>117</v>
      </c>
      <c r="C1398" s="226" t="str">
        <f t="shared" si="30"/>
        <v>29.117</v>
      </c>
      <c r="D1398" s="300" t="s">
        <v>1138</v>
      </c>
      <c r="E1398" s="64" t="str">
        <f>IF(ISBLANK(D1398)=TRUE,"",VLOOKUP(D1398,Krav!$C:$F,4,FALSE))</f>
        <v>10.a.2.1.1.36 - Hvis stiftelsesdato ikke er valgt: Regel R0052 deaktiveres</v>
      </c>
      <c r="F1398" s="228" t="s">
        <v>226</v>
      </c>
      <c r="G1398" s="228" t="s">
        <v>313</v>
      </c>
      <c r="H1398" s="229" t="s">
        <v>1404</v>
      </c>
      <c r="I1398" s="237" t="s">
        <v>408</v>
      </c>
      <c r="J1398" s="237" t="s">
        <v>222</v>
      </c>
      <c r="K1398" s="123" t="s">
        <v>222</v>
      </c>
      <c r="L1398" s="231" t="s">
        <v>4</v>
      </c>
      <c r="M1398" s="232" t="s">
        <v>129</v>
      </c>
      <c r="N1398" s="232" t="s">
        <v>131</v>
      </c>
      <c r="O1398" s="232" t="s">
        <v>1403</v>
      </c>
      <c r="P1398" s="232" t="s">
        <v>1405</v>
      </c>
      <c r="Q1398" s="232" t="s">
        <v>131</v>
      </c>
      <c r="R1398" s="232" t="s">
        <v>131</v>
      </c>
      <c r="S1398" s="232" t="s">
        <v>131</v>
      </c>
      <c r="T1398" s="232"/>
      <c r="U1398" s="232" t="s">
        <v>1300</v>
      </c>
      <c r="V1398" s="232"/>
      <c r="W1398" s="232"/>
      <c r="X1398" s="232"/>
      <c r="Y1398" s="232"/>
      <c r="Z1398" s="232"/>
      <c r="AA1398" s="232"/>
      <c r="AB1398" s="232"/>
      <c r="AC1398" s="232"/>
      <c r="AD1398" s="233" t="s">
        <v>5</v>
      </c>
    </row>
    <row r="1399" spans="1:30" s="234" customFormat="1" ht="33" customHeight="1" x14ac:dyDescent="0.3">
      <c r="A1399" s="167">
        <v>29</v>
      </c>
      <c r="B1399" s="168">
        <v>118</v>
      </c>
      <c r="C1399" s="226" t="str">
        <f t="shared" si="30"/>
        <v>29.118</v>
      </c>
      <c r="D1399" s="299" t="s">
        <v>1139</v>
      </c>
      <c r="E1399" s="64" t="str">
        <f>IF(ISBLANK(D1399)=TRUE,"",VLOOKUP(D1399,Krav!$C:$F,4,FALSE))</f>
        <v>10.a.2.1.1.37 - Hvis stiftelsesdato ikke er valgt: Regel R0053 deaktiveres</v>
      </c>
      <c r="F1399" s="228" t="s">
        <v>226</v>
      </c>
      <c r="G1399" s="228" t="s">
        <v>313</v>
      </c>
      <c r="H1399" s="229" t="s">
        <v>1404</v>
      </c>
      <c r="I1399" s="237" t="s">
        <v>408</v>
      </c>
      <c r="J1399" s="230" t="s">
        <v>222</v>
      </c>
      <c r="K1399" s="123" t="s">
        <v>222</v>
      </c>
      <c r="L1399" s="231" t="s">
        <v>4</v>
      </c>
      <c r="M1399" s="232" t="s">
        <v>129</v>
      </c>
      <c r="N1399" s="232" t="s">
        <v>131</v>
      </c>
      <c r="O1399" s="232" t="s">
        <v>1403</v>
      </c>
      <c r="P1399" s="232" t="s">
        <v>1405</v>
      </c>
      <c r="Q1399" s="232" t="s">
        <v>131</v>
      </c>
      <c r="R1399" s="232" t="s">
        <v>131</v>
      </c>
      <c r="S1399" s="232" t="s">
        <v>131</v>
      </c>
      <c r="T1399" s="232"/>
      <c r="U1399" s="232" t="s">
        <v>1301</v>
      </c>
      <c r="V1399" s="232"/>
      <c r="W1399" s="232"/>
      <c r="X1399" s="232"/>
      <c r="Y1399" s="232"/>
      <c r="Z1399" s="232"/>
      <c r="AA1399" s="232"/>
      <c r="AB1399" s="232"/>
      <c r="AC1399" s="232"/>
      <c r="AD1399" s="233" t="s">
        <v>5</v>
      </c>
    </row>
    <row r="1400" spans="1:30" s="234" customFormat="1" ht="33" customHeight="1" x14ac:dyDescent="0.3">
      <c r="A1400" s="167">
        <v>29</v>
      </c>
      <c r="B1400" s="168">
        <v>119</v>
      </c>
      <c r="C1400" s="226" t="str">
        <f t="shared" si="30"/>
        <v>29.119</v>
      </c>
      <c r="D1400" s="300" t="s">
        <v>1140</v>
      </c>
      <c r="E1400" s="64" t="str">
        <f>IF(ISBLANK(D1400)=TRUE,"",VLOOKUP(D1400,Krav!$C:$F,4,FALSE))</f>
        <v>10.a.2.1.1.38 - Hvis stiftelsesdato ikke er valgt: Regel R0054 deaktiveres</v>
      </c>
      <c r="F1400" s="228" t="s">
        <v>226</v>
      </c>
      <c r="G1400" s="228" t="s">
        <v>313</v>
      </c>
      <c r="H1400" s="229" t="s">
        <v>1404</v>
      </c>
      <c r="I1400" s="237" t="s">
        <v>408</v>
      </c>
      <c r="J1400" s="230" t="s">
        <v>222</v>
      </c>
      <c r="K1400" s="123" t="s">
        <v>222</v>
      </c>
      <c r="L1400" s="231" t="s">
        <v>4</v>
      </c>
      <c r="M1400" s="232" t="s">
        <v>129</v>
      </c>
      <c r="N1400" s="232" t="s">
        <v>131</v>
      </c>
      <c r="O1400" s="232" t="s">
        <v>1403</v>
      </c>
      <c r="P1400" s="232" t="s">
        <v>1405</v>
      </c>
      <c r="Q1400" s="232" t="s">
        <v>131</v>
      </c>
      <c r="R1400" s="232" t="s">
        <v>131</v>
      </c>
      <c r="S1400" s="232" t="s">
        <v>131</v>
      </c>
      <c r="T1400" s="232"/>
      <c r="U1400" s="232" t="s">
        <v>1302</v>
      </c>
      <c r="V1400" s="232"/>
      <c r="W1400" s="232"/>
      <c r="X1400" s="232"/>
      <c r="Y1400" s="232"/>
      <c r="Z1400" s="232"/>
      <c r="AA1400" s="232"/>
      <c r="AB1400" s="232"/>
      <c r="AC1400" s="232"/>
      <c r="AD1400" s="233" t="s">
        <v>5</v>
      </c>
    </row>
    <row r="1401" spans="1:30" s="234" customFormat="1" ht="33" customHeight="1" x14ac:dyDescent="0.3">
      <c r="A1401" s="167">
        <v>29</v>
      </c>
      <c r="B1401" s="168">
        <v>120</v>
      </c>
      <c r="C1401" s="226" t="str">
        <f t="shared" si="30"/>
        <v>29.120</v>
      </c>
      <c r="D1401" s="299" t="s">
        <v>1154</v>
      </c>
      <c r="E1401" s="64" t="str">
        <f>IF(ISBLANK(D1401)=TRUE,"",VLOOKUP(D1401,Krav!$C:$F,4,FALSE))</f>
        <v>10.a.2.1.1.52 - Hvis StiftelsesDato ikke er valgt: Regel R0068 deaktiveres</v>
      </c>
      <c r="F1401" s="228" t="s">
        <v>226</v>
      </c>
      <c r="G1401" s="228" t="s">
        <v>313</v>
      </c>
      <c r="H1401" s="229" t="s">
        <v>1404</v>
      </c>
      <c r="I1401" s="237" t="s">
        <v>408</v>
      </c>
      <c r="J1401" s="230" t="s">
        <v>222</v>
      </c>
      <c r="K1401" s="123" t="s">
        <v>222</v>
      </c>
      <c r="L1401" s="231" t="s">
        <v>4</v>
      </c>
      <c r="M1401" s="232" t="s">
        <v>129</v>
      </c>
      <c r="N1401" s="232" t="s">
        <v>131</v>
      </c>
      <c r="O1401" s="232" t="s">
        <v>1403</v>
      </c>
      <c r="P1401" s="232" t="s">
        <v>1405</v>
      </c>
      <c r="Q1401" s="232" t="s">
        <v>131</v>
      </c>
      <c r="R1401" s="232" t="s">
        <v>131</v>
      </c>
      <c r="S1401" s="232" t="s">
        <v>131</v>
      </c>
      <c r="T1401" s="232"/>
      <c r="U1401" s="232" t="s">
        <v>1303</v>
      </c>
      <c r="V1401" s="232"/>
      <c r="W1401" s="232"/>
      <c r="X1401" s="232"/>
      <c r="Y1401" s="232"/>
      <c r="Z1401" s="232"/>
      <c r="AA1401" s="232"/>
      <c r="AB1401" s="232"/>
      <c r="AC1401" s="232"/>
      <c r="AD1401" s="233" t="s">
        <v>5</v>
      </c>
    </row>
    <row r="1402" spans="1:30" s="234" customFormat="1" ht="33" customHeight="1" x14ac:dyDescent="0.3">
      <c r="A1402" s="167">
        <v>29</v>
      </c>
      <c r="B1402" s="168">
        <v>121</v>
      </c>
      <c r="C1402" s="226" t="str">
        <f t="shared" si="30"/>
        <v>29.121</v>
      </c>
      <c r="D1402" s="299" t="s">
        <v>1137</v>
      </c>
      <c r="E1402" s="64" t="str">
        <f>IF(ISBLANK(D1402)=TRUE,"",VLOOKUP(D1402,Krav!$C:$F,4,FALSE))</f>
        <v>10.a.2.1.1.35 - Hvis stiftelsesdato ikke er valgt: Regel R0051 deaktiveres</v>
      </c>
      <c r="F1402" s="228" t="s">
        <v>226</v>
      </c>
      <c r="G1402" s="228" t="s">
        <v>313</v>
      </c>
      <c r="H1402" s="229" t="s">
        <v>1404</v>
      </c>
      <c r="I1402" s="230" t="s">
        <v>410</v>
      </c>
      <c r="J1402" s="237" t="s">
        <v>222</v>
      </c>
      <c r="K1402" s="123" t="s">
        <v>222</v>
      </c>
      <c r="L1402" s="231" t="s">
        <v>4</v>
      </c>
      <c r="M1402" s="232" t="s">
        <v>129</v>
      </c>
      <c r="N1402" s="232" t="s">
        <v>131</v>
      </c>
      <c r="O1402" s="232" t="s">
        <v>1405</v>
      </c>
      <c r="P1402" s="232" t="s">
        <v>1403</v>
      </c>
      <c r="Q1402" s="232" t="s">
        <v>131</v>
      </c>
      <c r="R1402" s="232" t="s">
        <v>131</v>
      </c>
      <c r="S1402" s="232" t="s">
        <v>131</v>
      </c>
      <c r="T1402" s="232"/>
      <c r="U1402" s="232" t="s">
        <v>1299</v>
      </c>
      <c r="V1402" s="232"/>
      <c r="W1402" s="232"/>
      <c r="X1402" s="232"/>
      <c r="Y1402" s="232"/>
      <c r="Z1402" s="232"/>
      <c r="AA1402" s="232"/>
      <c r="AB1402" s="232"/>
      <c r="AC1402" s="232"/>
      <c r="AD1402" s="233" t="s">
        <v>5</v>
      </c>
    </row>
    <row r="1403" spans="1:30" s="234" customFormat="1" ht="33" customHeight="1" x14ac:dyDescent="0.3">
      <c r="A1403" s="167">
        <v>29</v>
      </c>
      <c r="B1403" s="168">
        <v>122</v>
      </c>
      <c r="C1403" s="226" t="str">
        <f t="shared" si="30"/>
        <v>29.122</v>
      </c>
      <c r="D1403" s="300" t="s">
        <v>1138</v>
      </c>
      <c r="E1403" s="64" t="str">
        <f>IF(ISBLANK(D1403)=TRUE,"",VLOOKUP(D1403,Krav!$C:$F,4,FALSE))</f>
        <v>10.a.2.1.1.36 - Hvis stiftelsesdato ikke er valgt: Regel R0052 deaktiveres</v>
      </c>
      <c r="F1403" s="228" t="s">
        <v>226</v>
      </c>
      <c r="G1403" s="228" t="s">
        <v>313</v>
      </c>
      <c r="H1403" s="229" t="s">
        <v>1404</v>
      </c>
      <c r="I1403" s="230" t="s">
        <v>410</v>
      </c>
      <c r="J1403" s="237" t="s">
        <v>222</v>
      </c>
      <c r="K1403" s="123" t="s">
        <v>222</v>
      </c>
      <c r="L1403" s="231" t="s">
        <v>4</v>
      </c>
      <c r="M1403" s="232" t="s">
        <v>129</v>
      </c>
      <c r="N1403" s="232" t="s">
        <v>131</v>
      </c>
      <c r="O1403" s="232" t="s">
        <v>1405</v>
      </c>
      <c r="P1403" s="232" t="s">
        <v>1403</v>
      </c>
      <c r="Q1403" s="232" t="s">
        <v>131</v>
      </c>
      <c r="R1403" s="232" t="s">
        <v>131</v>
      </c>
      <c r="S1403" s="232" t="s">
        <v>131</v>
      </c>
      <c r="T1403" s="232"/>
      <c r="U1403" s="232" t="s">
        <v>1300</v>
      </c>
      <c r="V1403" s="232"/>
      <c r="W1403" s="232"/>
      <c r="X1403" s="232"/>
      <c r="Y1403" s="232"/>
      <c r="Z1403" s="232"/>
      <c r="AA1403" s="232"/>
      <c r="AB1403" s="232"/>
      <c r="AC1403" s="232"/>
      <c r="AD1403" s="233" t="s">
        <v>5</v>
      </c>
    </row>
    <row r="1404" spans="1:30" s="234" customFormat="1" ht="33" customHeight="1" x14ac:dyDescent="0.3">
      <c r="A1404" s="167">
        <v>29</v>
      </c>
      <c r="B1404" s="168">
        <v>123</v>
      </c>
      <c r="C1404" s="226" t="str">
        <f t="shared" si="30"/>
        <v>29.123</v>
      </c>
      <c r="D1404" s="299" t="s">
        <v>1139</v>
      </c>
      <c r="E1404" s="64" t="str">
        <f>IF(ISBLANK(D1404)=TRUE,"",VLOOKUP(D1404,Krav!$C:$F,4,FALSE))</f>
        <v>10.a.2.1.1.37 - Hvis stiftelsesdato ikke er valgt: Regel R0053 deaktiveres</v>
      </c>
      <c r="F1404" s="228" t="s">
        <v>226</v>
      </c>
      <c r="G1404" s="228" t="s">
        <v>313</v>
      </c>
      <c r="H1404" s="229" t="s">
        <v>1404</v>
      </c>
      <c r="I1404" s="230" t="s">
        <v>410</v>
      </c>
      <c r="J1404" s="230" t="s">
        <v>222</v>
      </c>
      <c r="K1404" s="123" t="s">
        <v>222</v>
      </c>
      <c r="L1404" s="231" t="s">
        <v>4</v>
      </c>
      <c r="M1404" s="232" t="s">
        <v>129</v>
      </c>
      <c r="N1404" s="232" t="s">
        <v>131</v>
      </c>
      <c r="O1404" s="232" t="s">
        <v>1405</v>
      </c>
      <c r="P1404" s="232" t="s">
        <v>1403</v>
      </c>
      <c r="Q1404" s="232" t="s">
        <v>131</v>
      </c>
      <c r="R1404" s="232" t="s">
        <v>131</v>
      </c>
      <c r="S1404" s="232" t="s">
        <v>131</v>
      </c>
      <c r="T1404" s="232"/>
      <c r="U1404" s="232" t="s">
        <v>1301</v>
      </c>
      <c r="V1404" s="232"/>
      <c r="W1404" s="232"/>
      <c r="X1404" s="232"/>
      <c r="Y1404" s="232"/>
      <c r="Z1404" s="232"/>
      <c r="AA1404" s="232"/>
      <c r="AB1404" s="232"/>
      <c r="AC1404" s="232"/>
      <c r="AD1404" s="233" t="s">
        <v>5</v>
      </c>
    </row>
    <row r="1405" spans="1:30" s="234" customFormat="1" ht="33" customHeight="1" x14ac:dyDescent="0.3">
      <c r="A1405" s="167">
        <v>29</v>
      </c>
      <c r="B1405" s="168">
        <v>124</v>
      </c>
      <c r="C1405" s="226" t="str">
        <f t="shared" si="30"/>
        <v>29.124</v>
      </c>
      <c r="D1405" s="300" t="s">
        <v>1140</v>
      </c>
      <c r="E1405" s="64" t="str">
        <f>IF(ISBLANK(D1405)=TRUE,"",VLOOKUP(D1405,Krav!$C:$F,4,FALSE))</f>
        <v>10.a.2.1.1.38 - Hvis stiftelsesdato ikke er valgt: Regel R0054 deaktiveres</v>
      </c>
      <c r="F1405" s="228" t="s">
        <v>226</v>
      </c>
      <c r="G1405" s="228" t="s">
        <v>313</v>
      </c>
      <c r="H1405" s="229" t="s">
        <v>1404</v>
      </c>
      <c r="I1405" s="230" t="s">
        <v>410</v>
      </c>
      <c r="J1405" s="230" t="s">
        <v>222</v>
      </c>
      <c r="K1405" s="123" t="s">
        <v>222</v>
      </c>
      <c r="L1405" s="231" t="s">
        <v>4</v>
      </c>
      <c r="M1405" s="232" t="s">
        <v>129</v>
      </c>
      <c r="N1405" s="232" t="s">
        <v>131</v>
      </c>
      <c r="O1405" s="232" t="s">
        <v>1405</v>
      </c>
      <c r="P1405" s="232" t="s">
        <v>1403</v>
      </c>
      <c r="Q1405" s="232" t="s">
        <v>131</v>
      </c>
      <c r="R1405" s="232" t="s">
        <v>131</v>
      </c>
      <c r="S1405" s="232" t="s">
        <v>131</v>
      </c>
      <c r="T1405" s="232"/>
      <c r="U1405" s="232" t="s">
        <v>1302</v>
      </c>
      <c r="V1405" s="232"/>
      <c r="W1405" s="232"/>
      <c r="X1405" s="232"/>
      <c r="Y1405" s="232"/>
      <c r="Z1405" s="232"/>
      <c r="AA1405" s="232"/>
      <c r="AB1405" s="232"/>
      <c r="AC1405" s="232"/>
      <c r="AD1405" s="233" t="s">
        <v>5</v>
      </c>
    </row>
    <row r="1406" spans="1:30" s="234" customFormat="1" ht="33" customHeight="1" x14ac:dyDescent="0.3">
      <c r="A1406" s="167">
        <v>29</v>
      </c>
      <c r="B1406" s="168">
        <v>125</v>
      </c>
      <c r="C1406" s="226" t="str">
        <f t="shared" si="30"/>
        <v>29.125</v>
      </c>
      <c r="D1406" s="299" t="s">
        <v>1154</v>
      </c>
      <c r="E1406" s="64" t="str">
        <f>IF(ISBLANK(D1406)=TRUE,"",VLOOKUP(D1406,Krav!$C:$F,4,FALSE))</f>
        <v>10.a.2.1.1.52 - Hvis StiftelsesDato ikke er valgt: Regel R0068 deaktiveres</v>
      </c>
      <c r="F1406" s="228" t="s">
        <v>226</v>
      </c>
      <c r="G1406" s="228" t="s">
        <v>313</v>
      </c>
      <c r="H1406" s="229" t="s">
        <v>1404</v>
      </c>
      <c r="I1406" s="230" t="s">
        <v>410</v>
      </c>
      <c r="J1406" s="230" t="s">
        <v>222</v>
      </c>
      <c r="K1406" s="123" t="s">
        <v>222</v>
      </c>
      <c r="L1406" s="231" t="s">
        <v>4</v>
      </c>
      <c r="M1406" s="232" t="s">
        <v>129</v>
      </c>
      <c r="N1406" s="232" t="s">
        <v>131</v>
      </c>
      <c r="O1406" s="232" t="s">
        <v>1405</v>
      </c>
      <c r="P1406" s="232" t="s">
        <v>1403</v>
      </c>
      <c r="Q1406" s="232" t="s">
        <v>131</v>
      </c>
      <c r="R1406" s="232" t="s">
        <v>131</v>
      </c>
      <c r="S1406" s="232" t="s">
        <v>131</v>
      </c>
      <c r="T1406" s="232"/>
      <c r="U1406" s="232" t="s">
        <v>1303</v>
      </c>
      <c r="V1406" s="232"/>
      <c r="W1406" s="232"/>
      <c r="X1406" s="232"/>
      <c r="Y1406" s="232"/>
      <c r="Z1406" s="232"/>
      <c r="AA1406" s="232"/>
      <c r="AB1406" s="232"/>
      <c r="AC1406" s="232"/>
      <c r="AD1406" s="233" t="s">
        <v>5</v>
      </c>
    </row>
    <row r="1407" spans="1:30" s="234" customFormat="1" ht="33" customHeight="1" x14ac:dyDescent="0.3">
      <c r="A1407" s="167">
        <v>29</v>
      </c>
      <c r="B1407" s="168">
        <v>126</v>
      </c>
      <c r="C1407" s="226" t="str">
        <f t="shared" si="30"/>
        <v>29.126</v>
      </c>
      <c r="D1407" s="227" t="s">
        <v>1234</v>
      </c>
      <c r="E1407" s="64" t="str">
        <f>IF(ISBLANK(D1407)=TRUE,"",VLOOKUP(D1407,Krav!$C:$F,4,FALSE))</f>
        <v>10.a.2.1.1.107 - Der angives et ”JA” i populationen under ”Vil RIM beregne en tidligst mulig forældelsesdato?”</v>
      </c>
      <c r="F1407" s="228" t="s">
        <v>221</v>
      </c>
      <c r="G1407" s="228"/>
      <c r="H1407" s="229" t="s">
        <v>1406</v>
      </c>
      <c r="I1407" s="230" t="s">
        <v>240</v>
      </c>
      <c r="J1407" s="230" t="s">
        <v>222</v>
      </c>
      <c r="K1407" s="125" t="s">
        <v>222</v>
      </c>
      <c r="L1407" s="238" t="s">
        <v>3</v>
      </c>
      <c r="M1407" s="232" t="s">
        <v>131</v>
      </c>
      <c r="N1407" s="232" t="s">
        <v>129</v>
      </c>
      <c r="O1407" s="232" t="s">
        <v>376</v>
      </c>
      <c r="P1407" s="232" t="s">
        <v>376</v>
      </c>
      <c r="Q1407" s="232" t="s">
        <v>131</v>
      </c>
      <c r="R1407" s="232" t="s">
        <v>131</v>
      </c>
      <c r="S1407" s="232" t="s">
        <v>131</v>
      </c>
      <c r="T1407" s="232"/>
      <c r="U1407" s="232"/>
      <c r="V1407" s="232"/>
      <c r="W1407" s="232"/>
      <c r="X1407" s="232"/>
      <c r="Y1407" s="232"/>
      <c r="Z1407" s="232"/>
      <c r="AA1407" s="232"/>
      <c r="AB1407" s="232"/>
      <c r="AC1407" s="232"/>
      <c r="AD1407" s="233" t="s">
        <v>5</v>
      </c>
    </row>
    <row r="1408" spans="1:30" s="234" customFormat="1" ht="33" customHeight="1" x14ac:dyDescent="0.3">
      <c r="A1408" s="167">
        <v>29</v>
      </c>
      <c r="B1408" s="168">
        <v>127</v>
      </c>
      <c r="C1408" s="226" t="str">
        <f t="shared" si="30"/>
        <v>29.127</v>
      </c>
      <c r="D1408" s="227"/>
      <c r="E1408" s="64" t="str">
        <f>IF(ISBLANK(D1408)=TRUE,"",VLOOKUP(D1408,Krav!$C:$F,4,FALSE))</f>
        <v/>
      </c>
      <c r="F1408" s="228" t="s">
        <v>225</v>
      </c>
      <c r="G1408" s="235" t="s">
        <v>231</v>
      </c>
      <c r="H1408" s="235" t="s">
        <v>158</v>
      </c>
      <c r="I1408" s="230" t="s">
        <v>1443</v>
      </c>
      <c r="J1408" s="230" t="s">
        <v>222</v>
      </c>
      <c r="K1408" s="123" t="s">
        <v>222</v>
      </c>
      <c r="L1408" s="238" t="s">
        <v>3</v>
      </c>
      <c r="M1408" s="232" t="s">
        <v>131</v>
      </c>
      <c r="N1408" s="232" t="s">
        <v>129</v>
      </c>
      <c r="O1408" s="232" t="s">
        <v>376</v>
      </c>
      <c r="P1408" s="232" t="s">
        <v>376</v>
      </c>
      <c r="Q1408" s="232" t="s">
        <v>131</v>
      </c>
      <c r="R1408" s="232" t="s">
        <v>131</v>
      </c>
      <c r="S1408" s="232" t="s">
        <v>131</v>
      </c>
      <c r="T1408" s="232"/>
      <c r="U1408" s="232"/>
      <c r="V1408" s="232"/>
      <c r="W1408" s="232"/>
      <c r="X1408" s="232"/>
      <c r="Y1408" s="232"/>
      <c r="Z1408" s="232"/>
      <c r="AA1408" s="232"/>
      <c r="AB1408" s="232"/>
      <c r="AC1408" s="232"/>
      <c r="AD1408" s="233" t="s">
        <v>5</v>
      </c>
    </row>
    <row r="1409" spans="1:30" s="234" customFormat="1" ht="33" customHeight="1" x14ac:dyDescent="0.3">
      <c r="A1409" s="167">
        <v>29</v>
      </c>
      <c r="B1409" s="168">
        <v>128</v>
      </c>
      <c r="C1409" s="226" t="str">
        <f t="shared" si="30"/>
        <v>29.128</v>
      </c>
      <c r="D1409" s="227"/>
      <c r="E1409" s="64" t="str">
        <f>IF(ISBLANK(D1409)=TRUE,"",VLOOKUP(D1409,Krav!$C:$F,4,FALSE))</f>
        <v/>
      </c>
      <c r="F1409" s="228" t="s">
        <v>225</v>
      </c>
      <c r="G1409" s="235" t="s">
        <v>1388</v>
      </c>
      <c r="H1409" s="235" t="s">
        <v>158</v>
      </c>
      <c r="I1409" s="230" t="s">
        <v>376</v>
      </c>
      <c r="J1409" s="230" t="s">
        <v>222</v>
      </c>
      <c r="K1409" s="123" t="s">
        <v>222</v>
      </c>
      <c r="L1409" s="238" t="s">
        <v>3</v>
      </c>
      <c r="M1409" s="232" t="s">
        <v>131</v>
      </c>
      <c r="N1409" s="232" t="s">
        <v>129</v>
      </c>
      <c r="O1409" s="232" t="s">
        <v>376</v>
      </c>
      <c r="P1409" s="232" t="s">
        <v>376</v>
      </c>
      <c r="Q1409" s="232" t="s">
        <v>131</v>
      </c>
      <c r="R1409" s="232" t="s">
        <v>131</v>
      </c>
      <c r="S1409" s="232" t="s">
        <v>131</v>
      </c>
      <c r="T1409" s="232"/>
      <c r="U1409" s="232"/>
      <c r="V1409" s="232"/>
      <c r="W1409" s="232"/>
      <c r="X1409" s="232"/>
      <c r="Y1409" s="232"/>
      <c r="Z1409" s="232"/>
      <c r="AA1409" s="232"/>
      <c r="AB1409" s="232"/>
      <c r="AC1409" s="232"/>
      <c r="AD1409" s="233" t="s">
        <v>5</v>
      </c>
    </row>
    <row r="1410" spans="1:30" s="234" customFormat="1" ht="33" customHeight="1" x14ac:dyDescent="0.3">
      <c r="A1410" s="167">
        <v>29</v>
      </c>
      <c r="B1410" s="168">
        <v>129</v>
      </c>
      <c r="C1410" s="226" t="str">
        <f t="shared" si="30"/>
        <v>29.129</v>
      </c>
      <c r="D1410" s="227"/>
      <c r="E1410" s="64" t="str">
        <f>IF(ISBLANK(D1410)=TRUE,"",VLOOKUP(D1410,Krav!$C:$F,4,FALSE))</f>
        <v/>
      </c>
      <c r="F1410" s="228" t="s">
        <v>225</v>
      </c>
      <c r="G1410" s="235" t="s">
        <v>1389</v>
      </c>
      <c r="H1410" s="235" t="s">
        <v>158</v>
      </c>
      <c r="I1410" s="230" t="s">
        <v>376</v>
      </c>
      <c r="J1410" s="230" t="s">
        <v>222</v>
      </c>
      <c r="K1410" s="123" t="s">
        <v>222</v>
      </c>
      <c r="L1410" s="238" t="s">
        <v>3</v>
      </c>
      <c r="M1410" s="232" t="s">
        <v>131</v>
      </c>
      <c r="N1410" s="232" t="s">
        <v>129</v>
      </c>
      <c r="O1410" s="232" t="s">
        <v>376</v>
      </c>
      <c r="P1410" s="232" t="s">
        <v>376</v>
      </c>
      <c r="Q1410" s="232" t="s">
        <v>131</v>
      </c>
      <c r="R1410" s="232" t="s">
        <v>131</v>
      </c>
      <c r="S1410" s="232" t="s">
        <v>131</v>
      </c>
      <c r="T1410" s="232"/>
      <c r="U1410" s="232"/>
      <c r="V1410" s="232"/>
      <c r="W1410" s="232"/>
      <c r="X1410" s="232"/>
      <c r="Y1410" s="232"/>
      <c r="Z1410" s="232"/>
      <c r="AA1410" s="232"/>
      <c r="AB1410" s="232"/>
      <c r="AC1410" s="232"/>
      <c r="AD1410" s="233" t="s">
        <v>5</v>
      </c>
    </row>
    <row r="1411" spans="1:30" s="234" customFormat="1" ht="33" customHeight="1" x14ac:dyDescent="0.3">
      <c r="A1411" s="167">
        <v>29</v>
      </c>
      <c r="B1411" s="168">
        <v>130</v>
      </c>
      <c r="C1411" s="226" t="str">
        <f t="shared" si="30"/>
        <v>29.130</v>
      </c>
      <c r="D1411" s="227" t="s">
        <v>1079</v>
      </c>
      <c r="E1411" s="64" t="str">
        <f>IF(ISBLANK(D1411)=TRUE,"",VLOOKUP(D1411,Krav!$C:$F,4,FALSE))</f>
        <v>10.a.2.8 - Såfremt brugeren angiver antal dage skal brugeren ledes til spørgsmål 10.a.2.1</v>
      </c>
      <c r="F1411" s="239" t="s">
        <v>174</v>
      </c>
      <c r="G1411" s="240"/>
      <c r="H1411" s="229" t="s">
        <v>1413</v>
      </c>
      <c r="I1411" s="230" t="s">
        <v>1414</v>
      </c>
      <c r="J1411" s="230" t="s">
        <v>222</v>
      </c>
      <c r="K1411" s="125" t="s">
        <v>222</v>
      </c>
      <c r="L1411" s="238" t="s">
        <v>4</v>
      </c>
      <c r="M1411" s="232" t="s">
        <v>131</v>
      </c>
      <c r="N1411" s="232" t="s">
        <v>129</v>
      </c>
      <c r="O1411" s="241" t="s">
        <v>96</v>
      </c>
      <c r="P1411" s="232" t="s">
        <v>376</v>
      </c>
      <c r="Q1411" s="232" t="s">
        <v>131</v>
      </c>
      <c r="R1411" s="232" t="s">
        <v>131</v>
      </c>
      <c r="S1411" s="232" t="s">
        <v>131</v>
      </c>
      <c r="T1411" s="232"/>
      <c r="U1411" s="232"/>
      <c r="V1411" s="232"/>
      <c r="W1411" s="232"/>
      <c r="X1411" s="232"/>
      <c r="Y1411" s="232"/>
      <c r="Z1411" s="232"/>
      <c r="AA1411" s="232"/>
      <c r="AB1411" s="232"/>
      <c r="AC1411" s="232"/>
      <c r="AD1411" s="233" t="s">
        <v>5</v>
      </c>
    </row>
    <row r="1412" spans="1:30" s="234" customFormat="1" ht="33" customHeight="1" x14ac:dyDescent="0.3">
      <c r="A1412" s="167">
        <v>29</v>
      </c>
      <c r="B1412" s="168">
        <v>131</v>
      </c>
      <c r="C1412" s="226" t="str">
        <f t="shared" si="30"/>
        <v>29.131</v>
      </c>
      <c r="D1412" s="227" t="s">
        <v>1079</v>
      </c>
      <c r="E1412" s="64" t="str">
        <f>IF(ISBLANK(D1412)=TRUE,"",VLOOKUP(D1412,Krav!$C:$F,4,FALSE))</f>
        <v>10.a.2.8 - Såfremt brugeren angiver antal dage skal brugeren ledes til spørgsmål 10.a.2.1</v>
      </c>
      <c r="F1412" s="239" t="s">
        <v>418</v>
      </c>
      <c r="G1412" s="239" t="s">
        <v>419</v>
      </c>
      <c r="H1412" s="229" t="s">
        <v>1415</v>
      </c>
      <c r="I1412" s="230" t="s">
        <v>129</v>
      </c>
      <c r="J1412" s="237" t="s">
        <v>222</v>
      </c>
      <c r="K1412" s="123" t="s">
        <v>222</v>
      </c>
      <c r="L1412" s="231" t="s">
        <v>3</v>
      </c>
      <c r="M1412" s="232" t="s">
        <v>131</v>
      </c>
      <c r="N1412" s="232" t="s">
        <v>129</v>
      </c>
      <c r="O1412" s="241" t="s">
        <v>96</v>
      </c>
      <c r="P1412" s="232" t="s">
        <v>376</v>
      </c>
      <c r="Q1412" s="232" t="s">
        <v>131</v>
      </c>
      <c r="R1412" s="232" t="s">
        <v>131</v>
      </c>
      <c r="S1412" s="232" t="s">
        <v>131</v>
      </c>
      <c r="T1412" s="232"/>
      <c r="U1412" s="232"/>
      <c r="V1412" s="232"/>
      <c r="W1412" s="232"/>
      <c r="X1412" s="232"/>
      <c r="Y1412" s="232"/>
      <c r="Z1412" s="232"/>
      <c r="AA1412" s="232"/>
      <c r="AB1412" s="232"/>
      <c r="AC1412" s="232"/>
      <c r="AD1412" s="233" t="s">
        <v>5</v>
      </c>
    </row>
    <row r="1413" spans="1:30" s="234" customFormat="1" ht="33" customHeight="1" x14ac:dyDescent="0.3">
      <c r="A1413" s="167">
        <v>29</v>
      </c>
      <c r="B1413" s="168">
        <v>132</v>
      </c>
      <c r="C1413" s="226" t="str">
        <f t="shared" si="30"/>
        <v>29.132</v>
      </c>
      <c r="D1413" s="227" t="s">
        <v>1099</v>
      </c>
      <c r="E1413" s="64" t="str">
        <f>IF(ISBLANK(D1413)=TRUE,"",VLOOKUP(D1413,Krav!$C:$F,4,FALSE))</f>
        <v>10.a.2.1.2 - Såfremt brugeren angiver en frist skal brugeren ledes til spørgsmål 10.a.2.1.1</v>
      </c>
      <c r="F1413" s="239" t="s">
        <v>174</v>
      </c>
      <c r="G1413" s="240"/>
      <c r="H1413" s="229" t="s">
        <v>1413</v>
      </c>
      <c r="I1413" s="230" t="s">
        <v>1414</v>
      </c>
      <c r="J1413" s="230" t="s">
        <v>222</v>
      </c>
      <c r="K1413" s="125" t="s">
        <v>222</v>
      </c>
      <c r="L1413" s="238" t="s">
        <v>4</v>
      </c>
      <c r="M1413" s="232" t="s">
        <v>131</v>
      </c>
      <c r="N1413" s="232" t="s">
        <v>129</v>
      </c>
      <c r="O1413" s="232" t="s">
        <v>376</v>
      </c>
      <c r="P1413" s="241" t="s">
        <v>96</v>
      </c>
      <c r="Q1413" s="232" t="s">
        <v>131</v>
      </c>
      <c r="R1413" s="232" t="s">
        <v>131</v>
      </c>
      <c r="S1413" s="232" t="s">
        <v>131</v>
      </c>
      <c r="T1413" s="232"/>
      <c r="U1413" s="232"/>
      <c r="V1413" s="232"/>
      <c r="W1413" s="232"/>
      <c r="X1413" s="232"/>
      <c r="Y1413" s="232"/>
      <c r="Z1413" s="232"/>
      <c r="AA1413" s="232"/>
      <c r="AB1413" s="232"/>
      <c r="AC1413" s="232"/>
      <c r="AD1413" s="233" t="s">
        <v>5</v>
      </c>
    </row>
    <row r="1414" spans="1:30" s="234" customFormat="1" ht="33" customHeight="1" x14ac:dyDescent="0.3">
      <c r="A1414" s="167">
        <v>29</v>
      </c>
      <c r="B1414" s="168">
        <v>133</v>
      </c>
      <c r="C1414" s="226" t="str">
        <f t="shared" si="30"/>
        <v>29.133</v>
      </c>
      <c r="D1414" s="227" t="s">
        <v>1099</v>
      </c>
      <c r="E1414" s="64" t="str">
        <f>IF(ISBLANK(D1414)=TRUE,"",VLOOKUP(D1414,Krav!$C:$F,4,FALSE))</f>
        <v>10.a.2.1.2 - Såfremt brugeren angiver en frist skal brugeren ledes til spørgsmål 10.a.2.1.1</v>
      </c>
      <c r="F1414" s="239" t="s">
        <v>418</v>
      </c>
      <c r="G1414" s="239" t="s">
        <v>419</v>
      </c>
      <c r="H1414" s="229" t="s">
        <v>1415</v>
      </c>
      <c r="I1414" s="230" t="s">
        <v>129</v>
      </c>
      <c r="J1414" s="230" t="s">
        <v>222</v>
      </c>
      <c r="K1414" s="123" t="s">
        <v>222</v>
      </c>
      <c r="L1414" s="238" t="s">
        <v>3</v>
      </c>
      <c r="M1414" s="232" t="s">
        <v>131</v>
      </c>
      <c r="N1414" s="232" t="s">
        <v>129</v>
      </c>
      <c r="O1414" s="232" t="s">
        <v>376</v>
      </c>
      <c r="P1414" s="241" t="s">
        <v>96</v>
      </c>
      <c r="Q1414" s="232" t="s">
        <v>131</v>
      </c>
      <c r="R1414" s="232" t="s">
        <v>131</v>
      </c>
      <c r="S1414" s="232" t="s">
        <v>131</v>
      </c>
      <c r="T1414" s="232"/>
      <c r="U1414" s="232"/>
      <c r="V1414" s="232"/>
      <c r="W1414" s="232"/>
      <c r="X1414" s="232"/>
      <c r="Y1414" s="232"/>
      <c r="Z1414" s="232"/>
      <c r="AA1414" s="232"/>
      <c r="AB1414" s="232"/>
      <c r="AC1414" s="232"/>
      <c r="AD1414" s="233" t="s">
        <v>5</v>
      </c>
    </row>
    <row r="1415" spans="1:30" s="234" customFormat="1" ht="33" customHeight="1" x14ac:dyDescent="0.3">
      <c r="A1415" s="167">
        <v>29</v>
      </c>
      <c r="B1415" s="168">
        <v>134</v>
      </c>
      <c r="C1415" s="226" t="str">
        <f t="shared" si="30"/>
        <v>29.134</v>
      </c>
      <c r="D1415" s="227" t="s">
        <v>1079</v>
      </c>
      <c r="E1415" s="64" t="str">
        <f>IF(ISBLANK(D1415)=TRUE,"",VLOOKUP(D1415,Krav!$C:$F,4,FALSE))</f>
        <v>10.a.2.8 - Såfremt brugeren angiver antal dage skal brugeren ledes til spørgsmål 10.a.2.1</v>
      </c>
      <c r="F1415" s="239" t="s">
        <v>174</v>
      </c>
      <c r="G1415" s="240"/>
      <c r="H1415" s="229" t="s">
        <v>1416</v>
      </c>
      <c r="I1415" s="230" t="s">
        <v>1414</v>
      </c>
      <c r="J1415" s="230" t="s">
        <v>222</v>
      </c>
      <c r="K1415" s="125" t="s">
        <v>222</v>
      </c>
      <c r="L1415" s="238" t="s">
        <v>3</v>
      </c>
      <c r="M1415" s="232" t="s">
        <v>131</v>
      </c>
      <c r="N1415" s="232" t="s">
        <v>129</v>
      </c>
      <c r="O1415" s="241" t="s">
        <v>97</v>
      </c>
      <c r="P1415" s="232" t="s">
        <v>376</v>
      </c>
      <c r="Q1415" s="232" t="s">
        <v>131</v>
      </c>
      <c r="R1415" s="232" t="s">
        <v>131</v>
      </c>
      <c r="S1415" s="232" t="s">
        <v>131</v>
      </c>
      <c r="T1415" s="232"/>
      <c r="U1415" s="232"/>
      <c r="V1415" s="232"/>
      <c r="W1415" s="232"/>
      <c r="X1415" s="232"/>
      <c r="Y1415" s="232"/>
      <c r="Z1415" s="232"/>
      <c r="AA1415" s="232"/>
      <c r="AB1415" s="232"/>
      <c r="AC1415" s="232"/>
      <c r="AD1415" s="233" t="s">
        <v>5</v>
      </c>
    </row>
    <row r="1416" spans="1:30" s="234" customFormat="1" ht="33" customHeight="1" x14ac:dyDescent="0.3">
      <c r="A1416" s="167">
        <v>29</v>
      </c>
      <c r="B1416" s="168">
        <v>135</v>
      </c>
      <c r="C1416" s="226" t="str">
        <f t="shared" si="30"/>
        <v>29.135</v>
      </c>
      <c r="D1416" s="227" t="s">
        <v>1079</v>
      </c>
      <c r="E1416" s="64" t="str">
        <f>IF(ISBLANK(D1416)=TRUE,"",VLOOKUP(D1416,Krav!$C:$F,4,FALSE))</f>
        <v>10.a.2.8 - Såfremt brugeren angiver antal dage skal brugeren ledes til spørgsmål 10.a.2.1</v>
      </c>
      <c r="F1416" s="239" t="s">
        <v>418</v>
      </c>
      <c r="G1416" s="239" t="s">
        <v>419</v>
      </c>
      <c r="H1416" s="229" t="s">
        <v>1417</v>
      </c>
      <c r="I1416" s="230" t="s">
        <v>129</v>
      </c>
      <c r="J1416" s="230" t="s">
        <v>222</v>
      </c>
      <c r="K1416" s="123" t="s">
        <v>222</v>
      </c>
      <c r="L1416" s="238" t="s">
        <v>3</v>
      </c>
      <c r="M1416" s="232" t="s">
        <v>131</v>
      </c>
      <c r="N1416" s="232" t="s">
        <v>129</v>
      </c>
      <c r="O1416" s="241" t="s">
        <v>97</v>
      </c>
      <c r="P1416" s="232" t="s">
        <v>376</v>
      </c>
      <c r="Q1416" s="232" t="s">
        <v>131</v>
      </c>
      <c r="R1416" s="232" t="s">
        <v>131</v>
      </c>
      <c r="S1416" s="232" t="s">
        <v>131</v>
      </c>
      <c r="T1416" s="232"/>
      <c r="U1416" s="232"/>
      <c r="V1416" s="232"/>
      <c r="W1416" s="232"/>
      <c r="X1416" s="232"/>
      <c r="Y1416" s="232"/>
      <c r="Z1416" s="232"/>
      <c r="AA1416" s="232"/>
      <c r="AB1416" s="232"/>
      <c r="AC1416" s="232"/>
      <c r="AD1416" s="233" t="s">
        <v>5</v>
      </c>
    </row>
    <row r="1417" spans="1:30" s="234" customFormat="1" ht="33" customHeight="1" x14ac:dyDescent="0.3">
      <c r="A1417" s="167">
        <v>29</v>
      </c>
      <c r="B1417" s="168">
        <v>136</v>
      </c>
      <c r="C1417" s="226" t="str">
        <f t="shared" si="30"/>
        <v>29.136</v>
      </c>
      <c r="D1417" s="227" t="s">
        <v>1099</v>
      </c>
      <c r="E1417" s="64" t="str">
        <f>IF(ISBLANK(D1417)=TRUE,"",VLOOKUP(D1417,Krav!$C:$F,4,FALSE))</f>
        <v>10.a.2.1.2 - Såfremt brugeren angiver en frist skal brugeren ledes til spørgsmål 10.a.2.1.1</v>
      </c>
      <c r="F1417" s="239" t="s">
        <v>174</v>
      </c>
      <c r="G1417" s="240"/>
      <c r="H1417" s="229" t="s">
        <v>1416</v>
      </c>
      <c r="I1417" s="230" t="s">
        <v>1414</v>
      </c>
      <c r="J1417" s="230" t="s">
        <v>222</v>
      </c>
      <c r="K1417" s="125" t="s">
        <v>222</v>
      </c>
      <c r="L1417" s="238" t="s">
        <v>4</v>
      </c>
      <c r="M1417" s="232" t="s">
        <v>131</v>
      </c>
      <c r="N1417" s="232" t="s">
        <v>129</v>
      </c>
      <c r="O1417" s="232" t="s">
        <v>376</v>
      </c>
      <c r="P1417" s="241" t="s">
        <v>97</v>
      </c>
      <c r="Q1417" s="232" t="s">
        <v>131</v>
      </c>
      <c r="R1417" s="232" t="s">
        <v>131</v>
      </c>
      <c r="S1417" s="232" t="s">
        <v>131</v>
      </c>
      <c r="T1417" s="232"/>
      <c r="U1417" s="232"/>
      <c r="V1417" s="232"/>
      <c r="W1417" s="232"/>
      <c r="X1417" s="232"/>
      <c r="Y1417" s="232"/>
      <c r="Z1417" s="232"/>
      <c r="AA1417" s="232"/>
      <c r="AB1417" s="232"/>
      <c r="AC1417" s="232"/>
      <c r="AD1417" s="233" t="s">
        <v>5</v>
      </c>
    </row>
    <row r="1418" spans="1:30" s="234" customFormat="1" ht="33" customHeight="1" x14ac:dyDescent="0.3">
      <c r="A1418" s="167">
        <v>29</v>
      </c>
      <c r="B1418" s="168">
        <v>137</v>
      </c>
      <c r="C1418" s="226" t="str">
        <f t="shared" si="30"/>
        <v>29.137</v>
      </c>
      <c r="D1418" s="227" t="s">
        <v>1099</v>
      </c>
      <c r="E1418" s="64" t="str">
        <f>IF(ISBLANK(D1418)=TRUE,"",VLOOKUP(D1418,Krav!$C:$F,4,FALSE))</f>
        <v>10.a.2.1.2 - Såfremt brugeren angiver en frist skal brugeren ledes til spørgsmål 10.a.2.1.1</v>
      </c>
      <c r="F1418" s="239" t="s">
        <v>418</v>
      </c>
      <c r="G1418" s="239" t="s">
        <v>419</v>
      </c>
      <c r="H1418" s="229" t="s">
        <v>1417</v>
      </c>
      <c r="I1418" s="230" t="s">
        <v>129</v>
      </c>
      <c r="J1418" s="237" t="s">
        <v>222</v>
      </c>
      <c r="K1418" s="123" t="s">
        <v>222</v>
      </c>
      <c r="L1418" s="231" t="s">
        <v>3</v>
      </c>
      <c r="M1418" s="232" t="s">
        <v>131</v>
      </c>
      <c r="N1418" s="232" t="s">
        <v>129</v>
      </c>
      <c r="O1418" s="232" t="s">
        <v>376</v>
      </c>
      <c r="P1418" s="241" t="s">
        <v>97</v>
      </c>
      <c r="Q1418" s="232" t="s">
        <v>131</v>
      </c>
      <c r="R1418" s="232" t="s">
        <v>131</v>
      </c>
      <c r="S1418" s="232" t="s">
        <v>131</v>
      </c>
      <c r="T1418" s="232"/>
      <c r="U1418" s="232"/>
      <c r="V1418" s="232"/>
      <c r="W1418" s="232"/>
      <c r="X1418" s="232"/>
      <c r="Y1418" s="232"/>
      <c r="Z1418" s="232"/>
      <c r="AA1418" s="232"/>
      <c r="AB1418" s="232"/>
      <c r="AC1418" s="232"/>
      <c r="AD1418" s="233" t="s">
        <v>5</v>
      </c>
    </row>
    <row r="1419" spans="1:30" s="234" customFormat="1" ht="33" customHeight="1" x14ac:dyDescent="0.3">
      <c r="A1419" s="167">
        <v>29</v>
      </c>
      <c r="B1419" s="168">
        <v>138</v>
      </c>
      <c r="C1419" s="226" t="str">
        <f t="shared" si="30"/>
        <v>29.138</v>
      </c>
      <c r="D1419" s="227"/>
      <c r="E1419" s="64" t="str">
        <f>IF(ISBLANK(D1419)=TRUE,"",VLOOKUP(D1419,Krav!$C:$F,4,FALSE))</f>
        <v/>
      </c>
      <c r="F1419" s="239" t="s">
        <v>174</v>
      </c>
      <c r="G1419" s="240"/>
      <c r="H1419" s="229" t="s">
        <v>1418</v>
      </c>
      <c r="I1419" s="230" t="s">
        <v>1414</v>
      </c>
      <c r="J1419" s="230" t="s">
        <v>222</v>
      </c>
      <c r="K1419" s="125" t="s">
        <v>222</v>
      </c>
      <c r="L1419" s="238" t="s">
        <v>4</v>
      </c>
      <c r="M1419" s="232" t="s">
        <v>131</v>
      </c>
      <c r="N1419" s="232" t="s">
        <v>129</v>
      </c>
      <c r="O1419" s="241" t="s">
        <v>404</v>
      </c>
      <c r="P1419" s="232" t="s">
        <v>376</v>
      </c>
      <c r="Q1419" s="232" t="s">
        <v>131</v>
      </c>
      <c r="R1419" s="232" t="s">
        <v>131</v>
      </c>
      <c r="S1419" s="232" t="s">
        <v>131</v>
      </c>
      <c r="T1419" s="232"/>
      <c r="U1419" s="232"/>
      <c r="V1419" s="232"/>
      <c r="W1419" s="232"/>
      <c r="X1419" s="232"/>
      <c r="Y1419" s="232"/>
      <c r="Z1419" s="232"/>
      <c r="AA1419" s="232"/>
      <c r="AB1419" s="232"/>
      <c r="AC1419" s="232"/>
      <c r="AD1419" s="233" t="s">
        <v>5</v>
      </c>
    </row>
    <row r="1420" spans="1:30" s="234" customFormat="1" ht="33" customHeight="1" x14ac:dyDescent="0.3">
      <c r="A1420" s="167">
        <v>29</v>
      </c>
      <c r="B1420" s="168">
        <v>139</v>
      </c>
      <c r="C1420" s="226" t="str">
        <f t="shared" si="30"/>
        <v>29.139</v>
      </c>
      <c r="D1420" s="227"/>
      <c r="E1420" s="64" t="str">
        <f>IF(ISBLANK(D1420)=TRUE,"",VLOOKUP(D1420,Krav!$C:$F,4,FALSE))</f>
        <v/>
      </c>
      <c r="F1420" s="239" t="s">
        <v>418</v>
      </c>
      <c r="G1420" s="239" t="s">
        <v>419</v>
      </c>
      <c r="H1420" s="229" t="s">
        <v>1419</v>
      </c>
      <c r="I1420" s="230" t="s">
        <v>129</v>
      </c>
      <c r="J1420" s="236" t="s">
        <v>222</v>
      </c>
      <c r="K1420" s="125" t="s">
        <v>222</v>
      </c>
      <c r="L1420" s="238" t="s">
        <v>4</v>
      </c>
      <c r="M1420" s="232" t="s">
        <v>131</v>
      </c>
      <c r="N1420" s="232" t="s">
        <v>129</v>
      </c>
      <c r="O1420" s="241" t="s">
        <v>404</v>
      </c>
      <c r="P1420" s="232" t="s">
        <v>376</v>
      </c>
      <c r="Q1420" s="232" t="s">
        <v>131</v>
      </c>
      <c r="R1420" s="232" t="s">
        <v>131</v>
      </c>
      <c r="S1420" s="232" t="s">
        <v>131</v>
      </c>
      <c r="T1420" s="232"/>
      <c r="U1420" s="232"/>
      <c r="V1420" s="232"/>
      <c r="W1420" s="232"/>
      <c r="X1420" s="232"/>
      <c r="Y1420" s="232"/>
      <c r="Z1420" s="232"/>
      <c r="AA1420" s="232"/>
      <c r="AB1420" s="232"/>
      <c r="AC1420" s="232"/>
      <c r="AD1420" s="233" t="s">
        <v>5</v>
      </c>
    </row>
    <row r="1421" spans="1:30" s="234" customFormat="1" ht="33" customHeight="1" x14ac:dyDescent="0.3">
      <c r="A1421" s="167">
        <v>29</v>
      </c>
      <c r="B1421" s="168">
        <v>140</v>
      </c>
      <c r="C1421" s="226" t="str">
        <f t="shared" si="30"/>
        <v>29.140</v>
      </c>
      <c r="D1421" s="227"/>
      <c r="E1421" s="64" t="str">
        <f>IF(ISBLANK(D1421)=TRUE,"",VLOOKUP(D1421,Krav!$C:$F,4,FALSE))</f>
        <v/>
      </c>
      <c r="F1421" s="239" t="s">
        <v>174</v>
      </c>
      <c r="G1421" s="240"/>
      <c r="H1421" s="229" t="s">
        <v>1420</v>
      </c>
      <c r="I1421" s="230" t="s">
        <v>1414</v>
      </c>
      <c r="J1421" s="230" t="s">
        <v>222</v>
      </c>
      <c r="K1421" s="125" t="s">
        <v>222</v>
      </c>
      <c r="L1421" s="238" t="s">
        <v>4</v>
      </c>
      <c r="M1421" s="232" t="s">
        <v>131</v>
      </c>
      <c r="N1421" s="232" t="s">
        <v>129</v>
      </c>
      <c r="O1421" s="232" t="s">
        <v>376</v>
      </c>
      <c r="P1421" s="241" t="s">
        <v>404</v>
      </c>
      <c r="Q1421" s="232" t="s">
        <v>131</v>
      </c>
      <c r="R1421" s="232" t="s">
        <v>131</v>
      </c>
      <c r="S1421" s="232" t="s">
        <v>131</v>
      </c>
      <c r="T1421" s="232"/>
      <c r="U1421" s="232"/>
      <c r="V1421" s="232"/>
      <c r="W1421" s="232"/>
      <c r="X1421" s="232"/>
      <c r="Y1421" s="232"/>
      <c r="Z1421" s="232"/>
      <c r="AA1421" s="232"/>
      <c r="AB1421" s="232"/>
      <c r="AC1421" s="232"/>
      <c r="AD1421" s="233" t="s">
        <v>5</v>
      </c>
    </row>
    <row r="1422" spans="1:30" s="234" customFormat="1" ht="33" customHeight="1" x14ac:dyDescent="0.3">
      <c r="A1422" s="167">
        <v>29</v>
      </c>
      <c r="B1422" s="168">
        <v>141</v>
      </c>
      <c r="C1422" s="226" t="str">
        <f t="shared" si="30"/>
        <v>29.141</v>
      </c>
      <c r="D1422" s="227"/>
      <c r="E1422" s="64" t="str">
        <f>IF(ISBLANK(D1422)=TRUE,"",VLOOKUP(D1422,Krav!$C:$F,4,FALSE))</f>
        <v/>
      </c>
      <c r="F1422" s="239" t="s">
        <v>418</v>
      </c>
      <c r="G1422" s="239" t="s">
        <v>419</v>
      </c>
      <c r="H1422" s="229" t="s">
        <v>1419</v>
      </c>
      <c r="I1422" s="230" t="s">
        <v>129</v>
      </c>
      <c r="J1422" s="242" t="s">
        <v>222</v>
      </c>
      <c r="K1422" s="125" t="s">
        <v>222</v>
      </c>
      <c r="L1422" s="238" t="s">
        <v>4</v>
      </c>
      <c r="M1422" s="232" t="s">
        <v>131</v>
      </c>
      <c r="N1422" s="232" t="s">
        <v>129</v>
      </c>
      <c r="O1422" s="232" t="s">
        <v>376</v>
      </c>
      <c r="P1422" s="241" t="s">
        <v>404</v>
      </c>
      <c r="Q1422" s="232" t="s">
        <v>131</v>
      </c>
      <c r="R1422" s="232" t="s">
        <v>131</v>
      </c>
      <c r="S1422" s="232" t="s">
        <v>131</v>
      </c>
      <c r="T1422" s="232"/>
      <c r="U1422" s="232"/>
      <c r="V1422" s="232"/>
      <c r="W1422" s="232"/>
      <c r="X1422" s="232"/>
      <c r="Y1422" s="232"/>
      <c r="Z1422" s="232"/>
      <c r="AA1422" s="232"/>
      <c r="AB1422" s="232"/>
      <c r="AC1422" s="232"/>
      <c r="AD1422" s="233" t="s">
        <v>5</v>
      </c>
    </row>
    <row r="1423" spans="1:30" s="325" customFormat="1" ht="33" customHeight="1" x14ac:dyDescent="0.3">
      <c r="A1423" s="301">
        <v>29</v>
      </c>
      <c r="B1423" s="302">
        <v>142</v>
      </c>
      <c r="C1423" s="315" t="str">
        <f t="shared" si="30"/>
        <v>29.142</v>
      </c>
      <c r="D1423" s="316" t="s">
        <v>1099</v>
      </c>
      <c r="E1423" s="64" t="str">
        <f>IF(ISBLANK(D1423)=TRUE,"",VLOOKUP(D1423,Krav!$C:$F,4,FALSE))</f>
        <v>10.a.2.1.2 - Såfremt brugeren angiver en frist skal brugeren ledes til spørgsmål 10.a.2.1.1</v>
      </c>
      <c r="F1423" s="318" t="s">
        <v>143</v>
      </c>
      <c r="G1423" s="318"/>
      <c r="H1423" s="319" t="s">
        <v>1444</v>
      </c>
      <c r="I1423" s="320" t="s">
        <v>468</v>
      </c>
      <c r="J1423" s="321" t="s">
        <v>222</v>
      </c>
      <c r="K1423" s="335" t="s">
        <v>222</v>
      </c>
      <c r="L1423" s="322" t="s">
        <v>3</v>
      </c>
      <c r="M1423" s="323" t="s">
        <v>131</v>
      </c>
      <c r="N1423" s="323" t="s">
        <v>129</v>
      </c>
      <c r="O1423" s="323" t="s">
        <v>376</v>
      </c>
      <c r="P1423" s="323" t="s">
        <v>376</v>
      </c>
      <c r="Q1423" s="323" t="s">
        <v>131</v>
      </c>
      <c r="R1423" s="323" t="s">
        <v>131</v>
      </c>
      <c r="S1423" s="323" t="s">
        <v>131</v>
      </c>
      <c r="T1423" s="323"/>
      <c r="U1423" s="323"/>
      <c r="V1423" s="323"/>
      <c r="W1423" s="323"/>
      <c r="X1423" s="323"/>
      <c r="Y1423" s="323"/>
      <c r="Z1423" s="323"/>
      <c r="AA1423" s="323"/>
      <c r="AB1423" s="323"/>
      <c r="AC1423" s="323"/>
      <c r="AD1423" s="324" t="s">
        <v>5</v>
      </c>
    </row>
    <row r="1424" spans="1:30" s="325" customFormat="1" ht="33" customHeight="1" x14ac:dyDescent="0.3">
      <c r="A1424" s="301">
        <v>29</v>
      </c>
      <c r="B1424" s="302">
        <v>143</v>
      </c>
      <c r="C1424" s="315" t="str">
        <f t="shared" si="30"/>
        <v>29.143</v>
      </c>
      <c r="D1424" s="316"/>
      <c r="E1424" s="64" t="str">
        <f>IF(ISBLANK(D1424)=TRUE,"",VLOOKUP(D1424,Krav!$C:$F,4,FALSE))</f>
        <v/>
      </c>
      <c r="F1424" s="318" t="s">
        <v>143</v>
      </c>
      <c r="G1424" s="318"/>
      <c r="H1424" s="319" t="s">
        <v>1410</v>
      </c>
      <c r="I1424" s="320" t="s">
        <v>560</v>
      </c>
      <c r="J1424" s="321" t="s">
        <v>222</v>
      </c>
      <c r="K1424" s="335" t="s">
        <v>222</v>
      </c>
      <c r="L1424" s="322" t="s">
        <v>3</v>
      </c>
      <c r="M1424" s="323" t="s">
        <v>131</v>
      </c>
      <c r="N1424" s="323" t="s">
        <v>129</v>
      </c>
      <c r="O1424" s="323" t="s">
        <v>376</v>
      </c>
      <c r="P1424" s="323" t="s">
        <v>376</v>
      </c>
      <c r="Q1424" s="323" t="s">
        <v>131</v>
      </c>
      <c r="R1424" s="323" t="s">
        <v>131</v>
      </c>
      <c r="S1424" s="323" t="s">
        <v>131</v>
      </c>
      <c r="T1424" s="323"/>
      <c r="U1424" s="323"/>
      <c r="V1424" s="323"/>
      <c r="W1424" s="323"/>
      <c r="X1424" s="323"/>
      <c r="Y1424" s="323"/>
      <c r="Z1424" s="323"/>
      <c r="AA1424" s="323" t="s">
        <v>129</v>
      </c>
      <c r="AB1424" s="323"/>
      <c r="AC1424" s="323"/>
      <c r="AD1424" s="324" t="s">
        <v>5</v>
      </c>
    </row>
    <row r="1425" spans="1:30" s="325" customFormat="1" ht="33" customHeight="1" x14ac:dyDescent="0.3">
      <c r="A1425" s="301">
        <v>29</v>
      </c>
      <c r="B1425" s="302">
        <v>144</v>
      </c>
      <c r="C1425" s="315" t="str">
        <f t="shared" si="30"/>
        <v>29.144</v>
      </c>
      <c r="D1425" s="316"/>
      <c r="E1425" s="64" t="str">
        <f>IF(ISBLANK(D1425)=TRUE,"",VLOOKUP(D1425,Krav!$C:$F,4,FALSE))</f>
        <v/>
      </c>
      <c r="F1425" s="318" t="s">
        <v>143</v>
      </c>
      <c r="G1425" s="318"/>
      <c r="H1425" s="319" t="s">
        <v>1411</v>
      </c>
      <c r="I1425" s="320" t="s">
        <v>565</v>
      </c>
      <c r="J1425" s="321" t="s">
        <v>222</v>
      </c>
      <c r="K1425" s="335" t="s">
        <v>222</v>
      </c>
      <c r="L1425" s="322" t="s">
        <v>3</v>
      </c>
      <c r="M1425" s="323" t="s">
        <v>131</v>
      </c>
      <c r="N1425" s="323" t="s">
        <v>129</v>
      </c>
      <c r="O1425" s="323" t="s">
        <v>376</v>
      </c>
      <c r="P1425" s="323" t="s">
        <v>376</v>
      </c>
      <c r="Q1425" s="323" t="s">
        <v>131</v>
      </c>
      <c r="R1425" s="323" t="s">
        <v>131</v>
      </c>
      <c r="S1425" s="323" t="s">
        <v>131</v>
      </c>
      <c r="T1425" s="323"/>
      <c r="U1425" s="323"/>
      <c r="V1425" s="323"/>
      <c r="W1425" s="323"/>
      <c r="X1425" s="323"/>
      <c r="Y1425" s="323"/>
      <c r="Z1425" s="323"/>
      <c r="AA1425" s="323"/>
      <c r="AB1425" s="323" t="s">
        <v>129</v>
      </c>
      <c r="AC1425" s="323"/>
      <c r="AD1425" s="324" t="s">
        <v>5</v>
      </c>
    </row>
    <row r="1426" spans="1:30" s="325" customFormat="1" ht="33" customHeight="1" x14ac:dyDescent="0.3">
      <c r="A1426" s="301">
        <v>29</v>
      </c>
      <c r="B1426" s="302">
        <v>145</v>
      </c>
      <c r="C1426" s="315" t="str">
        <f t="shared" si="30"/>
        <v>29.145</v>
      </c>
      <c r="D1426" s="316"/>
      <c r="E1426" s="64" t="str">
        <f>IF(ISBLANK(D1426)=TRUE,"",VLOOKUP(D1426,Krav!$C:$F,4,FALSE))</f>
        <v/>
      </c>
      <c r="F1426" s="317" t="s">
        <v>143</v>
      </c>
      <c r="G1426" s="317"/>
      <c r="H1426" s="326" t="s">
        <v>1356</v>
      </c>
      <c r="I1426" s="320" t="s">
        <v>560</v>
      </c>
      <c r="J1426" s="327" t="s">
        <v>222</v>
      </c>
      <c r="K1426" s="335" t="s">
        <v>222</v>
      </c>
      <c r="L1426" s="328" t="s">
        <v>3</v>
      </c>
      <c r="M1426" s="323" t="s">
        <v>129</v>
      </c>
      <c r="N1426" s="323" t="s">
        <v>131</v>
      </c>
      <c r="O1426" s="323" t="s">
        <v>376</v>
      </c>
      <c r="P1426" s="323" t="s">
        <v>376</v>
      </c>
      <c r="Q1426" s="323" t="s">
        <v>131</v>
      </c>
      <c r="R1426" s="323" t="s">
        <v>131</v>
      </c>
      <c r="S1426" s="323" t="s">
        <v>131</v>
      </c>
      <c r="T1426" s="323"/>
      <c r="U1426" s="323"/>
      <c r="V1426" s="323"/>
      <c r="W1426" s="323"/>
      <c r="X1426" s="323"/>
      <c r="Y1426" s="323"/>
      <c r="Z1426" s="323"/>
      <c r="AA1426" s="323" t="s">
        <v>129</v>
      </c>
      <c r="AB1426" s="323" t="s">
        <v>129</v>
      </c>
      <c r="AC1426" s="323"/>
      <c r="AD1426" s="324" t="s">
        <v>5</v>
      </c>
    </row>
    <row r="1427" spans="1:30" s="255" customFormat="1" ht="33" customHeight="1" x14ac:dyDescent="0.3">
      <c r="A1427" s="167">
        <v>29</v>
      </c>
      <c r="B1427" s="168">
        <v>146</v>
      </c>
      <c r="C1427" s="245" t="str">
        <f t="shared" si="30"/>
        <v>29.146</v>
      </c>
      <c r="D1427" s="246" t="s">
        <v>1239</v>
      </c>
      <c r="E1427" s="64" t="str">
        <f>IF(ISBLANK(D1427)=TRUE,"",VLOOKUP(D1427,Krav!$C:$F,4,FALSE))</f>
        <v>10.a.2.1.2.2 - Der angives et "NEJ" i i populationen under ”vil RIM beregne en tidligst mulig forældelsesdato?"</v>
      </c>
      <c r="F1427" s="247" t="s">
        <v>221</v>
      </c>
      <c r="G1427" s="248"/>
      <c r="H1427" s="249" t="s">
        <v>1421</v>
      </c>
      <c r="I1427" s="250" t="s">
        <v>241</v>
      </c>
      <c r="J1427" s="251" t="s">
        <v>222</v>
      </c>
      <c r="K1427" s="125" t="s">
        <v>222</v>
      </c>
      <c r="L1427" s="252" t="s">
        <v>3</v>
      </c>
      <c r="M1427" s="253" t="s">
        <v>131</v>
      </c>
      <c r="N1427" s="253" t="s">
        <v>129</v>
      </c>
      <c r="O1427" s="253" t="s">
        <v>376</v>
      </c>
      <c r="P1427" s="253" t="s">
        <v>96</v>
      </c>
      <c r="Q1427" s="253" t="s">
        <v>131</v>
      </c>
      <c r="R1427" s="253" t="s">
        <v>129</v>
      </c>
      <c r="S1427" s="253" t="s">
        <v>131</v>
      </c>
      <c r="T1427" s="253"/>
      <c r="U1427" s="253"/>
      <c r="V1427" s="253"/>
      <c r="W1427" s="253"/>
      <c r="X1427" s="253"/>
      <c r="Y1427" s="253"/>
      <c r="Z1427" s="253"/>
      <c r="AA1427" s="253"/>
      <c r="AB1427" s="253"/>
      <c r="AC1427" s="253"/>
      <c r="AD1427" s="254" t="s">
        <v>5</v>
      </c>
    </row>
    <row r="1428" spans="1:30" s="255" customFormat="1" ht="33" customHeight="1" x14ac:dyDescent="0.3">
      <c r="A1428" s="167">
        <v>29</v>
      </c>
      <c r="B1428" s="168">
        <v>147</v>
      </c>
      <c r="C1428" s="245" t="str">
        <f t="shared" si="30"/>
        <v>29.147</v>
      </c>
      <c r="D1428" s="246"/>
      <c r="E1428" s="64" t="str">
        <f>IF(ISBLANK(D1428)=TRUE,"",VLOOKUP(D1428,Krav!$C:$F,4,FALSE))</f>
        <v/>
      </c>
      <c r="F1428" s="247" t="s">
        <v>225</v>
      </c>
      <c r="G1428" s="256" t="s">
        <v>231</v>
      </c>
      <c r="H1428" s="256" t="s">
        <v>158</v>
      </c>
      <c r="I1428" s="250" t="s">
        <v>1407</v>
      </c>
      <c r="J1428" s="250" t="s">
        <v>222</v>
      </c>
      <c r="K1428" s="125" t="s">
        <v>222</v>
      </c>
      <c r="L1428" s="257" t="s">
        <v>3</v>
      </c>
      <c r="M1428" s="253" t="s">
        <v>131</v>
      </c>
      <c r="N1428" s="253" t="s">
        <v>129</v>
      </c>
      <c r="O1428" s="253" t="s">
        <v>376</v>
      </c>
      <c r="P1428" s="253" t="s">
        <v>96</v>
      </c>
      <c r="Q1428" s="253" t="s">
        <v>131</v>
      </c>
      <c r="R1428" s="253" t="s">
        <v>129</v>
      </c>
      <c r="S1428" s="253" t="s">
        <v>131</v>
      </c>
      <c r="T1428" s="253"/>
      <c r="U1428" s="253"/>
      <c r="V1428" s="253"/>
      <c r="W1428" s="253"/>
      <c r="X1428" s="253"/>
      <c r="Y1428" s="253"/>
      <c r="Z1428" s="253"/>
      <c r="AA1428" s="253"/>
      <c r="AB1428" s="253"/>
      <c r="AC1428" s="253"/>
      <c r="AD1428" s="254" t="s">
        <v>5</v>
      </c>
    </row>
    <row r="1429" spans="1:30" s="255" customFormat="1" ht="33" customHeight="1" x14ac:dyDescent="0.3">
      <c r="A1429" s="167">
        <v>29</v>
      </c>
      <c r="B1429" s="168">
        <v>148</v>
      </c>
      <c r="C1429" s="245" t="str">
        <f t="shared" si="30"/>
        <v>29.148</v>
      </c>
      <c r="D1429" s="246"/>
      <c r="E1429" s="64" t="str">
        <f>IF(ISBLANK(D1429)=TRUE,"",VLOOKUP(D1429,Krav!$C:$F,4,FALSE))</f>
        <v/>
      </c>
      <c r="F1429" s="247" t="s">
        <v>225</v>
      </c>
      <c r="G1429" s="256" t="s">
        <v>1388</v>
      </c>
      <c r="H1429" s="256" t="s">
        <v>158</v>
      </c>
      <c r="I1429" s="250" t="s">
        <v>376</v>
      </c>
      <c r="J1429" s="250" t="s">
        <v>222</v>
      </c>
      <c r="K1429" s="125" t="s">
        <v>222</v>
      </c>
      <c r="L1429" s="257" t="s">
        <v>3</v>
      </c>
      <c r="M1429" s="253" t="s">
        <v>131</v>
      </c>
      <c r="N1429" s="253" t="s">
        <v>129</v>
      </c>
      <c r="O1429" s="253" t="s">
        <v>376</v>
      </c>
      <c r="P1429" s="253" t="s">
        <v>96</v>
      </c>
      <c r="Q1429" s="253" t="s">
        <v>131</v>
      </c>
      <c r="R1429" s="253" t="s">
        <v>129</v>
      </c>
      <c r="S1429" s="253" t="s">
        <v>131</v>
      </c>
      <c r="T1429" s="253"/>
      <c r="U1429" s="253"/>
      <c r="V1429" s="253"/>
      <c r="W1429" s="253"/>
      <c r="X1429" s="253"/>
      <c r="Y1429" s="253"/>
      <c r="Z1429" s="253"/>
      <c r="AA1429" s="253"/>
      <c r="AB1429" s="253"/>
      <c r="AC1429" s="253"/>
      <c r="AD1429" s="254" t="s">
        <v>5</v>
      </c>
    </row>
    <row r="1430" spans="1:30" s="255" customFormat="1" ht="33" customHeight="1" x14ac:dyDescent="0.3">
      <c r="A1430" s="167">
        <v>29</v>
      </c>
      <c r="B1430" s="168">
        <v>149</v>
      </c>
      <c r="C1430" s="245" t="str">
        <f t="shared" si="30"/>
        <v>29.149</v>
      </c>
      <c r="D1430" s="246"/>
      <c r="E1430" s="64" t="str">
        <f>IF(ISBLANK(D1430)=TRUE,"",VLOOKUP(D1430,Krav!$C:$F,4,FALSE))</f>
        <v/>
      </c>
      <c r="F1430" s="247" t="s">
        <v>225</v>
      </c>
      <c r="G1430" s="256" t="s">
        <v>1391</v>
      </c>
      <c r="H1430" s="256" t="s">
        <v>158</v>
      </c>
      <c r="I1430" s="250" t="s">
        <v>376</v>
      </c>
      <c r="J1430" s="250" t="s">
        <v>222</v>
      </c>
      <c r="K1430" s="125" t="s">
        <v>222</v>
      </c>
      <c r="L1430" s="257" t="s">
        <v>3</v>
      </c>
      <c r="M1430" s="253" t="s">
        <v>131</v>
      </c>
      <c r="N1430" s="253" t="s">
        <v>129</v>
      </c>
      <c r="O1430" s="253" t="s">
        <v>376</v>
      </c>
      <c r="P1430" s="253" t="s">
        <v>96</v>
      </c>
      <c r="Q1430" s="253" t="s">
        <v>131</v>
      </c>
      <c r="R1430" s="253" t="s">
        <v>129</v>
      </c>
      <c r="S1430" s="253" t="s">
        <v>131</v>
      </c>
      <c r="T1430" s="253"/>
      <c r="U1430" s="253"/>
      <c r="V1430" s="253"/>
      <c r="W1430" s="253"/>
      <c r="X1430" s="253"/>
      <c r="Y1430" s="253"/>
      <c r="Z1430" s="253"/>
      <c r="AA1430" s="253"/>
      <c r="AB1430" s="253"/>
      <c r="AC1430" s="253"/>
      <c r="AD1430" s="254" t="s">
        <v>5</v>
      </c>
    </row>
    <row r="1431" spans="1:30" s="255" customFormat="1" ht="33" customHeight="1" x14ac:dyDescent="0.3">
      <c r="A1431" s="167">
        <v>29</v>
      </c>
      <c r="B1431" s="168">
        <v>150</v>
      </c>
      <c r="C1431" s="245" t="str">
        <f t="shared" si="30"/>
        <v>29.150</v>
      </c>
      <c r="D1431" s="246" t="s">
        <v>1240</v>
      </c>
      <c r="E1431" s="64" t="str">
        <f>IF(ISBLANK(D1431)=TRUE,"",VLOOKUP(D1431,Krav!$C:$F,4,FALSE))</f>
        <v>10.a.2.1.2.3 - Gruppe 1 deaktiveres</v>
      </c>
      <c r="F1431" s="247" t="s">
        <v>227</v>
      </c>
      <c r="G1431" s="248"/>
      <c r="H1431" s="249" t="s">
        <v>1423</v>
      </c>
      <c r="I1431" s="250" t="s">
        <v>241</v>
      </c>
      <c r="J1431" s="251" t="s">
        <v>222</v>
      </c>
      <c r="K1431" s="125" t="s">
        <v>222</v>
      </c>
      <c r="L1431" s="252" t="s">
        <v>3</v>
      </c>
      <c r="M1431" s="253" t="s">
        <v>131</v>
      </c>
      <c r="N1431" s="253" t="s">
        <v>129</v>
      </c>
      <c r="O1431" s="253" t="s">
        <v>376</v>
      </c>
      <c r="P1431" s="253" t="s">
        <v>96</v>
      </c>
      <c r="Q1431" s="253" t="s">
        <v>131</v>
      </c>
      <c r="R1431" s="253" t="s">
        <v>129</v>
      </c>
      <c r="S1431" s="253" t="s">
        <v>131</v>
      </c>
      <c r="T1431" s="253"/>
      <c r="U1431" s="253"/>
      <c r="V1431" s="253"/>
      <c r="W1431" s="253"/>
      <c r="X1431" s="253"/>
      <c r="Y1431" s="253"/>
      <c r="Z1431" s="253"/>
      <c r="AA1431" s="253"/>
      <c r="AB1431" s="253"/>
      <c r="AC1431" s="253"/>
      <c r="AD1431" s="254" t="s">
        <v>5</v>
      </c>
    </row>
    <row r="1432" spans="1:30" s="255" customFormat="1" ht="33" customHeight="1" x14ac:dyDescent="0.3">
      <c r="A1432" s="167">
        <v>29</v>
      </c>
      <c r="B1432" s="168">
        <v>151</v>
      </c>
      <c r="C1432" s="245" t="str">
        <f t="shared" si="30"/>
        <v>29.151</v>
      </c>
      <c r="D1432" s="246" t="s">
        <v>1038</v>
      </c>
      <c r="E1432" s="64" t="str">
        <f>IF(ISBLANK(D1432)=TRUE,"",VLOOKUP(D1432,Krav!$C:$F,4,FALSE))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432" s="258" t="s">
        <v>174</v>
      </c>
      <c r="G1432" s="248"/>
      <c r="H1432" s="256" t="s">
        <v>1424</v>
      </c>
      <c r="I1432" s="250" t="s">
        <v>1425</v>
      </c>
      <c r="J1432" s="251" t="s">
        <v>222</v>
      </c>
      <c r="K1432" s="125" t="s">
        <v>222</v>
      </c>
      <c r="L1432" s="252" t="s">
        <v>3</v>
      </c>
      <c r="M1432" s="253" t="s">
        <v>131</v>
      </c>
      <c r="N1432" s="253" t="s">
        <v>129</v>
      </c>
      <c r="O1432" s="253" t="s">
        <v>376</v>
      </c>
      <c r="P1432" s="253" t="s">
        <v>96</v>
      </c>
      <c r="Q1432" s="253" t="s">
        <v>131</v>
      </c>
      <c r="R1432" s="253" t="s">
        <v>129</v>
      </c>
      <c r="S1432" s="253" t="s">
        <v>131</v>
      </c>
      <c r="T1432" s="253"/>
      <c r="U1432" s="253"/>
      <c r="V1432" s="253" t="s">
        <v>294</v>
      </c>
      <c r="W1432" s="253"/>
      <c r="X1432" s="253"/>
      <c r="Y1432" s="253"/>
      <c r="Z1432" s="253"/>
      <c r="AA1432" s="253"/>
      <c r="AB1432" s="253"/>
      <c r="AC1432" s="253"/>
      <c r="AD1432" s="254" t="s">
        <v>5</v>
      </c>
    </row>
    <row r="1433" spans="1:30" s="255" customFormat="1" ht="33" customHeight="1" x14ac:dyDescent="0.3">
      <c r="A1433" s="167">
        <v>29</v>
      </c>
      <c r="B1433" s="168">
        <v>152</v>
      </c>
      <c r="C1433" s="245" t="str">
        <f t="shared" si="30"/>
        <v>29.152</v>
      </c>
      <c r="D1433" s="246" t="s">
        <v>1241</v>
      </c>
      <c r="E1433" s="64" t="str">
        <f>IF(ISBLANK(D1433)=TRUE,"",VLOOKUP(D1433,Krav!$C:$F,4,FALSE))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433" s="258" t="s">
        <v>174</v>
      </c>
      <c r="G1433" s="247"/>
      <c r="H1433" s="256" t="s">
        <v>1445</v>
      </c>
      <c r="I1433" s="250" t="s">
        <v>1425</v>
      </c>
      <c r="J1433" s="251" t="s">
        <v>222</v>
      </c>
      <c r="K1433" s="125" t="s">
        <v>222</v>
      </c>
      <c r="L1433" s="252" t="s">
        <v>3</v>
      </c>
      <c r="M1433" s="253" t="s">
        <v>131</v>
      </c>
      <c r="N1433" s="253" t="s">
        <v>129</v>
      </c>
      <c r="O1433" s="253" t="s">
        <v>376</v>
      </c>
      <c r="P1433" s="253" t="s">
        <v>96</v>
      </c>
      <c r="Q1433" s="253" t="s">
        <v>131</v>
      </c>
      <c r="R1433" s="253" t="s">
        <v>129</v>
      </c>
      <c r="S1433" s="253" t="s">
        <v>131</v>
      </c>
      <c r="T1433" s="253"/>
      <c r="U1433" s="253"/>
      <c r="V1433" s="254" t="s">
        <v>295</v>
      </c>
      <c r="W1433" s="253" t="s">
        <v>26</v>
      </c>
      <c r="X1433" s="253"/>
      <c r="Y1433" s="253"/>
      <c r="Z1433" s="253"/>
      <c r="AA1433" s="253"/>
      <c r="AB1433" s="253"/>
      <c r="AC1433" s="253"/>
      <c r="AD1433" s="254" t="s">
        <v>5</v>
      </c>
    </row>
    <row r="1434" spans="1:30" s="255" customFormat="1" ht="33" customHeight="1" x14ac:dyDescent="0.3">
      <c r="A1434" s="167">
        <v>29</v>
      </c>
      <c r="B1434" s="168">
        <v>153</v>
      </c>
      <c r="C1434" s="245" t="str">
        <f t="shared" si="30"/>
        <v>29.153</v>
      </c>
      <c r="D1434" s="246" t="s">
        <v>1241</v>
      </c>
      <c r="E1434" s="64" t="str">
        <f>IF(ISBLANK(D1434)=TRUE,"",VLOOKUP(D1434,Krav!$C:$F,4,FALSE))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434" s="258" t="s">
        <v>174</v>
      </c>
      <c r="G1434" s="248"/>
      <c r="H1434" s="256" t="s">
        <v>1445</v>
      </c>
      <c r="I1434" s="251" t="s">
        <v>1425</v>
      </c>
      <c r="J1434" s="251" t="s">
        <v>222</v>
      </c>
      <c r="K1434" s="125" t="s">
        <v>222</v>
      </c>
      <c r="L1434" s="252" t="s">
        <v>3</v>
      </c>
      <c r="M1434" s="253" t="s">
        <v>131</v>
      </c>
      <c r="N1434" s="253" t="s">
        <v>129</v>
      </c>
      <c r="O1434" s="253" t="s">
        <v>376</v>
      </c>
      <c r="P1434" s="253" t="s">
        <v>96</v>
      </c>
      <c r="Q1434" s="253" t="s">
        <v>131</v>
      </c>
      <c r="R1434" s="253" t="s">
        <v>129</v>
      </c>
      <c r="S1434" s="253" t="s">
        <v>131</v>
      </c>
      <c r="T1434" s="253"/>
      <c r="U1434" s="253"/>
      <c r="V1434" s="254" t="s">
        <v>295</v>
      </c>
      <c r="W1434" s="253" t="s">
        <v>166</v>
      </c>
      <c r="X1434" s="253" t="s">
        <v>26</v>
      </c>
      <c r="Y1434" s="253"/>
      <c r="Z1434" s="253"/>
      <c r="AA1434" s="253"/>
      <c r="AB1434" s="253"/>
      <c r="AC1434" s="253"/>
      <c r="AD1434" s="254" t="s">
        <v>5</v>
      </c>
    </row>
    <row r="1435" spans="1:30" s="255" customFormat="1" ht="33" customHeight="1" x14ac:dyDescent="0.3">
      <c r="A1435" s="167">
        <v>29</v>
      </c>
      <c r="B1435" s="168">
        <v>154</v>
      </c>
      <c r="C1435" s="245" t="str">
        <f t="shared" si="30"/>
        <v>29.154</v>
      </c>
      <c r="D1435" s="246" t="s">
        <v>1241</v>
      </c>
      <c r="E1435" s="64" t="str">
        <f>IF(ISBLANK(D1435)=TRUE,"",VLOOKUP(D1435,Krav!$C:$F,4,FALSE))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435" s="258" t="s">
        <v>174</v>
      </c>
      <c r="G1435" s="247"/>
      <c r="H1435" s="256" t="s">
        <v>1445</v>
      </c>
      <c r="I1435" s="250" t="s">
        <v>1425</v>
      </c>
      <c r="J1435" s="251" t="s">
        <v>222</v>
      </c>
      <c r="K1435" s="125" t="s">
        <v>222</v>
      </c>
      <c r="L1435" s="252" t="s">
        <v>3</v>
      </c>
      <c r="M1435" s="253" t="s">
        <v>131</v>
      </c>
      <c r="N1435" s="253" t="s">
        <v>129</v>
      </c>
      <c r="O1435" s="253" t="s">
        <v>376</v>
      </c>
      <c r="P1435" s="253" t="s">
        <v>96</v>
      </c>
      <c r="Q1435" s="253" t="s">
        <v>131</v>
      </c>
      <c r="R1435" s="253" t="s">
        <v>129</v>
      </c>
      <c r="S1435" s="253" t="s">
        <v>131</v>
      </c>
      <c r="T1435" s="253"/>
      <c r="U1435" s="253"/>
      <c r="V1435" s="254" t="s">
        <v>295</v>
      </c>
      <c r="W1435" s="253" t="s">
        <v>166</v>
      </c>
      <c r="X1435" s="253" t="s">
        <v>166</v>
      </c>
      <c r="Y1435" s="253" t="s">
        <v>580</v>
      </c>
      <c r="Z1435" s="253"/>
      <c r="AA1435" s="253"/>
      <c r="AB1435" s="253"/>
      <c r="AC1435" s="253"/>
      <c r="AD1435" s="254" t="s">
        <v>5</v>
      </c>
    </row>
    <row r="1436" spans="1:30" s="255" customFormat="1" ht="33" customHeight="1" x14ac:dyDescent="0.3">
      <c r="A1436" s="167">
        <v>29</v>
      </c>
      <c r="B1436" s="168">
        <v>155</v>
      </c>
      <c r="C1436" s="245" t="str">
        <f t="shared" si="30"/>
        <v>29.155</v>
      </c>
      <c r="D1436" s="246" t="s">
        <v>1243</v>
      </c>
      <c r="E1436" s="64" t="str">
        <f>IF(ISBLANK(D1436)=TRUE,"",VLOOKUP(D1436,Krav!$C:$F,4,FALSE))</f>
        <v xml:space="preserve">10.a.2.1.2.5 - Hvis fordringshaver har svaret ”aldrig” i spm. 9, kan der ikke opsættes en FLEX-filter konfiguration for populationen. </v>
      </c>
      <c r="F1436" s="258" t="s">
        <v>174</v>
      </c>
      <c r="G1436" s="248"/>
      <c r="H1436" s="256"/>
      <c r="I1436" s="250" t="s">
        <v>1414</v>
      </c>
      <c r="J1436" s="251" t="s">
        <v>222</v>
      </c>
      <c r="K1436" s="125" t="s">
        <v>222</v>
      </c>
      <c r="L1436" s="252" t="s">
        <v>4</v>
      </c>
      <c r="M1436" s="253" t="s">
        <v>131</v>
      </c>
      <c r="N1436" s="253" t="s">
        <v>129</v>
      </c>
      <c r="O1436" s="253" t="s">
        <v>376</v>
      </c>
      <c r="P1436" s="253" t="s">
        <v>96</v>
      </c>
      <c r="Q1436" s="253" t="s">
        <v>131</v>
      </c>
      <c r="R1436" s="253" t="s">
        <v>129</v>
      </c>
      <c r="S1436" s="253" t="s">
        <v>131</v>
      </c>
      <c r="T1436" s="253"/>
      <c r="U1436" s="253"/>
      <c r="V1436" s="254" t="s">
        <v>295</v>
      </c>
      <c r="W1436" s="253" t="s">
        <v>166</v>
      </c>
      <c r="X1436" s="253" t="s">
        <v>166</v>
      </c>
      <c r="Y1436" s="253" t="s">
        <v>369</v>
      </c>
      <c r="Z1436" s="253"/>
      <c r="AA1436" s="253"/>
      <c r="AB1436" s="253"/>
      <c r="AC1436" s="253"/>
      <c r="AD1436" s="254" t="s">
        <v>5</v>
      </c>
    </row>
    <row r="1437" spans="1:30" s="255" customFormat="1" ht="33" customHeight="1" x14ac:dyDescent="0.3">
      <c r="A1437" s="167">
        <v>29</v>
      </c>
      <c r="B1437" s="168">
        <v>156</v>
      </c>
      <c r="C1437" s="245" t="str">
        <f t="shared" si="30"/>
        <v>29.156</v>
      </c>
      <c r="D1437" s="246" t="s">
        <v>1243</v>
      </c>
      <c r="E1437" s="64" t="str">
        <f>IF(ISBLANK(D1437)=TRUE,"",VLOOKUP(D1437,Krav!$C:$F,4,FALSE))</f>
        <v xml:space="preserve">10.a.2.1.2.5 - Hvis fordringshaver har svaret ”aldrig” i spm. 9, kan der ikke opsættes en FLEX-filter konfiguration for populationen. </v>
      </c>
      <c r="F1437" s="258" t="s">
        <v>174</v>
      </c>
      <c r="G1437" s="248"/>
      <c r="H1437" s="256" t="s">
        <v>1426</v>
      </c>
      <c r="I1437" s="250" t="s">
        <v>1414</v>
      </c>
      <c r="J1437" s="250" t="s">
        <v>222</v>
      </c>
      <c r="K1437" s="125" t="s">
        <v>222</v>
      </c>
      <c r="L1437" s="252" t="s">
        <v>4</v>
      </c>
      <c r="M1437" s="253" t="s">
        <v>131</v>
      </c>
      <c r="N1437" s="253" t="s">
        <v>129</v>
      </c>
      <c r="O1437" s="253" t="s">
        <v>376</v>
      </c>
      <c r="P1437" s="253" t="s">
        <v>96</v>
      </c>
      <c r="Q1437" s="253" t="s">
        <v>131</v>
      </c>
      <c r="R1437" s="253" t="s">
        <v>129</v>
      </c>
      <c r="S1437" s="253" t="s">
        <v>131</v>
      </c>
      <c r="T1437" s="253"/>
      <c r="U1437" s="253"/>
      <c r="V1437" s="253" t="s">
        <v>303</v>
      </c>
      <c r="W1437" s="253"/>
      <c r="X1437" s="253"/>
      <c r="Y1437" s="253"/>
      <c r="Z1437" s="253"/>
      <c r="AA1437" s="253"/>
      <c r="AB1437" s="253"/>
      <c r="AC1437" s="253"/>
      <c r="AD1437" s="254" t="s">
        <v>5</v>
      </c>
    </row>
    <row r="1438" spans="1:30" s="255" customFormat="1" ht="33" customHeight="1" x14ac:dyDescent="0.3">
      <c r="A1438" s="167">
        <v>29</v>
      </c>
      <c r="B1438" s="168">
        <v>157</v>
      </c>
      <c r="C1438" s="245" t="str">
        <f t="shared" si="30"/>
        <v>29.157</v>
      </c>
      <c r="D1438" s="246" t="s">
        <v>1238</v>
      </c>
      <c r="E1438" s="64" t="str">
        <f>IF(ISBLANK(D1438)=TRUE,"",VLOOKUP(D1438,Krav!$C:$F,4,FALSE))</f>
        <v>10.a.2.1.2.1 - Hvis der er svaret "I visse tilfælde" i spørgsmål 9 og hvis der er svaret "Ja" i enten 9.b.1, 9.b.2.1 eller 9.b.2.2.1 skal brugeren ledes til spørgsmål 11</v>
      </c>
      <c r="F1438" s="247" t="s">
        <v>143</v>
      </c>
      <c r="G1438" s="247" t="s">
        <v>1427</v>
      </c>
      <c r="H1438" s="256" t="s">
        <v>1433</v>
      </c>
      <c r="I1438" s="250" t="s">
        <v>468</v>
      </c>
      <c r="J1438" s="250" t="s">
        <v>222</v>
      </c>
      <c r="K1438" s="125" t="s">
        <v>222</v>
      </c>
      <c r="L1438" s="252" t="s">
        <v>3</v>
      </c>
      <c r="M1438" s="253" t="s">
        <v>131</v>
      </c>
      <c r="N1438" s="253" t="s">
        <v>129</v>
      </c>
      <c r="O1438" s="253" t="s">
        <v>376</v>
      </c>
      <c r="P1438" s="253" t="s">
        <v>96</v>
      </c>
      <c r="Q1438" s="253" t="s">
        <v>131</v>
      </c>
      <c r="R1438" s="253" t="s">
        <v>129</v>
      </c>
      <c r="S1438" s="253" t="s">
        <v>131</v>
      </c>
      <c r="T1438" s="253"/>
      <c r="U1438" s="253"/>
      <c r="V1438" s="254" t="s">
        <v>295</v>
      </c>
      <c r="W1438" s="253" t="s">
        <v>26</v>
      </c>
      <c r="X1438" s="253"/>
      <c r="Y1438" s="253"/>
      <c r="Z1438" s="253"/>
      <c r="AA1438" s="253"/>
      <c r="AB1438" s="253"/>
      <c r="AC1438" s="253"/>
      <c r="AD1438" s="254" t="s">
        <v>5</v>
      </c>
    </row>
    <row r="1439" spans="1:30" s="255" customFormat="1" ht="33" customHeight="1" x14ac:dyDescent="0.3">
      <c r="A1439" s="167">
        <v>29</v>
      </c>
      <c r="B1439" s="168">
        <v>158</v>
      </c>
      <c r="C1439" s="245" t="str">
        <f t="shared" si="30"/>
        <v>29.158</v>
      </c>
      <c r="D1439" s="246" t="s">
        <v>1238</v>
      </c>
      <c r="E1439" s="64" t="str">
        <f>IF(ISBLANK(D1439)=TRUE,"",VLOOKUP(D1439,Krav!$C:$F,4,FALSE))</f>
        <v>10.a.2.1.2.1 - Hvis der er svaret "I visse tilfælde" i spørgsmål 9 og hvis der er svaret "Ja" i enten 9.b.1, 9.b.2.1 eller 9.b.2.2.1 skal brugeren ledes til spørgsmål 11</v>
      </c>
      <c r="F1439" s="247" t="s">
        <v>143</v>
      </c>
      <c r="G1439" s="247" t="s">
        <v>1427</v>
      </c>
      <c r="H1439" s="256" t="s">
        <v>1433</v>
      </c>
      <c r="I1439" s="250" t="s">
        <v>468</v>
      </c>
      <c r="J1439" s="250" t="s">
        <v>222</v>
      </c>
      <c r="K1439" s="125" t="s">
        <v>222</v>
      </c>
      <c r="L1439" s="252" t="s">
        <v>3</v>
      </c>
      <c r="M1439" s="253" t="s">
        <v>131</v>
      </c>
      <c r="N1439" s="253" t="s">
        <v>129</v>
      </c>
      <c r="O1439" s="253" t="s">
        <v>376</v>
      </c>
      <c r="P1439" s="253" t="s">
        <v>96</v>
      </c>
      <c r="Q1439" s="253" t="s">
        <v>131</v>
      </c>
      <c r="R1439" s="253" t="s">
        <v>129</v>
      </c>
      <c r="S1439" s="253" t="s">
        <v>131</v>
      </c>
      <c r="T1439" s="253"/>
      <c r="U1439" s="253"/>
      <c r="V1439" s="254" t="s">
        <v>295</v>
      </c>
      <c r="W1439" s="253" t="s">
        <v>166</v>
      </c>
      <c r="X1439" s="253" t="s">
        <v>26</v>
      </c>
      <c r="Y1439" s="253"/>
      <c r="Z1439" s="253"/>
      <c r="AA1439" s="253"/>
      <c r="AB1439" s="253"/>
      <c r="AC1439" s="253"/>
      <c r="AD1439" s="254" t="s">
        <v>5</v>
      </c>
    </row>
    <row r="1440" spans="1:30" s="255" customFormat="1" ht="33" customHeight="1" x14ac:dyDescent="0.3">
      <c r="A1440" s="167">
        <v>29</v>
      </c>
      <c r="B1440" s="168">
        <v>159</v>
      </c>
      <c r="C1440" s="245" t="str">
        <f t="shared" si="30"/>
        <v>29.159</v>
      </c>
      <c r="D1440" s="246" t="s">
        <v>1238</v>
      </c>
      <c r="E1440" s="64" t="str">
        <f>IF(ISBLANK(D1440)=TRUE,"",VLOOKUP(D1440,Krav!$C:$F,4,FALSE))</f>
        <v>10.a.2.1.2.1 - Hvis der er svaret "I visse tilfælde" i spørgsmål 9 og hvis der er svaret "Ja" i enten 9.b.1, 9.b.2.1 eller 9.b.2.2.1 skal brugeren ledes til spørgsmål 11</v>
      </c>
      <c r="F1440" s="247" t="s">
        <v>143</v>
      </c>
      <c r="G1440" s="247" t="s">
        <v>1427</v>
      </c>
      <c r="H1440" s="256" t="s">
        <v>1433</v>
      </c>
      <c r="I1440" s="250" t="s">
        <v>468</v>
      </c>
      <c r="J1440" s="250" t="s">
        <v>222</v>
      </c>
      <c r="K1440" s="125" t="s">
        <v>222</v>
      </c>
      <c r="L1440" s="257" t="s">
        <v>3</v>
      </c>
      <c r="M1440" s="253" t="s">
        <v>131</v>
      </c>
      <c r="N1440" s="253" t="s">
        <v>129</v>
      </c>
      <c r="O1440" s="253" t="s">
        <v>376</v>
      </c>
      <c r="P1440" s="253" t="s">
        <v>96</v>
      </c>
      <c r="Q1440" s="253" t="s">
        <v>131</v>
      </c>
      <c r="R1440" s="253" t="s">
        <v>129</v>
      </c>
      <c r="S1440" s="253" t="s">
        <v>131</v>
      </c>
      <c r="T1440" s="253"/>
      <c r="U1440" s="253"/>
      <c r="V1440" s="254" t="s">
        <v>295</v>
      </c>
      <c r="W1440" s="253" t="s">
        <v>166</v>
      </c>
      <c r="X1440" s="253" t="s">
        <v>166</v>
      </c>
      <c r="Y1440" s="253" t="s">
        <v>580</v>
      </c>
      <c r="Z1440" s="253"/>
      <c r="AA1440" s="253"/>
      <c r="AB1440" s="253"/>
      <c r="AC1440" s="253"/>
      <c r="AD1440" s="254" t="s">
        <v>5</v>
      </c>
    </row>
    <row r="1441" spans="1:30" s="255" customFormat="1" ht="33" customHeight="1" x14ac:dyDescent="0.3">
      <c r="A1441" s="167">
        <v>29</v>
      </c>
      <c r="B1441" s="168">
        <v>160</v>
      </c>
      <c r="C1441" s="245" t="str">
        <f t="shared" si="30"/>
        <v>29.160</v>
      </c>
      <c r="D1441" s="246"/>
      <c r="E1441" s="64" t="str">
        <f>IF(ISBLANK(D1441)=TRUE,"",VLOOKUP(D1441,Krav!$C:$F,4,FALSE))</f>
        <v/>
      </c>
      <c r="F1441" s="247" t="s">
        <v>143</v>
      </c>
      <c r="G1441" s="247" t="s">
        <v>1427</v>
      </c>
      <c r="H1441" s="256" t="s">
        <v>1446</v>
      </c>
      <c r="I1441" s="250" t="s">
        <v>468</v>
      </c>
      <c r="J1441" s="250" t="s">
        <v>222</v>
      </c>
      <c r="K1441" s="125" t="s">
        <v>222</v>
      </c>
      <c r="L1441" s="257" t="s">
        <v>3</v>
      </c>
      <c r="M1441" s="253" t="s">
        <v>131</v>
      </c>
      <c r="N1441" s="253" t="s">
        <v>129</v>
      </c>
      <c r="O1441" s="253" t="s">
        <v>376</v>
      </c>
      <c r="P1441" s="253" t="s">
        <v>96</v>
      </c>
      <c r="Q1441" s="253" t="s">
        <v>131</v>
      </c>
      <c r="R1441" s="253" t="s">
        <v>129</v>
      </c>
      <c r="S1441" s="253" t="s">
        <v>131</v>
      </c>
      <c r="T1441" s="253"/>
      <c r="U1441" s="253"/>
      <c r="V1441" s="253" t="s">
        <v>294</v>
      </c>
      <c r="W1441" s="253"/>
      <c r="X1441" s="253"/>
      <c r="Y1441" s="253"/>
      <c r="Z1441" s="253"/>
      <c r="AA1441" s="253"/>
      <c r="AB1441" s="253"/>
      <c r="AC1441" s="253"/>
      <c r="AD1441" s="254" t="s">
        <v>5</v>
      </c>
    </row>
    <row r="1442" spans="1:30" s="255" customFormat="1" ht="33" customHeight="1" x14ac:dyDescent="0.3">
      <c r="A1442" s="167">
        <v>29</v>
      </c>
      <c r="B1442" s="168">
        <v>161</v>
      </c>
      <c r="C1442" s="245" t="str">
        <f t="shared" si="30"/>
        <v>29.161</v>
      </c>
      <c r="D1442" s="246" t="s">
        <v>1238</v>
      </c>
      <c r="E1442" s="64" t="str">
        <f>IF(ISBLANK(D1442)=TRUE,"",VLOOKUP(D1442,Krav!$C:$F,4,FALSE))</f>
        <v>10.a.2.1.2.1 - Hvis der er svaret "I visse tilfælde" i spørgsmål 9 og hvis der er svaret "Ja" i enten 9.b.1, 9.b.2.1 eller 9.b.2.2.1 skal brugeren ledes til spørgsmål 11</v>
      </c>
      <c r="F1442" s="247" t="s">
        <v>143</v>
      </c>
      <c r="G1442" s="247" t="s">
        <v>1427</v>
      </c>
      <c r="H1442" s="256" t="s">
        <v>1433</v>
      </c>
      <c r="I1442" s="250" t="s">
        <v>560</v>
      </c>
      <c r="J1442" s="250" t="s">
        <v>222</v>
      </c>
      <c r="K1442" s="125" t="s">
        <v>222</v>
      </c>
      <c r="L1442" s="252" t="s">
        <v>3</v>
      </c>
      <c r="M1442" s="253" t="s">
        <v>131</v>
      </c>
      <c r="N1442" s="253" t="s">
        <v>129</v>
      </c>
      <c r="O1442" s="253" t="s">
        <v>376</v>
      </c>
      <c r="P1442" s="253" t="s">
        <v>96</v>
      </c>
      <c r="Q1442" s="253" t="s">
        <v>131</v>
      </c>
      <c r="R1442" s="253" t="s">
        <v>129</v>
      </c>
      <c r="S1442" s="253" t="s">
        <v>131</v>
      </c>
      <c r="T1442" s="253"/>
      <c r="U1442" s="253"/>
      <c r="V1442" s="254" t="s">
        <v>295</v>
      </c>
      <c r="W1442" s="253" t="s">
        <v>26</v>
      </c>
      <c r="X1442" s="253"/>
      <c r="Y1442" s="253"/>
      <c r="Z1442" s="253"/>
      <c r="AA1442" s="253" t="s">
        <v>129</v>
      </c>
      <c r="AB1442" s="253"/>
      <c r="AC1442" s="253"/>
      <c r="AD1442" s="254" t="s">
        <v>5</v>
      </c>
    </row>
    <row r="1443" spans="1:30" s="255" customFormat="1" ht="33" customHeight="1" x14ac:dyDescent="0.3">
      <c r="A1443" s="167">
        <v>29</v>
      </c>
      <c r="B1443" s="168">
        <v>162</v>
      </c>
      <c r="C1443" s="245" t="str">
        <f t="shared" si="30"/>
        <v>29.162</v>
      </c>
      <c r="D1443" s="246" t="s">
        <v>1238</v>
      </c>
      <c r="E1443" s="64" t="str">
        <f>IF(ISBLANK(D1443)=TRUE,"",VLOOKUP(D1443,Krav!$C:$F,4,FALSE))</f>
        <v>10.a.2.1.2.1 - Hvis der er svaret "I visse tilfælde" i spørgsmål 9 og hvis der er svaret "Ja" i enten 9.b.1, 9.b.2.1 eller 9.b.2.2.1 skal brugeren ledes til spørgsmål 11</v>
      </c>
      <c r="F1443" s="247" t="s">
        <v>143</v>
      </c>
      <c r="G1443" s="247" t="s">
        <v>1427</v>
      </c>
      <c r="H1443" s="256" t="s">
        <v>1433</v>
      </c>
      <c r="I1443" s="250" t="s">
        <v>560</v>
      </c>
      <c r="J1443" s="250" t="s">
        <v>222</v>
      </c>
      <c r="K1443" s="125" t="s">
        <v>222</v>
      </c>
      <c r="L1443" s="252" t="s">
        <v>3</v>
      </c>
      <c r="M1443" s="253" t="s">
        <v>131</v>
      </c>
      <c r="N1443" s="253" t="s">
        <v>129</v>
      </c>
      <c r="O1443" s="253" t="s">
        <v>376</v>
      </c>
      <c r="P1443" s="253" t="s">
        <v>96</v>
      </c>
      <c r="Q1443" s="253" t="s">
        <v>131</v>
      </c>
      <c r="R1443" s="253" t="s">
        <v>129</v>
      </c>
      <c r="S1443" s="253" t="s">
        <v>131</v>
      </c>
      <c r="T1443" s="253"/>
      <c r="U1443" s="253"/>
      <c r="V1443" s="254" t="s">
        <v>295</v>
      </c>
      <c r="W1443" s="253" t="s">
        <v>166</v>
      </c>
      <c r="X1443" s="253" t="s">
        <v>26</v>
      </c>
      <c r="Y1443" s="253"/>
      <c r="Z1443" s="253"/>
      <c r="AA1443" s="253" t="s">
        <v>129</v>
      </c>
      <c r="AB1443" s="253"/>
      <c r="AC1443" s="253"/>
      <c r="AD1443" s="254" t="s">
        <v>5</v>
      </c>
    </row>
    <row r="1444" spans="1:30" s="255" customFormat="1" ht="33" customHeight="1" x14ac:dyDescent="0.3">
      <c r="A1444" s="167">
        <v>29</v>
      </c>
      <c r="B1444" s="168">
        <v>163</v>
      </c>
      <c r="C1444" s="245" t="str">
        <f t="shared" si="30"/>
        <v>29.163</v>
      </c>
      <c r="D1444" s="246" t="s">
        <v>1238</v>
      </c>
      <c r="E1444" s="64" t="str">
        <f>IF(ISBLANK(D1444)=TRUE,"",VLOOKUP(D1444,Krav!$C:$F,4,FALSE))</f>
        <v>10.a.2.1.2.1 - Hvis der er svaret "I visse tilfælde" i spørgsmål 9 og hvis der er svaret "Ja" i enten 9.b.1, 9.b.2.1 eller 9.b.2.2.1 skal brugeren ledes til spørgsmål 11</v>
      </c>
      <c r="F1444" s="247" t="s">
        <v>143</v>
      </c>
      <c r="G1444" s="247" t="s">
        <v>1427</v>
      </c>
      <c r="H1444" s="256" t="s">
        <v>1433</v>
      </c>
      <c r="I1444" s="250" t="s">
        <v>560</v>
      </c>
      <c r="J1444" s="250" t="s">
        <v>222</v>
      </c>
      <c r="K1444" s="125" t="s">
        <v>222</v>
      </c>
      <c r="L1444" s="257" t="s">
        <v>3</v>
      </c>
      <c r="M1444" s="253" t="s">
        <v>131</v>
      </c>
      <c r="N1444" s="253" t="s">
        <v>129</v>
      </c>
      <c r="O1444" s="253" t="s">
        <v>376</v>
      </c>
      <c r="P1444" s="253" t="s">
        <v>96</v>
      </c>
      <c r="Q1444" s="253" t="s">
        <v>131</v>
      </c>
      <c r="R1444" s="253" t="s">
        <v>129</v>
      </c>
      <c r="S1444" s="253" t="s">
        <v>131</v>
      </c>
      <c r="T1444" s="253"/>
      <c r="U1444" s="253"/>
      <c r="V1444" s="254" t="s">
        <v>295</v>
      </c>
      <c r="W1444" s="253" t="s">
        <v>166</v>
      </c>
      <c r="X1444" s="253" t="s">
        <v>166</v>
      </c>
      <c r="Y1444" s="253" t="s">
        <v>580</v>
      </c>
      <c r="Z1444" s="253"/>
      <c r="AA1444" s="253" t="s">
        <v>129</v>
      </c>
      <c r="AB1444" s="253"/>
      <c r="AC1444" s="253"/>
      <c r="AD1444" s="254" t="s">
        <v>5</v>
      </c>
    </row>
    <row r="1445" spans="1:30" s="255" customFormat="1" ht="33" customHeight="1" x14ac:dyDescent="0.3">
      <c r="A1445" s="167">
        <v>29</v>
      </c>
      <c r="B1445" s="168">
        <v>164</v>
      </c>
      <c r="C1445" s="245" t="str">
        <f t="shared" si="30"/>
        <v>29.164</v>
      </c>
      <c r="D1445" s="246"/>
      <c r="E1445" s="64" t="str">
        <f>IF(ISBLANK(D1445)=TRUE,"",VLOOKUP(D1445,Krav!$C:$F,4,FALSE))</f>
        <v/>
      </c>
      <c r="F1445" s="247" t="s">
        <v>143</v>
      </c>
      <c r="G1445" s="247" t="s">
        <v>1427</v>
      </c>
      <c r="H1445" s="256" t="s">
        <v>1446</v>
      </c>
      <c r="I1445" s="250" t="s">
        <v>560</v>
      </c>
      <c r="J1445" s="250" t="s">
        <v>222</v>
      </c>
      <c r="K1445" s="125" t="s">
        <v>222</v>
      </c>
      <c r="L1445" s="257" t="s">
        <v>3</v>
      </c>
      <c r="M1445" s="253" t="s">
        <v>131</v>
      </c>
      <c r="N1445" s="253" t="s">
        <v>129</v>
      </c>
      <c r="O1445" s="253" t="s">
        <v>376</v>
      </c>
      <c r="P1445" s="253" t="s">
        <v>96</v>
      </c>
      <c r="Q1445" s="253" t="s">
        <v>131</v>
      </c>
      <c r="R1445" s="253" t="s">
        <v>129</v>
      </c>
      <c r="S1445" s="253" t="s">
        <v>131</v>
      </c>
      <c r="T1445" s="253"/>
      <c r="U1445" s="253"/>
      <c r="V1445" s="253" t="s">
        <v>294</v>
      </c>
      <c r="W1445" s="253"/>
      <c r="X1445" s="253"/>
      <c r="Y1445" s="253"/>
      <c r="Z1445" s="253"/>
      <c r="AA1445" s="253" t="s">
        <v>129</v>
      </c>
      <c r="AB1445" s="253"/>
      <c r="AC1445" s="253"/>
      <c r="AD1445" s="254" t="s">
        <v>5</v>
      </c>
    </row>
    <row r="1446" spans="1:30" s="255" customFormat="1" ht="33" customHeight="1" x14ac:dyDescent="0.3">
      <c r="A1446" s="167">
        <v>29</v>
      </c>
      <c r="B1446" s="168">
        <v>165</v>
      </c>
      <c r="C1446" s="245" t="str">
        <f t="shared" si="30"/>
        <v>29.165</v>
      </c>
      <c r="D1446" s="246" t="s">
        <v>1238</v>
      </c>
      <c r="E1446" s="64" t="str">
        <f>IF(ISBLANK(D1446)=TRUE,"",VLOOKUP(D1446,Krav!$C:$F,4,FALSE))</f>
        <v>10.a.2.1.2.1 - Hvis der er svaret "I visse tilfælde" i spørgsmål 9 og hvis der er svaret "Ja" i enten 9.b.1, 9.b.2.1 eller 9.b.2.2.1 skal brugeren ledes til spørgsmål 11</v>
      </c>
      <c r="F1446" s="247" t="s">
        <v>143</v>
      </c>
      <c r="G1446" s="247" t="s">
        <v>1427</v>
      </c>
      <c r="H1446" s="256" t="s">
        <v>1433</v>
      </c>
      <c r="I1446" s="250" t="s">
        <v>565</v>
      </c>
      <c r="J1446" s="250" t="s">
        <v>222</v>
      </c>
      <c r="K1446" s="125" t="s">
        <v>222</v>
      </c>
      <c r="L1446" s="252" t="s">
        <v>3</v>
      </c>
      <c r="M1446" s="253" t="s">
        <v>131</v>
      </c>
      <c r="N1446" s="253" t="s">
        <v>129</v>
      </c>
      <c r="O1446" s="253" t="s">
        <v>376</v>
      </c>
      <c r="P1446" s="253" t="s">
        <v>96</v>
      </c>
      <c r="Q1446" s="253" t="s">
        <v>131</v>
      </c>
      <c r="R1446" s="253" t="s">
        <v>129</v>
      </c>
      <c r="S1446" s="253" t="s">
        <v>131</v>
      </c>
      <c r="T1446" s="253"/>
      <c r="U1446" s="253"/>
      <c r="V1446" s="254" t="s">
        <v>295</v>
      </c>
      <c r="W1446" s="253" t="s">
        <v>26</v>
      </c>
      <c r="X1446" s="253"/>
      <c r="Y1446" s="253"/>
      <c r="Z1446" s="253"/>
      <c r="AA1446" s="253"/>
      <c r="AB1446" s="253" t="s">
        <v>129</v>
      </c>
      <c r="AC1446" s="253"/>
      <c r="AD1446" s="254" t="s">
        <v>5</v>
      </c>
    </row>
    <row r="1447" spans="1:30" s="255" customFormat="1" ht="33" customHeight="1" x14ac:dyDescent="0.3">
      <c r="A1447" s="167">
        <v>29</v>
      </c>
      <c r="B1447" s="168">
        <v>166</v>
      </c>
      <c r="C1447" s="245" t="str">
        <f t="shared" si="30"/>
        <v>29.166</v>
      </c>
      <c r="D1447" s="246" t="s">
        <v>1238</v>
      </c>
      <c r="E1447" s="64" t="str">
        <f>IF(ISBLANK(D1447)=TRUE,"",VLOOKUP(D1447,Krav!$C:$F,4,FALSE))</f>
        <v>10.a.2.1.2.1 - Hvis der er svaret "I visse tilfælde" i spørgsmål 9 og hvis der er svaret "Ja" i enten 9.b.1, 9.b.2.1 eller 9.b.2.2.1 skal brugeren ledes til spørgsmål 11</v>
      </c>
      <c r="F1447" s="247" t="s">
        <v>143</v>
      </c>
      <c r="G1447" s="247" t="s">
        <v>1427</v>
      </c>
      <c r="H1447" s="256" t="s">
        <v>1433</v>
      </c>
      <c r="I1447" s="250" t="s">
        <v>565</v>
      </c>
      <c r="J1447" s="250" t="s">
        <v>222</v>
      </c>
      <c r="K1447" s="125" t="s">
        <v>222</v>
      </c>
      <c r="L1447" s="252" t="s">
        <v>3</v>
      </c>
      <c r="M1447" s="253" t="s">
        <v>131</v>
      </c>
      <c r="N1447" s="253" t="s">
        <v>129</v>
      </c>
      <c r="O1447" s="253" t="s">
        <v>376</v>
      </c>
      <c r="P1447" s="253" t="s">
        <v>96</v>
      </c>
      <c r="Q1447" s="253" t="s">
        <v>131</v>
      </c>
      <c r="R1447" s="253" t="s">
        <v>129</v>
      </c>
      <c r="S1447" s="253" t="s">
        <v>131</v>
      </c>
      <c r="T1447" s="253"/>
      <c r="U1447" s="253"/>
      <c r="V1447" s="254" t="s">
        <v>295</v>
      </c>
      <c r="W1447" s="253" t="s">
        <v>166</v>
      </c>
      <c r="X1447" s="253" t="s">
        <v>26</v>
      </c>
      <c r="Y1447" s="253"/>
      <c r="Z1447" s="253"/>
      <c r="AA1447" s="253"/>
      <c r="AB1447" s="253" t="s">
        <v>129</v>
      </c>
      <c r="AC1447" s="253"/>
      <c r="AD1447" s="254" t="s">
        <v>5</v>
      </c>
    </row>
    <row r="1448" spans="1:30" s="255" customFormat="1" ht="33" customHeight="1" x14ac:dyDescent="0.3">
      <c r="A1448" s="167">
        <v>29</v>
      </c>
      <c r="B1448" s="168">
        <v>167</v>
      </c>
      <c r="C1448" s="245" t="str">
        <f t="shared" si="30"/>
        <v>29.167</v>
      </c>
      <c r="D1448" s="246" t="s">
        <v>1238</v>
      </c>
      <c r="E1448" s="64" t="str">
        <f>IF(ISBLANK(D1448)=TRUE,"",VLOOKUP(D1448,Krav!$C:$F,4,FALSE))</f>
        <v>10.a.2.1.2.1 - Hvis der er svaret "I visse tilfælde" i spørgsmål 9 og hvis der er svaret "Ja" i enten 9.b.1, 9.b.2.1 eller 9.b.2.2.1 skal brugeren ledes til spørgsmål 11</v>
      </c>
      <c r="F1448" s="247" t="s">
        <v>143</v>
      </c>
      <c r="G1448" s="247" t="s">
        <v>1427</v>
      </c>
      <c r="H1448" s="256" t="s">
        <v>1433</v>
      </c>
      <c r="I1448" s="250" t="s">
        <v>565</v>
      </c>
      <c r="J1448" s="250" t="s">
        <v>222</v>
      </c>
      <c r="K1448" s="125" t="s">
        <v>222</v>
      </c>
      <c r="L1448" s="257" t="s">
        <v>3</v>
      </c>
      <c r="M1448" s="253" t="s">
        <v>131</v>
      </c>
      <c r="N1448" s="253" t="s">
        <v>129</v>
      </c>
      <c r="O1448" s="253" t="s">
        <v>376</v>
      </c>
      <c r="P1448" s="253" t="s">
        <v>96</v>
      </c>
      <c r="Q1448" s="253" t="s">
        <v>131</v>
      </c>
      <c r="R1448" s="253" t="s">
        <v>129</v>
      </c>
      <c r="S1448" s="253" t="s">
        <v>131</v>
      </c>
      <c r="T1448" s="253"/>
      <c r="U1448" s="253"/>
      <c r="V1448" s="254" t="s">
        <v>295</v>
      </c>
      <c r="W1448" s="253" t="s">
        <v>166</v>
      </c>
      <c r="X1448" s="253" t="s">
        <v>166</v>
      </c>
      <c r="Y1448" s="253" t="s">
        <v>580</v>
      </c>
      <c r="Z1448" s="253"/>
      <c r="AA1448" s="253"/>
      <c r="AB1448" s="253" t="s">
        <v>129</v>
      </c>
      <c r="AC1448" s="253"/>
      <c r="AD1448" s="254" t="s">
        <v>5</v>
      </c>
    </row>
    <row r="1449" spans="1:30" s="255" customFormat="1" ht="33" customHeight="1" x14ac:dyDescent="0.3">
      <c r="A1449" s="167">
        <v>29</v>
      </c>
      <c r="B1449" s="168">
        <v>168</v>
      </c>
      <c r="C1449" s="245" t="str">
        <f t="shared" si="30"/>
        <v>29.168</v>
      </c>
      <c r="D1449" s="246"/>
      <c r="E1449" s="64" t="str">
        <f>IF(ISBLANK(D1449)=TRUE,"",VLOOKUP(D1449,Krav!$C:$F,4,FALSE))</f>
        <v/>
      </c>
      <c r="F1449" s="247" t="s">
        <v>143</v>
      </c>
      <c r="G1449" s="247" t="s">
        <v>1427</v>
      </c>
      <c r="H1449" s="256" t="s">
        <v>1446</v>
      </c>
      <c r="I1449" s="250" t="s">
        <v>565</v>
      </c>
      <c r="J1449" s="250" t="s">
        <v>222</v>
      </c>
      <c r="K1449" s="125" t="s">
        <v>222</v>
      </c>
      <c r="L1449" s="257" t="s">
        <v>3</v>
      </c>
      <c r="M1449" s="253" t="s">
        <v>131</v>
      </c>
      <c r="N1449" s="253" t="s">
        <v>129</v>
      </c>
      <c r="O1449" s="253" t="s">
        <v>376</v>
      </c>
      <c r="P1449" s="253" t="s">
        <v>96</v>
      </c>
      <c r="Q1449" s="253" t="s">
        <v>131</v>
      </c>
      <c r="R1449" s="253" t="s">
        <v>129</v>
      </c>
      <c r="S1449" s="253" t="s">
        <v>131</v>
      </c>
      <c r="T1449" s="253"/>
      <c r="U1449" s="253"/>
      <c r="V1449" s="253" t="s">
        <v>294</v>
      </c>
      <c r="W1449" s="253"/>
      <c r="X1449" s="253"/>
      <c r="Y1449" s="253"/>
      <c r="Z1449" s="253"/>
      <c r="AA1449" s="253"/>
      <c r="AB1449" s="253" t="s">
        <v>129</v>
      </c>
      <c r="AC1449" s="253"/>
      <c r="AD1449" s="254" t="s">
        <v>5</v>
      </c>
    </row>
    <row r="1450" spans="1:30" s="271" customFormat="1" ht="33" customHeight="1" x14ac:dyDescent="0.3">
      <c r="A1450" s="167">
        <v>29</v>
      </c>
      <c r="B1450" s="168">
        <v>169</v>
      </c>
      <c r="C1450" s="261" t="str">
        <f t="shared" si="30"/>
        <v>29.169</v>
      </c>
      <c r="D1450" s="262" t="s">
        <v>1078</v>
      </c>
      <c r="E1450" s="64" t="str">
        <f>IF(ISBLANK(D1450)=TRUE,"",VLOOKUP(D1450,Krav!$C:$F,4,FALSE))</f>
        <v>10.a.2.7 - Det skal være muligt for brugeren at svare "ved ikke", såfremt at der ikke vides, hvor lang tid efter det [valgte stamdatafelt] kan begyndelsestidspunktet for forældelsesfristens beregning tidligst ligge for den afgrænsede population.</v>
      </c>
      <c r="F1450" s="263" t="s">
        <v>221</v>
      </c>
      <c r="G1450" s="264"/>
      <c r="H1450" s="265" t="s">
        <v>1430</v>
      </c>
      <c r="I1450" s="266" t="s">
        <v>241</v>
      </c>
      <c r="J1450" s="267" t="s">
        <v>222</v>
      </c>
      <c r="K1450" s="125" t="s">
        <v>222</v>
      </c>
      <c r="L1450" s="268" t="s">
        <v>3</v>
      </c>
      <c r="M1450" s="269" t="s">
        <v>131</v>
      </c>
      <c r="N1450" s="269" t="s">
        <v>129</v>
      </c>
      <c r="O1450" s="269" t="s">
        <v>96</v>
      </c>
      <c r="P1450" s="269" t="s">
        <v>376</v>
      </c>
      <c r="Q1450" s="269" t="s">
        <v>129</v>
      </c>
      <c r="R1450" s="269" t="s">
        <v>131</v>
      </c>
      <c r="S1450" s="269" t="s">
        <v>131</v>
      </c>
      <c r="T1450" s="269"/>
      <c r="U1450" s="269"/>
      <c r="V1450" s="269"/>
      <c r="W1450" s="269"/>
      <c r="X1450" s="269"/>
      <c r="Y1450" s="269"/>
      <c r="Z1450" s="269"/>
      <c r="AA1450" s="269"/>
      <c r="AB1450" s="269"/>
      <c r="AC1450" s="269"/>
      <c r="AD1450" s="270" t="s">
        <v>5</v>
      </c>
    </row>
    <row r="1451" spans="1:30" s="271" customFormat="1" ht="33" customHeight="1" x14ac:dyDescent="0.3">
      <c r="A1451" s="167">
        <v>29</v>
      </c>
      <c r="B1451" s="168">
        <v>170</v>
      </c>
      <c r="C1451" s="261" t="str">
        <f t="shared" si="30"/>
        <v>29.170</v>
      </c>
      <c r="D1451" s="262" t="s">
        <v>1251</v>
      </c>
      <c r="E1451" s="64" t="str">
        <f>IF(ISBLANK(D1451)=TRUE,"",VLOOKUP(D1451,Krav!$C:$F,4,FALSE))</f>
        <v>10.a.2.2.8 - Gruppe 1 deaktiveres</v>
      </c>
      <c r="F1451" s="263" t="s">
        <v>227</v>
      </c>
      <c r="G1451" s="264"/>
      <c r="H1451" s="272" t="s">
        <v>1423</v>
      </c>
      <c r="I1451" s="266" t="s">
        <v>241</v>
      </c>
      <c r="J1451" s="267" t="s">
        <v>222</v>
      </c>
      <c r="K1451" s="125" t="s">
        <v>222</v>
      </c>
      <c r="L1451" s="268" t="s">
        <v>3</v>
      </c>
      <c r="M1451" s="269" t="s">
        <v>131</v>
      </c>
      <c r="N1451" s="269" t="s">
        <v>129</v>
      </c>
      <c r="O1451" s="269" t="s">
        <v>96</v>
      </c>
      <c r="P1451" s="269" t="s">
        <v>376</v>
      </c>
      <c r="Q1451" s="269" t="s">
        <v>129</v>
      </c>
      <c r="R1451" s="269" t="s">
        <v>131</v>
      </c>
      <c r="S1451" s="269" t="s">
        <v>131</v>
      </c>
      <c r="T1451" s="269"/>
      <c r="U1451" s="269"/>
      <c r="V1451" s="269"/>
      <c r="W1451" s="269"/>
      <c r="X1451" s="269"/>
      <c r="Y1451" s="269"/>
      <c r="Z1451" s="269"/>
      <c r="AA1451" s="269"/>
      <c r="AB1451" s="269"/>
      <c r="AC1451" s="269"/>
      <c r="AD1451" s="270" t="s">
        <v>5</v>
      </c>
    </row>
    <row r="1452" spans="1:30" s="271" customFormat="1" ht="33" customHeight="1" x14ac:dyDescent="0.3">
      <c r="A1452" s="167">
        <v>29</v>
      </c>
      <c r="B1452" s="168">
        <v>171</v>
      </c>
      <c r="C1452" s="261" t="str">
        <f t="shared" si="30"/>
        <v>29.171</v>
      </c>
      <c r="D1452" s="262"/>
      <c r="E1452" s="64" t="str">
        <f>IF(ISBLANK(D1452)=TRUE,"",VLOOKUP(D1452,Krav!$C:$F,4,FALSE))</f>
        <v/>
      </c>
      <c r="F1452" s="263" t="s">
        <v>225</v>
      </c>
      <c r="G1452" s="264" t="s">
        <v>230</v>
      </c>
      <c r="H1452" s="265" t="s">
        <v>1431</v>
      </c>
      <c r="I1452" s="266" t="s">
        <v>1407</v>
      </c>
      <c r="J1452" s="267" t="s">
        <v>222</v>
      </c>
      <c r="K1452" s="125" t="s">
        <v>222</v>
      </c>
      <c r="L1452" s="268" t="s">
        <v>3</v>
      </c>
      <c r="M1452" s="269" t="s">
        <v>131</v>
      </c>
      <c r="N1452" s="269" t="s">
        <v>129</v>
      </c>
      <c r="O1452" s="269" t="s">
        <v>96</v>
      </c>
      <c r="P1452" s="269" t="s">
        <v>376</v>
      </c>
      <c r="Q1452" s="269" t="s">
        <v>129</v>
      </c>
      <c r="R1452" s="269" t="s">
        <v>131</v>
      </c>
      <c r="S1452" s="269" t="s">
        <v>131</v>
      </c>
      <c r="T1452" s="269"/>
      <c r="U1452" s="269"/>
      <c r="V1452" s="269"/>
      <c r="W1452" s="269"/>
      <c r="X1452" s="269"/>
      <c r="Y1452" s="269"/>
      <c r="Z1452" s="269"/>
      <c r="AA1452" s="269"/>
      <c r="AB1452" s="269"/>
      <c r="AC1452" s="269"/>
      <c r="AD1452" s="270" t="s">
        <v>5</v>
      </c>
    </row>
    <row r="1453" spans="1:30" s="271" customFormat="1" ht="33" customHeight="1" x14ac:dyDescent="0.3">
      <c r="A1453" s="167">
        <v>29</v>
      </c>
      <c r="B1453" s="168">
        <v>172</v>
      </c>
      <c r="C1453" s="261" t="str">
        <f t="shared" si="30"/>
        <v>29.172</v>
      </c>
      <c r="D1453" s="262"/>
      <c r="E1453" s="64" t="str">
        <f>IF(ISBLANK(D1453)=TRUE,"",VLOOKUP(D1453,Krav!$C:$F,4,FALSE))</f>
        <v/>
      </c>
      <c r="F1453" s="263" t="s">
        <v>225</v>
      </c>
      <c r="G1453" s="264" t="s">
        <v>1390</v>
      </c>
      <c r="H1453" s="265" t="s">
        <v>1431</v>
      </c>
      <c r="I1453" s="266" t="s">
        <v>369</v>
      </c>
      <c r="J1453" s="267" t="s">
        <v>222</v>
      </c>
      <c r="K1453" s="125" t="s">
        <v>222</v>
      </c>
      <c r="L1453" s="268" t="s">
        <v>3</v>
      </c>
      <c r="M1453" s="269" t="s">
        <v>131</v>
      </c>
      <c r="N1453" s="269" t="s">
        <v>129</v>
      </c>
      <c r="O1453" s="269" t="s">
        <v>96</v>
      </c>
      <c r="P1453" s="269" t="s">
        <v>376</v>
      </c>
      <c r="Q1453" s="269" t="s">
        <v>129</v>
      </c>
      <c r="R1453" s="269" t="s">
        <v>131</v>
      </c>
      <c r="S1453" s="269" t="s">
        <v>131</v>
      </c>
      <c r="T1453" s="269"/>
      <c r="U1453" s="269"/>
      <c r="V1453" s="269"/>
      <c r="W1453" s="269"/>
      <c r="X1453" s="269"/>
      <c r="Y1453" s="269"/>
      <c r="Z1453" s="269"/>
      <c r="AA1453" s="269"/>
      <c r="AB1453" s="269"/>
      <c r="AC1453" s="269"/>
      <c r="AD1453" s="270" t="s">
        <v>5</v>
      </c>
    </row>
    <row r="1454" spans="1:30" s="271" customFormat="1" ht="33" customHeight="1" x14ac:dyDescent="0.3">
      <c r="A1454" s="167">
        <v>29</v>
      </c>
      <c r="B1454" s="168">
        <v>173</v>
      </c>
      <c r="C1454" s="261" t="str">
        <f t="shared" si="30"/>
        <v>29.173</v>
      </c>
      <c r="D1454" s="262" t="s">
        <v>1038</v>
      </c>
      <c r="E1454" s="64" t="str">
        <f>IF(ISBLANK(D1454)=TRUE,"",VLOOKUP(D1454,Krav!$C:$F,4,FALSE))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454" s="273" t="s">
        <v>174</v>
      </c>
      <c r="G1454" s="264"/>
      <c r="H1454" s="265" t="s">
        <v>1424</v>
      </c>
      <c r="I1454" s="266" t="s">
        <v>1425</v>
      </c>
      <c r="J1454" s="267" t="s">
        <v>222</v>
      </c>
      <c r="K1454" s="125" t="s">
        <v>222</v>
      </c>
      <c r="L1454" s="268" t="s">
        <v>3</v>
      </c>
      <c r="M1454" s="269" t="s">
        <v>131</v>
      </c>
      <c r="N1454" s="269" t="s">
        <v>129</v>
      </c>
      <c r="O1454" s="269" t="s">
        <v>96</v>
      </c>
      <c r="P1454" s="269" t="s">
        <v>376</v>
      </c>
      <c r="Q1454" s="269" t="s">
        <v>129</v>
      </c>
      <c r="R1454" s="269" t="s">
        <v>131</v>
      </c>
      <c r="S1454" s="269" t="s">
        <v>131</v>
      </c>
      <c r="T1454" s="269"/>
      <c r="U1454" s="269"/>
      <c r="V1454" s="269" t="s">
        <v>294</v>
      </c>
      <c r="W1454" s="269"/>
      <c r="X1454" s="269"/>
      <c r="Y1454" s="269"/>
      <c r="Z1454" s="269"/>
      <c r="AA1454" s="269"/>
      <c r="AB1454" s="269"/>
      <c r="AC1454" s="269"/>
      <c r="AD1454" s="270" t="s">
        <v>5</v>
      </c>
    </row>
    <row r="1455" spans="1:30" s="271" customFormat="1" ht="33" customHeight="1" x14ac:dyDescent="0.3">
      <c r="A1455" s="167">
        <v>29</v>
      </c>
      <c r="B1455" s="168">
        <v>174</v>
      </c>
      <c r="C1455" s="261" t="str">
        <f t="shared" si="30"/>
        <v>29.174</v>
      </c>
      <c r="D1455" s="262" t="s">
        <v>1252</v>
      </c>
      <c r="E1455" s="64" t="str">
        <f>IF(ISBLANK(D1455)=TRUE,"",VLOOKUP(D1455,Krav!$C:$F,4,FALSE))</f>
        <v>10.a.2.2.9 -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455" s="273" t="s">
        <v>174</v>
      </c>
      <c r="G1455" s="263"/>
      <c r="H1455" s="265" t="s">
        <v>1447</v>
      </c>
      <c r="I1455" s="266" t="s">
        <v>1425</v>
      </c>
      <c r="J1455" s="267" t="s">
        <v>222</v>
      </c>
      <c r="K1455" s="125" t="s">
        <v>222</v>
      </c>
      <c r="L1455" s="268" t="s">
        <v>3</v>
      </c>
      <c r="M1455" s="269" t="s">
        <v>131</v>
      </c>
      <c r="N1455" s="269" t="s">
        <v>129</v>
      </c>
      <c r="O1455" s="269" t="s">
        <v>96</v>
      </c>
      <c r="P1455" s="269" t="s">
        <v>376</v>
      </c>
      <c r="Q1455" s="269" t="s">
        <v>129</v>
      </c>
      <c r="R1455" s="269" t="s">
        <v>131</v>
      </c>
      <c r="S1455" s="269" t="s">
        <v>131</v>
      </c>
      <c r="T1455" s="269"/>
      <c r="U1455" s="269"/>
      <c r="V1455" s="270" t="s">
        <v>295</v>
      </c>
      <c r="W1455" s="269" t="s">
        <v>26</v>
      </c>
      <c r="X1455" s="269"/>
      <c r="Y1455" s="269"/>
      <c r="Z1455" s="269"/>
      <c r="AA1455" s="269"/>
      <c r="AB1455" s="269"/>
      <c r="AC1455" s="269"/>
      <c r="AD1455" s="270" t="s">
        <v>5</v>
      </c>
    </row>
    <row r="1456" spans="1:30" s="271" customFormat="1" ht="33" customHeight="1" x14ac:dyDescent="0.3">
      <c r="A1456" s="167">
        <v>29</v>
      </c>
      <c r="B1456" s="168">
        <v>175</v>
      </c>
      <c r="C1456" s="261" t="str">
        <f t="shared" si="30"/>
        <v>29.175</v>
      </c>
      <c r="D1456" s="262" t="s">
        <v>1252</v>
      </c>
      <c r="E1456" s="64" t="str">
        <f>IF(ISBLANK(D1456)=TRUE,"",VLOOKUP(D1456,Krav!$C:$F,4,FALSE))</f>
        <v>10.a.2.2.9 -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456" s="273" t="s">
        <v>174</v>
      </c>
      <c r="G1456" s="264"/>
      <c r="H1456" s="265" t="s">
        <v>1447</v>
      </c>
      <c r="I1456" s="267" t="s">
        <v>1425</v>
      </c>
      <c r="J1456" s="267" t="s">
        <v>222</v>
      </c>
      <c r="K1456" s="125" t="s">
        <v>222</v>
      </c>
      <c r="L1456" s="268" t="s">
        <v>3</v>
      </c>
      <c r="M1456" s="269" t="s">
        <v>131</v>
      </c>
      <c r="N1456" s="269" t="s">
        <v>129</v>
      </c>
      <c r="O1456" s="269" t="s">
        <v>96</v>
      </c>
      <c r="P1456" s="269" t="s">
        <v>376</v>
      </c>
      <c r="Q1456" s="269" t="s">
        <v>129</v>
      </c>
      <c r="R1456" s="269" t="s">
        <v>131</v>
      </c>
      <c r="S1456" s="269" t="s">
        <v>131</v>
      </c>
      <c r="T1456" s="269"/>
      <c r="U1456" s="269"/>
      <c r="V1456" s="270" t="s">
        <v>295</v>
      </c>
      <c r="W1456" s="269" t="s">
        <v>166</v>
      </c>
      <c r="X1456" s="269" t="s">
        <v>26</v>
      </c>
      <c r="Y1456" s="269"/>
      <c r="Z1456" s="269"/>
      <c r="AA1456" s="269"/>
      <c r="AB1456" s="269"/>
      <c r="AC1456" s="269"/>
      <c r="AD1456" s="270" t="s">
        <v>5</v>
      </c>
    </row>
    <row r="1457" spans="1:30" s="271" customFormat="1" ht="33" customHeight="1" x14ac:dyDescent="0.3">
      <c r="A1457" s="167">
        <v>29</v>
      </c>
      <c r="B1457" s="168">
        <v>176</v>
      </c>
      <c r="C1457" s="261" t="str">
        <f t="shared" ref="C1457:C1501" si="31">IF(B1457&lt;10,_xlfn.CONCAT(A1457,".0",B1457),_xlfn.CONCAT(A1457,".",B1457))</f>
        <v>29.176</v>
      </c>
      <c r="D1457" s="262" t="s">
        <v>1252</v>
      </c>
      <c r="E1457" s="64" t="str">
        <f>IF(ISBLANK(D1457)=TRUE,"",VLOOKUP(D1457,Krav!$C:$F,4,FALSE))</f>
        <v>10.a.2.2.9 -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457" s="273" t="s">
        <v>174</v>
      </c>
      <c r="G1457" s="263"/>
      <c r="H1457" s="265" t="s">
        <v>1447</v>
      </c>
      <c r="I1457" s="266" t="s">
        <v>1425</v>
      </c>
      <c r="J1457" s="267" t="s">
        <v>222</v>
      </c>
      <c r="K1457" s="125" t="s">
        <v>222</v>
      </c>
      <c r="L1457" s="268" t="s">
        <v>3</v>
      </c>
      <c r="M1457" s="269" t="s">
        <v>131</v>
      </c>
      <c r="N1457" s="269" t="s">
        <v>129</v>
      </c>
      <c r="O1457" s="269" t="s">
        <v>96</v>
      </c>
      <c r="P1457" s="269" t="s">
        <v>376</v>
      </c>
      <c r="Q1457" s="269" t="s">
        <v>129</v>
      </c>
      <c r="R1457" s="269" t="s">
        <v>131</v>
      </c>
      <c r="S1457" s="269" t="s">
        <v>131</v>
      </c>
      <c r="T1457" s="269"/>
      <c r="U1457" s="269"/>
      <c r="V1457" s="270" t="s">
        <v>295</v>
      </c>
      <c r="W1457" s="269" t="s">
        <v>166</v>
      </c>
      <c r="X1457" s="269" t="s">
        <v>166</v>
      </c>
      <c r="Y1457" s="269" t="s">
        <v>580</v>
      </c>
      <c r="Z1457" s="269"/>
      <c r="AA1457" s="269"/>
      <c r="AB1457" s="269"/>
      <c r="AC1457" s="269"/>
      <c r="AD1457" s="270" t="s">
        <v>5</v>
      </c>
    </row>
    <row r="1458" spans="1:30" s="271" customFormat="1" ht="33" customHeight="1" x14ac:dyDescent="0.3">
      <c r="A1458" s="167">
        <v>29</v>
      </c>
      <c r="B1458" s="168">
        <v>177</v>
      </c>
      <c r="C1458" s="261" t="str">
        <f t="shared" si="31"/>
        <v>29.177</v>
      </c>
      <c r="D1458" s="262" t="s">
        <v>1253</v>
      </c>
      <c r="E1458" s="64" t="str">
        <f>IF(ISBLANK(D1458)=TRUE,"",VLOOKUP(D1458,Krav!$C:$F,4,FALSE))</f>
        <v xml:space="preserve">10.a.2.2.10 - Hvis fordringshaver har svaret ”aldrig” i spm. 9, kan der ikke opsættes en FLEX-filter konfiguration for populationen. </v>
      </c>
      <c r="F1458" s="273" t="s">
        <v>174</v>
      </c>
      <c r="G1458" s="264"/>
      <c r="H1458" s="265"/>
      <c r="I1458" s="266" t="s">
        <v>1414</v>
      </c>
      <c r="J1458" s="267" t="s">
        <v>222</v>
      </c>
      <c r="K1458" s="125" t="s">
        <v>222</v>
      </c>
      <c r="L1458" s="268" t="s">
        <v>4</v>
      </c>
      <c r="M1458" s="269" t="s">
        <v>131</v>
      </c>
      <c r="N1458" s="269" t="s">
        <v>129</v>
      </c>
      <c r="O1458" s="269" t="s">
        <v>96</v>
      </c>
      <c r="P1458" s="269" t="s">
        <v>376</v>
      </c>
      <c r="Q1458" s="269" t="s">
        <v>129</v>
      </c>
      <c r="R1458" s="269" t="s">
        <v>131</v>
      </c>
      <c r="S1458" s="269" t="s">
        <v>131</v>
      </c>
      <c r="T1458" s="269"/>
      <c r="U1458" s="269"/>
      <c r="V1458" s="270" t="s">
        <v>295</v>
      </c>
      <c r="W1458" s="269" t="s">
        <v>166</v>
      </c>
      <c r="X1458" s="269" t="s">
        <v>166</v>
      </c>
      <c r="Y1458" s="269" t="s">
        <v>369</v>
      </c>
      <c r="Z1458" s="269"/>
      <c r="AA1458" s="269"/>
      <c r="AB1458" s="269"/>
      <c r="AC1458" s="269"/>
      <c r="AD1458" s="270" t="s">
        <v>5</v>
      </c>
    </row>
    <row r="1459" spans="1:30" s="271" customFormat="1" ht="33" customHeight="1" x14ac:dyDescent="0.3">
      <c r="A1459" s="167">
        <v>29</v>
      </c>
      <c r="B1459" s="168">
        <v>178</v>
      </c>
      <c r="C1459" s="261" t="str">
        <f t="shared" si="31"/>
        <v>29.178</v>
      </c>
      <c r="D1459" s="262" t="s">
        <v>1253</v>
      </c>
      <c r="E1459" s="64" t="str">
        <f>IF(ISBLANK(D1459)=TRUE,"",VLOOKUP(D1459,Krav!$C:$F,4,FALSE))</f>
        <v xml:space="preserve">10.a.2.2.10 - Hvis fordringshaver har svaret ”aldrig” i spm. 9, kan der ikke opsættes en FLEX-filter konfiguration for populationen. </v>
      </c>
      <c r="F1459" s="273" t="s">
        <v>174</v>
      </c>
      <c r="G1459" s="264"/>
      <c r="H1459" s="265" t="s">
        <v>1426</v>
      </c>
      <c r="I1459" s="266" t="s">
        <v>1414</v>
      </c>
      <c r="J1459" s="266" t="s">
        <v>222</v>
      </c>
      <c r="K1459" s="125" t="s">
        <v>222</v>
      </c>
      <c r="L1459" s="268" t="s">
        <v>4</v>
      </c>
      <c r="M1459" s="269" t="s">
        <v>131</v>
      </c>
      <c r="N1459" s="269" t="s">
        <v>129</v>
      </c>
      <c r="O1459" s="269" t="s">
        <v>96</v>
      </c>
      <c r="P1459" s="269" t="s">
        <v>376</v>
      </c>
      <c r="Q1459" s="269" t="s">
        <v>129</v>
      </c>
      <c r="R1459" s="269" t="s">
        <v>131</v>
      </c>
      <c r="S1459" s="269" t="s">
        <v>131</v>
      </c>
      <c r="T1459" s="269"/>
      <c r="U1459" s="269"/>
      <c r="V1459" s="269" t="s">
        <v>303</v>
      </c>
      <c r="W1459" s="269"/>
      <c r="X1459" s="269"/>
      <c r="Y1459" s="269"/>
      <c r="Z1459" s="269"/>
      <c r="AA1459" s="269"/>
      <c r="AB1459" s="269"/>
      <c r="AC1459" s="269"/>
      <c r="AD1459" s="270" t="s">
        <v>5</v>
      </c>
    </row>
    <row r="1460" spans="1:30" s="271" customFormat="1" ht="33" customHeight="1" x14ac:dyDescent="0.3">
      <c r="A1460" s="167">
        <v>29</v>
      </c>
      <c r="B1460" s="168">
        <v>179</v>
      </c>
      <c r="C1460" s="261" t="str">
        <f t="shared" si="31"/>
        <v>29.179</v>
      </c>
      <c r="D1460" s="262" t="s">
        <v>1249</v>
      </c>
      <c r="E1460" s="64" t="str">
        <f>IF(ISBLANK(D1460)=TRUE,"",VLOOKUP(D1460,Krav!$C:$F,4,FALSE))</f>
        <v>10.a.2.2.6 - Hvis der er svaret "I visse tilfælde" i spørgsmål 9 og hvis der er svaret "Ja" i enten 9.b.1, 9.b.2.1 eller 9.b.2.2.1 skal brugeren ledes til spørgsmål 11</v>
      </c>
      <c r="F1460" s="263" t="s">
        <v>143</v>
      </c>
      <c r="G1460" s="263" t="s">
        <v>1427</v>
      </c>
      <c r="H1460" s="265" t="s">
        <v>1433</v>
      </c>
      <c r="I1460" s="266" t="s">
        <v>468</v>
      </c>
      <c r="J1460" s="266" t="s">
        <v>222</v>
      </c>
      <c r="K1460" s="125" t="s">
        <v>222</v>
      </c>
      <c r="L1460" s="268" t="s">
        <v>3</v>
      </c>
      <c r="M1460" s="269" t="s">
        <v>131</v>
      </c>
      <c r="N1460" s="269" t="s">
        <v>129</v>
      </c>
      <c r="O1460" s="269" t="s">
        <v>96</v>
      </c>
      <c r="P1460" s="269" t="s">
        <v>376</v>
      </c>
      <c r="Q1460" s="269" t="s">
        <v>129</v>
      </c>
      <c r="R1460" s="269" t="s">
        <v>131</v>
      </c>
      <c r="S1460" s="269" t="s">
        <v>131</v>
      </c>
      <c r="T1460" s="269"/>
      <c r="U1460" s="269"/>
      <c r="V1460" s="270" t="s">
        <v>295</v>
      </c>
      <c r="W1460" s="269" t="s">
        <v>26</v>
      </c>
      <c r="X1460" s="269"/>
      <c r="Y1460" s="269"/>
      <c r="Z1460" s="269"/>
      <c r="AA1460" s="269"/>
      <c r="AB1460" s="269"/>
      <c r="AC1460" s="269"/>
      <c r="AD1460" s="270" t="s">
        <v>5</v>
      </c>
    </row>
    <row r="1461" spans="1:30" s="271" customFormat="1" ht="33" customHeight="1" x14ac:dyDescent="0.3">
      <c r="A1461" s="167">
        <v>29</v>
      </c>
      <c r="B1461" s="168">
        <v>180</v>
      </c>
      <c r="C1461" s="261" t="str">
        <f t="shared" si="31"/>
        <v>29.180</v>
      </c>
      <c r="D1461" s="262" t="s">
        <v>1249</v>
      </c>
      <c r="E1461" s="64" t="str">
        <f>IF(ISBLANK(D1461)=TRUE,"",VLOOKUP(D1461,Krav!$C:$F,4,FALSE))</f>
        <v>10.a.2.2.6 - Hvis der er svaret "I visse tilfælde" i spørgsmål 9 og hvis der er svaret "Ja" i enten 9.b.1, 9.b.2.1 eller 9.b.2.2.1 skal brugeren ledes til spørgsmål 11</v>
      </c>
      <c r="F1461" s="263" t="s">
        <v>143</v>
      </c>
      <c r="G1461" s="263" t="s">
        <v>1427</v>
      </c>
      <c r="H1461" s="265" t="s">
        <v>1433</v>
      </c>
      <c r="I1461" s="266" t="s">
        <v>468</v>
      </c>
      <c r="J1461" s="266" t="s">
        <v>222</v>
      </c>
      <c r="K1461" s="125" t="s">
        <v>222</v>
      </c>
      <c r="L1461" s="268" t="s">
        <v>3</v>
      </c>
      <c r="M1461" s="269" t="s">
        <v>131</v>
      </c>
      <c r="N1461" s="269" t="s">
        <v>129</v>
      </c>
      <c r="O1461" s="269" t="s">
        <v>96</v>
      </c>
      <c r="P1461" s="269" t="s">
        <v>376</v>
      </c>
      <c r="Q1461" s="269" t="s">
        <v>129</v>
      </c>
      <c r="R1461" s="269" t="s">
        <v>131</v>
      </c>
      <c r="S1461" s="269" t="s">
        <v>131</v>
      </c>
      <c r="T1461" s="269"/>
      <c r="U1461" s="269"/>
      <c r="V1461" s="270" t="s">
        <v>295</v>
      </c>
      <c r="W1461" s="269" t="s">
        <v>166</v>
      </c>
      <c r="X1461" s="269" t="s">
        <v>26</v>
      </c>
      <c r="Y1461" s="269"/>
      <c r="Z1461" s="269"/>
      <c r="AA1461" s="269"/>
      <c r="AB1461" s="269"/>
      <c r="AC1461" s="269"/>
      <c r="AD1461" s="270" t="s">
        <v>5</v>
      </c>
    </row>
    <row r="1462" spans="1:30" s="271" customFormat="1" ht="33" customHeight="1" x14ac:dyDescent="0.3">
      <c r="A1462" s="167">
        <v>29</v>
      </c>
      <c r="B1462" s="168">
        <v>181</v>
      </c>
      <c r="C1462" s="261" t="str">
        <f t="shared" si="31"/>
        <v>29.181</v>
      </c>
      <c r="D1462" s="262" t="s">
        <v>1249</v>
      </c>
      <c r="E1462" s="64" t="str">
        <f>IF(ISBLANK(D1462)=TRUE,"",VLOOKUP(D1462,Krav!$C:$F,4,FALSE))</f>
        <v>10.a.2.2.6 - Hvis der er svaret "I visse tilfælde" i spørgsmål 9 og hvis der er svaret "Ja" i enten 9.b.1, 9.b.2.1 eller 9.b.2.2.1 skal brugeren ledes til spørgsmål 11</v>
      </c>
      <c r="F1462" s="263" t="s">
        <v>143</v>
      </c>
      <c r="G1462" s="263" t="s">
        <v>1427</v>
      </c>
      <c r="H1462" s="265" t="s">
        <v>1433</v>
      </c>
      <c r="I1462" s="266" t="s">
        <v>468</v>
      </c>
      <c r="J1462" s="266" t="s">
        <v>222</v>
      </c>
      <c r="K1462" s="125" t="s">
        <v>222</v>
      </c>
      <c r="L1462" s="274" t="s">
        <v>3</v>
      </c>
      <c r="M1462" s="269" t="s">
        <v>131</v>
      </c>
      <c r="N1462" s="269" t="s">
        <v>129</v>
      </c>
      <c r="O1462" s="269" t="s">
        <v>96</v>
      </c>
      <c r="P1462" s="269" t="s">
        <v>376</v>
      </c>
      <c r="Q1462" s="269" t="s">
        <v>129</v>
      </c>
      <c r="R1462" s="269" t="s">
        <v>131</v>
      </c>
      <c r="S1462" s="269" t="s">
        <v>131</v>
      </c>
      <c r="T1462" s="269"/>
      <c r="U1462" s="269"/>
      <c r="V1462" s="270" t="s">
        <v>295</v>
      </c>
      <c r="W1462" s="269" t="s">
        <v>166</v>
      </c>
      <c r="X1462" s="269" t="s">
        <v>166</v>
      </c>
      <c r="Y1462" s="269" t="s">
        <v>580</v>
      </c>
      <c r="Z1462" s="269"/>
      <c r="AA1462" s="269"/>
      <c r="AB1462" s="269"/>
      <c r="AC1462" s="269"/>
      <c r="AD1462" s="270" t="s">
        <v>5</v>
      </c>
    </row>
    <row r="1463" spans="1:30" s="271" customFormat="1" ht="33" customHeight="1" x14ac:dyDescent="0.3">
      <c r="A1463" s="167">
        <v>29</v>
      </c>
      <c r="B1463" s="168">
        <v>182</v>
      </c>
      <c r="C1463" s="261" t="str">
        <f t="shared" si="31"/>
        <v>29.182</v>
      </c>
      <c r="D1463" s="262"/>
      <c r="E1463" s="64" t="str">
        <f>IF(ISBLANK(D1463)=TRUE,"",VLOOKUP(D1463,Krav!$C:$F,4,FALSE))</f>
        <v/>
      </c>
      <c r="F1463" s="263" t="s">
        <v>143</v>
      </c>
      <c r="G1463" s="263" t="s">
        <v>1427</v>
      </c>
      <c r="H1463" s="265" t="s">
        <v>1446</v>
      </c>
      <c r="I1463" s="266" t="s">
        <v>468</v>
      </c>
      <c r="J1463" s="266" t="s">
        <v>222</v>
      </c>
      <c r="K1463" s="125" t="s">
        <v>222</v>
      </c>
      <c r="L1463" s="274" t="s">
        <v>3</v>
      </c>
      <c r="M1463" s="269" t="s">
        <v>131</v>
      </c>
      <c r="N1463" s="269" t="s">
        <v>129</v>
      </c>
      <c r="O1463" s="269" t="s">
        <v>96</v>
      </c>
      <c r="P1463" s="269" t="s">
        <v>376</v>
      </c>
      <c r="Q1463" s="269" t="s">
        <v>129</v>
      </c>
      <c r="R1463" s="269" t="s">
        <v>131</v>
      </c>
      <c r="S1463" s="269" t="s">
        <v>131</v>
      </c>
      <c r="T1463" s="269"/>
      <c r="U1463" s="269"/>
      <c r="V1463" s="269" t="s">
        <v>294</v>
      </c>
      <c r="W1463" s="269"/>
      <c r="X1463" s="269"/>
      <c r="Y1463" s="269"/>
      <c r="Z1463" s="269"/>
      <c r="AA1463" s="269"/>
      <c r="AB1463" s="269"/>
      <c r="AC1463" s="269"/>
      <c r="AD1463" s="270" t="s">
        <v>5</v>
      </c>
    </row>
    <row r="1464" spans="1:30" s="271" customFormat="1" ht="33" customHeight="1" x14ac:dyDescent="0.3">
      <c r="A1464" s="167">
        <v>29</v>
      </c>
      <c r="B1464" s="168">
        <v>183</v>
      </c>
      <c r="C1464" s="261" t="str">
        <f t="shared" si="31"/>
        <v>29.183</v>
      </c>
      <c r="D1464" s="262" t="s">
        <v>1249</v>
      </c>
      <c r="E1464" s="64" t="str">
        <f>IF(ISBLANK(D1464)=TRUE,"",VLOOKUP(D1464,Krav!$C:$F,4,FALSE))</f>
        <v>10.a.2.2.6 - Hvis der er svaret "I visse tilfælde" i spørgsmål 9 og hvis der er svaret "Ja" i enten 9.b.1, 9.b.2.1 eller 9.b.2.2.1 skal brugeren ledes til spørgsmål 11</v>
      </c>
      <c r="F1464" s="263" t="s">
        <v>143</v>
      </c>
      <c r="G1464" s="263" t="s">
        <v>1427</v>
      </c>
      <c r="H1464" s="265" t="s">
        <v>1433</v>
      </c>
      <c r="I1464" s="266" t="s">
        <v>560</v>
      </c>
      <c r="J1464" s="266" t="s">
        <v>222</v>
      </c>
      <c r="K1464" s="125" t="s">
        <v>222</v>
      </c>
      <c r="L1464" s="268" t="s">
        <v>3</v>
      </c>
      <c r="M1464" s="269" t="s">
        <v>131</v>
      </c>
      <c r="N1464" s="269" t="s">
        <v>129</v>
      </c>
      <c r="O1464" s="269" t="s">
        <v>96</v>
      </c>
      <c r="P1464" s="269" t="s">
        <v>376</v>
      </c>
      <c r="Q1464" s="269" t="s">
        <v>129</v>
      </c>
      <c r="R1464" s="269" t="s">
        <v>131</v>
      </c>
      <c r="S1464" s="269" t="s">
        <v>131</v>
      </c>
      <c r="T1464" s="269"/>
      <c r="U1464" s="269"/>
      <c r="V1464" s="270" t="s">
        <v>295</v>
      </c>
      <c r="W1464" s="269" t="s">
        <v>26</v>
      </c>
      <c r="X1464" s="269"/>
      <c r="Y1464" s="269"/>
      <c r="Z1464" s="269"/>
      <c r="AA1464" s="269" t="s">
        <v>129</v>
      </c>
      <c r="AB1464" s="269"/>
      <c r="AC1464" s="269"/>
      <c r="AD1464" s="270" t="s">
        <v>5</v>
      </c>
    </row>
    <row r="1465" spans="1:30" s="271" customFormat="1" ht="33" customHeight="1" x14ac:dyDescent="0.3">
      <c r="A1465" s="167">
        <v>29</v>
      </c>
      <c r="B1465" s="168">
        <v>184</v>
      </c>
      <c r="C1465" s="261" t="str">
        <f t="shared" si="31"/>
        <v>29.184</v>
      </c>
      <c r="D1465" s="262" t="s">
        <v>1249</v>
      </c>
      <c r="E1465" s="64" t="str">
        <f>IF(ISBLANK(D1465)=TRUE,"",VLOOKUP(D1465,Krav!$C:$F,4,FALSE))</f>
        <v>10.a.2.2.6 - Hvis der er svaret "I visse tilfælde" i spørgsmål 9 og hvis der er svaret "Ja" i enten 9.b.1, 9.b.2.1 eller 9.b.2.2.1 skal brugeren ledes til spørgsmål 11</v>
      </c>
      <c r="F1465" s="263" t="s">
        <v>143</v>
      </c>
      <c r="G1465" s="263" t="s">
        <v>1427</v>
      </c>
      <c r="H1465" s="265" t="s">
        <v>1433</v>
      </c>
      <c r="I1465" s="266" t="s">
        <v>560</v>
      </c>
      <c r="J1465" s="266" t="s">
        <v>222</v>
      </c>
      <c r="K1465" s="125" t="s">
        <v>222</v>
      </c>
      <c r="L1465" s="268" t="s">
        <v>3</v>
      </c>
      <c r="M1465" s="269" t="s">
        <v>131</v>
      </c>
      <c r="N1465" s="269" t="s">
        <v>129</v>
      </c>
      <c r="O1465" s="269" t="s">
        <v>96</v>
      </c>
      <c r="P1465" s="269" t="s">
        <v>376</v>
      </c>
      <c r="Q1465" s="269" t="s">
        <v>129</v>
      </c>
      <c r="R1465" s="269" t="s">
        <v>131</v>
      </c>
      <c r="S1465" s="269" t="s">
        <v>131</v>
      </c>
      <c r="T1465" s="269"/>
      <c r="U1465" s="269"/>
      <c r="V1465" s="270" t="s">
        <v>295</v>
      </c>
      <c r="W1465" s="269" t="s">
        <v>166</v>
      </c>
      <c r="X1465" s="269" t="s">
        <v>26</v>
      </c>
      <c r="Y1465" s="269"/>
      <c r="Z1465" s="269"/>
      <c r="AA1465" s="269" t="s">
        <v>129</v>
      </c>
      <c r="AB1465" s="269"/>
      <c r="AC1465" s="269"/>
      <c r="AD1465" s="270" t="s">
        <v>5</v>
      </c>
    </row>
    <row r="1466" spans="1:30" s="271" customFormat="1" ht="33" customHeight="1" x14ac:dyDescent="0.3">
      <c r="A1466" s="167">
        <v>29</v>
      </c>
      <c r="B1466" s="168">
        <v>185</v>
      </c>
      <c r="C1466" s="261" t="str">
        <f t="shared" si="31"/>
        <v>29.185</v>
      </c>
      <c r="D1466" s="262" t="s">
        <v>1249</v>
      </c>
      <c r="E1466" s="64" t="str">
        <f>IF(ISBLANK(D1466)=TRUE,"",VLOOKUP(D1466,Krav!$C:$F,4,FALSE))</f>
        <v>10.a.2.2.6 - Hvis der er svaret "I visse tilfælde" i spørgsmål 9 og hvis der er svaret "Ja" i enten 9.b.1, 9.b.2.1 eller 9.b.2.2.1 skal brugeren ledes til spørgsmål 11</v>
      </c>
      <c r="F1466" s="263" t="s">
        <v>143</v>
      </c>
      <c r="G1466" s="263" t="s">
        <v>1427</v>
      </c>
      <c r="H1466" s="265" t="s">
        <v>1433</v>
      </c>
      <c r="I1466" s="266" t="s">
        <v>560</v>
      </c>
      <c r="J1466" s="266" t="s">
        <v>222</v>
      </c>
      <c r="K1466" s="125" t="s">
        <v>222</v>
      </c>
      <c r="L1466" s="274" t="s">
        <v>3</v>
      </c>
      <c r="M1466" s="269" t="s">
        <v>131</v>
      </c>
      <c r="N1466" s="269" t="s">
        <v>129</v>
      </c>
      <c r="O1466" s="269" t="s">
        <v>96</v>
      </c>
      <c r="P1466" s="269" t="s">
        <v>376</v>
      </c>
      <c r="Q1466" s="269" t="s">
        <v>129</v>
      </c>
      <c r="R1466" s="269" t="s">
        <v>131</v>
      </c>
      <c r="S1466" s="269" t="s">
        <v>131</v>
      </c>
      <c r="T1466" s="269"/>
      <c r="U1466" s="269"/>
      <c r="V1466" s="270" t="s">
        <v>295</v>
      </c>
      <c r="W1466" s="269" t="s">
        <v>166</v>
      </c>
      <c r="X1466" s="269" t="s">
        <v>166</v>
      </c>
      <c r="Y1466" s="269" t="s">
        <v>580</v>
      </c>
      <c r="Z1466" s="269"/>
      <c r="AA1466" s="269" t="s">
        <v>129</v>
      </c>
      <c r="AB1466" s="269"/>
      <c r="AC1466" s="269"/>
      <c r="AD1466" s="270" t="s">
        <v>5</v>
      </c>
    </row>
    <row r="1467" spans="1:30" s="271" customFormat="1" ht="33" customHeight="1" x14ac:dyDescent="0.3">
      <c r="A1467" s="167">
        <v>29</v>
      </c>
      <c r="B1467" s="168">
        <v>186</v>
      </c>
      <c r="C1467" s="261" t="str">
        <f t="shared" si="31"/>
        <v>29.186</v>
      </c>
      <c r="D1467" s="262"/>
      <c r="E1467" s="64" t="str">
        <f>IF(ISBLANK(D1467)=TRUE,"",VLOOKUP(D1467,Krav!$C:$F,4,FALSE))</f>
        <v/>
      </c>
      <c r="F1467" s="263" t="s">
        <v>143</v>
      </c>
      <c r="G1467" s="263" t="s">
        <v>1427</v>
      </c>
      <c r="H1467" s="265" t="s">
        <v>1446</v>
      </c>
      <c r="I1467" s="266" t="s">
        <v>560</v>
      </c>
      <c r="J1467" s="266" t="s">
        <v>222</v>
      </c>
      <c r="K1467" s="125" t="s">
        <v>222</v>
      </c>
      <c r="L1467" s="274" t="s">
        <v>3</v>
      </c>
      <c r="M1467" s="269" t="s">
        <v>131</v>
      </c>
      <c r="N1467" s="269" t="s">
        <v>129</v>
      </c>
      <c r="O1467" s="269" t="s">
        <v>96</v>
      </c>
      <c r="P1467" s="269" t="s">
        <v>376</v>
      </c>
      <c r="Q1467" s="269" t="s">
        <v>129</v>
      </c>
      <c r="R1467" s="269" t="s">
        <v>131</v>
      </c>
      <c r="S1467" s="269" t="s">
        <v>131</v>
      </c>
      <c r="T1467" s="269"/>
      <c r="U1467" s="269"/>
      <c r="V1467" s="269" t="s">
        <v>294</v>
      </c>
      <c r="W1467" s="269"/>
      <c r="X1467" s="269"/>
      <c r="Y1467" s="269"/>
      <c r="Z1467" s="269"/>
      <c r="AA1467" s="269" t="s">
        <v>129</v>
      </c>
      <c r="AB1467" s="269"/>
      <c r="AC1467" s="269"/>
      <c r="AD1467" s="270" t="s">
        <v>5</v>
      </c>
    </row>
    <row r="1468" spans="1:30" s="271" customFormat="1" ht="33" customHeight="1" x14ac:dyDescent="0.3">
      <c r="A1468" s="167">
        <v>29</v>
      </c>
      <c r="B1468" s="168">
        <v>187</v>
      </c>
      <c r="C1468" s="261" t="str">
        <f t="shared" si="31"/>
        <v>29.187</v>
      </c>
      <c r="D1468" s="262" t="s">
        <v>1249</v>
      </c>
      <c r="E1468" s="64" t="str">
        <f>IF(ISBLANK(D1468)=TRUE,"",VLOOKUP(D1468,Krav!$C:$F,4,FALSE))</f>
        <v>10.a.2.2.6 - Hvis der er svaret "I visse tilfælde" i spørgsmål 9 og hvis der er svaret "Ja" i enten 9.b.1, 9.b.2.1 eller 9.b.2.2.1 skal brugeren ledes til spørgsmål 11</v>
      </c>
      <c r="F1468" s="263" t="s">
        <v>143</v>
      </c>
      <c r="G1468" s="263" t="s">
        <v>1427</v>
      </c>
      <c r="H1468" s="265" t="s">
        <v>1433</v>
      </c>
      <c r="I1468" s="266" t="s">
        <v>565</v>
      </c>
      <c r="J1468" s="266" t="s">
        <v>222</v>
      </c>
      <c r="K1468" s="125" t="s">
        <v>222</v>
      </c>
      <c r="L1468" s="268" t="s">
        <v>3</v>
      </c>
      <c r="M1468" s="269" t="s">
        <v>131</v>
      </c>
      <c r="N1468" s="269" t="s">
        <v>129</v>
      </c>
      <c r="O1468" s="269" t="s">
        <v>96</v>
      </c>
      <c r="P1468" s="269" t="s">
        <v>376</v>
      </c>
      <c r="Q1468" s="269" t="s">
        <v>129</v>
      </c>
      <c r="R1468" s="269" t="s">
        <v>131</v>
      </c>
      <c r="S1468" s="269" t="s">
        <v>131</v>
      </c>
      <c r="T1468" s="269"/>
      <c r="U1468" s="269"/>
      <c r="V1468" s="270" t="s">
        <v>295</v>
      </c>
      <c r="W1468" s="269" t="s">
        <v>26</v>
      </c>
      <c r="X1468" s="269"/>
      <c r="Y1468" s="269"/>
      <c r="Z1468" s="269"/>
      <c r="AA1468" s="269"/>
      <c r="AB1468" s="269" t="s">
        <v>129</v>
      </c>
      <c r="AC1468" s="269"/>
      <c r="AD1468" s="270" t="s">
        <v>5</v>
      </c>
    </row>
    <row r="1469" spans="1:30" s="271" customFormat="1" ht="33" customHeight="1" x14ac:dyDescent="0.3">
      <c r="A1469" s="167">
        <v>29</v>
      </c>
      <c r="B1469" s="168">
        <v>188</v>
      </c>
      <c r="C1469" s="261" t="str">
        <f t="shared" si="31"/>
        <v>29.188</v>
      </c>
      <c r="D1469" s="262" t="s">
        <v>1249</v>
      </c>
      <c r="E1469" s="64" t="str">
        <f>IF(ISBLANK(D1469)=TRUE,"",VLOOKUP(D1469,Krav!$C:$F,4,FALSE))</f>
        <v>10.a.2.2.6 - Hvis der er svaret "I visse tilfælde" i spørgsmål 9 og hvis der er svaret "Ja" i enten 9.b.1, 9.b.2.1 eller 9.b.2.2.1 skal brugeren ledes til spørgsmål 11</v>
      </c>
      <c r="F1469" s="263" t="s">
        <v>143</v>
      </c>
      <c r="G1469" s="263" t="s">
        <v>1427</v>
      </c>
      <c r="H1469" s="265" t="s">
        <v>1433</v>
      </c>
      <c r="I1469" s="266" t="s">
        <v>565</v>
      </c>
      <c r="J1469" s="266" t="s">
        <v>222</v>
      </c>
      <c r="K1469" s="125" t="s">
        <v>222</v>
      </c>
      <c r="L1469" s="268" t="s">
        <v>3</v>
      </c>
      <c r="M1469" s="269" t="s">
        <v>131</v>
      </c>
      <c r="N1469" s="269" t="s">
        <v>129</v>
      </c>
      <c r="O1469" s="269" t="s">
        <v>96</v>
      </c>
      <c r="P1469" s="269" t="s">
        <v>376</v>
      </c>
      <c r="Q1469" s="269" t="s">
        <v>129</v>
      </c>
      <c r="R1469" s="269" t="s">
        <v>131</v>
      </c>
      <c r="S1469" s="269" t="s">
        <v>131</v>
      </c>
      <c r="T1469" s="269"/>
      <c r="U1469" s="269"/>
      <c r="V1469" s="270" t="s">
        <v>295</v>
      </c>
      <c r="W1469" s="269" t="s">
        <v>166</v>
      </c>
      <c r="X1469" s="269" t="s">
        <v>26</v>
      </c>
      <c r="Y1469" s="269"/>
      <c r="Z1469" s="269"/>
      <c r="AA1469" s="269"/>
      <c r="AB1469" s="269" t="s">
        <v>129</v>
      </c>
      <c r="AC1469" s="269"/>
      <c r="AD1469" s="270" t="s">
        <v>5</v>
      </c>
    </row>
    <row r="1470" spans="1:30" s="271" customFormat="1" ht="33" customHeight="1" x14ac:dyDescent="0.3">
      <c r="A1470" s="167">
        <v>29</v>
      </c>
      <c r="B1470" s="168">
        <v>189</v>
      </c>
      <c r="C1470" s="261" t="str">
        <f t="shared" si="31"/>
        <v>29.189</v>
      </c>
      <c r="D1470" s="262" t="s">
        <v>1249</v>
      </c>
      <c r="E1470" s="64" t="str">
        <f>IF(ISBLANK(D1470)=TRUE,"",VLOOKUP(D1470,Krav!$C:$F,4,FALSE))</f>
        <v>10.a.2.2.6 - Hvis der er svaret "I visse tilfælde" i spørgsmål 9 og hvis der er svaret "Ja" i enten 9.b.1, 9.b.2.1 eller 9.b.2.2.1 skal brugeren ledes til spørgsmål 11</v>
      </c>
      <c r="F1470" s="263" t="s">
        <v>143</v>
      </c>
      <c r="G1470" s="263" t="s">
        <v>1427</v>
      </c>
      <c r="H1470" s="265" t="s">
        <v>1433</v>
      </c>
      <c r="I1470" s="266" t="s">
        <v>565</v>
      </c>
      <c r="J1470" s="266" t="s">
        <v>222</v>
      </c>
      <c r="K1470" s="125" t="s">
        <v>222</v>
      </c>
      <c r="L1470" s="274" t="s">
        <v>3</v>
      </c>
      <c r="M1470" s="269" t="s">
        <v>131</v>
      </c>
      <c r="N1470" s="269" t="s">
        <v>129</v>
      </c>
      <c r="O1470" s="269" t="s">
        <v>96</v>
      </c>
      <c r="P1470" s="269" t="s">
        <v>376</v>
      </c>
      <c r="Q1470" s="269" t="s">
        <v>129</v>
      </c>
      <c r="R1470" s="269" t="s">
        <v>131</v>
      </c>
      <c r="S1470" s="269" t="s">
        <v>131</v>
      </c>
      <c r="T1470" s="269"/>
      <c r="U1470" s="269"/>
      <c r="V1470" s="270" t="s">
        <v>295</v>
      </c>
      <c r="W1470" s="269" t="s">
        <v>166</v>
      </c>
      <c r="X1470" s="269" t="s">
        <v>166</v>
      </c>
      <c r="Y1470" s="269" t="s">
        <v>580</v>
      </c>
      <c r="Z1470" s="269"/>
      <c r="AA1470" s="269"/>
      <c r="AB1470" s="269" t="s">
        <v>129</v>
      </c>
      <c r="AC1470" s="269"/>
      <c r="AD1470" s="270" t="s">
        <v>5</v>
      </c>
    </row>
    <row r="1471" spans="1:30" s="271" customFormat="1" ht="33" customHeight="1" x14ac:dyDescent="0.3">
      <c r="A1471" s="167">
        <v>29</v>
      </c>
      <c r="B1471" s="168">
        <v>190</v>
      </c>
      <c r="C1471" s="261" t="str">
        <f t="shared" si="31"/>
        <v>29.190</v>
      </c>
      <c r="D1471" s="262"/>
      <c r="E1471" s="64" t="str">
        <f>IF(ISBLANK(D1471)=TRUE,"",VLOOKUP(D1471,Krav!$C:$F,4,FALSE))</f>
        <v/>
      </c>
      <c r="F1471" s="263" t="s">
        <v>143</v>
      </c>
      <c r="G1471" s="263" t="s">
        <v>1427</v>
      </c>
      <c r="H1471" s="265" t="s">
        <v>1446</v>
      </c>
      <c r="I1471" s="266" t="s">
        <v>565</v>
      </c>
      <c r="J1471" s="266" t="s">
        <v>222</v>
      </c>
      <c r="K1471" s="125" t="s">
        <v>222</v>
      </c>
      <c r="L1471" s="274" t="s">
        <v>3</v>
      </c>
      <c r="M1471" s="269" t="s">
        <v>131</v>
      </c>
      <c r="N1471" s="269" t="s">
        <v>129</v>
      </c>
      <c r="O1471" s="269" t="s">
        <v>96</v>
      </c>
      <c r="P1471" s="269" t="s">
        <v>376</v>
      </c>
      <c r="Q1471" s="269" t="s">
        <v>129</v>
      </c>
      <c r="R1471" s="269" t="s">
        <v>131</v>
      </c>
      <c r="S1471" s="269" t="s">
        <v>131</v>
      </c>
      <c r="T1471" s="269"/>
      <c r="U1471" s="269"/>
      <c r="V1471" s="269" t="s">
        <v>294</v>
      </c>
      <c r="W1471" s="269"/>
      <c r="X1471" s="269"/>
      <c r="Y1471" s="269"/>
      <c r="Z1471" s="269"/>
      <c r="AA1471" s="269"/>
      <c r="AB1471" s="269" t="s">
        <v>129</v>
      </c>
      <c r="AC1471" s="269"/>
      <c r="AD1471" s="270" t="s">
        <v>5</v>
      </c>
    </row>
    <row r="1472" spans="1:30" s="182" customFormat="1" ht="33" customHeight="1" x14ac:dyDescent="0.3">
      <c r="A1472" s="167">
        <v>29</v>
      </c>
      <c r="B1472" s="168">
        <v>191</v>
      </c>
      <c r="C1472" s="278" t="str">
        <f t="shared" si="31"/>
        <v>29.191</v>
      </c>
      <c r="D1472" s="279"/>
      <c r="E1472" s="64" t="str">
        <f>IF(ISBLANK(D1472)=TRUE,"",VLOOKUP(D1472,Krav!$C:$F,4,FALSE))</f>
        <v/>
      </c>
      <c r="F1472" s="281" t="s">
        <v>224</v>
      </c>
      <c r="G1472" s="282" t="s">
        <v>230</v>
      </c>
      <c r="H1472" s="283" t="s">
        <v>1448</v>
      </c>
      <c r="I1472" s="284" t="s">
        <v>129</v>
      </c>
      <c r="J1472" s="285" t="s">
        <v>222</v>
      </c>
      <c r="K1472" s="123" t="s">
        <v>222</v>
      </c>
      <c r="L1472" s="287" t="s">
        <v>3</v>
      </c>
      <c r="M1472" s="288" t="s">
        <v>129</v>
      </c>
      <c r="N1472" s="288"/>
      <c r="O1472" s="288"/>
      <c r="P1472" s="288"/>
      <c r="Q1472" s="288"/>
      <c r="R1472" s="288"/>
      <c r="S1472" s="288"/>
      <c r="T1472" s="288"/>
      <c r="U1472" s="288"/>
      <c r="V1472" s="288"/>
      <c r="W1472" s="288"/>
      <c r="X1472" s="288"/>
      <c r="Y1472" s="288"/>
      <c r="Z1472" s="288"/>
      <c r="AA1472" s="288"/>
      <c r="AB1472" s="288"/>
      <c r="AC1472" s="288"/>
      <c r="AD1472" s="289" t="s">
        <v>5</v>
      </c>
    </row>
    <row r="1473" spans="1:38" s="182" customFormat="1" ht="33" customHeight="1" x14ac:dyDescent="0.3">
      <c r="A1473" s="167">
        <v>29</v>
      </c>
      <c r="B1473" s="168">
        <v>192</v>
      </c>
      <c r="C1473" s="278" t="str">
        <f t="shared" si="31"/>
        <v>29.192</v>
      </c>
      <c r="D1473" s="279"/>
      <c r="E1473" s="64" t="str">
        <f>IF(ISBLANK(D1473)=TRUE,"",VLOOKUP(D1473,Krav!$C:$F,4,FALSE))</f>
        <v/>
      </c>
      <c r="F1473" s="281" t="s">
        <v>224</v>
      </c>
      <c r="G1473" s="282" t="s">
        <v>230</v>
      </c>
      <c r="H1473" s="280" t="s">
        <v>1449</v>
      </c>
      <c r="I1473" s="290" t="s">
        <v>131</v>
      </c>
      <c r="J1473" s="286" t="s">
        <v>222</v>
      </c>
      <c r="K1473" s="123" t="s">
        <v>222</v>
      </c>
      <c r="L1473" s="287" t="s">
        <v>3</v>
      </c>
      <c r="M1473" s="288"/>
      <c r="N1473" s="288"/>
      <c r="O1473" s="288"/>
      <c r="P1473" s="288"/>
      <c r="Q1473" s="288"/>
      <c r="R1473" s="288"/>
      <c r="S1473" s="288"/>
      <c r="T1473" s="288"/>
      <c r="U1473" s="288"/>
      <c r="V1473" s="288"/>
      <c r="W1473" s="288"/>
      <c r="X1473" s="288"/>
      <c r="Y1473" s="288"/>
      <c r="Z1473" s="288"/>
      <c r="AA1473" s="288"/>
      <c r="AB1473" s="288"/>
      <c r="AC1473" s="288"/>
      <c r="AD1473" s="289" t="s">
        <v>5</v>
      </c>
    </row>
    <row r="1474" spans="1:38" s="182" customFormat="1" ht="33" customHeight="1" x14ac:dyDescent="0.3">
      <c r="A1474" s="167">
        <v>29</v>
      </c>
      <c r="B1474" s="168">
        <v>193</v>
      </c>
      <c r="C1474" s="278" t="str">
        <f t="shared" si="31"/>
        <v>29.193</v>
      </c>
      <c r="D1474" s="279"/>
      <c r="E1474" s="64" t="str">
        <f>IF(ISBLANK(D1474)=TRUE,"",VLOOKUP(D1474,Krav!$C:$F,4,FALSE))</f>
        <v/>
      </c>
      <c r="F1474" s="281" t="s">
        <v>224</v>
      </c>
      <c r="G1474" s="282" t="s">
        <v>231</v>
      </c>
      <c r="H1474" s="283" t="s">
        <v>1450</v>
      </c>
      <c r="I1474" s="284" t="s">
        <v>129</v>
      </c>
      <c r="J1474" s="285" t="s">
        <v>222</v>
      </c>
      <c r="K1474" s="123" t="s">
        <v>222</v>
      </c>
      <c r="L1474" s="291" t="s">
        <v>3</v>
      </c>
      <c r="M1474" s="288"/>
      <c r="N1474" s="288" t="s">
        <v>129</v>
      </c>
      <c r="O1474" s="288"/>
      <c r="P1474" s="288"/>
      <c r="Q1474" s="288"/>
      <c r="R1474" s="288"/>
      <c r="S1474" s="288"/>
      <c r="T1474" s="288"/>
      <c r="U1474" s="288"/>
      <c r="V1474" s="288"/>
      <c r="W1474" s="288"/>
      <c r="X1474" s="288"/>
      <c r="Y1474" s="288"/>
      <c r="Z1474" s="288"/>
      <c r="AA1474" s="288"/>
      <c r="AB1474" s="288"/>
      <c r="AC1474" s="288"/>
      <c r="AD1474" s="289" t="s">
        <v>5</v>
      </c>
    </row>
    <row r="1475" spans="1:38" s="182" customFormat="1" ht="33" customHeight="1" x14ac:dyDescent="0.3">
      <c r="A1475" s="167">
        <v>29</v>
      </c>
      <c r="B1475" s="168">
        <v>194</v>
      </c>
      <c r="C1475" s="278" t="str">
        <f t="shared" si="31"/>
        <v>29.194</v>
      </c>
      <c r="D1475" s="279"/>
      <c r="E1475" s="64" t="str">
        <f>IF(ISBLANK(D1475)=TRUE,"",VLOOKUP(D1475,Krav!$C:$F,4,FALSE))</f>
        <v/>
      </c>
      <c r="F1475" s="281" t="s">
        <v>224</v>
      </c>
      <c r="G1475" s="282" t="s">
        <v>231</v>
      </c>
      <c r="H1475" s="280" t="s">
        <v>350</v>
      </c>
      <c r="I1475" s="290" t="s">
        <v>131</v>
      </c>
      <c r="J1475" s="286" t="s">
        <v>222</v>
      </c>
      <c r="K1475" s="123" t="s">
        <v>222</v>
      </c>
      <c r="L1475" s="291" t="s">
        <v>3</v>
      </c>
      <c r="M1475" s="288"/>
      <c r="N1475" s="288"/>
      <c r="O1475" s="288"/>
      <c r="P1475" s="288"/>
      <c r="Q1475" s="288"/>
      <c r="R1475" s="288"/>
      <c r="S1475" s="288"/>
      <c r="T1475" s="288"/>
      <c r="U1475" s="288"/>
      <c r="V1475" s="288"/>
      <c r="W1475" s="288"/>
      <c r="X1475" s="288"/>
      <c r="Y1475" s="288"/>
      <c r="Z1475" s="288"/>
      <c r="AA1475" s="288"/>
      <c r="AB1475" s="288"/>
      <c r="AC1475" s="288"/>
      <c r="AD1475" s="289" t="s">
        <v>5</v>
      </c>
    </row>
    <row r="1476" spans="1:38" s="182" customFormat="1" ht="33" customHeight="1" x14ac:dyDescent="0.3">
      <c r="A1476" s="167">
        <v>29</v>
      </c>
      <c r="B1476" s="168">
        <v>195</v>
      </c>
      <c r="C1476" s="278" t="str">
        <f t="shared" si="31"/>
        <v>29.195</v>
      </c>
      <c r="D1476" s="279"/>
      <c r="E1476" s="64" t="str">
        <f>IF(ISBLANK(D1476)=TRUE,"",VLOOKUP(D1476,Krav!$C:$F,4,FALSE))</f>
        <v/>
      </c>
      <c r="F1476" s="281" t="s">
        <v>224</v>
      </c>
      <c r="G1476" s="282" t="s">
        <v>1388</v>
      </c>
      <c r="H1476" s="283" t="s">
        <v>1451</v>
      </c>
      <c r="I1476" s="284" t="s">
        <v>376</v>
      </c>
      <c r="J1476" s="285" t="s">
        <v>222</v>
      </c>
      <c r="K1476" s="123" t="s">
        <v>222</v>
      </c>
      <c r="L1476" s="287" t="s">
        <v>3</v>
      </c>
      <c r="M1476" s="288"/>
      <c r="N1476" s="288"/>
      <c r="O1476" s="288" t="s">
        <v>376</v>
      </c>
      <c r="P1476" s="288"/>
      <c r="Q1476" s="288"/>
      <c r="R1476" s="288"/>
      <c r="S1476" s="288"/>
      <c r="T1476" s="288"/>
      <c r="U1476" s="288"/>
      <c r="V1476" s="288"/>
      <c r="W1476" s="288"/>
      <c r="X1476" s="288"/>
      <c r="Y1476" s="288"/>
      <c r="Z1476" s="288"/>
      <c r="AA1476" s="288"/>
      <c r="AB1476" s="288"/>
      <c r="AC1476" s="288"/>
      <c r="AD1476" s="289" t="s">
        <v>5</v>
      </c>
    </row>
    <row r="1477" spans="1:38" s="182" customFormat="1" ht="33" customHeight="1" x14ac:dyDescent="0.3">
      <c r="A1477" s="167">
        <v>29</v>
      </c>
      <c r="B1477" s="168">
        <v>196</v>
      </c>
      <c r="C1477" s="278" t="str">
        <f t="shared" si="31"/>
        <v>29.196</v>
      </c>
      <c r="D1477" s="279"/>
      <c r="E1477" s="64" t="str">
        <f>IF(ISBLANK(D1477)=TRUE,"",VLOOKUP(D1477,Krav!$C:$F,4,FALSE))</f>
        <v/>
      </c>
      <c r="F1477" s="281" t="s">
        <v>224</v>
      </c>
      <c r="G1477" s="282" t="s">
        <v>1388</v>
      </c>
      <c r="H1477" s="292" t="s">
        <v>1449</v>
      </c>
      <c r="I1477" s="286" t="s">
        <v>469</v>
      </c>
      <c r="J1477" s="286" t="s">
        <v>222</v>
      </c>
      <c r="K1477" s="125" t="s">
        <v>222</v>
      </c>
      <c r="L1477" s="287" t="s">
        <v>3</v>
      </c>
      <c r="M1477" s="288"/>
      <c r="N1477" s="288"/>
      <c r="O1477" s="288"/>
      <c r="P1477" s="288"/>
      <c r="Q1477" s="288"/>
      <c r="R1477" s="288"/>
      <c r="S1477" s="288"/>
      <c r="T1477" s="288"/>
      <c r="U1477" s="288"/>
      <c r="V1477" s="288"/>
      <c r="W1477" s="288"/>
      <c r="X1477" s="288"/>
      <c r="Y1477" s="288"/>
      <c r="Z1477" s="288"/>
      <c r="AA1477" s="288"/>
      <c r="AB1477" s="288"/>
      <c r="AC1477" s="288"/>
      <c r="AD1477" s="289" t="s">
        <v>5</v>
      </c>
    </row>
    <row r="1478" spans="1:38" s="295" customFormat="1" ht="33" customHeight="1" x14ac:dyDescent="0.3">
      <c r="A1478" s="167">
        <v>29</v>
      </c>
      <c r="B1478" s="168">
        <v>197</v>
      </c>
      <c r="C1478" s="278" t="str">
        <f t="shared" si="31"/>
        <v>29.197</v>
      </c>
      <c r="D1478" s="279"/>
      <c r="E1478" s="64" t="str">
        <f>IF(ISBLANK(D1478)=TRUE,"",VLOOKUP(D1478,Krav!$C:$F,4,FALSE))</f>
        <v/>
      </c>
      <c r="F1478" s="281" t="s">
        <v>224</v>
      </c>
      <c r="G1478" s="282" t="s">
        <v>1389</v>
      </c>
      <c r="H1478" s="283" t="s">
        <v>1452</v>
      </c>
      <c r="I1478" s="284" t="s">
        <v>376</v>
      </c>
      <c r="J1478" s="293" t="s">
        <v>222</v>
      </c>
      <c r="K1478" s="128" t="s">
        <v>222</v>
      </c>
      <c r="L1478" s="291" t="s">
        <v>3</v>
      </c>
      <c r="M1478" s="288"/>
      <c r="N1478" s="288"/>
      <c r="O1478" s="288"/>
      <c r="P1478" s="288" t="s">
        <v>376</v>
      </c>
      <c r="Q1478" s="288"/>
      <c r="R1478" s="288"/>
      <c r="S1478" s="288"/>
      <c r="T1478" s="288"/>
      <c r="U1478" s="288"/>
      <c r="V1478" s="288"/>
      <c r="W1478" s="288"/>
      <c r="X1478" s="288"/>
      <c r="Y1478" s="288"/>
      <c r="Z1478" s="288"/>
      <c r="AA1478" s="288"/>
      <c r="AB1478" s="288"/>
      <c r="AC1478" s="288"/>
      <c r="AD1478" s="289" t="s">
        <v>5</v>
      </c>
      <c r="AE1478" s="182"/>
      <c r="AF1478" s="182"/>
      <c r="AG1478" s="182"/>
      <c r="AH1478" s="182"/>
      <c r="AI1478" s="182"/>
      <c r="AJ1478" s="182"/>
      <c r="AK1478" s="182"/>
      <c r="AL1478" s="182"/>
    </row>
    <row r="1479" spans="1:38" s="295" customFormat="1" ht="33" customHeight="1" x14ac:dyDescent="0.3">
      <c r="A1479" s="167">
        <v>29</v>
      </c>
      <c r="B1479" s="168">
        <v>198</v>
      </c>
      <c r="C1479" s="278" t="str">
        <f t="shared" si="31"/>
        <v>29.198</v>
      </c>
      <c r="D1479" s="279"/>
      <c r="E1479" s="64" t="str">
        <f>IF(ISBLANK(D1479)=TRUE,"",VLOOKUP(D1479,Krav!$C:$F,4,FALSE))</f>
        <v/>
      </c>
      <c r="F1479" s="281" t="s">
        <v>224</v>
      </c>
      <c r="G1479" s="282" t="s">
        <v>1389</v>
      </c>
      <c r="H1479" s="292" t="s">
        <v>1449</v>
      </c>
      <c r="I1479" s="286" t="s">
        <v>469</v>
      </c>
      <c r="J1479" s="293" t="s">
        <v>222</v>
      </c>
      <c r="K1479" s="127" t="s">
        <v>222</v>
      </c>
      <c r="L1479" s="291" t="s">
        <v>3</v>
      </c>
      <c r="M1479" s="288"/>
      <c r="N1479" s="288"/>
      <c r="O1479" s="288"/>
      <c r="P1479" s="288"/>
      <c r="Q1479" s="288"/>
      <c r="R1479" s="288"/>
      <c r="S1479" s="288"/>
      <c r="T1479" s="288"/>
      <c r="U1479" s="288"/>
      <c r="V1479" s="288"/>
      <c r="W1479" s="288"/>
      <c r="X1479" s="288"/>
      <c r="Y1479" s="288"/>
      <c r="Z1479" s="288"/>
      <c r="AA1479" s="288"/>
      <c r="AB1479" s="288"/>
      <c r="AC1479" s="288"/>
      <c r="AD1479" s="289" t="s">
        <v>5</v>
      </c>
      <c r="AE1479" s="182"/>
      <c r="AF1479" s="182"/>
      <c r="AG1479" s="182"/>
      <c r="AH1479" s="182"/>
      <c r="AI1479" s="182"/>
      <c r="AJ1479" s="182"/>
      <c r="AK1479" s="182"/>
      <c r="AL1479" s="182"/>
    </row>
    <row r="1480" spans="1:38" s="182" customFormat="1" ht="33" customHeight="1" x14ac:dyDescent="0.3">
      <c r="A1480" s="167">
        <v>29</v>
      </c>
      <c r="B1480" s="168">
        <v>199</v>
      </c>
      <c r="C1480" s="278" t="str">
        <f t="shared" si="31"/>
        <v>29.199</v>
      </c>
      <c r="D1480" s="279"/>
      <c r="E1480" s="64" t="str">
        <f>IF(ISBLANK(D1480)=TRUE,"",VLOOKUP(D1480,Krav!$C:$F,4,FALSE))</f>
        <v/>
      </c>
      <c r="F1480" s="281" t="s">
        <v>418</v>
      </c>
      <c r="G1480" s="282" t="s">
        <v>445</v>
      </c>
      <c r="H1480" s="296" t="s">
        <v>451</v>
      </c>
      <c r="I1480" s="286" t="s">
        <v>129</v>
      </c>
      <c r="J1480" s="285" t="s">
        <v>222</v>
      </c>
      <c r="K1480" s="125" t="s">
        <v>222</v>
      </c>
      <c r="L1480" s="291" t="s">
        <v>3</v>
      </c>
      <c r="M1480" s="288" t="s">
        <v>129</v>
      </c>
      <c r="N1480" s="288" t="s">
        <v>131</v>
      </c>
      <c r="O1480" s="288" t="s">
        <v>376</v>
      </c>
      <c r="P1480" s="288" t="s">
        <v>376</v>
      </c>
      <c r="Q1480" s="288" t="s">
        <v>131</v>
      </c>
      <c r="R1480" s="288" t="s">
        <v>131</v>
      </c>
      <c r="S1480" s="288" t="s">
        <v>131</v>
      </c>
      <c r="T1480" s="288"/>
      <c r="U1480" s="288"/>
      <c r="V1480" s="288"/>
      <c r="W1480" s="288"/>
      <c r="X1480" s="288"/>
      <c r="Y1480" s="288"/>
      <c r="Z1480" s="288"/>
      <c r="AA1480" s="288"/>
      <c r="AB1480" s="288"/>
      <c r="AC1480" s="288"/>
      <c r="AD1480" s="289" t="s">
        <v>5</v>
      </c>
    </row>
    <row r="1481" spans="1:38" s="182" customFormat="1" ht="33" customHeight="1" x14ac:dyDescent="0.3">
      <c r="A1481" s="167">
        <v>29</v>
      </c>
      <c r="B1481" s="168">
        <v>200</v>
      </c>
      <c r="C1481" s="278" t="str">
        <f t="shared" si="31"/>
        <v>29.200</v>
      </c>
      <c r="D1481" s="279"/>
      <c r="E1481" s="64" t="str">
        <f>IF(ISBLANK(D1481)=TRUE,"",VLOOKUP(D1481,Krav!$C:$F,4,FALSE))</f>
        <v/>
      </c>
      <c r="F1481" s="281" t="s">
        <v>418</v>
      </c>
      <c r="G1481" s="282" t="s">
        <v>445</v>
      </c>
      <c r="H1481" s="296" t="s">
        <v>451</v>
      </c>
      <c r="I1481" s="286" t="s">
        <v>129</v>
      </c>
      <c r="J1481" s="285" t="s">
        <v>222</v>
      </c>
      <c r="K1481" s="125" t="s">
        <v>222</v>
      </c>
      <c r="L1481" s="291" t="s">
        <v>3</v>
      </c>
      <c r="M1481" s="288" t="s">
        <v>129</v>
      </c>
      <c r="N1481" s="288" t="s">
        <v>131</v>
      </c>
      <c r="O1481" s="288" t="s">
        <v>376</v>
      </c>
      <c r="P1481" s="288" t="s">
        <v>376</v>
      </c>
      <c r="Q1481" s="288" t="s">
        <v>131</v>
      </c>
      <c r="R1481" s="288" t="s">
        <v>131</v>
      </c>
      <c r="S1481" s="288" t="s">
        <v>131</v>
      </c>
      <c r="T1481" s="288"/>
      <c r="U1481" s="288"/>
      <c r="V1481" s="288"/>
      <c r="W1481" s="288"/>
      <c r="X1481" s="288"/>
      <c r="Y1481" s="288"/>
      <c r="Z1481" s="288"/>
      <c r="AA1481" s="288"/>
      <c r="AB1481" s="288"/>
      <c r="AC1481" s="288"/>
      <c r="AD1481" s="289" t="s">
        <v>5</v>
      </c>
    </row>
    <row r="1482" spans="1:38" s="182" customFormat="1" ht="33" customHeight="1" x14ac:dyDescent="0.3">
      <c r="A1482" s="167">
        <v>29</v>
      </c>
      <c r="B1482" s="168">
        <v>201</v>
      </c>
      <c r="C1482" s="278" t="str">
        <f t="shared" si="31"/>
        <v>29.201</v>
      </c>
      <c r="D1482" s="279"/>
      <c r="E1482" s="64" t="str">
        <f>IF(ISBLANK(D1482)=TRUE,"",VLOOKUP(D1482,Krav!$C:$F,4,FALSE))</f>
        <v/>
      </c>
      <c r="F1482" s="281" t="s">
        <v>418</v>
      </c>
      <c r="G1482" s="282" t="s">
        <v>445</v>
      </c>
      <c r="H1482" s="296" t="s">
        <v>451</v>
      </c>
      <c r="I1482" s="286" t="s">
        <v>129</v>
      </c>
      <c r="J1482" s="285" t="s">
        <v>222</v>
      </c>
      <c r="K1482" s="125" t="s">
        <v>222</v>
      </c>
      <c r="L1482" s="291" t="s">
        <v>3</v>
      </c>
      <c r="M1482" s="288" t="s">
        <v>129</v>
      </c>
      <c r="N1482" s="288" t="s">
        <v>131</v>
      </c>
      <c r="O1482" s="288" t="s">
        <v>376</v>
      </c>
      <c r="P1482" s="288" t="s">
        <v>96</v>
      </c>
      <c r="Q1482" s="288" t="s">
        <v>131</v>
      </c>
      <c r="R1482" s="288" t="s">
        <v>131</v>
      </c>
      <c r="S1482" s="288" t="s">
        <v>129</v>
      </c>
      <c r="T1482" s="288"/>
      <c r="U1482" s="288"/>
      <c r="V1482" s="288"/>
      <c r="W1482" s="288"/>
      <c r="X1482" s="288"/>
      <c r="Y1482" s="288"/>
      <c r="Z1482" s="288"/>
      <c r="AA1482" s="288"/>
      <c r="AB1482" s="288"/>
      <c r="AC1482" s="288"/>
      <c r="AD1482" s="289" t="s">
        <v>5</v>
      </c>
    </row>
    <row r="1483" spans="1:38" s="182" customFormat="1" ht="33" customHeight="1" x14ac:dyDescent="0.3">
      <c r="A1483" s="167">
        <v>29</v>
      </c>
      <c r="B1483" s="168">
        <v>202</v>
      </c>
      <c r="C1483" s="278" t="str">
        <f t="shared" si="31"/>
        <v>29.202</v>
      </c>
      <c r="D1483" s="279"/>
      <c r="E1483" s="64" t="str">
        <f>IF(ISBLANK(D1483)=TRUE,"",VLOOKUP(D1483,Krav!$C:$F,4,FALSE))</f>
        <v/>
      </c>
      <c r="F1483" s="281" t="s">
        <v>418</v>
      </c>
      <c r="G1483" s="297" t="s">
        <v>446</v>
      </c>
      <c r="H1483" s="296" t="s">
        <v>451</v>
      </c>
      <c r="I1483" s="286" t="s">
        <v>129</v>
      </c>
      <c r="J1483" s="388" t="s">
        <v>222</v>
      </c>
      <c r="K1483" s="123" t="s">
        <v>222</v>
      </c>
      <c r="L1483" s="291" t="s">
        <v>3</v>
      </c>
      <c r="M1483" s="288" t="s">
        <v>129</v>
      </c>
      <c r="N1483" s="288" t="s">
        <v>131</v>
      </c>
      <c r="O1483" s="288" t="s">
        <v>376</v>
      </c>
      <c r="P1483" s="288" t="s">
        <v>96</v>
      </c>
      <c r="Q1483" s="288" t="s">
        <v>131</v>
      </c>
      <c r="R1483" s="288" t="s">
        <v>129</v>
      </c>
      <c r="S1483" s="288" t="s">
        <v>131</v>
      </c>
      <c r="T1483" s="288"/>
      <c r="U1483" s="288"/>
      <c r="V1483" s="288" t="s">
        <v>294</v>
      </c>
      <c r="W1483" s="288"/>
      <c r="X1483" s="288"/>
      <c r="Y1483" s="288"/>
      <c r="Z1483" s="288"/>
      <c r="AA1483" s="288"/>
      <c r="AB1483" s="288"/>
      <c r="AC1483" s="288"/>
      <c r="AD1483" s="289" t="s">
        <v>5</v>
      </c>
    </row>
    <row r="1484" spans="1:38" s="182" customFormat="1" ht="33" customHeight="1" x14ac:dyDescent="0.3">
      <c r="A1484" s="167">
        <v>29</v>
      </c>
      <c r="B1484" s="168">
        <v>203</v>
      </c>
      <c r="C1484" s="278" t="str">
        <f t="shared" si="31"/>
        <v>29.203</v>
      </c>
      <c r="D1484" s="279"/>
      <c r="E1484" s="64" t="str">
        <f>IF(ISBLANK(D1484)=TRUE,"",VLOOKUP(D1484,Krav!$C:$F,4,FALSE))</f>
        <v/>
      </c>
      <c r="F1484" s="281" t="s">
        <v>418</v>
      </c>
      <c r="G1484" s="282" t="s">
        <v>446</v>
      </c>
      <c r="H1484" s="296" t="s">
        <v>451</v>
      </c>
      <c r="I1484" s="286" t="s">
        <v>129</v>
      </c>
      <c r="J1484" s="285" t="s">
        <v>222</v>
      </c>
      <c r="K1484" s="123" t="s">
        <v>222</v>
      </c>
      <c r="L1484" s="291" t="s">
        <v>3</v>
      </c>
      <c r="M1484" s="288" t="s">
        <v>129</v>
      </c>
      <c r="N1484" s="288" t="s">
        <v>131</v>
      </c>
      <c r="O1484" s="288" t="s">
        <v>376</v>
      </c>
      <c r="P1484" s="288" t="s">
        <v>96</v>
      </c>
      <c r="Q1484" s="288" t="s">
        <v>131</v>
      </c>
      <c r="R1484" s="288" t="s">
        <v>129</v>
      </c>
      <c r="S1484" s="288" t="s">
        <v>131</v>
      </c>
      <c r="T1484" s="288"/>
      <c r="U1484" s="288"/>
      <c r="V1484" s="289" t="s">
        <v>295</v>
      </c>
      <c r="W1484" s="288" t="s">
        <v>26</v>
      </c>
      <c r="X1484" s="288"/>
      <c r="Y1484" s="288"/>
      <c r="Z1484" s="288"/>
      <c r="AA1484" s="288"/>
      <c r="AB1484" s="288"/>
      <c r="AC1484" s="288"/>
      <c r="AD1484" s="289" t="s">
        <v>5</v>
      </c>
    </row>
    <row r="1485" spans="1:38" s="182" customFormat="1" ht="33" customHeight="1" x14ac:dyDescent="0.3">
      <c r="A1485" s="167">
        <v>29</v>
      </c>
      <c r="B1485" s="168">
        <v>204</v>
      </c>
      <c r="C1485" s="278" t="str">
        <f t="shared" si="31"/>
        <v>29.204</v>
      </c>
      <c r="D1485" s="279"/>
      <c r="E1485" s="64" t="str">
        <f>IF(ISBLANK(D1485)=TRUE,"",VLOOKUP(D1485,Krav!$C:$F,4,FALSE))</f>
        <v/>
      </c>
      <c r="F1485" s="281" t="s">
        <v>418</v>
      </c>
      <c r="G1485" s="297" t="s">
        <v>446</v>
      </c>
      <c r="H1485" s="296" t="s">
        <v>451</v>
      </c>
      <c r="I1485" s="286" t="s">
        <v>129</v>
      </c>
      <c r="J1485" s="285" t="s">
        <v>222</v>
      </c>
      <c r="K1485" s="123" t="s">
        <v>222</v>
      </c>
      <c r="L1485" s="291" t="s">
        <v>3</v>
      </c>
      <c r="M1485" s="288" t="s">
        <v>129</v>
      </c>
      <c r="N1485" s="288" t="s">
        <v>131</v>
      </c>
      <c r="O1485" s="288" t="s">
        <v>376</v>
      </c>
      <c r="P1485" s="288" t="s">
        <v>96</v>
      </c>
      <c r="Q1485" s="288" t="s">
        <v>131</v>
      </c>
      <c r="R1485" s="288" t="s">
        <v>129</v>
      </c>
      <c r="S1485" s="288" t="s">
        <v>131</v>
      </c>
      <c r="T1485" s="288"/>
      <c r="U1485" s="288"/>
      <c r="V1485" s="289" t="s">
        <v>295</v>
      </c>
      <c r="W1485" s="288" t="s">
        <v>166</v>
      </c>
      <c r="X1485" s="288" t="s">
        <v>26</v>
      </c>
      <c r="Y1485" s="288"/>
      <c r="Z1485" s="288"/>
      <c r="AA1485" s="288"/>
      <c r="AB1485" s="288"/>
      <c r="AC1485" s="288"/>
      <c r="AD1485" s="289" t="s">
        <v>5</v>
      </c>
    </row>
    <row r="1486" spans="1:38" s="182" customFormat="1" ht="33" customHeight="1" x14ac:dyDescent="0.3">
      <c r="A1486" s="167">
        <v>29</v>
      </c>
      <c r="B1486" s="168">
        <v>205</v>
      </c>
      <c r="C1486" s="278" t="str">
        <f t="shared" si="31"/>
        <v>29.205</v>
      </c>
      <c r="D1486" s="279"/>
      <c r="E1486" s="64" t="str">
        <f>IF(ISBLANK(D1486)=TRUE,"",VLOOKUP(D1486,Krav!$C:$F,4,FALSE))</f>
        <v/>
      </c>
      <c r="F1486" s="281" t="s">
        <v>418</v>
      </c>
      <c r="G1486" s="282" t="s">
        <v>446</v>
      </c>
      <c r="H1486" s="296" t="s">
        <v>451</v>
      </c>
      <c r="I1486" s="286" t="s">
        <v>129</v>
      </c>
      <c r="J1486" s="285" t="s">
        <v>222</v>
      </c>
      <c r="K1486" s="123" t="s">
        <v>222</v>
      </c>
      <c r="L1486" s="291" t="s">
        <v>3</v>
      </c>
      <c r="M1486" s="288" t="s">
        <v>129</v>
      </c>
      <c r="N1486" s="288" t="s">
        <v>131</v>
      </c>
      <c r="O1486" s="288" t="s">
        <v>376</v>
      </c>
      <c r="P1486" s="288" t="s">
        <v>96</v>
      </c>
      <c r="Q1486" s="288" t="s">
        <v>131</v>
      </c>
      <c r="R1486" s="288" t="s">
        <v>129</v>
      </c>
      <c r="S1486" s="288" t="s">
        <v>131</v>
      </c>
      <c r="T1486" s="288"/>
      <c r="U1486" s="288"/>
      <c r="V1486" s="289" t="s">
        <v>295</v>
      </c>
      <c r="W1486" s="288" t="s">
        <v>166</v>
      </c>
      <c r="X1486" s="288" t="s">
        <v>166</v>
      </c>
      <c r="Y1486" s="288" t="s">
        <v>580</v>
      </c>
      <c r="Z1486" s="288"/>
      <c r="AA1486" s="288"/>
      <c r="AB1486" s="288"/>
      <c r="AC1486" s="288"/>
      <c r="AD1486" s="289" t="s">
        <v>5</v>
      </c>
    </row>
    <row r="1487" spans="1:38" s="182" customFormat="1" ht="33" customHeight="1" x14ac:dyDescent="0.3">
      <c r="A1487" s="167">
        <v>29</v>
      </c>
      <c r="B1487" s="168">
        <v>206</v>
      </c>
      <c r="C1487" s="278" t="str">
        <f t="shared" si="31"/>
        <v>29.206</v>
      </c>
      <c r="D1487" s="279"/>
      <c r="E1487" s="64" t="str">
        <f>IF(ISBLANK(D1487)=TRUE,"",VLOOKUP(D1487,Krav!$C:$F,4,FALSE))</f>
        <v/>
      </c>
      <c r="F1487" s="281" t="s">
        <v>418</v>
      </c>
      <c r="G1487" s="297" t="s">
        <v>446</v>
      </c>
      <c r="H1487" s="296" t="s">
        <v>451</v>
      </c>
      <c r="I1487" s="286" t="s">
        <v>129</v>
      </c>
      <c r="J1487" s="285" t="s">
        <v>222</v>
      </c>
      <c r="K1487" s="123" t="s">
        <v>222</v>
      </c>
      <c r="L1487" s="291" t="s">
        <v>3</v>
      </c>
      <c r="M1487" s="288" t="s">
        <v>129</v>
      </c>
      <c r="N1487" s="288" t="s">
        <v>131</v>
      </c>
      <c r="O1487" s="288" t="s">
        <v>96</v>
      </c>
      <c r="P1487" s="288" t="s">
        <v>96</v>
      </c>
      <c r="Q1487" s="288" t="s">
        <v>129</v>
      </c>
      <c r="R1487" s="288" t="s">
        <v>131</v>
      </c>
      <c r="S1487" s="288" t="s">
        <v>131</v>
      </c>
      <c r="T1487" s="288"/>
      <c r="U1487" s="288"/>
      <c r="V1487" s="289" t="s">
        <v>295</v>
      </c>
      <c r="W1487" s="288" t="s">
        <v>26</v>
      </c>
      <c r="X1487" s="288"/>
      <c r="Y1487" s="288"/>
      <c r="Z1487" s="288"/>
      <c r="AA1487" s="288"/>
      <c r="AB1487" s="288"/>
      <c r="AC1487" s="288"/>
      <c r="AD1487" s="289" t="s">
        <v>5</v>
      </c>
    </row>
    <row r="1488" spans="1:38" s="182" customFormat="1" ht="33" customHeight="1" x14ac:dyDescent="0.3">
      <c r="A1488" s="167">
        <v>29</v>
      </c>
      <c r="B1488" s="168">
        <v>207</v>
      </c>
      <c r="C1488" s="278" t="str">
        <f t="shared" si="31"/>
        <v>29.207</v>
      </c>
      <c r="D1488" s="279"/>
      <c r="E1488" s="64" t="str">
        <f>IF(ISBLANK(D1488)=TRUE,"",VLOOKUP(D1488,Krav!$C:$F,4,FALSE))</f>
        <v/>
      </c>
      <c r="F1488" s="281" t="s">
        <v>418</v>
      </c>
      <c r="G1488" s="282" t="s">
        <v>446</v>
      </c>
      <c r="H1488" s="296" t="s">
        <v>451</v>
      </c>
      <c r="I1488" s="286" t="s">
        <v>129</v>
      </c>
      <c r="J1488" s="286" t="s">
        <v>222</v>
      </c>
      <c r="K1488" s="123" t="s">
        <v>222</v>
      </c>
      <c r="L1488" s="291" t="s">
        <v>3</v>
      </c>
      <c r="M1488" s="288" t="s">
        <v>129</v>
      </c>
      <c r="N1488" s="288" t="s">
        <v>131</v>
      </c>
      <c r="O1488" s="288" t="s">
        <v>96</v>
      </c>
      <c r="P1488" s="288" t="s">
        <v>96</v>
      </c>
      <c r="Q1488" s="288" t="s">
        <v>129</v>
      </c>
      <c r="R1488" s="288" t="s">
        <v>131</v>
      </c>
      <c r="S1488" s="288" t="s">
        <v>131</v>
      </c>
      <c r="T1488" s="288"/>
      <c r="U1488" s="288"/>
      <c r="V1488" s="289" t="s">
        <v>295</v>
      </c>
      <c r="W1488" s="288" t="s">
        <v>166</v>
      </c>
      <c r="X1488" s="288" t="s">
        <v>26</v>
      </c>
      <c r="Y1488" s="288"/>
      <c r="Z1488" s="288"/>
      <c r="AA1488" s="288"/>
      <c r="AB1488" s="288"/>
      <c r="AC1488" s="288"/>
      <c r="AD1488" s="289" t="s">
        <v>5</v>
      </c>
    </row>
    <row r="1489" spans="1:38" s="182" customFormat="1" ht="33" customHeight="1" x14ac:dyDescent="0.3">
      <c r="A1489" s="167">
        <v>29</v>
      </c>
      <c r="B1489" s="168">
        <v>208</v>
      </c>
      <c r="C1489" s="278" t="str">
        <f t="shared" si="31"/>
        <v>29.208</v>
      </c>
      <c r="D1489" s="279"/>
      <c r="E1489" s="64" t="str">
        <f>IF(ISBLANK(D1489)=TRUE,"",VLOOKUP(D1489,Krav!$C:$F,4,FALSE))</f>
        <v/>
      </c>
      <c r="F1489" s="281" t="s">
        <v>418</v>
      </c>
      <c r="G1489" s="297" t="s">
        <v>446</v>
      </c>
      <c r="H1489" s="296" t="s">
        <v>451</v>
      </c>
      <c r="I1489" s="286" t="s">
        <v>129</v>
      </c>
      <c r="J1489" s="285" t="s">
        <v>222</v>
      </c>
      <c r="K1489" s="123" t="s">
        <v>222</v>
      </c>
      <c r="L1489" s="291" t="s">
        <v>3</v>
      </c>
      <c r="M1489" s="288" t="s">
        <v>129</v>
      </c>
      <c r="N1489" s="288" t="s">
        <v>131</v>
      </c>
      <c r="O1489" s="288" t="s">
        <v>96</v>
      </c>
      <c r="P1489" s="288" t="s">
        <v>96</v>
      </c>
      <c r="Q1489" s="288" t="s">
        <v>129</v>
      </c>
      <c r="R1489" s="288" t="s">
        <v>131</v>
      </c>
      <c r="S1489" s="288" t="s">
        <v>131</v>
      </c>
      <c r="T1489" s="288"/>
      <c r="U1489" s="288"/>
      <c r="V1489" s="289" t="s">
        <v>295</v>
      </c>
      <c r="W1489" s="288" t="s">
        <v>166</v>
      </c>
      <c r="X1489" s="288" t="s">
        <v>166</v>
      </c>
      <c r="Y1489" s="288" t="s">
        <v>580</v>
      </c>
      <c r="Z1489" s="288"/>
      <c r="AA1489" s="288"/>
      <c r="AB1489" s="288"/>
      <c r="AC1489" s="288"/>
      <c r="AD1489" s="289" t="s">
        <v>5</v>
      </c>
    </row>
    <row r="1490" spans="1:38" s="182" customFormat="1" ht="33" customHeight="1" x14ac:dyDescent="0.3">
      <c r="A1490" s="167">
        <v>29</v>
      </c>
      <c r="B1490" s="168">
        <v>209</v>
      </c>
      <c r="C1490" s="278" t="str">
        <f t="shared" si="31"/>
        <v>29.209</v>
      </c>
      <c r="D1490" s="279"/>
      <c r="E1490" s="64" t="str">
        <f>IF(ISBLANK(D1490)=TRUE,"",VLOOKUP(D1490,Krav!$C:$F,4,FALSE))</f>
        <v/>
      </c>
      <c r="F1490" s="281" t="s">
        <v>418</v>
      </c>
      <c r="G1490" s="282" t="s">
        <v>446</v>
      </c>
      <c r="H1490" s="296" t="s">
        <v>451</v>
      </c>
      <c r="I1490" s="286" t="s">
        <v>129</v>
      </c>
      <c r="J1490" s="286" t="s">
        <v>222</v>
      </c>
      <c r="K1490" s="123" t="s">
        <v>222</v>
      </c>
      <c r="L1490" s="287" t="s">
        <v>3</v>
      </c>
      <c r="M1490" s="288" t="s">
        <v>129</v>
      </c>
      <c r="N1490" s="288" t="s">
        <v>131</v>
      </c>
      <c r="O1490" s="288" t="s">
        <v>96</v>
      </c>
      <c r="P1490" s="288" t="s">
        <v>96</v>
      </c>
      <c r="Q1490" s="288" t="s">
        <v>129</v>
      </c>
      <c r="R1490" s="288" t="s">
        <v>131</v>
      </c>
      <c r="S1490" s="288" t="s">
        <v>131</v>
      </c>
      <c r="T1490" s="288"/>
      <c r="U1490" s="288"/>
      <c r="V1490" s="288" t="s">
        <v>294</v>
      </c>
      <c r="W1490" s="288"/>
      <c r="X1490" s="288"/>
      <c r="Y1490" s="288"/>
      <c r="Z1490" s="288"/>
      <c r="AA1490" s="288"/>
      <c r="AB1490" s="288"/>
      <c r="AC1490" s="288"/>
      <c r="AD1490" s="289" t="s">
        <v>5</v>
      </c>
    </row>
    <row r="1491" spans="1:38" s="182" customFormat="1" ht="33" customHeight="1" x14ac:dyDescent="0.3">
      <c r="A1491" s="167">
        <v>29</v>
      </c>
      <c r="B1491" s="168">
        <v>210</v>
      </c>
      <c r="C1491" s="278" t="str">
        <f t="shared" si="31"/>
        <v>29.210</v>
      </c>
      <c r="D1491" s="279"/>
      <c r="E1491" s="64" t="str">
        <f>IF(ISBLANK(D1491)=TRUE,"",VLOOKUP(D1491,Krav!$C:$F,4,FALSE))</f>
        <v/>
      </c>
      <c r="F1491" s="281" t="s">
        <v>418</v>
      </c>
      <c r="G1491" s="282" t="s">
        <v>445</v>
      </c>
      <c r="H1491" s="296" t="s">
        <v>451</v>
      </c>
      <c r="I1491" s="286" t="s">
        <v>129</v>
      </c>
      <c r="J1491" s="285" t="s">
        <v>222</v>
      </c>
      <c r="K1491" s="125" t="s">
        <v>222</v>
      </c>
      <c r="L1491" s="291" t="s">
        <v>3</v>
      </c>
      <c r="M1491" s="288" t="s">
        <v>131</v>
      </c>
      <c r="N1491" s="288" t="s">
        <v>129</v>
      </c>
      <c r="O1491" s="288" t="s">
        <v>376</v>
      </c>
      <c r="P1491" s="288" t="s">
        <v>376</v>
      </c>
      <c r="Q1491" s="288" t="s">
        <v>131</v>
      </c>
      <c r="R1491" s="288" t="s">
        <v>131</v>
      </c>
      <c r="S1491" s="288" t="s">
        <v>131</v>
      </c>
      <c r="T1491" s="288"/>
      <c r="U1491" s="288"/>
      <c r="V1491" s="288"/>
      <c r="W1491" s="288"/>
      <c r="X1491" s="288"/>
      <c r="Y1491" s="288"/>
      <c r="Z1491" s="288"/>
      <c r="AA1491" s="288"/>
      <c r="AB1491" s="288"/>
      <c r="AC1491" s="288"/>
      <c r="AD1491" s="289" t="s">
        <v>5</v>
      </c>
    </row>
    <row r="1492" spans="1:38" s="182" customFormat="1" ht="33" customHeight="1" x14ac:dyDescent="0.3">
      <c r="A1492" s="167">
        <v>29</v>
      </c>
      <c r="B1492" s="168">
        <v>211</v>
      </c>
      <c r="C1492" s="278" t="str">
        <f t="shared" si="31"/>
        <v>29.211</v>
      </c>
      <c r="D1492" s="279"/>
      <c r="E1492" s="64" t="str">
        <f>IF(ISBLANK(D1492)=TRUE,"",VLOOKUP(D1492,Krav!$C:$F,4,FALSE))</f>
        <v/>
      </c>
      <c r="F1492" s="281" t="s">
        <v>418</v>
      </c>
      <c r="G1492" s="282" t="s">
        <v>445</v>
      </c>
      <c r="H1492" s="296" t="s">
        <v>451</v>
      </c>
      <c r="I1492" s="286" t="s">
        <v>129</v>
      </c>
      <c r="J1492" s="285" t="s">
        <v>222</v>
      </c>
      <c r="K1492" s="125" t="s">
        <v>222</v>
      </c>
      <c r="L1492" s="291" t="s">
        <v>3</v>
      </c>
      <c r="M1492" s="288" t="s">
        <v>131</v>
      </c>
      <c r="N1492" s="288" t="s">
        <v>129</v>
      </c>
      <c r="O1492" s="288" t="s">
        <v>376</v>
      </c>
      <c r="P1492" s="288" t="s">
        <v>376</v>
      </c>
      <c r="Q1492" s="288" t="s">
        <v>131</v>
      </c>
      <c r="R1492" s="288" t="s">
        <v>131</v>
      </c>
      <c r="S1492" s="288" t="s">
        <v>131</v>
      </c>
      <c r="T1492" s="288"/>
      <c r="U1492" s="288"/>
      <c r="V1492" s="288"/>
      <c r="W1492" s="288"/>
      <c r="X1492" s="288"/>
      <c r="Y1492" s="288"/>
      <c r="Z1492" s="288"/>
      <c r="AA1492" s="288"/>
      <c r="AB1492" s="288"/>
      <c r="AC1492" s="288"/>
      <c r="AD1492" s="289" t="s">
        <v>5</v>
      </c>
      <c r="AE1492" s="298"/>
      <c r="AF1492" s="298"/>
      <c r="AG1492" s="298"/>
      <c r="AH1492" s="298"/>
      <c r="AI1492" s="298"/>
      <c r="AJ1492" s="298"/>
      <c r="AK1492" s="298"/>
      <c r="AL1492" s="298"/>
    </row>
    <row r="1493" spans="1:38" s="182" customFormat="1" ht="33" customHeight="1" x14ac:dyDescent="0.3">
      <c r="A1493" s="167">
        <v>29</v>
      </c>
      <c r="B1493" s="168">
        <v>212</v>
      </c>
      <c r="C1493" s="278" t="str">
        <f t="shared" si="31"/>
        <v>29.212</v>
      </c>
      <c r="D1493" s="279"/>
      <c r="E1493" s="64" t="str">
        <f>IF(ISBLANK(D1493)=TRUE,"",VLOOKUP(D1493,Krav!$C:$F,4,FALSE))</f>
        <v/>
      </c>
      <c r="F1493" s="281" t="s">
        <v>418</v>
      </c>
      <c r="G1493" s="282" t="s">
        <v>445</v>
      </c>
      <c r="H1493" s="296" t="s">
        <v>451</v>
      </c>
      <c r="I1493" s="286" t="s">
        <v>129</v>
      </c>
      <c r="J1493" s="285" t="s">
        <v>222</v>
      </c>
      <c r="K1493" s="125" t="s">
        <v>222</v>
      </c>
      <c r="L1493" s="291" t="s">
        <v>3</v>
      </c>
      <c r="M1493" s="288" t="s">
        <v>131</v>
      </c>
      <c r="N1493" s="288" t="s">
        <v>129</v>
      </c>
      <c r="O1493" s="288" t="s">
        <v>376</v>
      </c>
      <c r="P1493" s="288" t="s">
        <v>96</v>
      </c>
      <c r="Q1493" s="288" t="s">
        <v>131</v>
      </c>
      <c r="R1493" s="288" t="s">
        <v>131</v>
      </c>
      <c r="S1493" s="288" t="s">
        <v>129</v>
      </c>
      <c r="T1493" s="288"/>
      <c r="U1493" s="288"/>
      <c r="V1493" s="288"/>
      <c r="W1493" s="288"/>
      <c r="X1493" s="288"/>
      <c r="Y1493" s="288"/>
      <c r="Z1493" s="288"/>
      <c r="AA1493" s="288"/>
      <c r="AB1493" s="288"/>
      <c r="AC1493" s="288"/>
      <c r="AD1493" s="289" t="s">
        <v>5</v>
      </c>
      <c r="AE1493" s="298"/>
      <c r="AF1493" s="298"/>
      <c r="AG1493" s="298"/>
      <c r="AH1493" s="298"/>
      <c r="AI1493" s="298"/>
      <c r="AJ1493" s="298"/>
      <c r="AK1493" s="298"/>
      <c r="AL1493" s="298"/>
    </row>
    <row r="1494" spans="1:38" s="182" customFormat="1" ht="33" customHeight="1" x14ac:dyDescent="0.3">
      <c r="A1494" s="167">
        <v>29</v>
      </c>
      <c r="B1494" s="168">
        <v>213</v>
      </c>
      <c r="C1494" s="278" t="str">
        <f t="shared" si="31"/>
        <v>29.213</v>
      </c>
      <c r="D1494" s="279"/>
      <c r="E1494" s="64" t="str">
        <f>IF(ISBLANK(D1494)=TRUE,"",VLOOKUP(D1494,Krav!$C:$F,4,FALSE))</f>
        <v/>
      </c>
      <c r="F1494" s="281" t="s">
        <v>418</v>
      </c>
      <c r="G1494" s="282" t="s">
        <v>446</v>
      </c>
      <c r="H1494" s="296" t="s">
        <v>451</v>
      </c>
      <c r="I1494" s="286" t="s">
        <v>129</v>
      </c>
      <c r="J1494" s="388" t="s">
        <v>222</v>
      </c>
      <c r="K1494" s="123" t="s">
        <v>222</v>
      </c>
      <c r="L1494" s="291" t="s">
        <v>3</v>
      </c>
      <c r="M1494" s="288" t="s">
        <v>131</v>
      </c>
      <c r="N1494" s="288" t="s">
        <v>129</v>
      </c>
      <c r="O1494" s="288" t="s">
        <v>376</v>
      </c>
      <c r="P1494" s="288" t="s">
        <v>96</v>
      </c>
      <c r="Q1494" s="288" t="s">
        <v>131</v>
      </c>
      <c r="R1494" s="288" t="s">
        <v>129</v>
      </c>
      <c r="S1494" s="288" t="s">
        <v>131</v>
      </c>
      <c r="T1494" s="288"/>
      <c r="U1494" s="288"/>
      <c r="V1494" s="288" t="s">
        <v>294</v>
      </c>
      <c r="W1494" s="288"/>
      <c r="X1494" s="288"/>
      <c r="Y1494" s="288"/>
      <c r="Z1494" s="288"/>
      <c r="AA1494" s="288"/>
      <c r="AB1494" s="288"/>
      <c r="AC1494" s="288"/>
      <c r="AD1494" s="289" t="s">
        <v>5</v>
      </c>
      <c r="AE1494" s="298"/>
      <c r="AF1494" s="298"/>
      <c r="AG1494" s="298"/>
      <c r="AH1494" s="298"/>
      <c r="AI1494" s="298"/>
      <c r="AJ1494" s="298"/>
      <c r="AK1494" s="298"/>
      <c r="AL1494" s="298"/>
    </row>
    <row r="1495" spans="1:38" s="182" customFormat="1" ht="33" customHeight="1" x14ac:dyDescent="0.3">
      <c r="A1495" s="167">
        <v>29</v>
      </c>
      <c r="B1495" s="168">
        <v>214</v>
      </c>
      <c r="C1495" s="278" t="str">
        <f t="shared" si="31"/>
        <v>29.214</v>
      </c>
      <c r="D1495" s="279"/>
      <c r="E1495" s="64" t="str">
        <f>IF(ISBLANK(D1495)=TRUE,"",VLOOKUP(D1495,Krav!$C:$F,4,FALSE))</f>
        <v/>
      </c>
      <c r="F1495" s="281" t="s">
        <v>418</v>
      </c>
      <c r="G1495" s="282" t="s">
        <v>446</v>
      </c>
      <c r="H1495" s="296" t="s">
        <v>451</v>
      </c>
      <c r="I1495" s="286" t="s">
        <v>129</v>
      </c>
      <c r="J1495" s="285" t="s">
        <v>222</v>
      </c>
      <c r="K1495" s="123" t="s">
        <v>222</v>
      </c>
      <c r="L1495" s="291" t="s">
        <v>3</v>
      </c>
      <c r="M1495" s="288" t="s">
        <v>131</v>
      </c>
      <c r="N1495" s="288" t="s">
        <v>129</v>
      </c>
      <c r="O1495" s="288" t="s">
        <v>376</v>
      </c>
      <c r="P1495" s="288" t="s">
        <v>96</v>
      </c>
      <c r="Q1495" s="288" t="s">
        <v>131</v>
      </c>
      <c r="R1495" s="288" t="s">
        <v>129</v>
      </c>
      <c r="S1495" s="288" t="s">
        <v>131</v>
      </c>
      <c r="T1495" s="288"/>
      <c r="U1495" s="288"/>
      <c r="V1495" s="289" t="s">
        <v>295</v>
      </c>
      <c r="W1495" s="288" t="s">
        <v>26</v>
      </c>
      <c r="X1495" s="288"/>
      <c r="Y1495" s="288"/>
      <c r="Z1495" s="288"/>
      <c r="AA1495" s="288"/>
      <c r="AB1495" s="288"/>
      <c r="AC1495" s="288"/>
      <c r="AD1495" s="289" t="s">
        <v>5</v>
      </c>
      <c r="AE1495" s="298"/>
      <c r="AF1495" s="298"/>
      <c r="AG1495" s="298"/>
      <c r="AH1495" s="298"/>
      <c r="AI1495" s="298"/>
      <c r="AJ1495" s="298"/>
      <c r="AK1495" s="298"/>
      <c r="AL1495" s="298"/>
    </row>
    <row r="1496" spans="1:38" s="182" customFormat="1" ht="33" customHeight="1" x14ac:dyDescent="0.3">
      <c r="A1496" s="167">
        <v>29</v>
      </c>
      <c r="B1496" s="168">
        <v>215</v>
      </c>
      <c r="C1496" s="278" t="str">
        <f t="shared" si="31"/>
        <v>29.215</v>
      </c>
      <c r="D1496" s="279"/>
      <c r="E1496" s="64" t="str">
        <f>IF(ISBLANK(D1496)=TRUE,"",VLOOKUP(D1496,Krav!$C:$F,4,FALSE))</f>
        <v/>
      </c>
      <c r="F1496" s="281" t="s">
        <v>418</v>
      </c>
      <c r="G1496" s="282" t="s">
        <v>446</v>
      </c>
      <c r="H1496" s="296" t="s">
        <v>451</v>
      </c>
      <c r="I1496" s="286" t="s">
        <v>129</v>
      </c>
      <c r="J1496" s="285" t="s">
        <v>222</v>
      </c>
      <c r="K1496" s="123" t="s">
        <v>222</v>
      </c>
      <c r="L1496" s="291" t="s">
        <v>3</v>
      </c>
      <c r="M1496" s="288" t="s">
        <v>131</v>
      </c>
      <c r="N1496" s="288" t="s">
        <v>129</v>
      </c>
      <c r="O1496" s="288" t="s">
        <v>376</v>
      </c>
      <c r="P1496" s="288" t="s">
        <v>96</v>
      </c>
      <c r="Q1496" s="288" t="s">
        <v>131</v>
      </c>
      <c r="R1496" s="288" t="s">
        <v>129</v>
      </c>
      <c r="S1496" s="288" t="s">
        <v>131</v>
      </c>
      <c r="T1496" s="288"/>
      <c r="U1496" s="288"/>
      <c r="V1496" s="289" t="s">
        <v>295</v>
      </c>
      <c r="W1496" s="288" t="s">
        <v>166</v>
      </c>
      <c r="X1496" s="288" t="s">
        <v>26</v>
      </c>
      <c r="Y1496" s="288"/>
      <c r="Z1496" s="288"/>
      <c r="AA1496" s="288"/>
      <c r="AB1496" s="288"/>
      <c r="AC1496" s="288"/>
      <c r="AD1496" s="289" t="s">
        <v>5</v>
      </c>
      <c r="AE1496" s="298"/>
      <c r="AF1496" s="298"/>
      <c r="AG1496" s="298"/>
      <c r="AH1496" s="298"/>
      <c r="AI1496" s="298"/>
      <c r="AJ1496" s="298"/>
      <c r="AK1496" s="298"/>
      <c r="AL1496" s="298"/>
    </row>
    <row r="1497" spans="1:38" s="182" customFormat="1" ht="33" customHeight="1" x14ac:dyDescent="0.3">
      <c r="A1497" s="167">
        <v>29</v>
      </c>
      <c r="B1497" s="168">
        <v>216</v>
      </c>
      <c r="C1497" s="278" t="str">
        <f t="shared" si="31"/>
        <v>29.216</v>
      </c>
      <c r="D1497" s="279"/>
      <c r="E1497" s="64" t="str">
        <f>IF(ISBLANK(D1497)=TRUE,"",VLOOKUP(D1497,Krav!$C:$F,4,FALSE))</f>
        <v/>
      </c>
      <c r="F1497" s="281" t="s">
        <v>418</v>
      </c>
      <c r="G1497" s="282" t="s">
        <v>446</v>
      </c>
      <c r="H1497" s="296" t="s">
        <v>451</v>
      </c>
      <c r="I1497" s="286" t="s">
        <v>129</v>
      </c>
      <c r="J1497" s="285" t="s">
        <v>222</v>
      </c>
      <c r="K1497" s="123" t="s">
        <v>222</v>
      </c>
      <c r="L1497" s="291" t="s">
        <v>3</v>
      </c>
      <c r="M1497" s="288" t="s">
        <v>131</v>
      </c>
      <c r="N1497" s="288" t="s">
        <v>129</v>
      </c>
      <c r="O1497" s="288" t="s">
        <v>376</v>
      </c>
      <c r="P1497" s="288" t="s">
        <v>96</v>
      </c>
      <c r="Q1497" s="288" t="s">
        <v>131</v>
      </c>
      <c r="R1497" s="288" t="s">
        <v>129</v>
      </c>
      <c r="S1497" s="288" t="s">
        <v>131</v>
      </c>
      <c r="T1497" s="288"/>
      <c r="U1497" s="288"/>
      <c r="V1497" s="289" t="s">
        <v>295</v>
      </c>
      <c r="W1497" s="288" t="s">
        <v>166</v>
      </c>
      <c r="X1497" s="288" t="s">
        <v>166</v>
      </c>
      <c r="Y1497" s="288" t="s">
        <v>580</v>
      </c>
      <c r="Z1497" s="288"/>
      <c r="AA1497" s="288"/>
      <c r="AB1497" s="288"/>
      <c r="AC1497" s="288"/>
      <c r="AD1497" s="289" t="s">
        <v>5</v>
      </c>
      <c r="AE1497" s="298"/>
      <c r="AF1497" s="298"/>
      <c r="AG1497" s="298"/>
      <c r="AH1497" s="298"/>
      <c r="AI1497" s="298"/>
      <c r="AJ1497" s="298"/>
      <c r="AK1497" s="298"/>
      <c r="AL1497" s="298"/>
    </row>
    <row r="1498" spans="1:38" s="182" customFormat="1" ht="33" customHeight="1" x14ac:dyDescent="0.3">
      <c r="A1498" s="167">
        <v>29</v>
      </c>
      <c r="B1498" s="168">
        <v>217</v>
      </c>
      <c r="C1498" s="278" t="str">
        <f t="shared" si="31"/>
        <v>29.217</v>
      </c>
      <c r="D1498" s="279"/>
      <c r="E1498" s="64" t="str">
        <f>IF(ISBLANK(D1498)=TRUE,"",VLOOKUP(D1498,Krav!$C:$F,4,FALSE))</f>
        <v/>
      </c>
      <c r="F1498" s="281" t="s">
        <v>418</v>
      </c>
      <c r="G1498" s="282" t="s">
        <v>446</v>
      </c>
      <c r="H1498" s="296" t="s">
        <v>451</v>
      </c>
      <c r="I1498" s="286" t="s">
        <v>129</v>
      </c>
      <c r="J1498" s="285" t="s">
        <v>222</v>
      </c>
      <c r="K1498" s="123" t="s">
        <v>222</v>
      </c>
      <c r="L1498" s="291" t="s">
        <v>3</v>
      </c>
      <c r="M1498" s="288" t="s">
        <v>131</v>
      </c>
      <c r="N1498" s="288" t="s">
        <v>129</v>
      </c>
      <c r="O1498" s="288" t="s">
        <v>96</v>
      </c>
      <c r="P1498" s="288" t="s">
        <v>376</v>
      </c>
      <c r="Q1498" s="288" t="s">
        <v>129</v>
      </c>
      <c r="R1498" s="288" t="s">
        <v>131</v>
      </c>
      <c r="S1498" s="288" t="s">
        <v>131</v>
      </c>
      <c r="T1498" s="288"/>
      <c r="U1498" s="288"/>
      <c r="V1498" s="289" t="s">
        <v>295</v>
      </c>
      <c r="W1498" s="288" t="s">
        <v>26</v>
      </c>
      <c r="X1498" s="288"/>
      <c r="Y1498" s="288"/>
      <c r="Z1498" s="288"/>
      <c r="AA1498" s="288"/>
      <c r="AB1498" s="288"/>
      <c r="AC1498" s="288"/>
      <c r="AD1498" s="289" t="s">
        <v>5</v>
      </c>
      <c r="AE1498" s="298"/>
      <c r="AF1498" s="298"/>
      <c r="AG1498" s="298"/>
      <c r="AH1498" s="298"/>
      <c r="AI1498" s="298"/>
      <c r="AJ1498" s="298"/>
      <c r="AK1498" s="298"/>
      <c r="AL1498" s="298"/>
    </row>
    <row r="1499" spans="1:38" s="182" customFormat="1" ht="33" customHeight="1" x14ac:dyDescent="0.3">
      <c r="A1499" s="167">
        <v>29</v>
      </c>
      <c r="B1499" s="168">
        <v>218</v>
      </c>
      <c r="C1499" s="278" t="str">
        <f t="shared" si="31"/>
        <v>29.218</v>
      </c>
      <c r="D1499" s="279"/>
      <c r="E1499" s="64" t="str">
        <f>IF(ISBLANK(D1499)=TRUE,"",VLOOKUP(D1499,Krav!$C:$F,4,FALSE))</f>
        <v/>
      </c>
      <c r="F1499" s="281" t="s">
        <v>418</v>
      </c>
      <c r="G1499" s="282" t="s">
        <v>446</v>
      </c>
      <c r="H1499" s="296" t="s">
        <v>451</v>
      </c>
      <c r="I1499" s="286" t="s">
        <v>129</v>
      </c>
      <c r="J1499" s="286" t="s">
        <v>222</v>
      </c>
      <c r="K1499" s="123" t="s">
        <v>222</v>
      </c>
      <c r="L1499" s="291" t="s">
        <v>3</v>
      </c>
      <c r="M1499" s="288" t="s">
        <v>131</v>
      </c>
      <c r="N1499" s="288" t="s">
        <v>129</v>
      </c>
      <c r="O1499" s="288" t="s">
        <v>96</v>
      </c>
      <c r="P1499" s="288" t="s">
        <v>376</v>
      </c>
      <c r="Q1499" s="288" t="s">
        <v>129</v>
      </c>
      <c r="R1499" s="288" t="s">
        <v>131</v>
      </c>
      <c r="S1499" s="288" t="s">
        <v>131</v>
      </c>
      <c r="T1499" s="288"/>
      <c r="U1499" s="288"/>
      <c r="V1499" s="289" t="s">
        <v>295</v>
      </c>
      <c r="W1499" s="288" t="s">
        <v>166</v>
      </c>
      <c r="X1499" s="288" t="s">
        <v>26</v>
      </c>
      <c r="Y1499" s="288"/>
      <c r="Z1499" s="288"/>
      <c r="AA1499" s="288"/>
      <c r="AB1499" s="288"/>
      <c r="AC1499" s="288"/>
      <c r="AD1499" s="289" t="s">
        <v>5</v>
      </c>
      <c r="AE1499" s="298"/>
      <c r="AF1499" s="298"/>
      <c r="AG1499" s="298"/>
      <c r="AH1499" s="298"/>
      <c r="AI1499" s="298"/>
      <c r="AJ1499" s="298"/>
      <c r="AK1499" s="298"/>
      <c r="AL1499" s="298"/>
    </row>
    <row r="1500" spans="1:38" s="182" customFormat="1" ht="33" customHeight="1" x14ac:dyDescent="0.3">
      <c r="A1500" s="167">
        <v>29</v>
      </c>
      <c r="B1500" s="168">
        <v>219</v>
      </c>
      <c r="C1500" s="278" t="str">
        <f t="shared" si="31"/>
        <v>29.219</v>
      </c>
      <c r="D1500" s="279"/>
      <c r="E1500" s="64" t="str">
        <f>IF(ISBLANK(D1500)=TRUE,"",VLOOKUP(D1500,Krav!$C:$F,4,FALSE))</f>
        <v/>
      </c>
      <c r="F1500" s="281" t="s">
        <v>418</v>
      </c>
      <c r="G1500" s="282" t="s">
        <v>446</v>
      </c>
      <c r="H1500" s="296" t="s">
        <v>451</v>
      </c>
      <c r="I1500" s="286" t="s">
        <v>129</v>
      </c>
      <c r="J1500" s="285" t="s">
        <v>222</v>
      </c>
      <c r="K1500" s="123" t="s">
        <v>222</v>
      </c>
      <c r="L1500" s="291" t="s">
        <v>3</v>
      </c>
      <c r="M1500" s="288" t="s">
        <v>131</v>
      </c>
      <c r="N1500" s="288" t="s">
        <v>129</v>
      </c>
      <c r="O1500" s="288" t="s">
        <v>96</v>
      </c>
      <c r="P1500" s="288" t="s">
        <v>376</v>
      </c>
      <c r="Q1500" s="288" t="s">
        <v>129</v>
      </c>
      <c r="R1500" s="288" t="s">
        <v>131</v>
      </c>
      <c r="S1500" s="288" t="s">
        <v>131</v>
      </c>
      <c r="T1500" s="288"/>
      <c r="U1500" s="288"/>
      <c r="V1500" s="289" t="s">
        <v>295</v>
      </c>
      <c r="W1500" s="288" t="s">
        <v>166</v>
      </c>
      <c r="X1500" s="288" t="s">
        <v>166</v>
      </c>
      <c r="Y1500" s="288" t="s">
        <v>580</v>
      </c>
      <c r="Z1500" s="288"/>
      <c r="AA1500" s="288"/>
      <c r="AB1500" s="288"/>
      <c r="AC1500" s="288"/>
      <c r="AD1500" s="289" t="s">
        <v>5</v>
      </c>
      <c r="AE1500" s="298"/>
      <c r="AF1500" s="298"/>
      <c r="AG1500" s="298"/>
      <c r="AH1500" s="298"/>
      <c r="AI1500" s="298"/>
      <c r="AJ1500" s="298"/>
      <c r="AK1500" s="298"/>
      <c r="AL1500" s="298"/>
    </row>
    <row r="1501" spans="1:38" s="182" customFormat="1" ht="33" customHeight="1" x14ac:dyDescent="0.3">
      <c r="A1501" s="167">
        <v>29</v>
      </c>
      <c r="B1501" s="168">
        <v>220</v>
      </c>
      <c r="C1501" s="278" t="str">
        <f t="shared" si="31"/>
        <v>29.220</v>
      </c>
      <c r="D1501" s="279"/>
      <c r="E1501" s="64" t="str">
        <f>IF(ISBLANK(D1501)=TRUE,"",VLOOKUP(D1501,Krav!$C:$F,4,FALSE))</f>
        <v/>
      </c>
      <c r="F1501" s="281" t="s">
        <v>418</v>
      </c>
      <c r="G1501" s="282" t="s">
        <v>446</v>
      </c>
      <c r="H1501" s="296" t="s">
        <v>451</v>
      </c>
      <c r="I1501" s="286" t="s">
        <v>129</v>
      </c>
      <c r="J1501" s="286" t="s">
        <v>222</v>
      </c>
      <c r="K1501" s="123" t="s">
        <v>222</v>
      </c>
      <c r="L1501" s="287" t="s">
        <v>3</v>
      </c>
      <c r="M1501" s="288" t="s">
        <v>131</v>
      </c>
      <c r="N1501" s="288" t="s">
        <v>129</v>
      </c>
      <c r="O1501" s="288" t="s">
        <v>96</v>
      </c>
      <c r="P1501" s="288" t="s">
        <v>376</v>
      </c>
      <c r="Q1501" s="288" t="s">
        <v>129</v>
      </c>
      <c r="R1501" s="288" t="s">
        <v>131</v>
      </c>
      <c r="S1501" s="288" t="s">
        <v>131</v>
      </c>
      <c r="T1501" s="288"/>
      <c r="U1501" s="288"/>
      <c r="V1501" s="288" t="s">
        <v>294</v>
      </c>
      <c r="W1501" s="288"/>
      <c r="X1501" s="288"/>
      <c r="Y1501" s="288"/>
      <c r="Z1501" s="288"/>
      <c r="AA1501" s="288"/>
      <c r="AB1501" s="288"/>
      <c r="AC1501" s="288"/>
      <c r="AD1501" s="289" t="s">
        <v>5</v>
      </c>
      <c r="AE1501" s="298"/>
      <c r="AF1501" s="298"/>
      <c r="AG1501" s="298"/>
      <c r="AH1501" s="298"/>
      <c r="AI1501" s="298"/>
      <c r="AJ1501" s="298"/>
      <c r="AK1501" s="298"/>
      <c r="AL1501" s="298"/>
    </row>
    <row r="1502" spans="1:38" s="387" customFormat="1" ht="33" customHeight="1" x14ac:dyDescent="0.3">
      <c r="A1502" s="374">
        <v>29</v>
      </c>
      <c r="B1502" s="375">
        <v>221</v>
      </c>
      <c r="C1502" s="376" t="str">
        <f t="shared" ref="C1502:C1521" si="32">IF(B1502&lt;10,_xlfn.CONCAT(A1502,".0",B1502),_xlfn.CONCAT(A1502,".",B1502))</f>
        <v>29.221</v>
      </c>
      <c r="D1502" s="380"/>
      <c r="E1502" s="381" t="str">
        <f>IF(ISBLANK(D1502)=TRUE,"",VLOOKUP(D1502,Krav!$C:$F,4,FALSE))</f>
        <v/>
      </c>
      <c r="F1502" s="382" t="s">
        <v>226</v>
      </c>
      <c r="G1502" s="383" t="s">
        <v>308</v>
      </c>
      <c r="H1502" s="379" t="s">
        <v>2377</v>
      </c>
      <c r="I1502" s="384" t="s">
        <v>241</v>
      </c>
      <c r="J1502" s="384" t="s">
        <v>222</v>
      </c>
      <c r="K1502" s="384" t="s">
        <v>222</v>
      </c>
      <c r="L1502" s="385" t="s">
        <v>3</v>
      </c>
      <c r="M1502" s="377" t="s">
        <v>129</v>
      </c>
      <c r="N1502" s="377" t="s">
        <v>131</v>
      </c>
      <c r="O1502" s="377" t="s">
        <v>96</v>
      </c>
      <c r="P1502" s="377" t="s">
        <v>376</v>
      </c>
      <c r="Q1502" s="377" t="s">
        <v>129</v>
      </c>
      <c r="R1502" s="377" t="s">
        <v>131</v>
      </c>
      <c r="S1502" s="377" t="s">
        <v>131</v>
      </c>
      <c r="T1502" s="377"/>
      <c r="U1502" s="379" t="s">
        <v>1299</v>
      </c>
      <c r="V1502" s="377"/>
      <c r="W1502" s="377"/>
      <c r="X1502" s="377"/>
      <c r="Y1502" s="377"/>
      <c r="Z1502" s="377"/>
      <c r="AA1502" s="377"/>
      <c r="AB1502" s="377"/>
      <c r="AC1502" s="377"/>
      <c r="AD1502" s="378" t="s">
        <v>5</v>
      </c>
      <c r="AE1502" s="386"/>
      <c r="AF1502" s="386"/>
      <c r="AG1502" s="386"/>
      <c r="AH1502" s="386"/>
      <c r="AI1502" s="386"/>
      <c r="AJ1502" s="386"/>
      <c r="AK1502" s="386"/>
      <c r="AL1502" s="386"/>
    </row>
    <row r="1503" spans="1:38" s="387" customFormat="1" ht="33" customHeight="1" x14ac:dyDescent="0.3">
      <c r="A1503" s="374">
        <v>29</v>
      </c>
      <c r="B1503" s="375">
        <v>222</v>
      </c>
      <c r="C1503" s="376" t="str">
        <f t="shared" si="32"/>
        <v>29.222</v>
      </c>
      <c r="D1503" s="380"/>
      <c r="E1503" s="381" t="str">
        <f>IF(ISBLANK(D1503)=TRUE,"",VLOOKUP(D1503,Krav!$C:$F,4,FALSE))</f>
        <v/>
      </c>
      <c r="F1503" s="382" t="s">
        <v>226</v>
      </c>
      <c r="G1503" s="383" t="s">
        <v>308</v>
      </c>
      <c r="H1503" s="379" t="s">
        <v>2378</v>
      </c>
      <c r="I1503" s="384" t="s">
        <v>241</v>
      </c>
      <c r="J1503" s="384" t="s">
        <v>222</v>
      </c>
      <c r="K1503" s="384" t="s">
        <v>222</v>
      </c>
      <c r="L1503" s="385" t="s">
        <v>3</v>
      </c>
      <c r="M1503" s="377" t="s">
        <v>129</v>
      </c>
      <c r="N1503" s="377" t="s">
        <v>131</v>
      </c>
      <c r="O1503" s="377" t="s">
        <v>96</v>
      </c>
      <c r="P1503" s="377" t="s">
        <v>376</v>
      </c>
      <c r="Q1503" s="377" t="s">
        <v>129</v>
      </c>
      <c r="R1503" s="377" t="s">
        <v>131</v>
      </c>
      <c r="S1503" s="377" t="s">
        <v>131</v>
      </c>
      <c r="T1503" s="377"/>
      <c r="U1503" s="379" t="s">
        <v>1300</v>
      </c>
      <c r="V1503" s="377"/>
      <c r="W1503" s="377"/>
      <c r="X1503" s="377"/>
      <c r="Y1503" s="377"/>
      <c r="Z1503" s="377"/>
      <c r="AA1503" s="377"/>
      <c r="AB1503" s="377"/>
      <c r="AC1503" s="377"/>
      <c r="AD1503" s="378" t="s">
        <v>5</v>
      </c>
      <c r="AE1503" s="386"/>
      <c r="AF1503" s="386"/>
      <c r="AG1503" s="386"/>
      <c r="AH1503" s="386"/>
      <c r="AI1503" s="386"/>
      <c r="AJ1503" s="386"/>
      <c r="AK1503" s="386"/>
      <c r="AL1503" s="386"/>
    </row>
    <row r="1504" spans="1:38" s="387" customFormat="1" ht="33" customHeight="1" x14ac:dyDescent="0.3">
      <c r="A1504" s="374">
        <v>29</v>
      </c>
      <c r="B1504" s="375">
        <v>223</v>
      </c>
      <c r="C1504" s="376" t="str">
        <f t="shared" si="32"/>
        <v>29.223</v>
      </c>
      <c r="D1504" s="380"/>
      <c r="E1504" s="381" t="str">
        <f>IF(ISBLANK(D1504)=TRUE,"",VLOOKUP(D1504,Krav!$C:$F,4,FALSE))</f>
        <v/>
      </c>
      <c r="F1504" s="382" t="s">
        <v>226</v>
      </c>
      <c r="G1504" s="383" t="s">
        <v>308</v>
      </c>
      <c r="H1504" s="379" t="s">
        <v>2379</v>
      </c>
      <c r="I1504" s="384" t="s">
        <v>241</v>
      </c>
      <c r="J1504" s="384" t="s">
        <v>222</v>
      </c>
      <c r="K1504" s="384" t="s">
        <v>222</v>
      </c>
      <c r="L1504" s="385" t="s">
        <v>3</v>
      </c>
      <c r="M1504" s="377" t="s">
        <v>129</v>
      </c>
      <c r="N1504" s="377" t="s">
        <v>131</v>
      </c>
      <c r="O1504" s="377" t="s">
        <v>96</v>
      </c>
      <c r="P1504" s="377" t="s">
        <v>376</v>
      </c>
      <c r="Q1504" s="377" t="s">
        <v>129</v>
      </c>
      <c r="R1504" s="377" t="s">
        <v>131</v>
      </c>
      <c r="S1504" s="377" t="s">
        <v>131</v>
      </c>
      <c r="T1504" s="377"/>
      <c r="U1504" s="379" t="s">
        <v>1301</v>
      </c>
      <c r="V1504" s="377"/>
      <c r="W1504" s="377"/>
      <c r="X1504" s="377"/>
      <c r="Y1504" s="377"/>
      <c r="Z1504" s="377"/>
      <c r="AA1504" s="377"/>
      <c r="AB1504" s="377"/>
      <c r="AC1504" s="377"/>
      <c r="AD1504" s="378" t="s">
        <v>5</v>
      </c>
      <c r="AE1504" s="386"/>
      <c r="AF1504" s="386"/>
      <c r="AG1504" s="386"/>
      <c r="AH1504" s="386"/>
      <c r="AI1504" s="386"/>
      <c r="AJ1504" s="386"/>
      <c r="AK1504" s="386"/>
      <c r="AL1504" s="386"/>
    </row>
    <row r="1505" spans="1:38" s="387" customFormat="1" ht="33" customHeight="1" x14ac:dyDescent="0.3">
      <c r="A1505" s="374">
        <v>29</v>
      </c>
      <c r="B1505" s="375">
        <v>224</v>
      </c>
      <c r="C1505" s="376" t="str">
        <f t="shared" si="32"/>
        <v>29.224</v>
      </c>
      <c r="D1505" s="380"/>
      <c r="E1505" s="381" t="str">
        <f>IF(ISBLANK(D1505)=TRUE,"",VLOOKUP(D1505,Krav!$C:$F,4,FALSE))</f>
        <v/>
      </c>
      <c r="F1505" s="382" t="s">
        <v>226</v>
      </c>
      <c r="G1505" s="383" t="s">
        <v>308</v>
      </c>
      <c r="H1505" s="379" t="s">
        <v>2380</v>
      </c>
      <c r="I1505" s="384" t="s">
        <v>241</v>
      </c>
      <c r="J1505" s="384" t="s">
        <v>222</v>
      </c>
      <c r="K1505" s="384" t="s">
        <v>222</v>
      </c>
      <c r="L1505" s="385" t="s">
        <v>3</v>
      </c>
      <c r="M1505" s="377" t="s">
        <v>129</v>
      </c>
      <c r="N1505" s="377" t="s">
        <v>131</v>
      </c>
      <c r="O1505" s="377" t="s">
        <v>96</v>
      </c>
      <c r="P1505" s="377" t="s">
        <v>376</v>
      </c>
      <c r="Q1505" s="377" t="s">
        <v>129</v>
      </c>
      <c r="R1505" s="377" t="s">
        <v>131</v>
      </c>
      <c r="S1505" s="377" t="s">
        <v>131</v>
      </c>
      <c r="T1505" s="377"/>
      <c r="U1505" s="379" t="s">
        <v>1302</v>
      </c>
      <c r="V1505" s="377"/>
      <c r="W1505" s="377"/>
      <c r="X1505" s="377"/>
      <c r="Y1505" s="377"/>
      <c r="Z1505" s="377"/>
      <c r="AA1505" s="377"/>
      <c r="AB1505" s="377"/>
      <c r="AC1505" s="377"/>
      <c r="AD1505" s="378" t="s">
        <v>5</v>
      </c>
      <c r="AE1505" s="386"/>
      <c r="AF1505" s="386"/>
      <c r="AG1505" s="386"/>
      <c r="AH1505" s="386"/>
      <c r="AI1505" s="386"/>
      <c r="AJ1505" s="386"/>
      <c r="AK1505" s="386"/>
      <c r="AL1505" s="386"/>
    </row>
    <row r="1506" spans="1:38" s="387" customFormat="1" ht="33" customHeight="1" x14ac:dyDescent="0.3">
      <c r="A1506" s="374">
        <v>29</v>
      </c>
      <c r="B1506" s="375">
        <v>225</v>
      </c>
      <c r="C1506" s="376" t="str">
        <f t="shared" si="32"/>
        <v>29.225</v>
      </c>
      <c r="D1506" s="380"/>
      <c r="E1506" s="381" t="str">
        <f>IF(ISBLANK(D1506)=TRUE,"",VLOOKUP(D1506,Krav!$C:$F,4,FALSE))</f>
        <v/>
      </c>
      <c r="F1506" s="382" t="s">
        <v>226</v>
      </c>
      <c r="G1506" s="383" t="s">
        <v>308</v>
      </c>
      <c r="H1506" s="379" t="s">
        <v>2381</v>
      </c>
      <c r="I1506" s="384" t="s">
        <v>241</v>
      </c>
      <c r="J1506" s="384" t="s">
        <v>222</v>
      </c>
      <c r="K1506" s="384" t="s">
        <v>222</v>
      </c>
      <c r="L1506" s="385" t="s">
        <v>3</v>
      </c>
      <c r="M1506" s="377" t="s">
        <v>129</v>
      </c>
      <c r="N1506" s="377" t="s">
        <v>131</v>
      </c>
      <c r="O1506" s="377" t="s">
        <v>96</v>
      </c>
      <c r="P1506" s="377" t="s">
        <v>376</v>
      </c>
      <c r="Q1506" s="377" t="s">
        <v>129</v>
      </c>
      <c r="R1506" s="377" t="s">
        <v>131</v>
      </c>
      <c r="S1506" s="377" t="s">
        <v>131</v>
      </c>
      <c r="T1506" s="377"/>
      <c r="U1506" s="379" t="s">
        <v>1303</v>
      </c>
      <c r="V1506" s="377"/>
      <c r="W1506" s="377"/>
      <c r="X1506" s="377"/>
      <c r="Y1506" s="377"/>
      <c r="Z1506" s="377"/>
      <c r="AA1506" s="377"/>
      <c r="AB1506" s="377"/>
      <c r="AC1506" s="377"/>
      <c r="AD1506" s="378" t="s">
        <v>5</v>
      </c>
      <c r="AE1506" s="386"/>
      <c r="AF1506" s="386"/>
      <c r="AG1506" s="386"/>
      <c r="AH1506" s="386"/>
      <c r="AI1506" s="386"/>
      <c r="AJ1506" s="386"/>
      <c r="AK1506" s="386"/>
      <c r="AL1506" s="386"/>
    </row>
    <row r="1507" spans="1:38" s="387" customFormat="1" ht="33" customHeight="1" x14ac:dyDescent="0.3">
      <c r="A1507" s="374">
        <v>29</v>
      </c>
      <c r="B1507" s="375">
        <v>226</v>
      </c>
      <c r="C1507" s="376" t="str">
        <f t="shared" si="32"/>
        <v>29.226</v>
      </c>
      <c r="D1507" s="380"/>
      <c r="E1507" s="381" t="str">
        <f>IF(ISBLANK(D1507)=TRUE,"",VLOOKUP(D1507,Krav!$C:$F,4,FALSE))</f>
        <v/>
      </c>
      <c r="F1507" s="382" t="s">
        <v>226</v>
      </c>
      <c r="G1507" s="383" t="s">
        <v>308</v>
      </c>
      <c r="H1507" s="379" t="s">
        <v>2377</v>
      </c>
      <c r="I1507" s="384" t="s">
        <v>241</v>
      </c>
      <c r="J1507" s="384" t="s">
        <v>222</v>
      </c>
      <c r="K1507" s="384" t="s">
        <v>222</v>
      </c>
      <c r="L1507" s="385" t="s">
        <v>3</v>
      </c>
      <c r="M1507" s="377" t="s">
        <v>129</v>
      </c>
      <c r="N1507" s="377" t="s">
        <v>131</v>
      </c>
      <c r="O1507" s="377" t="s">
        <v>376</v>
      </c>
      <c r="P1507" s="377" t="s">
        <v>96</v>
      </c>
      <c r="Q1507" s="377" t="s">
        <v>131</v>
      </c>
      <c r="R1507" s="377" t="s">
        <v>129</v>
      </c>
      <c r="S1507" s="377" t="s">
        <v>131</v>
      </c>
      <c r="T1507" s="377"/>
      <c r="U1507" s="379" t="s">
        <v>1299</v>
      </c>
      <c r="V1507" s="377"/>
      <c r="W1507" s="377"/>
      <c r="X1507" s="377"/>
      <c r="Y1507" s="377"/>
      <c r="Z1507" s="377"/>
      <c r="AA1507" s="377"/>
      <c r="AB1507" s="377"/>
      <c r="AC1507" s="377"/>
      <c r="AD1507" s="378" t="s">
        <v>5</v>
      </c>
      <c r="AE1507" s="386"/>
      <c r="AF1507" s="386"/>
      <c r="AG1507" s="386"/>
      <c r="AH1507" s="386"/>
      <c r="AI1507" s="386"/>
      <c r="AJ1507" s="386"/>
      <c r="AK1507" s="386"/>
      <c r="AL1507" s="386"/>
    </row>
    <row r="1508" spans="1:38" s="387" customFormat="1" ht="33" customHeight="1" x14ac:dyDescent="0.3">
      <c r="A1508" s="374">
        <v>29</v>
      </c>
      <c r="B1508" s="375">
        <v>227</v>
      </c>
      <c r="C1508" s="376" t="str">
        <f t="shared" si="32"/>
        <v>29.227</v>
      </c>
      <c r="D1508" s="380"/>
      <c r="E1508" s="381" t="str">
        <f>IF(ISBLANK(D1508)=TRUE,"",VLOOKUP(D1508,Krav!$C:$F,4,FALSE))</f>
        <v/>
      </c>
      <c r="F1508" s="382" t="s">
        <v>226</v>
      </c>
      <c r="G1508" s="383" t="s">
        <v>308</v>
      </c>
      <c r="H1508" s="379" t="s">
        <v>2378</v>
      </c>
      <c r="I1508" s="384" t="s">
        <v>241</v>
      </c>
      <c r="J1508" s="384" t="s">
        <v>222</v>
      </c>
      <c r="K1508" s="384" t="s">
        <v>222</v>
      </c>
      <c r="L1508" s="385" t="s">
        <v>3</v>
      </c>
      <c r="M1508" s="377" t="s">
        <v>129</v>
      </c>
      <c r="N1508" s="377" t="s">
        <v>131</v>
      </c>
      <c r="O1508" s="377" t="s">
        <v>376</v>
      </c>
      <c r="P1508" s="377" t="s">
        <v>96</v>
      </c>
      <c r="Q1508" s="377" t="s">
        <v>131</v>
      </c>
      <c r="R1508" s="377" t="s">
        <v>129</v>
      </c>
      <c r="S1508" s="377" t="s">
        <v>131</v>
      </c>
      <c r="T1508" s="377"/>
      <c r="U1508" s="379" t="s">
        <v>1300</v>
      </c>
      <c r="V1508" s="377"/>
      <c r="W1508" s="377"/>
      <c r="X1508" s="377"/>
      <c r="Y1508" s="377"/>
      <c r="Z1508" s="377"/>
      <c r="AA1508" s="377"/>
      <c r="AB1508" s="377"/>
      <c r="AC1508" s="377"/>
      <c r="AD1508" s="378" t="s">
        <v>5</v>
      </c>
      <c r="AE1508" s="386"/>
      <c r="AF1508" s="386"/>
      <c r="AG1508" s="386"/>
      <c r="AH1508" s="386"/>
      <c r="AI1508" s="386"/>
      <c r="AJ1508" s="386"/>
      <c r="AK1508" s="386"/>
      <c r="AL1508" s="386"/>
    </row>
    <row r="1509" spans="1:38" s="387" customFormat="1" ht="33" customHeight="1" x14ac:dyDescent="0.3">
      <c r="A1509" s="374">
        <v>29</v>
      </c>
      <c r="B1509" s="375">
        <v>228</v>
      </c>
      <c r="C1509" s="376" t="str">
        <f t="shared" si="32"/>
        <v>29.228</v>
      </c>
      <c r="D1509" s="380"/>
      <c r="E1509" s="381" t="str">
        <f>IF(ISBLANK(D1509)=TRUE,"",VLOOKUP(D1509,Krav!$C:$F,4,FALSE))</f>
        <v/>
      </c>
      <c r="F1509" s="382" t="s">
        <v>226</v>
      </c>
      <c r="G1509" s="383" t="s">
        <v>308</v>
      </c>
      <c r="H1509" s="379" t="s">
        <v>2379</v>
      </c>
      <c r="I1509" s="384" t="s">
        <v>241</v>
      </c>
      <c r="J1509" s="384" t="s">
        <v>222</v>
      </c>
      <c r="K1509" s="384" t="s">
        <v>222</v>
      </c>
      <c r="L1509" s="385" t="s">
        <v>3</v>
      </c>
      <c r="M1509" s="377" t="s">
        <v>129</v>
      </c>
      <c r="N1509" s="377" t="s">
        <v>131</v>
      </c>
      <c r="O1509" s="377" t="s">
        <v>376</v>
      </c>
      <c r="P1509" s="377" t="s">
        <v>96</v>
      </c>
      <c r="Q1509" s="377" t="s">
        <v>131</v>
      </c>
      <c r="R1509" s="377" t="s">
        <v>129</v>
      </c>
      <c r="S1509" s="377" t="s">
        <v>131</v>
      </c>
      <c r="T1509" s="377"/>
      <c r="U1509" s="379" t="s">
        <v>1301</v>
      </c>
      <c r="V1509" s="377"/>
      <c r="W1509" s="377"/>
      <c r="X1509" s="377"/>
      <c r="Y1509" s="377"/>
      <c r="Z1509" s="377"/>
      <c r="AA1509" s="377"/>
      <c r="AB1509" s="377"/>
      <c r="AC1509" s="377"/>
      <c r="AD1509" s="378" t="s">
        <v>5</v>
      </c>
      <c r="AE1509" s="386"/>
      <c r="AF1509" s="386"/>
      <c r="AG1509" s="386"/>
      <c r="AH1509" s="386"/>
      <c r="AI1509" s="386"/>
      <c r="AJ1509" s="386"/>
      <c r="AK1509" s="386"/>
      <c r="AL1509" s="386"/>
    </row>
    <row r="1510" spans="1:38" s="387" customFormat="1" ht="33" customHeight="1" x14ac:dyDescent="0.3">
      <c r="A1510" s="374">
        <v>29</v>
      </c>
      <c r="B1510" s="375">
        <v>229</v>
      </c>
      <c r="C1510" s="376" t="str">
        <f t="shared" si="32"/>
        <v>29.229</v>
      </c>
      <c r="D1510" s="380"/>
      <c r="E1510" s="381" t="str">
        <f>IF(ISBLANK(D1510)=TRUE,"",VLOOKUP(D1510,Krav!$C:$F,4,FALSE))</f>
        <v/>
      </c>
      <c r="F1510" s="382" t="s">
        <v>226</v>
      </c>
      <c r="G1510" s="383" t="s">
        <v>308</v>
      </c>
      <c r="H1510" s="379" t="s">
        <v>2380</v>
      </c>
      <c r="I1510" s="384" t="s">
        <v>241</v>
      </c>
      <c r="J1510" s="384" t="s">
        <v>222</v>
      </c>
      <c r="K1510" s="384" t="s">
        <v>222</v>
      </c>
      <c r="L1510" s="385" t="s">
        <v>3</v>
      </c>
      <c r="M1510" s="377" t="s">
        <v>129</v>
      </c>
      <c r="N1510" s="377" t="s">
        <v>131</v>
      </c>
      <c r="O1510" s="377" t="s">
        <v>376</v>
      </c>
      <c r="P1510" s="377" t="s">
        <v>96</v>
      </c>
      <c r="Q1510" s="377" t="s">
        <v>131</v>
      </c>
      <c r="R1510" s="377" t="s">
        <v>129</v>
      </c>
      <c r="S1510" s="377" t="s">
        <v>131</v>
      </c>
      <c r="T1510" s="377"/>
      <c r="U1510" s="379" t="s">
        <v>1302</v>
      </c>
      <c r="V1510" s="377"/>
      <c r="W1510" s="377"/>
      <c r="X1510" s="377"/>
      <c r="Y1510" s="377"/>
      <c r="Z1510" s="377"/>
      <c r="AA1510" s="377"/>
      <c r="AB1510" s="377"/>
      <c r="AC1510" s="377"/>
      <c r="AD1510" s="378" t="s">
        <v>5</v>
      </c>
      <c r="AE1510" s="386"/>
      <c r="AF1510" s="386"/>
      <c r="AG1510" s="386"/>
      <c r="AH1510" s="386"/>
      <c r="AI1510" s="386"/>
      <c r="AJ1510" s="386"/>
      <c r="AK1510" s="386"/>
      <c r="AL1510" s="386"/>
    </row>
    <row r="1511" spans="1:38" s="387" customFormat="1" ht="33" customHeight="1" x14ac:dyDescent="0.3">
      <c r="A1511" s="374">
        <v>29</v>
      </c>
      <c r="B1511" s="375">
        <v>230</v>
      </c>
      <c r="C1511" s="376" t="str">
        <f t="shared" si="32"/>
        <v>29.230</v>
      </c>
      <c r="D1511" s="380"/>
      <c r="E1511" s="381" t="str">
        <f>IF(ISBLANK(D1511)=TRUE,"",VLOOKUP(D1511,Krav!$C:$F,4,FALSE))</f>
        <v/>
      </c>
      <c r="F1511" s="382" t="s">
        <v>226</v>
      </c>
      <c r="G1511" s="383" t="s">
        <v>308</v>
      </c>
      <c r="H1511" s="379" t="s">
        <v>2381</v>
      </c>
      <c r="I1511" s="384" t="s">
        <v>241</v>
      </c>
      <c r="J1511" s="384" t="s">
        <v>222</v>
      </c>
      <c r="K1511" s="384" t="s">
        <v>222</v>
      </c>
      <c r="L1511" s="385" t="s">
        <v>3</v>
      </c>
      <c r="M1511" s="377" t="s">
        <v>129</v>
      </c>
      <c r="N1511" s="377" t="s">
        <v>131</v>
      </c>
      <c r="O1511" s="377" t="s">
        <v>376</v>
      </c>
      <c r="P1511" s="377" t="s">
        <v>96</v>
      </c>
      <c r="Q1511" s="377" t="s">
        <v>131</v>
      </c>
      <c r="R1511" s="377" t="s">
        <v>129</v>
      </c>
      <c r="S1511" s="377" t="s">
        <v>131</v>
      </c>
      <c r="T1511" s="377"/>
      <c r="U1511" s="379" t="s">
        <v>1303</v>
      </c>
      <c r="V1511" s="377"/>
      <c r="W1511" s="377"/>
      <c r="X1511" s="377"/>
      <c r="Y1511" s="377"/>
      <c r="Z1511" s="377"/>
      <c r="AA1511" s="377"/>
      <c r="AB1511" s="377"/>
      <c r="AC1511" s="377"/>
      <c r="AD1511" s="378" t="s">
        <v>5</v>
      </c>
      <c r="AE1511" s="386"/>
      <c r="AF1511" s="386"/>
      <c r="AG1511" s="386"/>
      <c r="AH1511" s="386"/>
      <c r="AI1511" s="386"/>
      <c r="AJ1511" s="386"/>
      <c r="AK1511" s="386"/>
      <c r="AL1511" s="386"/>
    </row>
    <row r="1512" spans="1:38" s="387" customFormat="1" ht="33" customHeight="1" x14ac:dyDescent="0.3">
      <c r="A1512" s="374">
        <v>29</v>
      </c>
      <c r="B1512" s="375">
        <v>231</v>
      </c>
      <c r="C1512" s="376" t="str">
        <f t="shared" si="32"/>
        <v>29.231</v>
      </c>
      <c r="D1512" s="380"/>
      <c r="E1512" s="381" t="str">
        <f>IF(ISBLANK(D1512)=TRUE,"",VLOOKUP(D1512,Krav!$C:$F,4,FALSE))</f>
        <v/>
      </c>
      <c r="F1512" s="382" t="s">
        <v>226</v>
      </c>
      <c r="G1512" s="383" t="s">
        <v>308</v>
      </c>
      <c r="H1512" s="379" t="s">
        <v>2377</v>
      </c>
      <c r="I1512" s="384" t="s">
        <v>241</v>
      </c>
      <c r="J1512" s="384" t="s">
        <v>222</v>
      </c>
      <c r="K1512" s="384" t="s">
        <v>222</v>
      </c>
      <c r="L1512" s="385" t="s">
        <v>3</v>
      </c>
      <c r="M1512" s="377" t="s">
        <v>131</v>
      </c>
      <c r="N1512" s="377" t="s">
        <v>129</v>
      </c>
      <c r="O1512" s="377" t="s">
        <v>96</v>
      </c>
      <c r="P1512" s="377" t="s">
        <v>376</v>
      </c>
      <c r="Q1512" s="377" t="s">
        <v>129</v>
      </c>
      <c r="R1512" s="377" t="s">
        <v>131</v>
      </c>
      <c r="S1512" s="377" t="s">
        <v>131</v>
      </c>
      <c r="T1512" s="377"/>
      <c r="U1512" s="379" t="s">
        <v>1299</v>
      </c>
      <c r="V1512" s="377"/>
      <c r="W1512" s="377"/>
      <c r="X1512" s="377"/>
      <c r="Y1512" s="377"/>
      <c r="Z1512" s="377"/>
      <c r="AA1512" s="377"/>
      <c r="AB1512" s="377"/>
      <c r="AC1512" s="377"/>
      <c r="AD1512" s="378" t="s">
        <v>5</v>
      </c>
      <c r="AE1512" s="386"/>
      <c r="AF1512" s="386"/>
      <c r="AG1512" s="386"/>
      <c r="AH1512" s="386"/>
      <c r="AI1512" s="386"/>
      <c r="AJ1512" s="386"/>
      <c r="AK1512" s="386"/>
      <c r="AL1512" s="386"/>
    </row>
    <row r="1513" spans="1:38" s="387" customFormat="1" ht="33" customHeight="1" x14ac:dyDescent="0.3">
      <c r="A1513" s="374">
        <v>29</v>
      </c>
      <c r="B1513" s="375">
        <v>232</v>
      </c>
      <c r="C1513" s="376" t="str">
        <f t="shared" si="32"/>
        <v>29.232</v>
      </c>
      <c r="D1513" s="380"/>
      <c r="E1513" s="381" t="str">
        <f>IF(ISBLANK(D1513)=TRUE,"",VLOOKUP(D1513,Krav!$C:$F,4,FALSE))</f>
        <v/>
      </c>
      <c r="F1513" s="382" t="s">
        <v>226</v>
      </c>
      <c r="G1513" s="383" t="s">
        <v>308</v>
      </c>
      <c r="H1513" s="379" t="s">
        <v>2378</v>
      </c>
      <c r="I1513" s="384" t="s">
        <v>241</v>
      </c>
      <c r="J1513" s="384" t="s">
        <v>222</v>
      </c>
      <c r="K1513" s="384" t="s">
        <v>222</v>
      </c>
      <c r="L1513" s="385" t="s">
        <v>3</v>
      </c>
      <c r="M1513" s="377" t="s">
        <v>131</v>
      </c>
      <c r="N1513" s="377" t="s">
        <v>129</v>
      </c>
      <c r="O1513" s="377" t="s">
        <v>96</v>
      </c>
      <c r="P1513" s="377" t="s">
        <v>376</v>
      </c>
      <c r="Q1513" s="377" t="s">
        <v>129</v>
      </c>
      <c r="R1513" s="377" t="s">
        <v>131</v>
      </c>
      <c r="S1513" s="377" t="s">
        <v>131</v>
      </c>
      <c r="T1513" s="377"/>
      <c r="U1513" s="379" t="s">
        <v>1300</v>
      </c>
      <c r="V1513" s="377"/>
      <c r="W1513" s="377"/>
      <c r="X1513" s="377"/>
      <c r="Y1513" s="377"/>
      <c r="Z1513" s="377"/>
      <c r="AA1513" s="377"/>
      <c r="AB1513" s="377"/>
      <c r="AC1513" s="377"/>
      <c r="AD1513" s="378" t="s">
        <v>5</v>
      </c>
      <c r="AE1513" s="386"/>
      <c r="AF1513" s="386"/>
      <c r="AG1513" s="386"/>
      <c r="AH1513" s="386"/>
      <c r="AI1513" s="386"/>
      <c r="AJ1513" s="386"/>
      <c r="AK1513" s="386"/>
      <c r="AL1513" s="386"/>
    </row>
    <row r="1514" spans="1:38" s="387" customFormat="1" ht="33" customHeight="1" x14ac:dyDescent="0.3">
      <c r="A1514" s="374">
        <v>29</v>
      </c>
      <c r="B1514" s="375">
        <v>233</v>
      </c>
      <c r="C1514" s="376" t="str">
        <f t="shared" si="32"/>
        <v>29.233</v>
      </c>
      <c r="D1514" s="380"/>
      <c r="E1514" s="381" t="str">
        <f>IF(ISBLANK(D1514)=TRUE,"",VLOOKUP(D1514,Krav!$C:$F,4,FALSE))</f>
        <v/>
      </c>
      <c r="F1514" s="382" t="s">
        <v>226</v>
      </c>
      <c r="G1514" s="383" t="s">
        <v>308</v>
      </c>
      <c r="H1514" s="379" t="s">
        <v>2379</v>
      </c>
      <c r="I1514" s="384" t="s">
        <v>241</v>
      </c>
      <c r="J1514" s="384" t="s">
        <v>222</v>
      </c>
      <c r="K1514" s="384" t="s">
        <v>222</v>
      </c>
      <c r="L1514" s="385" t="s">
        <v>3</v>
      </c>
      <c r="M1514" s="377" t="s">
        <v>131</v>
      </c>
      <c r="N1514" s="377" t="s">
        <v>129</v>
      </c>
      <c r="O1514" s="377" t="s">
        <v>96</v>
      </c>
      <c r="P1514" s="377" t="s">
        <v>376</v>
      </c>
      <c r="Q1514" s="377" t="s">
        <v>129</v>
      </c>
      <c r="R1514" s="377" t="s">
        <v>131</v>
      </c>
      <c r="S1514" s="377" t="s">
        <v>131</v>
      </c>
      <c r="T1514" s="377"/>
      <c r="U1514" s="379" t="s">
        <v>1301</v>
      </c>
      <c r="V1514" s="377"/>
      <c r="W1514" s="377"/>
      <c r="X1514" s="377"/>
      <c r="Y1514" s="377"/>
      <c r="Z1514" s="377"/>
      <c r="AA1514" s="377"/>
      <c r="AB1514" s="377"/>
      <c r="AC1514" s="377"/>
      <c r="AD1514" s="378" t="s">
        <v>5</v>
      </c>
      <c r="AE1514" s="386"/>
      <c r="AF1514" s="386"/>
      <c r="AG1514" s="386"/>
      <c r="AH1514" s="386"/>
      <c r="AI1514" s="386"/>
      <c r="AJ1514" s="386"/>
      <c r="AK1514" s="386"/>
      <c r="AL1514" s="386"/>
    </row>
    <row r="1515" spans="1:38" s="387" customFormat="1" ht="33" customHeight="1" x14ac:dyDescent="0.3">
      <c r="A1515" s="374">
        <v>29</v>
      </c>
      <c r="B1515" s="375">
        <v>234</v>
      </c>
      <c r="C1515" s="376" t="str">
        <f t="shared" si="32"/>
        <v>29.234</v>
      </c>
      <c r="D1515" s="380"/>
      <c r="E1515" s="381" t="str">
        <f>IF(ISBLANK(D1515)=TRUE,"",VLOOKUP(D1515,Krav!$C:$F,4,FALSE))</f>
        <v/>
      </c>
      <c r="F1515" s="382" t="s">
        <v>226</v>
      </c>
      <c r="G1515" s="383" t="s">
        <v>308</v>
      </c>
      <c r="H1515" s="379" t="s">
        <v>2380</v>
      </c>
      <c r="I1515" s="384" t="s">
        <v>241</v>
      </c>
      <c r="J1515" s="384" t="s">
        <v>222</v>
      </c>
      <c r="K1515" s="384" t="s">
        <v>222</v>
      </c>
      <c r="L1515" s="385" t="s">
        <v>3</v>
      </c>
      <c r="M1515" s="377" t="s">
        <v>131</v>
      </c>
      <c r="N1515" s="377" t="s">
        <v>129</v>
      </c>
      <c r="O1515" s="377" t="s">
        <v>96</v>
      </c>
      <c r="P1515" s="377" t="s">
        <v>376</v>
      </c>
      <c r="Q1515" s="377" t="s">
        <v>129</v>
      </c>
      <c r="R1515" s="377" t="s">
        <v>131</v>
      </c>
      <c r="S1515" s="377" t="s">
        <v>131</v>
      </c>
      <c r="T1515" s="377"/>
      <c r="U1515" s="379" t="s">
        <v>1302</v>
      </c>
      <c r="V1515" s="377"/>
      <c r="W1515" s="377"/>
      <c r="X1515" s="377"/>
      <c r="Y1515" s="377"/>
      <c r="Z1515" s="377"/>
      <c r="AA1515" s="377"/>
      <c r="AB1515" s="377"/>
      <c r="AC1515" s="377"/>
      <c r="AD1515" s="378" t="s">
        <v>5</v>
      </c>
      <c r="AE1515" s="386"/>
      <c r="AF1515" s="386"/>
      <c r="AG1515" s="386"/>
      <c r="AH1515" s="386"/>
      <c r="AI1515" s="386"/>
      <c r="AJ1515" s="386"/>
      <c r="AK1515" s="386"/>
      <c r="AL1515" s="386"/>
    </row>
    <row r="1516" spans="1:38" s="387" customFormat="1" ht="33" customHeight="1" x14ac:dyDescent="0.3">
      <c r="A1516" s="374">
        <v>29</v>
      </c>
      <c r="B1516" s="375">
        <v>235</v>
      </c>
      <c r="C1516" s="376" t="str">
        <f t="shared" si="32"/>
        <v>29.235</v>
      </c>
      <c r="D1516" s="380"/>
      <c r="E1516" s="381" t="str">
        <f>IF(ISBLANK(D1516)=TRUE,"",VLOOKUP(D1516,Krav!$C:$F,4,FALSE))</f>
        <v/>
      </c>
      <c r="F1516" s="382" t="s">
        <v>226</v>
      </c>
      <c r="G1516" s="383" t="s">
        <v>308</v>
      </c>
      <c r="H1516" s="379" t="s">
        <v>2381</v>
      </c>
      <c r="I1516" s="384" t="s">
        <v>241</v>
      </c>
      <c r="J1516" s="384" t="s">
        <v>222</v>
      </c>
      <c r="K1516" s="384" t="s">
        <v>222</v>
      </c>
      <c r="L1516" s="385" t="s">
        <v>3</v>
      </c>
      <c r="M1516" s="377" t="s">
        <v>131</v>
      </c>
      <c r="N1516" s="377" t="s">
        <v>129</v>
      </c>
      <c r="O1516" s="377" t="s">
        <v>96</v>
      </c>
      <c r="P1516" s="377" t="s">
        <v>376</v>
      </c>
      <c r="Q1516" s="377" t="s">
        <v>129</v>
      </c>
      <c r="R1516" s="377" t="s">
        <v>131</v>
      </c>
      <c r="S1516" s="377" t="s">
        <v>131</v>
      </c>
      <c r="T1516" s="377"/>
      <c r="U1516" s="379" t="s">
        <v>1303</v>
      </c>
      <c r="V1516" s="377"/>
      <c r="W1516" s="377"/>
      <c r="X1516" s="377"/>
      <c r="Y1516" s="377"/>
      <c r="Z1516" s="377"/>
      <c r="AA1516" s="377"/>
      <c r="AB1516" s="377"/>
      <c r="AC1516" s="377"/>
      <c r="AD1516" s="378" t="s">
        <v>5</v>
      </c>
      <c r="AE1516" s="386"/>
      <c r="AF1516" s="386"/>
      <c r="AG1516" s="386"/>
      <c r="AH1516" s="386"/>
      <c r="AI1516" s="386"/>
      <c r="AJ1516" s="386"/>
      <c r="AK1516" s="386"/>
      <c r="AL1516" s="386"/>
    </row>
    <row r="1517" spans="1:38" s="387" customFormat="1" ht="33" customHeight="1" x14ac:dyDescent="0.3">
      <c r="A1517" s="374">
        <v>29</v>
      </c>
      <c r="B1517" s="375">
        <v>236</v>
      </c>
      <c r="C1517" s="376" t="str">
        <f t="shared" si="32"/>
        <v>29.236</v>
      </c>
      <c r="D1517" s="380"/>
      <c r="E1517" s="381" t="str">
        <f>IF(ISBLANK(D1517)=TRUE,"",VLOOKUP(D1517,Krav!$C:$F,4,FALSE))</f>
        <v/>
      </c>
      <c r="F1517" s="382" t="s">
        <v>226</v>
      </c>
      <c r="G1517" s="383" t="s">
        <v>308</v>
      </c>
      <c r="H1517" s="379" t="s">
        <v>2377</v>
      </c>
      <c r="I1517" s="384" t="s">
        <v>241</v>
      </c>
      <c r="J1517" s="384" t="s">
        <v>222</v>
      </c>
      <c r="K1517" s="384" t="s">
        <v>222</v>
      </c>
      <c r="L1517" s="385" t="s">
        <v>3</v>
      </c>
      <c r="M1517" s="377" t="s">
        <v>131</v>
      </c>
      <c r="N1517" s="377" t="s">
        <v>129</v>
      </c>
      <c r="O1517" s="377" t="s">
        <v>376</v>
      </c>
      <c r="P1517" s="377" t="s">
        <v>96</v>
      </c>
      <c r="Q1517" s="377" t="s">
        <v>131</v>
      </c>
      <c r="R1517" s="377" t="s">
        <v>129</v>
      </c>
      <c r="S1517" s="377" t="s">
        <v>131</v>
      </c>
      <c r="T1517" s="377"/>
      <c r="U1517" s="379" t="s">
        <v>1299</v>
      </c>
      <c r="V1517" s="377"/>
      <c r="W1517" s="377"/>
      <c r="X1517" s="377"/>
      <c r="Y1517" s="377"/>
      <c r="Z1517" s="377"/>
      <c r="AA1517" s="377"/>
      <c r="AB1517" s="377"/>
      <c r="AC1517" s="377"/>
      <c r="AD1517" s="378" t="s">
        <v>5</v>
      </c>
      <c r="AE1517" s="386"/>
      <c r="AF1517" s="386"/>
      <c r="AG1517" s="386"/>
      <c r="AH1517" s="386"/>
      <c r="AI1517" s="386"/>
      <c r="AJ1517" s="386"/>
      <c r="AK1517" s="386"/>
      <c r="AL1517" s="386"/>
    </row>
    <row r="1518" spans="1:38" s="387" customFormat="1" ht="33" customHeight="1" x14ac:dyDescent="0.3">
      <c r="A1518" s="374">
        <v>29</v>
      </c>
      <c r="B1518" s="375">
        <v>237</v>
      </c>
      <c r="C1518" s="376" t="str">
        <f t="shared" si="32"/>
        <v>29.237</v>
      </c>
      <c r="D1518" s="380"/>
      <c r="E1518" s="381" t="str">
        <f>IF(ISBLANK(D1518)=TRUE,"",VLOOKUP(D1518,Krav!$C:$F,4,FALSE))</f>
        <v/>
      </c>
      <c r="F1518" s="382" t="s">
        <v>226</v>
      </c>
      <c r="G1518" s="383" t="s">
        <v>308</v>
      </c>
      <c r="H1518" s="379" t="s">
        <v>2378</v>
      </c>
      <c r="I1518" s="384" t="s">
        <v>241</v>
      </c>
      <c r="J1518" s="384" t="s">
        <v>222</v>
      </c>
      <c r="K1518" s="384" t="s">
        <v>222</v>
      </c>
      <c r="L1518" s="385" t="s">
        <v>3</v>
      </c>
      <c r="M1518" s="377" t="s">
        <v>131</v>
      </c>
      <c r="N1518" s="377" t="s">
        <v>129</v>
      </c>
      <c r="O1518" s="377" t="s">
        <v>376</v>
      </c>
      <c r="P1518" s="377" t="s">
        <v>96</v>
      </c>
      <c r="Q1518" s="377" t="s">
        <v>131</v>
      </c>
      <c r="R1518" s="377" t="s">
        <v>129</v>
      </c>
      <c r="S1518" s="377" t="s">
        <v>131</v>
      </c>
      <c r="T1518" s="377"/>
      <c r="U1518" s="379" t="s">
        <v>1300</v>
      </c>
      <c r="V1518" s="377"/>
      <c r="W1518" s="377"/>
      <c r="X1518" s="377"/>
      <c r="Y1518" s="377"/>
      <c r="Z1518" s="377"/>
      <c r="AA1518" s="377"/>
      <c r="AB1518" s="377"/>
      <c r="AC1518" s="377"/>
      <c r="AD1518" s="378" t="s">
        <v>5</v>
      </c>
      <c r="AE1518" s="386"/>
      <c r="AF1518" s="386"/>
      <c r="AG1518" s="386"/>
      <c r="AH1518" s="386"/>
      <c r="AI1518" s="386"/>
      <c r="AJ1518" s="386"/>
      <c r="AK1518" s="386"/>
      <c r="AL1518" s="386"/>
    </row>
    <row r="1519" spans="1:38" s="387" customFormat="1" ht="33" customHeight="1" x14ac:dyDescent="0.3">
      <c r="A1519" s="374">
        <v>29</v>
      </c>
      <c r="B1519" s="375">
        <v>238</v>
      </c>
      <c r="C1519" s="376" t="str">
        <f t="shared" si="32"/>
        <v>29.238</v>
      </c>
      <c r="D1519" s="380"/>
      <c r="E1519" s="381" t="str">
        <f>IF(ISBLANK(D1519)=TRUE,"",VLOOKUP(D1519,Krav!$C:$F,4,FALSE))</f>
        <v/>
      </c>
      <c r="F1519" s="382" t="s">
        <v>226</v>
      </c>
      <c r="G1519" s="383" t="s">
        <v>308</v>
      </c>
      <c r="H1519" s="379" t="s">
        <v>2379</v>
      </c>
      <c r="I1519" s="384" t="s">
        <v>241</v>
      </c>
      <c r="J1519" s="384" t="s">
        <v>222</v>
      </c>
      <c r="K1519" s="384" t="s">
        <v>222</v>
      </c>
      <c r="L1519" s="385" t="s">
        <v>3</v>
      </c>
      <c r="M1519" s="377" t="s">
        <v>131</v>
      </c>
      <c r="N1519" s="377" t="s">
        <v>129</v>
      </c>
      <c r="O1519" s="377" t="s">
        <v>376</v>
      </c>
      <c r="P1519" s="377" t="s">
        <v>96</v>
      </c>
      <c r="Q1519" s="377" t="s">
        <v>131</v>
      </c>
      <c r="R1519" s="377" t="s">
        <v>129</v>
      </c>
      <c r="S1519" s="377" t="s">
        <v>131</v>
      </c>
      <c r="T1519" s="377"/>
      <c r="U1519" s="379" t="s">
        <v>1301</v>
      </c>
      <c r="V1519" s="377"/>
      <c r="W1519" s="377"/>
      <c r="X1519" s="377"/>
      <c r="Y1519" s="377"/>
      <c r="Z1519" s="377"/>
      <c r="AA1519" s="377"/>
      <c r="AB1519" s="377"/>
      <c r="AC1519" s="377"/>
      <c r="AD1519" s="378" t="s">
        <v>5</v>
      </c>
      <c r="AE1519" s="386"/>
      <c r="AF1519" s="386"/>
      <c r="AG1519" s="386"/>
      <c r="AH1519" s="386"/>
      <c r="AI1519" s="386"/>
      <c r="AJ1519" s="386"/>
      <c r="AK1519" s="386"/>
      <c r="AL1519" s="386"/>
    </row>
    <row r="1520" spans="1:38" s="387" customFormat="1" ht="33" customHeight="1" x14ac:dyDescent="0.3">
      <c r="A1520" s="374">
        <v>29</v>
      </c>
      <c r="B1520" s="375">
        <v>239</v>
      </c>
      <c r="C1520" s="376" t="str">
        <f t="shared" si="32"/>
        <v>29.239</v>
      </c>
      <c r="D1520" s="380"/>
      <c r="E1520" s="381" t="str">
        <f>IF(ISBLANK(D1520)=TRUE,"",VLOOKUP(D1520,Krav!$C:$F,4,FALSE))</f>
        <v/>
      </c>
      <c r="F1520" s="382" t="s">
        <v>226</v>
      </c>
      <c r="G1520" s="383" t="s">
        <v>308</v>
      </c>
      <c r="H1520" s="379" t="s">
        <v>2380</v>
      </c>
      <c r="I1520" s="384" t="s">
        <v>241</v>
      </c>
      <c r="J1520" s="384" t="s">
        <v>222</v>
      </c>
      <c r="K1520" s="384" t="s">
        <v>222</v>
      </c>
      <c r="L1520" s="385" t="s">
        <v>3</v>
      </c>
      <c r="M1520" s="377" t="s">
        <v>131</v>
      </c>
      <c r="N1520" s="377" t="s">
        <v>129</v>
      </c>
      <c r="O1520" s="377" t="s">
        <v>376</v>
      </c>
      <c r="P1520" s="377" t="s">
        <v>96</v>
      </c>
      <c r="Q1520" s="377" t="s">
        <v>131</v>
      </c>
      <c r="R1520" s="377" t="s">
        <v>129</v>
      </c>
      <c r="S1520" s="377" t="s">
        <v>131</v>
      </c>
      <c r="T1520" s="377"/>
      <c r="U1520" s="379" t="s">
        <v>1302</v>
      </c>
      <c r="V1520" s="377"/>
      <c r="W1520" s="377"/>
      <c r="X1520" s="377"/>
      <c r="Y1520" s="377"/>
      <c r="Z1520" s="377"/>
      <c r="AA1520" s="377"/>
      <c r="AB1520" s="377"/>
      <c r="AC1520" s="377"/>
      <c r="AD1520" s="378" t="s">
        <v>5</v>
      </c>
      <c r="AE1520" s="386"/>
      <c r="AF1520" s="386"/>
      <c r="AG1520" s="386"/>
      <c r="AH1520" s="386"/>
      <c r="AI1520" s="386"/>
      <c r="AJ1520" s="386"/>
      <c r="AK1520" s="386"/>
      <c r="AL1520" s="386"/>
    </row>
    <row r="1521" spans="1:38" s="387" customFormat="1" ht="33" customHeight="1" x14ac:dyDescent="0.3">
      <c r="A1521" s="374">
        <v>29</v>
      </c>
      <c r="B1521" s="375">
        <v>240</v>
      </c>
      <c r="C1521" s="376" t="str">
        <f t="shared" si="32"/>
        <v>29.240</v>
      </c>
      <c r="D1521" s="380"/>
      <c r="E1521" s="381" t="str">
        <f>IF(ISBLANK(D1521)=TRUE,"",VLOOKUP(D1521,Krav!$C:$F,4,FALSE))</f>
        <v/>
      </c>
      <c r="F1521" s="382" t="s">
        <v>226</v>
      </c>
      <c r="G1521" s="383" t="s">
        <v>308</v>
      </c>
      <c r="H1521" s="379" t="s">
        <v>2381</v>
      </c>
      <c r="I1521" s="384" t="s">
        <v>241</v>
      </c>
      <c r="J1521" s="384" t="s">
        <v>222</v>
      </c>
      <c r="K1521" s="384" t="s">
        <v>222</v>
      </c>
      <c r="L1521" s="385" t="s">
        <v>3</v>
      </c>
      <c r="M1521" s="377" t="s">
        <v>131</v>
      </c>
      <c r="N1521" s="377" t="s">
        <v>129</v>
      </c>
      <c r="O1521" s="377" t="s">
        <v>376</v>
      </c>
      <c r="P1521" s="377" t="s">
        <v>96</v>
      </c>
      <c r="Q1521" s="377" t="s">
        <v>131</v>
      </c>
      <c r="R1521" s="377" t="s">
        <v>129</v>
      </c>
      <c r="S1521" s="377" t="s">
        <v>131</v>
      </c>
      <c r="T1521" s="377"/>
      <c r="U1521" s="379" t="s">
        <v>1303</v>
      </c>
      <c r="V1521" s="377"/>
      <c r="W1521" s="377"/>
      <c r="X1521" s="377"/>
      <c r="Y1521" s="377"/>
      <c r="Z1521" s="377"/>
      <c r="AA1521" s="377"/>
      <c r="AB1521" s="377"/>
      <c r="AC1521" s="377"/>
      <c r="AD1521" s="378" t="s">
        <v>5</v>
      </c>
      <c r="AE1521" s="386"/>
      <c r="AF1521" s="386"/>
      <c r="AG1521" s="386"/>
      <c r="AH1521" s="386"/>
      <c r="AI1521" s="386"/>
      <c r="AJ1521" s="386"/>
      <c r="AK1521" s="386"/>
      <c r="AL1521" s="386"/>
    </row>
    <row r="1522" spans="1:38" s="57" customFormat="1" ht="14.4" x14ac:dyDescent="0.3"/>
    <row r="1523" spans="1:38" s="57" customFormat="1" ht="14.4" x14ac:dyDescent="0.3"/>
    <row r="1524" spans="1:38" s="57" customFormat="1" ht="14.4" x14ac:dyDescent="0.3"/>
    <row r="1525" spans="1:38" s="57" customFormat="1" ht="14.4" x14ac:dyDescent="0.3"/>
    <row r="1526" spans="1:38" s="57" customFormat="1" ht="16.5" customHeight="1" x14ac:dyDescent="0.3">
      <c r="E1526" s="5"/>
      <c r="F1526" s="5"/>
      <c r="H1526" s="5"/>
      <c r="M1526" s="62" t="s">
        <v>1374</v>
      </c>
      <c r="N1526" s="62" t="s">
        <v>1375</v>
      </c>
      <c r="O1526" s="62" t="s">
        <v>1376</v>
      </c>
      <c r="P1526" s="62" t="s">
        <v>1377</v>
      </c>
      <c r="Q1526" s="62" t="s">
        <v>1378</v>
      </c>
      <c r="R1526" s="62" t="s">
        <v>1379</v>
      </c>
      <c r="S1526" s="62" t="s">
        <v>1380</v>
      </c>
      <c r="T1526" s="62" t="s">
        <v>334</v>
      </c>
      <c r="U1526" s="62" t="s">
        <v>371</v>
      </c>
      <c r="V1526" s="62" t="s">
        <v>1381</v>
      </c>
      <c r="W1526" s="62" t="s">
        <v>1382</v>
      </c>
      <c r="X1526" s="62" t="s">
        <v>1383</v>
      </c>
      <c r="Y1526" s="62" t="s">
        <v>1384</v>
      </c>
      <c r="Z1526" s="62"/>
      <c r="AA1526" s="62"/>
      <c r="AB1526" s="62"/>
      <c r="AC1526" s="62" t="s">
        <v>1385</v>
      </c>
      <c r="AD1526" s="62" t="s">
        <v>335</v>
      </c>
      <c r="AE1526" s="62" t="s">
        <v>1386</v>
      </c>
    </row>
    <row r="1527" spans="1:38" s="57" customFormat="1" ht="16.5" customHeight="1" x14ac:dyDescent="0.3">
      <c r="E1527" s="5"/>
      <c r="F1527" s="5"/>
      <c r="H1527" s="5"/>
      <c r="M1527" s="62" t="s">
        <v>1387</v>
      </c>
      <c r="N1527" s="62" t="s">
        <v>1387</v>
      </c>
      <c r="O1527" s="62" t="s">
        <v>12</v>
      </c>
      <c r="P1527" s="62" t="s">
        <v>12</v>
      </c>
      <c r="Q1527" s="62" t="s">
        <v>1387</v>
      </c>
      <c r="R1527" s="62" t="s">
        <v>1387</v>
      </c>
      <c r="S1527" s="62" t="s">
        <v>1387</v>
      </c>
      <c r="T1527" s="62" t="s">
        <v>12</v>
      </c>
      <c r="U1527" s="62" t="s">
        <v>12</v>
      </c>
      <c r="V1527" s="62" t="s">
        <v>12</v>
      </c>
      <c r="W1527" s="62" t="s">
        <v>12</v>
      </c>
      <c r="X1527" s="62" t="s">
        <v>12</v>
      </c>
      <c r="Y1527" s="62" t="s">
        <v>12</v>
      </c>
      <c r="Z1527" s="62" t="s">
        <v>12</v>
      </c>
      <c r="AA1527" s="62" t="s">
        <v>12</v>
      </c>
      <c r="AB1527" s="62" t="s">
        <v>12</v>
      </c>
      <c r="AC1527" s="62" t="s">
        <v>12</v>
      </c>
      <c r="AD1527" s="62" t="s">
        <v>1387</v>
      </c>
    </row>
    <row r="1528" spans="1:38" s="1" customFormat="1" ht="15" customHeight="1" x14ac:dyDescent="0.3">
      <c r="A1528" s="50" t="s">
        <v>6</v>
      </c>
      <c r="B1528" s="51" t="s">
        <v>7</v>
      </c>
      <c r="C1528" s="31" t="s">
        <v>0</v>
      </c>
      <c r="D1528" s="31" t="s">
        <v>22</v>
      </c>
      <c r="E1528" s="52" t="s">
        <v>99</v>
      </c>
      <c r="F1528" s="52" t="s">
        <v>216</v>
      </c>
      <c r="G1528" s="31" t="s">
        <v>217</v>
      </c>
      <c r="H1528" s="52" t="s">
        <v>28</v>
      </c>
      <c r="I1528" s="31" t="s">
        <v>218</v>
      </c>
      <c r="J1528" s="31" t="s">
        <v>219</v>
      </c>
      <c r="K1528" s="31" t="s">
        <v>220</v>
      </c>
      <c r="L1528" s="31" t="s">
        <v>1</v>
      </c>
      <c r="M1528" s="62" t="s">
        <v>230</v>
      </c>
      <c r="N1528" s="62" t="s">
        <v>231</v>
      </c>
      <c r="O1528" s="62" t="s">
        <v>1388</v>
      </c>
      <c r="P1528" s="62" t="s">
        <v>1389</v>
      </c>
      <c r="Q1528" s="62" t="s">
        <v>1390</v>
      </c>
      <c r="R1528" s="62" t="s">
        <v>1391</v>
      </c>
      <c r="S1528" s="62" t="s">
        <v>1392</v>
      </c>
      <c r="T1528" s="62" t="s">
        <v>361</v>
      </c>
      <c r="U1528" s="62" t="s">
        <v>234</v>
      </c>
      <c r="V1528" s="62" t="s">
        <v>1393</v>
      </c>
      <c r="W1528" s="62" t="s">
        <v>1394</v>
      </c>
      <c r="X1528" s="62" t="s">
        <v>1395</v>
      </c>
      <c r="Y1528" s="62" t="s">
        <v>1396</v>
      </c>
      <c r="Z1528" s="166" t="s">
        <v>523</v>
      </c>
      <c r="AA1528" s="166" t="s">
        <v>1397</v>
      </c>
      <c r="AB1528" s="166" t="s">
        <v>1398</v>
      </c>
      <c r="AC1528" s="166" t="s">
        <v>522</v>
      </c>
      <c r="AD1528" s="62" t="s">
        <v>233</v>
      </c>
    </row>
    <row r="1529" spans="1:38" s="178" customFormat="1" ht="20.25" customHeight="1" x14ac:dyDescent="0.3">
      <c r="A1529" s="167">
        <v>30</v>
      </c>
      <c r="B1529" s="168">
        <v>1</v>
      </c>
      <c r="C1529" s="169" t="str">
        <f t="shared" ref="C1529:C1628" si="33">IF(B1529&lt;10,_xlfn.CONCAT(A1529,".0",B1529),_xlfn.CONCAT(A1529,".",B1529))</f>
        <v>30.01</v>
      </c>
      <c r="D1529" s="170" t="s">
        <v>824</v>
      </c>
      <c r="E1529" s="64" t="str">
        <f>IF(ISBLANK(D1529)=TRUE,"",VLOOKUP(D1529,Krav!$C:$F,4,FALSE))</f>
        <v>10.a.1.1.1.3 - Gruppe 1 aktiveres</v>
      </c>
      <c r="F1529" s="171" t="s">
        <v>227</v>
      </c>
      <c r="G1529" s="171"/>
      <c r="H1529" s="172" t="s">
        <v>1399</v>
      </c>
      <c r="I1529" s="173" t="s">
        <v>240</v>
      </c>
      <c r="J1529" s="174" t="s">
        <v>222</v>
      </c>
      <c r="K1529" s="125" t="s">
        <v>222</v>
      </c>
      <c r="L1529" s="175" t="s">
        <v>3</v>
      </c>
      <c r="M1529" s="176" t="s">
        <v>129</v>
      </c>
      <c r="N1529" s="176" t="s">
        <v>131</v>
      </c>
      <c r="O1529" s="176" t="s">
        <v>376</v>
      </c>
      <c r="P1529" s="176" t="s">
        <v>376</v>
      </c>
      <c r="Q1529" s="176" t="s">
        <v>131</v>
      </c>
      <c r="R1529" s="176" t="s">
        <v>131</v>
      </c>
      <c r="S1529" s="176" t="s">
        <v>131</v>
      </c>
      <c r="T1529" s="176" t="s">
        <v>412</v>
      </c>
      <c r="U1529" s="176"/>
      <c r="V1529" s="176"/>
      <c r="W1529" s="176"/>
      <c r="X1529" s="176"/>
      <c r="Y1529" s="176"/>
      <c r="Z1529" s="176"/>
      <c r="AA1529" s="176"/>
      <c r="AB1529" s="176"/>
      <c r="AC1529" s="176"/>
      <c r="AD1529" s="177" t="s">
        <v>5</v>
      </c>
    </row>
    <row r="1530" spans="1:38" s="182" customFormat="1" ht="33" customHeight="1" x14ac:dyDescent="0.3">
      <c r="A1530" s="167">
        <v>30</v>
      </c>
      <c r="B1530" s="168">
        <v>2</v>
      </c>
      <c r="C1530" s="169" t="str">
        <f t="shared" si="33"/>
        <v>30.02</v>
      </c>
      <c r="D1530" s="170"/>
      <c r="E1530" s="64" t="str">
        <f>IF(ISBLANK(D1530)=TRUE,"",VLOOKUP(D1530,Krav!$C:$F,4,FALSE))</f>
        <v/>
      </c>
      <c r="F1530" s="171" t="s">
        <v>225</v>
      </c>
      <c r="G1530" s="179" t="s">
        <v>1389</v>
      </c>
      <c r="H1530" s="179" t="s">
        <v>158</v>
      </c>
      <c r="I1530" s="174" t="s">
        <v>1400</v>
      </c>
      <c r="J1530" s="180" t="s">
        <v>222</v>
      </c>
      <c r="K1530" s="125" t="s">
        <v>222</v>
      </c>
      <c r="L1530" s="181" t="s">
        <v>3</v>
      </c>
      <c r="M1530" s="176" t="s">
        <v>129</v>
      </c>
      <c r="N1530" s="176" t="s">
        <v>131</v>
      </c>
      <c r="O1530" s="176" t="s">
        <v>376</v>
      </c>
      <c r="P1530" s="176" t="s">
        <v>96</v>
      </c>
      <c r="Q1530" s="176" t="s">
        <v>131</v>
      </c>
      <c r="R1530" s="176" t="s">
        <v>131</v>
      </c>
      <c r="S1530" s="176" t="s">
        <v>129</v>
      </c>
      <c r="T1530" s="176"/>
      <c r="U1530" s="176"/>
      <c r="V1530" s="176"/>
      <c r="W1530" s="176"/>
      <c r="X1530" s="176"/>
      <c r="Y1530" s="176"/>
      <c r="Z1530" s="176"/>
      <c r="AA1530" s="176"/>
      <c r="AB1530" s="176"/>
      <c r="AC1530" s="176"/>
      <c r="AD1530" s="177" t="s">
        <v>5</v>
      </c>
    </row>
    <row r="1531" spans="1:38" s="178" customFormat="1" ht="16.5" customHeight="1" x14ac:dyDescent="0.3">
      <c r="A1531" s="167">
        <v>30</v>
      </c>
      <c r="B1531" s="168">
        <v>3</v>
      </c>
      <c r="C1531" s="169" t="str">
        <f t="shared" si="33"/>
        <v>30.03</v>
      </c>
      <c r="D1531" s="170" t="s">
        <v>893</v>
      </c>
      <c r="E1531" s="64" t="str">
        <f>IF(ISBLANK(D1531)=TRUE,"",VLOOKUP(D1531,Krav!$C:$F,4,FALSE))</f>
        <v>10.a.1.1.1.39 - Hvis FordringsStartDato ikke er valgt: Regel R0055 deaktiveres</v>
      </c>
      <c r="F1531" s="171" t="s">
        <v>226</v>
      </c>
      <c r="G1531" s="171" t="s">
        <v>313</v>
      </c>
      <c r="H1531" s="172" t="s">
        <v>1401</v>
      </c>
      <c r="I1531" s="174" t="s">
        <v>1402</v>
      </c>
      <c r="J1531" s="173" t="s">
        <v>222</v>
      </c>
      <c r="K1531" s="123" t="s">
        <v>222</v>
      </c>
      <c r="L1531" s="181" t="s">
        <v>3</v>
      </c>
      <c r="M1531" s="176" t="s">
        <v>129</v>
      </c>
      <c r="N1531" s="176" t="s">
        <v>131</v>
      </c>
      <c r="O1531" s="176" t="s">
        <v>376</v>
      </c>
      <c r="P1531" s="176" t="s">
        <v>96</v>
      </c>
      <c r="Q1531" s="176" t="s">
        <v>131</v>
      </c>
      <c r="R1531" s="176" t="s">
        <v>131</v>
      </c>
      <c r="S1531" s="176" t="s">
        <v>129</v>
      </c>
      <c r="T1531" s="176"/>
      <c r="U1531" s="176" t="s">
        <v>1308</v>
      </c>
      <c r="V1531" s="176"/>
      <c r="W1531" s="176"/>
      <c r="X1531" s="176"/>
      <c r="Y1531" s="176"/>
      <c r="Z1531" s="176"/>
      <c r="AA1531" s="176"/>
      <c r="AB1531" s="176"/>
      <c r="AC1531" s="176"/>
      <c r="AD1531" s="177" t="s">
        <v>5</v>
      </c>
    </row>
    <row r="1532" spans="1:38" s="178" customFormat="1" ht="33" customHeight="1" x14ac:dyDescent="0.3">
      <c r="A1532" s="167">
        <v>30</v>
      </c>
      <c r="B1532" s="168">
        <v>4</v>
      </c>
      <c r="C1532" s="169" t="str">
        <f t="shared" si="33"/>
        <v>30.04</v>
      </c>
      <c r="D1532" s="170" t="s">
        <v>895</v>
      </c>
      <c r="E1532" s="64" t="str">
        <f>IF(ISBLANK(D1532)=TRUE,"",VLOOKUP(D1532,Krav!$C:$F,4,FALSE))</f>
        <v>10.a.1.1.1.40 - Hvis FordringsStartDato ikke er valgt: Regel R0056 deaktiveres</v>
      </c>
      <c r="F1532" s="171" t="s">
        <v>226</v>
      </c>
      <c r="G1532" s="171" t="s">
        <v>313</v>
      </c>
      <c r="H1532" s="172" t="s">
        <v>1401</v>
      </c>
      <c r="I1532" s="174" t="s">
        <v>1402</v>
      </c>
      <c r="J1532" s="173" t="s">
        <v>222</v>
      </c>
      <c r="K1532" s="123" t="s">
        <v>222</v>
      </c>
      <c r="L1532" s="181" t="s">
        <v>3</v>
      </c>
      <c r="M1532" s="176" t="s">
        <v>129</v>
      </c>
      <c r="N1532" s="176" t="s">
        <v>131</v>
      </c>
      <c r="O1532" s="176" t="s">
        <v>376</v>
      </c>
      <c r="P1532" s="176" t="s">
        <v>96</v>
      </c>
      <c r="Q1532" s="176" t="s">
        <v>131</v>
      </c>
      <c r="R1532" s="176" t="s">
        <v>131</v>
      </c>
      <c r="S1532" s="176" t="s">
        <v>129</v>
      </c>
      <c r="T1532" s="176"/>
      <c r="U1532" s="176" t="s">
        <v>1309</v>
      </c>
      <c r="V1532" s="176"/>
      <c r="W1532" s="176"/>
      <c r="X1532" s="176"/>
      <c r="Y1532" s="176"/>
      <c r="Z1532" s="176"/>
      <c r="AA1532" s="176"/>
      <c r="AB1532" s="176"/>
      <c r="AC1532" s="176"/>
      <c r="AD1532" s="177" t="s">
        <v>5</v>
      </c>
    </row>
    <row r="1533" spans="1:38" s="178" customFormat="1" ht="33" customHeight="1" x14ac:dyDescent="0.3">
      <c r="A1533" s="167">
        <v>30</v>
      </c>
      <c r="B1533" s="168">
        <v>5</v>
      </c>
      <c r="C1533" s="169" t="str">
        <f t="shared" si="33"/>
        <v>30.05</v>
      </c>
      <c r="D1533" s="170" t="s">
        <v>897</v>
      </c>
      <c r="E1533" s="64" t="str">
        <f>IF(ISBLANK(D1533)=TRUE,"",VLOOKUP(D1533,Krav!$C:$F,4,FALSE))</f>
        <v>10.a.1.1.1.41 - Hvis FordringsStartDato ikke er valgt: Regel R0057 deaktiveres</v>
      </c>
      <c r="F1533" s="171" t="s">
        <v>226</v>
      </c>
      <c r="G1533" s="171" t="s">
        <v>313</v>
      </c>
      <c r="H1533" s="172" t="s">
        <v>1401</v>
      </c>
      <c r="I1533" s="174" t="s">
        <v>1402</v>
      </c>
      <c r="J1533" s="174" t="s">
        <v>222</v>
      </c>
      <c r="K1533" s="123" t="s">
        <v>222</v>
      </c>
      <c r="L1533" s="175" t="s">
        <v>3</v>
      </c>
      <c r="M1533" s="176" t="s">
        <v>129</v>
      </c>
      <c r="N1533" s="176" t="s">
        <v>131</v>
      </c>
      <c r="O1533" s="176" t="s">
        <v>376</v>
      </c>
      <c r="P1533" s="176" t="s">
        <v>96</v>
      </c>
      <c r="Q1533" s="176" t="s">
        <v>131</v>
      </c>
      <c r="R1533" s="176" t="s">
        <v>131</v>
      </c>
      <c r="S1533" s="176" t="s">
        <v>129</v>
      </c>
      <c r="T1533" s="176"/>
      <c r="U1533" s="176" t="s">
        <v>1310</v>
      </c>
      <c r="V1533" s="176"/>
      <c r="W1533" s="176"/>
      <c r="X1533" s="176"/>
      <c r="Y1533" s="176"/>
      <c r="Z1533" s="176"/>
      <c r="AA1533" s="176"/>
      <c r="AB1533" s="176"/>
      <c r="AC1533" s="176"/>
      <c r="AD1533" s="177" t="s">
        <v>5</v>
      </c>
    </row>
    <row r="1534" spans="1:38" s="178" customFormat="1" ht="33" customHeight="1" x14ac:dyDescent="0.3">
      <c r="A1534" s="167">
        <v>30</v>
      </c>
      <c r="B1534" s="168">
        <v>6</v>
      </c>
      <c r="C1534" s="169" t="str">
        <f t="shared" si="33"/>
        <v>30.06</v>
      </c>
      <c r="D1534" s="170" t="s">
        <v>899</v>
      </c>
      <c r="E1534" s="64" t="str">
        <f>IF(ISBLANK(D1534)=TRUE,"",VLOOKUP(D1534,Krav!$C:$F,4,FALSE))</f>
        <v>10.a.1.1.1.42 - Hvis FordringsStartDato ikke er valgt: Regel R0058 deaktiveres</v>
      </c>
      <c r="F1534" s="171" t="s">
        <v>226</v>
      </c>
      <c r="G1534" s="171" t="s">
        <v>313</v>
      </c>
      <c r="H1534" s="172" t="s">
        <v>1401</v>
      </c>
      <c r="I1534" s="174" t="s">
        <v>1402</v>
      </c>
      <c r="J1534" s="174" t="s">
        <v>222</v>
      </c>
      <c r="K1534" s="123" t="s">
        <v>222</v>
      </c>
      <c r="L1534" s="175" t="s">
        <v>3</v>
      </c>
      <c r="M1534" s="176" t="s">
        <v>129</v>
      </c>
      <c r="N1534" s="176" t="s">
        <v>131</v>
      </c>
      <c r="O1534" s="176" t="s">
        <v>376</v>
      </c>
      <c r="P1534" s="176" t="s">
        <v>96</v>
      </c>
      <c r="Q1534" s="176" t="s">
        <v>131</v>
      </c>
      <c r="R1534" s="176" t="s">
        <v>131</v>
      </c>
      <c r="S1534" s="176" t="s">
        <v>129</v>
      </c>
      <c r="T1534" s="176"/>
      <c r="U1534" s="176" t="s">
        <v>1311</v>
      </c>
      <c r="V1534" s="176"/>
      <c r="W1534" s="176"/>
      <c r="X1534" s="176"/>
      <c r="Y1534" s="176"/>
      <c r="Z1534" s="176"/>
      <c r="AA1534" s="176"/>
      <c r="AB1534" s="176"/>
      <c r="AC1534" s="176"/>
      <c r="AD1534" s="177" t="s">
        <v>5</v>
      </c>
    </row>
    <row r="1535" spans="1:38" s="178" customFormat="1" ht="33" customHeight="1" x14ac:dyDescent="0.3">
      <c r="A1535" s="167">
        <v>30</v>
      </c>
      <c r="B1535" s="168">
        <v>7</v>
      </c>
      <c r="C1535" s="169" t="str">
        <f t="shared" si="33"/>
        <v>30.07</v>
      </c>
      <c r="D1535" s="170" t="s">
        <v>921</v>
      </c>
      <c r="E1535" s="64" t="str">
        <f>IF(ISBLANK(D1535)=TRUE,"",VLOOKUP(D1535,Krav!$C:$F,4,FALSE))</f>
        <v>10.a.1.1.1.53 - Hvis FordringsStartDato ikke er valgt: Regel R0069 deaktiveres</v>
      </c>
      <c r="F1535" s="171" t="s">
        <v>226</v>
      </c>
      <c r="G1535" s="171" t="s">
        <v>313</v>
      </c>
      <c r="H1535" s="172" t="s">
        <v>1401</v>
      </c>
      <c r="I1535" s="174" t="s">
        <v>1402</v>
      </c>
      <c r="J1535" s="174" t="s">
        <v>222</v>
      </c>
      <c r="K1535" s="123" t="s">
        <v>222</v>
      </c>
      <c r="L1535" s="175" t="s">
        <v>3</v>
      </c>
      <c r="M1535" s="176" t="s">
        <v>129</v>
      </c>
      <c r="N1535" s="176" t="s">
        <v>131</v>
      </c>
      <c r="O1535" s="176" t="s">
        <v>376</v>
      </c>
      <c r="P1535" s="176" t="s">
        <v>96</v>
      </c>
      <c r="Q1535" s="176" t="s">
        <v>131</v>
      </c>
      <c r="R1535" s="176" t="s">
        <v>131</v>
      </c>
      <c r="S1535" s="176" t="s">
        <v>129</v>
      </c>
      <c r="T1535" s="176"/>
      <c r="U1535" s="176" t="s">
        <v>1303</v>
      </c>
      <c r="V1535" s="176"/>
      <c r="W1535" s="176"/>
      <c r="X1535" s="176"/>
      <c r="Y1535" s="176"/>
      <c r="Z1535" s="176"/>
      <c r="AA1535" s="176"/>
      <c r="AB1535" s="176"/>
      <c r="AC1535" s="176"/>
      <c r="AD1535" s="177" t="s">
        <v>5</v>
      </c>
    </row>
    <row r="1536" spans="1:38" s="178" customFormat="1" ht="16.5" customHeight="1" x14ac:dyDescent="0.3">
      <c r="A1536" s="167">
        <v>30</v>
      </c>
      <c r="B1536" s="168">
        <v>8</v>
      </c>
      <c r="C1536" s="169" t="str">
        <f t="shared" si="33"/>
        <v>30.08</v>
      </c>
      <c r="D1536" s="170" t="s">
        <v>893</v>
      </c>
      <c r="E1536" s="64" t="str">
        <f>IF(ISBLANK(D1536)=TRUE,"",VLOOKUP(D1536,Krav!$C:$F,4,FALSE))</f>
        <v>10.a.1.1.1.39 - Hvis FordringsStartDato ikke er valgt: Regel R0055 deaktiveres</v>
      </c>
      <c r="F1536" s="171" t="s">
        <v>226</v>
      </c>
      <c r="G1536" s="171" t="s">
        <v>313</v>
      </c>
      <c r="H1536" s="172" t="s">
        <v>1401</v>
      </c>
      <c r="I1536" s="174" t="s">
        <v>33</v>
      </c>
      <c r="J1536" s="173" t="s">
        <v>222</v>
      </c>
      <c r="K1536" s="123" t="s">
        <v>222</v>
      </c>
      <c r="L1536" s="181" t="s">
        <v>3</v>
      </c>
      <c r="M1536" s="176" t="s">
        <v>129</v>
      </c>
      <c r="N1536" s="176" t="s">
        <v>131</v>
      </c>
      <c r="O1536" s="176" t="s">
        <v>376</v>
      </c>
      <c r="P1536" s="176" t="s">
        <v>376</v>
      </c>
      <c r="Q1536" s="176" t="s">
        <v>131</v>
      </c>
      <c r="R1536" s="176" t="s">
        <v>131</v>
      </c>
      <c r="S1536" s="176" t="s">
        <v>131</v>
      </c>
      <c r="T1536" s="176"/>
      <c r="U1536" s="176" t="s">
        <v>1308</v>
      </c>
      <c r="V1536" s="176"/>
      <c r="W1536" s="176"/>
      <c r="X1536" s="176"/>
      <c r="Y1536" s="176"/>
      <c r="Z1536" s="176"/>
      <c r="AA1536" s="176"/>
      <c r="AB1536" s="176"/>
      <c r="AC1536" s="176"/>
      <c r="AD1536" s="177" t="s">
        <v>5</v>
      </c>
    </row>
    <row r="1537" spans="1:30" s="178" customFormat="1" ht="33" customHeight="1" x14ac:dyDescent="0.3">
      <c r="A1537" s="167">
        <v>30</v>
      </c>
      <c r="B1537" s="168">
        <v>9</v>
      </c>
      <c r="C1537" s="169" t="str">
        <f t="shared" si="33"/>
        <v>30.09</v>
      </c>
      <c r="D1537" s="170" t="s">
        <v>895</v>
      </c>
      <c r="E1537" s="64" t="str">
        <f>IF(ISBLANK(D1537)=TRUE,"",VLOOKUP(D1537,Krav!$C:$F,4,FALSE))</f>
        <v>10.a.1.1.1.40 - Hvis FordringsStartDato ikke er valgt: Regel R0056 deaktiveres</v>
      </c>
      <c r="F1537" s="171" t="s">
        <v>226</v>
      </c>
      <c r="G1537" s="171" t="s">
        <v>313</v>
      </c>
      <c r="H1537" s="172" t="s">
        <v>1401</v>
      </c>
      <c r="I1537" s="174" t="s">
        <v>33</v>
      </c>
      <c r="J1537" s="173" t="s">
        <v>222</v>
      </c>
      <c r="K1537" s="123" t="s">
        <v>222</v>
      </c>
      <c r="L1537" s="181" t="s">
        <v>3</v>
      </c>
      <c r="M1537" s="176" t="s">
        <v>129</v>
      </c>
      <c r="N1537" s="176" t="s">
        <v>131</v>
      </c>
      <c r="O1537" s="176" t="s">
        <v>376</v>
      </c>
      <c r="P1537" s="176" t="s">
        <v>376</v>
      </c>
      <c r="Q1537" s="176" t="s">
        <v>131</v>
      </c>
      <c r="R1537" s="176" t="s">
        <v>131</v>
      </c>
      <c r="S1537" s="176" t="s">
        <v>131</v>
      </c>
      <c r="T1537" s="176"/>
      <c r="U1537" s="176" t="s">
        <v>1309</v>
      </c>
      <c r="V1537" s="176"/>
      <c r="W1537" s="176"/>
      <c r="X1537" s="176"/>
      <c r="Y1537" s="176"/>
      <c r="Z1537" s="176"/>
      <c r="AA1537" s="176"/>
      <c r="AB1537" s="176"/>
      <c r="AC1537" s="176"/>
      <c r="AD1537" s="177" t="s">
        <v>5</v>
      </c>
    </row>
    <row r="1538" spans="1:30" s="178" customFormat="1" ht="33" customHeight="1" x14ac:dyDescent="0.3">
      <c r="A1538" s="167">
        <v>30</v>
      </c>
      <c r="B1538" s="168">
        <v>10</v>
      </c>
      <c r="C1538" s="169" t="str">
        <f t="shared" si="33"/>
        <v>30.10</v>
      </c>
      <c r="D1538" s="170" t="s">
        <v>897</v>
      </c>
      <c r="E1538" s="64" t="str">
        <f>IF(ISBLANK(D1538)=TRUE,"",VLOOKUP(D1538,Krav!$C:$F,4,FALSE))</f>
        <v>10.a.1.1.1.41 - Hvis FordringsStartDato ikke er valgt: Regel R0057 deaktiveres</v>
      </c>
      <c r="F1538" s="171" t="s">
        <v>226</v>
      </c>
      <c r="G1538" s="171" t="s">
        <v>313</v>
      </c>
      <c r="H1538" s="172" t="s">
        <v>1401</v>
      </c>
      <c r="I1538" s="174" t="s">
        <v>33</v>
      </c>
      <c r="J1538" s="174" t="s">
        <v>222</v>
      </c>
      <c r="K1538" s="123" t="s">
        <v>222</v>
      </c>
      <c r="L1538" s="175" t="s">
        <v>3</v>
      </c>
      <c r="M1538" s="176" t="s">
        <v>129</v>
      </c>
      <c r="N1538" s="176" t="s">
        <v>131</v>
      </c>
      <c r="O1538" s="176" t="s">
        <v>376</v>
      </c>
      <c r="P1538" s="176" t="s">
        <v>376</v>
      </c>
      <c r="Q1538" s="176" t="s">
        <v>131</v>
      </c>
      <c r="R1538" s="176" t="s">
        <v>131</v>
      </c>
      <c r="S1538" s="176" t="s">
        <v>131</v>
      </c>
      <c r="T1538" s="176"/>
      <c r="U1538" s="176" t="s">
        <v>1310</v>
      </c>
      <c r="V1538" s="176"/>
      <c r="W1538" s="176"/>
      <c r="X1538" s="176"/>
      <c r="Y1538" s="176"/>
      <c r="Z1538" s="176"/>
      <c r="AA1538" s="176"/>
      <c r="AB1538" s="176"/>
      <c r="AC1538" s="176"/>
      <c r="AD1538" s="177" t="s">
        <v>5</v>
      </c>
    </row>
    <row r="1539" spans="1:30" s="178" customFormat="1" ht="33" customHeight="1" x14ac:dyDescent="0.3">
      <c r="A1539" s="167">
        <v>30</v>
      </c>
      <c r="B1539" s="168">
        <v>11</v>
      </c>
      <c r="C1539" s="169" t="str">
        <f t="shared" si="33"/>
        <v>30.11</v>
      </c>
      <c r="D1539" s="170" t="s">
        <v>899</v>
      </c>
      <c r="E1539" s="64" t="str">
        <f>IF(ISBLANK(D1539)=TRUE,"",VLOOKUP(D1539,Krav!$C:$F,4,FALSE))</f>
        <v>10.a.1.1.1.42 - Hvis FordringsStartDato ikke er valgt: Regel R0058 deaktiveres</v>
      </c>
      <c r="F1539" s="171" t="s">
        <v>226</v>
      </c>
      <c r="G1539" s="171" t="s">
        <v>313</v>
      </c>
      <c r="H1539" s="172" t="s">
        <v>1401</v>
      </c>
      <c r="I1539" s="174" t="s">
        <v>33</v>
      </c>
      <c r="J1539" s="174" t="s">
        <v>222</v>
      </c>
      <c r="K1539" s="123" t="s">
        <v>222</v>
      </c>
      <c r="L1539" s="175" t="s">
        <v>3</v>
      </c>
      <c r="M1539" s="176" t="s">
        <v>129</v>
      </c>
      <c r="N1539" s="176" t="s">
        <v>131</v>
      </c>
      <c r="O1539" s="176" t="s">
        <v>376</v>
      </c>
      <c r="P1539" s="176" t="s">
        <v>376</v>
      </c>
      <c r="Q1539" s="176" t="s">
        <v>131</v>
      </c>
      <c r="R1539" s="176" t="s">
        <v>131</v>
      </c>
      <c r="S1539" s="176" t="s">
        <v>131</v>
      </c>
      <c r="T1539" s="176"/>
      <c r="U1539" s="176" t="s">
        <v>1311</v>
      </c>
      <c r="V1539" s="176"/>
      <c r="W1539" s="176"/>
      <c r="X1539" s="176"/>
      <c r="Y1539" s="176"/>
      <c r="Z1539" s="176"/>
      <c r="AA1539" s="176"/>
      <c r="AB1539" s="176"/>
      <c r="AC1539" s="176"/>
      <c r="AD1539" s="177" t="s">
        <v>5</v>
      </c>
    </row>
    <row r="1540" spans="1:30" s="178" customFormat="1" ht="33" customHeight="1" x14ac:dyDescent="0.3">
      <c r="A1540" s="167">
        <v>30</v>
      </c>
      <c r="B1540" s="168">
        <v>12</v>
      </c>
      <c r="C1540" s="169" t="str">
        <f t="shared" si="33"/>
        <v>30.12</v>
      </c>
      <c r="D1540" s="170" t="s">
        <v>921</v>
      </c>
      <c r="E1540" s="64" t="str">
        <f>IF(ISBLANK(D1540)=TRUE,"",VLOOKUP(D1540,Krav!$C:$F,4,FALSE))</f>
        <v>10.a.1.1.1.53 - Hvis FordringsStartDato ikke er valgt: Regel R0069 deaktiveres</v>
      </c>
      <c r="F1540" s="171" t="s">
        <v>226</v>
      </c>
      <c r="G1540" s="171" t="s">
        <v>313</v>
      </c>
      <c r="H1540" s="172" t="s">
        <v>1401</v>
      </c>
      <c r="I1540" s="174" t="s">
        <v>33</v>
      </c>
      <c r="J1540" s="174" t="s">
        <v>222</v>
      </c>
      <c r="K1540" s="123" t="s">
        <v>222</v>
      </c>
      <c r="L1540" s="175" t="s">
        <v>3</v>
      </c>
      <c r="M1540" s="176" t="s">
        <v>129</v>
      </c>
      <c r="N1540" s="176" t="s">
        <v>131</v>
      </c>
      <c r="O1540" s="176" t="s">
        <v>376</v>
      </c>
      <c r="P1540" s="176" t="s">
        <v>376</v>
      </c>
      <c r="Q1540" s="176" t="s">
        <v>131</v>
      </c>
      <c r="R1540" s="176" t="s">
        <v>131</v>
      </c>
      <c r="S1540" s="176" t="s">
        <v>131</v>
      </c>
      <c r="T1540" s="176"/>
      <c r="U1540" s="176" t="s">
        <v>1303</v>
      </c>
      <c r="V1540" s="176"/>
      <c r="W1540" s="176"/>
      <c r="X1540" s="176"/>
      <c r="Y1540" s="176"/>
      <c r="Z1540" s="176"/>
      <c r="AA1540" s="176"/>
      <c r="AB1540" s="176"/>
      <c r="AC1540" s="176"/>
      <c r="AD1540" s="177" t="s">
        <v>5</v>
      </c>
    </row>
    <row r="1541" spans="1:30" s="178" customFormat="1" ht="33" customHeight="1" x14ac:dyDescent="0.3">
      <c r="A1541" s="167">
        <v>30</v>
      </c>
      <c r="B1541" s="168">
        <v>13</v>
      </c>
      <c r="C1541" s="169" t="str">
        <f t="shared" si="33"/>
        <v>30.13</v>
      </c>
      <c r="D1541" s="170" t="s">
        <v>893</v>
      </c>
      <c r="E1541" s="64" t="str">
        <f>IF(ISBLANK(D1541)=TRUE,"",VLOOKUP(D1541,Krav!$C:$F,4,FALSE))</f>
        <v>10.a.1.1.1.39 - Hvis FordringsStartDato ikke er valgt: Regel R0055 deaktiveres</v>
      </c>
      <c r="F1541" s="171" t="s">
        <v>226</v>
      </c>
      <c r="G1541" s="171" t="s">
        <v>313</v>
      </c>
      <c r="H1541" s="172" t="s">
        <v>1401</v>
      </c>
      <c r="I1541" s="174" t="s">
        <v>404</v>
      </c>
      <c r="J1541" s="173" t="s">
        <v>222</v>
      </c>
      <c r="K1541" s="123" t="s">
        <v>222</v>
      </c>
      <c r="L1541" s="181" t="s">
        <v>3</v>
      </c>
      <c r="M1541" s="176" t="s">
        <v>129</v>
      </c>
      <c r="N1541" s="176" t="s">
        <v>131</v>
      </c>
      <c r="O1541" s="176" t="s">
        <v>1403</v>
      </c>
      <c r="P1541" s="176" t="s">
        <v>376</v>
      </c>
      <c r="Q1541" s="176" t="s">
        <v>131</v>
      </c>
      <c r="R1541" s="176" t="s">
        <v>131</v>
      </c>
      <c r="S1541" s="176" t="s">
        <v>131</v>
      </c>
      <c r="T1541" s="176"/>
      <c r="U1541" s="176" t="s">
        <v>1308</v>
      </c>
      <c r="V1541" s="176"/>
      <c r="W1541" s="176"/>
      <c r="X1541" s="176"/>
      <c r="Y1541" s="176"/>
      <c r="Z1541" s="176"/>
      <c r="AA1541" s="176"/>
      <c r="AB1541" s="176"/>
      <c r="AC1541" s="176"/>
      <c r="AD1541" s="177" t="s">
        <v>5</v>
      </c>
    </row>
    <row r="1542" spans="1:30" s="178" customFormat="1" ht="33" customHeight="1" x14ac:dyDescent="0.3">
      <c r="A1542" s="167">
        <v>30</v>
      </c>
      <c r="B1542" s="168">
        <v>14</v>
      </c>
      <c r="C1542" s="169" t="str">
        <f t="shared" si="33"/>
        <v>30.14</v>
      </c>
      <c r="D1542" s="170" t="s">
        <v>895</v>
      </c>
      <c r="E1542" s="64" t="str">
        <f>IF(ISBLANK(D1542)=TRUE,"",VLOOKUP(D1542,Krav!$C:$F,4,FALSE))</f>
        <v>10.a.1.1.1.40 - Hvis FordringsStartDato ikke er valgt: Regel R0056 deaktiveres</v>
      </c>
      <c r="F1542" s="171" t="s">
        <v>226</v>
      </c>
      <c r="G1542" s="171" t="s">
        <v>313</v>
      </c>
      <c r="H1542" s="172" t="s">
        <v>1401</v>
      </c>
      <c r="I1542" s="174" t="s">
        <v>404</v>
      </c>
      <c r="J1542" s="173" t="s">
        <v>222</v>
      </c>
      <c r="K1542" s="123" t="s">
        <v>222</v>
      </c>
      <c r="L1542" s="181" t="s">
        <v>3</v>
      </c>
      <c r="M1542" s="176" t="s">
        <v>129</v>
      </c>
      <c r="N1542" s="176" t="s">
        <v>131</v>
      </c>
      <c r="O1542" s="176" t="s">
        <v>1403</v>
      </c>
      <c r="P1542" s="176" t="s">
        <v>376</v>
      </c>
      <c r="Q1542" s="176" t="s">
        <v>131</v>
      </c>
      <c r="R1542" s="176" t="s">
        <v>131</v>
      </c>
      <c r="S1542" s="176" t="s">
        <v>131</v>
      </c>
      <c r="T1542" s="176"/>
      <c r="U1542" s="176" t="s">
        <v>1309</v>
      </c>
      <c r="V1542" s="176"/>
      <c r="W1542" s="176"/>
      <c r="X1542" s="176"/>
      <c r="Y1542" s="176"/>
      <c r="Z1542" s="176"/>
      <c r="AA1542" s="176"/>
      <c r="AB1542" s="176"/>
      <c r="AC1542" s="176"/>
      <c r="AD1542" s="177" t="s">
        <v>5</v>
      </c>
    </row>
    <row r="1543" spans="1:30" s="178" customFormat="1" ht="33" customHeight="1" x14ac:dyDescent="0.3">
      <c r="A1543" s="167">
        <v>30</v>
      </c>
      <c r="B1543" s="168">
        <v>15</v>
      </c>
      <c r="C1543" s="169" t="str">
        <f t="shared" si="33"/>
        <v>30.15</v>
      </c>
      <c r="D1543" s="170" t="s">
        <v>897</v>
      </c>
      <c r="E1543" s="64" t="str">
        <f>IF(ISBLANK(D1543)=TRUE,"",VLOOKUP(D1543,Krav!$C:$F,4,FALSE))</f>
        <v>10.a.1.1.1.41 - Hvis FordringsStartDato ikke er valgt: Regel R0057 deaktiveres</v>
      </c>
      <c r="F1543" s="171" t="s">
        <v>226</v>
      </c>
      <c r="G1543" s="171" t="s">
        <v>313</v>
      </c>
      <c r="H1543" s="172" t="s">
        <v>1401</v>
      </c>
      <c r="I1543" s="174" t="s">
        <v>404</v>
      </c>
      <c r="J1543" s="174" t="s">
        <v>222</v>
      </c>
      <c r="K1543" s="123" t="s">
        <v>222</v>
      </c>
      <c r="L1543" s="175" t="s">
        <v>3</v>
      </c>
      <c r="M1543" s="176" t="s">
        <v>129</v>
      </c>
      <c r="N1543" s="176" t="s">
        <v>131</v>
      </c>
      <c r="O1543" s="176" t="s">
        <v>1403</v>
      </c>
      <c r="P1543" s="176" t="s">
        <v>376</v>
      </c>
      <c r="Q1543" s="176" t="s">
        <v>131</v>
      </c>
      <c r="R1543" s="176" t="s">
        <v>131</v>
      </c>
      <c r="S1543" s="176" t="s">
        <v>131</v>
      </c>
      <c r="T1543" s="176"/>
      <c r="U1543" s="176" t="s">
        <v>1310</v>
      </c>
      <c r="V1543" s="176"/>
      <c r="W1543" s="176"/>
      <c r="X1543" s="176"/>
      <c r="Y1543" s="176"/>
      <c r="Z1543" s="176"/>
      <c r="AA1543" s="176"/>
      <c r="AB1543" s="176"/>
      <c r="AC1543" s="176"/>
      <c r="AD1543" s="177" t="s">
        <v>5</v>
      </c>
    </row>
    <row r="1544" spans="1:30" s="178" customFormat="1" ht="33" customHeight="1" x14ac:dyDescent="0.3">
      <c r="A1544" s="167">
        <v>30</v>
      </c>
      <c r="B1544" s="168">
        <v>16</v>
      </c>
      <c r="C1544" s="169" t="str">
        <f t="shared" si="33"/>
        <v>30.16</v>
      </c>
      <c r="D1544" s="170" t="s">
        <v>899</v>
      </c>
      <c r="E1544" s="64" t="str">
        <f>IF(ISBLANK(D1544)=TRUE,"",VLOOKUP(D1544,Krav!$C:$F,4,FALSE))</f>
        <v>10.a.1.1.1.42 - Hvis FordringsStartDato ikke er valgt: Regel R0058 deaktiveres</v>
      </c>
      <c r="F1544" s="171" t="s">
        <v>226</v>
      </c>
      <c r="G1544" s="171" t="s">
        <v>313</v>
      </c>
      <c r="H1544" s="172" t="s">
        <v>1401</v>
      </c>
      <c r="I1544" s="174" t="s">
        <v>404</v>
      </c>
      <c r="J1544" s="174" t="s">
        <v>222</v>
      </c>
      <c r="K1544" s="123" t="s">
        <v>222</v>
      </c>
      <c r="L1544" s="175" t="s">
        <v>3</v>
      </c>
      <c r="M1544" s="176" t="s">
        <v>129</v>
      </c>
      <c r="N1544" s="176" t="s">
        <v>131</v>
      </c>
      <c r="O1544" s="176" t="s">
        <v>1403</v>
      </c>
      <c r="P1544" s="176" t="s">
        <v>376</v>
      </c>
      <c r="Q1544" s="176" t="s">
        <v>131</v>
      </c>
      <c r="R1544" s="176" t="s">
        <v>131</v>
      </c>
      <c r="S1544" s="176" t="s">
        <v>131</v>
      </c>
      <c r="T1544" s="176"/>
      <c r="U1544" s="176" t="s">
        <v>1311</v>
      </c>
      <c r="V1544" s="176"/>
      <c r="W1544" s="176"/>
      <c r="X1544" s="176"/>
      <c r="Y1544" s="176"/>
      <c r="Z1544" s="176"/>
      <c r="AA1544" s="176"/>
      <c r="AB1544" s="176"/>
      <c r="AC1544" s="176"/>
      <c r="AD1544" s="177" t="s">
        <v>5</v>
      </c>
    </row>
    <row r="1545" spans="1:30" s="178" customFormat="1" ht="33" customHeight="1" x14ac:dyDescent="0.3">
      <c r="A1545" s="167">
        <v>30</v>
      </c>
      <c r="B1545" s="168">
        <v>17</v>
      </c>
      <c r="C1545" s="169" t="str">
        <f t="shared" si="33"/>
        <v>30.17</v>
      </c>
      <c r="D1545" s="170" t="s">
        <v>921</v>
      </c>
      <c r="E1545" s="64" t="str">
        <f>IF(ISBLANK(D1545)=TRUE,"",VLOOKUP(D1545,Krav!$C:$F,4,FALSE))</f>
        <v>10.a.1.1.1.53 - Hvis FordringsStartDato ikke er valgt: Regel R0069 deaktiveres</v>
      </c>
      <c r="F1545" s="171" t="s">
        <v>226</v>
      </c>
      <c r="G1545" s="171" t="s">
        <v>313</v>
      </c>
      <c r="H1545" s="172" t="s">
        <v>1401</v>
      </c>
      <c r="I1545" s="174" t="s">
        <v>404</v>
      </c>
      <c r="J1545" s="174" t="s">
        <v>222</v>
      </c>
      <c r="K1545" s="123" t="s">
        <v>222</v>
      </c>
      <c r="L1545" s="175" t="s">
        <v>3</v>
      </c>
      <c r="M1545" s="176" t="s">
        <v>129</v>
      </c>
      <c r="N1545" s="176" t="s">
        <v>131</v>
      </c>
      <c r="O1545" s="176" t="s">
        <v>1403</v>
      </c>
      <c r="P1545" s="176" t="s">
        <v>376</v>
      </c>
      <c r="Q1545" s="176" t="s">
        <v>131</v>
      </c>
      <c r="R1545" s="176" t="s">
        <v>131</v>
      </c>
      <c r="S1545" s="176" t="s">
        <v>131</v>
      </c>
      <c r="T1545" s="176"/>
      <c r="U1545" s="176" t="s">
        <v>1303</v>
      </c>
      <c r="V1545" s="176"/>
      <c r="W1545" s="176"/>
      <c r="X1545" s="176"/>
      <c r="Y1545" s="176"/>
      <c r="Z1545" s="176"/>
      <c r="AA1545" s="176"/>
      <c r="AB1545" s="176"/>
      <c r="AC1545" s="176"/>
      <c r="AD1545" s="177" t="s">
        <v>5</v>
      </c>
    </row>
    <row r="1546" spans="1:30" s="178" customFormat="1" ht="33" customHeight="1" x14ac:dyDescent="0.3">
      <c r="A1546" s="167">
        <v>30</v>
      </c>
      <c r="B1546" s="168">
        <v>18</v>
      </c>
      <c r="C1546" s="169" t="str">
        <f t="shared" si="33"/>
        <v>30.18</v>
      </c>
      <c r="D1546" s="170" t="s">
        <v>893</v>
      </c>
      <c r="E1546" s="64" t="str">
        <f>IF(ISBLANK(D1546)=TRUE,"",VLOOKUP(D1546,Krav!$C:$F,4,FALSE))</f>
        <v>10.a.1.1.1.39 - Hvis FordringsStartDato ikke er valgt: Regel R0055 deaktiveres</v>
      </c>
      <c r="F1546" s="171" t="s">
        <v>226</v>
      </c>
      <c r="G1546" s="171" t="s">
        <v>313</v>
      </c>
      <c r="H1546" s="172" t="s">
        <v>1401</v>
      </c>
      <c r="I1546" s="173" t="s">
        <v>376</v>
      </c>
      <c r="J1546" s="173" t="s">
        <v>222</v>
      </c>
      <c r="K1546" s="123" t="s">
        <v>222</v>
      </c>
      <c r="L1546" s="181" t="s">
        <v>3</v>
      </c>
      <c r="M1546" s="176" t="s">
        <v>129</v>
      </c>
      <c r="N1546" s="176" t="s">
        <v>131</v>
      </c>
      <c r="O1546" s="176" t="s">
        <v>376</v>
      </c>
      <c r="P1546" s="176" t="s">
        <v>1403</v>
      </c>
      <c r="Q1546" s="176" t="s">
        <v>131</v>
      </c>
      <c r="R1546" s="176" t="s">
        <v>131</v>
      </c>
      <c r="S1546" s="176" t="s">
        <v>131</v>
      </c>
      <c r="T1546" s="176"/>
      <c r="U1546" s="176" t="s">
        <v>1308</v>
      </c>
      <c r="V1546" s="176"/>
      <c r="W1546" s="176"/>
      <c r="X1546" s="176"/>
      <c r="Y1546" s="176"/>
      <c r="Z1546" s="176"/>
      <c r="AA1546" s="176"/>
      <c r="AB1546" s="176"/>
      <c r="AC1546" s="176"/>
      <c r="AD1546" s="177" t="s">
        <v>5</v>
      </c>
    </row>
    <row r="1547" spans="1:30" s="178" customFormat="1" ht="33" customHeight="1" x14ac:dyDescent="0.3">
      <c r="A1547" s="167">
        <v>30</v>
      </c>
      <c r="B1547" s="168">
        <v>19</v>
      </c>
      <c r="C1547" s="169" t="str">
        <f t="shared" si="33"/>
        <v>30.19</v>
      </c>
      <c r="D1547" s="170" t="s">
        <v>895</v>
      </c>
      <c r="E1547" s="64" t="str">
        <f>IF(ISBLANK(D1547)=TRUE,"",VLOOKUP(D1547,Krav!$C:$F,4,FALSE))</f>
        <v>10.a.1.1.1.40 - Hvis FordringsStartDato ikke er valgt: Regel R0056 deaktiveres</v>
      </c>
      <c r="F1547" s="171" t="s">
        <v>226</v>
      </c>
      <c r="G1547" s="171" t="s">
        <v>313</v>
      </c>
      <c r="H1547" s="172" t="s">
        <v>1401</v>
      </c>
      <c r="I1547" s="173" t="s">
        <v>376</v>
      </c>
      <c r="J1547" s="173" t="s">
        <v>222</v>
      </c>
      <c r="K1547" s="123" t="s">
        <v>222</v>
      </c>
      <c r="L1547" s="181" t="s">
        <v>3</v>
      </c>
      <c r="M1547" s="176" t="s">
        <v>129</v>
      </c>
      <c r="N1547" s="176" t="s">
        <v>131</v>
      </c>
      <c r="O1547" s="176" t="s">
        <v>376</v>
      </c>
      <c r="P1547" s="176" t="s">
        <v>1403</v>
      </c>
      <c r="Q1547" s="176" t="s">
        <v>131</v>
      </c>
      <c r="R1547" s="176" t="s">
        <v>131</v>
      </c>
      <c r="S1547" s="176" t="s">
        <v>131</v>
      </c>
      <c r="T1547" s="176"/>
      <c r="U1547" s="176" t="s">
        <v>1309</v>
      </c>
      <c r="V1547" s="176"/>
      <c r="W1547" s="176"/>
      <c r="X1547" s="176"/>
      <c r="Y1547" s="176"/>
      <c r="Z1547" s="176"/>
      <c r="AA1547" s="176"/>
      <c r="AB1547" s="176"/>
      <c r="AC1547" s="176"/>
      <c r="AD1547" s="177" t="s">
        <v>5</v>
      </c>
    </row>
    <row r="1548" spans="1:30" s="178" customFormat="1" ht="33" customHeight="1" x14ac:dyDescent="0.3">
      <c r="A1548" s="167">
        <v>30</v>
      </c>
      <c r="B1548" s="168">
        <v>20</v>
      </c>
      <c r="C1548" s="169" t="str">
        <f t="shared" si="33"/>
        <v>30.20</v>
      </c>
      <c r="D1548" s="170" t="s">
        <v>897</v>
      </c>
      <c r="E1548" s="64" t="str">
        <f>IF(ISBLANK(D1548)=TRUE,"",VLOOKUP(D1548,Krav!$C:$F,4,FALSE))</f>
        <v>10.a.1.1.1.41 - Hvis FordringsStartDato ikke er valgt: Regel R0057 deaktiveres</v>
      </c>
      <c r="F1548" s="171" t="s">
        <v>226</v>
      </c>
      <c r="G1548" s="171" t="s">
        <v>313</v>
      </c>
      <c r="H1548" s="172" t="s">
        <v>1401</v>
      </c>
      <c r="I1548" s="174" t="s">
        <v>376</v>
      </c>
      <c r="J1548" s="174" t="s">
        <v>222</v>
      </c>
      <c r="K1548" s="123" t="s">
        <v>222</v>
      </c>
      <c r="L1548" s="175" t="s">
        <v>3</v>
      </c>
      <c r="M1548" s="176" t="s">
        <v>129</v>
      </c>
      <c r="N1548" s="176" t="s">
        <v>131</v>
      </c>
      <c r="O1548" s="176" t="s">
        <v>376</v>
      </c>
      <c r="P1548" s="176" t="s">
        <v>1403</v>
      </c>
      <c r="Q1548" s="176" t="s">
        <v>131</v>
      </c>
      <c r="R1548" s="176" t="s">
        <v>131</v>
      </c>
      <c r="S1548" s="176" t="s">
        <v>131</v>
      </c>
      <c r="T1548" s="176"/>
      <c r="U1548" s="176" t="s">
        <v>1310</v>
      </c>
      <c r="V1548" s="176"/>
      <c r="W1548" s="176"/>
      <c r="X1548" s="176"/>
      <c r="Y1548" s="176"/>
      <c r="Z1548" s="176"/>
      <c r="AA1548" s="176"/>
      <c r="AB1548" s="176"/>
      <c r="AC1548" s="176"/>
      <c r="AD1548" s="177" t="s">
        <v>5</v>
      </c>
    </row>
    <row r="1549" spans="1:30" s="178" customFormat="1" ht="33" customHeight="1" x14ac:dyDescent="0.3">
      <c r="A1549" s="167">
        <v>30</v>
      </c>
      <c r="B1549" s="168">
        <v>21</v>
      </c>
      <c r="C1549" s="169" t="str">
        <f t="shared" si="33"/>
        <v>30.21</v>
      </c>
      <c r="D1549" s="170" t="s">
        <v>899</v>
      </c>
      <c r="E1549" s="64" t="str">
        <f>IF(ISBLANK(D1549)=TRUE,"",VLOOKUP(D1549,Krav!$C:$F,4,FALSE))</f>
        <v>10.a.1.1.1.42 - Hvis FordringsStartDato ikke er valgt: Regel R0058 deaktiveres</v>
      </c>
      <c r="F1549" s="171" t="s">
        <v>226</v>
      </c>
      <c r="G1549" s="171" t="s">
        <v>313</v>
      </c>
      <c r="H1549" s="172" t="s">
        <v>1401</v>
      </c>
      <c r="I1549" s="174" t="s">
        <v>376</v>
      </c>
      <c r="J1549" s="174" t="s">
        <v>222</v>
      </c>
      <c r="K1549" s="123" t="s">
        <v>222</v>
      </c>
      <c r="L1549" s="175" t="s">
        <v>3</v>
      </c>
      <c r="M1549" s="176" t="s">
        <v>129</v>
      </c>
      <c r="N1549" s="176" t="s">
        <v>131</v>
      </c>
      <c r="O1549" s="176" t="s">
        <v>376</v>
      </c>
      <c r="P1549" s="176" t="s">
        <v>1403</v>
      </c>
      <c r="Q1549" s="176" t="s">
        <v>131</v>
      </c>
      <c r="R1549" s="176" t="s">
        <v>131</v>
      </c>
      <c r="S1549" s="176" t="s">
        <v>131</v>
      </c>
      <c r="T1549" s="176"/>
      <c r="U1549" s="176" t="s">
        <v>1311</v>
      </c>
      <c r="V1549" s="176"/>
      <c r="W1549" s="176"/>
      <c r="X1549" s="176"/>
      <c r="Y1549" s="176"/>
      <c r="Z1549" s="176"/>
      <c r="AA1549" s="176"/>
      <c r="AB1549" s="176"/>
      <c r="AC1549" s="176"/>
      <c r="AD1549" s="177" t="s">
        <v>5</v>
      </c>
    </row>
    <row r="1550" spans="1:30" s="178" customFormat="1" ht="33" customHeight="1" x14ac:dyDescent="0.3">
      <c r="A1550" s="167">
        <v>30</v>
      </c>
      <c r="B1550" s="168">
        <v>22</v>
      </c>
      <c r="C1550" s="169" t="str">
        <f t="shared" si="33"/>
        <v>30.22</v>
      </c>
      <c r="D1550" s="170" t="s">
        <v>921</v>
      </c>
      <c r="E1550" s="64" t="str">
        <f>IF(ISBLANK(D1550)=TRUE,"",VLOOKUP(D1550,Krav!$C:$F,4,FALSE))</f>
        <v>10.a.1.1.1.53 - Hvis FordringsStartDato ikke er valgt: Regel R0069 deaktiveres</v>
      </c>
      <c r="F1550" s="171" t="s">
        <v>226</v>
      </c>
      <c r="G1550" s="171" t="s">
        <v>313</v>
      </c>
      <c r="H1550" s="172" t="s">
        <v>1401</v>
      </c>
      <c r="I1550" s="174" t="s">
        <v>376</v>
      </c>
      <c r="J1550" s="174" t="s">
        <v>222</v>
      </c>
      <c r="K1550" s="123" t="s">
        <v>222</v>
      </c>
      <c r="L1550" s="175" t="s">
        <v>3</v>
      </c>
      <c r="M1550" s="176" t="s">
        <v>129</v>
      </c>
      <c r="N1550" s="176" t="s">
        <v>131</v>
      </c>
      <c r="O1550" s="176" t="s">
        <v>376</v>
      </c>
      <c r="P1550" s="176" t="s">
        <v>1403</v>
      </c>
      <c r="Q1550" s="176" t="s">
        <v>131</v>
      </c>
      <c r="R1550" s="176" t="s">
        <v>131</v>
      </c>
      <c r="S1550" s="176" t="s">
        <v>131</v>
      </c>
      <c r="T1550" s="176"/>
      <c r="U1550" s="176" t="s">
        <v>1303</v>
      </c>
      <c r="V1550" s="176"/>
      <c r="W1550" s="176"/>
      <c r="X1550" s="176"/>
      <c r="Y1550" s="176"/>
      <c r="Z1550" s="176"/>
      <c r="AA1550" s="176"/>
      <c r="AB1550" s="176"/>
      <c r="AC1550" s="176"/>
      <c r="AD1550" s="177" t="s">
        <v>5</v>
      </c>
    </row>
    <row r="1551" spans="1:30" s="178" customFormat="1" ht="33" customHeight="1" x14ac:dyDescent="0.3">
      <c r="A1551" s="167">
        <v>30</v>
      </c>
      <c r="B1551" s="168">
        <v>23</v>
      </c>
      <c r="C1551" s="169" t="str">
        <f t="shared" si="33"/>
        <v>30.23</v>
      </c>
      <c r="D1551" s="170" t="s">
        <v>893</v>
      </c>
      <c r="E1551" s="64" t="str">
        <f>IF(ISBLANK(D1551)=TRUE,"",VLOOKUP(D1551,Krav!$C:$F,4,FALSE))</f>
        <v>10.a.1.1.1.39 - Hvis FordringsStartDato ikke er valgt: Regel R0055 deaktiveres</v>
      </c>
      <c r="F1551" s="171" t="s">
        <v>226</v>
      </c>
      <c r="G1551" s="171" t="s">
        <v>313</v>
      </c>
      <c r="H1551" s="172" t="s">
        <v>1404</v>
      </c>
      <c r="I1551" s="173" t="s">
        <v>408</v>
      </c>
      <c r="J1551" s="173" t="s">
        <v>222</v>
      </c>
      <c r="K1551" s="123" t="s">
        <v>222</v>
      </c>
      <c r="L1551" s="181" t="s">
        <v>4</v>
      </c>
      <c r="M1551" s="176" t="s">
        <v>129</v>
      </c>
      <c r="N1551" s="176" t="s">
        <v>131</v>
      </c>
      <c r="O1551" s="176" t="s">
        <v>1403</v>
      </c>
      <c r="P1551" s="176" t="s">
        <v>1405</v>
      </c>
      <c r="Q1551" s="176" t="s">
        <v>131</v>
      </c>
      <c r="R1551" s="176" t="s">
        <v>131</v>
      </c>
      <c r="S1551" s="176" t="s">
        <v>131</v>
      </c>
      <c r="T1551" s="176"/>
      <c r="U1551" s="176" t="s">
        <v>1308</v>
      </c>
      <c r="V1551" s="176"/>
      <c r="W1551" s="176"/>
      <c r="X1551" s="176"/>
      <c r="Y1551" s="176"/>
      <c r="Z1551" s="176"/>
      <c r="AA1551" s="176"/>
      <c r="AB1551" s="176"/>
      <c r="AC1551" s="176"/>
      <c r="AD1551" s="177" t="s">
        <v>5</v>
      </c>
    </row>
    <row r="1552" spans="1:30" s="178" customFormat="1" ht="33" customHeight="1" x14ac:dyDescent="0.3">
      <c r="A1552" s="167">
        <v>30</v>
      </c>
      <c r="B1552" s="168">
        <v>24</v>
      </c>
      <c r="C1552" s="169" t="str">
        <f t="shared" si="33"/>
        <v>30.24</v>
      </c>
      <c r="D1552" s="170" t="s">
        <v>895</v>
      </c>
      <c r="E1552" s="64" t="str">
        <f>IF(ISBLANK(D1552)=TRUE,"",VLOOKUP(D1552,Krav!$C:$F,4,FALSE))</f>
        <v>10.a.1.1.1.40 - Hvis FordringsStartDato ikke er valgt: Regel R0056 deaktiveres</v>
      </c>
      <c r="F1552" s="171" t="s">
        <v>226</v>
      </c>
      <c r="G1552" s="171" t="s">
        <v>313</v>
      </c>
      <c r="H1552" s="172" t="s">
        <v>1404</v>
      </c>
      <c r="I1552" s="173" t="s">
        <v>408</v>
      </c>
      <c r="J1552" s="173" t="s">
        <v>222</v>
      </c>
      <c r="K1552" s="123" t="s">
        <v>222</v>
      </c>
      <c r="L1552" s="181" t="s">
        <v>4</v>
      </c>
      <c r="M1552" s="176" t="s">
        <v>129</v>
      </c>
      <c r="N1552" s="176" t="s">
        <v>131</v>
      </c>
      <c r="O1552" s="176" t="s">
        <v>1403</v>
      </c>
      <c r="P1552" s="176" t="s">
        <v>1405</v>
      </c>
      <c r="Q1552" s="176" t="s">
        <v>131</v>
      </c>
      <c r="R1552" s="176" t="s">
        <v>131</v>
      </c>
      <c r="S1552" s="176" t="s">
        <v>131</v>
      </c>
      <c r="T1552" s="176"/>
      <c r="U1552" s="176" t="s">
        <v>1309</v>
      </c>
      <c r="V1552" s="176"/>
      <c r="W1552" s="176"/>
      <c r="X1552" s="176"/>
      <c r="Y1552" s="176"/>
      <c r="Z1552" s="176"/>
      <c r="AA1552" s="176"/>
      <c r="AB1552" s="176"/>
      <c r="AC1552" s="176"/>
      <c r="AD1552" s="177" t="s">
        <v>5</v>
      </c>
    </row>
    <row r="1553" spans="1:30" s="178" customFormat="1" ht="33" customHeight="1" x14ac:dyDescent="0.3">
      <c r="A1553" s="167">
        <v>30</v>
      </c>
      <c r="B1553" s="168">
        <v>25</v>
      </c>
      <c r="C1553" s="169" t="str">
        <f t="shared" si="33"/>
        <v>30.25</v>
      </c>
      <c r="D1553" s="170" t="s">
        <v>897</v>
      </c>
      <c r="E1553" s="64" t="str">
        <f>IF(ISBLANK(D1553)=TRUE,"",VLOOKUP(D1553,Krav!$C:$F,4,FALSE))</f>
        <v>10.a.1.1.1.41 - Hvis FordringsStartDato ikke er valgt: Regel R0057 deaktiveres</v>
      </c>
      <c r="F1553" s="171" t="s">
        <v>226</v>
      </c>
      <c r="G1553" s="171" t="s">
        <v>313</v>
      </c>
      <c r="H1553" s="172" t="s">
        <v>1404</v>
      </c>
      <c r="I1553" s="173" t="s">
        <v>408</v>
      </c>
      <c r="J1553" s="174" t="s">
        <v>222</v>
      </c>
      <c r="K1553" s="123" t="s">
        <v>222</v>
      </c>
      <c r="L1553" s="181" t="s">
        <v>4</v>
      </c>
      <c r="M1553" s="176" t="s">
        <v>129</v>
      </c>
      <c r="N1553" s="176" t="s">
        <v>131</v>
      </c>
      <c r="O1553" s="176" t="s">
        <v>1403</v>
      </c>
      <c r="P1553" s="176" t="s">
        <v>1405</v>
      </c>
      <c r="Q1553" s="176" t="s">
        <v>131</v>
      </c>
      <c r="R1553" s="176" t="s">
        <v>131</v>
      </c>
      <c r="S1553" s="176" t="s">
        <v>131</v>
      </c>
      <c r="T1553" s="176"/>
      <c r="U1553" s="176" t="s">
        <v>1310</v>
      </c>
      <c r="V1553" s="176"/>
      <c r="W1553" s="176"/>
      <c r="X1553" s="176"/>
      <c r="Y1553" s="176"/>
      <c r="Z1553" s="176"/>
      <c r="AA1553" s="176"/>
      <c r="AB1553" s="176"/>
      <c r="AC1553" s="176"/>
      <c r="AD1553" s="177" t="s">
        <v>5</v>
      </c>
    </row>
    <row r="1554" spans="1:30" s="178" customFormat="1" ht="33" customHeight="1" x14ac:dyDescent="0.3">
      <c r="A1554" s="167">
        <v>30</v>
      </c>
      <c r="B1554" s="168">
        <v>26</v>
      </c>
      <c r="C1554" s="169" t="str">
        <f t="shared" si="33"/>
        <v>30.26</v>
      </c>
      <c r="D1554" s="170" t="s">
        <v>899</v>
      </c>
      <c r="E1554" s="64" t="str">
        <f>IF(ISBLANK(D1554)=TRUE,"",VLOOKUP(D1554,Krav!$C:$F,4,FALSE))</f>
        <v>10.a.1.1.1.42 - Hvis FordringsStartDato ikke er valgt: Regel R0058 deaktiveres</v>
      </c>
      <c r="F1554" s="171" t="s">
        <v>226</v>
      </c>
      <c r="G1554" s="171" t="s">
        <v>313</v>
      </c>
      <c r="H1554" s="172" t="s">
        <v>1404</v>
      </c>
      <c r="I1554" s="173" t="s">
        <v>408</v>
      </c>
      <c r="J1554" s="174" t="s">
        <v>222</v>
      </c>
      <c r="K1554" s="123" t="s">
        <v>222</v>
      </c>
      <c r="L1554" s="181" t="s">
        <v>4</v>
      </c>
      <c r="M1554" s="176" t="s">
        <v>129</v>
      </c>
      <c r="N1554" s="176" t="s">
        <v>131</v>
      </c>
      <c r="O1554" s="176" t="s">
        <v>1403</v>
      </c>
      <c r="P1554" s="176" t="s">
        <v>1405</v>
      </c>
      <c r="Q1554" s="176" t="s">
        <v>131</v>
      </c>
      <c r="R1554" s="176" t="s">
        <v>131</v>
      </c>
      <c r="S1554" s="176" t="s">
        <v>131</v>
      </c>
      <c r="T1554" s="176"/>
      <c r="U1554" s="176" t="s">
        <v>1311</v>
      </c>
      <c r="V1554" s="176"/>
      <c r="W1554" s="176"/>
      <c r="X1554" s="176"/>
      <c r="Y1554" s="176"/>
      <c r="Z1554" s="176"/>
      <c r="AA1554" s="176"/>
      <c r="AB1554" s="176"/>
      <c r="AC1554" s="176"/>
      <c r="AD1554" s="177" t="s">
        <v>5</v>
      </c>
    </row>
    <row r="1555" spans="1:30" s="178" customFormat="1" ht="33" customHeight="1" x14ac:dyDescent="0.3">
      <c r="A1555" s="167">
        <v>30</v>
      </c>
      <c r="B1555" s="168">
        <v>27</v>
      </c>
      <c r="C1555" s="169" t="str">
        <f t="shared" si="33"/>
        <v>30.27</v>
      </c>
      <c r="D1555" s="170" t="s">
        <v>921</v>
      </c>
      <c r="E1555" s="64" t="str">
        <f>IF(ISBLANK(D1555)=TRUE,"",VLOOKUP(D1555,Krav!$C:$F,4,FALSE))</f>
        <v>10.a.1.1.1.53 - Hvis FordringsStartDato ikke er valgt: Regel R0069 deaktiveres</v>
      </c>
      <c r="F1555" s="171" t="s">
        <v>226</v>
      </c>
      <c r="G1555" s="171" t="s">
        <v>313</v>
      </c>
      <c r="H1555" s="172" t="s">
        <v>1404</v>
      </c>
      <c r="I1555" s="173" t="s">
        <v>408</v>
      </c>
      <c r="J1555" s="174" t="s">
        <v>222</v>
      </c>
      <c r="K1555" s="123" t="s">
        <v>222</v>
      </c>
      <c r="L1555" s="181" t="s">
        <v>4</v>
      </c>
      <c r="M1555" s="176" t="s">
        <v>129</v>
      </c>
      <c r="N1555" s="176" t="s">
        <v>131</v>
      </c>
      <c r="O1555" s="176" t="s">
        <v>1403</v>
      </c>
      <c r="P1555" s="176" t="s">
        <v>1405</v>
      </c>
      <c r="Q1555" s="176" t="s">
        <v>131</v>
      </c>
      <c r="R1555" s="176" t="s">
        <v>131</v>
      </c>
      <c r="S1555" s="176" t="s">
        <v>131</v>
      </c>
      <c r="T1555" s="176"/>
      <c r="U1555" s="176" t="s">
        <v>1303</v>
      </c>
      <c r="V1555" s="176"/>
      <c r="W1555" s="176"/>
      <c r="X1555" s="176"/>
      <c r="Y1555" s="176"/>
      <c r="Z1555" s="176"/>
      <c r="AA1555" s="176"/>
      <c r="AB1555" s="176"/>
      <c r="AC1555" s="176"/>
      <c r="AD1555" s="177" t="s">
        <v>5</v>
      </c>
    </row>
    <row r="1556" spans="1:30" s="178" customFormat="1" ht="33" customHeight="1" x14ac:dyDescent="0.3">
      <c r="A1556" s="167">
        <v>30</v>
      </c>
      <c r="B1556" s="168">
        <v>28</v>
      </c>
      <c r="C1556" s="169" t="str">
        <f t="shared" si="33"/>
        <v>30.28</v>
      </c>
      <c r="D1556" s="170" t="s">
        <v>893</v>
      </c>
      <c r="E1556" s="64" t="str">
        <f>IF(ISBLANK(D1556)=TRUE,"",VLOOKUP(D1556,Krav!$C:$F,4,FALSE))</f>
        <v>10.a.1.1.1.39 - Hvis FordringsStartDato ikke er valgt: Regel R0055 deaktiveres</v>
      </c>
      <c r="F1556" s="171" t="s">
        <v>226</v>
      </c>
      <c r="G1556" s="171" t="s">
        <v>313</v>
      </c>
      <c r="H1556" s="172" t="s">
        <v>1404</v>
      </c>
      <c r="I1556" s="174" t="s">
        <v>410</v>
      </c>
      <c r="J1556" s="173" t="s">
        <v>222</v>
      </c>
      <c r="K1556" s="123" t="s">
        <v>222</v>
      </c>
      <c r="L1556" s="181" t="s">
        <v>4</v>
      </c>
      <c r="M1556" s="176" t="s">
        <v>129</v>
      </c>
      <c r="N1556" s="176" t="s">
        <v>131</v>
      </c>
      <c r="O1556" s="176" t="s">
        <v>1405</v>
      </c>
      <c r="P1556" s="176" t="s">
        <v>1403</v>
      </c>
      <c r="Q1556" s="176" t="s">
        <v>131</v>
      </c>
      <c r="R1556" s="176" t="s">
        <v>131</v>
      </c>
      <c r="S1556" s="176" t="s">
        <v>131</v>
      </c>
      <c r="T1556" s="176"/>
      <c r="U1556" s="176" t="s">
        <v>1308</v>
      </c>
      <c r="V1556" s="176"/>
      <c r="W1556" s="176"/>
      <c r="X1556" s="176"/>
      <c r="Y1556" s="176"/>
      <c r="Z1556" s="176"/>
      <c r="AA1556" s="176"/>
      <c r="AB1556" s="176"/>
      <c r="AC1556" s="176"/>
      <c r="AD1556" s="177" t="s">
        <v>5</v>
      </c>
    </row>
    <row r="1557" spans="1:30" s="178" customFormat="1" ht="33" customHeight="1" x14ac:dyDescent="0.3">
      <c r="A1557" s="167">
        <v>30</v>
      </c>
      <c r="B1557" s="168">
        <v>29</v>
      </c>
      <c r="C1557" s="169" t="str">
        <f t="shared" si="33"/>
        <v>30.29</v>
      </c>
      <c r="D1557" s="170" t="s">
        <v>895</v>
      </c>
      <c r="E1557" s="64" t="str">
        <f>IF(ISBLANK(D1557)=TRUE,"",VLOOKUP(D1557,Krav!$C:$F,4,FALSE))</f>
        <v>10.a.1.1.1.40 - Hvis FordringsStartDato ikke er valgt: Regel R0056 deaktiveres</v>
      </c>
      <c r="F1557" s="171" t="s">
        <v>226</v>
      </c>
      <c r="G1557" s="171" t="s">
        <v>313</v>
      </c>
      <c r="H1557" s="172" t="s">
        <v>1404</v>
      </c>
      <c r="I1557" s="174" t="s">
        <v>410</v>
      </c>
      <c r="J1557" s="173" t="s">
        <v>222</v>
      </c>
      <c r="K1557" s="123" t="s">
        <v>222</v>
      </c>
      <c r="L1557" s="181" t="s">
        <v>4</v>
      </c>
      <c r="M1557" s="176" t="s">
        <v>129</v>
      </c>
      <c r="N1557" s="176" t="s">
        <v>131</v>
      </c>
      <c r="O1557" s="176" t="s">
        <v>1405</v>
      </c>
      <c r="P1557" s="176" t="s">
        <v>1403</v>
      </c>
      <c r="Q1557" s="176" t="s">
        <v>131</v>
      </c>
      <c r="R1557" s="176" t="s">
        <v>131</v>
      </c>
      <c r="S1557" s="176" t="s">
        <v>131</v>
      </c>
      <c r="T1557" s="176"/>
      <c r="U1557" s="176" t="s">
        <v>1309</v>
      </c>
      <c r="V1557" s="176"/>
      <c r="W1557" s="176"/>
      <c r="X1557" s="176"/>
      <c r="Y1557" s="176"/>
      <c r="Z1557" s="176"/>
      <c r="AA1557" s="176"/>
      <c r="AB1557" s="176"/>
      <c r="AC1557" s="176"/>
      <c r="AD1557" s="177" t="s">
        <v>5</v>
      </c>
    </row>
    <row r="1558" spans="1:30" s="178" customFormat="1" ht="33" customHeight="1" x14ac:dyDescent="0.3">
      <c r="A1558" s="167">
        <v>30</v>
      </c>
      <c r="B1558" s="168">
        <v>30</v>
      </c>
      <c r="C1558" s="169" t="str">
        <f t="shared" si="33"/>
        <v>30.30</v>
      </c>
      <c r="D1558" s="170" t="s">
        <v>897</v>
      </c>
      <c r="E1558" s="64" t="str">
        <f>IF(ISBLANK(D1558)=TRUE,"",VLOOKUP(D1558,Krav!$C:$F,4,FALSE))</f>
        <v>10.a.1.1.1.41 - Hvis FordringsStartDato ikke er valgt: Regel R0057 deaktiveres</v>
      </c>
      <c r="F1558" s="171" t="s">
        <v>226</v>
      </c>
      <c r="G1558" s="171" t="s">
        <v>313</v>
      </c>
      <c r="H1558" s="172" t="s">
        <v>1404</v>
      </c>
      <c r="I1558" s="174" t="s">
        <v>410</v>
      </c>
      <c r="J1558" s="174" t="s">
        <v>222</v>
      </c>
      <c r="K1558" s="123" t="s">
        <v>222</v>
      </c>
      <c r="L1558" s="181" t="s">
        <v>4</v>
      </c>
      <c r="M1558" s="176" t="s">
        <v>129</v>
      </c>
      <c r="N1558" s="176" t="s">
        <v>131</v>
      </c>
      <c r="O1558" s="176" t="s">
        <v>1405</v>
      </c>
      <c r="P1558" s="176" t="s">
        <v>1403</v>
      </c>
      <c r="Q1558" s="176" t="s">
        <v>131</v>
      </c>
      <c r="R1558" s="176" t="s">
        <v>131</v>
      </c>
      <c r="S1558" s="176" t="s">
        <v>131</v>
      </c>
      <c r="T1558" s="176"/>
      <c r="U1558" s="176" t="s">
        <v>1310</v>
      </c>
      <c r="V1558" s="176"/>
      <c r="W1558" s="176"/>
      <c r="X1558" s="176"/>
      <c r="Y1558" s="176"/>
      <c r="Z1558" s="176"/>
      <c r="AA1558" s="176"/>
      <c r="AB1558" s="176"/>
      <c r="AC1558" s="176"/>
      <c r="AD1558" s="177" t="s">
        <v>5</v>
      </c>
    </row>
    <row r="1559" spans="1:30" s="178" customFormat="1" ht="33" customHeight="1" x14ac:dyDescent="0.3">
      <c r="A1559" s="167">
        <v>30</v>
      </c>
      <c r="B1559" s="168">
        <v>31</v>
      </c>
      <c r="C1559" s="169" t="str">
        <f t="shared" si="33"/>
        <v>30.31</v>
      </c>
      <c r="D1559" s="170" t="s">
        <v>899</v>
      </c>
      <c r="E1559" s="64" t="str">
        <f>IF(ISBLANK(D1559)=TRUE,"",VLOOKUP(D1559,Krav!$C:$F,4,FALSE))</f>
        <v>10.a.1.1.1.42 - Hvis FordringsStartDato ikke er valgt: Regel R0058 deaktiveres</v>
      </c>
      <c r="F1559" s="171" t="s">
        <v>226</v>
      </c>
      <c r="G1559" s="171" t="s">
        <v>313</v>
      </c>
      <c r="H1559" s="172" t="s">
        <v>1404</v>
      </c>
      <c r="I1559" s="174" t="s">
        <v>410</v>
      </c>
      <c r="J1559" s="174" t="s">
        <v>222</v>
      </c>
      <c r="K1559" s="123" t="s">
        <v>222</v>
      </c>
      <c r="L1559" s="181" t="s">
        <v>4</v>
      </c>
      <c r="M1559" s="176" t="s">
        <v>129</v>
      </c>
      <c r="N1559" s="176" t="s">
        <v>131</v>
      </c>
      <c r="O1559" s="176" t="s">
        <v>1405</v>
      </c>
      <c r="P1559" s="176" t="s">
        <v>1403</v>
      </c>
      <c r="Q1559" s="176" t="s">
        <v>131</v>
      </c>
      <c r="R1559" s="176" t="s">
        <v>131</v>
      </c>
      <c r="S1559" s="176" t="s">
        <v>131</v>
      </c>
      <c r="T1559" s="176"/>
      <c r="U1559" s="176" t="s">
        <v>1311</v>
      </c>
      <c r="V1559" s="176"/>
      <c r="W1559" s="176"/>
      <c r="X1559" s="176"/>
      <c r="Y1559" s="176"/>
      <c r="Z1559" s="176"/>
      <c r="AA1559" s="176"/>
      <c r="AB1559" s="176"/>
      <c r="AC1559" s="176"/>
      <c r="AD1559" s="177" t="s">
        <v>5</v>
      </c>
    </row>
    <row r="1560" spans="1:30" s="178" customFormat="1" ht="33" customHeight="1" x14ac:dyDescent="0.3">
      <c r="A1560" s="167">
        <v>30</v>
      </c>
      <c r="B1560" s="168">
        <v>32</v>
      </c>
      <c r="C1560" s="169" t="str">
        <f t="shared" si="33"/>
        <v>30.32</v>
      </c>
      <c r="D1560" s="170" t="s">
        <v>921</v>
      </c>
      <c r="E1560" s="64" t="str">
        <f>IF(ISBLANK(D1560)=TRUE,"",VLOOKUP(D1560,Krav!$C:$F,4,FALSE))</f>
        <v>10.a.1.1.1.53 - Hvis FordringsStartDato ikke er valgt: Regel R0069 deaktiveres</v>
      </c>
      <c r="F1560" s="171" t="s">
        <v>226</v>
      </c>
      <c r="G1560" s="171" t="s">
        <v>313</v>
      </c>
      <c r="H1560" s="172" t="s">
        <v>1404</v>
      </c>
      <c r="I1560" s="174" t="s">
        <v>410</v>
      </c>
      <c r="J1560" s="174" t="s">
        <v>222</v>
      </c>
      <c r="K1560" s="123" t="s">
        <v>222</v>
      </c>
      <c r="L1560" s="181" t="s">
        <v>4</v>
      </c>
      <c r="M1560" s="176" t="s">
        <v>129</v>
      </c>
      <c r="N1560" s="176" t="s">
        <v>131</v>
      </c>
      <c r="O1560" s="176" t="s">
        <v>1405</v>
      </c>
      <c r="P1560" s="176" t="s">
        <v>1403</v>
      </c>
      <c r="Q1560" s="176" t="s">
        <v>131</v>
      </c>
      <c r="R1560" s="176" t="s">
        <v>131</v>
      </c>
      <c r="S1560" s="176" t="s">
        <v>131</v>
      </c>
      <c r="T1560" s="176"/>
      <c r="U1560" s="176" t="s">
        <v>1303</v>
      </c>
      <c r="V1560" s="176"/>
      <c r="W1560" s="176"/>
      <c r="X1560" s="176"/>
      <c r="Y1560" s="176"/>
      <c r="Z1560" s="176"/>
      <c r="AA1560" s="176"/>
      <c r="AB1560" s="176"/>
      <c r="AC1560" s="176"/>
      <c r="AD1560" s="177" t="s">
        <v>5</v>
      </c>
    </row>
    <row r="1561" spans="1:30" s="178" customFormat="1" ht="33" customHeight="1" x14ac:dyDescent="0.3">
      <c r="A1561" s="167">
        <v>30</v>
      </c>
      <c r="B1561" s="168">
        <v>33</v>
      </c>
      <c r="C1561" s="169" t="str">
        <f t="shared" si="33"/>
        <v>30.33</v>
      </c>
      <c r="D1561" s="170" t="s">
        <v>1030</v>
      </c>
      <c r="E1561" s="64" t="str">
        <f>IF(ISBLANK(D1561)=TRUE,"",VLOOKUP(D1561,Krav!$C:$F,4,FALSE))</f>
        <v>10.a.1.1.1.108 - Der angives et ”JA” i populationen under ”Vil RIM beregne en tidligst mulig forældelsesdato?”</v>
      </c>
      <c r="F1561" s="171" t="s">
        <v>221</v>
      </c>
      <c r="G1561" s="171"/>
      <c r="H1561" s="172" t="s">
        <v>1406</v>
      </c>
      <c r="I1561" s="174" t="s">
        <v>240</v>
      </c>
      <c r="J1561" s="174" t="s">
        <v>222</v>
      </c>
      <c r="K1561" s="125" t="s">
        <v>222</v>
      </c>
      <c r="L1561" s="175" t="s">
        <v>3</v>
      </c>
      <c r="M1561" s="176" t="s">
        <v>129</v>
      </c>
      <c r="N1561" s="176" t="s">
        <v>131</v>
      </c>
      <c r="O1561" s="176" t="s">
        <v>376</v>
      </c>
      <c r="P1561" s="176" t="s">
        <v>376</v>
      </c>
      <c r="Q1561" s="176" t="s">
        <v>131</v>
      </c>
      <c r="R1561" s="176" t="s">
        <v>131</v>
      </c>
      <c r="S1561" s="176" t="s">
        <v>131</v>
      </c>
      <c r="T1561" s="176"/>
      <c r="U1561" s="176"/>
      <c r="V1561" s="176"/>
      <c r="W1561" s="176"/>
      <c r="X1561" s="176"/>
      <c r="Y1561" s="176"/>
      <c r="Z1561" s="176"/>
      <c r="AA1561" s="176"/>
      <c r="AB1561" s="176"/>
      <c r="AC1561" s="176"/>
      <c r="AD1561" s="177" t="s">
        <v>5</v>
      </c>
    </row>
    <row r="1562" spans="1:30" s="178" customFormat="1" ht="33" customHeight="1" x14ac:dyDescent="0.3">
      <c r="A1562" s="167">
        <v>30</v>
      </c>
      <c r="B1562" s="168">
        <v>34</v>
      </c>
      <c r="C1562" s="169" t="str">
        <f t="shared" si="33"/>
        <v>30.34</v>
      </c>
      <c r="D1562" s="170"/>
      <c r="E1562" s="64" t="str">
        <f>IF(ISBLANK(D1562)=TRUE,"",VLOOKUP(D1562,Krav!$C:$F,4,FALSE))</f>
        <v/>
      </c>
      <c r="F1562" s="171" t="s">
        <v>225</v>
      </c>
      <c r="G1562" s="179" t="s">
        <v>230</v>
      </c>
      <c r="H1562" s="179" t="s">
        <v>158</v>
      </c>
      <c r="I1562" s="174" t="s">
        <v>1407</v>
      </c>
      <c r="J1562" s="174" t="s">
        <v>222</v>
      </c>
      <c r="K1562" s="123" t="s">
        <v>222</v>
      </c>
      <c r="L1562" s="175" t="s">
        <v>3</v>
      </c>
      <c r="M1562" s="176" t="s">
        <v>129</v>
      </c>
      <c r="N1562" s="176" t="s">
        <v>131</v>
      </c>
      <c r="O1562" s="176" t="s">
        <v>376</v>
      </c>
      <c r="P1562" s="176" t="s">
        <v>376</v>
      </c>
      <c r="Q1562" s="176" t="s">
        <v>131</v>
      </c>
      <c r="R1562" s="176" t="s">
        <v>131</v>
      </c>
      <c r="S1562" s="176" t="s">
        <v>131</v>
      </c>
      <c r="T1562" s="176"/>
      <c r="U1562" s="176"/>
      <c r="V1562" s="176"/>
      <c r="W1562" s="176"/>
      <c r="X1562" s="176"/>
      <c r="Y1562" s="176"/>
      <c r="Z1562" s="176"/>
      <c r="AA1562" s="176"/>
      <c r="AB1562" s="176"/>
      <c r="AC1562" s="176"/>
      <c r="AD1562" s="177" t="s">
        <v>5</v>
      </c>
    </row>
    <row r="1563" spans="1:30" s="178" customFormat="1" ht="33" customHeight="1" x14ac:dyDescent="0.3">
      <c r="A1563" s="167">
        <v>30</v>
      </c>
      <c r="B1563" s="168">
        <v>35</v>
      </c>
      <c r="C1563" s="169" t="str">
        <f t="shared" si="33"/>
        <v>30.35</v>
      </c>
      <c r="D1563" s="170"/>
      <c r="E1563" s="64" t="str">
        <f>IF(ISBLANK(D1563)=TRUE,"",VLOOKUP(D1563,Krav!$C:$F,4,FALSE))</f>
        <v/>
      </c>
      <c r="F1563" s="171" t="s">
        <v>225</v>
      </c>
      <c r="G1563" s="179" t="s">
        <v>1388</v>
      </c>
      <c r="H1563" s="179" t="s">
        <v>158</v>
      </c>
      <c r="I1563" s="174" t="s">
        <v>376</v>
      </c>
      <c r="J1563" s="174" t="s">
        <v>222</v>
      </c>
      <c r="K1563" s="123" t="s">
        <v>222</v>
      </c>
      <c r="L1563" s="175" t="s">
        <v>3</v>
      </c>
      <c r="M1563" s="176" t="s">
        <v>129</v>
      </c>
      <c r="N1563" s="176" t="s">
        <v>131</v>
      </c>
      <c r="O1563" s="176" t="s">
        <v>376</v>
      </c>
      <c r="P1563" s="176" t="s">
        <v>376</v>
      </c>
      <c r="Q1563" s="176" t="s">
        <v>131</v>
      </c>
      <c r="R1563" s="176" t="s">
        <v>131</v>
      </c>
      <c r="S1563" s="176" t="s">
        <v>131</v>
      </c>
      <c r="T1563" s="176"/>
      <c r="U1563" s="176"/>
      <c r="V1563" s="176"/>
      <c r="W1563" s="176"/>
      <c r="X1563" s="176"/>
      <c r="Y1563" s="176"/>
      <c r="Z1563" s="176"/>
      <c r="AA1563" s="176"/>
      <c r="AB1563" s="176"/>
      <c r="AC1563" s="176"/>
      <c r="AD1563" s="177" t="s">
        <v>5</v>
      </c>
    </row>
    <row r="1564" spans="1:30" s="178" customFormat="1" ht="33" customHeight="1" x14ac:dyDescent="0.3">
      <c r="A1564" s="167">
        <v>30</v>
      </c>
      <c r="B1564" s="168">
        <v>36</v>
      </c>
      <c r="C1564" s="169" t="str">
        <f t="shared" si="33"/>
        <v>30.36</v>
      </c>
      <c r="D1564" s="170"/>
      <c r="E1564" s="64" t="str">
        <f>IF(ISBLANK(D1564)=TRUE,"",VLOOKUP(D1564,Krav!$C:$F,4,FALSE))</f>
        <v/>
      </c>
      <c r="F1564" s="171" t="s">
        <v>225</v>
      </c>
      <c r="G1564" s="179" t="s">
        <v>1389</v>
      </c>
      <c r="H1564" s="179" t="s">
        <v>158</v>
      </c>
      <c r="I1564" s="174" t="s">
        <v>376</v>
      </c>
      <c r="J1564" s="174" t="s">
        <v>222</v>
      </c>
      <c r="K1564" s="123" t="s">
        <v>222</v>
      </c>
      <c r="L1564" s="175" t="s">
        <v>3</v>
      </c>
      <c r="M1564" s="176" t="s">
        <v>129</v>
      </c>
      <c r="N1564" s="176" t="s">
        <v>131</v>
      </c>
      <c r="O1564" s="176" t="s">
        <v>376</v>
      </c>
      <c r="P1564" s="176" t="s">
        <v>376</v>
      </c>
      <c r="Q1564" s="176" t="s">
        <v>131</v>
      </c>
      <c r="R1564" s="176" t="s">
        <v>131</v>
      </c>
      <c r="S1564" s="176" t="s">
        <v>131</v>
      </c>
      <c r="T1564" s="176"/>
      <c r="U1564" s="176"/>
      <c r="V1564" s="176"/>
      <c r="W1564" s="176"/>
      <c r="X1564" s="176"/>
      <c r="Y1564" s="176"/>
      <c r="Z1564" s="176"/>
      <c r="AA1564" s="176"/>
      <c r="AB1564" s="176"/>
      <c r="AC1564" s="176"/>
      <c r="AD1564" s="177" t="s">
        <v>5</v>
      </c>
    </row>
    <row r="1565" spans="1:30" s="178" customFormat="1" ht="33" customHeight="1" x14ac:dyDescent="0.3">
      <c r="A1565" s="167">
        <v>30</v>
      </c>
      <c r="B1565" s="168">
        <v>37</v>
      </c>
      <c r="C1565" s="169" t="str">
        <f t="shared" si="33"/>
        <v>30.37</v>
      </c>
      <c r="D1565" s="170" t="s">
        <v>807</v>
      </c>
      <c r="E1565" s="64" t="str">
        <f>IF(ISBLANK(D1565)=TRUE,"",VLOOKUP(D1565,Krav!$C:$F,4,FALSE))</f>
        <v>10.a.1.1.17 - Såfremt brugeren angiver en frist skal brugeren ledes til spørgsmål 10.a.1.1.1</v>
      </c>
      <c r="F1565" s="171" t="s">
        <v>143</v>
      </c>
      <c r="G1565" s="171"/>
      <c r="H1565" s="183" t="s">
        <v>1408</v>
      </c>
      <c r="I1565" s="174" t="s">
        <v>468</v>
      </c>
      <c r="J1565" s="174" t="s">
        <v>222</v>
      </c>
      <c r="K1565" s="123" t="s">
        <v>222</v>
      </c>
      <c r="L1565" s="175" t="s">
        <v>3</v>
      </c>
      <c r="M1565" s="176" t="s">
        <v>129</v>
      </c>
      <c r="N1565" s="176" t="s">
        <v>131</v>
      </c>
      <c r="O1565" s="176" t="s">
        <v>376</v>
      </c>
      <c r="P1565" s="176" t="s">
        <v>376</v>
      </c>
      <c r="Q1565" s="176" t="s">
        <v>131</v>
      </c>
      <c r="R1565" s="176" t="s">
        <v>131</v>
      </c>
      <c r="S1565" s="176" t="s">
        <v>131</v>
      </c>
      <c r="T1565" s="176"/>
      <c r="U1565" s="176"/>
      <c r="V1565" s="176"/>
      <c r="W1565" s="176"/>
      <c r="X1565" s="176"/>
      <c r="Y1565" s="176"/>
      <c r="Z1565" s="176"/>
      <c r="AA1565" s="176"/>
      <c r="AB1565" s="176"/>
      <c r="AC1565" s="176"/>
      <c r="AD1565" s="177" t="s">
        <v>5</v>
      </c>
    </row>
    <row r="1566" spans="1:30" s="178" customFormat="1" ht="33" customHeight="1" x14ac:dyDescent="0.3">
      <c r="A1566" s="167">
        <v>30</v>
      </c>
      <c r="B1566" s="168">
        <v>38</v>
      </c>
      <c r="C1566" s="169" t="str">
        <f t="shared" si="33"/>
        <v>30.38</v>
      </c>
      <c r="D1566" s="170" t="s">
        <v>1033</v>
      </c>
      <c r="E1566" s="64" t="str">
        <f>IF(ISBLANK(D1566)=TRUE,"",VLOOKUP(D1566,Krav!$C:$F,4,FALSE))</f>
        <v>10.a.1.1.2.1 - Hvis der er svaret "I visse tilfælde" i spørgsmål 9 og hvis der er svaret "Ja" i enten 9.b.1, 9.b.2.1 eller 9.b.2.2.1 skal brugeren ledes til spørgsmål 11</v>
      </c>
      <c r="F1566" s="171" t="s">
        <v>143</v>
      </c>
      <c r="G1566" s="171"/>
      <c r="H1566" s="179" t="s">
        <v>1411</v>
      </c>
      <c r="I1566" s="174" t="s">
        <v>565</v>
      </c>
      <c r="J1566" s="174" t="s">
        <v>222</v>
      </c>
      <c r="K1566" s="123" t="s">
        <v>222</v>
      </c>
      <c r="L1566" s="175" t="s">
        <v>3</v>
      </c>
      <c r="M1566" s="176" t="s">
        <v>129</v>
      </c>
      <c r="N1566" s="176" t="s">
        <v>131</v>
      </c>
      <c r="O1566" s="176" t="s">
        <v>376</v>
      </c>
      <c r="P1566" s="176" t="s">
        <v>376</v>
      </c>
      <c r="Q1566" s="176" t="s">
        <v>131</v>
      </c>
      <c r="R1566" s="176" t="s">
        <v>131</v>
      </c>
      <c r="S1566" s="176" t="s">
        <v>131</v>
      </c>
      <c r="T1566" s="176"/>
      <c r="U1566" s="176"/>
      <c r="V1566" s="176"/>
      <c r="W1566" s="176"/>
      <c r="X1566" s="176"/>
      <c r="Y1566" s="176"/>
      <c r="Z1566" s="176"/>
      <c r="AA1566" s="176"/>
      <c r="AB1566" s="176" t="s">
        <v>129</v>
      </c>
      <c r="AC1566" s="176"/>
      <c r="AD1566" s="177" t="s">
        <v>5</v>
      </c>
    </row>
    <row r="1567" spans="1:30" s="178" customFormat="1" ht="33" customHeight="1" x14ac:dyDescent="0.3">
      <c r="A1567" s="167">
        <v>30</v>
      </c>
      <c r="B1567" s="168">
        <v>39</v>
      </c>
      <c r="C1567" s="169" t="str">
        <f t="shared" si="33"/>
        <v>30.39</v>
      </c>
      <c r="D1567" s="170"/>
      <c r="E1567" s="64" t="str">
        <f>IF(ISBLANK(D1567)=TRUE,"",VLOOKUP(D1567,Krav!$C:$F,4,FALSE))</f>
        <v/>
      </c>
      <c r="F1567" s="186" t="s">
        <v>185</v>
      </c>
      <c r="G1567" s="186"/>
      <c r="H1567" s="172" t="s">
        <v>351</v>
      </c>
      <c r="I1567" s="174" t="s">
        <v>305</v>
      </c>
      <c r="J1567" s="173" t="s">
        <v>222</v>
      </c>
      <c r="K1567" s="123" t="s">
        <v>222</v>
      </c>
      <c r="L1567" s="175" t="s">
        <v>3</v>
      </c>
      <c r="M1567" s="176" t="s">
        <v>129</v>
      </c>
      <c r="N1567" s="176" t="s">
        <v>131</v>
      </c>
      <c r="O1567" s="176" t="s">
        <v>376</v>
      </c>
      <c r="P1567" s="176" t="s">
        <v>376</v>
      </c>
      <c r="Q1567" s="176" t="s">
        <v>131</v>
      </c>
      <c r="R1567" s="176" t="s">
        <v>131</v>
      </c>
      <c r="S1567" s="176" t="s">
        <v>131</v>
      </c>
      <c r="T1567" s="176"/>
      <c r="U1567" s="176"/>
      <c r="V1567" s="176"/>
      <c r="W1567" s="176"/>
      <c r="X1567" s="176"/>
      <c r="Y1567" s="176"/>
      <c r="Z1567" s="176"/>
      <c r="AA1567" s="176"/>
      <c r="AB1567" s="176"/>
      <c r="AC1567" s="176"/>
      <c r="AD1567" s="177" t="s">
        <v>5</v>
      </c>
    </row>
    <row r="1568" spans="1:30" s="178" customFormat="1" ht="33" customHeight="1" x14ac:dyDescent="0.3">
      <c r="A1568" s="167">
        <v>30</v>
      </c>
      <c r="B1568" s="168">
        <v>40</v>
      </c>
      <c r="C1568" s="169" t="str">
        <f t="shared" si="33"/>
        <v>30.40</v>
      </c>
      <c r="D1568" s="170" t="s">
        <v>773</v>
      </c>
      <c r="E1568" s="64" t="str">
        <f>IF(ISBLANK(D1568)=TRUE,"",VLOOKUP(D1568,Krav!$C:$F,4,FALSE))</f>
        <v>10.a.1.11 - Såfremt brugeren angiver antal dage skal brugeren ledes til spørgsmål 10.a.1.1</v>
      </c>
      <c r="F1568" s="186" t="s">
        <v>174</v>
      </c>
      <c r="G1568" s="184"/>
      <c r="H1568" s="172" t="s">
        <v>1413</v>
      </c>
      <c r="I1568" s="174" t="s">
        <v>1414</v>
      </c>
      <c r="J1568" s="174" t="s">
        <v>222</v>
      </c>
      <c r="K1568" s="125" t="s">
        <v>222</v>
      </c>
      <c r="L1568" s="175" t="s">
        <v>4</v>
      </c>
      <c r="M1568" s="176" t="s">
        <v>129</v>
      </c>
      <c r="N1568" s="176" t="s">
        <v>131</v>
      </c>
      <c r="O1568" s="187" t="s">
        <v>96</v>
      </c>
      <c r="P1568" s="176" t="s">
        <v>376</v>
      </c>
      <c r="Q1568" s="176" t="s">
        <v>131</v>
      </c>
      <c r="R1568" s="176" t="s">
        <v>131</v>
      </c>
      <c r="S1568" s="176" t="s">
        <v>131</v>
      </c>
      <c r="T1568" s="176"/>
      <c r="U1568" s="176"/>
      <c r="V1568" s="176"/>
      <c r="W1568" s="176"/>
      <c r="X1568" s="176"/>
      <c r="Y1568" s="176"/>
      <c r="Z1568" s="176"/>
      <c r="AA1568" s="176"/>
      <c r="AB1568" s="176"/>
      <c r="AC1568" s="176"/>
      <c r="AD1568" s="177" t="s">
        <v>5</v>
      </c>
    </row>
    <row r="1569" spans="1:38" s="178" customFormat="1" ht="33" customHeight="1" x14ac:dyDescent="0.3">
      <c r="A1569" s="167">
        <v>30</v>
      </c>
      <c r="B1569" s="168">
        <v>41</v>
      </c>
      <c r="C1569" s="169" t="str">
        <f t="shared" si="33"/>
        <v>30.41</v>
      </c>
      <c r="D1569" s="170" t="s">
        <v>773</v>
      </c>
      <c r="E1569" s="64" t="str">
        <f>IF(ISBLANK(D1569)=TRUE,"",VLOOKUP(D1569,Krav!$C:$F,4,FALSE))</f>
        <v>10.a.1.11 - Såfremt brugeren angiver antal dage skal brugeren ledes til spørgsmål 10.a.1.1</v>
      </c>
      <c r="F1569" s="186" t="s">
        <v>418</v>
      </c>
      <c r="G1569" s="186" t="s">
        <v>419</v>
      </c>
      <c r="H1569" s="172" t="s">
        <v>1415</v>
      </c>
      <c r="I1569" s="174" t="s">
        <v>129</v>
      </c>
      <c r="J1569" s="173" t="s">
        <v>222</v>
      </c>
      <c r="K1569" s="123" t="s">
        <v>222</v>
      </c>
      <c r="L1569" s="175" t="s">
        <v>4</v>
      </c>
      <c r="M1569" s="176" t="s">
        <v>129</v>
      </c>
      <c r="N1569" s="176" t="s">
        <v>131</v>
      </c>
      <c r="O1569" s="187" t="s">
        <v>96</v>
      </c>
      <c r="P1569" s="176" t="s">
        <v>376</v>
      </c>
      <c r="Q1569" s="176" t="s">
        <v>131</v>
      </c>
      <c r="R1569" s="176" t="s">
        <v>131</v>
      </c>
      <c r="S1569" s="176" t="s">
        <v>131</v>
      </c>
      <c r="T1569" s="176"/>
      <c r="U1569" s="176"/>
      <c r="V1569" s="176"/>
      <c r="W1569" s="176"/>
      <c r="X1569" s="176"/>
      <c r="Y1569" s="176"/>
      <c r="Z1569" s="176"/>
      <c r="AA1569" s="176"/>
      <c r="AB1569" s="176"/>
      <c r="AC1569" s="176"/>
      <c r="AD1569" s="177" t="s">
        <v>5</v>
      </c>
    </row>
    <row r="1570" spans="1:38" s="178" customFormat="1" ht="33" customHeight="1" x14ac:dyDescent="0.3">
      <c r="A1570" s="167">
        <v>30</v>
      </c>
      <c r="B1570" s="168">
        <v>42</v>
      </c>
      <c r="C1570" s="169" t="str">
        <f t="shared" si="33"/>
        <v>30.42</v>
      </c>
      <c r="D1570" s="170" t="s">
        <v>807</v>
      </c>
      <c r="E1570" s="64" t="str">
        <f>IF(ISBLANK(D1570)=TRUE,"",VLOOKUP(D1570,Krav!$C:$F,4,FALSE))</f>
        <v>10.a.1.1.17 - Såfremt brugeren angiver en frist skal brugeren ledes til spørgsmål 10.a.1.1.1</v>
      </c>
      <c r="F1570" s="186" t="s">
        <v>174</v>
      </c>
      <c r="G1570" s="184"/>
      <c r="H1570" s="172" t="s">
        <v>1413</v>
      </c>
      <c r="I1570" s="174" t="s">
        <v>1414</v>
      </c>
      <c r="J1570" s="174" t="s">
        <v>222</v>
      </c>
      <c r="K1570" s="125" t="s">
        <v>222</v>
      </c>
      <c r="L1570" s="175" t="s">
        <v>4</v>
      </c>
      <c r="M1570" s="176" t="s">
        <v>129</v>
      </c>
      <c r="N1570" s="176" t="s">
        <v>131</v>
      </c>
      <c r="O1570" s="176" t="s">
        <v>376</v>
      </c>
      <c r="P1570" s="187" t="s">
        <v>96</v>
      </c>
      <c r="Q1570" s="176" t="s">
        <v>131</v>
      </c>
      <c r="R1570" s="176" t="s">
        <v>131</v>
      </c>
      <c r="S1570" s="176" t="s">
        <v>131</v>
      </c>
      <c r="T1570" s="176"/>
      <c r="U1570" s="176"/>
      <c r="V1570" s="176"/>
      <c r="W1570" s="176"/>
      <c r="X1570" s="176"/>
      <c r="Y1570" s="176"/>
      <c r="Z1570" s="176"/>
      <c r="AA1570" s="176"/>
      <c r="AB1570" s="176"/>
      <c r="AC1570" s="176"/>
      <c r="AD1570" s="177" t="s">
        <v>5</v>
      </c>
      <c r="AE1570" s="188"/>
      <c r="AF1570" s="188"/>
      <c r="AG1570" s="188"/>
      <c r="AH1570" s="188"/>
      <c r="AI1570" s="188"/>
      <c r="AJ1570" s="188"/>
      <c r="AK1570" s="188"/>
      <c r="AL1570" s="188"/>
    </row>
    <row r="1571" spans="1:38" s="178" customFormat="1" ht="33" customHeight="1" x14ac:dyDescent="0.3">
      <c r="A1571" s="167">
        <v>30</v>
      </c>
      <c r="B1571" s="168">
        <v>43</v>
      </c>
      <c r="C1571" s="169" t="str">
        <f t="shared" si="33"/>
        <v>30.43</v>
      </c>
      <c r="D1571" s="170" t="s">
        <v>807</v>
      </c>
      <c r="E1571" s="64" t="str">
        <f>IF(ISBLANK(D1571)=TRUE,"",VLOOKUP(D1571,Krav!$C:$F,4,FALSE))</f>
        <v>10.a.1.1.17 - Såfremt brugeren angiver en frist skal brugeren ledes til spørgsmål 10.a.1.1.1</v>
      </c>
      <c r="F1571" s="186" t="s">
        <v>418</v>
      </c>
      <c r="G1571" s="186" t="s">
        <v>419</v>
      </c>
      <c r="H1571" s="172" t="s">
        <v>1415</v>
      </c>
      <c r="I1571" s="174" t="s">
        <v>129</v>
      </c>
      <c r="J1571" s="174" t="s">
        <v>222</v>
      </c>
      <c r="K1571" s="123" t="s">
        <v>222</v>
      </c>
      <c r="L1571" s="175" t="s">
        <v>4</v>
      </c>
      <c r="M1571" s="176" t="s">
        <v>129</v>
      </c>
      <c r="N1571" s="176" t="s">
        <v>131</v>
      </c>
      <c r="O1571" s="176" t="s">
        <v>376</v>
      </c>
      <c r="P1571" s="187" t="s">
        <v>96</v>
      </c>
      <c r="Q1571" s="176" t="s">
        <v>131</v>
      </c>
      <c r="R1571" s="176" t="s">
        <v>131</v>
      </c>
      <c r="S1571" s="176" t="s">
        <v>131</v>
      </c>
      <c r="T1571" s="176"/>
      <c r="U1571" s="176"/>
      <c r="V1571" s="176"/>
      <c r="W1571" s="176"/>
      <c r="X1571" s="176"/>
      <c r="Y1571" s="176"/>
      <c r="Z1571" s="176"/>
      <c r="AA1571" s="176"/>
      <c r="AB1571" s="176"/>
      <c r="AC1571" s="176"/>
      <c r="AD1571" s="177" t="s">
        <v>5</v>
      </c>
      <c r="AE1571" s="188"/>
      <c r="AF1571" s="188"/>
      <c r="AG1571" s="188"/>
      <c r="AH1571" s="188"/>
      <c r="AI1571" s="188"/>
      <c r="AJ1571" s="188"/>
      <c r="AK1571" s="188"/>
      <c r="AL1571" s="188"/>
    </row>
    <row r="1572" spans="1:38" s="178" customFormat="1" ht="33" customHeight="1" x14ac:dyDescent="0.3">
      <c r="A1572" s="167">
        <v>30</v>
      </c>
      <c r="B1572" s="168">
        <v>44</v>
      </c>
      <c r="C1572" s="169" t="str">
        <f t="shared" si="33"/>
        <v>30.44</v>
      </c>
      <c r="D1572" s="170" t="s">
        <v>773</v>
      </c>
      <c r="E1572" s="64" t="str">
        <f>IF(ISBLANK(D1572)=TRUE,"",VLOOKUP(D1572,Krav!$C:$F,4,FALSE))</f>
        <v>10.a.1.11 - Såfremt brugeren angiver antal dage skal brugeren ledes til spørgsmål 10.a.1.1</v>
      </c>
      <c r="F1572" s="186" t="s">
        <v>174</v>
      </c>
      <c r="G1572" s="184"/>
      <c r="H1572" s="172" t="s">
        <v>1416</v>
      </c>
      <c r="I1572" s="174" t="s">
        <v>1414</v>
      </c>
      <c r="J1572" s="174" t="s">
        <v>222</v>
      </c>
      <c r="K1572" s="125" t="s">
        <v>222</v>
      </c>
      <c r="L1572" s="175" t="s">
        <v>4</v>
      </c>
      <c r="M1572" s="176" t="s">
        <v>129</v>
      </c>
      <c r="N1572" s="176" t="s">
        <v>131</v>
      </c>
      <c r="O1572" s="187" t="s">
        <v>97</v>
      </c>
      <c r="P1572" s="176" t="s">
        <v>376</v>
      </c>
      <c r="Q1572" s="176" t="s">
        <v>131</v>
      </c>
      <c r="R1572" s="176" t="s">
        <v>131</v>
      </c>
      <c r="S1572" s="176" t="s">
        <v>131</v>
      </c>
      <c r="T1572" s="176"/>
      <c r="U1572" s="176"/>
      <c r="V1572" s="176"/>
      <c r="W1572" s="176"/>
      <c r="X1572" s="176"/>
      <c r="Y1572" s="176"/>
      <c r="Z1572" s="176"/>
      <c r="AA1572" s="176"/>
      <c r="AB1572" s="176"/>
      <c r="AC1572" s="176"/>
      <c r="AD1572" s="177" t="s">
        <v>5</v>
      </c>
      <c r="AE1572" s="188"/>
      <c r="AF1572" s="188"/>
      <c r="AG1572" s="188"/>
      <c r="AH1572" s="188"/>
      <c r="AI1572" s="188"/>
      <c r="AJ1572" s="188"/>
      <c r="AK1572" s="188"/>
      <c r="AL1572" s="188"/>
    </row>
    <row r="1573" spans="1:38" s="178" customFormat="1" ht="33" customHeight="1" x14ac:dyDescent="0.3">
      <c r="A1573" s="167">
        <v>30</v>
      </c>
      <c r="B1573" s="168">
        <v>45</v>
      </c>
      <c r="C1573" s="169" t="str">
        <f t="shared" si="33"/>
        <v>30.45</v>
      </c>
      <c r="D1573" s="170" t="s">
        <v>773</v>
      </c>
      <c r="E1573" s="64" t="str">
        <f>IF(ISBLANK(D1573)=TRUE,"",VLOOKUP(D1573,Krav!$C:$F,4,FALSE))</f>
        <v>10.a.1.11 - Såfremt brugeren angiver antal dage skal brugeren ledes til spørgsmål 10.a.1.1</v>
      </c>
      <c r="F1573" s="186" t="s">
        <v>418</v>
      </c>
      <c r="G1573" s="186" t="s">
        <v>419</v>
      </c>
      <c r="H1573" s="172" t="s">
        <v>1417</v>
      </c>
      <c r="I1573" s="174" t="s">
        <v>129</v>
      </c>
      <c r="J1573" s="174" t="s">
        <v>222</v>
      </c>
      <c r="K1573" s="123" t="s">
        <v>222</v>
      </c>
      <c r="L1573" s="175" t="s">
        <v>4</v>
      </c>
      <c r="M1573" s="176" t="s">
        <v>129</v>
      </c>
      <c r="N1573" s="176" t="s">
        <v>131</v>
      </c>
      <c r="O1573" s="187" t="s">
        <v>97</v>
      </c>
      <c r="P1573" s="176" t="s">
        <v>376</v>
      </c>
      <c r="Q1573" s="176" t="s">
        <v>131</v>
      </c>
      <c r="R1573" s="176" t="s">
        <v>131</v>
      </c>
      <c r="S1573" s="176" t="s">
        <v>131</v>
      </c>
      <c r="T1573" s="176"/>
      <c r="U1573" s="176"/>
      <c r="V1573" s="176"/>
      <c r="W1573" s="176"/>
      <c r="X1573" s="176"/>
      <c r="Y1573" s="176"/>
      <c r="Z1573" s="176"/>
      <c r="AA1573" s="176"/>
      <c r="AB1573" s="176"/>
      <c r="AC1573" s="176"/>
      <c r="AD1573" s="177" t="s">
        <v>5</v>
      </c>
      <c r="AE1573" s="188"/>
      <c r="AF1573" s="188"/>
      <c r="AG1573" s="188"/>
      <c r="AH1573" s="188"/>
      <c r="AI1573" s="188"/>
      <c r="AJ1573" s="188"/>
      <c r="AK1573" s="188"/>
      <c r="AL1573" s="188"/>
    </row>
    <row r="1574" spans="1:38" s="178" customFormat="1" ht="33" customHeight="1" x14ac:dyDescent="0.3">
      <c r="A1574" s="167">
        <v>30</v>
      </c>
      <c r="B1574" s="168">
        <v>46</v>
      </c>
      <c r="C1574" s="169" t="str">
        <f t="shared" si="33"/>
        <v>30.46</v>
      </c>
      <c r="D1574" s="170" t="s">
        <v>807</v>
      </c>
      <c r="E1574" s="64" t="str">
        <f>IF(ISBLANK(D1574)=TRUE,"",VLOOKUP(D1574,Krav!$C:$F,4,FALSE))</f>
        <v>10.a.1.1.17 - Såfremt brugeren angiver en frist skal brugeren ledes til spørgsmål 10.a.1.1.1</v>
      </c>
      <c r="F1574" s="186" t="s">
        <v>174</v>
      </c>
      <c r="G1574" s="184"/>
      <c r="H1574" s="172" t="s">
        <v>1416</v>
      </c>
      <c r="I1574" s="174" t="s">
        <v>1414</v>
      </c>
      <c r="J1574" s="174" t="s">
        <v>222</v>
      </c>
      <c r="K1574" s="125" t="s">
        <v>222</v>
      </c>
      <c r="L1574" s="175" t="s">
        <v>4</v>
      </c>
      <c r="M1574" s="176" t="s">
        <v>129</v>
      </c>
      <c r="N1574" s="176" t="s">
        <v>131</v>
      </c>
      <c r="O1574" s="176" t="s">
        <v>376</v>
      </c>
      <c r="P1574" s="187" t="s">
        <v>97</v>
      </c>
      <c r="Q1574" s="176" t="s">
        <v>131</v>
      </c>
      <c r="R1574" s="176" t="s">
        <v>131</v>
      </c>
      <c r="S1574" s="176" t="s">
        <v>131</v>
      </c>
      <c r="T1574" s="176"/>
      <c r="U1574" s="176"/>
      <c r="V1574" s="176"/>
      <c r="W1574" s="176"/>
      <c r="X1574" s="176"/>
      <c r="Y1574" s="176"/>
      <c r="Z1574" s="176"/>
      <c r="AA1574" s="176"/>
      <c r="AB1574" s="176"/>
      <c r="AC1574" s="176"/>
      <c r="AD1574" s="177" t="s">
        <v>5</v>
      </c>
      <c r="AE1574" s="188"/>
      <c r="AF1574" s="188"/>
      <c r="AG1574" s="188"/>
      <c r="AH1574" s="188"/>
      <c r="AI1574" s="188"/>
      <c r="AJ1574" s="188"/>
      <c r="AK1574" s="188"/>
      <c r="AL1574" s="188"/>
    </row>
    <row r="1575" spans="1:38" s="178" customFormat="1" ht="33" customHeight="1" x14ac:dyDescent="0.3">
      <c r="A1575" s="167">
        <v>30</v>
      </c>
      <c r="B1575" s="168">
        <v>47</v>
      </c>
      <c r="C1575" s="169" t="str">
        <f t="shared" si="33"/>
        <v>30.47</v>
      </c>
      <c r="D1575" s="170" t="s">
        <v>807</v>
      </c>
      <c r="E1575" s="64" t="str">
        <f>IF(ISBLANK(D1575)=TRUE,"",VLOOKUP(D1575,Krav!$C:$F,4,FALSE))</f>
        <v>10.a.1.1.17 - Såfremt brugeren angiver en frist skal brugeren ledes til spørgsmål 10.a.1.1.1</v>
      </c>
      <c r="F1575" s="186" t="s">
        <v>418</v>
      </c>
      <c r="G1575" s="186" t="s">
        <v>419</v>
      </c>
      <c r="H1575" s="172" t="s">
        <v>1417</v>
      </c>
      <c r="I1575" s="174" t="s">
        <v>129</v>
      </c>
      <c r="J1575" s="173" t="s">
        <v>222</v>
      </c>
      <c r="K1575" s="123" t="s">
        <v>222</v>
      </c>
      <c r="L1575" s="175" t="s">
        <v>4</v>
      </c>
      <c r="M1575" s="176" t="s">
        <v>129</v>
      </c>
      <c r="N1575" s="176" t="s">
        <v>131</v>
      </c>
      <c r="O1575" s="176" t="s">
        <v>376</v>
      </c>
      <c r="P1575" s="187" t="s">
        <v>97</v>
      </c>
      <c r="Q1575" s="176" t="s">
        <v>131</v>
      </c>
      <c r="R1575" s="176" t="s">
        <v>131</v>
      </c>
      <c r="S1575" s="176" t="s">
        <v>131</v>
      </c>
      <c r="T1575" s="176"/>
      <c r="U1575" s="176"/>
      <c r="V1575" s="176"/>
      <c r="W1575" s="176"/>
      <c r="X1575" s="176"/>
      <c r="Y1575" s="176"/>
      <c r="Z1575" s="176"/>
      <c r="AA1575" s="176"/>
      <c r="AB1575" s="176"/>
      <c r="AC1575" s="176"/>
      <c r="AD1575" s="177" t="s">
        <v>5</v>
      </c>
      <c r="AE1575" s="188"/>
      <c r="AF1575" s="188"/>
      <c r="AG1575" s="188"/>
      <c r="AH1575" s="188"/>
      <c r="AI1575" s="188"/>
      <c r="AJ1575" s="188"/>
      <c r="AK1575" s="188"/>
      <c r="AL1575" s="188"/>
    </row>
    <row r="1576" spans="1:38" s="178" customFormat="1" ht="33" customHeight="1" x14ac:dyDescent="0.3">
      <c r="A1576" s="167">
        <v>30</v>
      </c>
      <c r="B1576" s="168">
        <v>48</v>
      </c>
      <c r="C1576" s="169" t="str">
        <f t="shared" si="33"/>
        <v>30.48</v>
      </c>
      <c r="D1576" s="170"/>
      <c r="E1576" s="64" t="str">
        <f>IF(ISBLANK(D1576)=TRUE,"",VLOOKUP(D1576,Krav!$C:$F,4,FALSE))</f>
        <v/>
      </c>
      <c r="F1576" s="186" t="s">
        <v>174</v>
      </c>
      <c r="G1576" s="184"/>
      <c r="H1576" s="172" t="s">
        <v>1418</v>
      </c>
      <c r="I1576" s="174" t="s">
        <v>1414</v>
      </c>
      <c r="J1576" s="174" t="s">
        <v>222</v>
      </c>
      <c r="K1576" s="125" t="s">
        <v>222</v>
      </c>
      <c r="L1576" s="175" t="s">
        <v>4</v>
      </c>
      <c r="M1576" s="176" t="s">
        <v>129</v>
      </c>
      <c r="N1576" s="176" t="s">
        <v>131</v>
      </c>
      <c r="O1576" s="187" t="s">
        <v>404</v>
      </c>
      <c r="P1576" s="176" t="s">
        <v>376</v>
      </c>
      <c r="Q1576" s="176" t="s">
        <v>131</v>
      </c>
      <c r="R1576" s="176" t="s">
        <v>131</v>
      </c>
      <c r="S1576" s="176" t="s">
        <v>131</v>
      </c>
      <c r="T1576" s="176"/>
      <c r="U1576" s="176"/>
      <c r="V1576" s="176"/>
      <c r="W1576" s="176"/>
      <c r="X1576" s="176"/>
      <c r="Y1576" s="176"/>
      <c r="Z1576" s="176"/>
      <c r="AA1576" s="176"/>
      <c r="AB1576" s="176"/>
      <c r="AC1576" s="176"/>
      <c r="AD1576" s="177" t="s">
        <v>5</v>
      </c>
      <c r="AE1576" s="188"/>
      <c r="AF1576" s="188"/>
      <c r="AG1576" s="188"/>
      <c r="AH1576" s="188"/>
      <c r="AI1576" s="188"/>
      <c r="AJ1576" s="188"/>
      <c r="AK1576" s="188"/>
      <c r="AL1576" s="188"/>
    </row>
    <row r="1577" spans="1:38" s="178" customFormat="1" ht="33" customHeight="1" x14ac:dyDescent="0.3">
      <c r="A1577" s="167">
        <v>30</v>
      </c>
      <c r="B1577" s="168">
        <v>49</v>
      </c>
      <c r="C1577" s="169" t="str">
        <f t="shared" si="33"/>
        <v>30.49</v>
      </c>
      <c r="D1577" s="170"/>
      <c r="E1577" s="64" t="str">
        <f>IF(ISBLANK(D1577)=TRUE,"",VLOOKUP(D1577,Krav!$C:$F,4,FALSE))</f>
        <v/>
      </c>
      <c r="F1577" s="186" t="s">
        <v>418</v>
      </c>
      <c r="G1577" s="186" t="s">
        <v>419</v>
      </c>
      <c r="H1577" s="172" t="s">
        <v>1419</v>
      </c>
      <c r="I1577" s="174" t="s">
        <v>129</v>
      </c>
      <c r="J1577" s="180" t="s">
        <v>222</v>
      </c>
      <c r="K1577" s="125" t="s">
        <v>222</v>
      </c>
      <c r="L1577" s="175" t="s">
        <v>4</v>
      </c>
      <c r="M1577" s="176" t="s">
        <v>129</v>
      </c>
      <c r="N1577" s="176" t="s">
        <v>131</v>
      </c>
      <c r="O1577" s="187" t="s">
        <v>404</v>
      </c>
      <c r="P1577" s="176" t="s">
        <v>376</v>
      </c>
      <c r="Q1577" s="176" t="s">
        <v>131</v>
      </c>
      <c r="R1577" s="176" t="s">
        <v>131</v>
      </c>
      <c r="S1577" s="176" t="s">
        <v>131</v>
      </c>
      <c r="T1577" s="176"/>
      <c r="U1577" s="176"/>
      <c r="V1577" s="176"/>
      <c r="W1577" s="176"/>
      <c r="X1577" s="176"/>
      <c r="Y1577" s="176"/>
      <c r="Z1577" s="176"/>
      <c r="AA1577" s="176"/>
      <c r="AB1577" s="176"/>
      <c r="AC1577" s="176"/>
      <c r="AD1577" s="177" t="s">
        <v>5</v>
      </c>
      <c r="AE1577" s="188"/>
      <c r="AF1577" s="188"/>
      <c r="AG1577" s="188"/>
      <c r="AH1577" s="188"/>
      <c r="AI1577" s="188"/>
      <c r="AJ1577" s="188"/>
      <c r="AK1577" s="188"/>
      <c r="AL1577" s="188"/>
    </row>
    <row r="1578" spans="1:38" s="178" customFormat="1" ht="33" customHeight="1" x14ac:dyDescent="0.3">
      <c r="A1578" s="167">
        <v>30</v>
      </c>
      <c r="B1578" s="168">
        <v>50</v>
      </c>
      <c r="C1578" s="169" t="str">
        <f t="shared" si="33"/>
        <v>30.50</v>
      </c>
      <c r="D1578" s="170"/>
      <c r="E1578" s="64" t="str">
        <f>IF(ISBLANK(D1578)=TRUE,"",VLOOKUP(D1578,Krav!$C:$F,4,FALSE))</f>
        <v/>
      </c>
      <c r="F1578" s="186" t="s">
        <v>174</v>
      </c>
      <c r="G1578" s="184"/>
      <c r="H1578" s="172" t="s">
        <v>1420</v>
      </c>
      <c r="I1578" s="174" t="s">
        <v>1414</v>
      </c>
      <c r="J1578" s="174" t="s">
        <v>222</v>
      </c>
      <c r="K1578" s="125" t="s">
        <v>222</v>
      </c>
      <c r="L1578" s="175" t="s">
        <v>4</v>
      </c>
      <c r="M1578" s="176" t="s">
        <v>129</v>
      </c>
      <c r="N1578" s="176" t="s">
        <v>131</v>
      </c>
      <c r="O1578" s="176" t="s">
        <v>376</v>
      </c>
      <c r="P1578" s="187" t="s">
        <v>404</v>
      </c>
      <c r="Q1578" s="176" t="s">
        <v>131</v>
      </c>
      <c r="R1578" s="176" t="s">
        <v>131</v>
      </c>
      <c r="S1578" s="176" t="s">
        <v>131</v>
      </c>
      <c r="T1578" s="176"/>
      <c r="U1578" s="176"/>
      <c r="V1578" s="176"/>
      <c r="W1578" s="176"/>
      <c r="X1578" s="176"/>
      <c r="Y1578" s="176"/>
      <c r="Z1578" s="176"/>
      <c r="AA1578" s="176"/>
      <c r="AB1578" s="176"/>
      <c r="AC1578" s="176"/>
      <c r="AD1578" s="177" t="s">
        <v>5</v>
      </c>
      <c r="AE1578" s="188"/>
      <c r="AF1578" s="188"/>
      <c r="AG1578" s="188"/>
      <c r="AH1578" s="188"/>
      <c r="AI1578" s="188"/>
      <c r="AJ1578" s="188"/>
      <c r="AK1578" s="188"/>
      <c r="AL1578" s="188"/>
    </row>
    <row r="1579" spans="1:38" s="178" customFormat="1" ht="33" customHeight="1" x14ac:dyDescent="0.3">
      <c r="A1579" s="167">
        <v>30</v>
      </c>
      <c r="B1579" s="168">
        <v>51</v>
      </c>
      <c r="C1579" s="169" t="str">
        <f t="shared" si="33"/>
        <v>30.51</v>
      </c>
      <c r="D1579" s="170"/>
      <c r="E1579" s="64" t="str">
        <f>IF(ISBLANK(D1579)=TRUE,"",VLOOKUP(D1579,Krav!$C:$F,4,FALSE))</f>
        <v/>
      </c>
      <c r="F1579" s="186" t="s">
        <v>418</v>
      </c>
      <c r="G1579" s="186" t="s">
        <v>419</v>
      </c>
      <c r="H1579" s="172" t="s">
        <v>1419</v>
      </c>
      <c r="I1579" s="174" t="s">
        <v>129</v>
      </c>
      <c r="J1579" s="189" t="s">
        <v>222</v>
      </c>
      <c r="K1579" s="125" t="s">
        <v>222</v>
      </c>
      <c r="L1579" s="175" t="s">
        <v>4</v>
      </c>
      <c r="M1579" s="176" t="s">
        <v>129</v>
      </c>
      <c r="N1579" s="176" t="s">
        <v>131</v>
      </c>
      <c r="O1579" s="176" t="s">
        <v>376</v>
      </c>
      <c r="P1579" s="187" t="s">
        <v>404</v>
      </c>
      <c r="Q1579" s="176" t="s">
        <v>131</v>
      </c>
      <c r="R1579" s="176" t="s">
        <v>131</v>
      </c>
      <c r="S1579" s="176" t="s">
        <v>131</v>
      </c>
      <c r="T1579" s="176"/>
      <c r="U1579" s="176"/>
      <c r="V1579" s="176"/>
      <c r="W1579" s="176"/>
      <c r="X1579" s="176"/>
      <c r="Y1579" s="176"/>
      <c r="Z1579" s="176"/>
      <c r="AA1579" s="176"/>
      <c r="AB1579" s="176"/>
      <c r="AC1579" s="176"/>
      <c r="AD1579" s="177" t="s">
        <v>5</v>
      </c>
      <c r="AE1579" s="188"/>
      <c r="AF1579" s="188"/>
      <c r="AG1579" s="188"/>
      <c r="AH1579" s="188"/>
      <c r="AI1579" s="188"/>
      <c r="AJ1579" s="188"/>
      <c r="AK1579" s="188"/>
      <c r="AL1579" s="188"/>
    </row>
    <row r="1580" spans="1:38" s="188" customFormat="1" ht="33" customHeight="1" x14ac:dyDescent="0.3">
      <c r="A1580" s="167">
        <v>30</v>
      </c>
      <c r="B1580" s="168">
        <v>52</v>
      </c>
      <c r="C1580" s="192" t="str">
        <f t="shared" si="33"/>
        <v>30.52</v>
      </c>
      <c r="D1580" s="193" t="s">
        <v>1035</v>
      </c>
      <c r="E1580" s="64" t="str">
        <f>IF(ISBLANK(D1580)=TRUE,"",VLOOKUP(D1580,Krav!$C:$F,4,FALSE))</f>
        <v>10.a.1.1.2.2 - Der angives et "NEJ" i i populationen under ”vil RIM beregne en tidligst mulig forældelsesdato?"</v>
      </c>
      <c r="F1580" s="77" t="s">
        <v>221</v>
      </c>
      <c r="G1580" s="194"/>
      <c r="H1580" s="81" t="s">
        <v>1421</v>
      </c>
      <c r="I1580" s="83" t="s">
        <v>241</v>
      </c>
      <c r="J1580" s="195" t="s">
        <v>222</v>
      </c>
      <c r="K1580" s="125" t="s">
        <v>222</v>
      </c>
      <c r="L1580" s="196" t="s">
        <v>3</v>
      </c>
      <c r="M1580" s="197" t="s">
        <v>129</v>
      </c>
      <c r="N1580" s="197" t="s">
        <v>131</v>
      </c>
      <c r="O1580" s="197" t="s">
        <v>376</v>
      </c>
      <c r="P1580" s="197" t="s">
        <v>96</v>
      </c>
      <c r="Q1580" s="197" t="s">
        <v>131</v>
      </c>
      <c r="R1580" s="197" t="s">
        <v>129</v>
      </c>
      <c r="S1580" s="197" t="s">
        <v>131</v>
      </c>
      <c r="T1580" s="197"/>
      <c r="U1580" s="197"/>
      <c r="V1580" s="198"/>
      <c r="W1580" s="197"/>
      <c r="X1580" s="197"/>
      <c r="Y1580" s="197"/>
      <c r="Z1580" s="197"/>
      <c r="AA1580" s="197"/>
      <c r="AB1580" s="197"/>
      <c r="AC1580" s="197"/>
      <c r="AD1580" s="198" t="s">
        <v>5</v>
      </c>
    </row>
    <row r="1581" spans="1:38" s="188" customFormat="1" ht="33" customHeight="1" x14ac:dyDescent="0.3">
      <c r="A1581" s="167">
        <v>30</v>
      </c>
      <c r="B1581" s="168">
        <v>53</v>
      </c>
      <c r="C1581" s="192" t="str">
        <f t="shared" si="33"/>
        <v>30.53</v>
      </c>
      <c r="D1581" s="193"/>
      <c r="E1581" s="64" t="str">
        <f>IF(ISBLANK(D1581)=TRUE,"",VLOOKUP(D1581,Krav!$C:$F,4,FALSE))</f>
        <v/>
      </c>
      <c r="F1581" s="77" t="s">
        <v>225</v>
      </c>
      <c r="G1581" s="145" t="s">
        <v>230</v>
      </c>
      <c r="H1581" s="81" t="s">
        <v>1422</v>
      </c>
      <c r="I1581" s="83" t="s">
        <v>1407</v>
      </c>
      <c r="J1581" s="195" t="s">
        <v>222</v>
      </c>
      <c r="K1581" s="125" t="s">
        <v>222</v>
      </c>
      <c r="L1581" s="196"/>
      <c r="M1581" s="197" t="s">
        <v>129</v>
      </c>
      <c r="N1581" s="197" t="s">
        <v>131</v>
      </c>
      <c r="O1581" s="197" t="s">
        <v>376</v>
      </c>
      <c r="P1581" s="197" t="s">
        <v>96</v>
      </c>
      <c r="Q1581" s="197" t="s">
        <v>131</v>
      </c>
      <c r="R1581" s="197" t="s">
        <v>129</v>
      </c>
      <c r="S1581" s="197" t="s">
        <v>131</v>
      </c>
      <c r="T1581" s="197"/>
      <c r="U1581" s="197"/>
      <c r="V1581" s="198"/>
      <c r="W1581" s="197"/>
      <c r="X1581" s="197"/>
      <c r="Y1581" s="197"/>
      <c r="Z1581" s="197"/>
      <c r="AA1581" s="197"/>
      <c r="AB1581" s="197"/>
      <c r="AC1581" s="197"/>
      <c r="AD1581" s="198" t="s">
        <v>5</v>
      </c>
    </row>
    <row r="1582" spans="1:38" s="188" customFormat="1" ht="33" customHeight="1" x14ac:dyDescent="0.3">
      <c r="A1582" s="167">
        <v>30</v>
      </c>
      <c r="B1582" s="168">
        <v>54</v>
      </c>
      <c r="C1582" s="192" t="str">
        <f t="shared" si="33"/>
        <v>30.54</v>
      </c>
      <c r="D1582" s="193"/>
      <c r="E1582" s="64" t="str">
        <f>IF(ISBLANK(D1582)=TRUE,"",VLOOKUP(D1582,Krav!$C:$F,4,FALSE))</f>
        <v/>
      </c>
      <c r="F1582" s="77" t="s">
        <v>225</v>
      </c>
      <c r="G1582" s="145" t="s">
        <v>1388</v>
      </c>
      <c r="H1582" s="81" t="s">
        <v>1422</v>
      </c>
      <c r="I1582" s="83" t="s">
        <v>376</v>
      </c>
      <c r="J1582" s="195" t="s">
        <v>222</v>
      </c>
      <c r="K1582" s="125" t="s">
        <v>222</v>
      </c>
      <c r="L1582" s="196"/>
      <c r="M1582" s="197" t="s">
        <v>129</v>
      </c>
      <c r="N1582" s="197" t="s">
        <v>131</v>
      </c>
      <c r="O1582" s="197" t="s">
        <v>376</v>
      </c>
      <c r="P1582" s="197" t="s">
        <v>96</v>
      </c>
      <c r="Q1582" s="197" t="s">
        <v>131</v>
      </c>
      <c r="R1582" s="197" t="s">
        <v>129</v>
      </c>
      <c r="S1582" s="197" t="s">
        <v>131</v>
      </c>
      <c r="T1582" s="197"/>
      <c r="U1582" s="197"/>
      <c r="V1582" s="198"/>
      <c r="W1582" s="197"/>
      <c r="X1582" s="197"/>
      <c r="Y1582" s="197"/>
      <c r="Z1582" s="197"/>
      <c r="AA1582" s="197"/>
      <c r="AB1582" s="197"/>
      <c r="AC1582" s="197"/>
      <c r="AD1582" s="198" t="s">
        <v>5</v>
      </c>
    </row>
    <row r="1583" spans="1:38" s="188" customFormat="1" ht="33" customHeight="1" x14ac:dyDescent="0.3">
      <c r="A1583" s="167">
        <v>30</v>
      </c>
      <c r="B1583" s="168">
        <v>55</v>
      </c>
      <c r="C1583" s="192" t="str">
        <f t="shared" si="33"/>
        <v>30.55</v>
      </c>
      <c r="D1583" s="193"/>
      <c r="E1583" s="64" t="str">
        <f>IF(ISBLANK(D1583)=TRUE,"",VLOOKUP(D1583,Krav!$C:$F,4,FALSE))</f>
        <v/>
      </c>
      <c r="F1583" s="77" t="s">
        <v>225</v>
      </c>
      <c r="G1583" s="145" t="s">
        <v>1391</v>
      </c>
      <c r="H1583" s="81" t="s">
        <v>1422</v>
      </c>
      <c r="I1583" s="83" t="s">
        <v>369</v>
      </c>
      <c r="J1583" s="195" t="s">
        <v>222</v>
      </c>
      <c r="K1583" s="123" t="s">
        <v>222</v>
      </c>
      <c r="L1583" s="196"/>
      <c r="M1583" s="197" t="s">
        <v>129</v>
      </c>
      <c r="N1583" s="197" t="s">
        <v>131</v>
      </c>
      <c r="O1583" s="197" t="s">
        <v>376</v>
      </c>
      <c r="P1583" s="197" t="s">
        <v>96</v>
      </c>
      <c r="Q1583" s="197" t="s">
        <v>131</v>
      </c>
      <c r="R1583" s="197" t="s">
        <v>129</v>
      </c>
      <c r="S1583" s="197" t="s">
        <v>131</v>
      </c>
      <c r="T1583" s="197"/>
      <c r="U1583" s="197"/>
      <c r="V1583" s="198"/>
      <c r="W1583" s="197"/>
      <c r="X1583" s="197"/>
      <c r="Y1583" s="197"/>
      <c r="Z1583" s="197"/>
      <c r="AA1583" s="197"/>
      <c r="AB1583" s="197"/>
      <c r="AC1583" s="197"/>
      <c r="AD1583" s="198" t="s">
        <v>5</v>
      </c>
    </row>
    <row r="1584" spans="1:38" s="188" customFormat="1" ht="33" customHeight="1" x14ac:dyDescent="0.3">
      <c r="A1584" s="167">
        <v>30</v>
      </c>
      <c r="B1584" s="168">
        <v>56</v>
      </c>
      <c r="C1584" s="192" t="str">
        <f t="shared" si="33"/>
        <v>30.56</v>
      </c>
      <c r="D1584" s="193" t="s">
        <v>1037</v>
      </c>
      <c r="E1584" s="64" t="str">
        <f>IF(ISBLANK(D1584)=TRUE,"",VLOOKUP(D1584,Krav!$C:$F,4,FALSE))</f>
        <v>10.a.1.1.2.3 - Gruppe 1 deaktiveres</v>
      </c>
      <c r="F1584" s="77" t="s">
        <v>227</v>
      </c>
      <c r="G1584" s="194"/>
      <c r="H1584" s="81" t="s">
        <v>1423</v>
      </c>
      <c r="I1584" s="83" t="s">
        <v>241</v>
      </c>
      <c r="J1584" s="195" t="s">
        <v>222</v>
      </c>
      <c r="K1584" s="125" t="s">
        <v>222</v>
      </c>
      <c r="L1584" s="196" t="s">
        <v>3</v>
      </c>
      <c r="M1584" s="197" t="s">
        <v>129</v>
      </c>
      <c r="N1584" s="197" t="s">
        <v>131</v>
      </c>
      <c r="O1584" s="197" t="s">
        <v>376</v>
      </c>
      <c r="P1584" s="197" t="s">
        <v>96</v>
      </c>
      <c r="Q1584" s="197" t="s">
        <v>131</v>
      </c>
      <c r="R1584" s="197" t="s">
        <v>129</v>
      </c>
      <c r="S1584" s="197" t="s">
        <v>131</v>
      </c>
      <c r="T1584" s="197"/>
      <c r="U1584" s="197"/>
      <c r="V1584" s="197"/>
      <c r="W1584" s="197"/>
      <c r="X1584" s="197"/>
      <c r="Y1584" s="197"/>
      <c r="Z1584" s="197"/>
      <c r="AA1584" s="197"/>
      <c r="AB1584" s="197"/>
      <c r="AC1584" s="197"/>
      <c r="AD1584" s="198" t="s">
        <v>5</v>
      </c>
    </row>
    <row r="1585" spans="1:38" s="188" customFormat="1" ht="33" customHeight="1" x14ac:dyDescent="0.3">
      <c r="A1585" s="167">
        <v>30</v>
      </c>
      <c r="B1585" s="168">
        <v>57</v>
      </c>
      <c r="C1585" s="192" t="str">
        <f t="shared" si="33"/>
        <v>30.57</v>
      </c>
      <c r="D1585" s="193" t="s">
        <v>1038</v>
      </c>
      <c r="E1585" s="64" t="str">
        <f>IF(ISBLANK(D1585)=TRUE,"",VLOOKUP(D1585,Krav!$C:$F,4,FALSE))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585" s="78" t="s">
        <v>174</v>
      </c>
      <c r="G1585" s="194"/>
      <c r="H1585" s="145" t="s">
        <v>1424</v>
      </c>
      <c r="I1585" s="83" t="s">
        <v>1425</v>
      </c>
      <c r="J1585" s="195" t="s">
        <v>222</v>
      </c>
      <c r="K1585" s="125" t="s">
        <v>222</v>
      </c>
      <c r="L1585" s="196" t="s">
        <v>3</v>
      </c>
      <c r="M1585" s="197" t="s">
        <v>129</v>
      </c>
      <c r="N1585" s="197" t="s">
        <v>131</v>
      </c>
      <c r="O1585" s="197" t="s">
        <v>376</v>
      </c>
      <c r="P1585" s="197" t="s">
        <v>96</v>
      </c>
      <c r="Q1585" s="197" t="s">
        <v>131</v>
      </c>
      <c r="R1585" s="197" t="s">
        <v>129</v>
      </c>
      <c r="S1585" s="197" t="s">
        <v>131</v>
      </c>
      <c r="T1585" s="197"/>
      <c r="U1585" s="197"/>
      <c r="V1585" s="197" t="s">
        <v>294</v>
      </c>
      <c r="W1585" s="197"/>
      <c r="X1585" s="197"/>
      <c r="Y1585" s="197"/>
      <c r="Z1585" s="197"/>
      <c r="AA1585" s="197"/>
      <c r="AB1585" s="197"/>
      <c r="AC1585" s="197"/>
      <c r="AD1585" s="198" t="s">
        <v>5</v>
      </c>
    </row>
    <row r="1586" spans="1:38" s="188" customFormat="1" ht="33" customHeight="1" x14ac:dyDescent="0.3">
      <c r="A1586" s="167">
        <v>30</v>
      </c>
      <c r="B1586" s="168">
        <v>58</v>
      </c>
      <c r="C1586" s="192" t="str">
        <f t="shared" si="33"/>
        <v>30.58</v>
      </c>
      <c r="D1586" s="193" t="s">
        <v>1038</v>
      </c>
      <c r="E1586" s="64" t="str">
        <f>IF(ISBLANK(D1586)=TRUE,"",VLOOKUP(D1586,Krav!$C:$F,4,FALSE))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586" s="78" t="s">
        <v>174</v>
      </c>
      <c r="G1586" s="77"/>
      <c r="H1586" s="145" t="s">
        <v>1424</v>
      </c>
      <c r="I1586" s="83" t="s">
        <v>1425</v>
      </c>
      <c r="J1586" s="195" t="s">
        <v>222</v>
      </c>
      <c r="K1586" s="125" t="s">
        <v>222</v>
      </c>
      <c r="L1586" s="196" t="s">
        <v>3</v>
      </c>
      <c r="M1586" s="197" t="s">
        <v>129</v>
      </c>
      <c r="N1586" s="197" t="s">
        <v>131</v>
      </c>
      <c r="O1586" s="197" t="s">
        <v>376</v>
      </c>
      <c r="P1586" s="197" t="s">
        <v>96</v>
      </c>
      <c r="Q1586" s="197" t="s">
        <v>131</v>
      </c>
      <c r="R1586" s="197" t="s">
        <v>129</v>
      </c>
      <c r="S1586" s="197" t="s">
        <v>131</v>
      </c>
      <c r="T1586" s="197"/>
      <c r="U1586" s="197"/>
      <c r="V1586" s="198" t="s">
        <v>295</v>
      </c>
      <c r="W1586" s="197" t="s">
        <v>26</v>
      </c>
      <c r="X1586" s="197"/>
      <c r="Y1586" s="197"/>
      <c r="Z1586" s="197"/>
      <c r="AA1586" s="197"/>
      <c r="AB1586" s="197"/>
      <c r="AC1586" s="197"/>
      <c r="AD1586" s="198" t="s">
        <v>5</v>
      </c>
    </row>
    <row r="1587" spans="1:38" s="188" customFormat="1" ht="33" customHeight="1" x14ac:dyDescent="0.3">
      <c r="A1587" s="167">
        <v>30</v>
      </c>
      <c r="B1587" s="168">
        <v>59</v>
      </c>
      <c r="C1587" s="192" t="str">
        <f t="shared" si="33"/>
        <v>30.59</v>
      </c>
      <c r="D1587" s="193" t="s">
        <v>1038</v>
      </c>
      <c r="E1587" s="64" t="str">
        <f>IF(ISBLANK(D1587)=TRUE,"",VLOOKUP(D1587,Krav!$C:$F,4,FALSE))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587" s="78" t="s">
        <v>174</v>
      </c>
      <c r="G1587" s="194"/>
      <c r="H1587" s="145" t="s">
        <v>1424</v>
      </c>
      <c r="I1587" s="195" t="s">
        <v>1425</v>
      </c>
      <c r="J1587" s="195" t="s">
        <v>222</v>
      </c>
      <c r="K1587" s="125" t="s">
        <v>222</v>
      </c>
      <c r="L1587" s="196" t="s">
        <v>3</v>
      </c>
      <c r="M1587" s="197" t="s">
        <v>129</v>
      </c>
      <c r="N1587" s="197" t="s">
        <v>131</v>
      </c>
      <c r="O1587" s="197" t="s">
        <v>376</v>
      </c>
      <c r="P1587" s="197" t="s">
        <v>96</v>
      </c>
      <c r="Q1587" s="197" t="s">
        <v>131</v>
      </c>
      <c r="R1587" s="197" t="s">
        <v>129</v>
      </c>
      <c r="S1587" s="197" t="s">
        <v>131</v>
      </c>
      <c r="T1587" s="197"/>
      <c r="U1587" s="197"/>
      <c r="V1587" s="198" t="s">
        <v>295</v>
      </c>
      <c r="W1587" s="197" t="s">
        <v>166</v>
      </c>
      <c r="X1587" s="197" t="s">
        <v>26</v>
      </c>
      <c r="Y1587" s="197"/>
      <c r="Z1587" s="197"/>
      <c r="AA1587" s="197"/>
      <c r="AB1587" s="197"/>
      <c r="AC1587" s="197"/>
      <c r="AD1587" s="198" t="s">
        <v>5</v>
      </c>
    </row>
    <row r="1588" spans="1:38" s="188" customFormat="1" ht="33" customHeight="1" x14ac:dyDescent="0.3">
      <c r="A1588" s="167">
        <v>30</v>
      </c>
      <c r="B1588" s="168">
        <v>60</v>
      </c>
      <c r="C1588" s="192" t="str">
        <f t="shared" si="33"/>
        <v>30.60</v>
      </c>
      <c r="D1588" s="193" t="s">
        <v>1038</v>
      </c>
      <c r="E1588" s="64" t="str">
        <f>IF(ISBLANK(D1588)=TRUE,"",VLOOKUP(D1588,Krav!$C:$F,4,FALSE))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588" s="78" t="s">
        <v>174</v>
      </c>
      <c r="G1588" s="77"/>
      <c r="H1588" s="145" t="s">
        <v>1424</v>
      </c>
      <c r="I1588" s="83" t="s">
        <v>1425</v>
      </c>
      <c r="J1588" s="195" t="s">
        <v>222</v>
      </c>
      <c r="K1588" s="125" t="s">
        <v>222</v>
      </c>
      <c r="L1588" s="196" t="s">
        <v>3</v>
      </c>
      <c r="M1588" s="197" t="s">
        <v>129</v>
      </c>
      <c r="N1588" s="197" t="s">
        <v>131</v>
      </c>
      <c r="O1588" s="197" t="s">
        <v>376</v>
      </c>
      <c r="P1588" s="197" t="s">
        <v>96</v>
      </c>
      <c r="Q1588" s="197" t="s">
        <v>131</v>
      </c>
      <c r="R1588" s="197" t="s">
        <v>129</v>
      </c>
      <c r="S1588" s="197" t="s">
        <v>131</v>
      </c>
      <c r="T1588" s="197"/>
      <c r="U1588" s="197"/>
      <c r="V1588" s="198" t="s">
        <v>295</v>
      </c>
      <c r="W1588" s="197" t="s">
        <v>166</v>
      </c>
      <c r="X1588" s="197" t="s">
        <v>166</v>
      </c>
      <c r="Y1588" s="197" t="s">
        <v>580</v>
      </c>
      <c r="Z1588" s="197"/>
      <c r="AA1588" s="197"/>
      <c r="AB1588" s="197"/>
      <c r="AC1588" s="197"/>
      <c r="AD1588" s="198" t="s">
        <v>5</v>
      </c>
    </row>
    <row r="1589" spans="1:38" s="188" customFormat="1" ht="33" customHeight="1" x14ac:dyDescent="0.3">
      <c r="A1589" s="167">
        <v>30</v>
      </c>
      <c r="B1589" s="168">
        <v>61</v>
      </c>
      <c r="C1589" s="192" t="str">
        <f t="shared" si="33"/>
        <v>30.61</v>
      </c>
      <c r="D1589" s="193"/>
      <c r="E1589" s="64" t="str">
        <f>IF(ISBLANK(D1589)=TRUE,"",VLOOKUP(D1589,Krav!$C:$F,4,FALSE))</f>
        <v/>
      </c>
      <c r="F1589" s="78" t="s">
        <v>174</v>
      </c>
      <c r="G1589" s="194"/>
      <c r="H1589" s="145"/>
      <c r="I1589" s="83" t="s">
        <v>1414</v>
      </c>
      <c r="J1589" s="195" t="s">
        <v>222</v>
      </c>
      <c r="K1589" s="125" t="s">
        <v>222</v>
      </c>
      <c r="L1589" s="196" t="s">
        <v>4</v>
      </c>
      <c r="M1589" s="197" t="s">
        <v>129</v>
      </c>
      <c r="N1589" s="197" t="s">
        <v>131</v>
      </c>
      <c r="O1589" s="197" t="s">
        <v>376</v>
      </c>
      <c r="P1589" s="197" t="s">
        <v>96</v>
      </c>
      <c r="Q1589" s="197" t="s">
        <v>131</v>
      </c>
      <c r="R1589" s="197" t="s">
        <v>129</v>
      </c>
      <c r="S1589" s="197" t="s">
        <v>131</v>
      </c>
      <c r="T1589" s="197"/>
      <c r="U1589" s="197"/>
      <c r="V1589" s="198" t="s">
        <v>295</v>
      </c>
      <c r="W1589" s="197" t="s">
        <v>166</v>
      </c>
      <c r="X1589" s="197" t="s">
        <v>166</v>
      </c>
      <c r="Y1589" s="197" t="s">
        <v>369</v>
      </c>
      <c r="Z1589" s="197"/>
      <c r="AA1589" s="197"/>
      <c r="AB1589" s="197"/>
      <c r="AC1589" s="197"/>
      <c r="AD1589" s="198" t="s">
        <v>5</v>
      </c>
    </row>
    <row r="1590" spans="1:38" s="188" customFormat="1" ht="33" customHeight="1" x14ac:dyDescent="0.3">
      <c r="A1590" s="167">
        <v>30</v>
      </c>
      <c r="B1590" s="168">
        <v>62</v>
      </c>
      <c r="C1590" s="192" t="str">
        <f t="shared" si="33"/>
        <v>30.62</v>
      </c>
      <c r="D1590" s="193" t="s">
        <v>1040</v>
      </c>
      <c r="E1590" s="64" t="str">
        <f>IF(ISBLANK(D1590)=TRUE,"",VLOOKUP(D1590,Krav!$C:$F,4,FALSE))</f>
        <v xml:space="preserve">10.a.1.1.2.5 - Hvis fordringshaver har svaret ”aldrig” i spm. 9, kan der ikke opsættes en FLEX-filter konfiguration for populationen. </v>
      </c>
      <c r="F1590" s="78" t="s">
        <v>174</v>
      </c>
      <c r="G1590" s="194"/>
      <c r="H1590" s="145" t="s">
        <v>1426</v>
      </c>
      <c r="I1590" s="83" t="s">
        <v>1414</v>
      </c>
      <c r="J1590" s="83" t="s">
        <v>222</v>
      </c>
      <c r="K1590" s="125" t="s">
        <v>222</v>
      </c>
      <c r="L1590" s="196" t="s">
        <v>4</v>
      </c>
      <c r="M1590" s="197" t="s">
        <v>129</v>
      </c>
      <c r="N1590" s="197" t="s">
        <v>131</v>
      </c>
      <c r="O1590" s="197" t="s">
        <v>376</v>
      </c>
      <c r="P1590" s="197" t="s">
        <v>96</v>
      </c>
      <c r="Q1590" s="197" t="s">
        <v>131</v>
      </c>
      <c r="R1590" s="197" t="s">
        <v>129</v>
      </c>
      <c r="S1590" s="197" t="s">
        <v>131</v>
      </c>
      <c r="T1590" s="197"/>
      <c r="U1590" s="197"/>
      <c r="V1590" s="197" t="s">
        <v>303</v>
      </c>
      <c r="W1590" s="197"/>
      <c r="X1590" s="197"/>
      <c r="Y1590" s="197"/>
      <c r="Z1590" s="197"/>
      <c r="AA1590" s="197"/>
      <c r="AB1590" s="197"/>
      <c r="AC1590" s="197"/>
      <c r="AD1590" s="198" t="s">
        <v>5</v>
      </c>
    </row>
    <row r="1591" spans="1:38" s="188" customFormat="1" ht="33" customHeight="1" x14ac:dyDescent="0.3">
      <c r="A1591" s="167">
        <v>30</v>
      </c>
      <c r="B1591" s="168">
        <v>63</v>
      </c>
      <c r="C1591" s="192" t="str">
        <f t="shared" si="33"/>
        <v>30.63</v>
      </c>
      <c r="D1591" s="193" t="s">
        <v>1033</v>
      </c>
      <c r="E1591" s="64" t="str">
        <f>IF(ISBLANK(D1591)=TRUE,"",VLOOKUP(D1591,Krav!$C:$F,4,FALSE))</f>
        <v>10.a.1.1.2.1 - Hvis der er svaret "I visse tilfælde" i spørgsmål 9 og hvis der er svaret "Ja" i enten 9.b.1, 9.b.2.1 eller 9.b.2.2.1 skal brugeren ledes til spørgsmål 11</v>
      </c>
      <c r="F1591" s="77" t="s">
        <v>143</v>
      </c>
      <c r="G1591" s="77" t="s">
        <v>1427</v>
      </c>
      <c r="H1591" s="145" t="s">
        <v>1428</v>
      </c>
      <c r="I1591" s="83" t="s">
        <v>468</v>
      </c>
      <c r="J1591" s="83" t="s">
        <v>222</v>
      </c>
      <c r="K1591" s="125" t="s">
        <v>222</v>
      </c>
      <c r="L1591" s="196" t="s">
        <v>3</v>
      </c>
      <c r="M1591" s="197" t="s">
        <v>129</v>
      </c>
      <c r="N1591" s="197" t="s">
        <v>131</v>
      </c>
      <c r="O1591" s="197" t="s">
        <v>376</v>
      </c>
      <c r="P1591" s="197" t="s">
        <v>96</v>
      </c>
      <c r="Q1591" s="197" t="s">
        <v>131</v>
      </c>
      <c r="R1591" s="197" t="s">
        <v>129</v>
      </c>
      <c r="S1591" s="197" t="s">
        <v>131</v>
      </c>
      <c r="T1591" s="197"/>
      <c r="U1591" s="197"/>
      <c r="V1591" s="198" t="s">
        <v>295</v>
      </c>
      <c r="W1591" s="197" t="s">
        <v>26</v>
      </c>
      <c r="X1591" s="197"/>
      <c r="Y1591" s="197"/>
      <c r="Z1591" s="197"/>
      <c r="AA1591" s="197"/>
      <c r="AB1591" s="197"/>
      <c r="AC1591" s="197"/>
      <c r="AD1591" s="198" t="s">
        <v>5</v>
      </c>
    </row>
    <row r="1592" spans="1:38" s="188" customFormat="1" ht="33" customHeight="1" x14ac:dyDescent="0.3">
      <c r="A1592" s="167">
        <v>30</v>
      </c>
      <c r="B1592" s="168">
        <v>64</v>
      </c>
      <c r="C1592" s="192" t="str">
        <f t="shared" si="33"/>
        <v>30.64</v>
      </c>
      <c r="D1592" s="193" t="s">
        <v>1033</v>
      </c>
      <c r="E1592" s="64" t="str">
        <f>IF(ISBLANK(D1592)=TRUE,"",VLOOKUP(D1592,Krav!$C:$F,4,FALSE))</f>
        <v>10.a.1.1.2.1 - Hvis der er svaret "I visse tilfælde" i spørgsmål 9 og hvis der er svaret "Ja" i enten 9.b.1, 9.b.2.1 eller 9.b.2.2.1 skal brugeren ledes til spørgsmål 11</v>
      </c>
      <c r="F1592" s="77" t="s">
        <v>143</v>
      </c>
      <c r="G1592" s="77" t="s">
        <v>1427</v>
      </c>
      <c r="H1592" s="145" t="s">
        <v>1428</v>
      </c>
      <c r="I1592" s="83" t="s">
        <v>468</v>
      </c>
      <c r="J1592" s="83" t="s">
        <v>222</v>
      </c>
      <c r="K1592" s="125" t="s">
        <v>222</v>
      </c>
      <c r="L1592" s="196" t="s">
        <v>3</v>
      </c>
      <c r="M1592" s="197" t="s">
        <v>129</v>
      </c>
      <c r="N1592" s="197" t="s">
        <v>131</v>
      </c>
      <c r="O1592" s="197" t="s">
        <v>376</v>
      </c>
      <c r="P1592" s="197" t="s">
        <v>96</v>
      </c>
      <c r="Q1592" s="197" t="s">
        <v>131</v>
      </c>
      <c r="R1592" s="197" t="s">
        <v>129</v>
      </c>
      <c r="S1592" s="197" t="s">
        <v>131</v>
      </c>
      <c r="T1592" s="197"/>
      <c r="U1592" s="197"/>
      <c r="V1592" s="198" t="s">
        <v>295</v>
      </c>
      <c r="W1592" s="197" t="s">
        <v>166</v>
      </c>
      <c r="X1592" s="197" t="s">
        <v>26</v>
      </c>
      <c r="Y1592" s="197"/>
      <c r="Z1592" s="197"/>
      <c r="AA1592" s="197"/>
      <c r="AB1592" s="197"/>
      <c r="AC1592" s="197"/>
      <c r="AD1592" s="198" t="s">
        <v>5</v>
      </c>
    </row>
    <row r="1593" spans="1:38" s="188" customFormat="1" ht="33" customHeight="1" x14ac:dyDescent="0.3">
      <c r="A1593" s="167">
        <v>30</v>
      </c>
      <c r="B1593" s="168">
        <v>65</v>
      </c>
      <c r="C1593" s="192" t="str">
        <f t="shared" si="33"/>
        <v>30.65</v>
      </c>
      <c r="D1593" s="193" t="s">
        <v>1033</v>
      </c>
      <c r="E1593" s="64" t="str">
        <f>IF(ISBLANK(D1593)=TRUE,"",VLOOKUP(D1593,Krav!$C:$F,4,FALSE))</f>
        <v>10.a.1.1.2.1 - Hvis der er svaret "I visse tilfælde" i spørgsmål 9 og hvis der er svaret "Ja" i enten 9.b.1, 9.b.2.1 eller 9.b.2.2.1 skal brugeren ledes til spørgsmål 11</v>
      </c>
      <c r="F1593" s="77" t="s">
        <v>143</v>
      </c>
      <c r="G1593" s="77" t="s">
        <v>1427</v>
      </c>
      <c r="H1593" s="145" t="s">
        <v>1428</v>
      </c>
      <c r="I1593" s="83" t="s">
        <v>468</v>
      </c>
      <c r="J1593" s="83" t="s">
        <v>222</v>
      </c>
      <c r="K1593" s="125" t="s">
        <v>222</v>
      </c>
      <c r="L1593" s="199" t="s">
        <v>3</v>
      </c>
      <c r="M1593" s="197" t="s">
        <v>129</v>
      </c>
      <c r="N1593" s="197" t="s">
        <v>131</v>
      </c>
      <c r="O1593" s="197" t="s">
        <v>376</v>
      </c>
      <c r="P1593" s="197" t="s">
        <v>96</v>
      </c>
      <c r="Q1593" s="197" t="s">
        <v>131</v>
      </c>
      <c r="R1593" s="197" t="s">
        <v>129</v>
      </c>
      <c r="S1593" s="197" t="s">
        <v>131</v>
      </c>
      <c r="T1593" s="197"/>
      <c r="U1593" s="197"/>
      <c r="V1593" s="198" t="s">
        <v>295</v>
      </c>
      <c r="W1593" s="197" t="s">
        <v>166</v>
      </c>
      <c r="X1593" s="197" t="s">
        <v>166</v>
      </c>
      <c r="Y1593" s="197" t="s">
        <v>580</v>
      </c>
      <c r="Z1593" s="197"/>
      <c r="AA1593" s="197"/>
      <c r="AB1593" s="197"/>
      <c r="AC1593" s="197"/>
      <c r="AD1593" s="198" t="s">
        <v>5</v>
      </c>
    </row>
    <row r="1594" spans="1:38" s="188" customFormat="1" ht="33" customHeight="1" x14ac:dyDescent="0.3">
      <c r="A1594" s="167">
        <v>30</v>
      </c>
      <c r="B1594" s="168">
        <v>66</v>
      </c>
      <c r="C1594" s="192" t="str">
        <f t="shared" si="33"/>
        <v>30.66</v>
      </c>
      <c r="D1594" s="193"/>
      <c r="E1594" s="64" t="str">
        <f>IF(ISBLANK(D1594)=TRUE,"",VLOOKUP(D1594,Krav!$C:$F,4,FALSE))</f>
        <v/>
      </c>
      <c r="F1594" s="77" t="s">
        <v>143</v>
      </c>
      <c r="G1594" s="77" t="s">
        <v>1427</v>
      </c>
      <c r="H1594" s="145" t="s">
        <v>1429</v>
      </c>
      <c r="I1594" s="83" t="s">
        <v>468</v>
      </c>
      <c r="J1594" s="83" t="s">
        <v>222</v>
      </c>
      <c r="K1594" s="125" t="s">
        <v>222</v>
      </c>
      <c r="L1594" s="199" t="s">
        <v>3</v>
      </c>
      <c r="M1594" s="197" t="s">
        <v>129</v>
      </c>
      <c r="N1594" s="197" t="s">
        <v>131</v>
      </c>
      <c r="O1594" s="197" t="s">
        <v>376</v>
      </c>
      <c r="P1594" s="197" t="s">
        <v>96</v>
      </c>
      <c r="Q1594" s="197" t="s">
        <v>131</v>
      </c>
      <c r="R1594" s="197" t="s">
        <v>129</v>
      </c>
      <c r="S1594" s="197" t="s">
        <v>131</v>
      </c>
      <c r="T1594" s="197"/>
      <c r="U1594" s="197"/>
      <c r="V1594" s="197" t="s">
        <v>294</v>
      </c>
      <c r="W1594" s="197"/>
      <c r="X1594" s="197"/>
      <c r="Y1594" s="197"/>
      <c r="Z1594" s="197"/>
      <c r="AA1594" s="197"/>
      <c r="AB1594" s="197"/>
      <c r="AC1594" s="197"/>
      <c r="AD1594" s="198" t="s">
        <v>5</v>
      </c>
    </row>
    <row r="1595" spans="1:38" s="188" customFormat="1" ht="33" customHeight="1" x14ac:dyDescent="0.3">
      <c r="A1595" s="167">
        <v>30</v>
      </c>
      <c r="B1595" s="168">
        <v>67</v>
      </c>
      <c r="C1595" s="192" t="str">
        <f t="shared" si="33"/>
        <v>30.67</v>
      </c>
      <c r="D1595" s="193"/>
      <c r="E1595" s="64" t="str">
        <f>IF(ISBLANK(D1595)=TRUE,"",VLOOKUP(D1595,Krav!$C:$F,4,FALSE))</f>
        <v/>
      </c>
      <c r="F1595" s="77" t="s">
        <v>143</v>
      </c>
      <c r="G1595" s="77" t="s">
        <v>1427</v>
      </c>
      <c r="H1595" s="145" t="s">
        <v>1429</v>
      </c>
      <c r="I1595" s="83" t="s">
        <v>565</v>
      </c>
      <c r="J1595" s="83" t="s">
        <v>222</v>
      </c>
      <c r="K1595" s="125" t="s">
        <v>222</v>
      </c>
      <c r="L1595" s="199" t="s">
        <v>3</v>
      </c>
      <c r="M1595" s="197" t="s">
        <v>129</v>
      </c>
      <c r="N1595" s="197" t="s">
        <v>131</v>
      </c>
      <c r="O1595" s="197" t="s">
        <v>376</v>
      </c>
      <c r="P1595" s="197" t="s">
        <v>96</v>
      </c>
      <c r="Q1595" s="197" t="s">
        <v>131</v>
      </c>
      <c r="R1595" s="197" t="s">
        <v>129</v>
      </c>
      <c r="S1595" s="197" t="s">
        <v>131</v>
      </c>
      <c r="T1595" s="197"/>
      <c r="U1595" s="197"/>
      <c r="V1595" s="197" t="s">
        <v>294</v>
      </c>
      <c r="W1595" s="197"/>
      <c r="X1595" s="197"/>
      <c r="Y1595" s="197"/>
      <c r="Z1595" s="197"/>
      <c r="AA1595" s="197"/>
      <c r="AB1595" s="197" t="s">
        <v>129</v>
      </c>
      <c r="AC1595" s="197"/>
      <c r="AD1595" s="198" t="s">
        <v>5</v>
      </c>
      <c r="AE1595" s="200"/>
      <c r="AF1595" s="200"/>
      <c r="AG1595" s="200"/>
      <c r="AH1595" s="200"/>
      <c r="AI1595" s="200"/>
      <c r="AJ1595" s="200"/>
      <c r="AK1595" s="200"/>
      <c r="AL1595" s="200"/>
    </row>
    <row r="1596" spans="1:38" s="188" customFormat="1" ht="33" customHeight="1" x14ac:dyDescent="0.3">
      <c r="A1596" s="167">
        <v>30</v>
      </c>
      <c r="B1596" s="168">
        <v>68</v>
      </c>
      <c r="C1596" s="192" t="str">
        <f t="shared" si="33"/>
        <v>30.68</v>
      </c>
      <c r="D1596" s="193" t="s">
        <v>1033</v>
      </c>
      <c r="E1596" s="64" t="str">
        <f>IF(ISBLANK(D1596)=TRUE,"",VLOOKUP(D1596,Krav!$C:$F,4,FALSE))</f>
        <v>10.a.1.1.2.1 - Hvis der er svaret "I visse tilfælde" i spørgsmål 9 og hvis der er svaret "Ja" i enten 9.b.1, 9.b.2.1 eller 9.b.2.2.1 skal brugeren ledes til spørgsmål 11</v>
      </c>
      <c r="F1596" s="77" t="s">
        <v>143</v>
      </c>
      <c r="G1596" s="77" t="s">
        <v>1427</v>
      </c>
      <c r="H1596" s="145" t="s">
        <v>1428</v>
      </c>
      <c r="I1596" s="83" t="s">
        <v>565</v>
      </c>
      <c r="J1596" s="83" t="s">
        <v>222</v>
      </c>
      <c r="K1596" s="125" t="s">
        <v>222</v>
      </c>
      <c r="L1596" s="196" t="s">
        <v>3</v>
      </c>
      <c r="M1596" s="197" t="s">
        <v>129</v>
      </c>
      <c r="N1596" s="197" t="s">
        <v>131</v>
      </c>
      <c r="O1596" s="197" t="s">
        <v>376</v>
      </c>
      <c r="P1596" s="197" t="s">
        <v>96</v>
      </c>
      <c r="Q1596" s="197" t="s">
        <v>131</v>
      </c>
      <c r="R1596" s="197" t="s">
        <v>129</v>
      </c>
      <c r="S1596" s="197" t="s">
        <v>131</v>
      </c>
      <c r="T1596" s="197"/>
      <c r="U1596" s="197"/>
      <c r="V1596" s="198" t="s">
        <v>295</v>
      </c>
      <c r="W1596" s="197" t="s">
        <v>26</v>
      </c>
      <c r="X1596" s="197"/>
      <c r="Y1596" s="197"/>
      <c r="Z1596" s="197"/>
      <c r="AA1596" s="197"/>
      <c r="AB1596" s="197" t="s">
        <v>129</v>
      </c>
      <c r="AC1596" s="197"/>
      <c r="AD1596" s="198" t="s">
        <v>5</v>
      </c>
      <c r="AE1596" s="200"/>
      <c r="AF1596" s="200"/>
      <c r="AG1596" s="200"/>
      <c r="AH1596" s="200"/>
      <c r="AI1596" s="200"/>
      <c r="AJ1596" s="200"/>
      <c r="AK1596" s="200"/>
      <c r="AL1596" s="200"/>
    </row>
    <row r="1597" spans="1:38" s="188" customFormat="1" ht="33" customHeight="1" x14ac:dyDescent="0.3">
      <c r="A1597" s="167">
        <v>30</v>
      </c>
      <c r="B1597" s="168">
        <v>69</v>
      </c>
      <c r="C1597" s="192" t="str">
        <f t="shared" si="33"/>
        <v>30.69</v>
      </c>
      <c r="D1597" s="193" t="s">
        <v>1033</v>
      </c>
      <c r="E1597" s="64" t="str">
        <f>IF(ISBLANK(D1597)=TRUE,"",VLOOKUP(D1597,Krav!$C:$F,4,FALSE))</f>
        <v>10.a.1.1.2.1 - Hvis der er svaret "I visse tilfælde" i spørgsmål 9 og hvis der er svaret "Ja" i enten 9.b.1, 9.b.2.1 eller 9.b.2.2.1 skal brugeren ledes til spørgsmål 11</v>
      </c>
      <c r="F1597" s="77" t="s">
        <v>143</v>
      </c>
      <c r="G1597" s="77" t="s">
        <v>1427</v>
      </c>
      <c r="H1597" s="145" t="s">
        <v>1428</v>
      </c>
      <c r="I1597" s="83" t="s">
        <v>565</v>
      </c>
      <c r="J1597" s="83" t="s">
        <v>222</v>
      </c>
      <c r="K1597" s="125" t="s">
        <v>222</v>
      </c>
      <c r="L1597" s="196" t="s">
        <v>3</v>
      </c>
      <c r="M1597" s="197" t="s">
        <v>129</v>
      </c>
      <c r="N1597" s="197" t="s">
        <v>131</v>
      </c>
      <c r="O1597" s="197" t="s">
        <v>376</v>
      </c>
      <c r="P1597" s="197" t="s">
        <v>96</v>
      </c>
      <c r="Q1597" s="197" t="s">
        <v>131</v>
      </c>
      <c r="R1597" s="197" t="s">
        <v>129</v>
      </c>
      <c r="S1597" s="197" t="s">
        <v>131</v>
      </c>
      <c r="T1597" s="197"/>
      <c r="U1597" s="197"/>
      <c r="V1597" s="198" t="s">
        <v>295</v>
      </c>
      <c r="W1597" s="197" t="s">
        <v>166</v>
      </c>
      <c r="X1597" s="197" t="s">
        <v>26</v>
      </c>
      <c r="Y1597" s="197"/>
      <c r="Z1597" s="197"/>
      <c r="AA1597" s="197"/>
      <c r="AB1597" s="197" t="s">
        <v>129</v>
      </c>
      <c r="AC1597" s="197"/>
      <c r="AD1597" s="198" t="s">
        <v>5</v>
      </c>
      <c r="AE1597" s="200"/>
      <c r="AF1597" s="200"/>
      <c r="AG1597" s="200"/>
      <c r="AH1597" s="200"/>
      <c r="AI1597" s="200"/>
      <c r="AJ1597" s="200"/>
      <c r="AK1597" s="200"/>
      <c r="AL1597" s="200"/>
    </row>
    <row r="1598" spans="1:38" s="188" customFormat="1" ht="33" customHeight="1" x14ac:dyDescent="0.3">
      <c r="A1598" s="167">
        <v>30</v>
      </c>
      <c r="B1598" s="168">
        <v>70</v>
      </c>
      <c r="C1598" s="192" t="str">
        <f t="shared" si="33"/>
        <v>30.70</v>
      </c>
      <c r="D1598" s="193" t="s">
        <v>1033</v>
      </c>
      <c r="E1598" s="64" t="str">
        <f>IF(ISBLANK(D1598)=TRUE,"",VLOOKUP(D1598,Krav!$C:$F,4,FALSE))</f>
        <v>10.a.1.1.2.1 - Hvis der er svaret "I visse tilfælde" i spørgsmål 9 og hvis der er svaret "Ja" i enten 9.b.1, 9.b.2.1 eller 9.b.2.2.1 skal brugeren ledes til spørgsmål 11</v>
      </c>
      <c r="F1598" s="77" t="s">
        <v>143</v>
      </c>
      <c r="G1598" s="77" t="s">
        <v>1427</v>
      </c>
      <c r="H1598" s="145" t="s">
        <v>1428</v>
      </c>
      <c r="I1598" s="83" t="s">
        <v>565</v>
      </c>
      <c r="J1598" s="83" t="s">
        <v>222</v>
      </c>
      <c r="K1598" s="125" t="s">
        <v>222</v>
      </c>
      <c r="L1598" s="199" t="s">
        <v>3</v>
      </c>
      <c r="M1598" s="197" t="s">
        <v>129</v>
      </c>
      <c r="N1598" s="197" t="s">
        <v>131</v>
      </c>
      <c r="O1598" s="197" t="s">
        <v>376</v>
      </c>
      <c r="P1598" s="197" t="s">
        <v>96</v>
      </c>
      <c r="Q1598" s="197" t="s">
        <v>131</v>
      </c>
      <c r="R1598" s="197" t="s">
        <v>129</v>
      </c>
      <c r="S1598" s="197" t="s">
        <v>131</v>
      </c>
      <c r="T1598" s="197"/>
      <c r="U1598" s="197"/>
      <c r="V1598" s="198" t="s">
        <v>295</v>
      </c>
      <c r="W1598" s="197" t="s">
        <v>166</v>
      </c>
      <c r="X1598" s="197" t="s">
        <v>166</v>
      </c>
      <c r="Y1598" s="197" t="s">
        <v>580</v>
      </c>
      <c r="Z1598" s="197"/>
      <c r="AA1598" s="197"/>
      <c r="AB1598" s="197" t="s">
        <v>129</v>
      </c>
      <c r="AC1598" s="197"/>
      <c r="AD1598" s="198" t="s">
        <v>5</v>
      </c>
      <c r="AE1598" s="200"/>
      <c r="AF1598" s="200"/>
      <c r="AG1598" s="200"/>
      <c r="AH1598" s="200"/>
      <c r="AI1598" s="200"/>
      <c r="AJ1598" s="200"/>
      <c r="AK1598" s="200"/>
      <c r="AL1598" s="200"/>
    </row>
    <row r="1599" spans="1:38" s="200" customFormat="1" ht="33" customHeight="1" x14ac:dyDescent="0.3">
      <c r="A1599" s="167">
        <v>30</v>
      </c>
      <c r="B1599" s="168">
        <v>71</v>
      </c>
      <c r="C1599" s="203" t="str">
        <f t="shared" si="33"/>
        <v>30.71</v>
      </c>
      <c r="D1599" s="18" t="s">
        <v>1053</v>
      </c>
      <c r="E1599" s="64" t="str">
        <f>IF(ISBLANK(D1599)=TRUE,"",VLOOKUP(D1599,Krav!$C:$F,4,FALSE))</f>
        <v>10.a.1.2.12 - Der angives et "NEJ" i i populationen under ”vil RIM beregne en tidligst mulig forældelsesdato?"</v>
      </c>
      <c r="F1599" s="53" t="s">
        <v>221</v>
      </c>
      <c r="G1599" s="19"/>
      <c r="H1599" s="76" t="s">
        <v>1430</v>
      </c>
      <c r="I1599" s="67" t="s">
        <v>241</v>
      </c>
      <c r="J1599" s="68" t="s">
        <v>222</v>
      </c>
      <c r="K1599" s="125" t="s">
        <v>222</v>
      </c>
      <c r="L1599" s="204" t="s">
        <v>3</v>
      </c>
      <c r="M1599" s="61" t="s">
        <v>129</v>
      </c>
      <c r="N1599" s="61" t="s">
        <v>131</v>
      </c>
      <c r="O1599" s="61" t="s">
        <v>96</v>
      </c>
      <c r="P1599" s="61" t="s">
        <v>376</v>
      </c>
      <c r="Q1599" s="61" t="s">
        <v>129</v>
      </c>
      <c r="R1599" s="61" t="s">
        <v>131</v>
      </c>
      <c r="S1599" s="61" t="s">
        <v>131</v>
      </c>
      <c r="T1599" s="61"/>
      <c r="U1599" s="61"/>
      <c r="V1599" s="61"/>
      <c r="W1599" s="61"/>
      <c r="X1599" s="61"/>
      <c r="Y1599" s="61"/>
      <c r="Z1599" s="61"/>
      <c r="AA1599" s="61"/>
      <c r="AB1599" s="61"/>
      <c r="AC1599" s="61"/>
      <c r="AD1599" s="59" t="s">
        <v>5</v>
      </c>
    </row>
    <row r="1600" spans="1:38" s="200" customFormat="1" ht="33" customHeight="1" x14ac:dyDescent="0.3">
      <c r="A1600" s="167">
        <v>30</v>
      </c>
      <c r="B1600" s="168">
        <v>72</v>
      </c>
      <c r="C1600" s="203" t="str">
        <f t="shared" si="33"/>
        <v>30.72</v>
      </c>
      <c r="D1600" s="18" t="s">
        <v>1054</v>
      </c>
      <c r="E1600" s="64" t="str">
        <f>IF(ISBLANK(D1600)=TRUE,"",VLOOKUP(D1600,Krav!$C:$F,4,FALSE))</f>
        <v>10.a.1.2.13 - Gruppe 1 deaktiveres</v>
      </c>
      <c r="F1600" s="53" t="s">
        <v>227</v>
      </c>
      <c r="G1600" s="19"/>
      <c r="H1600" s="25" t="s">
        <v>1423</v>
      </c>
      <c r="I1600" s="67" t="s">
        <v>241</v>
      </c>
      <c r="J1600" s="68" t="s">
        <v>222</v>
      </c>
      <c r="K1600" s="125" t="s">
        <v>222</v>
      </c>
      <c r="L1600" s="204" t="s">
        <v>3</v>
      </c>
      <c r="M1600" s="61" t="s">
        <v>129</v>
      </c>
      <c r="N1600" s="61" t="s">
        <v>131</v>
      </c>
      <c r="O1600" s="61" t="s">
        <v>96</v>
      </c>
      <c r="P1600" s="61" t="s">
        <v>376</v>
      </c>
      <c r="Q1600" s="61" t="s">
        <v>129</v>
      </c>
      <c r="R1600" s="61" t="s">
        <v>131</v>
      </c>
      <c r="S1600" s="61" t="s">
        <v>131</v>
      </c>
      <c r="T1600" s="61"/>
      <c r="U1600" s="61"/>
      <c r="V1600" s="61"/>
      <c r="W1600" s="61"/>
      <c r="X1600" s="61"/>
      <c r="Y1600" s="61"/>
      <c r="Z1600" s="61"/>
      <c r="AA1600" s="61"/>
      <c r="AB1600" s="61"/>
      <c r="AC1600" s="61"/>
      <c r="AD1600" s="59" t="s">
        <v>5</v>
      </c>
    </row>
    <row r="1601" spans="1:30" s="200" customFormat="1" ht="33" customHeight="1" x14ac:dyDescent="0.3">
      <c r="A1601" s="167">
        <v>30</v>
      </c>
      <c r="B1601" s="168">
        <v>73</v>
      </c>
      <c r="C1601" s="203" t="str">
        <f t="shared" si="33"/>
        <v>30.73</v>
      </c>
      <c r="D1601" s="18"/>
      <c r="E1601" s="64" t="str">
        <f>IF(ISBLANK(D1601)=TRUE,"",VLOOKUP(D1601,Krav!$C:$F,4,FALSE))</f>
        <v/>
      </c>
      <c r="F1601" s="53" t="s">
        <v>225</v>
      </c>
      <c r="G1601" s="19" t="s">
        <v>230</v>
      </c>
      <c r="H1601" s="76" t="s">
        <v>1431</v>
      </c>
      <c r="I1601" s="67" t="s">
        <v>1407</v>
      </c>
      <c r="J1601" s="68" t="s">
        <v>222</v>
      </c>
      <c r="K1601" s="125" t="s">
        <v>222</v>
      </c>
      <c r="L1601" s="204" t="s">
        <v>3</v>
      </c>
      <c r="M1601" s="61" t="s">
        <v>129</v>
      </c>
      <c r="N1601" s="61" t="s">
        <v>131</v>
      </c>
      <c r="O1601" s="61" t="s">
        <v>96</v>
      </c>
      <c r="P1601" s="61" t="s">
        <v>376</v>
      </c>
      <c r="Q1601" s="61" t="s">
        <v>129</v>
      </c>
      <c r="R1601" s="61" t="s">
        <v>131</v>
      </c>
      <c r="S1601" s="61" t="s">
        <v>131</v>
      </c>
      <c r="T1601" s="61"/>
      <c r="U1601" s="61"/>
      <c r="V1601" s="61"/>
      <c r="W1601" s="61"/>
      <c r="X1601" s="61"/>
      <c r="Y1601" s="61"/>
      <c r="Z1601" s="61"/>
      <c r="AA1601" s="61"/>
      <c r="AB1601" s="61"/>
      <c r="AC1601" s="61"/>
      <c r="AD1601" s="59" t="s">
        <v>5</v>
      </c>
    </row>
    <row r="1602" spans="1:30" s="200" customFormat="1" ht="33" customHeight="1" x14ac:dyDescent="0.3">
      <c r="A1602" s="167">
        <v>30</v>
      </c>
      <c r="B1602" s="168">
        <v>74</v>
      </c>
      <c r="C1602" s="203" t="str">
        <f t="shared" si="33"/>
        <v>30.74</v>
      </c>
      <c r="D1602" s="18"/>
      <c r="E1602" s="64" t="str">
        <f>IF(ISBLANK(D1602)=TRUE,"",VLOOKUP(D1602,Krav!$C:$F,4,FALSE))</f>
        <v/>
      </c>
      <c r="F1602" s="53" t="s">
        <v>225</v>
      </c>
      <c r="G1602" s="19" t="s">
        <v>1390</v>
      </c>
      <c r="H1602" s="76" t="s">
        <v>1431</v>
      </c>
      <c r="I1602" s="67" t="s">
        <v>369</v>
      </c>
      <c r="J1602" s="68" t="s">
        <v>222</v>
      </c>
      <c r="K1602" s="125" t="s">
        <v>222</v>
      </c>
      <c r="L1602" s="204" t="s">
        <v>3</v>
      </c>
      <c r="M1602" s="61" t="s">
        <v>129</v>
      </c>
      <c r="N1602" s="61" t="s">
        <v>131</v>
      </c>
      <c r="O1602" s="61" t="s">
        <v>96</v>
      </c>
      <c r="P1602" s="61" t="s">
        <v>376</v>
      </c>
      <c r="Q1602" s="61" t="s">
        <v>129</v>
      </c>
      <c r="R1602" s="61" t="s">
        <v>131</v>
      </c>
      <c r="S1602" s="61" t="s">
        <v>131</v>
      </c>
      <c r="T1602" s="61"/>
      <c r="U1602" s="61"/>
      <c r="V1602" s="61"/>
      <c r="W1602" s="61"/>
      <c r="X1602" s="61"/>
      <c r="Y1602" s="61"/>
      <c r="Z1602" s="61"/>
      <c r="AA1602" s="61"/>
      <c r="AB1602" s="61"/>
      <c r="AC1602" s="61"/>
      <c r="AD1602" s="59" t="s">
        <v>5</v>
      </c>
    </row>
    <row r="1603" spans="1:30" s="200" customFormat="1" ht="33" customHeight="1" x14ac:dyDescent="0.3">
      <c r="A1603" s="167">
        <v>30</v>
      </c>
      <c r="B1603" s="168">
        <v>75</v>
      </c>
      <c r="C1603" s="203" t="str">
        <f t="shared" si="33"/>
        <v>30.75</v>
      </c>
      <c r="D1603" s="18" t="s">
        <v>1055</v>
      </c>
      <c r="E1603" s="64" t="str">
        <f>IF(ISBLANK(D1603)=TRUE,"",VLOOKUP(D1603,Krav!$C:$F,4,FALSE))</f>
        <v>10.a.1.2.14 -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03" s="29" t="s">
        <v>174</v>
      </c>
      <c r="G1603" s="19"/>
      <c r="H1603" s="76" t="s">
        <v>1424</v>
      </c>
      <c r="I1603" s="67" t="s">
        <v>1425</v>
      </c>
      <c r="J1603" s="68" t="s">
        <v>222</v>
      </c>
      <c r="K1603" s="125" t="s">
        <v>222</v>
      </c>
      <c r="L1603" s="204" t="s">
        <v>3</v>
      </c>
      <c r="M1603" s="61" t="s">
        <v>129</v>
      </c>
      <c r="N1603" s="61" t="s">
        <v>131</v>
      </c>
      <c r="O1603" s="61" t="s">
        <v>96</v>
      </c>
      <c r="P1603" s="61" t="s">
        <v>376</v>
      </c>
      <c r="Q1603" s="61" t="s">
        <v>129</v>
      </c>
      <c r="R1603" s="61" t="s">
        <v>131</v>
      </c>
      <c r="S1603" s="61" t="s">
        <v>131</v>
      </c>
      <c r="T1603" s="61"/>
      <c r="U1603" s="61"/>
      <c r="V1603" s="61" t="s">
        <v>294</v>
      </c>
      <c r="W1603" s="61"/>
      <c r="X1603" s="61"/>
      <c r="Y1603" s="61"/>
      <c r="Z1603" s="61"/>
      <c r="AA1603" s="61"/>
      <c r="AB1603" s="61"/>
      <c r="AC1603" s="61"/>
      <c r="AD1603" s="59" t="s">
        <v>5</v>
      </c>
    </row>
    <row r="1604" spans="1:30" s="200" customFormat="1" ht="33" customHeight="1" x14ac:dyDescent="0.3">
      <c r="A1604" s="167">
        <v>30</v>
      </c>
      <c r="B1604" s="168">
        <v>76</v>
      </c>
      <c r="C1604" s="203" t="str">
        <f t="shared" si="33"/>
        <v>30.76</v>
      </c>
      <c r="D1604" s="18" t="s">
        <v>1055</v>
      </c>
      <c r="E1604" s="64" t="str">
        <f>IF(ISBLANK(D1604)=TRUE,"",VLOOKUP(D1604,Krav!$C:$F,4,FALSE))</f>
        <v>10.a.1.2.14 -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04" s="29" t="s">
        <v>174</v>
      </c>
      <c r="G1604" s="53"/>
      <c r="H1604" s="76" t="s">
        <v>1432</v>
      </c>
      <c r="I1604" s="67" t="s">
        <v>1425</v>
      </c>
      <c r="J1604" s="68" t="s">
        <v>222</v>
      </c>
      <c r="K1604" s="125" t="s">
        <v>222</v>
      </c>
      <c r="L1604" s="204" t="s">
        <v>3</v>
      </c>
      <c r="M1604" s="61" t="s">
        <v>129</v>
      </c>
      <c r="N1604" s="61" t="s">
        <v>131</v>
      </c>
      <c r="O1604" s="61" t="s">
        <v>96</v>
      </c>
      <c r="P1604" s="61" t="s">
        <v>376</v>
      </c>
      <c r="Q1604" s="61" t="s">
        <v>129</v>
      </c>
      <c r="R1604" s="61" t="s">
        <v>131</v>
      </c>
      <c r="S1604" s="61" t="s">
        <v>131</v>
      </c>
      <c r="T1604" s="61"/>
      <c r="U1604" s="61"/>
      <c r="V1604" s="59" t="s">
        <v>295</v>
      </c>
      <c r="W1604" s="61" t="s">
        <v>26</v>
      </c>
      <c r="X1604" s="61"/>
      <c r="Y1604" s="61"/>
      <c r="Z1604" s="61"/>
      <c r="AA1604" s="61"/>
      <c r="AB1604" s="61"/>
      <c r="AC1604" s="61"/>
      <c r="AD1604" s="59" t="s">
        <v>5</v>
      </c>
    </row>
    <row r="1605" spans="1:30" s="200" customFormat="1" ht="33" customHeight="1" x14ac:dyDescent="0.3">
      <c r="A1605" s="167">
        <v>30</v>
      </c>
      <c r="B1605" s="168">
        <v>77</v>
      </c>
      <c r="C1605" s="203" t="str">
        <f t="shared" si="33"/>
        <v>30.77</v>
      </c>
      <c r="D1605" s="18" t="s">
        <v>1055</v>
      </c>
      <c r="E1605" s="64" t="str">
        <f>IF(ISBLANK(D1605)=TRUE,"",VLOOKUP(D1605,Krav!$C:$F,4,FALSE))</f>
        <v>10.a.1.2.14 -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05" s="29" t="s">
        <v>174</v>
      </c>
      <c r="G1605" s="19"/>
      <c r="H1605" s="76" t="s">
        <v>1432</v>
      </c>
      <c r="I1605" s="68" t="s">
        <v>1425</v>
      </c>
      <c r="J1605" s="68" t="s">
        <v>222</v>
      </c>
      <c r="K1605" s="125" t="s">
        <v>222</v>
      </c>
      <c r="L1605" s="204" t="s">
        <v>3</v>
      </c>
      <c r="M1605" s="61" t="s">
        <v>129</v>
      </c>
      <c r="N1605" s="61" t="s">
        <v>131</v>
      </c>
      <c r="O1605" s="61" t="s">
        <v>96</v>
      </c>
      <c r="P1605" s="61" t="s">
        <v>376</v>
      </c>
      <c r="Q1605" s="61" t="s">
        <v>129</v>
      </c>
      <c r="R1605" s="61" t="s">
        <v>131</v>
      </c>
      <c r="S1605" s="61" t="s">
        <v>131</v>
      </c>
      <c r="T1605" s="61"/>
      <c r="U1605" s="61"/>
      <c r="V1605" s="59" t="s">
        <v>295</v>
      </c>
      <c r="W1605" s="61" t="s">
        <v>166</v>
      </c>
      <c r="X1605" s="61" t="s">
        <v>26</v>
      </c>
      <c r="Y1605" s="61"/>
      <c r="Z1605" s="61"/>
      <c r="AA1605" s="61"/>
      <c r="AB1605" s="61"/>
      <c r="AC1605" s="61"/>
      <c r="AD1605" s="59" t="s">
        <v>5</v>
      </c>
    </row>
    <row r="1606" spans="1:30" s="200" customFormat="1" ht="33" customHeight="1" x14ac:dyDescent="0.3">
      <c r="A1606" s="167">
        <v>30</v>
      </c>
      <c r="B1606" s="168">
        <v>78</v>
      </c>
      <c r="C1606" s="203" t="str">
        <f t="shared" si="33"/>
        <v>30.78</v>
      </c>
      <c r="D1606" s="18" t="s">
        <v>1055</v>
      </c>
      <c r="E1606" s="64" t="str">
        <f>IF(ISBLANK(D1606)=TRUE,"",VLOOKUP(D1606,Krav!$C:$F,4,FALSE))</f>
        <v>10.a.1.2.14 -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06" s="29" t="s">
        <v>174</v>
      </c>
      <c r="G1606" s="53"/>
      <c r="H1606" s="76" t="s">
        <v>1432</v>
      </c>
      <c r="I1606" s="67" t="s">
        <v>1425</v>
      </c>
      <c r="J1606" s="68" t="s">
        <v>222</v>
      </c>
      <c r="K1606" s="125" t="s">
        <v>222</v>
      </c>
      <c r="L1606" s="204" t="s">
        <v>3</v>
      </c>
      <c r="M1606" s="61" t="s">
        <v>129</v>
      </c>
      <c r="N1606" s="61" t="s">
        <v>131</v>
      </c>
      <c r="O1606" s="61" t="s">
        <v>96</v>
      </c>
      <c r="P1606" s="61" t="s">
        <v>376</v>
      </c>
      <c r="Q1606" s="61" t="s">
        <v>129</v>
      </c>
      <c r="R1606" s="61" t="s">
        <v>131</v>
      </c>
      <c r="S1606" s="61" t="s">
        <v>131</v>
      </c>
      <c r="T1606" s="61"/>
      <c r="U1606" s="61"/>
      <c r="V1606" s="59" t="s">
        <v>295</v>
      </c>
      <c r="W1606" s="61" t="s">
        <v>166</v>
      </c>
      <c r="X1606" s="61" t="s">
        <v>166</v>
      </c>
      <c r="Y1606" s="61" t="s">
        <v>580</v>
      </c>
      <c r="Z1606" s="61"/>
      <c r="AA1606" s="61"/>
      <c r="AB1606" s="61"/>
      <c r="AC1606" s="61"/>
      <c r="AD1606" s="59" t="s">
        <v>5</v>
      </c>
    </row>
    <row r="1607" spans="1:30" s="200" customFormat="1" ht="33" customHeight="1" x14ac:dyDescent="0.3">
      <c r="A1607" s="167">
        <v>30</v>
      </c>
      <c r="B1607" s="168">
        <v>79</v>
      </c>
      <c r="C1607" s="203" t="str">
        <f t="shared" si="33"/>
        <v>30.79</v>
      </c>
      <c r="D1607" s="18" t="s">
        <v>1056</v>
      </c>
      <c r="E1607" s="64" t="str">
        <f>IF(ISBLANK(D1607)=TRUE,"",VLOOKUP(D1607,Krav!$C:$F,4,FALSE))</f>
        <v xml:space="preserve">10.a.1.2.15 - Hvis fordringshaver har svaret ”aldrig” i spm. 9, kan der ikke opsættes en FLEX-filter konfiguration for populationen. </v>
      </c>
      <c r="F1607" s="29" t="s">
        <v>174</v>
      </c>
      <c r="G1607" s="19"/>
      <c r="H1607" s="76"/>
      <c r="I1607" s="67" t="s">
        <v>1414</v>
      </c>
      <c r="J1607" s="68" t="s">
        <v>222</v>
      </c>
      <c r="K1607" s="125" t="s">
        <v>222</v>
      </c>
      <c r="L1607" s="204" t="s">
        <v>4</v>
      </c>
      <c r="M1607" s="61" t="s">
        <v>129</v>
      </c>
      <c r="N1607" s="61" t="s">
        <v>131</v>
      </c>
      <c r="O1607" s="61" t="s">
        <v>96</v>
      </c>
      <c r="P1607" s="61" t="s">
        <v>376</v>
      </c>
      <c r="Q1607" s="61" t="s">
        <v>129</v>
      </c>
      <c r="R1607" s="61" t="s">
        <v>131</v>
      </c>
      <c r="S1607" s="61" t="s">
        <v>131</v>
      </c>
      <c r="T1607" s="61"/>
      <c r="U1607" s="61"/>
      <c r="V1607" s="59" t="s">
        <v>295</v>
      </c>
      <c r="W1607" s="61" t="s">
        <v>166</v>
      </c>
      <c r="X1607" s="61" t="s">
        <v>166</v>
      </c>
      <c r="Y1607" s="61" t="s">
        <v>369</v>
      </c>
      <c r="Z1607" s="61"/>
      <c r="AA1607" s="61"/>
      <c r="AB1607" s="61"/>
      <c r="AC1607" s="61"/>
      <c r="AD1607" s="59" t="s">
        <v>5</v>
      </c>
    </row>
    <row r="1608" spans="1:30" s="200" customFormat="1" ht="33" customHeight="1" x14ac:dyDescent="0.3">
      <c r="A1608" s="167">
        <v>30</v>
      </c>
      <c r="B1608" s="168">
        <v>80</v>
      </c>
      <c r="C1608" s="203" t="str">
        <f t="shared" si="33"/>
        <v>30.80</v>
      </c>
      <c r="D1608" s="18" t="s">
        <v>1056</v>
      </c>
      <c r="E1608" s="64" t="str">
        <f>IF(ISBLANK(D1608)=TRUE,"",VLOOKUP(D1608,Krav!$C:$F,4,FALSE))</f>
        <v xml:space="preserve">10.a.1.2.15 - Hvis fordringshaver har svaret ”aldrig” i spm. 9, kan der ikke opsættes en FLEX-filter konfiguration for populationen. </v>
      </c>
      <c r="F1608" s="29" t="s">
        <v>174</v>
      </c>
      <c r="G1608" s="19"/>
      <c r="H1608" s="76" t="s">
        <v>1426</v>
      </c>
      <c r="I1608" s="67" t="s">
        <v>1414</v>
      </c>
      <c r="J1608" s="67" t="s">
        <v>222</v>
      </c>
      <c r="K1608" s="125" t="s">
        <v>222</v>
      </c>
      <c r="L1608" s="204" t="s">
        <v>4</v>
      </c>
      <c r="M1608" s="61" t="s">
        <v>129</v>
      </c>
      <c r="N1608" s="61" t="s">
        <v>131</v>
      </c>
      <c r="O1608" s="61" t="s">
        <v>96</v>
      </c>
      <c r="P1608" s="61" t="s">
        <v>376</v>
      </c>
      <c r="Q1608" s="61" t="s">
        <v>129</v>
      </c>
      <c r="R1608" s="61" t="s">
        <v>131</v>
      </c>
      <c r="S1608" s="61" t="s">
        <v>131</v>
      </c>
      <c r="T1608" s="61"/>
      <c r="U1608" s="61"/>
      <c r="V1608" s="61" t="s">
        <v>303</v>
      </c>
      <c r="W1608" s="61"/>
      <c r="X1608" s="61"/>
      <c r="Y1608" s="61"/>
      <c r="Z1608" s="61"/>
      <c r="AA1608" s="61"/>
      <c r="AB1608" s="61"/>
      <c r="AC1608" s="61"/>
      <c r="AD1608" s="59" t="s">
        <v>5</v>
      </c>
    </row>
    <row r="1609" spans="1:30" s="200" customFormat="1" ht="33" customHeight="1" x14ac:dyDescent="0.3">
      <c r="A1609" s="167">
        <v>30</v>
      </c>
      <c r="B1609" s="168">
        <v>81</v>
      </c>
      <c r="C1609" s="203" t="str">
        <f t="shared" si="33"/>
        <v>30.81</v>
      </c>
      <c r="D1609" s="18" t="s">
        <v>1052</v>
      </c>
      <c r="E1609" s="64" t="str">
        <f>IF(ISBLANK(D1609)=TRUE,"",VLOOKUP(D1609,Krav!$C:$F,4,FALSE))</f>
        <v>10.a.1.2.11 - Hvis der er svaret "I visse tilfælde" i spørgsmål 9 og hvis der er svaret "Ja" i enten 9.b.1, 9.b.2.1 eller 9.b.2.2.1 skal brugeren ledes til spørgsmål 11</v>
      </c>
      <c r="F1609" s="53" t="s">
        <v>143</v>
      </c>
      <c r="G1609" s="53" t="s">
        <v>1427</v>
      </c>
      <c r="H1609" s="76" t="s">
        <v>1433</v>
      </c>
      <c r="I1609" s="67" t="s">
        <v>468</v>
      </c>
      <c r="J1609" s="67" t="s">
        <v>222</v>
      </c>
      <c r="K1609" s="125" t="s">
        <v>222</v>
      </c>
      <c r="L1609" s="204" t="s">
        <v>3</v>
      </c>
      <c r="M1609" s="61" t="s">
        <v>129</v>
      </c>
      <c r="N1609" s="61" t="s">
        <v>131</v>
      </c>
      <c r="O1609" s="61" t="s">
        <v>96</v>
      </c>
      <c r="P1609" s="61" t="s">
        <v>376</v>
      </c>
      <c r="Q1609" s="61" t="s">
        <v>129</v>
      </c>
      <c r="R1609" s="61" t="s">
        <v>131</v>
      </c>
      <c r="S1609" s="61" t="s">
        <v>131</v>
      </c>
      <c r="T1609" s="61"/>
      <c r="U1609" s="61"/>
      <c r="V1609" s="59" t="s">
        <v>295</v>
      </c>
      <c r="W1609" s="61" t="s">
        <v>26</v>
      </c>
      <c r="X1609" s="61"/>
      <c r="Y1609" s="61"/>
      <c r="Z1609" s="61"/>
      <c r="AA1609" s="61"/>
      <c r="AB1609" s="61"/>
      <c r="AC1609" s="61"/>
      <c r="AD1609" s="59" t="s">
        <v>5</v>
      </c>
    </row>
    <row r="1610" spans="1:30" s="200" customFormat="1" ht="33" customHeight="1" x14ac:dyDescent="0.3">
      <c r="A1610" s="167">
        <v>30</v>
      </c>
      <c r="B1610" s="168">
        <v>82</v>
      </c>
      <c r="C1610" s="203" t="str">
        <f t="shared" si="33"/>
        <v>30.82</v>
      </c>
      <c r="D1610" s="18" t="s">
        <v>1052</v>
      </c>
      <c r="E1610" s="64" t="str">
        <f>IF(ISBLANK(D1610)=TRUE,"",VLOOKUP(D1610,Krav!$C:$F,4,FALSE))</f>
        <v>10.a.1.2.11 - Hvis der er svaret "I visse tilfælde" i spørgsmål 9 og hvis der er svaret "Ja" i enten 9.b.1, 9.b.2.1 eller 9.b.2.2.1 skal brugeren ledes til spørgsmål 11</v>
      </c>
      <c r="F1610" s="53" t="s">
        <v>143</v>
      </c>
      <c r="G1610" s="53" t="s">
        <v>1427</v>
      </c>
      <c r="H1610" s="76" t="s">
        <v>1433</v>
      </c>
      <c r="I1610" s="67" t="s">
        <v>468</v>
      </c>
      <c r="J1610" s="67" t="s">
        <v>222</v>
      </c>
      <c r="K1610" s="125" t="s">
        <v>222</v>
      </c>
      <c r="L1610" s="204" t="s">
        <v>3</v>
      </c>
      <c r="M1610" s="61" t="s">
        <v>129</v>
      </c>
      <c r="N1610" s="61" t="s">
        <v>131</v>
      </c>
      <c r="O1610" s="61" t="s">
        <v>96</v>
      </c>
      <c r="P1610" s="61" t="s">
        <v>376</v>
      </c>
      <c r="Q1610" s="61" t="s">
        <v>129</v>
      </c>
      <c r="R1610" s="61" t="s">
        <v>131</v>
      </c>
      <c r="S1610" s="61" t="s">
        <v>131</v>
      </c>
      <c r="T1610" s="61"/>
      <c r="U1610" s="61"/>
      <c r="V1610" s="59" t="s">
        <v>295</v>
      </c>
      <c r="W1610" s="61" t="s">
        <v>166</v>
      </c>
      <c r="X1610" s="61" t="s">
        <v>26</v>
      </c>
      <c r="Y1610" s="61"/>
      <c r="Z1610" s="61"/>
      <c r="AA1610" s="61"/>
      <c r="AB1610" s="61"/>
      <c r="AC1610" s="61"/>
      <c r="AD1610" s="59" t="s">
        <v>5</v>
      </c>
    </row>
    <row r="1611" spans="1:30" s="200" customFormat="1" ht="33" customHeight="1" x14ac:dyDescent="0.3">
      <c r="A1611" s="167">
        <v>30</v>
      </c>
      <c r="B1611" s="168">
        <v>83</v>
      </c>
      <c r="C1611" s="203" t="str">
        <f t="shared" si="33"/>
        <v>30.83</v>
      </c>
      <c r="D1611" s="18" t="s">
        <v>1052</v>
      </c>
      <c r="E1611" s="64" t="str">
        <f>IF(ISBLANK(D1611)=TRUE,"",VLOOKUP(D1611,Krav!$C:$F,4,FALSE))</f>
        <v>10.a.1.2.11 - Hvis der er svaret "I visse tilfælde" i spørgsmål 9 og hvis der er svaret "Ja" i enten 9.b.1, 9.b.2.1 eller 9.b.2.2.1 skal brugeren ledes til spørgsmål 11</v>
      </c>
      <c r="F1611" s="53" t="s">
        <v>143</v>
      </c>
      <c r="G1611" s="53" t="s">
        <v>1427</v>
      </c>
      <c r="H1611" s="76" t="s">
        <v>1433</v>
      </c>
      <c r="I1611" s="67" t="s">
        <v>468</v>
      </c>
      <c r="J1611" s="67" t="s">
        <v>222</v>
      </c>
      <c r="K1611" s="125" t="s">
        <v>222</v>
      </c>
      <c r="L1611" s="206" t="s">
        <v>3</v>
      </c>
      <c r="M1611" s="61" t="s">
        <v>129</v>
      </c>
      <c r="N1611" s="61" t="s">
        <v>131</v>
      </c>
      <c r="O1611" s="61" t="s">
        <v>96</v>
      </c>
      <c r="P1611" s="61" t="s">
        <v>376</v>
      </c>
      <c r="Q1611" s="61" t="s">
        <v>129</v>
      </c>
      <c r="R1611" s="61" t="s">
        <v>131</v>
      </c>
      <c r="S1611" s="61" t="s">
        <v>131</v>
      </c>
      <c r="T1611" s="61"/>
      <c r="U1611" s="61"/>
      <c r="V1611" s="59" t="s">
        <v>295</v>
      </c>
      <c r="W1611" s="61" t="s">
        <v>166</v>
      </c>
      <c r="X1611" s="61" t="s">
        <v>166</v>
      </c>
      <c r="Y1611" s="61" t="s">
        <v>580</v>
      </c>
      <c r="Z1611" s="61"/>
      <c r="AA1611" s="61"/>
      <c r="AB1611" s="61"/>
      <c r="AC1611" s="61"/>
      <c r="AD1611" s="59" t="s">
        <v>5</v>
      </c>
    </row>
    <row r="1612" spans="1:30" s="200" customFormat="1" ht="33" customHeight="1" x14ac:dyDescent="0.3">
      <c r="A1612" s="167">
        <v>30</v>
      </c>
      <c r="B1612" s="168">
        <v>84</v>
      </c>
      <c r="C1612" s="203" t="str">
        <f t="shared" si="33"/>
        <v>30.84</v>
      </c>
      <c r="D1612" s="18"/>
      <c r="E1612" s="64" t="str">
        <f>IF(ISBLANK(D1612)=TRUE,"",VLOOKUP(D1612,Krav!$C:$F,4,FALSE))</f>
        <v/>
      </c>
      <c r="F1612" s="53" t="s">
        <v>143</v>
      </c>
      <c r="G1612" s="53" t="s">
        <v>1427</v>
      </c>
      <c r="H1612" s="76" t="s">
        <v>1429</v>
      </c>
      <c r="I1612" s="67" t="s">
        <v>468</v>
      </c>
      <c r="J1612" s="67" t="s">
        <v>222</v>
      </c>
      <c r="K1612" s="125" t="s">
        <v>222</v>
      </c>
      <c r="L1612" s="206" t="s">
        <v>3</v>
      </c>
      <c r="M1612" s="61" t="s">
        <v>129</v>
      </c>
      <c r="N1612" s="61" t="s">
        <v>131</v>
      </c>
      <c r="O1612" s="61" t="s">
        <v>96</v>
      </c>
      <c r="P1612" s="61" t="s">
        <v>376</v>
      </c>
      <c r="Q1612" s="61" t="s">
        <v>129</v>
      </c>
      <c r="R1612" s="61" t="s">
        <v>131</v>
      </c>
      <c r="S1612" s="61" t="s">
        <v>131</v>
      </c>
      <c r="T1612" s="61"/>
      <c r="U1612" s="61"/>
      <c r="V1612" s="61" t="s">
        <v>294</v>
      </c>
      <c r="W1612" s="61"/>
      <c r="X1612" s="61"/>
      <c r="Y1612" s="61"/>
      <c r="Z1612" s="61"/>
      <c r="AA1612" s="61"/>
      <c r="AB1612" s="61"/>
      <c r="AC1612" s="61"/>
      <c r="AD1612" s="59" t="s">
        <v>5</v>
      </c>
    </row>
    <row r="1613" spans="1:30" s="200" customFormat="1" ht="33" customHeight="1" x14ac:dyDescent="0.3">
      <c r="A1613" s="167">
        <v>30</v>
      </c>
      <c r="B1613" s="168">
        <v>85</v>
      </c>
      <c r="C1613" s="203" t="str">
        <f t="shared" si="33"/>
        <v>30.85</v>
      </c>
      <c r="D1613" s="18" t="s">
        <v>1052</v>
      </c>
      <c r="E1613" s="64" t="str">
        <f>IF(ISBLANK(D1613)=TRUE,"",VLOOKUP(D1613,Krav!$C:$F,4,FALSE))</f>
        <v>10.a.1.2.11 - Hvis der er svaret "I visse tilfælde" i spørgsmål 9 og hvis der er svaret "Ja" i enten 9.b.1, 9.b.2.1 eller 9.b.2.2.1 skal brugeren ledes til spørgsmål 11</v>
      </c>
      <c r="F1613" s="53" t="s">
        <v>143</v>
      </c>
      <c r="G1613" s="53" t="s">
        <v>1427</v>
      </c>
      <c r="H1613" s="76" t="s">
        <v>1433</v>
      </c>
      <c r="I1613" s="67" t="s">
        <v>565</v>
      </c>
      <c r="J1613" s="67" t="s">
        <v>222</v>
      </c>
      <c r="K1613" s="125" t="s">
        <v>222</v>
      </c>
      <c r="L1613" s="204" t="s">
        <v>3</v>
      </c>
      <c r="M1613" s="61" t="s">
        <v>129</v>
      </c>
      <c r="N1613" s="61" t="s">
        <v>131</v>
      </c>
      <c r="O1613" s="61" t="s">
        <v>96</v>
      </c>
      <c r="P1613" s="61" t="s">
        <v>376</v>
      </c>
      <c r="Q1613" s="61" t="s">
        <v>129</v>
      </c>
      <c r="R1613" s="61" t="s">
        <v>131</v>
      </c>
      <c r="S1613" s="61" t="s">
        <v>131</v>
      </c>
      <c r="T1613" s="61"/>
      <c r="U1613" s="61"/>
      <c r="V1613" s="59" t="s">
        <v>295</v>
      </c>
      <c r="W1613" s="61" t="s">
        <v>26</v>
      </c>
      <c r="X1613" s="61"/>
      <c r="Y1613" s="61"/>
      <c r="Z1613" s="61"/>
      <c r="AA1613" s="61"/>
      <c r="AB1613" s="61" t="s">
        <v>129</v>
      </c>
      <c r="AC1613" s="61"/>
      <c r="AD1613" s="59" t="s">
        <v>5</v>
      </c>
    </row>
    <row r="1614" spans="1:30" s="200" customFormat="1" ht="33" customHeight="1" x14ac:dyDescent="0.3">
      <c r="A1614" s="167">
        <v>30</v>
      </c>
      <c r="B1614" s="168">
        <v>86</v>
      </c>
      <c r="C1614" s="203" t="str">
        <f t="shared" si="33"/>
        <v>30.86</v>
      </c>
      <c r="D1614" s="18" t="s">
        <v>1052</v>
      </c>
      <c r="E1614" s="64" t="str">
        <f>IF(ISBLANK(D1614)=TRUE,"",VLOOKUP(D1614,Krav!$C:$F,4,FALSE))</f>
        <v>10.a.1.2.11 - Hvis der er svaret "I visse tilfælde" i spørgsmål 9 og hvis der er svaret "Ja" i enten 9.b.1, 9.b.2.1 eller 9.b.2.2.1 skal brugeren ledes til spørgsmål 11</v>
      </c>
      <c r="F1614" s="53" t="s">
        <v>143</v>
      </c>
      <c r="G1614" s="53" t="s">
        <v>1427</v>
      </c>
      <c r="H1614" s="76" t="s">
        <v>1433</v>
      </c>
      <c r="I1614" s="67" t="s">
        <v>565</v>
      </c>
      <c r="J1614" s="67" t="s">
        <v>222</v>
      </c>
      <c r="K1614" s="125" t="s">
        <v>222</v>
      </c>
      <c r="L1614" s="204" t="s">
        <v>3</v>
      </c>
      <c r="M1614" s="61" t="s">
        <v>129</v>
      </c>
      <c r="N1614" s="61" t="s">
        <v>131</v>
      </c>
      <c r="O1614" s="61" t="s">
        <v>96</v>
      </c>
      <c r="P1614" s="61" t="s">
        <v>376</v>
      </c>
      <c r="Q1614" s="61" t="s">
        <v>129</v>
      </c>
      <c r="R1614" s="61" t="s">
        <v>131</v>
      </c>
      <c r="S1614" s="61" t="s">
        <v>131</v>
      </c>
      <c r="T1614" s="61"/>
      <c r="U1614" s="61"/>
      <c r="V1614" s="59" t="s">
        <v>295</v>
      </c>
      <c r="W1614" s="61" t="s">
        <v>166</v>
      </c>
      <c r="X1614" s="61" t="s">
        <v>26</v>
      </c>
      <c r="Y1614" s="61"/>
      <c r="Z1614" s="61"/>
      <c r="AA1614" s="61"/>
      <c r="AB1614" s="61" t="s">
        <v>129</v>
      </c>
      <c r="AC1614" s="61"/>
      <c r="AD1614" s="59" t="s">
        <v>5</v>
      </c>
    </row>
    <row r="1615" spans="1:30" s="200" customFormat="1" ht="33" customHeight="1" x14ac:dyDescent="0.3">
      <c r="A1615" s="167">
        <v>30</v>
      </c>
      <c r="B1615" s="168">
        <v>87</v>
      </c>
      <c r="C1615" s="203" t="str">
        <f t="shared" si="33"/>
        <v>30.87</v>
      </c>
      <c r="D1615" s="18" t="s">
        <v>1052</v>
      </c>
      <c r="E1615" s="64" t="str">
        <f>IF(ISBLANK(D1615)=TRUE,"",VLOOKUP(D1615,Krav!$C:$F,4,FALSE))</f>
        <v>10.a.1.2.11 - Hvis der er svaret "I visse tilfælde" i spørgsmål 9 og hvis der er svaret "Ja" i enten 9.b.1, 9.b.2.1 eller 9.b.2.2.1 skal brugeren ledes til spørgsmål 11</v>
      </c>
      <c r="F1615" s="53" t="s">
        <v>143</v>
      </c>
      <c r="G1615" s="53" t="s">
        <v>1427</v>
      </c>
      <c r="H1615" s="76" t="s">
        <v>1433</v>
      </c>
      <c r="I1615" s="67" t="s">
        <v>565</v>
      </c>
      <c r="J1615" s="67" t="s">
        <v>222</v>
      </c>
      <c r="K1615" s="125" t="s">
        <v>222</v>
      </c>
      <c r="L1615" s="206" t="s">
        <v>3</v>
      </c>
      <c r="M1615" s="61" t="s">
        <v>129</v>
      </c>
      <c r="N1615" s="61" t="s">
        <v>131</v>
      </c>
      <c r="O1615" s="61" t="s">
        <v>96</v>
      </c>
      <c r="P1615" s="61" t="s">
        <v>376</v>
      </c>
      <c r="Q1615" s="61" t="s">
        <v>129</v>
      </c>
      <c r="R1615" s="61" t="s">
        <v>131</v>
      </c>
      <c r="S1615" s="61" t="s">
        <v>131</v>
      </c>
      <c r="T1615" s="61"/>
      <c r="U1615" s="61"/>
      <c r="V1615" s="59" t="s">
        <v>295</v>
      </c>
      <c r="W1615" s="61" t="s">
        <v>166</v>
      </c>
      <c r="X1615" s="61" t="s">
        <v>166</v>
      </c>
      <c r="Y1615" s="61" t="s">
        <v>580</v>
      </c>
      <c r="Z1615" s="61"/>
      <c r="AA1615" s="61"/>
      <c r="AB1615" s="61" t="s">
        <v>129</v>
      </c>
      <c r="AC1615" s="61"/>
      <c r="AD1615" s="59" t="s">
        <v>5</v>
      </c>
    </row>
    <row r="1616" spans="1:30" s="200" customFormat="1" ht="33" customHeight="1" x14ac:dyDescent="0.3">
      <c r="A1616" s="167">
        <v>30</v>
      </c>
      <c r="B1616" s="168">
        <v>88</v>
      </c>
      <c r="C1616" s="203" t="str">
        <f t="shared" si="33"/>
        <v>30.88</v>
      </c>
      <c r="D1616" s="18"/>
      <c r="E1616" s="64" t="str">
        <f>IF(ISBLANK(D1616)=TRUE,"",VLOOKUP(D1616,Krav!$C:$F,4,FALSE))</f>
        <v/>
      </c>
      <c r="F1616" s="53" t="s">
        <v>143</v>
      </c>
      <c r="G1616" s="53" t="s">
        <v>1427</v>
      </c>
      <c r="H1616" s="76" t="s">
        <v>1429</v>
      </c>
      <c r="I1616" s="67" t="s">
        <v>565</v>
      </c>
      <c r="J1616" s="67" t="s">
        <v>222</v>
      </c>
      <c r="K1616" s="125" t="s">
        <v>222</v>
      </c>
      <c r="L1616" s="206" t="s">
        <v>3</v>
      </c>
      <c r="M1616" s="61" t="s">
        <v>129</v>
      </c>
      <c r="N1616" s="61" t="s">
        <v>131</v>
      </c>
      <c r="O1616" s="61" t="s">
        <v>96</v>
      </c>
      <c r="P1616" s="61" t="s">
        <v>376</v>
      </c>
      <c r="Q1616" s="61" t="s">
        <v>129</v>
      </c>
      <c r="R1616" s="61" t="s">
        <v>131</v>
      </c>
      <c r="S1616" s="61" t="s">
        <v>131</v>
      </c>
      <c r="T1616" s="61"/>
      <c r="U1616" s="61"/>
      <c r="V1616" s="61" t="s">
        <v>294</v>
      </c>
      <c r="W1616" s="61"/>
      <c r="X1616" s="61"/>
      <c r="Y1616" s="61"/>
      <c r="Z1616" s="61"/>
      <c r="AA1616" s="61"/>
      <c r="AB1616" s="61" t="s">
        <v>129</v>
      </c>
      <c r="AC1616" s="61"/>
      <c r="AD1616" s="59" t="s">
        <v>5</v>
      </c>
    </row>
    <row r="1617" spans="1:30" s="221" customFormat="1" ht="33" customHeight="1" x14ac:dyDescent="0.3">
      <c r="A1617" s="167">
        <v>30</v>
      </c>
      <c r="B1617" s="168">
        <v>89</v>
      </c>
      <c r="C1617" s="210" t="str">
        <f t="shared" si="33"/>
        <v>30.89</v>
      </c>
      <c r="D1617" s="211" t="s">
        <v>771</v>
      </c>
      <c r="E1617" s="64" t="str">
        <f>IF(ISBLANK(D1617)=TRUE,"",VLOOKUP(D1617,Krav!$C:$F,4,FALSE))</f>
        <v>10.a.1.9 - Det skal være muligt for brugeren, via tekstfelt, at udfylde det antal dage, for hvor lang tid før det [valgte stamdatafelt] kan begyndelsestidspunktet for forældelsesfristens beregning tidligst ligge for den afgrænsede population.</v>
      </c>
      <c r="F1617" s="213" t="s">
        <v>174</v>
      </c>
      <c r="G1617" s="214"/>
      <c r="H1617" s="215" t="s">
        <v>1434</v>
      </c>
      <c r="I1617" s="216" t="s">
        <v>1414</v>
      </c>
      <c r="J1617" s="217" t="s">
        <v>222</v>
      </c>
      <c r="K1617" s="125" t="s">
        <v>222</v>
      </c>
      <c r="L1617" s="218" t="s">
        <v>4</v>
      </c>
      <c r="M1617" s="219" t="s">
        <v>131</v>
      </c>
      <c r="N1617" s="219" t="s">
        <v>131</v>
      </c>
      <c r="O1617" s="219"/>
      <c r="P1617" s="219"/>
      <c r="Q1617" s="219"/>
      <c r="R1617" s="219"/>
      <c r="S1617" s="219"/>
      <c r="T1617" s="219"/>
      <c r="U1617" s="219"/>
      <c r="V1617" s="219"/>
      <c r="W1617" s="219"/>
      <c r="X1617" s="219"/>
      <c r="Y1617" s="219"/>
      <c r="Z1617" s="219"/>
      <c r="AA1617" s="219"/>
      <c r="AB1617" s="219"/>
      <c r="AC1617" s="219"/>
      <c r="AD1617" s="220" t="s">
        <v>5</v>
      </c>
    </row>
    <row r="1618" spans="1:30" s="221" customFormat="1" ht="33" customHeight="1" x14ac:dyDescent="0.3">
      <c r="A1618" s="167">
        <v>30</v>
      </c>
      <c r="B1618" s="168">
        <v>90</v>
      </c>
      <c r="C1618" s="210" t="str">
        <f t="shared" si="33"/>
        <v>30.90</v>
      </c>
      <c r="D1618" s="211" t="s">
        <v>771</v>
      </c>
      <c r="E1618" s="64" t="str">
        <f>IF(ISBLANK(D1618)=TRUE,"",VLOOKUP(D1618,Krav!$C:$F,4,FALSE))</f>
        <v>10.a.1.9 - Det skal være muligt for brugeren, via tekstfelt, at udfylde det antal dage, for hvor lang tid før det [valgte stamdatafelt] kan begyndelsestidspunktet for forældelsesfristens beregning tidligst ligge for den afgrænsede population.</v>
      </c>
      <c r="F1618" s="213" t="s">
        <v>418</v>
      </c>
      <c r="G1618" s="213" t="s">
        <v>419</v>
      </c>
      <c r="H1618" s="215" t="s">
        <v>1435</v>
      </c>
      <c r="I1618" s="216" t="s">
        <v>129</v>
      </c>
      <c r="J1618" s="217" t="s">
        <v>222</v>
      </c>
      <c r="K1618" s="123" t="s">
        <v>222</v>
      </c>
      <c r="L1618" s="222" t="s">
        <v>3</v>
      </c>
      <c r="M1618" s="219" t="s">
        <v>131</v>
      </c>
      <c r="N1618" s="219" t="s">
        <v>131</v>
      </c>
      <c r="O1618" s="219"/>
      <c r="P1618" s="219"/>
      <c r="Q1618" s="219"/>
      <c r="R1618" s="219"/>
      <c r="S1618" s="219"/>
      <c r="T1618" s="219"/>
      <c r="U1618" s="219"/>
      <c r="V1618" s="219"/>
      <c r="W1618" s="219"/>
      <c r="X1618" s="219"/>
      <c r="Y1618" s="219"/>
      <c r="Z1618" s="219"/>
      <c r="AA1618" s="219"/>
      <c r="AB1618" s="219"/>
      <c r="AC1618" s="219"/>
      <c r="AD1618" s="220" t="s">
        <v>5</v>
      </c>
    </row>
    <row r="1619" spans="1:30" s="221" customFormat="1" ht="33" customHeight="1" x14ac:dyDescent="0.3">
      <c r="A1619" s="167">
        <v>30</v>
      </c>
      <c r="B1619" s="168">
        <v>91</v>
      </c>
      <c r="C1619" s="210" t="str">
        <f t="shared" si="33"/>
        <v>30.91</v>
      </c>
      <c r="D1619" s="211" t="s">
        <v>803</v>
      </c>
      <c r="E1619" s="64" t="str">
        <f>IF(ISBLANK(D1619)=TRUE,"",VLOOKUP(D1619,Krav!$C:$F,4,FALSE))</f>
        <v>10.a.1.1.13 - Der skal fremgå en infoboks med teksten: ”Normalt” er fordringer undergivet en 3 års forældelsesfrist”.</v>
      </c>
      <c r="F1619" s="213" t="s">
        <v>228</v>
      </c>
      <c r="G1619" s="223" t="s">
        <v>230</v>
      </c>
      <c r="H1619" s="215" t="s">
        <v>1436</v>
      </c>
      <c r="I1619" s="216" t="s">
        <v>1437</v>
      </c>
      <c r="J1619" s="217" t="s">
        <v>222</v>
      </c>
      <c r="K1619" s="123" t="s">
        <v>222</v>
      </c>
      <c r="L1619" s="222" t="s">
        <v>3</v>
      </c>
      <c r="M1619" s="219"/>
      <c r="N1619" s="219"/>
      <c r="O1619" s="219"/>
      <c r="P1619" s="219"/>
      <c r="Q1619" s="219"/>
      <c r="R1619" s="219"/>
      <c r="S1619" s="219"/>
      <c r="T1619" s="219"/>
      <c r="U1619" s="219"/>
      <c r="V1619" s="219"/>
      <c r="W1619" s="219"/>
      <c r="X1619" s="219"/>
      <c r="Y1619" s="219"/>
      <c r="Z1619" s="219"/>
      <c r="AA1619" s="219"/>
      <c r="AB1619" s="219"/>
      <c r="AC1619" s="219"/>
      <c r="AD1619" s="220" t="s">
        <v>5</v>
      </c>
    </row>
    <row r="1620" spans="1:30" s="221" customFormat="1" ht="33" customHeight="1" x14ac:dyDescent="0.3">
      <c r="A1620" s="167">
        <v>30</v>
      </c>
      <c r="B1620" s="168">
        <v>92</v>
      </c>
      <c r="C1620" s="210" t="str">
        <f t="shared" si="33"/>
        <v>30.92</v>
      </c>
      <c r="D1620" s="211" t="s">
        <v>1086</v>
      </c>
      <c r="E1620" s="64" t="str">
        <f>IF(ISBLANK(D1620)=TRUE,"",VLOOKUP(D1620,Krav!$C:$F,4,FALSE))</f>
        <v>10.a.2.15 - Der skal være en infoboks med teksten: "Hvis begyndelsestidspunktet kan ligge samme dag som indholdet af stamdatafeltet svares 0 dage."</v>
      </c>
      <c r="F1620" s="213" t="s">
        <v>228</v>
      </c>
      <c r="G1620" s="223" t="s">
        <v>231</v>
      </c>
      <c r="H1620" s="215" t="s">
        <v>1438</v>
      </c>
      <c r="I1620" s="216" t="s">
        <v>1439</v>
      </c>
      <c r="J1620" s="217" t="s">
        <v>222</v>
      </c>
      <c r="K1620" s="123" t="s">
        <v>222</v>
      </c>
      <c r="L1620" s="222" t="s">
        <v>3</v>
      </c>
      <c r="M1620" s="219"/>
      <c r="N1620" s="219"/>
      <c r="O1620" s="219"/>
      <c r="P1620" s="219"/>
      <c r="Q1620" s="219"/>
      <c r="R1620" s="219"/>
      <c r="S1620" s="219"/>
      <c r="T1620" s="219"/>
      <c r="U1620" s="219"/>
      <c r="V1620" s="219"/>
      <c r="W1620" s="219"/>
      <c r="X1620" s="219"/>
      <c r="Y1620" s="219"/>
      <c r="Z1620" s="219"/>
      <c r="AA1620" s="219"/>
      <c r="AB1620" s="219"/>
      <c r="AC1620" s="219"/>
      <c r="AD1620" s="220" t="s">
        <v>5</v>
      </c>
    </row>
    <row r="1621" spans="1:30" s="234" customFormat="1" ht="33" customHeight="1" x14ac:dyDescent="0.3">
      <c r="A1621" s="167">
        <v>30</v>
      </c>
      <c r="B1621" s="168">
        <v>93</v>
      </c>
      <c r="C1621" s="226" t="str">
        <f t="shared" si="33"/>
        <v>30.93</v>
      </c>
      <c r="D1621" s="227" t="s">
        <v>1105</v>
      </c>
      <c r="E1621" s="64" t="str">
        <f>IF(ISBLANK(D1621)=TRUE,"",VLOOKUP(D1621,Krav!$C:$F,4,FALSE))</f>
        <v>10.a.2.1.1.3 - Gruppe 1 aktiveres</v>
      </c>
      <c r="F1621" s="228" t="s">
        <v>227</v>
      </c>
      <c r="G1621" s="228"/>
      <c r="H1621" s="229" t="s">
        <v>1440</v>
      </c>
      <c r="I1621" s="230" t="s">
        <v>240</v>
      </c>
      <c r="J1621" s="230" t="s">
        <v>222</v>
      </c>
      <c r="K1621" s="125" t="s">
        <v>222</v>
      </c>
      <c r="L1621" s="231" t="s">
        <v>3</v>
      </c>
      <c r="M1621" s="232" t="s">
        <v>131</v>
      </c>
      <c r="N1621" s="232" t="s">
        <v>129</v>
      </c>
      <c r="O1621" s="232" t="s">
        <v>376</v>
      </c>
      <c r="P1621" s="232" t="s">
        <v>376</v>
      </c>
      <c r="Q1621" s="232" t="s">
        <v>131</v>
      </c>
      <c r="R1621" s="232" t="s">
        <v>131</v>
      </c>
      <c r="S1621" s="232" t="s">
        <v>131</v>
      </c>
      <c r="T1621" s="232" t="s">
        <v>412</v>
      </c>
      <c r="U1621" s="232"/>
      <c r="V1621" s="232"/>
      <c r="W1621" s="232"/>
      <c r="X1621" s="232"/>
      <c r="Y1621" s="232"/>
      <c r="Z1621" s="232"/>
      <c r="AA1621" s="232"/>
      <c r="AB1621" s="232"/>
      <c r="AC1621" s="232"/>
      <c r="AD1621" s="233" t="s">
        <v>5</v>
      </c>
    </row>
    <row r="1622" spans="1:30" s="234" customFormat="1" ht="33" customHeight="1" x14ac:dyDescent="0.3">
      <c r="A1622" s="167">
        <v>30</v>
      </c>
      <c r="B1622" s="168">
        <v>94</v>
      </c>
      <c r="C1622" s="226" t="str">
        <f t="shared" si="33"/>
        <v>30.94</v>
      </c>
      <c r="D1622" s="227"/>
      <c r="E1622" s="64" t="str">
        <f>IF(ISBLANK(D1622)=TRUE,"",VLOOKUP(D1622,Krav!$C:$F,4,FALSE))</f>
        <v/>
      </c>
      <c r="F1622" s="228" t="s">
        <v>225</v>
      </c>
      <c r="G1622" s="235" t="s">
        <v>1389</v>
      </c>
      <c r="H1622" s="235" t="s">
        <v>158</v>
      </c>
      <c r="I1622" s="230" t="s">
        <v>1400</v>
      </c>
      <c r="J1622" s="236" t="s">
        <v>222</v>
      </c>
      <c r="K1622" s="125" t="s">
        <v>222</v>
      </c>
      <c r="L1622" s="231" t="s">
        <v>3</v>
      </c>
      <c r="M1622" s="232" t="s">
        <v>131</v>
      </c>
      <c r="N1622" s="232" t="s">
        <v>129</v>
      </c>
      <c r="O1622" s="232" t="s">
        <v>376</v>
      </c>
      <c r="P1622" s="232" t="s">
        <v>96</v>
      </c>
      <c r="Q1622" s="232" t="s">
        <v>131</v>
      </c>
      <c r="R1622" s="232" t="s">
        <v>131</v>
      </c>
      <c r="S1622" s="232" t="s">
        <v>129</v>
      </c>
      <c r="T1622" s="232"/>
      <c r="U1622" s="232"/>
      <c r="V1622" s="232"/>
      <c r="W1622" s="232"/>
      <c r="X1622" s="232"/>
      <c r="Y1622" s="232"/>
      <c r="Z1622" s="232"/>
      <c r="AA1622" s="232"/>
      <c r="AB1622" s="232"/>
      <c r="AC1622" s="232"/>
      <c r="AD1622" s="233" t="s">
        <v>5</v>
      </c>
    </row>
    <row r="1623" spans="1:30" s="234" customFormat="1" ht="16.5" customHeight="1" x14ac:dyDescent="0.3">
      <c r="A1623" s="167">
        <v>30</v>
      </c>
      <c r="B1623" s="168">
        <v>95</v>
      </c>
      <c r="C1623" s="226" t="str">
        <f t="shared" si="33"/>
        <v>30.95</v>
      </c>
      <c r="D1623" s="227" t="s">
        <v>1141</v>
      </c>
      <c r="E1623" s="64" t="str">
        <f>IF(ISBLANK(D1623)=TRUE,"",VLOOKUP(D1623,Krav!$C:$F,4,FALSE))</f>
        <v>10.a.2.1.1.39 - Hvis FordringsStartDato ikke er valgt: Regel R0055 deaktiveres</v>
      </c>
      <c r="F1623" s="228" t="s">
        <v>226</v>
      </c>
      <c r="G1623" s="228" t="s">
        <v>313</v>
      </c>
      <c r="H1623" s="229" t="s">
        <v>1441</v>
      </c>
      <c r="I1623" s="230" t="s">
        <v>1402</v>
      </c>
      <c r="J1623" s="237" t="s">
        <v>222</v>
      </c>
      <c r="K1623" s="125" t="s">
        <v>222</v>
      </c>
      <c r="L1623" s="231" t="s">
        <v>3</v>
      </c>
      <c r="M1623" s="232" t="s">
        <v>131</v>
      </c>
      <c r="N1623" s="232" t="s">
        <v>129</v>
      </c>
      <c r="O1623" s="232" t="s">
        <v>376</v>
      </c>
      <c r="P1623" s="232" t="s">
        <v>96</v>
      </c>
      <c r="Q1623" s="232" t="s">
        <v>131</v>
      </c>
      <c r="R1623" s="232" t="s">
        <v>131</v>
      </c>
      <c r="S1623" s="232" t="s">
        <v>129</v>
      </c>
      <c r="T1623" s="232"/>
      <c r="U1623" s="232" t="s">
        <v>1308</v>
      </c>
      <c r="V1623" s="232"/>
      <c r="W1623" s="232"/>
      <c r="X1623" s="232"/>
      <c r="Y1623" s="232"/>
      <c r="Z1623" s="232"/>
      <c r="AA1623" s="232"/>
      <c r="AB1623" s="232"/>
      <c r="AC1623" s="232"/>
      <c r="AD1623" s="233" t="s">
        <v>5</v>
      </c>
    </row>
    <row r="1624" spans="1:30" s="234" customFormat="1" ht="33" customHeight="1" x14ac:dyDescent="0.3">
      <c r="A1624" s="167">
        <v>30</v>
      </c>
      <c r="B1624" s="168">
        <v>96</v>
      </c>
      <c r="C1624" s="226" t="str">
        <f t="shared" si="33"/>
        <v>30.96</v>
      </c>
      <c r="D1624" s="227" t="s">
        <v>1142</v>
      </c>
      <c r="E1624" s="64" t="str">
        <f>IF(ISBLANK(D1624)=TRUE,"",VLOOKUP(D1624,Krav!$C:$F,4,FALSE))</f>
        <v>10.a.2.1.1.40 - Hvis FordringsStartDato ikke er valgt: Regel R0056 deaktiveres</v>
      </c>
      <c r="F1624" s="228" t="s">
        <v>226</v>
      </c>
      <c r="G1624" s="228" t="s">
        <v>313</v>
      </c>
      <c r="H1624" s="229" t="s">
        <v>1442</v>
      </c>
      <c r="I1624" s="230" t="s">
        <v>1402</v>
      </c>
      <c r="J1624" s="237" t="s">
        <v>222</v>
      </c>
      <c r="K1624" s="125" t="s">
        <v>222</v>
      </c>
      <c r="L1624" s="231" t="s">
        <v>3</v>
      </c>
      <c r="M1624" s="232" t="s">
        <v>131</v>
      </c>
      <c r="N1624" s="232" t="s">
        <v>129</v>
      </c>
      <c r="O1624" s="232" t="s">
        <v>376</v>
      </c>
      <c r="P1624" s="232" t="s">
        <v>96</v>
      </c>
      <c r="Q1624" s="232" t="s">
        <v>131</v>
      </c>
      <c r="R1624" s="232" t="s">
        <v>131</v>
      </c>
      <c r="S1624" s="232" t="s">
        <v>129</v>
      </c>
      <c r="T1624" s="232"/>
      <c r="U1624" s="232" t="s">
        <v>1309</v>
      </c>
      <c r="V1624" s="232"/>
      <c r="W1624" s="232"/>
      <c r="X1624" s="232"/>
      <c r="Y1624" s="232"/>
      <c r="Z1624" s="232"/>
      <c r="AA1624" s="232"/>
      <c r="AB1624" s="232"/>
      <c r="AC1624" s="232"/>
      <c r="AD1624" s="233" t="s">
        <v>5</v>
      </c>
    </row>
    <row r="1625" spans="1:30" s="234" customFormat="1" ht="33" customHeight="1" x14ac:dyDescent="0.3">
      <c r="A1625" s="167">
        <v>30</v>
      </c>
      <c r="B1625" s="168">
        <v>97</v>
      </c>
      <c r="C1625" s="226" t="str">
        <f t="shared" si="33"/>
        <v>30.97</v>
      </c>
      <c r="D1625" s="227" t="s">
        <v>1143</v>
      </c>
      <c r="E1625" s="64" t="str">
        <f>IF(ISBLANK(D1625)=TRUE,"",VLOOKUP(D1625,Krav!$C:$F,4,FALSE))</f>
        <v>10.a.2.1.1.41 - Hvis FordringsStartDato ikke er valgt: Regel R0057 deaktiveres</v>
      </c>
      <c r="F1625" s="228" t="s">
        <v>226</v>
      </c>
      <c r="G1625" s="228" t="s">
        <v>313</v>
      </c>
      <c r="H1625" s="229" t="s">
        <v>1441</v>
      </c>
      <c r="I1625" s="230" t="s">
        <v>1402</v>
      </c>
      <c r="J1625" s="230" t="s">
        <v>222</v>
      </c>
      <c r="K1625" s="125" t="s">
        <v>222</v>
      </c>
      <c r="L1625" s="238" t="s">
        <v>3</v>
      </c>
      <c r="M1625" s="232" t="s">
        <v>131</v>
      </c>
      <c r="N1625" s="232" t="s">
        <v>129</v>
      </c>
      <c r="O1625" s="232" t="s">
        <v>376</v>
      </c>
      <c r="P1625" s="232" t="s">
        <v>96</v>
      </c>
      <c r="Q1625" s="232" t="s">
        <v>131</v>
      </c>
      <c r="R1625" s="232" t="s">
        <v>131</v>
      </c>
      <c r="S1625" s="232" t="s">
        <v>129</v>
      </c>
      <c r="T1625" s="232"/>
      <c r="U1625" s="232" t="s">
        <v>1310</v>
      </c>
      <c r="V1625" s="232"/>
      <c r="W1625" s="232"/>
      <c r="X1625" s="232"/>
      <c r="Y1625" s="232"/>
      <c r="Z1625" s="232"/>
      <c r="AA1625" s="232"/>
      <c r="AB1625" s="232"/>
      <c r="AC1625" s="232"/>
      <c r="AD1625" s="233" t="s">
        <v>5</v>
      </c>
    </row>
    <row r="1626" spans="1:30" s="234" customFormat="1" ht="33" customHeight="1" x14ac:dyDescent="0.3">
      <c r="A1626" s="167">
        <v>30</v>
      </c>
      <c r="B1626" s="168">
        <v>98</v>
      </c>
      <c r="C1626" s="226" t="str">
        <f t="shared" si="33"/>
        <v>30.98</v>
      </c>
      <c r="D1626" s="227" t="s">
        <v>1144</v>
      </c>
      <c r="E1626" s="64" t="str">
        <f>IF(ISBLANK(D1626)=TRUE,"",VLOOKUP(D1626,Krav!$C:$F,4,FALSE))</f>
        <v>10.a.2.1.1.42 - Hvis FordringsStartDato ikke er valgt: Regel R0058 deaktiveres</v>
      </c>
      <c r="F1626" s="228" t="s">
        <v>226</v>
      </c>
      <c r="G1626" s="228" t="s">
        <v>313</v>
      </c>
      <c r="H1626" s="229" t="s">
        <v>1441</v>
      </c>
      <c r="I1626" s="230" t="s">
        <v>1402</v>
      </c>
      <c r="J1626" s="230" t="s">
        <v>222</v>
      </c>
      <c r="K1626" s="125" t="s">
        <v>222</v>
      </c>
      <c r="L1626" s="238" t="s">
        <v>3</v>
      </c>
      <c r="M1626" s="232" t="s">
        <v>131</v>
      </c>
      <c r="N1626" s="232" t="s">
        <v>129</v>
      </c>
      <c r="O1626" s="232" t="s">
        <v>376</v>
      </c>
      <c r="P1626" s="232" t="s">
        <v>96</v>
      </c>
      <c r="Q1626" s="232" t="s">
        <v>131</v>
      </c>
      <c r="R1626" s="232" t="s">
        <v>131</v>
      </c>
      <c r="S1626" s="232" t="s">
        <v>129</v>
      </c>
      <c r="T1626" s="232"/>
      <c r="U1626" s="232" t="s">
        <v>1311</v>
      </c>
      <c r="V1626" s="232"/>
      <c r="W1626" s="232"/>
      <c r="X1626" s="232"/>
      <c r="Y1626" s="232"/>
      <c r="Z1626" s="232"/>
      <c r="AA1626" s="232"/>
      <c r="AB1626" s="232"/>
      <c r="AC1626" s="232"/>
      <c r="AD1626" s="233" t="s">
        <v>5</v>
      </c>
    </row>
    <row r="1627" spans="1:30" s="234" customFormat="1" ht="33" customHeight="1" x14ac:dyDescent="0.3">
      <c r="A1627" s="167">
        <v>30</v>
      </c>
      <c r="B1627" s="168">
        <v>99</v>
      </c>
      <c r="C1627" s="226" t="str">
        <f t="shared" si="33"/>
        <v>30.99</v>
      </c>
      <c r="D1627" s="227" t="s">
        <v>1155</v>
      </c>
      <c r="E1627" s="64" t="str">
        <f>IF(ISBLANK(D1627)=TRUE,"",VLOOKUP(D1627,Krav!$C:$F,4,FALSE))</f>
        <v>10.a.2.1.1.53 - Hvis FordringsStartDato ikke er valgt: Regel R0069 deaktiveres</v>
      </c>
      <c r="F1627" s="228" t="s">
        <v>226</v>
      </c>
      <c r="G1627" s="228" t="s">
        <v>313</v>
      </c>
      <c r="H1627" s="229" t="s">
        <v>1441</v>
      </c>
      <c r="I1627" s="230" t="s">
        <v>1402</v>
      </c>
      <c r="J1627" s="230" t="s">
        <v>222</v>
      </c>
      <c r="K1627" s="125" t="s">
        <v>222</v>
      </c>
      <c r="L1627" s="238" t="s">
        <v>3</v>
      </c>
      <c r="M1627" s="232" t="s">
        <v>131</v>
      </c>
      <c r="N1627" s="232" t="s">
        <v>129</v>
      </c>
      <c r="O1627" s="232" t="s">
        <v>376</v>
      </c>
      <c r="P1627" s="232" t="s">
        <v>96</v>
      </c>
      <c r="Q1627" s="232" t="s">
        <v>131</v>
      </c>
      <c r="R1627" s="232" t="s">
        <v>131</v>
      </c>
      <c r="S1627" s="232" t="s">
        <v>129</v>
      </c>
      <c r="T1627" s="232"/>
      <c r="U1627" s="232" t="s">
        <v>1312</v>
      </c>
      <c r="V1627" s="232"/>
      <c r="W1627" s="232"/>
      <c r="X1627" s="232"/>
      <c r="Y1627" s="232"/>
      <c r="Z1627" s="232"/>
      <c r="AA1627" s="232"/>
      <c r="AB1627" s="232"/>
      <c r="AC1627" s="232"/>
      <c r="AD1627" s="233" t="s">
        <v>5</v>
      </c>
    </row>
    <row r="1628" spans="1:30" s="234" customFormat="1" ht="33" customHeight="1" x14ac:dyDescent="0.3">
      <c r="A1628" s="167">
        <v>30</v>
      </c>
      <c r="B1628" s="168">
        <v>100</v>
      </c>
      <c r="C1628" s="226" t="str">
        <f t="shared" si="33"/>
        <v>30.100</v>
      </c>
      <c r="D1628" s="227" t="s">
        <v>1141</v>
      </c>
      <c r="E1628" s="64" t="str">
        <f>IF(ISBLANK(D1628)=TRUE,"",VLOOKUP(D1628,Krav!$C:$F,4,FALSE))</f>
        <v>10.a.2.1.1.39 - Hvis FordringsStartDato ikke er valgt: Regel R0055 deaktiveres</v>
      </c>
      <c r="F1628" s="228" t="s">
        <v>226</v>
      </c>
      <c r="G1628" s="228" t="s">
        <v>313</v>
      </c>
      <c r="H1628" s="229" t="s">
        <v>1441</v>
      </c>
      <c r="I1628" s="230" t="s">
        <v>1403</v>
      </c>
      <c r="J1628" s="237" t="s">
        <v>222</v>
      </c>
      <c r="K1628" s="123" t="s">
        <v>222</v>
      </c>
      <c r="L1628" s="231" t="s">
        <v>3</v>
      </c>
      <c r="M1628" s="232" t="s">
        <v>131</v>
      </c>
      <c r="N1628" s="232" t="s">
        <v>129</v>
      </c>
      <c r="O1628" s="232" t="s">
        <v>376</v>
      </c>
      <c r="P1628" s="232" t="s">
        <v>376</v>
      </c>
      <c r="Q1628" s="232" t="s">
        <v>131</v>
      </c>
      <c r="R1628" s="232" t="s">
        <v>131</v>
      </c>
      <c r="S1628" s="232" t="s">
        <v>131</v>
      </c>
      <c r="T1628" s="232"/>
      <c r="U1628" s="232" t="s">
        <v>1308</v>
      </c>
      <c r="V1628" s="232"/>
      <c r="W1628" s="232"/>
      <c r="X1628" s="232"/>
      <c r="Y1628" s="232"/>
      <c r="Z1628" s="232"/>
      <c r="AA1628" s="232"/>
      <c r="AB1628" s="232"/>
      <c r="AC1628" s="232"/>
      <c r="AD1628" s="233" t="s">
        <v>5</v>
      </c>
    </row>
    <row r="1629" spans="1:30" s="234" customFormat="1" ht="33" customHeight="1" x14ac:dyDescent="0.3">
      <c r="A1629" s="167">
        <v>30</v>
      </c>
      <c r="B1629" s="168">
        <v>101</v>
      </c>
      <c r="C1629" s="226" t="str">
        <f t="shared" ref="C1629:C1692" si="34">IF(B1629&lt;10,_xlfn.CONCAT(A1629,".0",B1629),_xlfn.CONCAT(A1629,".",B1629))</f>
        <v>30.101</v>
      </c>
      <c r="D1629" s="227" t="s">
        <v>1142</v>
      </c>
      <c r="E1629" s="64" t="str">
        <f>IF(ISBLANK(D1629)=TRUE,"",VLOOKUP(D1629,Krav!$C:$F,4,FALSE))</f>
        <v>10.a.2.1.1.40 - Hvis FordringsStartDato ikke er valgt: Regel R0056 deaktiveres</v>
      </c>
      <c r="F1629" s="228" t="s">
        <v>226</v>
      </c>
      <c r="G1629" s="228" t="s">
        <v>313</v>
      </c>
      <c r="H1629" s="229" t="s">
        <v>1442</v>
      </c>
      <c r="I1629" s="230" t="s">
        <v>1403</v>
      </c>
      <c r="J1629" s="237" t="s">
        <v>222</v>
      </c>
      <c r="K1629" s="123" t="s">
        <v>222</v>
      </c>
      <c r="L1629" s="231" t="s">
        <v>3</v>
      </c>
      <c r="M1629" s="232" t="s">
        <v>131</v>
      </c>
      <c r="N1629" s="232" t="s">
        <v>129</v>
      </c>
      <c r="O1629" s="232" t="s">
        <v>376</v>
      </c>
      <c r="P1629" s="232" t="s">
        <v>376</v>
      </c>
      <c r="Q1629" s="232" t="s">
        <v>131</v>
      </c>
      <c r="R1629" s="232" t="s">
        <v>131</v>
      </c>
      <c r="S1629" s="232" t="s">
        <v>131</v>
      </c>
      <c r="T1629" s="232"/>
      <c r="U1629" s="232" t="s">
        <v>1309</v>
      </c>
      <c r="V1629" s="232"/>
      <c r="W1629" s="232"/>
      <c r="X1629" s="232"/>
      <c r="Y1629" s="232"/>
      <c r="Z1629" s="232"/>
      <c r="AA1629" s="232"/>
      <c r="AB1629" s="232"/>
      <c r="AC1629" s="232"/>
      <c r="AD1629" s="233" t="s">
        <v>5</v>
      </c>
    </row>
    <row r="1630" spans="1:30" s="234" customFormat="1" ht="33" customHeight="1" x14ac:dyDescent="0.3">
      <c r="A1630" s="167">
        <v>30</v>
      </c>
      <c r="B1630" s="168">
        <v>102</v>
      </c>
      <c r="C1630" s="226" t="str">
        <f t="shared" si="34"/>
        <v>30.102</v>
      </c>
      <c r="D1630" s="227" t="s">
        <v>1143</v>
      </c>
      <c r="E1630" s="64" t="str">
        <f>IF(ISBLANK(D1630)=TRUE,"",VLOOKUP(D1630,Krav!$C:$F,4,FALSE))</f>
        <v>10.a.2.1.1.41 - Hvis FordringsStartDato ikke er valgt: Regel R0057 deaktiveres</v>
      </c>
      <c r="F1630" s="228" t="s">
        <v>226</v>
      </c>
      <c r="G1630" s="228" t="s">
        <v>313</v>
      </c>
      <c r="H1630" s="229" t="s">
        <v>1441</v>
      </c>
      <c r="I1630" s="230" t="s">
        <v>1403</v>
      </c>
      <c r="J1630" s="230" t="s">
        <v>222</v>
      </c>
      <c r="K1630" s="123" t="s">
        <v>222</v>
      </c>
      <c r="L1630" s="238" t="s">
        <v>3</v>
      </c>
      <c r="M1630" s="232" t="s">
        <v>131</v>
      </c>
      <c r="N1630" s="232" t="s">
        <v>129</v>
      </c>
      <c r="O1630" s="232" t="s">
        <v>376</v>
      </c>
      <c r="P1630" s="232" t="s">
        <v>376</v>
      </c>
      <c r="Q1630" s="232" t="s">
        <v>131</v>
      </c>
      <c r="R1630" s="232" t="s">
        <v>131</v>
      </c>
      <c r="S1630" s="232" t="s">
        <v>131</v>
      </c>
      <c r="T1630" s="232"/>
      <c r="U1630" s="232" t="s">
        <v>1310</v>
      </c>
      <c r="V1630" s="232"/>
      <c r="W1630" s="232"/>
      <c r="X1630" s="232"/>
      <c r="Y1630" s="232"/>
      <c r="Z1630" s="232"/>
      <c r="AA1630" s="232"/>
      <c r="AB1630" s="232"/>
      <c r="AC1630" s="232"/>
      <c r="AD1630" s="233" t="s">
        <v>5</v>
      </c>
    </row>
    <row r="1631" spans="1:30" s="234" customFormat="1" ht="33" customHeight="1" x14ac:dyDescent="0.3">
      <c r="A1631" s="167">
        <v>30</v>
      </c>
      <c r="B1631" s="168">
        <v>103</v>
      </c>
      <c r="C1631" s="226" t="str">
        <f t="shared" si="34"/>
        <v>30.103</v>
      </c>
      <c r="D1631" s="227" t="s">
        <v>1144</v>
      </c>
      <c r="E1631" s="64" t="str">
        <f>IF(ISBLANK(D1631)=TRUE,"",VLOOKUP(D1631,Krav!$C:$F,4,FALSE))</f>
        <v>10.a.2.1.1.42 - Hvis FordringsStartDato ikke er valgt: Regel R0058 deaktiveres</v>
      </c>
      <c r="F1631" s="228" t="s">
        <v>226</v>
      </c>
      <c r="G1631" s="228" t="s">
        <v>313</v>
      </c>
      <c r="H1631" s="229" t="s">
        <v>1441</v>
      </c>
      <c r="I1631" s="230" t="s">
        <v>1403</v>
      </c>
      <c r="J1631" s="230" t="s">
        <v>222</v>
      </c>
      <c r="K1631" s="123" t="s">
        <v>222</v>
      </c>
      <c r="L1631" s="238" t="s">
        <v>3</v>
      </c>
      <c r="M1631" s="232" t="s">
        <v>131</v>
      </c>
      <c r="N1631" s="232" t="s">
        <v>129</v>
      </c>
      <c r="O1631" s="232" t="s">
        <v>376</v>
      </c>
      <c r="P1631" s="232" t="s">
        <v>376</v>
      </c>
      <c r="Q1631" s="232" t="s">
        <v>131</v>
      </c>
      <c r="R1631" s="232" t="s">
        <v>131</v>
      </c>
      <c r="S1631" s="232" t="s">
        <v>131</v>
      </c>
      <c r="T1631" s="232"/>
      <c r="U1631" s="232" t="s">
        <v>1311</v>
      </c>
      <c r="V1631" s="232"/>
      <c r="W1631" s="232"/>
      <c r="X1631" s="232"/>
      <c r="Y1631" s="232"/>
      <c r="Z1631" s="232"/>
      <c r="AA1631" s="232"/>
      <c r="AB1631" s="232"/>
      <c r="AC1631" s="232"/>
      <c r="AD1631" s="233" t="s">
        <v>5</v>
      </c>
    </row>
    <row r="1632" spans="1:30" s="234" customFormat="1" ht="33" customHeight="1" x14ac:dyDescent="0.3">
      <c r="A1632" s="167">
        <v>30</v>
      </c>
      <c r="B1632" s="168">
        <v>104</v>
      </c>
      <c r="C1632" s="226" t="str">
        <f t="shared" si="34"/>
        <v>30.104</v>
      </c>
      <c r="D1632" s="227" t="s">
        <v>1155</v>
      </c>
      <c r="E1632" s="64" t="str">
        <f>IF(ISBLANK(D1632)=TRUE,"",VLOOKUP(D1632,Krav!$C:$F,4,FALSE))</f>
        <v>10.a.2.1.1.53 - Hvis FordringsStartDato ikke er valgt: Regel R0069 deaktiveres</v>
      </c>
      <c r="F1632" s="228" t="s">
        <v>226</v>
      </c>
      <c r="G1632" s="228" t="s">
        <v>313</v>
      </c>
      <c r="H1632" s="229" t="s">
        <v>1441</v>
      </c>
      <c r="I1632" s="230" t="s">
        <v>1403</v>
      </c>
      <c r="J1632" s="230" t="s">
        <v>222</v>
      </c>
      <c r="K1632" s="123" t="s">
        <v>222</v>
      </c>
      <c r="L1632" s="238" t="s">
        <v>3</v>
      </c>
      <c r="M1632" s="232" t="s">
        <v>131</v>
      </c>
      <c r="N1632" s="232" t="s">
        <v>129</v>
      </c>
      <c r="O1632" s="232" t="s">
        <v>376</v>
      </c>
      <c r="P1632" s="232" t="s">
        <v>376</v>
      </c>
      <c r="Q1632" s="232" t="s">
        <v>131</v>
      </c>
      <c r="R1632" s="232" t="s">
        <v>131</v>
      </c>
      <c r="S1632" s="232" t="s">
        <v>131</v>
      </c>
      <c r="T1632" s="232"/>
      <c r="U1632" s="232" t="s">
        <v>1312</v>
      </c>
      <c r="V1632" s="232"/>
      <c r="W1632" s="232"/>
      <c r="X1632" s="232"/>
      <c r="Y1632" s="232"/>
      <c r="Z1632" s="232"/>
      <c r="AA1632" s="232"/>
      <c r="AB1632" s="232"/>
      <c r="AC1632" s="232"/>
      <c r="AD1632" s="233" t="s">
        <v>5</v>
      </c>
    </row>
    <row r="1633" spans="1:30" s="234" customFormat="1" ht="33" customHeight="1" x14ac:dyDescent="0.3">
      <c r="A1633" s="167">
        <v>30</v>
      </c>
      <c r="B1633" s="168">
        <v>105</v>
      </c>
      <c r="C1633" s="226" t="str">
        <f t="shared" si="34"/>
        <v>30.105</v>
      </c>
      <c r="D1633" s="227" t="s">
        <v>1141</v>
      </c>
      <c r="E1633" s="64" t="str">
        <f>IF(ISBLANK(D1633)=TRUE,"",VLOOKUP(D1633,Krav!$C:$F,4,FALSE))</f>
        <v>10.a.2.1.1.39 - Hvis FordringsStartDato ikke er valgt: Regel R0055 deaktiveres</v>
      </c>
      <c r="F1633" s="228" t="s">
        <v>226</v>
      </c>
      <c r="G1633" s="228" t="s">
        <v>313</v>
      </c>
      <c r="H1633" s="229" t="s">
        <v>1404</v>
      </c>
      <c r="I1633" s="237" t="s">
        <v>408</v>
      </c>
      <c r="J1633" s="237" t="s">
        <v>222</v>
      </c>
      <c r="K1633" s="123" t="s">
        <v>222</v>
      </c>
      <c r="L1633" s="231" t="s">
        <v>4</v>
      </c>
      <c r="M1633" s="232" t="s">
        <v>129</v>
      </c>
      <c r="N1633" s="232" t="s">
        <v>131</v>
      </c>
      <c r="O1633" s="232" t="s">
        <v>1403</v>
      </c>
      <c r="P1633" s="232" t="s">
        <v>1405</v>
      </c>
      <c r="Q1633" s="232" t="s">
        <v>131</v>
      </c>
      <c r="R1633" s="232" t="s">
        <v>131</v>
      </c>
      <c r="S1633" s="232" t="s">
        <v>131</v>
      </c>
      <c r="T1633" s="232"/>
      <c r="U1633" s="232" t="s">
        <v>1308</v>
      </c>
      <c r="V1633" s="232"/>
      <c r="W1633" s="232"/>
      <c r="X1633" s="232"/>
      <c r="Y1633" s="232"/>
      <c r="Z1633" s="232"/>
      <c r="AA1633" s="232"/>
      <c r="AB1633" s="232"/>
      <c r="AC1633" s="232"/>
      <c r="AD1633" s="233" t="s">
        <v>5</v>
      </c>
    </row>
    <row r="1634" spans="1:30" s="234" customFormat="1" ht="33" customHeight="1" x14ac:dyDescent="0.3">
      <c r="A1634" s="167">
        <v>30</v>
      </c>
      <c r="B1634" s="168">
        <v>106</v>
      </c>
      <c r="C1634" s="226" t="str">
        <f t="shared" si="34"/>
        <v>30.106</v>
      </c>
      <c r="D1634" s="227" t="s">
        <v>1142</v>
      </c>
      <c r="E1634" s="64" t="str">
        <f>IF(ISBLANK(D1634)=TRUE,"",VLOOKUP(D1634,Krav!$C:$F,4,FALSE))</f>
        <v>10.a.2.1.1.40 - Hvis FordringsStartDato ikke er valgt: Regel R0056 deaktiveres</v>
      </c>
      <c r="F1634" s="228" t="s">
        <v>226</v>
      </c>
      <c r="G1634" s="228" t="s">
        <v>313</v>
      </c>
      <c r="H1634" s="229" t="s">
        <v>1404</v>
      </c>
      <c r="I1634" s="237" t="s">
        <v>408</v>
      </c>
      <c r="J1634" s="237" t="s">
        <v>222</v>
      </c>
      <c r="K1634" s="123" t="s">
        <v>222</v>
      </c>
      <c r="L1634" s="231" t="s">
        <v>4</v>
      </c>
      <c r="M1634" s="232" t="s">
        <v>129</v>
      </c>
      <c r="N1634" s="232" t="s">
        <v>131</v>
      </c>
      <c r="O1634" s="232" t="s">
        <v>1403</v>
      </c>
      <c r="P1634" s="232" t="s">
        <v>1405</v>
      </c>
      <c r="Q1634" s="232" t="s">
        <v>131</v>
      </c>
      <c r="R1634" s="232" t="s">
        <v>131</v>
      </c>
      <c r="S1634" s="232" t="s">
        <v>131</v>
      </c>
      <c r="T1634" s="232"/>
      <c r="U1634" s="232" t="s">
        <v>1309</v>
      </c>
      <c r="V1634" s="232"/>
      <c r="W1634" s="232"/>
      <c r="X1634" s="232"/>
      <c r="Y1634" s="232"/>
      <c r="Z1634" s="232"/>
      <c r="AA1634" s="232"/>
      <c r="AB1634" s="232"/>
      <c r="AC1634" s="232"/>
      <c r="AD1634" s="233" t="s">
        <v>5</v>
      </c>
    </row>
    <row r="1635" spans="1:30" s="234" customFormat="1" ht="33" customHeight="1" x14ac:dyDescent="0.3">
      <c r="A1635" s="167">
        <v>30</v>
      </c>
      <c r="B1635" s="168">
        <v>107</v>
      </c>
      <c r="C1635" s="226" t="str">
        <f t="shared" si="34"/>
        <v>30.107</v>
      </c>
      <c r="D1635" s="227" t="s">
        <v>1143</v>
      </c>
      <c r="E1635" s="64" t="str">
        <f>IF(ISBLANK(D1635)=TRUE,"",VLOOKUP(D1635,Krav!$C:$F,4,FALSE))</f>
        <v>10.a.2.1.1.41 - Hvis FordringsStartDato ikke er valgt: Regel R0057 deaktiveres</v>
      </c>
      <c r="F1635" s="228" t="s">
        <v>226</v>
      </c>
      <c r="G1635" s="228" t="s">
        <v>313</v>
      </c>
      <c r="H1635" s="229" t="s">
        <v>1404</v>
      </c>
      <c r="I1635" s="237" t="s">
        <v>408</v>
      </c>
      <c r="J1635" s="230" t="s">
        <v>222</v>
      </c>
      <c r="K1635" s="123" t="s">
        <v>222</v>
      </c>
      <c r="L1635" s="231" t="s">
        <v>4</v>
      </c>
      <c r="M1635" s="232" t="s">
        <v>129</v>
      </c>
      <c r="N1635" s="232" t="s">
        <v>131</v>
      </c>
      <c r="O1635" s="232" t="s">
        <v>1403</v>
      </c>
      <c r="P1635" s="232" t="s">
        <v>1405</v>
      </c>
      <c r="Q1635" s="232" t="s">
        <v>131</v>
      </c>
      <c r="R1635" s="232" t="s">
        <v>131</v>
      </c>
      <c r="S1635" s="232" t="s">
        <v>131</v>
      </c>
      <c r="T1635" s="232"/>
      <c r="U1635" s="232" t="s">
        <v>1310</v>
      </c>
      <c r="V1635" s="232"/>
      <c r="W1635" s="232"/>
      <c r="X1635" s="232"/>
      <c r="Y1635" s="232"/>
      <c r="Z1635" s="232"/>
      <c r="AA1635" s="232"/>
      <c r="AB1635" s="232"/>
      <c r="AC1635" s="232"/>
      <c r="AD1635" s="233" t="s">
        <v>5</v>
      </c>
    </row>
    <row r="1636" spans="1:30" s="234" customFormat="1" ht="33" customHeight="1" x14ac:dyDescent="0.3">
      <c r="A1636" s="167">
        <v>30</v>
      </c>
      <c r="B1636" s="168">
        <v>108</v>
      </c>
      <c r="C1636" s="226" t="str">
        <f t="shared" si="34"/>
        <v>30.108</v>
      </c>
      <c r="D1636" s="227" t="s">
        <v>1144</v>
      </c>
      <c r="E1636" s="64" t="str">
        <f>IF(ISBLANK(D1636)=TRUE,"",VLOOKUP(D1636,Krav!$C:$F,4,FALSE))</f>
        <v>10.a.2.1.1.42 - Hvis FordringsStartDato ikke er valgt: Regel R0058 deaktiveres</v>
      </c>
      <c r="F1636" s="228" t="s">
        <v>226</v>
      </c>
      <c r="G1636" s="228" t="s">
        <v>313</v>
      </c>
      <c r="H1636" s="229" t="s">
        <v>1404</v>
      </c>
      <c r="I1636" s="237" t="s">
        <v>408</v>
      </c>
      <c r="J1636" s="230" t="s">
        <v>222</v>
      </c>
      <c r="K1636" s="123" t="s">
        <v>222</v>
      </c>
      <c r="L1636" s="231" t="s">
        <v>4</v>
      </c>
      <c r="M1636" s="232" t="s">
        <v>129</v>
      </c>
      <c r="N1636" s="232" t="s">
        <v>131</v>
      </c>
      <c r="O1636" s="232" t="s">
        <v>1403</v>
      </c>
      <c r="P1636" s="232" t="s">
        <v>1405</v>
      </c>
      <c r="Q1636" s="232" t="s">
        <v>131</v>
      </c>
      <c r="R1636" s="232" t="s">
        <v>131</v>
      </c>
      <c r="S1636" s="232" t="s">
        <v>131</v>
      </c>
      <c r="T1636" s="232"/>
      <c r="U1636" s="232" t="s">
        <v>1311</v>
      </c>
      <c r="V1636" s="232"/>
      <c r="W1636" s="232"/>
      <c r="X1636" s="232"/>
      <c r="Y1636" s="232"/>
      <c r="Z1636" s="232"/>
      <c r="AA1636" s="232"/>
      <c r="AB1636" s="232"/>
      <c r="AC1636" s="232"/>
      <c r="AD1636" s="233" t="s">
        <v>5</v>
      </c>
    </row>
    <row r="1637" spans="1:30" s="234" customFormat="1" ht="33" customHeight="1" x14ac:dyDescent="0.3">
      <c r="A1637" s="167">
        <v>30</v>
      </c>
      <c r="B1637" s="168">
        <v>109</v>
      </c>
      <c r="C1637" s="226" t="str">
        <f t="shared" si="34"/>
        <v>30.109</v>
      </c>
      <c r="D1637" s="227" t="s">
        <v>1155</v>
      </c>
      <c r="E1637" s="64" t="str">
        <f>IF(ISBLANK(D1637)=TRUE,"",VLOOKUP(D1637,Krav!$C:$F,4,FALSE))</f>
        <v>10.a.2.1.1.53 - Hvis FordringsStartDato ikke er valgt: Regel R0069 deaktiveres</v>
      </c>
      <c r="F1637" s="228" t="s">
        <v>226</v>
      </c>
      <c r="G1637" s="228" t="s">
        <v>313</v>
      </c>
      <c r="H1637" s="229" t="s">
        <v>1404</v>
      </c>
      <c r="I1637" s="237" t="s">
        <v>408</v>
      </c>
      <c r="J1637" s="230" t="s">
        <v>222</v>
      </c>
      <c r="K1637" s="123" t="s">
        <v>222</v>
      </c>
      <c r="L1637" s="231" t="s">
        <v>4</v>
      </c>
      <c r="M1637" s="232" t="s">
        <v>129</v>
      </c>
      <c r="N1637" s="232" t="s">
        <v>131</v>
      </c>
      <c r="O1637" s="232" t="s">
        <v>1403</v>
      </c>
      <c r="P1637" s="232" t="s">
        <v>1405</v>
      </c>
      <c r="Q1637" s="232" t="s">
        <v>131</v>
      </c>
      <c r="R1637" s="232" t="s">
        <v>131</v>
      </c>
      <c r="S1637" s="232" t="s">
        <v>131</v>
      </c>
      <c r="T1637" s="232"/>
      <c r="U1637" s="232" t="s">
        <v>1312</v>
      </c>
      <c r="V1637" s="232"/>
      <c r="W1637" s="232"/>
      <c r="X1637" s="232"/>
      <c r="Y1637" s="232"/>
      <c r="Z1637" s="232"/>
      <c r="AA1637" s="232"/>
      <c r="AB1637" s="232"/>
      <c r="AC1637" s="232"/>
      <c r="AD1637" s="233" t="s">
        <v>5</v>
      </c>
    </row>
    <row r="1638" spans="1:30" s="234" customFormat="1" ht="33" customHeight="1" x14ac:dyDescent="0.3">
      <c r="A1638" s="167">
        <v>30</v>
      </c>
      <c r="B1638" s="168">
        <v>110</v>
      </c>
      <c r="C1638" s="226" t="str">
        <f t="shared" si="34"/>
        <v>30.110</v>
      </c>
      <c r="D1638" s="227" t="s">
        <v>1141</v>
      </c>
      <c r="E1638" s="64" t="str">
        <f>IF(ISBLANK(D1638)=TRUE,"",VLOOKUP(D1638,Krav!$C:$F,4,FALSE))</f>
        <v>10.a.2.1.1.39 - Hvis FordringsStartDato ikke er valgt: Regel R0055 deaktiveres</v>
      </c>
      <c r="F1638" s="228" t="s">
        <v>226</v>
      </c>
      <c r="G1638" s="228" t="s">
        <v>313</v>
      </c>
      <c r="H1638" s="229" t="s">
        <v>1404</v>
      </c>
      <c r="I1638" s="230" t="s">
        <v>410</v>
      </c>
      <c r="J1638" s="237" t="s">
        <v>222</v>
      </c>
      <c r="K1638" s="123" t="s">
        <v>222</v>
      </c>
      <c r="L1638" s="231" t="s">
        <v>4</v>
      </c>
      <c r="M1638" s="232" t="s">
        <v>129</v>
      </c>
      <c r="N1638" s="232" t="s">
        <v>131</v>
      </c>
      <c r="O1638" s="232" t="s">
        <v>1405</v>
      </c>
      <c r="P1638" s="232" t="s">
        <v>1403</v>
      </c>
      <c r="Q1638" s="232" t="s">
        <v>131</v>
      </c>
      <c r="R1638" s="232" t="s">
        <v>131</v>
      </c>
      <c r="S1638" s="232" t="s">
        <v>131</v>
      </c>
      <c r="T1638" s="232"/>
      <c r="U1638" s="232" t="s">
        <v>1308</v>
      </c>
      <c r="V1638" s="232"/>
      <c r="W1638" s="232"/>
      <c r="X1638" s="232"/>
      <c r="Y1638" s="232"/>
      <c r="Z1638" s="232"/>
      <c r="AA1638" s="232"/>
      <c r="AB1638" s="232"/>
      <c r="AC1638" s="232"/>
      <c r="AD1638" s="233" t="s">
        <v>5</v>
      </c>
    </row>
    <row r="1639" spans="1:30" s="234" customFormat="1" ht="33" customHeight="1" x14ac:dyDescent="0.3">
      <c r="A1639" s="167">
        <v>30</v>
      </c>
      <c r="B1639" s="168">
        <v>111</v>
      </c>
      <c r="C1639" s="226" t="str">
        <f t="shared" si="34"/>
        <v>30.111</v>
      </c>
      <c r="D1639" s="227" t="s">
        <v>1142</v>
      </c>
      <c r="E1639" s="64" t="str">
        <f>IF(ISBLANK(D1639)=TRUE,"",VLOOKUP(D1639,Krav!$C:$F,4,FALSE))</f>
        <v>10.a.2.1.1.40 - Hvis FordringsStartDato ikke er valgt: Regel R0056 deaktiveres</v>
      </c>
      <c r="F1639" s="228" t="s">
        <v>226</v>
      </c>
      <c r="G1639" s="228" t="s">
        <v>313</v>
      </c>
      <c r="H1639" s="229" t="s">
        <v>1404</v>
      </c>
      <c r="I1639" s="230" t="s">
        <v>410</v>
      </c>
      <c r="J1639" s="237" t="s">
        <v>222</v>
      </c>
      <c r="K1639" s="123" t="s">
        <v>222</v>
      </c>
      <c r="L1639" s="231" t="s">
        <v>4</v>
      </c>
      <c r="M1639" s="232" t="s">
        <v>129</v>
      </c>
      <c r="N1639" s="232" t="s">
        <v>131</v>
      </c>
      <c r="O1639" s="232" t="s">
        <v>1405</v>
      </c>
      <c r="P1639" s="232" t="s">
        <v>1403</v>
      </c>
      <c r="Q1639" s="232" t="s">
        <v>131</v>
      </c>
      <c r="R1639" s="232" t="s">
        <v>131</v>
      </c>
      <c r="S1639" s="232" t="s">
        <v>131</v>
      </c>
      <c r="T1639" s="232"/>
      <c r="U1639" s="232" t="s">
        <v>1309</v>
      </c>
      <c r="V1639" s="232"/>
      <c r="W1639" s="232"/>
      <c r="X1639" s="232"/>
      <c r="Y1639" s="232"/>
      <c r="Z1639" s="232"/>
      <c r="AA1639" s="232"/>
      <c r="AB1639" s="232"/>
      <c r="AC1639" s="232"/>
      <c r="AD1639" s="233" t="s">
        <v>5</v>
      </c>
    </row>
    <row r="1640" spans="1:30" s="234" customFormat="1" ht="33" customHeight="1" x14ac:dyDescent="0.3">
      <c r="A1640" s="167">
        <v>30</v>
      </c>
      <c r="B1640" s="168">
        <v>112</v>
      </c>
      <c r="C1640" s="226" t="str">
        <f t="shared" si="34"/>
        <v>30.112</v>
      </c>
      <c r="D1640" s="227" t="s">
        <v>1143</v>
      </c>
      <c r="E1640" s="64" t="str">
        <f>IF(ISBLANK(D1640)=TRUE,"",VLOOKUP(D1640,Krav!$C:$F,4,FALSE))</f>
        <v>10.a.2.1.1.41 - Hvis FordringsStartDato ikke er valgt: Regel R0057 deaktiveres</v>
      </c>
      <c r="F1640" s="228" t="s">
        <v>226</v>
      </c>
      <c r="G1640" s="228" t="s">
        <v>313</v>
      </c>
      <c r="H1640" s="229" t="s">
        <v>1404</v>
      </c>
      <c r="I1640" s="230" t="s">
        <v>410</v>
      </c>
      <c r="J1640" s="230" t="s">
        <v>222</v>
      </c>
      <c r="K1640" s="123" t="s">
        <v>222</v>
      </c>
      <c r="L1640" s="231" t="s">
        <v>4</v>
      </c>
      <c r="M1640" s="232" t="s">
        <v>129</v>
      </c>
      <c r="N1640" s="232" t="s">
        <v>131</v>
      </c>
      <c r="O1640" s="232" t="s">
        <v>1405</v>
      </c>
      <c r="P1640" s="232" t="s">
        <v>1403</v>
      </c>
      <c r="Q1640" s="232" t="s">
        <v>131</v>
      </c>
      <c r="R1640" s="232" t="s">
        <v>131</v>
      </c>
      <c r="S1640" s="232" t="s">
        <v>131</v>
      </c>
      <c r="T1640" s="232"/>
      <c r="U1640" s="232" t="s">
        <v>1310</v>
      </c>
      <c r="V1640" s="232"/>
      <c r="W1640" s="232"/>
      <c r="X1640" s="232"/>
      <c r="Y1640" s="232"/>
      <c r="Z1640" s="232"/>
      <c r="AA1640" s="232"/>
      <c r="AB1640" s="232"/>
      <c r="AC1640" s="232"/>
      <c r="AD1640" s="233" t="s">
        <v>5</v>
      </c>
    </row>
    <row r="1641" spans="1:30" s="234" customFormat="1" ht="33" customHeight="1" x14ac:dyDescent="0.3">
      <c r="A1641" s="167">
        <v>30</v>
      </c>
      <c r="B1641" s="168">
        <v>113</v>
      </c>
      <c r="C1641" s="226" t="str">
        <f t="shared" si="34"/>
        <v>30.113</v>
      </c>
      <c r="D1641" s="227" t="s">
        <v>1144</v>
      </c>
      <c r="E1641" s="64" t="str">
        <f>IF(ISBLANK(D1641)=TRUE,"",VLOOKUP(D1641,Krav!$C:$F,4,FALSE))</f>
        <v>10.a.2.1.1.42 - Hvis FordringsStartDato ikke er valgt: Regel R0058 deaktiveres</v>
      </c>
      <c r="F1641" s="228" t="s">
        <v>226</v>
      </c>
      <c r="G1641" s="228" t="s">
        <v>313</v>
      </c>
      <c r="H1641" s="229" t="s">
        <v>1404</v>
      </c>
      <c r="I1641" s="230" t="s">
        <v>410</v>
      </c>
      <c r="J1641" s="230" t="s">
        <v>222</v>
      </c>
      <c r="K1641" s="123" t="s">
        <v>222</v>
      </c>
      <c r="L1641" s="231" t="s">
        <v>4</v>
      </c>
      <c r="M1641" s="232" t="s">
        <v>129</v>
      </c>
      <c r="N1641" s="232" t="s">
        <v>131</v>
      </c>
      <c r="O1641" s="232" t="s">
        <v>1405</v>
      </c>
      <c r="P1641" s="232" t="s">
        <v>1403</v>
      </c>
      <c r="Q1641" s="232" t="s">
        <v>131</v>
      </c>
      <c r="R1641" s="232" t="s">
        <v>131</v>
      </c>
      <c r="S1641" s="232" t="s">
        <v>131</v>
      </c>
      <c r="T1641" s="232"/>
      <c r="U1641" s="232" t="s">
        <v>1311</v>
      </c>
      <c r="V1641" s="232"/>
      <c r="W1641" s="232"/>
      <c r="X1641" s="232"/>
      <c r="Y1641" s="232"/>
      <c r="Z1641" s="232"/>
      <c r="AA1641" s="232"/>
      <c r="AB1641" s="232"/>
      <c r="AC1641" s="232"/>
      <c r="AD1641" s="233" t="s">
        <v>5</v>
      </c>
    </row>
    <row r="1642" spans="1:30" s="234" customFormat="1" ht="33" customHeight="1" x14ac:dyDescent="0.3">
      <c r="A1642" s="167">
        <v>30</v>
      </c>
      <c r="B1642" s="168">
        <v>114</v>
      </c>
      <c r="C1642" s="226" t="str">
        <f t="shared" si="34"/>
        <v>30.114</v>
      </c>
      <c r="D1642" s="227" t="s">
        <v>1155</v>
      </c>
      <c r="E1642" s="64" t="str">
        <f>IF(ISBLANK(D1642)=TRUE,"",VLOOKUP(D1642,Krav!$C:$F,4,FALSE))</f>
        <v>10.a.2.1.1.53 - Hvis FordringsStartDato ikke er valgt: Regel R0069 deaktiveres</v>
      </c>
      <c r="F1642" s="228" t="s">
        <v>226</v>
      </c>
      <c r="G1642" s="228" t="s">
        <v>313</v>
      </c>
      <c r="H1642" s="229" t="s">
        <v>1404</v>
      </c>
      <c r="I1642" s="230" t="s">
        <v>410</v>
      </c>
      <c r="J1642" s="230" t="s">
        <v>222</v>
      </c>
      <c r="K1642" s="123" t="s">
        <v>222</v>
      </c>
      <c r="L1642" s="231" t="s">
        <v>4</v>
      </c>
      <c r="M1642" s="232" t="s">
        <v>129</v>
      </c>
      <c r="N1642" s="232" t="s">
        <v>131</v>
      </c>
      <c r="O1642" s="232" t="s">
        <v>1405</v>
      </c>
      <c r="P1642" s="232" t="s">
        <v>1403</v>
      </c>
      <c r="Q1642" s="232" t="s">
        <v>131</v>
      </c>
      <c r="R1642" s="232" t="s">
        <v>131</v>
      </c>
      <c r="S1642" s="232" t="s">
        <v>131</v>
      </c>
      <c r="T1642" s="232"/>
      <c r="U1642" s="232" t="s">
        <v>1312</v>
      </c>
      <c r="V1642" s="232"/>
      <c r="W1642" s="232"/>
      <c r="X1642" s="232"/>
      <c r="Y1642" s="232"/>
      <c r="Z1642" s="232"/>
      <c r="AA1642" s="232"/>
      <c r="AB1642" s="232"/>
      <c r="AC1642" s="232"/>
      <c r="AD1642" s="233" t="s">
        <v>5</v>
      </c>
    </row>
    <row r="1643" spans="1:30" s="234" customFormat="1" ht="33" customHeight="1" x14ac:dyDescent="0.3">
      <c r="A1643" s="167">
        <v>30</v>
      </c>
      <c r="B1643" s="168">
        <v>115</v>
      </c>
      <c r="C1643" s="226" t="str">
        <f t="shared" si="34"/>
        <v>30.115</v>
      </c>
      <c r="D1643" s="227" t="s">
        <v>1235</v>
      </c>
      <c r="E1643" s="64" t="str">
        <f>IF(ISBLANK(D1643)=TRUE,"",VLOOKUP(D1643,Krav!$C:$F,4,FALSE))</f>
        <v>10.a.2.1.1.108 - Der angives et ”JA” i populationen under ”Vil RIM beregne en tidligst mulig forældelsesdato?”</v>
      </c>
      <c r="F1643" s="228" t="s">
        <v>221</v>
      </c>
      <c r="G1643" s="228"/>
      <c r="H1643" s="229" t="s">
        <v>1406</v>
      </c>
      <c r="I1643" s="230" t="s">
        <v>240</v>
      </c>
      <c r="J1643" s="230" t="s">
        <v>222</v>
      </c>
      <c r="K1643" s="125" t="s">
        <v>222</v>
      </c>
      <c r="L1643" s="238" t="s">
        <v>3</v>
      </c>
      <c r="M1643" s="232" t="s">
        <v>131</v>
      </c>
      <c r="N1643" s="232" t="s">
        <v>129</v>
      </c>
      <c r="O1643" s="232" t="s">
        <v>376</v>
      </c>
      <c r="P1643" s="232" t="s">
        <v>376</v>
      </c>
      <c r="Q1643" s="232" t="s">
        <v>131</v>
      </c>
      <c r="R1643" s="232" t="s">
        <v>131</v>
      </c>
      <c r="S1643" s="232" t="s">
        <v>131</v>
      </c>
      <c r="T1643" s="232"/>
      <c r="U1643" s="232"/>
      <c r="V1643" s="232"/>
      <c r="W1643" s="232"/>
      <c r="X1643" s="232"/>
      <c r="Y1643" s="232"/>
      <c r="Z1643" s="232"/>
      <c r="AA1643" s="232"/>
      <c r="AB1643" s="232"/>
      <c r="AC1643" s="232"/>
      <c r="AD1643" s="233" t="s">
        <v>5</v>
      </c>
    </row>
    <row r="1644" spans="1:30" s="234" customFormat="1" ht="33" customHeight="1" x14ac:dyDescent="0.3">
      <c r="A1644" s="167">
        <v>30</v>
      </c>
      <c r="B1644" s="168">
        <v>116</v>
      </c>
      <c r="C1644" s="226" t="str">
        <f t="shared" si="34"/>
        <v>30.116</v>
      </c>
      <c r="D1644" s="227"/>
      <c r="E1644" s="64" t="str">
        <f>IF(ISBLANK(D1644)=TRUE,"",VLOOKUP(D1644,Krav!$C:$F,4,FALSE))</f>
        <v/>
      </c>
      <c r="F1644" s="228" t="s">
        <v>225</v>
      </c>
      <c r="G1644" s="235" t="s">
        <v>231</v>
      </c>
      <c r="H1644" s="235" t="s">
        <v>158</v>
      </c>
      <c r="I1644" s="230" t="s">
        <v>1443</v>
      </c>
      <c r="J1644" s="230" t="s">
        <v>222</v>
      </c>
      <c r="K1644" s="123" t="s">
        <v>222</v>
      </c>
      <c r="L1644" s="238" t="s">
        <v>3</v>
      </c>
      <c r="M1644" s="232" t="s">
        <v>131</v>
      </c>
      <c r="N1644" s="232" t="s">
        <v>129</v>
      </c>
      <c r="O1644" s="232" t="s">
        <v>376</v>
      </c>
      <c r="P1644" s="232" t="s">
        <v>376</v>
      </c>
      <c r="Q1644" s="232" t="s">
        <v>131</v>
      </c>
      <c r="R1644" s="232" t="s">
        <v>131</v>
      </c>
      <c r="S1644" s="232" t="s">
        <v>131</v>
      </c>
      <c r="T1644" s="232"/>
      <c r="U1644" s="232"/>
      <c r="V1644" s="232"/>
      <c r="W1644" s="232"/>
      <c r="X1644" s="232"/>
      <c r="Y1644" s="232"/>
      <c r="Z1644" s="232"/>
      <c r="AA1644" s="232"/>
      <c r="AB1644" s="232"/>
      <c r="AC1644" s="232"/>
      <c r="AD1644" s="233" t="s">
        <v>5</v>
      </c>
    </row>
    <row r="1645" spans="1:30" s="234" customFormat="1" ht="33" customHeight="1" x14ac:dyDescent="0.3">
      <c r="A1645" s="167">
        <v>30</v>
      </c>
      <c r="B1645" s="168">
        <v>117</v>
      </c>
      <c r="C1645" s="226" t="str">
        <f t="shared" si="34"/>
        <v>30.117</v>
      </c>
      <c r="D1645" s="227"/>
      <c r="E1645" s="64" t="str">
        <f>IF(ISBLANK(D1645)=TRUE,"",VLOOKUP(D1645,Krav!$C:$F,4,FALSE))</f>
        <v/>
      </c>
      <c r="F1645" s="228" t="s">
        <v>225</v>
      </c>
      <c r="G1645" s="235" t="s">
        <v>1388</v>
      </c>
      <c r="H1645" s="235" t="s">
        <v>158</v>
      </c>
      <c r="I1645" s="230" t="s">
        <v>376</v>
      </c>
      <c r="J1645" s="230" t="s">
        <v>222</v>
      </c>
      <c r="K1645" s="123" t="s">
        <v>222</v>
      </c>
      <c r="L1645" s="238" t="s">
        <v>3</v>
      </c>
      <c r="M1645" s="232" t="s">
        <v>131</v>
      </c>
      <c r="N1645" s="232" t="s">
        <v>129</v>
      </c>
      <c r="O1645" s="232" t="s">
        <v>376</v>
      </c>
      <c r="P1645" s="232" t="s">
        <v>376</v>
      </c>
      <c r="Q1645" s="232" t="s">
        <v>131</v>
      </c>
      <c r="R1645" s="232" t="s">
        <v>131</v>
      </c>
      <c r="S1645" s="232" t="s">
        <v>131</v>
      </c>
      <c r="T1645" s="232"/>
      <c r="U1645" s="232"/>
      <c r="V1645" s="232"/>
      <c r="W1645" s="232"/>
      <c r="X1645" s="232"/>
      <c r="Y1645" s="232"/>
      <c r="Z1645" s="232"/>
      <c r="AA1645" s="232"/>
      <c r="AB1645" s="232"/>
      <c r="AC1645" s="232"/>
      <c r="AD1645" s="233" t="s">
        <v>5</v>
      </c>
    </row>
    <row r="1646" spans="1:30" s="234" customFormat="1" ht="33" customHeight="1" x14ac:dyDescent="0.3">
      <c r="A1646" s="167">
        <v>30</v>
      </c>
      <c r="B1646" s="168">
        <v>118</v>
      </c>
      <c r="C1646" s="226" t="str">
        <f t="shared" si="34"/>
        <v>30.118</v>
      </c>
      <c r="D1646" s="227"/>
      <c r="E1646" s="64" t="str">
        <f>IF(ISBLANK(D1646)=TRUE,"",VLOOKUP(D1646,Krav!$C:$F,4,FALSE))</f>
        <v/>
      </c>
      <c r="F1646" s="228" t="s">
        <v>225</v>
      </c>
      <c r="G1646" s="235" t="s">
        <v>1389</v>
      </c>
      <c r="H1646" s="235" t="s">
        <v>158</v>
      </c>
      <c r="I1646" s="230" t="s">
        <v>376</v>
      </c>
      <c r="J1646" s="230" t="s">
        <v>222</v>
      </c>
      <c r="K1646" s="123" t="s">
        <v>222</v>
      </c>
      <c r="L1646" s="238" t="s">
        <v>3</v>
      </c>
      <c r="M1646" s="232" t="s">
        <v>131</v>
      </c>
      <c r="N1646" s="232" t="s">
        <v>129</v>
      </c>
      <c r="O1646" s="232" t="s">
        <v>376</v>
      </c>
      <c r="P1646" s="232" t="s">
        <v>376</v>
      </c>
      <c r="Q1646" s="232" t="s">
        <v>131</v>
      </c>
      <c r="R1646" s="232" t="s">
        <v>131</v>
      </c>
      <c r="S1646" s="232" t="s">
        <v>131</v>
      </c>
      <c r="T1646" s="232"/>
      <c r="U1646" s="232"/>
      <c r="V1646" s="232"/>
      <c r="W1646" s="232"/>
      <c r="X1646" s="232"/>
      <c r="Y1646" s="232"/>
      <c r="Z1646" s="232"/>
      <c r="AA1646" s="232"/>
      <c r="AB1646" s="232"/>
      <c r="AC1646" s="232"/>
      <c r="AD1646" s="233" t="s">
        <v>5</v>
      </c>
    </row>
    <row r="1647" spans="1:30" s="234" customFormat="1" ht="33" customHeight="1" x14ac:dyDescent="0.3">
      <c r="A1647" s="167">
        <v>30</v>
      </c>
      <c r="B1647" s="168">
        <v>119</v>
      </c>
      <c r="C1647" s="226" t="str">
        <f t="shared" si="34"/>
        <v>30.119</v>
      </c>
      <c r="D1647" s="227" t="s">
        <v>1084</v>
      </c>
      <c r="E1647" s="64" t="str">
        <f>IF(ISBLANK(D1647)=TRUE,"",VLOOKUP(D1647,Krav!$C:$F,4,FALSE))</f>
        <v>10.a.2.13 - Såfremt brugeren angiver antal dage skal brugeren ledes til spørgsmål 10.a.2.1</v>
      </c>
      <c r="F1647" s="239" t="s">
        <v>174</v>
      </c>
      <c r="G1647" s="240"/>
      <c r="H1647" s="229" t="s">
        <v>1413</v>
      </c>
      <c r="I1647" s="230" t="s">
        <v>1414</v>
      </c>
      <c r="J1647" s="230" t="s">
        <v>222</v>
      </c>
      <c r="K1647" s="125" t="s">
        <v>222</v>
      </c>
      <c r="L1647" s="238" t="s">
        <v>4</v>
      </c>
      <c r="M1647" s="232" t="s">
        <v>131</v>
      </c>
      <c r="N1647" s="232" t="s">
        <v>129</v>
      </c>
      <c r="O1647" s="241" t="s">
        <v>96</v>
      </c>
      <c r="P1647" s="232" t="s">
        <v>376</v>
      </c>
      <c r="Q1647" s="232" t="s">
        <v>131</v>
      </c>
      <c r="R1647" s="232" t="s">
        <v>131</v>
      </c>
      <c r="S1647" s="232" t="s">
        <v>131</v>
      </c>
      <c r="T1647" s="232"/>
      <c r="U1647" s="232"/>
      <c r="V1647" s="232"/>
      <c r="W1647" s="232"/>
      <c r="X1647" s="232"/>
      <c r="Y1647" s="232"/>
      <c r="Z1647" s="232"/>
      <c r="AA1647" s="232"/>
      <c r="AB1647" s="232"/>
      <c r="AC1647" s="232"/>
      <c r="AD1647" s="233" t="s">
        <v>5</v>
      </c>
    </row>
    <row r="1648" spans="1:30" s="234" customFormat="1" ht="33" customHeight="1" x14ac:dyDescent="0.3">
      <c r="A1648" s="167">
        <v>30</v>
      </c>
      <c r="B1648" s="168">
        <v>120</v>
      </c>
      <c r="C1648" s="226" t="str">
        <f t="shared" si="34"/>
        <v>30.120</v>
      </c>
      <c r="D1648" s="227" t="s">
        <v>1084</v>
      </c>
      <c r="E1648" s="64" t="str">
        <f>IF(ISBLANK(D1648)=TRUE,"",VLOOKUP(D1648,Krav!$C:$F,4,FALSE))</f>
        <v>10.a.2.13 - Såfremt brugeren angiver antal dage skal brugeren ledes til spørgsmål 10.a.2.1</v>
      </c>
      <c r="F1648" s="239" t="s">
        <v>418</v>
      </c>
      <c r="G1648" s="239" t="s">
        <v>419</v>
      </c>
      <c r="H1648" s="229" t="s">
        <v>1415</v>
      </c>
      <c r="I1648" s="230" t="s">
        <v>129</v>
      </c>
      <c r="J1648" s="237" t="s">
        <v>222</v>
      </c>
      <c r="K1648" s="123" t="s">
        <v>222</v>
      </c>
      <c r="L1648" s="231" t="s">
        <v>3</v>
      </c>
      <c r="M1648" s="232" t="s">
        <v>131</v>
      </c>
      <c r="N1648" s="232" t="s">
        <v>129</v>
      </c>
      <c r="O1648" s="241" t="s">
        <v>96</v>
      </c>
      <c r="P1648" s="232" t="s">
        <v>376</v>
      </c>
      <c r="Q1648" s="232" t="s">
        <v>131</v>
      </c>
      <c r="R1648" s="232" t="s">
        <v>131</v>
      </c>
      <c r="S1648" s="232" t="s">
        <v>131</v>
      </c>
      <c r="T1648" s="232"/>
      <c r="U1648" s="232"/>
      <c r="V1648" s="232"/>
      <c r="W1648" s="232"/>
      <c r="X1648" s="232"/>
      <c r="Y1648" s="232"/>
      <c r="Z1648" s="232"/>
      <c r="AA1648" s="232"/>
      <c r="AB1648" s="232"/>
      <c r="AC1648" s="232"/>
      <c r="AD1648" s="233" t="s">
        <v>5</v>
      </c>
    </row>
    <row r="1649" spans="1:30" s="234" customFormat="1" ht="33" customHeight="1" x14ac:dyDescent="0.3">
      <c r="A1649" s="167">
        <v>30</v>
      </c>
      <c r="B1649" s="168">
        <v>121</v>
      </c>
      <c r="C1649" s="226" t="str">
        <f t="shared" si="34"/>
        <v>30.121</v>
      </c>
      <c r="D1649" s="227" t="s">
        <v>1099</v>
      </c>
      <c r="E1649" s="64" t="str">
        <f>IF(ISBLANK(D1649)=TRUE,"",VLOOKUP(D1649,Krav!$C:$F,4,FALSE))</f>
        <v>10.a.2.1.2 - Såfremt brugeren angiver en frist skal brugeren ledes til spørgsmål 10.a.2.1.1</v>
      </c>
      <c r="F1649" s="239" t="s">
        <v>174</v>
      </c>
      <c r="G1649" s="240"/>
      <c r="H1649" s="229" t="s">
        <v>1413</v>
      </c>
      <c r="I1649" s="230" t="s">
        <v>1414</v>
      </c>
      <c r="J1649" s="230" t="s">
        <v>222</v>
      </c>
      <c r="K1649" s="125" t="s">
        <v>222</v>
      </c>
      <c r="L1649" s="238" t="s">
        <v>4</v>
      </c>
      <c r="M1649" s="232" t="s">
        <v>131</v>
      </c>
      <c r="N1649" s="232" t="s">
        <v>129</v>
      </c>
      <c r="O1649" s="232" t="s">
        <v>376</v>
      </c>
      <c r="P1649" s="241" t="s">
        <v>96</v>
      </c>
      <c r="Q1649" s="232" t="s">
        <v>131</v>
      </c>
      <c r="R1649" s="232" t="s">
        <v>131</v>
      </c>
      <c r="S1649" s="232" t="s">
        <v>131</v>
      </c>
      <c r="T1649" s="232"/>
      <c r="U1649" s="232"/>
      <c r="V1649" s="232"/>
      <c r="W1649" s="232"/>
      <c r="X1649" s="232"/>
      <c r="Y1649" s="232"/>
      <c r="Z1649" s="232"/>
      <c r="AA1649" s="232"/>
      <c r="AB1649" s="232"/>
      <c r="AC1649" s="232"/>
      <c r="AD1649" s="233" t="s">
        <v>5</v>
      </c>
    </row>
    <row r="1650" spans="1:30" s="234" customFormat="1" ht="33" customHeight="1" x14ac:dyDescent="0.3">
      <c r="A1650" s="167">
        <v>30</v>
      </c>
      <c r="B1650" s="168">
        <v>122</v>
      </c>
      <c r="C1650" s="226" t="str">
        <f t="shared" si="34"/>
        <v>30.122</v>
      </c>
      <c r="D1650" s="227" t="s">
        <v>1099</v>
      </c>
      <c r="E1650" s="64" t="str">
        <f>IF(ISBLANK(D1650)=TRUE,"",VLOOKUP(D1650,Krav!$C:$F,4,FALSE))</f>
        <v>10.a.2.1.2 - Såfremt brugeren angiver en frist skal brugeren ledes til spørgsmål 10.a.2.1.1</v>
      </c>
      <c r="F1650" s="239" t="s">
        <v>418</v>
      </c>
      <c r="G1650" s="239" t="s">
        <v>419</v>
      </c>
      <c r="H1650" s="229" t="s">
        <v>1415</v>
      </c>
      <c r="I1650" s="230" t="s">
        <v>129</v>
      </c>
      <c r="J1650" s="230" t="s">
        <v>222</v>
      </c>
      <c r="K1650" s="123" t="s">
        <v>222</v>
      </c>
      <c r="L1650" s="238" t="s">
        <v>3</v>
      </c>
      <c r="M1650" s="232" t="s">
        <v>131</v>
      </c>
      <c r="N1650" s="232" t="s">
        <v>129</v>
      </c>
      <c r="O1650" s="232" t="s">
        <v>376</v>
      </c>
      <c r="P1650" s="241" t="s">
        <v>96</v>
      </c>
      <c r="Q1650" s="232" t="s">
        <v>131</v>
      </c>
      <c r="R1650" s="232" t="s">
        <v>131</v>
      </c>
      <c r="S1650" s="232" t="s">
        <v>131</v>
      </c>
      <c r="T1650" s="232"/>
      <c r="U1650" s="232"/>
      <c r="V1650" s="232"/>
      <c r="W1650" s="232"/>
      <c r="X1650" s="232"/>
      <c r="Y1650" s="232"/>
      <c r="Z1650" s="232"/>
      <c r="AA1650" s="232"/>
      <c r="AB1650" s="232"/>
      <c r="AC1650" s="232"/>
      <c r="AD1650" s="233" t="s">
        <v>5</v>
      </c>
    </row>
    <row r="1651" spans="1:30" s="234" customFormat="1" ht="33" customHeight="1" x14ac:dyDescent="0.3">
      <c r="A1651" s="167">
        <v>30</v>
      </c>
      <c r="B1651" s="168">
        <v>123</v>
      </c>
      <c r="C1651" s="226" t="str">
        <f t="shared" si="34"/>
        <v>30.123</v>
      </c>
      <c r="D1651" s="227" t="s">
        <v>1084</v>
      </c>
      <c r="E1651" s="64" t="str">
        <f>IF(ISBLANK(D1651)=TRUE,"",VLOOKUP(D1651,Krav!$C:$F,4,FALSE))</f>
        <v>10.a.2.13 - Såfremt brugeren angiver antal dage skal brugeren ledes til spørgsmål 10.a.2.1</v>
      </c>
      <c r="F1651" s="239" t="s">
        <v>174</v>
      </c>
      <c r="G1651" s="240"/>
      <c r="H1651" s="229" t="s">
        <v>1416</v>
      </c>
      <c r="I1651" s="230" t="s">
        <v>1414</v>
      </c>
      <c r="J1651" s="230" t="s">
        <v>222</v>
      </c>
      <c r="K1651" s="125" t="s">
        <v>222</v>
      </c>
      <c r="L1651" s="238" t="s">
        <v>3</v>
      </c>
      <c r="M1651" s="232" t="s">
        <v>131</v>
      </c>
      <c r="N1651" s="232" t="s">
        <v>129</v>
      </c>
      <c r="O1651" s="241" t="s">
        <v>97</v>
      </c>
      <c r="P1651" s="232" t="s">
        <v>376</v>
      </c>
      <c r="Q1651" s="232" t="s">
        <v>131</v>
      </c>
      <c r="R1651" s="232" t="s">
        <v>131</v>
      </c>
      <c r="S1651" s="232" t="s">
        <v>131</v>
      </c>
      <c r="T1651" s="232"/>
      <c r="U1651" s="232"/>
      <c r="V1651" s="232"/>
      <c r="W1651" s="232"/>
      <c r="X1651" s="232"/>
      <c r="Y1651" s="232"/>
      <c r="Z1651" s="232"/>
      <c r="AA1651" s="232"/>
      <c r="AB1651" s="232"/>
      <c r="AC1651" s="232"/>
      <c r="AD1651" s="233" t="s">
        <v>5</v>
      </c>
    </row>
    <row r="1652" spans="1:30" s="234" customFormat="1" ht="33" customHeight="1" x14ac:dyDescent="0.3">
      <c r="A1652" s="167">
        <v>30</v>
      </c>
      <c r="B1652" s="168">
        <v>124</v>
      </c>
      <c r="C1652" s="226" t="str">
        <f t="shared" si="34"/>
        <v>30.124</v>
      </c>
      <c r="D1652" s="227" t="s">
        <v>1084</v>
      </c>
      <c r="E1652" s="64" t="str">
        <f>IF(ISBLANK(D1652)=TRUE,"",VLOOKUP(D1652,Krav!$C:$F,4,FALSE))</f>
        <v>10.a.2.13 - Såfremt brugeren angiver antal dage skal brugeren ledes til spørgsmål 10.a.2.1</v>
      </c>
      <c r="F1652" s="239" t="s">
        <v>418</v>
      </c>
      <c r="G1652" s="239" t="s">
        <v>419</v>
      </c>
      <c r="H1652" s="229" t="s">
        <v>1417</v>
      </c>
      <c r="I1652" s="230" t="s">
        <v>129</v>
      </c>
      <c r="J1652" s="230" t="s">
        <v>222</v>
      </c>
      <c r="K1652" s="123" t="s">
        <v>222</v>
      </c>
      <c r="L1652" s="238" t="s">
        <v>3</v>
      </c>
      <c r="M1652" s="232" t="s">
        <v>131</v>
      </c>
      <c r="N1652" s="232" t="s">
        <v>129</v>
      </c>
      <c r="O1652" s="241" t="s">
        <v>97</v>
      </c>
      <c r="P1652" s="232" t="s">
        <v>376</v>
      </c>
      <c r="Q1652" s="232" t="s">
        <v>131</v>
      </c>
      <c r="R1652" s="232" t="s">
        <v>131</v>
      </c>
      <c r="S1652" s="232" t="s">
        <v>131</v>
      </c>
      <c r="T1652" s="232"/>
      <c r="U1652" s="232"/>
      <c r="V1652" s="232"/>
      <c r="W1652" s="232"/>
      <c r="X1652" s="232"/>
      <c r="Y1652" s="232"/>
      <c r="Z1652" s="232"/>
      <c r="AA1652" s="232"/>
      <c r="AB1652" s="232"/>
      <c r="AC1652" s="232"/>
      <c r="AD1652" s="233" t="s">
        <v>5</v>
      </c>
    </row>
    <row r="1653" spans="1:30" s="234" customFormat="1" ht="33" customHeight="1" x14ac:dyDescent="0.3">
      <c r="A1653" s="167">
        <v>30</v>
      </c>
      <c r="B1653" s="168">
        <v>125</v>
      </c>
      <c r="C1653" s="226" t="str">
        <f t="shared" si="34"/>
        <v>30.125</v>
      </c>
      <c r="D1653" s="227" t="s">
        <v>1099</v>
      </c>
      <c r="E1653" s="64" t="str">
        <f>IF(ISBLANK(D1653)=TRUE,"",VLOOKUP(D1653,Krav!$C:$F,4,FALSE))</f>
        <v>10.a.2.1.2 - Såfremt brugeren angiver en frist skal brugeren ledes til spørgsmål 10.a.2.1.1</v>
      </c>
      <c r="F1653" s="239" t="s">
        <v>174</v>
      </c>
      <c r="G1653" s="240"/>
      <c r="H1653" s="229" t="s">
        <v>1416</v>
      </c>
      <c r="I1653" s="230" t="s">
        <v>1414</v>
      </c>
      <c r="J1653" s="230" t="s">
        <v>222</v>
      </c>
      <c r="K1653" s="125" t="s">
        <v>222</v>
      </c>
      <c r="L1653" s="238" t="s">
        <v>4</v>
      </c>
      <c r="M1653" s="232" t="s">
        <v>131</v>
      </c>
      <c r="N1653" s="232" t="s">
        <v>129</v>
      </c>
      <c r="O1653" s="232" t="s">
        <v>376</v>
      </c>
      <c r="P1653" s="241" t="s">
        <v>97</v>
      </c>
      <c r="Q1653" s="232" t="s">
        <v>131</v>
      </c>
      <c r="R1653" s="232" t="s">
        <v>131</v>
      </c>
      <c r="S1653" s="232" t="s">
        <v>131</v>
      </c>
      <c r="T1653" s="232"/>
      <c r="U1653" s="232"/>
      <c r="V1653" s="232"/>
      <c r="W1653" s="232"/>
      <c r="X1653" s="232"/>
      <c r="Y1653" s="232"/>
      <c r="Z1653" s="232"/>
      <c r="AA1653" s="232"/>
      <c r="AB1653" s="232"/>
      <c r="AC1653" s="232"/>
      <c r="AD1653" s="233" t="s">
        <v>5</v>
      </c>
    </row>
    <row r="1654" spans="1:30" s="234" customFormat="1" ht="33" customHeight="1" x14ac:dyDescent="0.3">
      <c r="A1654" s="167">
        <v>30</v>
      </c>
      <c r="B1654" s="168">
        <v>126</v>
      </c>
      <c r="C1654" s="226" t="str">
        <f t="shared" si="34"/>
        <v>30.126</v>
      </c>
      <c r="D1654" s="227" t="s">
        <v>1099</v>
      </c>
      <c r="E1654" s="64" t="str">
        <f>IF(ISBLANK(D1654)=TRUE,"",VLOOKUP(D1654,Krav!$C:$F,4,FALSE))</f>
        <v>10.a.2.1.2 - Såfremt brugeren angiver en frist skal brugeren ledes til spørgsmål 10.a.2.1.1</v>
      </c>
      <c r="F1654" s="239" t="s">
        <v>418</v>
      </c>
      <c r="G1654" s="239" t="s">
        <v>419</v>
      </c>
      <c r="H1654" s="229" t="s">
        <v>1417</v>
      </c>
      <c r="I1654" s="230" t="s">
        <v>129</v>
      </c>
      <c r="J1654" s="237" t="s">
        <v>222</v>
      </c>
      <c r="K1654" s="123" t="s">
        <v>222</v>
      </c>
      <c r="L1654" s="231" t="s">
        <v>3</v>
      </c>
      <c r="M1654" s="232" t="s">
        <v>131</v>
      </c>
      <c r="N1654" s="232" t="s">
        <v>129</v>
      </c>
      <c r="O1654" s="232" t="s">
        <v>376</v>
      </c>
      <c r="P1654" s="241" t="s">
        <v>97</v>
      </c>
      <c r="Q1654" s="232" t="s">
        <v>131</v>
      </c>
      <c r="R1654" s="232" t="s">
        <v>131</v>
      </c>
      <c r="S1654" s="232" t="s">
        <v>131</v>
      </c>
      <c r="T1654" s="232"/>
      <c r="U1654" s="232"/>
      <c r="V1654" s="232"/>
      <c r="W1654" s="232"/>
      <c r="X1654" s="232"/>
      <c r="Y1654" s="232"/>
      <c r="Z1654" s="232"/>
      <c r="AA1654" s="232"/>
      <c r="AB1654" s="232"/>
      <c r="AC1654" s="232"/>
      <c r="AD1654" s="233" t="s">
        <v>5</v>
      </c>
    </row>
    <row r="1655" spans="1:30" s="234" customFormat="1" ht="33" customHeight="1" x14ac:dyDescent="0.3">
      <c r="A1655" s="167">
        <v>30</v>
      </c>
      <c r="B1655" s="168">
        <v>127</v>
      </c>
      <c r="C1655" s="226" t="str">
        <f t="shared" si="34"/>
        <v>30.127</v>
      </c>
      <c r="D1655" s="227"/>
      <c r="E1655" s="64" t="str">
        <f>IF(ISBLANK(D1655)=TRUE,"",VLOOKUP(D1655,Krav!$C:$F,4,FALSE))</f>
        <v/>
      </c>
      <c r="F1655" s="239" t="s">
        <v>174</v>
      </c>
      <c r="G1655" s="240"/>
      <c r="H1655" s="229" t="s">
        <v>1418</v>
      </c>
      <c r="I1655" s="230" t="s">
        <v>1414</v>
      </c>
      <c r="J1655" s="230" t="s">
        <v>222</v>
      </c>
      <c r="K1655" s="125" t="s">
        <v>222</v>
      </c>
      <c r="L1655" s="238" t="s">
        <v>4</v>
      </c>
      <c r="M1655" s="232" t="s">
        <v>131</v>
      </c>
      <c r="N1655" s="232" t="s">
        <v>129</v>
      </c>
      <c r="O1655" s="241" t="s">
        <v>404</v>
      </c>
      <c r="P1655" s="232" t="s">
        <v>376</v>
      </c>
      <c r="Q1655" s="232" t="s">
        <v>131</v>
      </c>
      <c r="R1655" s="232" t="s">
        <v>131</v>
      </c>
      <c r="S1655" s="232" t="s">
        <v>131</v>
      </c>
      <c r="T1655" s="232"/>
      <c r="U1655" s="232"/>
      <c r="V1655" s="232"/>
      <c r="W1655" s="232"/>
      <c r="X1655" s="232"/>
      <c r="Y1655" s="232"/>
      <c r="Z1655" s="232"/>
      <c r="AA1655" s="232"/>
      <c r="AB1655" s="232"/>
      <c r="AC1655" s="232"/>
      <c r="AD1655" s="233" t="s">
        <v>5</v>
      </c>
    </row>
    <row r="1656" spans="1:30" s="234" customFormat="1" ht="33" customHeight="1" x14ac:dyDescent="0.3">
      <c r="A1656" s="167">
        <v>30</v>
      </c>
      <c r="B1656" s="168">
        <v>128</v>
      </c>
      <c r="C1656" s="226" t="str">
        <f t="shared" si="34"/>
        <v>30.128</v>
      </c>
      <c r="D1656" s="227"/>
      <c r="E1656" s="64" t="str">
        <f>IF(ISBLANK(D1656)=TRUE,"",VLOOKUP(D1656,Krav!$C:$F,4,FALSE))</f>
        <v/>
      </c>
      <c r="F1656" s="239" t="s">
        <v>418</v>
      </c>
      <c r="G1656" s="239" t="s">
        <v>419</v>
      </c>
      <c r="H1656" s="229" t="s">
        <v>1419</v>
      </c>
      <c r="I1656" s="230" t="s">
        <v>129</v>
      </c>
      <c r="J1656" s="236" t="s">
        <v>222</v>
      </c>
      <c r="K1656" s="125" t="s">
        <v>222</v>
      </c>
      <c r="L1656" s="238" t="s">
        <v>4</v>
      </c>
      <c r="M1656" s="232" t="s">
        <v>131</v>
      </c>
      <c r="N1656" s="232" t="s">
        <v>129</v>
      </c>
      <c r="O1656" s="241" t="s">
        <v>404</v>
      </c>
      <c r="P1656" s="232" t="s">
        <v>376</v>
      </c>
      <c r="Q1656" s="232" t="s">
        <v>131</v>
      </c>
      <c r="R1656" s="232" t="s">
        <v>131</v>
      </c>
      <c r="S1656" s="232" t="s">
        <v>131</v>
      </c>
      <c r="T1656" s="232"/>
      <c r="U1656" s="232"/>
      <c r="V1656" s="232"/>
      <c r="W1656" s="232"/>
      <c r="X1656" s="232"/>
      <c r="Y1656" s="232"/>
      <c r="Z1656" s="232"/>
      <c r="AA1656" s="232"/>
      <c r="AB1656" s="232"/>
      <c r="AC1656" s="232"/>
      <c r="AD1656" s="233" t="s">
        <v>5</v>
      </c>
    </row>
    <row r="1657" spans="1:30" s="234" customFormat="1" ht="33" customHeight="1" x14ac:dyDescent="0.3">
      <c r="A1657" s="167">
        <v>30</v>
      </c>
      <c r="B1657" s="168">
        <v>129</v>
      </c>
      <c r="C1657" s="226" t="str">
        <f t="shared" si="34"/>
        <v>30.129</v>
      </c>
      <c r="D1657" s="227"/>
      <c r="E1657" s="64" t="str">
        <f>IF(ISBLANK(D1657)=TRUE,"",VLOOKUP(D1657,Krav!$C:$F,4,FALSE))</f>
        <v/>
      </c>
      <c r="F1657" s="239" t="s">
        <v>174</v>
      </c>
      <c r="G1657" s="240"/>
      <c r="H1657" s="229" t="s">
        <v>1420</v>
      </c>
      <c r="I1657" s="230" t="s">
        <v>1414</v>
      </c>
      <c r="J1657" s="230" t="s">
        <v>222</v>
      </c>
      <c r="K1657" s="125" t="s">
        <v>222</v>
      </c>
      <c r="L1657" s="238" t="s">
        <v>4</v>
      </c>
      <c r="M1657" s="232" t="s">
        <v>131</v>
      </c>
      <c r="N1657" s="232" t="s">
        <v>129</v>
      </c>
      <c r="O1657" s="232" t="s">
        <v>376</v>
      </c>
      <c r="P1657" s="241" t="s">
        <v>404</v>
      </c>
      <c r="Q1657" s="232" t="s">
        <v>131</v>
      </c>
      <c r="R1657" s="232" t="s">
        <v>131</v>
      </c>
      <c r="S1657" s="232" t="s">
        <v>131</v>
      </c>
      <c r="T1657" s="232"/>
      <c r="U1657" s="232"/>
      <c r="V1657" s="232"/>
      <c r="W1657" s="232"/>
      <c r="X1657" s="232"/>
      <c r="Y1657" s="232"/>
      <c r="Z1657" s="232"/>
      <c r="AA1657" s="232"/>
      <c r="AB1657" s="232"/>
      <c r="AC1657" s="232"/>
      <c r="AD1657" s="233" t="s">
        <v>5</v>
      </c>
    </row>
    <row r="1658" spans="1:30" s="234" customFormat="1" ht="33" customHeight="1" x14ac:dyDescent="0.3">
      <c r="A1658" s="167">
        <v>30</v>
      </c>
      <c r="B1658" s="168">
        <v>130</v>
      </c>
      <c r="C1658" s="226" t="str">
        <f t="shared" si="34"/>
        <v>30.130</v>
      </c>
      <c r="D1658" s="227"/>
      <c r="E1658" s="64" t="str">
        <f>IF(ISBLANK(D1658)=TRUE,"",VLOOKUP(D1658,Krav!$C:$F,4,FALSE))</f>
        <v/>
      </c>
      <c r="F1658" s="239" t="s">
        <v>418</v>
      </c>
      <c r="G1658" s="239" t="s">
        <v>419</v>
      </c>
      <c r="H1658" s="229" t="s">
        <v>1419</v>
      </c>
      <c r="I1658" s="230" t="s">
        <v>129</v>
      </c>
      <c r="J1658" s="242" t="s">
        <v>222</v>
      </c>
      <c r="K1658" s="125" t="s">
        <v>222</v>
      </c>
      <c r="L1658" s="238" t="s">
        <v>4</v>
      </c>
      <c r="M1658" s="232" t="s">
        <v>131</v>
      </c>
      <c r="N1658" s="232" t="s">
        <v>129</v>
      </c>
      <c r="O1658" s="232" t="s">
        <v>376</v>
      </c>
      <c r="P1658" s="241" t="s">
        <v>404</v>
      </c>
      <c r="Q1658" s="232" t="s">
        <v>131</v>
      </c>
      <c r="R1658" s="232" t="s">
        <v>131</v>
      </c>
      <c r="S1658" s="232" t="s">
        <v>131</v>
      </c>
      <c r="T1658" s="232"/>
      <c r="U1658" s="232"/>
      <c r="V1658" s="232"/>
      <c r="W1658" s="232"/>
      <c r="X1658" s="232"/>
      <c r="Y1658" s="232"/>
      <c r="Z1658" s="232"/>
      <c r="AA1658" s="232"/>
      <c r="AB1658" s="232"/>
      <c r="AC1658" s="232"/>
      <c r="AD1658" s="233" t="s">
        <v>5</v>
      </c>
    </row>
    <row r="1659" spans="1:30" s="234" customFormat="1" ht="33" customHeight="1" x14ac:dyDescent="0.3">
      <c r="A1659" s="167">
        <v>30</v>
      </c>
      <c r="B1659" s="168">
        <v>131</v>
      </c>
      <c r="C1659" s="226" t="str">
        <f t="shared" si="34"/>
        <v>30.131</v>
      </c>
      <c r="D1659" s="227" t="s">
        <v>1099</v>
      </c>
      <c r="E1659" s="64" t="str">
        <f>IF(ISBLANK(D1659)=TRUE,"",VLOOKUP(D1659,Krav!$C:$F,4,FALSE))</f>
        <v>10.a.2.1.2 - Såfremt brugeren angiver en frist skal brugeren ledes til spørgsmål 10.a.2.1.1</v>
      </c>
      <c r="F1659" s="239" t="s">
        <v>143</v>
      </c>
      <c r="G1659" s="239"/>
      <c r="H1659" s="229" t="s">
        <v>1444</v>
      </c>
      <c r="I1659" s="230" t="s">
        <v>468</v>
      </c>
      <c r="J1659" s="237" t="s">
        <v>222</v>
      </c>
      <c r="K1659" s="123" t="s">
        <v>222</v>
      </c>
      <c r="L1659" s="238" t="s">
        <v>3</v>
      </c>
      <c r="M1659" s="232" t="s">
        <v>131</v>
      </c>
      <c r="N1659" s="232" t="s">
        <v>129</v>
      </c>
      <c r="O1659" s="232" t="s">
        <v>376</v>
      </c>
      <c r="P1659" s="232" t="s">
        <v>376</v>
      </c>
      <c r="Q1659" s="232" t="s">
        <v>131</v>
      </c>
      <c r="R1659" s="232" t="s">
        <v>131</v>
      </c>
      <c r="S1659" s="232" t="s">
        <v>131</v>
      </c>
      <c r="T1659" s="232"/>
      <c r="U1659" s="232"/>
      <c r="V1659" s="232"/>
      <c r="W1659" s="232"/>
      <c r="X1659" s="232"/>
      <c r="Y1659" s="232"/>
      <c r="Z1659" s="232"/>
      <c r="AA1659" s="232"/>
      <c r="AB1659" s="232"/>
      <c r="AC1659" s="232"/>
      <c r="AD1659" s="233" t="s">
        <v>5</v>
      </c>
    </row>
    <row r="1660" spans="1:30" s="234" customFormat="1" ht="33" customHeight="1" x14ac:dyDescent="0.3">
      <c r="A1660" s="167">
        <v>30</v>
      </c>
      <c r="B1660" s="168">
        <v>132</v>
      </c>
      <c r="C1660" s="226" t="str">
        <f t="shared" si="34"/>
        <v>30.132</v>
      </c>
      <c r="D1660" s="227"/>
      <c r="E1660" s="64" t="str">
        <f>IF(ISBLANK(D1660)=TRUE,"",VLOOKUP(D1660,Krav!$C:$F,4,FALSE))</f>
        <v/>
      </c>
      <c r="F1660" s="239" t="s">
        <v>143</v>
      </c>
      <c r="G1660" s="239"/>
      <c r="H1660" s="229" t="s">
        <v>1411</v>
      </c>
      <c r="I1660" s="230" t="s">
        <v>565</v>
      </c>
      <c r="J1660" s="237" t="s">
        <v>222</v>
      </c>
      <c r="K1660" s="123" t="s">
        <v>222</v>
      </c>
      <c r="L1660" s="238" t="s">
        <v>3</v>
      </c>
      <c r="M1660" s="232" t="s">
        <v>131</v>
      </c>
      <c r="N1660" s="232" t="s">
        <v>129</v>
      </c>
      <c r="O1660" s="232" t="s">
        <v>376</v>
      </c>
      <c r="P1660" s="232" t="s">
        <v>376</v>
      </c>
      <c r="Q1660" s="232" t="s">
        <v>131</v>
      </c>
      <c r="R1660" s="232" t="s">
        <v>131</v>
      </c>
      <c r="S1660" s="232" t="s">
        <v>131</v>
      </c>
      <c r="T1660" s="232"/>
      <c r="U1660" s="232"/>
      <c r="V1660" s="232"/>
      <c r="W1660" s="232"/>
      <c r="X1660" s="232"/>
      <c r="Y1660" s="232"/>
      <c r="Z1660" s="232"/>
      <c r="AA1660" s="232"/>
      <c r="AB1660" s="232" t="s">
        <v>129</v>
      </c>
      <c r="AC1660" s="232"/>
      <c r="AD1660" s="233" t="s">
        <v>5</v>
      </c>
    </row>
    <row r="1661" spans="1:30" s="255" customFormat="1" ht="33" customHeight="1" x14ac:dyDescent="0.3">
      <c r="A1661" s="167">
        <v>30</v>
      </c>
      <c r="B1661" s="168">
        <v>133</v>
      </c>
      <c r="C1661" s="245" t="str">
        <f t="shared" si="34"/>
        <v>30.133</v>
      </c>
      <c r="D1661" s="246" t="s">
        <v>1239</v>
      </c>
      <c r="E1661" s="64" t="str">
        <f>IF(ISBLANK(D1661)=TRUE,"",VLOOKUP(D1661,Krav!$C:$F,4,FALSE))</f>
        <v>10.a.2.1.2.2 - Der angives et "NEJ" i i populationen under ”vil RIM beregne en tidligst mulig forældelsesdato?"</v>
      </c>
      <c r="F1661" s="247" t="s">
        <v>221</v>
      </c>
      <c r="G1661" s="248"/>
      <c r="H1661" s="249" t="s">
        <v>1421</v>
      </c>
      <c r="I1661" s="250" t="s">
        <v>241</v>
      </c>
      <c r="J1661" s="251" t="s">
        <v>222</v>
      </c>
      <c r="K1661" s="125" t="s">
        <v>222</v>
      </c>
      <c r="L1661" s="252" t="s">
        <v>3</v>
      </c>
      <c r="M1661" s="253" t="s">
        <v>131</v>
      </c>
      <c r="N1661" s="253" t="s">
        <v>129</v>
      </c>
      <c r="O1661" s="253" t="s">
        <v>376</v>
      </c>
      <c r="P1661" s="253" t="s">
        <v>96</v>
      </c>
      <c r="Q1661" s="253" t="s">
        <v>131</v>
      </c>
      <c r="R1661" s="253" t="s">
        <v>129</v>
      </c>
      <c r="S1661" s="253" t="s">
        <v>131</v>
      </c>
      <c r="T1661" s="253"/>
      <c r="U1661" s="253"/>
      <c r="V1661" s="253"/>
      <c r="W1661" s="253"/>
      <c r="X1661" s="253"/>
      <c r="Y1661" s="253"/>
      <c r="Z1661" s="253"/>
      <c r="AA1661" s="253"/>
      <c r="AB1661" s="253"/>
      <c r="AC1661" s="253"/>
      <c r="AD1661" s="254" t="s">
        <v>5</v>
      </c>
    </row>
    <row r="1662" spans="1:30" s="255" customFormat="1" ht="33" customHeight="1" x14ac:dyDescent="0.3">
      <c r="A1662" s="167">
        <v>30</v>
      </c>
      <c r="B1662" s="168">
        <v>134</v>
      </c>
      <c r="C1662" s="245" t="str">
        <f t="shared" si="34"/>
        <v>30.134</v>
      </c>
      <c r="D1662" s="246"/>
      <c r="E1662" s="64" t="str">
        <f>IF(ISBLANK(D1662)=TRUE,"",VLOOKUP(D1662,Krav!$C:$F,4,FALSE))</f>
        <v/>
      </c>
      <c r="F1662" s="247" t="s">
        <v>225</v>
      </c>
      <c r="G1662" s="256" t="s">
        <v>231</v>
      </c>
      <c r="H1662" s="256" t="s">
        <v>158</v>
      </c>
      <c r="I1662" s="250" t="s">
        <v>1407</v>
      </c>
      <c r="J1662" s="250" t="s">
        <v>222</v>
      </c>
      <c r="K1662" s="125" t="s">
        <v>222</v>
      </c>
      <c r="L1662" s="257" t="s">
        <v>3</v>
      </c>
      <c r="M1662" s="253" t="s">
        <v>131</v>
      </c>
      <c r="N1662" s="253" t="s">
        <v>129</v>
      </c>
      <c r="O1662" s="253" t="s">
        <v>376</v>
      </c>
      <c r="P1662" s="253" t="s">
        <v>96</v>
      </c>
      <c r="Q1662" s="253" t="s">
        <v>131</v>
      </c>
      <c r="R1662" s="253" t="s">
        <v>129</v>
      </c>
      <c r="S1662" s="253" t="s">
        <v>131</v>
      </c>
      <c r="T1662" s="253"/>
      <c r="U1662" s="253"/>
      <c r="V1662" s="253"/>
      <c r="W1662" s="253"/>
      <c r="X1662" s="253"/>
      <c r="Y1662" s="253"/>
      <c r="Z1662" s="253"/>
      <c r="AA1662" s="253"/>
      <c r="AB1662" s="253"/>
      <c r="AC1662" s="253"/>
      <c r="AD1662" s="254" t="s">
        <v>5</v>
      </c>
    </row>
    <row r="1663" spans="1:30" s="255" customFormat="1" ht="33" customHeight="1" x14ac:dyDescent="0.3">
      <c r="A1663" s="167">
        <v>30</v>
      </c>
      <c r="B1663" s="168">
        <v>135</v>
      </c>
      <c r="C1663" s="245" t="str">
        <f t="shared" si="34"/>
        <v>30.135</v>
      </c>
      <c r="D1663" s="246"/>
      <c r="E1663" s="64" t="str">
        <f>IF(ISBLANK(D1663)=TRUE,"",VLOOKUP(D1663,Krav!$C:$F,4,FALSE))</f>
        <v/>
      </c>
      <c r="F1663" s="247" t="s">
        <v>225</v>
      </c>
      <c r="G1663" s="256" t="s">
        <v>1388</v>
      </c>
      <c r="H1663" s="256" t="s">
        <v>158</v>
      </c>
      <c r="I1663" s="250" t="s">
        <v>376</v>
      </c>
      <c r="J1663" s="250" t="s">
        <v>222</v>
      </c>
      <c r="K1663" s="125" t="s">
        <v>222</v>
      </c>
      <c r="L1663" s="257" t="s">
        <v>3</v>
      </c>
      <c r="M1663" s="253" t="s">
        <v>131</v>
      </c>
      <c r="N1663" s="253" t="s">
        <v>129</v>
      </c>
      <c r="O1663" s="253" t="s">
        <v>376</v>
      </c>
      <c r="P1663" s="253" t="s">
        <v>96</v>
      </c>
      <c r="Q1663" s="253" t="s">
        <v>131</v>
      </c>
      <c r="R1663" s="253" t="s">
        <v>129</v>
      </c>
      <c r="S1663" s="253" t="s">
        <v>131</v>
      </c>
      <c r="T1663" s="253"/>
      <c r="U1663" s="253"/>
      <c r="V1663" s="253"/>
      <c r="W1663" s="253"/>
      <c r="X1663" s="253"/>
      <c r="Y1663" s="253"/>
      <c r="Z1663" s="253"/>
      <c r="AA1663" s="253"/>
      <c r="AB1663" s="253"/>
      <c r="AC1663" s="253"/>
      <c r="AD1663" s="254" t="s">
        <v>5</v>
      </c>
    </row>
    <row r="1664" spans="1:30" s="255" customFormat="1" ht="33" customHeight="1" x14ac:dyDescent="0.3">
      <c r="A1664" s="167">
        <v>30</v>
      </c>
      <c r="B1664" s="168">
        <v>136</v>
      </c>
      <c r="C1664" s="245" t="str">
        <f t="shared" si="34"/>
        <v>30.136</v>
      </c>
      <c r="D1664" s="246"/>
      <c r="E1664" s="64" t="str">
        <f>IF(ISBLANK(D1664)=TRUE,"",VLOOKUP(D1664,Krav!$C:$F,4,FALSE))</f>
        <v/>
      </c>
      <c r="F1664" s="247" t="s">
        <v>225</v>
      </c>
      <c r="G1664" s="256" t="s">
        <v>1391</v>
      </c>
      <c r="H1664" s="256" t="s">
        <v>158</v>
      </c>
      <c r="I1664" s="250" t="s">
        <v>376</v>
      </c>
      <c r="J1664" s="250" t="s">
        <v>222</v>
      </c>
      <c r="K1664" s="125" t="s">
        <v>222</v>
      </c>
      <c r="L1664" s="257" t="s">
        <v>3</v>
      </c>
      <c r="M1664" s="253" t="s">
        <v>131</v>
      </c>
      <c r="N1664" s="253" t="s">
        <v>129</v>
      </c>
      <c r="O1664" s="253" t="s">
        <v>376</v>
      </c>
      <c r="P1664" s="253" t="s">
        <v>96</v>
      </c>
      <c r="Q1664" s="253" t="s">
        <v>131</v>
      </c>
      <c r="R1664" s="253" t="s">
        <v>129</v>
      </c>
      <c r="S1664" s="253" t="s">
        <v>131</v>
      </c>
      <c r="T1664" s="253"/>
      <c r="U1664" s="253"/>
      <c r="V1664" s="253"/>
      <c r="W1664" s="253"/>
      <c r="X1664" s="253"/>
      <c r="Y1664" s="253"/>
      <c r="Z1664" s="253"/>
      <c r="AA1664" s="253"/>
      <c r="AB1664" s="253"/>
      <c r="AC1664" s="253"/>
      <c r="AD1664" s="254" t="s">
        <v>5</v>
      </c>
    </row>
    <row r="1665" spans="1:30" s="255" customFormat="1" ht="33" customHeight="1" x14ac:dyDescent="0.3">
      <c r="A1665" s="167">
        <v>30</v>
      </c>
      <c r="B1665" s="168">
        <v>137</v>
      </c>
      <c r="C1665" s="245" t="str">
        <f t="shared" si="34"/>
        <v>30.137</v>
      </c>
      <c r="D1665" s="246" t="s">
        <v>1240</v>
      </c>
      <c r="E1665" s="64" t="str">
        <f>IF(ISBLANK(D1665)=TRUE,"",VLOOKUP(D1665,Krav!$C:$F,4,FALSE))</f>
        <v>10.a.2.1.2.3 - Gruppe 1 deaktiveres</v>
      </c>
      <c r="F1665" s="247" t="s">
        <v>227</v>
      </c>
      <c r="G1665" s="248"/>
      <c r="H1665" s="249" t="s">
        <v>1423</v>
      </c>
      <c r="I1665" s="250" t="s">
        <v>241</v>
      </c>
      <c r="J1665" s="251" t="s">
        <v>222</v>
      </c>
      <c r="K1665" s="125" t="s">
        <v>222</v>
      </c>
      <c r="L1665" s="252" t="s">
        <v>3</v>
      </c>
      <c r="M1665" s="253" t="s">
        <v>131</v>
      </c>
      <c r="N1665" s="253" t="s">
        <v>129</v>
      </c>
      <c r="O1665" s="253" t="s">
        <v>376</v>
      </c>
      <c r="P1665" s="253" t="s">
        <v>96</v>
      </c>
      <c r="Q1665" s="253" t="s">
        <v>131</v>
      </c>
      <c r="R1665" s="253" t="s">
        <v>129</v>
      </c>
      <c r="S1665" s="253" t="s">
        <v>131</v>
      </c>
      <c r="T1665" s="253"/>
      <c r="U1665" s="253"/>
      <c r="V1665" s="253"/>
      <c r="W1665" s="253"/>
      <c r="X1665" s="253"/>
      <c r="Y1665" s="253"/>
      <c r="Z1665" s="253"/>
      <c r="AA1665" s="253"/>
      <c r="AB1665" s="253"/>
      <c r="AC1665" s="253"/>
      <c r="AD1665" s="254" t="s">
        <v>5</v>
      </c>
    </row>
    <row r="1666" spans="1:30" s="255" customFormat="1" ht="33" customHeight="1" x14ac:dyDescent="0.3">
      <c r="A1666" s="167">
        <v>30</v>
      </c>
      <c r="B1666" s="168">
        <v>138</v>
      </c>
      <c r="C1666" s="245" t="str">
        <f t="shared" si="34"/>
        <v>30.138</v>
      </c>
      <c r="D1666" s="246" t="s">
        <v>1038</v>
      </c>
      <c r="E1666" s="64" t="str">
        <f>IF(ISBLANK(D1666)=TRUE,"",VLOOKUP(D1666,Krav!$C:$F,4,FALSE))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66" s="258" t="s">
        <v>174</v>
      </c>
      <c r="G1666" s="248"/>
      <c r="H1666" s="256" t="s">
        <v>1424</v>
      </c>
      <c r="I1666" s="250" t="s">
        <v>1425</v>
      </c>
      <c r="J1666" s="251" t="s">
        <v>222</v>
      </c>
      <c r="K1666" s="125" t="s">
        <v>222</v>
      </c>
      <c r="L1666" s="252" t="s">
        <v>3</v>
      </c>
      <c r="M1666" s="253" t="s">
        <v>131</v>
      </c>
      <c r="N1666" s="253" t="s">
        <v>129</v>
      </c>
      <c r="O1666" s="253" t="s">
        <v>376</v>
      </c>
      <c r="P1666" s="253" t="s">
        <v>96</v>
      </c>
      <c r="Q1666" s="253" t="s">
        <v>131</v>
      </c>
      <c r="R1666" s="253" t="s">
        <v>129</v>
      </c>
      <c r="S1666" s="253" t="s">
        <v>131</v>
      </c>
      <c r="T1666" s="253"/>
      <c r="U1666" s="253"/>
      <c r="V1666" s="253" t="s">
        <v>294</v>
      </c>
      <c r="W1666" s="253"/>
      <c r="X1666" s="253"/>
      <c r="Y1666" s="253"/>
      <c r="Z1666" s="253"/>
      <c r="AA1666" s="253"/>
      <c r="AB1666" s="253"/>
      <c r="AC1666" s="253"/>
      <c r="AD1666" s="254" t="s">
        <v>5</v>
      </c>
    </row>
    <row r="1667" spans="1:30" s="255" customFormat="1" ht="33" customHeight="1" x14ac:dyDescent="0.3">
      <c r="A1667" s="167">
        <v>30</v>
      </c>
      <c r="B1667" s="168">
        <v>139</v>
      </c>
      <c r="C1667" s="245" t="str">
        <f t="shared" si="34"/>
        <v>30.139</v>
      </c>
      <c r="D1667" s="246" t="s">
        <v>1241</v>
      </c>
      <c r="E1667" s="64" t="str">
        <f>IF(ISBLANK(D1667)=TRUE,"",VLOOKUP(D1667,Krav!$C:$F,4,FALSE))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67" s="258" t="s">
        <v>174</v>
      </c>
      <c r="G1667" s="247"/>
      <c r="H1667" s="256" t="s">
        <v>1445</v>
      </c>
      <c r="I1667" s="250" t="s">
        <v>1425</v>
      </c>
      <c r="J1667" s="251" t="s">
        <v>222</v>
      </c>
      <c r="K1667" s="125" t="s">
        <v>222</v>
      </c>
      <c r="L1667" s="252" t="s">
        <v>3</v>
      </c>
      <c r="M1667" s="253" t="s">
        <v>131</v>
      </c>
      <c r="N1667" s="253" t="s">
        <v>129</v>
      </c>
      <c r="O1667" s="253" t="s">
        <v>376</v>
      </c>
      <c r="P1667" s="253" t="s">
        <v>96</v>
      </c>
      <c r="Q1667" s="253" t="s">
        <v>131</v>
      </c>
      <c r="R1667" s="253" t="s">
        <v>129</v>
      </c>
      <c r="S1667" s="253" t="s">
        <v>131</v>
      </c>
      <c r="T1667" s="253"/>
      <c r="U1667" s="253"/>
      <c r="V1667" s="254" t="s">
        <v>295</v>
      </c>
      <c r="W1667" s="253" t="s">
        <v>26</v>
      </c>
      <c r="X1667" s="253"/>
      <c r="Y1667" s="253"/>
      <c r="Z1667" s="253"/>
      <c r="AA1667" s="253"/>
      <c r="AB1667" s="253"/>
      <c r="AC1667" s="253"/>
      <c r="AD1667" s="254" t="s">
        <v>5</v>
      </c>
    </row>
    <row r="1668" spans="1:30" s="255" customFormat="1" ht="33" customHeight="1" x14ac:dyDescent="0.3">
      <c r="A1668" s="167">
        <v>30</v>
      </c>
      <c r="B1668" s="168">
        <v>140</v>
      </c>
      <c r="C1668" s="245" t="str">
        <f t="shared" si="34"/>
        <v>30.140</v>
      </c>
      <c r="D1668" s="246" t="s">
        <v>1241</v>
      </c>
      <c r="E1668" s="64" t="str">
        <f>IF(ISBLANK(D1668)=TRUE,"",VLOOKUP(D1668,Krav!$C:$F,4,FALSE))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68" s="258" t="s">
        <v>174</v>
      </c>
      <c r="G1668" s="248"/>
      <c r="H1668" s="256" t="s">
        <v>1445</v>
      </c>
      <c r="I1668" s="251" t="s">
        <v>1425</v>
      </c>
      <c r="J1668" s="251" t="s">
        <v>222</v>
      </c>
      <c r="K1668" s="125" t="s">
        <v>222</v>
      </c>
      <c r="L1668" s="252" t="s">
        <v>3</v>
      </c>
      <c r="M1668" s="253" t="s">
        <v>131</v>
      </c>
      <c r="N1668" s="253" t="s">
        <v>129</v>
      </c>
      <c r="O1668" s="253" t="s">
        <v>376</v>
      </c>
      <c r="P1668" s="253" t="s">
        <v>96</v>
      </c>
      <c r="Q1668" s="253" t="s">
        <v>131</v>
      </c>
      <c r="R1668" s="253" t="s">
        <v>129</v>
      </c>
      <c r="S1668" s="253" t="s">
        <v>131</v>
      </c>
      <c r="T1668" s="253"/>
      <c r="U1668" s="253"/>
      <c r="V1668" s="254" t="s">
        <v>295</v>
      </c>
      <c r="W1668" s="253" t="s">
        <v>166</v>
      </c>
      <c r="X1668" s="253" t="s">
        <v>26</v>
      </c>
      <c r="Y1668" s="253"/>
      <c r="Z1668" s="253"/>
      <c r="AA1668" s="253"/>
      <c r="AB1668" s="253"/>
      <c r="AC1668" s="253"/>
      <c r="AD1668" s="254" t="s">
        <v>5</v>
      </c>
    </row>
    <row r="1669" spans="1:30" s="255" customFormat="1" ht="33" customHeight="1" x14ac:dyDescent="0.3">
      <c r="A1669" s="167">
        <v>30</v>
      </c>
      <c r="B1669" s="168">
        <v>141</v>
      </c>
      <c r="C1669" s="245" t="str">
        <f t="shared" si="34"/>
        <v>30.141</v>
      </c>
      <c r="D1669" s="246" t="s">
        <v>1241</v>
      </c>
      <c r="E1669" s="64" t="str">
        <f>IF(ISBLANK(D1669)=TRUE,"",VLOOKUP(D1669,Krav!$C:$F,4,FALSE))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69" s="258" t="s">
        <v>174</v>
      </c>
      <c r="G1669" s="247"/>
      <c r="H1669" s="256" t="s">
        <v>1445</v>
      </c>
      <c r="I1669" s="250" t="s">
        <v>1425</v>
      </c>
      <c r="J1669" s="251" t="s">
        <v>222</v>
      </c>
      <c r="K1669" s="125" t="s">
        <v>222</v>
      </c>
      <c r="L1669" s="252" t="s">
        <v>3</v>
      </c>
      <c r="M1669" s="253" t="s">
        <v>131</v>
      </c>
      <c r="N1669" s="253" t="s">
        <v>129</v>
      </c>
      <c r="O1669" s="253" t="s">
        <v>376</v>
      </c>
      <c r="P1669" s="253" t="s">
        <v>96</v>
      </c>
      <c r="Q1669" s="253" t="s">
        <v>131</v>
      </c>
      <c r="R1669" s="253" t="s">
        <v>129</v>
      </c>
      <c r="S1669" s="253" t="s">
        <v>131</v>
      </c>
      <c r="T1669" s="253"/>
      <c r="U1669" s="253"/>
      <c r="V1669" s="254" t="s">
        <v>295</v>
      </c>
      <c r="W1669" s="253" t="s">
        <v>166</v>
      </c>
      <c r="X1669" s="253" t="s">
        <v>166</v>
      </c>
      <c r="Y1669" s="253" t="s">
        <v>580</v>
      </c>
      <c r="Z1669" s="253"/>
      <c r="AA1669" s="253"/>
      <c r="AB1669" s="253"/>
      <c r="AC1669" s="253"/>
      <c r="AD1669" s="254" t="s">
        <v>5</v>
      </c>
    </row>
    <row r="1670" spans="1:30" s="255" customFormat="1" ht="33" customHeight="1" x14ac:dyDescent="0.3">
      <c r="A1670" s="167">
        <v>30</v>
      </c>
      <c r="B1670" s="168">
        <v>142</v>
      </c>
      <c r="C1670" s="245" t="str">
        <f t="shared" si="34"/>
        <v>30.142</v>
      </c>
      <c r="D1670" s="246" t="s">
        <v>1243</v>
      </c>
      <c r="E1670" s="64" t="str">
        <f>IF(ISBLANK(D1670)=TRUE,"",VLOOKUP(D1670,Krav!$C:$F,4,FALSE))</f>
        <v xml:space="preserve">10.a.2.1.2.5 - Hvis fordringshaver har svaret ”aldrig” i spm. 9, kan der ikke opsættes en FLEX-filter konfiguration for populationen. </v>
      </c>
      <c r="F1670" s="258" t="s">
        <v>174</v>
      </c>
      <c r="G1670" s="248"/>
      <c r="H1670" s="256"/>
      <c r="I1670" s="250" t="s">
        <v>1414</v>
      </c>
      <c r="J1670" s="251" t="s">
        <v>222</v>
      </c>
      <c r="K1670" s="125" t="s">
        <v>222</v>
      </c>
      <c r="L1670" s="252" t="s">
        <v>4</v>
      </c>
      <c r="M1670" s="253" t="s">
        <v>131</v>
      </c>
      <c r="N1670" s="253" t="s">
        <v>129</v>
      </c>
      <c r="O1670" s="253" t="s">
        <v>376</v>
      </c>
      <c r="P1670" s="253" t="s">
        <v>96</v>
      </c>
      <c r="Q1670" s="253" t="s">
        <v>131</v>
      </c>
      <c r="R1670" s="253" t="s">
        <v>129</v>
      </c>
      <c r="S1670" s="253" t="s">
        <v>131</v>
      </c>
      <c r="T1670" s="253"/>
      <c r="U1670" s="253"/>
      <c r="V1670" s="254" t="s">
        <v>295</v>
      </c>
      <c r="W1670" s="253" t="s">
        <v>166</v>
      </c>
      <c r="X1670" s="253" t="s">
        <v>166</v>
      </c>
      <c r="Y1670" s="253" t="s">
        <v>369</v>
      </c>
      <c r="Z1670" s="253"/>
      <c r="AA1670" s="253"/>
      <c r="AB1670" s="253"/>
      <c r="AC1670" s="253"/>
      <c r="AD1670" s="254" t="s">
        <v>5</v>
      </c>
    </row>
    <row r="1671" spans="1:30" s="255" customFormat="1" ht="33" customHeight="1" x14ac:dyDescent="0.3">
      <c r="A1671" s="167">
        <v>30</v>
      </c>
      <c r="B1671" s="168">
        <v>143</v>
      </c>
      <c r="C1671" s="245" t="str">
        <f t="shared" si="34"/>
        <v>30.143</v>
      </c>
      <c r="D1671" s="246" t="s">
        <v>1243</v>
      </c>
      <c r="E1671" s="64" t="str">
        <f>IF(ISBLANK(D1671)=TRUE,"",VLOOKUP(D1671,Krav!$C:$F,4,FALSE))</f>
        <v xml:space="preserve">10.a.2.1.2.5 - Hvis fordringshaver har svaret ”aldrig” i spm. 9, kan der ikke opsættes en FLEX-filter konfiguration for populationen. </v>
      </c>
      <c r="F1671" s="258" t="s">
        <v>174</v>
      </c>
      <c r="G1671" s="248"/>
      <c r="H1671" s="256" t="s">
        <v>1426</v>
      </c>
      <c r="I1671" s="250" t="s">
        <v>1414</v>
      </c>
      <c r="J1671" s="250" t="s">
        <v>222</v>
      </c>
      <c r="K1671" s="125" t="s">
        <v>222</v>
      </c>
      <c r="L1671" s="252" t="s">
        <v>4</v>
      </c>
      <c r="M1671" s="253" t="s">
        <v>131</v>
      </c>
      <c r="N1671" s="253" t="s">
        <v>129</v>
      </c>
      <c r="O1671" s="253" t="s">
        <v>376</v>
      </c>
      <c r="P1671" s="253" t="s">
        <v>96</v>
      </c>
      <c r="Q1671" s="253" t="s">
        <v>131</v>
      </c>
      <c r="R1671" s="253" t="s">
        <v>129</v>
      </c>
      <c r="S1671" s="253" t="s">
        <v>131</v>
      </c>
      <c r="T1671" s="253"/>
      <c r="U1671" s="253"/>
      <c r="V1671" s="253" t="s">
        <v>303</v>
      </c>
      <c r="W1671" s="253"/>
      <c r="X1671" s="253"/>
      <c r="Y1671" s="253"/>
      <c r="Z1671" s="253"/>
      <c r="AA1671" s="253"/>
      <c r="AB1671" s="253"/>
      <c r="AC1671" s="253"/>
      <c r="AD1671" s="254" t="s">
        <v>5</v>
      </c>
    </row>
    <row r="1672" spans="1:30" s="255" customFormat="1" ht="33" customHeight="1" x14ac:dyDescent="0.3">
      <c r="A1672" s="167">
        <v>30</v>
      </c>
      <c r="B1672" s="168">
        <v>144</v>
      </c>
      <c r="C1672" s="245" t="str">
        <f t="shared" si="34"/>
        <v>30.144</v>
      </c>
      <c r="D1672" s="246" t="s">
        <v>1238</v>
      </c>
      <c r="E1672" s="64" t="str">
        <f>IF(ISBLANK(D1672)=TRUE,"",VLOOKUP(D1672,Krav!$C:$F,4,FALSE))</f>
        <v>10.a.2.1.2.1 - Hvis der er svaret "I visse tilfælde" i spørgsmål 9 og hvis der er svaret "Ja" i enten 9.b.1, 9.b.2.1 eller 9.b.2.2.1 skal brugeren ledes til spørgsmål 11</v>
      </c>
      <c r="F1672" s="247" t="s">
        <v>143</v>
      </c>
      <c r="G1672" s="247" t="s">
        <v>1427</v>
      </c>
      <c r="H1672" s="256" t="s">
        <v>1433</v>
      </c>
      <c r="I1672" s="250" t="s">
        <v>468</v>
      </c>
      <c r="J1672" s="250" t="s">
        <v>222</v>
      </c>
      <c r="K1672" s="125" t="s">
        <v>222</v>
      </c>
      <c r="L1672" s="252" t="s">
        <v>3</v>
      </c>
      <c r="M1672" s="253" t="s">
        <v>131</v>
      </c>
      <c r="N1672" s="253" t="s">
        <v>129</v>
      </c>
      <c r="O1672" s="253" t="s">
        <v>376</v>
      </c>
      <c r="P1672" s="253" t="s">
        <v>96</v>
      </c>
      <c r="Q1672" s="253" t="s">
        <v>131</v>
      </c>
      <c r="R1672" s="253" t="s">
        <v>129</v>
      </c>
      <c r="S1672" s="253" t="s">
        <v>131</v>
      </c>
      <c r="T1672" s="253"/>
      <c r="U1672" s="253"/>
      <c r="V1672" s="254" t="s">
        <v>295</v>
      </c>
      <c r="W1672" s="253" t="s">
        <v>26</v>
      </c>
      <c r="X1672" s="253"/>
      <c r="Y1672" s="253"/>
      <c r="Z1672" s="253"/>
      <c r="AA1672" s="253"/>
      <c r="AB1672" s="253"/>
      <c r="AC1672" s="253"/>
      <c r="AD1672" s="254" t="s">
        <v>5</v>
      </c>
    </row>
    <row r="1673" spans="1:30" s="255" customFormat="1" ht="33" customHeight="1" x14ac:dyDescent="0.3">
      <c r="A1673" s="167">
        <v>30</v>
      </c>
      <c r="B1673" s="168">
        <v>145</v>
      </c>
      <c r="C1673" s="245" t="str">
        <f t="shared" si="34"/>
        <v>30.145</v>
      </c>
      <c r="D1673" s="246" t="s">
        <v>1238</v>
      </c>
      <c r="E1673" s="64" t="str">
        <f>IF(ISBLANK(D1673)=TRUE,"",VLOOKUP(D1673,Krav!$C:$F,4,FALSE))</f>
        <v>10.a.2.1.2.1 - Hvis der er svaret "I visse tilfælde" i spørgsmål 9 og hvis der er svaret "Ja" i enten 9.b.1, 9.b.2.1 eller 9.b.2.2.1 skal brugeren ledes til spørgsmål 11</v>
      </c>
      <c r="F1673" s="247" t="s">
        <v>143</v>
      </c>
      <c r="G1673" s="247" t="s">
        <v>1427</v>
      </c>
      <c r="H1673" s="256" t="s">
        <v>1433</v>
      </c>
      <c r="I1673" s="250" t="s">
        <v>468</v>
      </c>
      <c r="J1673" s="250" t="s">
        <v>222</v>
      </c>
      <c r="K1673" s="125" t="s">
        <v>222</v>
      </c>
      <c r="L1673" s="252" t="s">
        <v>3</v>
      </c>
      <c r="M1673" s="253" t="s">
        <v>131</v>
      </c>
      <c r="N1673" s="253" t="s">
        <v>129</v>
      </c>
      <c r="O1673" s="253" t="s">
        <v>376</v>
      </c>
      <c r="P1673" s="253" t="s">
        <v>96</v>
      </c>
      <c r="Q1673" s="253" t="s">
        <v>131</v>
      </c>
      <c r="R1673" s="253" t="s">
        <v>129</v>
      </c>
      <c r="S1673" s="253" t="s">
        <v>131</v>
      </c>
      <c r="T1673" s="253"/>
      <c r="U1673" s="253"/>
      <c r="V1673" s="254" t="s">
        <v>295</v>
      </c>
      <c r="W1673" s="253" t="s">
        <v>166</v>
      </c>
      <c r="X1673" s="253" t="s">
        <v>26</v>
      </c>
      <c r="Y1673" s="253"/>
      <c r="Z1673" s="253"/>
      <c r="AA1673" s="253"/>
      <c r="AB1673" s="253"/>
      <c r="AC1673" s="253"/>
      <c r="AD1673" s="254" t="s">
        <v>5</v>
      </c>
    </row>
    <row r="1674" spans="1:30" s="255" customFormat="1" ht="33" customHeight="1" x14ac:dyDescent="0.3">
      <c r="A1674" s="167">
        <v>30</v>
      </c>
      <c r="B1674" s="168">
        <v>146</v>
      </c>
      <c r="C1674" s="245" t="str">
        <f t="shared" si="34"/>
        <v>30.146</v>
      </c>
      <c r="D1674" s="246" t="s">
        <v>1238</v>
      </c>
      <c r="E1674" s="64" t="str">
        <f>IF(ISBLANK(D1674)=TRUE,"",VLOOKUP(D1674,Krav!$C:$F,4,FALSE))</f>
        <v>10.a.2.1.2.1 - Hvis der er svaret "I visse tilfælde" i spørgsmål 9 og hvis der er svaret "Ja" i enten 9.b.1, 9.b.2.1 eller 9.b.2.2.1 skal brugeren ledes til spørgsmål 11</v>
      </c>
      <c r="F1674" s="247" t="s">
        <v>143</v>
      </c>
      <c r="G1674" s="247" t="s">
        <v>1427</v>
      </c>
      <c r="H1674" s="256" t="s">
        <v>1433</v>
      </c>
      <c r="I1674" s="250" t="s">
        <v>468</v>
      </c>
      <c r="J1674" s="250" t="s">
        <v>222</v>
      </c>
      <c r="K1674" s="125" t="s">
        <v>222</v>
      </c>
      <c r="L1674" s="257" t="s">
        <v>3</v>
      </c>
      <c r="M1674" s="253" t="s">
        <v>131</v>
      </c>
      <c r="N1674" s="253" t="s">
        <v>129</v>
      </c>
      <c r="O1674" s="253" t="s">
        <v>376</v>
      </c>
      <c r="P1674" s="253" t="s">
        <v>96</v>
      </c>
      <c r="Q1674" s="253" t="s">
        <v>131</v>
      </c>
      <c r="R1674" s="253" t="s">
        <v>129</v>
      </c>
      <c r="S1674" s="253" t="s">
        <v>131</v>
      </c>
      <c r="T1674" s="253"/>
      <c r="U1674" s="253"/>
      <c r="V1674" s="254" t="s">
        <v>295</v>
      </c>
      <c r="W1674" s="253" t="s">
        <v>166</v>
      </c>
      <c r="X1674" s="253" t="s">
        <v>166</v>
      </c>
      <c r="Y1674" s="253" t="s">
        <v>580</v>
      </c>
      <c r="Z1674" s="253"/>
      <c r="AA1674" s="253"/>
      <c r="AB1674" s="253"/>
      <c r="AC1674" s="253"/>
      <c r="AD1674" s="254" t="s">
        <v>5</v>
      </c>
    </row>
    <row r="1675" spans="1:30" s="255" customFormat="1" ht="30.75" customHeight="1" x14ac:dyDescent="0.3">
      <c r="A1675" s="167">
        <v>30</v>
      </c>
      <c r="B1675" s="168">
        <v>147</v>
      </c>
      <c r="C1675" s="245" t="str">
        <f t="shared" si="34"/>
        <v>30.147</v>
      </c>
      <c r="D1675" s="246"/>
      <c r="E1675" s="64" t="str">
        <f>IF(ISBLANK(D1675)=TRUE,"",VLOOKUP(D1675,Krav!$C:$F,4,FALSE))</f>
        <v/>
      </c>
      <c r="F1675" s="247" t="s">
        <v>143</v>
      </c>
      <c r="G1675" s="247" t="s">
        <v>1427</v>
      </c>
      <c r="H1675" s="256" t="s">
        <v>1446</v>
      </c>
      <c r="I1675" s="250" t="s">
        <v>468</v>
      </c>
      <c r="J1675" s="250" t="s">
        <v>222</v>
      </c>
      <c r="K1675" s="125" t="s">
        <v>222</v>
      </c>
      <c r="L1675" s="257" t="s">
        <v>3</v>
      </c>
      <c r="M1675" s="253" t="s">
        <v>131</v>
      </c>
      <c r="N1675" s="253" t="s">
        <v>129</v>
      </c>
      <c r="O1675" s="253" t="s">
        <v>376</v>
      </c>
      <c r="P1675" s="253" t="s">
        <v>96</v>
      </c>
      <c r="Q1675" s="253" t="s">
        <v>131</v>
      </c>
      <c r="R1675" s="253" t="s">
        <v>129</v>
      </c>
      <c r="S1675" s="253" t="s">
        <v>131</v>
      </c>
      <c r="T1675" s="253"/>
      <c r="U1675" s="253"/>
      <c r="V1675" s="253" t="s">
        <v>294</v>
      </c>
      <c r="W1675" s="253"/>
      <c r="X1675" s="253"/>
      <c r="Y1675" s="253"/>
      <c r="Z1675" s="253"/>
      <c r="AA1675" s="253"/>
      <c r="AB1675" s="253"/>
      <c r="AC1675" s="253"/>
      <c r="AD1675" s="254" t="s">
        <v>5</v>
      </c>
    </row>
    <row r="1676" spans="1:30" s="255" customFormat="1" ht="33" customHeight="1" x14ac:dyDescent="0.3">
      <c r="A1676" s="167">
        <v>30</v>
      </c>
      <c r="B1676" s="168">
        <v>148</v>
      </c>
      <c r="C1676" s="245" t="str">
        <f t="shared" si="34"/>
        <v>30.148</v>
      </c>
      <c r="D1676" s="246" t="s">
        <v>1238</v>
      </c>
      <c r="E1676" s="64" t="str">
        <f>IF(ISBLANK(D1676)=TRUE,"",VLOOKUP(D1676,Krav!$C:$F,4,FALSE))</f>
        <v>10.a.2.1.2.1 - Hvis der er svaret "I visse tilfælde" i spørgsmål 9 og hvis der er svaret "Ja" i enten 9.b.1, 9.b.2.1 eller 9.b.2.2.1 skal brugeren ledes til spørgsmål 11</v>
      </c>
      <c r="F1676" s="247" t="s">
        <v>143</v>
      </c>
      <c r="G1676" s="247" t="s">
        <v>1427</v>
      </c>
      <c r="H1676" s="256" t="s">
        <v>1433</v>
      </c>
      <c r="I1676" s="250" t="s">
        <v>565</v>
      </c>
      <c r="J1676" s="250" t="s">
        <v>222</v>
      </c>
      <c r="K1676" s="125" t="s">
        <v>222</v>
      </c>
      <c r="L1676" s="252" t="s">
        <v>3</v>
      </c>
      <c r="M1676" s="253" t="s">
        <v>131</v>
      </c>
      <c r="N1676" s="253" t="s">
        <v>129</v>
      </c>
      <c r="O1676" s="253" t="s">
        <v>376</v>
      </c>
      <c r="P1676" s="253" t="s">
        <v>96</v>
      </c>
      <c r="Q1676" s="253" t="s">
        <v>131</v>
      </c>
      <c r="R1676" s="253" t="s">
        <v>129</v>
      </c>
      <c r="S1676" s="253" t="s">
        <v>131</v>
      </c>
      <c r="T1676" s="253"/>
      <c r="U1676" s="253"/>
      <c r="V1676" s="254" t="s">
        <v>295</v>
      </c>
      <c r="W1676" s="253" t="s">
        <v>26</v>
      </c>
      <c r="X1676" s="253"/>
      <c r="Y1676" s="253"/>
      <c r="Z1676" s="253"/>
      <c r="AA1676" s="253"/>
      <c r="AB1676" s="253" t="s">
        <v>129</v>
      </c>
      <c r="AC1676" s="253"/>
      <c r="AD1676" s="254" t="s">
        <v>5</v>
      </c>
    </row>
    <row r="1677" spans="1:30" s="255" customFormat="1" ht="33" customHeight="1" x14ac:dyDescent="0.3">
      <c r="A1677" s="167">
        <v>30</v>
      </c>
      <c r="B1677" s="168">
        <v>149</v>
      </c>
      <c r="C1677" s="245" t="str">
        <f t="shared" si="34"/>
        <v>30.149</v>
      </c>
      <c r="D1677" s="246" t="s">
        <v>1238</v>
      </c>
      <c r="E1677" s="64" t="str">
        <f>IF(ISBLANK(D1677)=TRUE,"",VLOOKUP(D1677,Krav!$C:$F,4,FALSE))</f>
        <v>10.a.2.1.2.1 - Hvis der er svaret "I visse tilfælde" i spørgsmål 9 og hvis der er svaret "Ja" i enten 9.b.1, 9.b.2.1 eller 9.b.2.2.1 skal brugeren ledes til spørgsmål 11</v>
      </c>
      <c r="F1677" s="247" t="s">
        <v>143</v>
      </c>
      <c r="G1677" s="247" t="s">
        <v>1427</v>
      </c>
      <c r="H1677" s="256" t="s">
        <v>1433</v>
      </c>
      <c r="I1677" s="250" t="s">
        <v>565</v>
      </c>
      <c r="J1677" s="250" t="s">
        <v>222</v>
      </c>
      <c r="K1677" s="125" t="s">
        <v>222</v>
      </c>
      <c r="L1677" s="252" t="s">
        <v>3</v>
      </c>
      <c r="M1677" s="253" t="s">
        <v>131</v>
      </c>
      <c r="N1677" s="253" t="s">
        <v>129</v>
      </c>
      <c r="O1677" s="253" t="s">
        <v>376</v>
      </c>
      <c r="P1677" s="253" t="s">
        <v>96</v>
      </c>
      <c r="Q1677" s="253" t="s">
        <v>131</v>
      </c>
      <c r="R1677" s="253" t="s">
        <v>129</v>
      </c>
      <c r="S1677" s="253" t="s">
        <v>131</v>
      </c>
      <c r="T1677" s="253"/>
      <c r="U1677" s="253"/>
      <c r="V1677" s="254" t="s">
        <v>295</v>
      </c>
      <c r="W1677" s="253" t="s">
        <v>166</v>
      </c>
      <c r="X1677" s="253" t="s">
        <v>26</v>
      </c>
      <c r="Y1677" s="253"/>
      <c r="Z1677" s="253"/>
      <c r="AA1677" s="253"/>
      <c r="AB1677" s="253" t="s">
        <v>129</v>
      </c>
      <c r="AC1677" s="253"/>
      <c r="AD1677" s="254" t="s">
        <v>5</v>
      </c>
    </row>
    <row r="1678" spans="1:30" s="255" customFormat="1" ht="33" customHeight="1" x14ac:dyDescent="0.3">
      <c r="A1678" s="167">
        <v>30</v>
      </c>
      <c r="B1678" s="168">
        <v>150</v>
      </c>
      <c r="C1678" s="245" t="str">
        <f t="shared" si="34"/>
        <v>30.150</v>
      </c>
      <c r="D1678" s="246" t="s">
        <v>1238</v>
      </c>
      <c r="E1678" s="64" t="str">
        <f>IF(ISBLANK(D1678)=TRUE,"",VLOOKUP(D1678,Krav!$C:$F,4,FALSE))</f>
        <v>10.a.2.1.2.1 - Hvis der er svaret "I visse tilfælde" i spørgsmål 9 og hvis der er svaret "Ja" i enten 9.b.1, 9.b.2.1 eller 9.b.2.2.1 skal brugeren ledes til spørgsmål 11</v>
      </c>
      <c r="F1678" s="247" t="s">
        <v>143</v>
      </c>
      <c r="G1678" s="247" t="s">
        <v>1427</v>
      </c>
      <c r="H1678" s="256" t="s">
        <v>1433</v>
      </c>
      <c r="I1678" s="250" t="s">
        <v>565</v>
      </c>
      <c r="J1678" s="250" t="s">
        <v>222</v>
      </c>
      <c r="K1678" s="125" t="s">
        <v>222</v>
      </c>
      <c r="L1678" s="257" t="s">
        <v>3</v>
      </c>
      <c r="M1678" s="253" t="s">
        <v>131</v>
      </c>
      <c r="N1678" s="253" t="s">
        <v>129</v>
      </c>
      <c r="O1678" s="253" t="s">
        <v>376</v>
      </c>
      <c r="P1678" s="253" t="s">
        <v>96</v>
      </c>
      <c r="Q1678" s="253" t="s">
        <v>131</v>
      </c>
      <c r="R1678" s="253" t="s">
        <v>129</v>
      </c>
      <c r="S1678" s="253" t="s">
        <v>131</v>
      </c>
      <c r="T1678" s="253"/>
      <c r="U1678" s="253"/>
      <c r="V1678" s="254" t="s">
        <v>295</v>
      </c>
      <c r="W1678" s="253" t="s">
        <v>166</v>
      </c>
      <c r="X1678" s="253" t="s">
        <v>166</v>
      </c>
      <c r="Y1678" s="253" t="s">
        <v>580</v>
      </c>
      <c r="Z1678" s="253"/>
      <c r="AA1678" s="253"/>
      <c r="AB1678" s="253" t="s">
        <v>129</v>
      </c>
      <c r="AC1678" s="253"/>
      <c r="AD1678" s="254" t="s">
        <v>5</v>
      </c>
    </row>
    <row r="1679" spans="1:30" s="255" customFormat="1" ht="33" customHeight="1" x14ac:dyDescent="0.3">
      <c r="A1679" s="167">
        <v>30</v>
      </c>
      <c r="B1679" s="168">
        <v>151</v>
      </c>
      <c r="C1679" s="245" t="str">
        <f t="shared" si="34"/>
        <v>30.151</v>
      </c>
      <c r="D1679" s="246"/>
      <c r="E1679" s="64" t="str">
        <f>IF(ISBLANK(D1679)=TRUE,"",VLOOKUP(D1679,Krav!$C:$F,4,FALSE))</f>
        <v/>
      </c>
      <c r="F1679" s="247" t="s">
        <v>143</v>
      </c>
      <c r="G1679" s="247" t="s">
        <v>1427</v>
      </c>
      <c r="H1679" s="256" t="s">
        <v>1446</v>
      </c>
      <c r="I1679" s="250" t="s">
        <v>565</v>
      </c>
      <c r="J1679" s="250" t="s">
        <v>222</v>
      </c>
      <c r="K1679" s="125" t="s">
        <v>222</v>
      </c>
      <c r="L1679" s="257" t="s">
        <v>3</v>
      </c>
      <c r="M1679" s="253" t="s">
        <v>131</v>
      </c>
      <c r="N1679" s="253" t="s">
        <v>129</v>
      </c>
      <c r="O1679" s="253" t="s">
        <v>376</v>
      </c>
      <c r="P1679" s="253" t="s">
        <v>96</v>
      </c>
      <c r="Q1679" s="253" t="s">
        <v>131</v>
      </c>
      <c r="R1679" s="253" t="s">
        <v>129</v>
      </c>
      <c r="S1679" s="253" t="s">
        <v>131</v>
      </c>
      <c r="T1679" s="253"/>
      <c r="U1679" s="253"/>
      <c r="V1679" s="253" t="s">
        <v>294</v>
      </c>
      <c r="W1679" s="253"/>
      <c r="X1679" s="253"/>
      <c r="Y1679" s="253"/>
      <c r="Z1679" s="253"/>
      <c r="AA1679" s="253"/>
      <c r="AB1679" s="253" t="s">
        <v>129</v>
      </c>
      <c r="AC1679" s="253"/>
      <c r="AD1679" s="254" t="s">
        <v>5</v>
      </c>
    </row>
    <row r="1680" spans="1:30" s="271" customFormat="1" ht="33" customHeight="1" x14ac:dyDescent="0.3">
      <c r="A1680" s="167">
        <v>30</v>
      </c>
      <c r="B1680" s="168">
        <v>152</v>
      </c>
      <c r="C1680" s="261" t="str">
        <f t="shared" si="34"/>
        <v>30.152</v>
      </c>
      <c r="D1680" s="262" t="s">
        <v>1255</v>
      </c>
      <c r="E1680" s="64" t="str">
        <f>IF(ISBLANK(D1680)=TRUE,"",VLOOKUP(D1680,Krav!$C:$F,4,FALSE))</f>
        <v>10.a.2.2.12 - Der angives et "NEJ" i i populationen under ”vil RIM beregne en tidligst mulig forældelsesdato?"</v>
      </c>
      <c r="F1680" s="263" t="s">
        <v>221</v>
      </c>
      <c r="G1680" s="264"/>
      <c r="H1680" s="265" t="s">
        <v>1430</v>
      </c>
      <c r="I1680" s="266" t="s">
        <v>241</v>
      </c>
      <c r="J1680" s="267" t="s">
        <v>222</v>
      </c>
      <c r="K1680" s="125" t="s">
        <v>222</v>
      </c>
      <c r="L1680" s="268" t="s">
        <v>3</v>
      </c>
      <c r="M1680" s="269" t="s">
        <v>131</v>
      </c>
      <c r="N1680" s="269" t="s">
        <v>129</v>
      </c>
      <c r="O1680" s="269" t="s">
        <v>96</v>
      </c>
      <c r="P1680" s="269" t="s">
        <v>376</v>
      </c>
      <c r="Q1680" s="269" t="s">
        <v>129</v>
      </c>
      <c r="R1680" s="269" t="s">
        <v>131</v>
      </c>
      <c r="S1680" s="269" t="s">
        <v>131</v>
      </c>
      <c r="T1680" s="269"/>
      <c r="U1680" s="269"/>
      <c r="V1680" s="269"/>
      <c r="W1680" s="269"/>
      <c r="X1680" s="269"/>
      <c r="Y1680" s="269"/>
      <c r="Z1680" s="269"/>
      <c r="AA1680" s="269"/>
      <c r="AB1680" s="269"/>
      <c r="AC1680" s="269"/>
      <c r="AD1680" s="270" t="s">
        <v>5</v>
      </c>
    </row>
    <row r="1681" spans="1:30" s="271" customFormat="1" ht="33" customHeight="1" x14ac:dyDescent="0.3">
      <c r="A1681" s="167">
        <v>30</v>
      </c>
      <c r="B1681" s="168">
        <v>153</v>
      </c>
      <c r="C1681" s="261" t="str">
        <f t="shared" si="34"/>
        <v>30.153</v>
      </c>
      <c r="D1681" s="262" t="s">
        <v>1256</v>
      </c>
      <c r="E1681" s="64" t="str">
        <f>IF(ISBLANK(D1681)=TRUE,"",VLOOKUP(D1681,Krav!$C:$F,4,FALSE))</f>
        <v>10.a.2.2.13 - Gruppe 1 deaktiveres</v>
      </c>
      <c r="F1681" s="263" t="s">
        <v>227</v>
      </c>
      <c r="G1681" s="264"/>
      <c r="H1681" s="272" t="s">
        <v>1423</v>
      </c>
      <c r="I1681" s="266" t="s">
        <v>241</v>
      </c>
      <c r="J1681" s="267" t="s">
        <v>222</v>
      </c>
      <c r="K1681" s="125" t="s">
        <v>222</v>
      </c>
      <c r="L1681" s="268" t="s">
        <v>3</v>
      </c>
      <c r="M1681" s="269" t="s">
        <v>131</v>
      </c>
      <c r="N1681" s="269" t="s">
        <v>129</v>
      </c>
      <c r="O1681" s="269" t="s">
        <v>96</v>
      </c>
      <c r="P1681" s="269" t="s">
        <v>376</v>
      </c>
      <c r="Q1681" s="269" t="s">
        <v>129</v>
      </c>
      <c r="R1681" s="269" t="s">
        <v>131</v>
      </c>
      <c r="S1681" s="269" t="s">
        <v>131</v>
      </c>
      <c r="T1681" s="269"/>
      <c r="U1681" s="269"/>
      <c r="V1681" s="269"/>
      <c r="W1681" s="269"/>
      <c r="X1681" s="269"/>
      <c r="Y1681" s="269"/>
      <c r="Z1681" s="269"/>
      <c r="AA1681" s="269"/>
      <c r="AB1681" s="269"/>
      <c r="AC1681" s="269"/>
      <c r="AD1681" s="270" t="s">
        <v>5</v>
      </c>
    </row>
    <row r="1682" spans="1:30" s="271" customFormat="1" ht="33" customHeight="1" x14ac:dyDescent="0.3">
      <c r="A1682" s="167">
        <v>30</v>
      </c>
      <c r="B1682" s="168">
        <v>154</v>
      </c>
      <c r="C1682" s="261" t="str">
        <f t="shared" si="34"/>
        <v>30.154</v>
      </c>
      <c r="D1682" s="262"/>
      <c r="E1682" s="64" t="str">
        <f>IF(ISBLANK(D1682)=TRUE,"",VLOOKUP(D1682,Krav!$C:$F,4,FALSE))</f>
        <v/>
      </c>
      <c r="F1682" s="263" t="s">
        <v>225</v>
      </c>
      <c r="G1682" s="264" t="s">
        <v>230</v>
      </c>
      <c r="H1682" s="265" t="s">
        <v>1431</v>
      </c>
      <c r="I1682" s="266" t="s">
        <v>1407</v>
      </c>
      <c r="J1682" s="267" t="s">
        <v>222</v>
      </c>
      <c r="K1682" s="125" t="s">
        <v>222</v>
      </c>
      <c r="L1682" s="268" t="s">
        <v>3</v>
      </c>
      <c r="M1682" s="269" t="s">
        <v>131</v>
      </c>
      <c r="N1682" s="269" t="s">
        <v>129</v>
      </c>
      <c r="O1682" s="269" t="s">
        <v>96</v>
      </c>
      <c r="P1682" s="269" t="s">
        <v>376</v>
      </c>
      <c r="Q1682" s="269" t="s">
        <v>129</v>
      </c>
      <c r="R1682" s="269" t="s">
        <v>131</v>
      </c>
      <c r="S1682" s="269" t="s">
        <v>131</v>
      </c>
      <c r="T1682" s="269"/>
      <c r="U1682" s="269"/>
      <c r="V1682" s="269"/>
      <c r="W1682" s="269"/>
      <c r="X1682" s="269"/>
      <c r="Y1682" s="269"/>
      <c r="Z1682" s="269"/>
      <c r="AA1682" s="269"/>
      <c r="AB1682" s="269"/>
      <c r="AC1682" s="269"/>
      <c r="AD1682" s="270" t="s">
        <v>5</v>
      </c>
    </row>
    <row r="1683" spans="1:30" s="271" customFormat="1" ht="33" customHeight="1" x14ac:dyDescent="0.3">
      <c r="A1683" s="167">
        <v>30</v>
      </c>
      <c r="B1683" s="168">
        <v>155</v>
      </c>
      <c r="C1683" s="261" t="str">
        <f t="shared" si="34"/>
        <v>30.155</v>
      </c>
      <c r="D1683" s="262"/>
      <c r="E1683" s="64" t="str">
        <f>IF(ISBLANK(D1683)=TRUE,"",VLOOKUP(D1683,Krav!$C:$F,4,FALSE))</f>
        <v/>
      </c>
      <c r="F1683" s="263" t="s">
        <v>225</v>
      </c>
      <c r="G1683" s="264" t="s">
        <v>1390</v>
      </c>
      <c r="H1683" s="265" t="s">
        <v>1431</v>
      </c>
      <c r="I1683" s="266" t="s">
        <v>369</v>
      </c>
      <c r="J1683" s="267" t="s">
        <v>222</v>
      </c>
      <c r="K1683" s="125" t="s">
        <v>222</v>
      </c>
      <c r="L1683" s="268" t="s">
        <v>3</v>
      </c>
      <c r="M1683" s="269" t="s">
        <v>131</v>
      </c>
      <c r="N1683" s="269" t="s">
        <v>129</v>
      </c>
      <c r="O1683" s="269" t="s">
        <v>96</v>
      </c>
      <c r="P1683" s="269" t="s">
        <v>376</v>
      </c>
      <c r="Q1683" s="269" t="s">
        <v>129</v>
      </c>
      <c r="R1683" s="269" t="s">
        <v>131</v>
      </c>
      <c r="S1683" s="269" t="s">
        <v>131</v>
      </c>
      <c r="T1683" s="269"/>
      <c r="U1683" s="269"/>
      <c r="V1683" s="269"/>
      <c r="W1683" s="269"/>
      <c r="X1683" s="269"/>
      <c r="Y1683" s="269"/>
      <c r="Z1683" s="269"/>
      <c r="AA1683" s="269"/>
      <c r="AB1683" s="269"/>
      <c r="AC1683" s="269"/>
      <c r="AD1683" s="270" t="s">
        <v>5</v>
      </c>
    </row>
    <row r="1684" spans="1:30" s="271" customFormat="1" ht="33" customHeight="1" x14ac:dyDescent="0.3">
      <c r="A1684" s="167">
        <v>30</v>
      </c>
      <c r="B1684" s="168">
        <v>156</v>
      </c>
      <c r="C1684" s="261" t="str">
        <f t="shared" si="34"/>
        <v>30.156</v>
      </c>
      <c r="D1684" s="262" t="s">
        <v>1257</v>
      </c>
      <c r="E1684" s="64" t="str">
        <f>IF(ISBLANK(D1684)=TRUE,"",VLOOKUP(D1684,Krav!$C:$F,4,FALSE))</f>
        <v>10.a.2.2.14 -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84" s="273" t="s">
        <v>174</v>
      </c>
      <c r="G1684" s="264"/>
      <c r="H1684" s="265" t="s">
        <v>1424</v>
      </c>
      <c r="I1684" s="266" t="s">
        <v>1425</v>
      </c>
      <c r="J1684" s="267" t="s">
        <v>222</v>
      </c>
      <c r="K1684" s="125" t="s">
        <v>222</v>
      </c>
      <c r="L1684" s="268" t="s">
        <v>3</v>
      </c>
      <c r="M1684" s="269" t="s">
        <v>131</v>
      </c>
      <c r="N1684" s="269" t="s">
        <v>129</v>
      </c>
      <c r="O1684" s="269" t="s">
        <v>96</v>
      </c>
      <c r="P1684" s="269" t="s">
        <v>376</v>
      </c>
      <c r="Q1684" s="269" t="s">
        <v>129</v>
      </c>
      <c r="R1684" s="269" t="s">
        <v>131</v>
      </c>
      <c r="S1684" s="269" t="s">
        <v>131</v>
      </c>
      <c r="T1684" s="269"/>
      <c r="U1684" s="269"/>
      <c r="V1684" s="269" t="s">
        <v>294</v>
      </c>
      <c r="W1684" s="269"/>
      <c r="X1684" s="269"/>
      <c r="Y1684" s="269"/>
      <c r="Z1684" s="269"/>
      <c r="AA1684" s="269"/>
      <c r="AB1684" s="269"/>
      <c r="AC1684" s="269"/>
      <c r="AD1684" s="270" t="s">
        <v>5</v>
      </c>
    </row>
    <row r="1685" spans="1:30" s="271" customFormat="1" ht="33" customHeight="1" x14ac:dyDescent="0.3">
      <c r="A1685" s="167">
        <v>30</v>
      </c>
      <c r="B1685" s="168">
        <v>157</v>
      </c>
      <c r="C1685" s="261" t="str">
        <f t="shared" si="34"/>
        <v>30.157</v>
      </c>
      <c r="D1685" s="262" t="s">
        <v>1257</v>
      </c>
      <c r="E1685" s="64" t="str">
        <f>IF(ISBLANK(D1685)=TRUE,"",VLOOKUP(D1685,Krav!$C:$F,4,FALSE))</f>
        <v>10.a.2.2.14 -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85" s="273" t="s">
        <v>174</v>
      </c>
      <c r="G1685" s="263"/>
      <c r="H1685" s="265" t="s">
        <v>1447</v>
      </c>
      <c r="I1685" s="266" t="s">
        <v>1425</v>
      </c>
      <c r="J1685" s="267" t="s">
        <v>222</v>
      </c>
      <c r="K1685" s="125" t="s">
        <v>222</v>
      </c>
      <c r="L1685" s="268" t="s">
        <v>3</v>
      </c>
      <c r="M1685" s="269" t="s">
        <v>131</v>
      </c>
      <c r="N1685" s="269" t="s">
        <v>129</v>
      </c>
      <c r="O1685" s="269" t="s">
        <v>96</v>
      </c>
      <c r="P1685" s="269" t="s">
        <v>376</v>
      </c>
      <c r="Q1685" s="269" t="s">
        <v>129</v>
      </c>
      <c r="R1685" s="269" t="s">
        <v>131</v>
      </c>
      <c r="S1685" s="269" t="s">
        <v>131</v>
      </c>
      <c r="T1685" s="269"/>
      <c r="U1685" s="269"/>
      <c r="V1685" s="270" t="s">
        <v>295</v>
      </c>
      <c r="W1685" s="269" t="s">
        <v>26</v>
      </c>
      <c r="X1685" s="269"/>
      <c r="Y1685" s="269"/>
      <c r="Z1685" s="269"/>
      <c r="AA1685" s="269"/>
      <c r="AB1685" s="269"/>
      <c r="AC1685" s="269"/>
      <c r="AD1685" s="270" t="s">
        <v>5</v>
      </c>
    </row>
    <row r="1686" spans="1:30" s="271" customFormat="1" ht="33" customHeight="1" x14ac:dyDescent="0.3">
      <c r="A1686" s="167">
        <v>30</v>
      </c>
      <c r="B1686" s="168">
        <v>158</v>
      </c>
      <c r="C1686" s="261" t="str">
        <f t="shared" si="34"/>
        <v>30.158</v>
      </c>
      <c r="D1686" s="262" t="s">
        <v>1257</v>
      </c>
      <c r="E1686" s="64" t="str">
        <f>IF(ISBLANK(D1686)=TRUE,"",VLOOKUP(D1686,Krav!$C:$F,4,FALSE))</f>
        <v>10.a.2.2.14 -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86" s="273" t="s">
        <v>174</v>
      </c>
      <c r="G1686" s="264"/>
      <c r="H1686" s="265" t="s">
        <v>1447</v>
      </c>
      <c r="I1686" s="267" t="s">
        <v>1425</v>
      </c>
      <c r="J1686" s="267" t="s">
        <v>222</v>
      </c>
      <c r="K1686" s="125" t="s">
        <v>222</v>
      </c>
      <c r="L1686" s="268" t="s">
        <v>3</v>
      </c>
      <c r="M1686" s="269" t="s">
        <v>131</v>
      </c>
      <c r="N1686" s="269" t="s">
        <v>129</v>
      </c>
      <c r="O1686" s="269" t="s">
        <v>96</v>
      </c>
      <c r="P1686" s="269" t="s">
        <v>376</v>
      </c>
      <c r="Q1686" s="269" t="s">
        <v>129</v>
      </c>
      <c r="R1686" s="269" t="s">
        <v>131</v>
      </c>
      <c r="S1686" s="269" t="s">
        <v>131</v>
      </c>
      <c r="T1686" s="269"/>
      <c r="U1686" s="269"/>
      <c r="V1686" s="270" t="s">
        <v>295</v>
      </c>
      <c r="W1686" s="269" t="s">
        <v>166</v>
      </c>
      <c r="X1686" s="269" t="s">
        <v>26</v>
      </c>
      <c r="Y1686" s="269"/>
      <c r="Z1686" s="269"/>
      <c r="AA1686" s="269"/>
      <c r="AB1686" s="269"/>
      <c r="AC1686" s="269"/>
      <c r="AD1686" s="270" t="s">
        <v>5</v>
      </c>
    </row>
    <row r="1687" spans="1:30" s="271" customFormat="1" ht="33" customHeight="1" x14ac:dyDescent="0.3">
      <c r="A1687" s="167">
        <v>30</v>
      </c>
      <c r="B1687" s="168">
        <v>159</v>
      </c>
      <c r="C1687" s="261" t="str">
        <f t="shared" si="34"/>
        <v>30.159</v>
      </c>
      <c r="D1687" s="262" t="s">
        <v>1257</v>
      </c>
      <c r="E1687" s="64" t="str">
        <f>IF(ISBLANK(D1687)=TRUE,"",VLOOKUP(D1687,Krav!$C:$F,4,FALSE))</f>
        <v>10.a.2.2.14 -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687" s="273" t="s">
        <v>174</v>
      </c>
      <c r="G1687" s="263"/>
      <c r="H1687" s="265" t="s">
        <v>1447</v>
      </c>
      <c r="I1687" s="266" t="s">
        <v>1425</v>
      </c>
      <c r="J1687" s="267" t="s">
        <v>222</v>
      </c>
      <c r="K1687" s="125" t="s">
        <v>222</v>
      </c>
      <c r="L1687" s="268" t="s">
        <v>3</v>
      </c>
      <c r="M1687" s="269" t="s">
        <v>131</v>
      </c>
      <c r="N1687" s="269" t="s">
        <v>129</v>
      </c>
      <c r="O1687" s="269" t="s">
        <v>96</v>
      </c>
      <c r="P1687" s="269" t="s">
        <v>376</v>
      </c>
      <c r="Q1687" s="269" t="s">
        <v>129</v>
      </c>
      <c r="R1687" s="269" t="s">
        <v>131</v>
      </c>
      <c r="S1687" s="269" t="s">
        <v>131</v>
      </c>
      <c r="T1687" s="269"/>
      <c r="U1687" s="269"/>
      <c r="V1687" s="270" t="s">
        <v>295</v>
      </c>
      <c r="W1687" s="269" t="s">
        <v>166</v>
      </c>
      <c r="X1687" s="269" t="s">
        <v>166</v>
      </c>
      <c r="Y1687" s="269" t="s">
        <v>580</v>
      </c>
      <c r="Z1687" s="269"/>
      <c r="AA1687" s="269"/>
      <c r="AB1687" s="269"/>
      <c r="AC1687" s="269"/>
      <c r="AD1687" s="270" t="s">
        <v>5</v>
      </c>
    </row>
    <row r="1688" spans="1:30" s="271" customFormat="1" ht="33" customHeight="1" x14ac:dyDescent="0.3">
      <c r="A1688" s="167">
        <v>30</v>
      </c>
      <c r="B1688" s="168">
        <v>160</v>
      </c>
      <c r="C1688" s="261" t="str">
        <f t="shared" si="34"/>
        <v>30.160</v>
      </c>
      <c r="D1688" s="262" t="s">
        <v>1258</v>
      </c>
      <c r="E1688" s="64" t="str">
        <f>IF(ISBLANK(D1688)=TRUE,"",VLOOKUP(D1688,Krav!$C:$F,4,FALSE))</f>
        <v xml:space="preserve">10.a.2.2.15 - Hvis fordringshaver har svaret ”aldrig” i spm. 9, kan der ikke opsættes en FLEX-filter konfiguration for populationen. </v>
      </c>
      <c r="F1688" s="273" t="s">
        <v>174</v>
      </c>
      <c r="G1688" s="264"/>
      <c r="H1688" s="265"/>
      <c r="I1688" s="266" t="s">
        <v>1414</v>
      </c>
      <c r="J1688" s="267" t="s">
        <v>222</v>
      </c>
      <c r="K1688" s="125" t="s">
        <v>222</v>
      </c>
      <c r="L1688" s="268" t="s">
        <v>4</v>
      </c>
      <c r="M1688" s="269" t="s">
        <v>131</v>
      </c>
      <c r="N1688" s="269" t="s">
        <v>129</v>
      </c>
      <c r="O1688" s="269" t="s">
        <v>96</v>
      </c>
      <c r="P1688" s="269" t="s">
        <v>376</v>
      </c>
      <c r="Q1688" s="269" t="s">
        <v>129</v>
      </c>
      <c r="R1688" s="269" t="s">
        <v>131</v>
      </c>
      <c r="S1688" s="269" t="s">
        <v>131</v>
      </c>
      <c r="T1688" s="269"/>
      <c r="U1688" s="269"/>
      <c r="V1688" s="270" t="s">
        <v>295</v>
      </c>
      <c r="W1688" s="269" t="s">
        <v>166</v>
      </c>
      <c r="X1688" s="269" t="s">
        <v>166</v>
      </c>
      <c r="Y1688" s="269" t="s">
        <v>369</v>
      </c>
      <c r="Z1688" s="269"/>
      <c r="AA1688" s="269"/>
      <c r="AB1688" s="269"/>
      <c r="AC1688" s="269"/>
      <c r="AD1688" s="270" t="s">
        <v>5</v>
      </c>
    </row>
    <row r="1689" spans="1:30" s="271" customFormat="1" ht="33" customHeight="1" x14ac:dyDescent="0.3">
      <c r="A1689" s="167">
        <v>30</v>
      </c>
      <c r="B1689" s="168">
        <v>161</v>
      </c>
      <c r="C1689" s="261" t="str">
        <f t="shared" si="34"/>
        <v>30.161</v>
      </c>
      <c r="D1689" s="262" t="s">
        <v>1258</v>
      </c>
      <c r="E1689" s="64" t="str">
        <f>IF(ISBLANK(D1689)=TRUE,"",VLOOKUP(D1689,Krav!$C:$F,4,FALSE))</f>
        <v xml:space="preserve">10.a.2.2.15 - Hvis fordringshaver har svaret ”aldrig” i spm. 9, kan der ikke opsættes en FLEX-filter konfiguration for populationen. </v>
      </c>
      <c r="F1689" s="273" t="s">
        <v>174</v>
      </c>
      <c r="G1689" s="264"/>
      <c r="H1689" s="265" t="s">
        <v>1426</v>
      </c>
      <c r="I1689" s="266" t="s">
        <v>1414</v>
      </c>
      <c r="J1689" s="266" t="s">
        <v>222</v>
      </c>
      <c r="K1689" s="125" t="s">
        <v>222</v>
      </c>
      <c r="L1689" s="268" t="s">
        <v>4</v>
      </c>
      <c r="M1689" s="269" t="s">
        <v>131</v>
      </c>
      <c r="N1689" s="269" t="s">
        <v>129</v>
      </c>
      <c r="O1689" s="269" t="s">
        <v>96</v>
      </c>
      <c r="P1689" s="269" t="s">
        <v>376</v>
      </c>
      <c r="Q1689" s="269" t="s">
        <v>129</v>
      </c>
      <c r="R1689" s="269" t="s">
        <v>131</v>
      </c>
      <c r="S1689" s="269" t="s">
        <v>131</v>
      </c>
      <c r="T1689" s="269"/>
      <c r="U1689" s="269"/>
      <c r="V1689" s="269" t="s">
        <v>303</v>
      </c>
      <c r="W1689" s="269"/>
      <c r="X1689" s="269"/>
      <c r="Y1689" s="269"/>
      <c r="Z1689" s="269"/>
      <c r="AA1689" s="269"/>
      <c r="AB1689" s="269"/>
      <c r="AC1689" s="269"/>
      <c r="AD1689" s="270" t="s">
        <v>5</v>
      </c>
    </row>
    <row r="1690" spans="1:30" s="271" customFormat="1" ht="33" customHeight="1" x14ac:dyDescent="0.3">
      <c r="A1690" s="167">
        <v>30</v>
      </c>
      <c r="B1690" s="168">
        <v>162</v>
      </c>
      <c r="C1690" s="261" t="str">
        <f t="shared" si="34"/>
        <v>30.162</v>
      </c>
      <c r="D1690" s="262" t="s">
        <v>1254</v>
      </c>
      <c r="E1690" s="64" t="str">
        <f>IF(ISBLANK(D1690)=TRUE,"",VLOOKUP(D1690,Krav!$C:$F,4,FALSE))</f>
        <v>10.a.2.2.11 - Hvis der er svaret "I visse tilfælde" i spørgsmål 9 og hvis der er svaret "Ja" i enten 9.b.1, 9.b.2.1 eller 9.b.2.2.1 skal brugeren ledes til spørgsmål 11</v>
      </c>
      <c r="F1690" s="263" t="s">
        <v>143</v>
      </c>
      <c r="G1690" s="263" t="s">
        <v>1427</v>
      </c>
      <c r="H1690" s="265" t="s">
        <v>1433</v>
      </c>
      <c r="I1690" s="266" t="s">
        <v>468</v>
      </c>
      <c r="J1690" s="266" t="s">
        <v>222</v>
      </c>
      <c r="K1690" s="125" t="s">
        <v>222</v>
      </c>
      <c r="L1690" s="268" t="s">
        <v>3</v>
      </c>
      <c r="M1690" s="269" t="s">
        <v>131</v>
      </c>
      <c r="N1690" s="269" t="s">
        <v>129</v>
      </c>
      <c r="O1690" s="269" t="s">
        <v>96</v>
      </c>
      <c r="P1690" s="269" t="s">
        <v>376</v>
      </c>
      <c r="Q1690" s="269" t="s">
        <v>129</v>
      </c>
      <c r="R1690" s="269" t="s">
        <v>131</v>
      </c>
      <c r="S1690" s="269" t="s">
        <v>131</v>
      </c>
      <c r="T1690" s="269"/>
      <c r="U1690" s="269"/>
      <c r="V1690" s="270" t="s">
        <v>295</v>
      </c>
      <c r="W1690" s="269" t="s">
        <v>26</v>
      </c>
      <c r="X1690" s="269"/>
      <c r="Y1690" s="269"/>
      <c r="Z1690" s="269"/>
      <c r="AA1690" s="269"/>
      <c r="AB1690" s="269"/>
      <c r="AC1690" s="269"/>
      <c r="AD1690" s="270" t="s">
        <v>5</v>
      </c>
    </row>
    <row r="1691" spans="1:30" s="271" customFormat="1" ht="33" customHeight="1" x14ac:dyDescent="0.3">
      <c r="A1691" s="167">
        <v>30</v>
      </c>
      <c r="B1691" s="168">
        <v>163</v>
      </c>
      <c r="C1691" s="261" t="str">
        <f t="shared" si="34"/>
        <v>30.163</v>
      </c>
      <c r="D1691" s="262" t="s">
        <v>1254</v>
      </c>
      <c r="E1691" s="64" t="str">
        <f>IF(ISBLANK(D1691)=TRUE,"",VLOOKUP(D1691,Krav!$C:$F,4,FALSE))</f>
        <v>10.a.2.2.11 - Hvis der er svaret "I visse tilfælde" i spørgsmål 9 og hvis der er svaret "Ja" i enten 9.b.1, 9.b.2.1 eller 9.b.2.2.1 skal brugeren ledes til spørgsmål 11</v>
      </c>
      <c r="F1691" s="263" t="s">
        <v>143</v>
      </c>
      <c r="G1691" s="263" t="s">
        <v>1427</v>
      </c>
      <c r="H1691" s="265" t="s">
        <v>1433</v>
      </c>
      <c r="I1691" s="266" t="s">
        <v>468</v>
      </c>
      <c r="J1691" s="266" t="s">
        <v>222</v>
      </c>
      <c r="K1691" s="125" t="s">
        <v>222</v>
      </c>
      <c r="L1691" s="268" t="s">
        <v>3</v>
      </c>
      <c r="M1691" s="269" t="s">
        <v>131</v>
      </c>
      <c r="N1691" s="269" t="s">
        <v>129</v>
      </c>
      <c r="O1691" s="269" t="s">
        <v>96</v>
      </c>
      <c r="P1691" s="269" t="s">
        <v>376</v>
      </c>
      <c r="Q1691" s="269" t="s">
        <v>129</v>
      </c>
      <c r="R1691" s="269" t="s">
        <v>131</v>
      </c>
      <c r="S1691" s="269" t="s">
        <v>131</v>
      </c>
      <c r="T1691" s="269"/>
      <c r="U1691" s="269"/>
      <c r="V1691" s="270" t="s">
        <v>295</v>
      </c>
      <c r="W1691" s="269" t="s">
        <v>166</v>
      </c>
      <c r="X1691" s="269" t="s">
        <v>26</v>
      </c>
      <c r="Y1691" s="269"/>
      <c r="Z1691" s="269"/>
      <c r="AA1691" s="269"/>
      <c r="AB1691" s="269"/>
      <c r="AC1691" s="269"/>
      <c r="AD1691" s="270" t="s">
        <v>5</v>
      </c>
    </row>
    <row r="1692" spans="1:30" s="271" customFormat="1" ht="33" customHeight="1" x14ac:dyDescent="0.3">
      <c r="A1692" s="167">
        <v>30</v>
      </c>
      <c r="B1692" s="168">
        <v>164</v>
      </c>
      <c r="C1692" s="261" t="str">
        <f t="shared" si="34"/>
        <v>30.164</v>
      </c>
      <c r="D1692" s="262" t="s">
        <v>1254</v>
      </c>
      <c r="E1692" s="64" t="str">
        <f>IF(ISBLANK(D1692)=TRUE,"",VLOOKUP(D1692,Krav!$C:$F,4,FALSE))</f>
        <v>10.a.2.2.11 - Hvis der er svaret "I visse tilfælde" i spørgsmål 9 og hvis der er svaret "Ja" i enten 9.b.1, 9.b.2.1 eller 9.b.2.2.1 skal brugeren ledes til spørgsmål 11</v>
      </c>
      <c r="F1692" s="263" t="s">
        <v>143</v>
      </c>
      <c r="G1692" s="263" t="s">
        <v>1427</v>
      </c>
      <c r="H1692" s="265" t="s">
        <v>1433</v>
      </c>
      <c r="I1692" s="266" t="s">
        <v>468</v>
      </c>
      <c r="J1692" s="266" t="s">
        <v>222</v>
      </c>
      <c r="K1692" s="125" t="s">
        <v>222</v>
      </c>
      <c r="L1692" s="274" t="s">
        <v>3</v>
      </c>
      <c r="M1692" s="269" t="s">
        <v>131</v>
      </c>
      <c r="N1692" s="269" t="s">
        <v>129</v>
      </c>
      <c r="O1692" s="269" t="s">
        <v>96</v>
      </c>
      <c r="P1692" s="269" t="s">
        <v>376</v>
      </c>
      <c r="Q1692" s="269" t="s">
        <v>129</v>
      </c>
      <c r="R1692" s="269" t="s">
        <v>131</v>
      </c>
      <c r="S1692" s="269" t="s">
        <v>131</v>
      </c>
      <c r="T1692" s="269"/>
      <c r="U1692" s="269"/>
      <c r="V1692" s="270" t="s">
        <v>295</v>
      </c>
      <c r="W1692" s="269" t="s">
        <v>166</v>
      </c>
      <c r="X1692" s="269" t="s">
        <v>166</v>
      </c>
      <c r="Y1692" s="269" t="s">
        <v>580</v>
      </c>
      <c r="Z1692" s="269"/>
      <c r="AA1692" s="269"/>
      <c r="AB1692" s="269"/>
      <c r="AC1692" s="269"/>
      <c r="AD1692" s="270" t="s">
        <v>5</v>
      </c>
    </row>
    <row r="1693" spans="1:30" s="271" customFormat="1" ht="33" customHeight="1" x14ac:dyDescent="0.3">
      <c r="A1693" s="167">
        <v>30</v>
      </c>
      <c r="B1693" s="168">
        <v>165</v>
      </c>
      <c r="C1693" s="261" t="str">
        <f t="shared" ref="C1693:C1727" si="35">IF(B1693&lt;10,_xlfn.CONCAT(A1693,".0",B1693),_xlfn.CONCAT(A1693,".",B1693))</f>
        <v>30.165</v>
      </c>
      <c r="D1693" s="262"/>
      <c r="E1693" s="64" t="str">
        <f>IF(ISBLANK(D1693)=TRUE,"",VLOOKUP(D1693,Krav!$C:$F,4,FALSE))</f>
        <v/>
      </c>
      <c r="F1693" s="263" t="s">
        <v>143</v>
      </c>
      <c r="G1693" s="263" t="s">
        <v>1427</v>
      </c>
      <c r="H1693" s="265" t="s">
        <v>1446</v>
      </c>
      <c r="I1693" s="266" t="s">
        <v>468</v>
      </c>
      <c r="J1693" s="266" t="s">
        <v>222</v>
      </c>
      <c r="K1693" s="125" t="s">
        <v>222</v>
      </c>
      <c r="L1693" s="274" t="s">
        <v>3</v>
      </c>
      <c r="M1693" s="269" t="s">
        <v>131</v>
      </c>
      <c r="N1693" s="269" t="s">
        <v>129</v>
      </c>
      <c r="O1693" s="269" t="s">
        <v>96</v>
      </c>
      <c r="P1693" s="269" t="s">
        <v>376</v>
      </c>
      <c r="Q1693" s="269" t="s">
        <v>129</v>
      </c>
      <c r="R1693" s="269" t="s">
        <v>131</v>
      </c>
      <c r="S1693" s="269" t="s">
        <v>131</v>
      </c>
      <c r="T1693" s="269"/>
      <c r="U1693" s="269"/>
      <c r="V1693" s="269" t="s">
        <v>294</v>
      </c>
      <c r="W1693" s="269"/>
      <c r="X1693" s="269"/>
      <c r="Y1693" s="269"/>
      <c r="Z1693" s="269"/>
      <c r="AA1693" s="269"/>
      <c r="AB1693" s="269"/>
      <c r="AC1693" s="269"/>
      <c r="AD1693" s="270" t="s">
        <v>5</v>
      </c>
    </row>
    <row r="1694" spans="1:30" s="271" customFormat="1" ht="33" customHeight="1" x14ac:dyDescent="0.3">
      <c r="A1694" s="167">
        <v>30</v>
      </c>
      <c r="B1694" s="168">
        <v>166</v>
      </c>
      <c r="C1694" s="261" t="str">
        <f t="shared" si="35"/>
        <v>30.166</v>
      </c>
      <c r="D1694" s="262" t="s">
        <v>1254</v>
      </c>
      <c r="E1694" s="64" t="str">
        <f>IF(ISBLANK(D1694)=TRUE,"",VLOOKUP(D1694,Krav!$C:$F,4,FALSE))</f>
        <v>10.a.2.2.11 - Hvis der er svaret "I visse tilfælde" i spørgsmål 9 og hvis der er svaret "Ja" i enten 9.b.1, 9.b.2.1 eller 9.b.2.2.1 skal brugeren ledes til spørgsmål 11</v>
      </c>
      <c r="F1694" s="263" t="s">
        <v>143</v>
      </c>
      <c r="G1694" s="263" t="s">
        <v>1427</v>
      </c>
      <c r="H1694" s="265" t="s">
        <v>1433</v>
      </c>
      <c r="I1694" s="266" t="s">
        <v>565</v>
      </c>
      <c r="J1694" s="266" t="s">
        <v>222</v>
      </c>
      <c r="K1694" s="125" t="s">
        <v>222</v>
      </c>
      <c r="L1694" s="268" t="s">
        <v>3</v>
      </c>
      <c r="M1694" s="269" t="s">
        <v>131</v>
      </c>
      <c r="N1694" s="269" t="s">
        <v>129</v>
      </c>
      <c r="O1694" s="269" t="s">
        <v>96</v>
      </c>
      <c r="P1694" s="269" t="s">
        <v>376</v>
      </c>
      <c r="Q1694" s="269" t="s">
        <v>129</v>
      </c>
      <c r="R1694" s="269" t="s">
        <v>131</v>
      </c>
      <c r="S1694" s="269" t="s">
        <v>131</v>
      </c>
      <c r="T1694" s="269"/>
      <c r="U1694" s="269"/>
      <c r="V1694" s="270" t="s">
        <v>295</v>
      </c>
      <c r="W1694" s="269" t="s">
        <v>26</v>
      </c>
      <c r="X1694" s="269"/>
      <c r="Y1694" s="269"/>
      <c r="Z1694" s="269"/>
      <c r="AA1694" s="269"/>
      <c r="AB1694" s="269" t="s">
        <v>129</v>
      </c>
      <c r="AC1694" s="269"/>
      <c r="AD1694" s="270" t="s">
        <v>5</v>
      </c>
    </row>
    <row r="1695" spans="1:30" s="271" customFormat="1" ht="33" customHeight="1" x14ac:dyDescent="0.3">
      <c r="A1695" s="167">
        <v>30</v>
      </c>
      <c r="B1695" s="168">
        <v>167</v>
      </c>
      <c r="C1695" s="261" t="str">
        <f t="shared" si="35"/>
        <v>30.167</v>
      </c>
      <c r="D1695" s="262" t="s">
        <v>1254</v>
      </c>
      <c r="E1695" s="64" t="str">
        <f>IF(ISBLANK(D1695)=TRUE,"",VLOOKUP(D1695,Krav!$C:$F,4,FALSE))</f>
        <v>10.a.2.2.11 - Hvis der er svaret "I visse tilfælde" i spørgsmål 9 og hvis der er svaret "Ja" i enten 9.b.1, 9.b.2.1 eller 9.b.2.2.1 skal brugeren ledes til spørgsmål 11</v>
      </c>
      <c r="F1695" s="263" t="s">
        <v>143</v>
      </c>
      <c r="G1695" s="263" t="s">
        <v>1427</v>
      </c>
      <c r="H1695" s="265" t="s">
        <v>1433</v>
      </c>
      <c r="I1695" s="266" t="s">
        <v>565</v>
      </c>
      <c r="J1695" s="266" t="s">
        <v>222</v>
      </c>
      <c r="K1695" s="125" t="s">
        <v>222</v>
      </c>
      <c r="L1695" s="268" t="s">
        <v>3</v>
      </c>
      <c r="M1695" s="269" t="s">
        <v>131</v>
      </c>
      <c r="N1695" s="269" t="s">
        <v>129</v>
      </c>
      <c r="O1695" s="269" t="s">
        <v>96</v>
      </c>
      <c r="P1695" s="269" t="s">
        <v>376</v>
      </c>
      <c r="Q1695" s="269" t="s">
        <v>129</v>
      </c>
      <c r="R1695" s="269" t="s">
        <v>131</v>
      </c>
      <c r="S1695" s="269" t="s">
        <v>131</v>
      </c>
      <c r="T1695" s="269"/>
      <c r="U1695" s="269"/>
      <c r="V1695" s="270" t="s">
        <v>295</v>
      </c>
      <c r="W1695" s="269" t="s">
        <v>166</v>
      </c>
      <c r="X1695" s="269" t="s">
        <v>26</v>
      </c>
      <c r="Y1695" s="269"/>
      <c r="Z1695" s="269"/>
      <c r="AA1695" s="269"/>
      <c r="AB1695" s="269" t="s">
        <v>129</v>
      </c>
      <c r="AC1695" s="269"/>
      <c r="AD1695" s="270" t="s">
        <v>5</v>
      </c>
    </row>
    <row r="1696" spans="1:30" s="271" customFormat="1" ht="33" customHeight="1" x14ac:dyDescent="0.3">
      <c r="A1696" s="167">
        <v>30</v>
      </c>
      <c r="B1696" s="168">
        <v>168</v>
      </c>
      <c r="C1696" s="261" t="str">
        <f t="shared" si="35"/>
        <v>30.168</v>
      </c>
      <c r="D1696" s="262" t="s">
        <v>1254</v>
      </c>
      <c r="E1696" s="64" t="str">
        <f>IF(ISBLANK(D1696)=TRUE,"",VLOOKUP(D1696,Krav!$C:$F,4,FALSE))</f>
        <v>10.a.2.2.11 - Hvis der er svaret "I visse tilfælde" i spørgsmål 9 og hvis der er svaret "Ja" i enten 9.b.1, 9.b.2.1 eller 9.b.2.2.1 skal brugeren ledes til spørgsmål 11</v>
      </c>
      <c r="F1696" s="263" t="s">
        <v>143</v>
      </c>
      <c r="G1696" s="263" t="s">
        <v>1427</v>
      </c>
      <c r="H1696" s="265" t="s">
        <v>1433</v>
      </c>
      <c r="I1696" s="266" t="s">
        <v>565</v>
      </c>
      <c r="J1696" s="266" t="s">
        <v>222</v>
      </c>
      <c r="K1696" s="125" t="s">
        <v>222</v>
      </c>
      <c r="L1696" s="274" t="s">
        <v>3</v>
      </c>
      <c r="M1696" s="269" t="s">
        <v>131</v>
      </c>
      <c r="N1696" s="269" t="s">
        <v>129</v>
      </c>
      <c r="O1696" s="269" t="s">
        <v>96</v>
      </c>
      <c r="P1696" s="269" t="s">
        <v>376</v>
      </c>
      <c r="Q1696" s="269" t="s">
        <v>129</v>
      </c>
      <c r="R1696" s="269" t="s">
        <v>131</v>
      </c>
      <c r="S1696" s="269" t="s">
        <v>131</v>
      </c>
      <c r="T1696" s="269"/>
      <c r="U1696" s="269"/>
      <c r="V1696" s="270" t="s">
        <v>295</v>
      </c>
      <c r="W1696" s="269" t="s">
        <v>166</v>
      </c>
      <c r="X1696" s="269" t="s">
        <v>166</v>
      </c>
      <c r="Y1696" s="269" t="s">
        <v>580</v>
      </c>
      <c r="Z1696" s="269"/>
      <c r="AA1696" s="269"/>
      <c r="AB1696" s="269" t="s">
        <v>129</v>
      </c>
      <c r="AC1696" s="269"/>
      <c r="AD1696" s="270" t="s">
        <v>5</v>
      </c>
    </row>
    <row r="1697" spans="1:38" s="271" customFormat="1" ht="33" customHeight="1" x14ac:dyDescent="0.3">
      <c r="A1697" s="167">
        <v>30</v>
      </c>
      <c r="B1697" s="168">
        <v>169</v>
      </c>
      <c r="C1697" s="261" t="str">
        <f t="shared" si="35"/>
        <v>30.169</v>
      </c>
      <c r="D1697" s="262"/>
      <c r="E1697" s="64" t="str">
        <f>IF(ISBLANK(D1697)=TRUE,"",VLOOKUP(D1697,Krav!$C:$F,4,FALSE))</f>
        <v/>
      </c>
      <c r="F1697" s="263" t="s">
        <v>143</v>
      </c>
      <c r="G1697" s="263" t="s">
        <v>1427</v>
      </c>
      <c r="H1697" s="265" t="s">
        <v>1446</v>
      </c>
      <c r="I1697" s="266" t="s">
        <v>565</v>
      </c>
      <c r="J1697" s="266" t="s">
        <v>222</v>
      </c>
      <c r="K1697" s="125" t="s">
        <v>222</v>
      </c>
      <c r="L1697" s="274" t="s">
        <v>3</v>
      </c>
      <c r="M1697" s="269" t="s">
        <v>131</v>
      </c>
      <c r="N1697" s="269" t="s">
        <v>129</v>
      </c>
      <c r="O1697" s="269" t="s">
        <v>96</v>
      </c>
      <c r="P1697" s="269" t="s">
        <v>376</v>
      </c>
      <c r="Q1697" s="269" t="s">
        <v>129</v>
      </c>
      <c r="R1697" s="269" t="s">
        <v>131</v>
      </c>
      <c r="S1697" s="269" t="s">
        <v>131</v>
      </c>
      <c r="T1697" s="269"/>
      <c r="U1697" s="269"/>
      <c r="V1697" s="269" t="s">
        <v>294</v>
      </c>
      <c r="W1697" s="269"/>
      <c r="X1697" s="269"/>
      <c r="Y1697" s="269"/>
      <c r="Z1697" s="269"/>
      <c r="AA1697" s="269"/>
      <c r="AB1697" s="269" t="s">
        <v>129</v>
      </c>
      <c r="AC1697" s="269"/>
      <c r="AD1697" s="270" t="s">
        <v>5</v>
      </c>
    </row>
    <row r="1698" spans="1:38" s="182" customFormat="1" ht="33" customHeight="1" x14ac:dyDescent="0.3">
      <c r="A1698" s="167">
        <v>30</v>
      </c>
      <c r="B1698" s="168">
        <v>170</v>
      </c>
      <c r="C1698" s="278" t="str">
        <f t="shared" si="35"/>
        <v>30.170</v>
      </c>
      <c r="D1698" s="279"/>
      <c r="E1698" s="64" t="str">
        <f>IF(ISBLANK(D1698)=TRUE,"",VLOOKUP(D1698,Krav!$C:$F,4,FALSE))</f>
        <v/>
      </c>
      <c r="F1698" s="281" t="s">
        <v>224</v>
      </c>
      <c r="G1698" s="282" t="s">
        <v>230</v>
      </c>
      <c r="H1698" s="283" t="s">
        <v>1448</v>
      </c>
      <c r="I1698" s="284" t="s">
        <v>129</v>
      </c>
      <c r="J1698" s="285" t="s">
        <v>222</v>
      </c>
      <c r="K1698" s="123" t="s">
        <v>222</v>
      </c>
      <c r="L1698" s="287" t="s">
        <v>3</v>
      </c>
      <c r="M1698" s="288" t="s">
        <v>129</v>
      </c>
      <c r="N1698" s="288"/>
      <c r="O1698" s="288"/>
      <c r="P1698" s="288"/>
      <c r="Q1698" s="288"/>
      <c r="R1698" s="288"/>
      <c r="S1698" s="288"/>
      <c r="T1698" s="288"/>
      <c r="U1698" s="288"/>
      <c r="V1698" s="288"/>
      <c r="W1698" s="288"/>
      <c r="X1698" s="288"/>
      <c r="Y1698" s="288"/>
      <c r="Z1698" s="288"/>
      <c r="AA1698" s="288"/>
      <c r="AB1698" s="288"/>
      <c r="AC1698" s="288"/>
      <c r="AD1698" s="289" t="s">
        <v>5</v>
      </c>
    </row>
    <row r="1699" spans="1:38" s="182" customFormat="1" ht="33" customHeight="1" x14ac:dyDescent="0.3">
      <c r="A1699" s="167">
        <v>30</v>
      </c>
      <c r="B1699" s="168">
        <v>171</v>
      </c>
      <c r="C1699" s="278" t="str">
        <f t="shared" si="35"/>
        <v>30.171</v>
      </c>
      <c r="D1699" s="279"/>
      <c r="E1699" s="64" t="str">
        <f>IF(ISBLANK(D1699)=TRUE,"",VLOOKUP(D1699,Krav!$C:$F,4,FALSE))</f>
        <v/>
      </c>
      <c r="F1699" s="281" t="s">
        <v>224</v>
      </c>
      <c r="G1699" s="282" t="s">
        <v>230</v>
      </c>
      <c r="H1699" s="280" t="s">
        <v>1449</v>
      </c>
      <c r="I1699" s="290" t="s">
        <v>131</v>
      </c>
      <c r="J1699" s="286" t="s">
        <v>222</v>
      </c>
      <c r="K1699" s="123" t="s">
        <v>222</v>
      </c>
      <c r="L1699" s="287" t="s">
        <v>3</v>
      </c>
      <c r="M1699" s="288"/>
      <c r="N1699" s="288"/>
      <c r="O1699" s="288"/>
      <c r="P1699" s="288"/>
      <c r="Q1699" s="288"/>
      <c r="R1699" s="288"/>
      <c r="S1699" s="288"/>
      <c r="T1699" s="288"/>
      <c r="U1699" s="288"/>
      <c r="V1699" s="288"/>
      <c r="W1699" s="288"/>
      <c r="X1699" s="288"/>
      <c r="Y1699" s="288"/>
      <c r="Z1699" s="288"/>
      <c r="AA1699" s="288"/>
      <c r="AB1699" s="288"/>
      <c r="AC1699" s="288"/>
      <c r="AD1699" s="289" t="s">
        <v>5</v>
      </c>
    </row>
    <row r="1700" spans="1:38" s="182" customFormat="1" ht="33" customHeight="1" x14ac:dyDescent="0.3">
      <c r="A1700" s="167">
        <v>30</v>
      </c>
      <c r="B1700" s="168">
        <v>172</v>
      </c>
      <c r="C1700" s="278" t="str">
        <f t="shared" si="35"/>
        <v>30.172</v>
      </c>
      <c r="D1700" s="279"/>
      <c r="E1700" s="64" t="str">
        <f>IF(ISBLANK(D1700)=TRUE,"",VLOOKUP(D1700,Krav!$C:$F,4,FALSE))</f>
        <v/>
      </c>
      <c r="F1700" s="281" t="s">
        <v>224</v>
      </c>
      <c r="G1700" s="282" t="s">
        <v>231</v>
      </c>
      <c r="H1700" s="283" t="s">
        <v>1450</v>
      </c>
      <c r="I1700" s="284" t="s">
        <v>129</v>
      </c>
      <c r="J1700" s="285" t="s">
        <v>222</v>
      </c>
      <c r="K1700" s="123" t="s">
        <v>222</v>
      </c>
      <c r="L1700" s="291" t="s">
        <v>3</v>
      </c>
      <c r="M1700" s="288"/>
      <c r="N1700" s="288" t="s">
        <v>129</v>
      </c>
      <c r="O1700" s="288"/>
      <c r="P1700" s="288"/>
      <c r="Q1700" s="288"/>
      <c r="R1700" s="288"/>
      <c r="S1700" s="288"/>
      <c r="T1700" s="288"/>
      <c r="U1700" s="288"/>
      <c r="V1700" s="288"/>
      <c r="W1700" s="288"/>
      <c r="X1700" s="288"/>
      <c r="Y1700" s="288"/>
      <c r="Z1700" s="288"/>
      <c r="AA1700" s="288"/>
      <c r="AB1700" s="288"/>
      <c r="AC1700" s="288"/>
      <c r="AD1700" s="289" t="s">
        <v>5</v>
      </c>
    </row>
    <row r="1701" spans="1:38" s="182" customFormat="1" ht="33" customHeight="1" x14ac:dyDescent="0.3">
      <c r="A1701" s="167">
        <v>30</v>
      </c>
      <c r="B1701" s="168">
        <v>173</v>
      </c>
      <c r="C1701" s="278" t="str">
        <f t="shared" si="35"/>
        <v>30.173</v>
      </c>
      <c r="D1701" s="279"/>
      <c r="E1701" s="64" t="str">
        <f>IF(ISBLANK(D1701)=TRUE,"",VLOOKUP(D1701,Krav!$C:$F,4,FALSE))</f>
        <v/>
      </c>
      <c r="F1701" s="281" t="s">
        <v>224</v>
      </c>
      <c r="G1701" s="282" t="s">
        <v>231</v>
      </c>
      <c r="H1701" s="280" t="s">
        <v>350</v>
      </c>
      <c r="I1701" s="290" t="s">
        <v>131</v>
      </c>
      <c r="J1701" s="286" t="s">
        <v>222</v>
      </c>
      <c r="K1701" s="123" t="s">
        <v>222</v>
      </c>
      <c r="L1701" s="291" t="s">
        <v>3</v>
      </c>
      <c r="M1701" s="288"/>
      <c r="N1701" s="288"/>
      <c r="O1701" s="288"/>
      <c r="P1701" s="288"/>
      <c r="Q1701" s="288"/>
      <c r="R1701" s="288"/>
      <c r="S1701" s="288"/>
      <c r="T1701" s="288"/>
      <c r="U1701" s="288"/>
      <c r="V1701" s="288"/>
      <c r="W1701" s="288"/>
      <c r="X1701" s="288"/>
      <c r="Y1701" s="288"/>
      <c r="Z1701" s="288"/>
      <c r="AA1701" s="288"/>
      <c r="AB1701" s="288"/>
      <c r="AC1701" s="288"/>
      <c r="AD1701" s="289" t="s">
        <v>5</v>
      </c>
    </row>
    <row r="1702" spans="1:38" s="182" customFormat="1" ht="33" customHeight="1" x14ac:dyDescent="0.3">
      <c r="A1702" s="167">
        <v>30</v>
      </c>
      <c r="B1702" s="168">
        <v>174</v>
      </c>
      <c r="C1702" s="278" t="str">
        <f t="shared" si="35"/>
        <v>30.174</v>
      </c>
      <c r="D1702" s="279"/>
      <c r="E1702" s="64" t="str">
        <f>IF(ISBLANK(D1702)=TRUE,"",VLOOKUP(D1702,Krav!$C:$F,4,FALSE))</f>
        <v/>
      </c>
      <c r="F1702" s="281" t="s">
        <v>224</v>
      </c>
      <c r="G1702" s="282" t="s">
        <v>1388</v>
      </c>
      <c r="H1702" s="283" t="s">
        <v>1451</v>
      </c>
      <c r="I1702" s="284" t="s">
        <v>376</v>
      </c>
      <c r="J1702" s="285" t="s">
        <v>222</v>
      </c>
      <c r="K1702" s="123" t="s">
        <v>222</v>
      </c>
      <c r="L1702" s="287" t="s">
        <v>3</v>
      </c>
      <c r="M1702" s="288"/>
      <c r="N1702" s="288"/>
      <c r="O1702" s="288" t="s">
        <v>376</v>
      </c>
      <c r="P1702" s="288"/>
      <c r="Q1702" s="288"/>
      <c r="R1702" s="288"/>
      <c r="S1702" s="288"/>
      <c r="T1702" s="288"/>
      <c r="U1702" s="288"/>
      <c r="V1702" s="288"/>
      <c r="W1702" s="288"/>
      <c r="X1702" s="288"/>
      <c r="Y1702" s="288"/>
      <c r="Z1702" s="288"/>
      <c r="AA1702" s="288"/>
      <c r="AB1702" s="288"/>
      <c r="AC1702" s="288"/>
      <c r="AD1702" s="289" t="s">
        <v>5</v>
      </c>
    </row>
    <row r="1703" spans="1:38" s="182" customFormat="1" ht="33" customHeight="1" x14ac:dyDescent="0.3">
      <c r="A1703" s="167">
        <v>30</v>
      </c>
      <c r="B1703" s="168">
        <v>175</v>
      </c>
      <c r="C1703" s="278" t="str">
        <f t="shared" si="35"/>
        <v>30.175</v>
      </c>
      <c r="D1703" s="279"/>
      <c r="E1703" s="64" t="str">
        <f>IF(ISBLANK(D1703)=TRUE,"",VLOOKUP(D1703,Krav!$C:$F,4,FALSE))</f>
        <v/>
      </c>
      <c r="F1703" s="281" t="s">
        <v>224</v>
      </c>
      <c r="G1703" s="282" t="s">
        <v>1388</v>
      </c>
      <c r="H1703" s="292" t="s">
        <v>1449</v>
      </c>
      <c r="I1703" s="286" t="s">
        <v>469</v>
      </c>
      <c r="J1703" s="286" t="s">
        <v>222</v>
      </c>
      <c r="K1703" s="125" t="s">
        <v>222</v>
      </c>
      <c r="L1703" s="287" t="s">
        <v>3</v>
      </c>
      <c r="M1703" s="288"/>
      <c r="N1703" s="288"/>
      <c r="O1703" s="288"/>
      <c r="P1703" s="288"/>
      <c r="Q1703" s="288"/>
      <c r="R1703" s="288"/>
      <c r="S1703" s="288"/>
      <c r="T1703" s="288"/>
      <c r="U1703" s="288"/>
      <c r="V1703" s="288"/>
      <c r="W1703" s="288"/>
      <c r="X1703" s="288"/>
      <c r="Y1703" s="288"/>
      <c r="Z1703" s="288"/>
      <c r="AA1703" s="288"/>
      <c r="AB1703" s="288"/>
      <c r="AC1703" s="288"/>
      <c r="AD1703" s="289" t="s">
        <v>5</v>
      </c>
    </row>
    <row r="1704" spans="1:38" s="295" customFormat="1" ht="33" customHeight="1" x14ac:dyDescent="0.3">
      <c r="A1704" s="167">
        <v>30</v>
      </c>
      <c r="B1704" s="168">
        <v>176</v>
      </c>
      <c r="C1704" s="278" t="str">
        <f t="shared" si="35"/>
        <v>30.176</v>
      </c>
      <c r="D1704" s="279"/>
      <c r="E1704" s="64" t="str">
        <f>IF(ISBLANK(D1704)=TRUE,"",VLOOKUP(D1704,Krav!$C:$F,4,FALSE))</f>
        <v/>
      </c>
      <c r="F1704" s="281" t="s">
        <v>224</v>
      </c>
      <c r="G1704" s="282" t="s">
        <v>1389</v>
      </c>
      <c r="H1704" s="283" t="s">
        <v>1452</v>
      </c>
      <c r="I1704" s="284" t="s">
        <v>376</v>
      </c>
      <c r="J1704" s="293" t="s">
        <v>222</v>
      </c>
      <c r="K1704" s="128" t="s">
        <v>222</v>
      </c>
      <c r="L1704" s="291" t="s">
        <v>3</v>
      </c>
      <c r="M1704" s="288"/>
      <c r="N1704" s="288"/>
      <c r="O1704" s="288"/>
      <c r="P1704" s="288" t="s">
        <v>376</v>
      </c>
      <c r="Q1704" s="288"/>
      <c r="R1704" s="288"/>
      <c r="S1704" s="288"/>
      <c r="T1704" s="288"/>
      <c r="U1704" s="288"/>
      <c r="V1704" s="288"/>
      <c r="W1704" s="288"/>
      <c r="X1704" s="288"/>
      <c r="Y1704" s="288"/>
      <c r="Z1704" s="288"/>
      <c r="AA1704" s="288"/>
      <c r="AB1704" s="288"/>
      <c r="AC1704" s="288"/>
      <c r="AD1704" s="289" t="s">
        <v>5</v>
      </c>
      <c r="AE1704" s="182"/>
      <c r="AF1704" s="182"/>
      <c r="AG1704" s="182"/>
      <c r="AH1704" s="182"/>
      <c r="AI1704" s="182"/>
      <c r="AJ1704" s="182"/>
      <c r="AK1704" s="182"/>
      <c r="AL1704" s="182"/>
    </row>
    <row r="1705" spans="1:38" s="295" customFormat="1" ht="33" customHeight="1" x14ac:dyDescent="0.3">
      <c r="A1705" s="167">
        <v>30</v>
      </c>
      <c r="B1705" s="168">
        <v>177</v>
      </c>
      <c r="C1705" s="278" t="str">
        <f t="shared" si="35"/>
        <v>30.177</v>
      </c>
      <c r="D1705" s="279"/>
      <c r="E1705" s="64" t="str">
        <f>IF(ISBLANK(D1705)=TRUE,"",VLOOKUP(D1705,Krav!$C:$F,4,FALSE))</f>
        <v/>
      </c>
      <c r="F1705" s="281" t="s">
        <v>224</v>
      </c>
      <c r="G1705" s="282" t="s">
        <v>1389</v>
      </c>
      <c r="H1705" s="292" t="s">
        <v>1449</v>
      </c>
      <c r="I1705" s="286" t="s">
        <v>469</v>
      </c>
      <c r="J1705" s="293" t="s">
        <v>222</v>
      </c>
      <c r="K1705" s="127" t="s">
        <v>222</v>
      </c>
      <c r="L1705" s="291" t="s">
        <v>3</v>
      </c>
      <c r="M1705" s="288"/>
      <c r="N1705" s="288"/>
      <c r="O1705" s="288"/>
      <c r="P1705" s="288"/>
      <c r="Q1705" s="288"/>
      <c r="R1705" s="288"/>
      <c r="S1705" s="288"/>
      <c r="T1705" s="288"/>
      <c r="U1705" s="288"/>
      <c r="V1705" s="288"/>
      <c r="W1705" s="288"/>
      <c r="X1705" s="288"/>
      <c r="Y1705" s="288"/>
      <c r="Z1705" s="288"/>
      <c r="AA1705" s="288"/>
      <c r="AB1705" s="288"/>
      <c r="AC1705" s="288"/>
      <c r="AD1705" s="289" t="s">
        <v>5</v>
      </c>
      <c r="AE1705" s="182"/>
      <c r="AF1705" s="182"/>
      <c r="AG1705" s="182"/>
      <c r="AH1705" s="182"/>
      <c r="AI1705" s="182"/>
      <c r="AJ1705" s="182"/>
      <c r="AK1705" s="182"/>
      <c r="AL1705" s="182"/>
    </row>
    <row r="1706" spans="1:38" s="182" customFormat="1" ht="33" customHeight="1" x14ac:dyDescent="0.3">
      <c r="A1706" s="167">
        <v>30</v>
      </c>
      <c r="B1706" s="168">
        <v>178</v>
      </c>
      <c r="C1706" s="278" t="str">
        <f t="shared" si="35"/>
        <v>30.178</v>
      </c>
      <c r="D1706" s="279"/>
      <c r="E1706" s="64" t="str">
        <f>IF(ISBLANK(D1706)=TRUE,"",VLOOKUP(D1706,Krav!$C:$F,4,FALSE))</f>
        <v/>
      </c>
      <c r="F1706" s="281" t="s">
        <v>418</v>
      </c>
      <c r="G1706" s="282" t="s">
        <v>445</v>
      </c>
      <c r="H1706" s="296" t="s">
        <v>451</v>
      </c>
      <c r="I1706" s="286" t="s">
        <v>129</v>
      </c>
      <c r="J1706" s="285" t="s">
        <v>222</v>
      </c>
      <c r="K1706" s="125" t="s">
        <v>222</v>
      </c>
      <c r="L1706" s="291" t="s">
        <v>3</v>
      </c>
      <c r="M1706" s="288" t="s">
        <v>129</v>
      </c>
      <c r="N1706" s="288" t="s">
        <v>131</v>
      </c>
      <c r="O1706" s="288" t="s">
        <v>376</v>
      </c>
      <c r="P1706" s="288" t="s">
        <v>376</v>
      </c>
      <c r="Q1706" s="288" t="s">
        <v>131</v>
      </c>
      <c r="R1706" s="288" t="s">
        <v>131</v>
      </c>
      <c r="S1706" s="288" t="s">
        <v>131</v>
      </c>
      <c r="T1706" s="288"/>
      <c r="U1706" s="288"/>
      <c r="V1706" s="288"/>
      <c r="W1706" s="288"/>
      <c r="X1706" s="288"/>
      <c r="Y1706" s="288"/>
      <c r="Z1706" s="288"/>
      <c r="AA1706" s="288"/>
      <c r="AB1706" s="288"/>
      <c r="AC1706" s="288"/>
      <c r="AD1706" s="289" t="s">
        <v>5</v>
      </c>
    </row>
    <row r="1707" spans="1:38" s="182" customFormat="1" ht="33" customHeight="1" x14ac:dyDescent="0.3">
      <c r="A1707" s="167">
        <v>30</v>
      </c>
      <c r="B1707" s="168">
        <v>179</v>
      </c>
      <c r="C1707" s="278" t="str">
        <f t="shared" si="35"/>
        <v>30.179</v>
      </c>
      <c r="D1707" s="279"/>
      <c r="E1707" s="64" t="str">
        <f>IF(ISBLANK(D1707)=TRUE,"",VLOOKUP(D1707,Krav!$C:$F,4,FALSE))</f>
        <v/>
      </c>
      <c r="F1707" s="281" t="s">
        <v>418</v>
      </c>
      <c r="G1707" s="282" t="s">
        <v>445</v>
      </c>
      <c r="H1707" s="296" t="s">
        <v>451</v>
      </c>
      <c r="I1707" s="286" t="s">
        <v>129</v>
      </c>
      <c r="J1707" s="285" t="s">
        <v>222</v>
      </c>
      <c r="K1707" s="125" t="s">
        <v>222</v>
      </c>
      <c r="L1707" s="291" t="s">
        <v>3</v>
      </c>
      <c r="M1707" s="288" t="s">
        <v>129</v>
      </c>
      <c r="N1707" s="288" t="s">
        <v>131</v>
      </c>
      <c r="O1707" s="288" t="s">
        <v>376</v>
      </c>
      <c r="P1707" s="288" t="s">
        <v>376</v>
      </c>
      <c r="Q1707" s="288" t="s">
        <v>131</v>
      </c>
      <c r="R1707" s="288" t="s">
        <v>131</v>
      </c>
      <c r="S1707" s="288" t="s">
        <v>131</v>
      </c>
      <c r="T1707" s="288"/>
      <c r="U1707" s="288"/>
      <c r="V1707" s="288"/>
      <c r="W1707" s="288"/>
      <c r="X1707" s="288"/>
      <c r="Y1707" s="288"/>
      <c r="Z1707" s="288"/>
      <c r="AA1707" s="288"/>
      <c r="AB1707" s="288"/>
      <c r="AC1707" s="288"/>
      <c r="AD1707" s="289" t="s">
        <v>5</v>
      </c>
    </row>
    <row r="1708" spans="1:38" s="182" customFormat="1" ht="33" customHeight="1" x14ac:dyDescent="0.3">
      <c r="A1708" s="167">
        <v>30</v>
      </c>
      <c r="B1708" s="168">
        <v>180</v>
      </c>
      <c r="C1708" s="278" t="str">
        <f t="shared" si="35"/>
        <v>30.180</v>
      </c>
      <c r="D1708" s="279"/>
      <c r="E1708" s="64" t="str">
        <f>IF(ISBLANK(D1708)=TRUE,"",VLOOKUP(D1708,Krav!$C:$F,4,FALSE))</f>
        <v/>
      </c>
      <c r="F1708" s="281" t="s">
        <v>418</v>
      </c>
      <c r="G1708" s="282" t="s">
        <v>445</v>
      </c>
      <c r="H1708" s="296" t="s">
        <v>451</v>
      </c>
      <c r="I1708" s="286" t="s">
        <v>129</v>
      </c>
      <c r="J1708" s="285" t="s">
        <v>222</v>
      </c>
      <c r="K1708" s="125" t="s">
        <v>222</v>
      </c>
      <c r="L1708" s="291" t="s">
        <v>3</v>
      </c>
      <c r="M1708" s="288" t="s">
        <v>129</v>
      </c>
      <c r="N1708" s="288" t="s">
        <v>131</v>
      </c>
      <c r="O1708" s="288" t="s">
        <v>376</v>
      </c>
      <c r="P1708" s="288" t="s">
        <v>96</v>
      </c>
      <c r="Q1708" s="288" t="s">
        <v>131</v>
      </c>
      <c r="R1708" s="288" t="s">
        <v>131</v>
      </c>
      <c r="S1708" s="288" t="s">
        <v>129</v>
      </c>
      <c r="T1708" s="288"/>
      <c r="U1708" s="288"/>
      <c r="V1708" s="288"/>
      <c r="W1708" s="288"/>
      <c r="X1708" s="288"/>
      <c r="Y1708" s="288"/>
      <c r="Z1708" s="288"/>
      <c r="AA1708" s="288"/>
      <c r="AB1708" s="288"/>
      <c r="AC1708" s="288"/>
      <c r="AD1708" s="289" t="s">
        <v>5</v>
      </c>
    </row>
    <row r="1709" spans="1:38" s="182" customFormat="1" ht="33" customHeight="1" x14ac:dyDescent="0.3">
      <c r="A1709" s="167">
        <v>30</v>
      </c>
      <c r="B1709" s="168">
        <v>181</v>
      </c>
      <c r="C1709" s="278" t="str">
        <f t="shared" si="35"/>
        <v>30.181</v>
      </c>
      <c r="D1709" s="279"/>
      <c r="E1709" s="64" t="str">
        <f>IF(ISBLANK(D1709)=TRUE,"",VLOOKUP(D1709,Krav!$C:$F,4,FALSE))</f>
        <v/>
      </c>
      <c r="F1709" s="281" t="s">
        <v>418</v>
      </c>
      <c r="G1709" s="297" t="s">
        <v>446</v>
      </c>
      <c r="H1709" s="296" t="s">
        <v>451</v>
      </c>
      <c r="I1709" s="286" t="s">
        <v>129</v>
      </c>
      <c r="J1709" s="388" t="s">
        <v>222</v>
      </c>
      <c r="K1709" s="123" t="s">
        <v>222</v>
      </c>
      <c r="L1709" s="291" t="s">
        <v>3</v>
      </c>
      <c r="M1709" s="288" t="s">
        <v>129</v>
      </c>
      <c r="N1709" s="288" t="s">
        <v>131</v>
      </c>
      <c r="O1709" s="288" t="s">
        <v>376</v>
      </c>
      <c r="P1709" s="288" t="s">
        <v>96</v>
      </c>
      <c r="Q1709" s="288" t="s">
        <v>131</v>
      </c>
      <c r="R1709" s="288" t="s">
        <v>129</v>
      </c>
      <c r="S1709" s="288" t="s">
        <v>131</v>
      </c>
      <c r="T1709" s="288"/>
      <c r="U1709" s="288"/>
      <c r="V1709" s="288" t="s">
        <v>294</v>
      </c>
      <c r="W1709" s="288"/>
      <c r="X1709" s="288"/>
      <c r="Y1709" s="288"/>
      <c r="Z1709" s="288"/>
      <c r="AA1709" s="288"/>
      <c r="AB1709" s="288"/>
      <c r="AC1709" s="288"/>
      <c r="AD1709" s="289" t="s">
        <v>5</v>
      </c>
    </row>
    <row r="1710" spans="1:38" s="182" customFormat="1" ht="33" customHeight="1" x14ac:dyDescent="0.3">
      <c r="A1710" s="167">
        <v>30</v>
      </c>
      <c r="B1710" s="168">
        <v>182</v>
      </c>
      <c r="C1710" s="278" t="str">
        <f t="shared" si="35"/>
        <v>30.182</v>
      </c>
      <c r="D1710" s="279"/>
      <c r="E1710" s="64" t="str">
        <f>IF(ISBLANK(D1710)=TRUE,"",VLOOKUP(D1710,Krav!$C:$F,4,FALSE))</f>
        <v/>
      </c>
      <c r="F1710" s="281" t="s">
        <v>418</v>
      </c>
      <c r="G1710" s="282" t="s">
        <v>446</v>
      </c>
      <c r="H1710" s="296" t="s">
        <v>451</v>
      </c>
      <c r="I1710" s="286" t="s">
        <v>129</v>
      </c>
      <c r="J1710" s="285" t="s">
        <v>222</v>
      </c>
      <c r="K1710" s="123" t="s">
        <v>222</v>
      </c>
      <c r="L1710" s="291" t="s">
        <v>3</v>
      </c>
      <c r="M1710" s="288" t="s">
        <v>129</v>
      </c>
      <c r="N1710" s="288" t="s">
        <v>131</v>
      </c>
      <c r="O1710" s="288" t="s">
        <v>376</v>
      </c>
      <c r="P1710" s="288" t="s">
        <v>96</v>
      </c>
      <c r="Q1710" s="288" t="s">
        <v>131</v>
      </c>
      <c r="R1710" s="288" t="s">
        <v>129</v>
      </c>
      <c r="S1710" s="288" t="s">
        <v>131</v>
      </c>
      <c r="T1710" s="288"/>
      <c r="U1710" s="288"/>
      <c r="V1710" s="289" t="s">
        <v>295</v>
      </c>
      <c r="W1710" s="288" t="s">
        <v>26</v>
      </c>
      <c r="X1710" s="288"/>
      <c r="Y1710" s="288"/>
      <c r="Z1710" s="288"/>
      <c r="AA1710" s="288"/>
      <c r="AB1710" s="288"/>
      <c r="AC1710" s="288"/>
      <c r="AD1710" s="289" t="s">
        <v>5</v>
      </c>
    </row>
    <row r="1711" spans="1:38" s="182" customFormat="1" ht="33" customHeight="1" x14ac:dyDescent="0.3">
      <c r="A1711" s="167">
        <v>30</v>
      </c>
      <c r="B1711" s="168">
        <v>183</v>
      </c>
      <c r="C1711" s="278" t="str">
        <f t="shared" si="35"/>
        <v>30.183</v>
      </c>
      <c r="D1711" s="279"/>
      <c r="E1711" s="64" t="str">
        <f>IF(ISBLANK(D1711)=TRUE,"",VLOOKUP(D1711,Krav!$C:$F,4,FALSE))</f>
        <v/>
      </c>
      <c r="F1711" s="281" t="s">
        <v>418</v>
      </c>
      <c r="G1711" s="297" t="s">
        <v>446</v>
      </c>
      <c r="H1711" s="296" t="s">
        <v>451</v>
      </c>
      <c r="I1711" s="286" t="s">
        <v>129</v>
      </c>
      <c r="J1711" s="285" t="s">
        <v>222</v>
      </c>
      <c r="K1711" s="123" t="s">
        <v>222</v>
      </c>
      <c r="L1711" s="291" t="s">
        <v>3</v>
      </c>
      <c r="M1711" s="288" t="s">
        <v>129</v>
      </c>
      <c r="N1711" s="288" t="s">
        <v>131</v>
      </c>
      <c r="O1711" s="288" t="s">
        <v>376</v>
      </c>
      <c r="P1711" s="288" t="s">
        <v>96</v>
      </c>
      <c r="Q1711" s="288" t="s">
        <v>131</v>
      </c>
      <c r="R1711" s="288" t="s">
        <v>129</v>
      </c>
      <c r="S1711" s="288" t="s">
        <v>131</v>
      </c>
      <c r="T1711" s="288"/>
      <c r="U1711" s="288"/>
      <c r="V1711" s="289" t="s">
        <v>295</v>
      </c>
      <c r="W1711" s="288" t="s">
        <v>166</v>
      </c>
      <c r="X1711" s="288" t="s">
        <v>26</v>
      </c>
      <c r="Y1711" s="288"/>
      <c r="Z1711" s="288"/>
      <c r="AA1711" s="288"/>
      <c r="AB1711" s="288"/>
      <c r="AC1711" s="288"/>
      <c r="AD1711" s="289" t="s">
        <v>5</v>
      </c>
    </row>
    <row r="1712" spans="1:38" s="182" customFormat="1" ht="33" customHeight="1" x14ac:dyDescent="0.3">
      <c r="A1712" s="167">
        <v>30</v>
      </c>
      <c r="B1712" s="168">
        <v>184</v>
      </c>
      <c r="C1712" s="278" t="str">
        <f t="shared" si="35"/>
        <v>30.184</v>
      </c>
      <c r="D1712" s="279"/>
      <c r="E1712" s="64" t="str">
        <f>IF(ISBLANK(D1712)=TRUE,"",VLOOKUP(D1712,Krav!$C:$F,4,FALSE))</f>
        <v/>
      </c>
      <c r="F1712" s="281" t="s">
        <v>418</v>
      </c>
      <c r="G1712" s="282" t="s">
        <v>446</v>
      </c>
      <c r="H1712" s="296" t="s">
        <v>451</v>
      </c>
      <c r="I1712" s="286" t="s">
        <v>129</v>
      </c>
      <c r="J1712" s="285" t="s">
        <v>222</v>
      </c>
      <c r="K1712" s="123" t="s">
        <v>222</v>
      </c>
      <c r="L1712" s="291" t="s">
        <v>3</v>
      </c>
      <c r="M1712" s="288" t="s">
        <v>129</v>
      </c>
      <c r="N1712" s="288" t="s">
        <v>131</v>
      </c>
      <c r="O1712" s="288" t="s">
        <v>376</v>
      </c>
      <c r="P1712" s="288" t="s">
        <v>96</v>
      </c>
      <c r="Q1712" s="288" t="s">
        <v>131</v>
      </c>
      <c r="R1712" s="288" t="s">
        <v>129</v>
      </c>
      <c r="S1712" s="288" t="s">
        <v>131</v>
      </c>
      <c r="T1712" s="288"/>
      <c r="U1712" s="288"/>
      <c r="V1712" s="289" t="s">
        <v>295</v>
      </c>
      <c r="W1712" s="288" t="s">
        <v>166</v>
      </c>
      <c r="X1712" s="288" t="s">
        <v>166</v>
      </c>
      <c r="Y1712" s="288" t="s">
        <v>580</v>
      </c>
      <c r="Z1712" s="288"/>
      <c r="AA1712" s="288"/>
      <c r="AB1712" s="288"/>
      <c r="AC1712" s="288"/>
      <c r="AD1712" s="289" t="s">
        <v>5</v>
      </c>
    </row>
    <row r="1713" spans="1:38" s="182" customFormat="1" ht="33" customHeight="1" x14ac:dyDescent="0.3">
      <c r="A1713" s="167">
        <v>30</v>
      </c>
      <c r="B1713" s="168">
        <v>185</v>
      </c>
      <c r="C1713" s="278" t="str">
        <f t="shared" si="35"/>
        <v>30.185</v>
      </c>
      <c r="D1713" s="279"/>
      <c r="E1713" s="64" t="str">
        <f>IF(ISBLANK(D1713)=TRUE,"",VLOOKUP(D1713,Krav!$C:$F,4,FALSE))</f>
        <v/>
      </c>
      <c r="F1713" s="281" t="s">
        <v>418</v>
      </c>
      <c r="G1713" s="297" t="s">
        <v>446</v>
      </c>
      <c r="H1713" s="296" t="s">
        <v>451</v>
      </c>
      <c r="I1713" s="286" t="s">
        <v>129</v>
      </c>
      <c r="J1713" s="285" t="s">
        <v>222</v>
      </c>
      <c r="K1713" s="123" t="s">
        <v>222</v>
      </c>
      <c r="L1713" s="291" t="s">
        <v>3</v>
      </c>
      <c r="M1713" s="288" t="s">
        <v>129</v>
      </c>
      <c r="N1713" s="288" t="s">
        <v>131</v>
      </c>
      <c r="O1713" s="288" t="s">
        <v>96</v>
      </c>
      <c r="P1713" s="288" t="s">
        <v>96</v>
      </c>
      <c r="Q1713" s="288" t="s">
        <v>129</v>
      </c>
      <c r="R1713" s="288" t="s">
        <v>131</v>
      </c>
      <c r="S1713" s="288" t="s">
        <v>131</v>
      </c>
      <c r="T1713" s="288"/>
      <c r="U1713" s="288"/>
      <c r="V1713" s="289" t="s">
        <v>295</v>
      </c>
      <c r="W1713" s="288" t="s">
        <v>26</v>
      </c>
      <c r="X1713" s="288"/>
      <c r="Y1713" s="288"/>
      <c r="Z1713" s="288"/>
      <c r="AA1713" s="288"/>
      <c r="AB1713" s="288"/>
      <c r="AC1713" s="288"/>
      <c r="AD1713" s="289" t="s">
        <v>5</v>
      </c>
    </row>
    <row r="1714" spans="1:38" s="182" customFormat="1" ht="33" customHeight="1" x14ac:dyDescent="0.3">
      <c r="A1714" s="167">
        <v>30</v>
      </c>
      <c r="B1714" s="168">
        <v>186</v>
      </c>
      <c r="C1714" s="278" t="str">
        <f t="shared" si="35"/>
        <v>30.186</v>
      </c>
      <c r="D1714" s="279"/>
      <c r="E1714" s="64" t="str">
        <f>IF(ISBLANK(D1714)=TRUE,"",VLOOKUP(D1714,Krav!$C:$F,4,FALSE))</f>
        <v/>
      </c>
      <c r="F1714" s="281" t="s">
        <v>418</v>
      </c>
      <c r="G1714" s="282" t="s">
        <v>446</v>
      </c>
      <c r="H1714" s="296" t="s">
        <v>451</v>
      </c>
      <c r="I1714" s="286" t="s">
        <v>129</v>
      </c>
      <c r="J1714" s="286" t="s">
        <v>222</v>
      </c>
      <c r="K1714" s="123" t="s">
        <v>222</v>
      </c>
      <c r="L1714" s="291" t="s">
        <v>3</v>
      </c>
      <c r="M1714" s="288" t="s">
        <v>129</v>
      </c>
      <c r="N1714" s="288" t="s">
        <v>131</v>
      </c>
      <c r="O1714" s="288" t="s">
        <v>96</v>
      </c>
      <c r="P1714" s="288" t="s">
        <v>96</v>
      </c>
      <c r="Q1714" s="288" t="s">
        <v>129</v>
      </c>
      <c r="R1714" s="288" t="s">
        <v>131</v>
      </c>
      <c r="S1714" s="288" t="s">
        <v>131</v>
      </c>
      <c r="T1714" s="288"/>
      <c r="U1714" s="288"/>
      <c r="V1714" s="289" t="s">
        <v>295</v>
      </c>
      <c r="W1714" s="288" t="s">
        <v>166</v>
      </c>
      <c r="X1714" s="288" t="s">
        <v>26</v>
      </c>
      <c r="Y1714" s="288"/>
      <c r="Z1714" s="288"/>
      <c r="AA1714" s="288"/>
      <c r="AB1714" s="288"/>
      <c r="AC1714" s="288"/>
      <c r="AD1714" s="289" t="s">
        <v>5</v>
      </c>
    </row>
    <row r="1715" spans="1:38" s="182" customFormat="1" ht="33" customHeight="1" x14ac:dyDescent="0.3">
      <c r="A1715" s="167">
        <v>30</v>
      </c>
      <c r="B1715" s="168">
        <v>187</v>
      </c>
      <c r="C1715" s="278" t="str">
        <f t="shared" si="35"/>
        <v>30.187</v>
      </c>
      <c r="D1715" s="279"/>
      <c r="E1715" s="64" t="str">
        <f>IF(ISBLANK(D1715)=TRUE,"",VLOOKUP(D1715,Krav!$C:$F,4,FALSE))</f>
        <v/>
      </c>
      <c r="F1715" s="281" t="s">
        <v>418</v>
      </c>
      <c r="G1715" s="297" t="s">
        <v>446</v>
      </c>
      <c r="H1715" s="296" t="s">
        <v>451</v>
      </c>
      <c r="I1715" s="286" t="s">
        <v>129</v>
      </c>
      <c r="J1715" s="285" t="s">
        <v>222</v>
      </c>
      <c r="K1715" s="123" t="s">
        <v>222</v>
      </c>
      <c r="L1715" s="291" t="s">
        <v>3</v>
      </c>
      <c r="M1715" s="288" t="s">
        <v>129</v>
      </c>
      <c r="N1715" s="288" t="s">
        <v>131</v>
      </c>
      <c r="O1715" s="288" t="s">
        <v>96</v>
      </c>
      <c r="P1715" s="288" t="s">
        <v>96</v>
      </c>
      <c r="Q1715" s="288" t="s">
        <v>129</v>
      </c>
      <c r="R1715" s="288" t="s">
        <v>131</v>
      </c>
      <c r="S1715" s="288" t="s">
        <v>131</v>
      </c>
      <c r="T1715" s="288"/>
      <c r="U1715" s="288"/>
      <c r="V1715" s="289" t="s">
        <v>295</v>
      </c>
      <c r="W1715" s="288" t="s">
        <v>166</v>
      </c>
      <c r="X1715" s="288" t="s">
        <v>166</v>
      </c>
      <c r="Y1715" s="288" t="s">
        <v>580</v>
      </c>
      <c r="Z1715" s="288"/>
      <c r="AA1715" s="288"/>
      <c r="AB1715" s="288"/>
      <c r="AC1715" s="288"/>
      <c r="AD1715" s="289" t="s">
        <v>5</v>
      </c>
    </row>
    <row r="1716" spans="1:38" s="182" customFormat="1" ht="33" customHeight="1" x14ac:dyDescent="0.3">
      <c r="A1716" s="167">
        <v>30</v>
      </c>
      <c r="B1716" s="168">
        <v>188</v>
      </c>
      <c r="C1716" s="278" t="str">
        <f t="shared" si="35"/>
        <v>30.188</v>
      </c>
      <c r="D1716" s="279"/>
      <c r="E1716" s="64" t="str">
        <f>IF(ISBLANK(D1716)=TRUE,"",VLOOKUP(D1716,Krav!$C:$F,4,FALSE))</f>
        <v/>
      </c>
      <c r="F1716" s="281" t="s">
        <v>418</v>
      </c>
      <c r="G1716" s="282" t="s">
        <v>446</v>
      </c>
      <c r="H1716" s="296" t="s">
        <v>451</v>
      </c>
      <c r="I1716" s="286" t="s">
        <v>129</v>
      </c>
      <c r="J1716" s="286" t="s">
        <v>222</v>
      </c>
      <c r="K1716" s="123" t="s">
        <v>222</v>
      </c>
      <c r="L1716" s="287" t="s">
        <v>3</v>
      </c>
      <c r="M1716" s="288" t="s">
        <v>129</v>
      </c>
      <c r="N1716" s="288" t="s">
        <v>131</v>
      </c>
      <c r="O1716" s="288" t="s">
        <v>96</v>
      </c>
      <c r="P1716" s="288" t="s">
        <v>96</v>
      </c>
      <c r="Q1716" s="288" t="s">
        <v>129</v>
      </c>
      <c r="R1716" s="288" t="s">
        <v>131</v>
      </c>
      <c r="S1716" s="288" t="s">
        <v>131</v>
      </c>
      <c r="T1716" s="288"/>
      <c r="U1716" s="288"/>
      <c r="V1716" s="288" t="s">
        <v>294</v>
      </c>
      <c r="W1716" s="288"/>
      <c r="X1716" s="288"/>
      <c r="Y1716" s="288"/>
      <c r="Z1716" s="288"/>
      <c r="AA1716" s="288"/>
      <c r="AB1716" s="288"/>
      <c r="AC1716" s="288"/>
      <c r="AD1716" s="289" t="s">
        <v>5</v>
      </c>
    </row>
    <row r="1717" spans="1:38" s="182" customFormat="1" ht="33" customHeight="1" x14ac:dyDescent="0.3">
      <c r="A1717" s="167">
        <v>30</v>
      </c>
      <c r="B1717" s="168">
        <v>189</v>
      </c>
      <c r="C1717" s="278" t="str">
        <f t="shared" si="35"/>
        <v>30.189</v>
      </c>
      <c r="D1717" s="279"/>
      <c r="E1717" s="64" t="str">
        <f>IF(ISBLANK(D1717)=TRUE,"",VLOOKUP(D1717,Krav!$C:$F,4,FALSE))</f>
        <v/>
      </c>
      <c r="F1717" s="281" t="s">
        <v>418</v>
      </c>
      <c r="G1717" s="282" t="s">
        <v>445</v>
      </c>
      <c r="H1717" s="296" t="s">
        <v>451</v>
      </c>
      <c r="I1717" s="286" t="s">
        <v>129</v>
      </c>
      <c r="J1717" s="285" t="s">
        <v>222</v>
      </c>
      <c r="K1717" s="125" t="s">
        <v>222</v>
      </c>
      <c r="L1717" s="291" t="s">
        <v>3</v>
      </c>
      <c r="M1717" s="288" t="s">
        <v>131</v>
      </c>
      <c r="N1717" s="288" t="s">
        <v>129</v>
      </c>
      <c r="O1717" s="288" t="s">
        <v>376</v>
      </c>
      <c r="P1717" s="288" t="s">
        <v>376</v>
      </c>
      <c r="Q1717" s="288" t="s">
        <v>131</v>
      </c>
      <c r="R1717" s="288" t="s">
        <v>131</v>
      </c>
      <c r="S1717" s="288" t="s">
        <v>131</v>
      </c>
      <c r="T1717" s="288"/>
      <c r="U1717" s="288"/>
      <c r="V1717" s="288"/>
      <c r="W1717" s="288"/>
      <c r="X1717" s="288"/>
      <c r="Y1717" s="288"/>
      <c r="Z1717" s="288"/>
      <c r="AA1717" s="288"/>
      <c r="AB1717" s="288"/>
      <c r="AC1717" s="288"/>
      <c r="AD1717" s="289" t="s">
        <v>5</v>
      </c>
    </row>
    <row r="1718" spans="1:38" s="182" customFormat="1" ht="33" customHeight="1" x14ac:dyDescent="0.3">
      <c r="A1718" s="167">
        <v>30</v>
      </c>
      <c r="B1718" s="168">
        <v>190</v>
      </c>
      <c r="C1718" s="278" t="str">
        <f t="shared" si="35"/>
        <v>30.190</v>
      </c>
      <c r="D1718" s="279"/>
      <c r="E1718" s="64" t="str">
        <f>IF(ISBLANK(D1718)=TRUE,"",VLOOKUP(D1718,Krav!$C:$F,4,FALSE))</f>
        <v/>
      </c>
      <c r="F1718" s="281" t="s">
        <v>418</v>
      </c>
      <c r="G1718" s="282" t="s">
        <v>445</v>
      </c>
      <c r="H1718" s="296" t="s">
        <v>451</v>
      </c>
      <c r="I1718" s="286" t="s">
        <v>129</v>
      </c>
      <c r="J1718" s="285" t="s">
        <v>222</v>
      </c>
      <c r="K1718" s="125" t="s">
        <v>222</v>
      </c>
      <c r="L1718" s="291" t="s">
        <v>3</v>
      </c>
      <c r="M1718" s="288" t="s">
        <v>131</v>
      </c>
      <c r="N1718" s="288" t="s">
        <v>129</v>
      </c>
      <c r="O1718" s="288" t="s">
        <v>376</v>
      </c>
      <c r="P1718" s="288" t="s">
        <v>376</v>
      </c>
      <c r="Q1718" s="288" t="s">
        <v>131</v>
      </c>
      <c r="R1718" s="288" t="s">
        <v>131</v>
      </c>
      <c r="S1718" s="288" t="s">
        <v>131</v>
      </c>
      <c r="T1718" s="288"/>
      <c r="U1718" s="288"/>
      <c r="V1718" s="288"/>
      <c r="W1718" s="288"/>
      <c r="X1718" s="288"/>
      <c r="Y1718" s="288"/>
      <c r="Z1718" s="288"/>
      <c r="AA1718" s="288"/>
      <c r="AB1718" s="288"/>
      <c r="AC1718" s="288"/>
      <c r="AD1718" s="289" t="s">
        <v>5</v>
      </c>
      <c r="AE1718" s="298"/>
      <c r="AF1718" s="298"/>
      <c r="AG1718" s="298"/>
      <c r="AH1718" s="298"/>
      <c r="AI1718" s="298"/>
      <c r="AJ1718" s="298"/>
      <c r="AK1718" s="298"/>
      <c r="AL1718" s="298"/>
    </row>
    <row r="1719" spans="1:38" s="182" customFormat="1" ht="33" customHeight="1" x14ac:dyDescent="0.3">
      <c r="A1719" s="167">
        <v>30</v>
      </c>
      <c r="B1719" s="168">
        <v>191</v>
      </c>
      <c r="C1719" s="278" t="str">
        <f t="shared" si="35"/>
        <v>30.191</v>
      </c>
      <c r="D1719" s="279"/>
      <c r="E1719" s="64" t="str">
        <f>IF(ISBLANK(D1719)=TRUE,"",VLOOKUP(D1719,Krav!$C:$F,4,FALSE))</f>
        <v/>
      </c>
      <c r="F1719" s="281" t="s">
        <v>418</v>
      </c>
      <c r="G1719" s="282" t="s">
        <v>445</v>
      </c>
      <c r="H1719" s="296" t="s">
        <v>451</v>
      </c>
      <c r="I1719" s="286" t="s">
        <v>129</v>
      </c>
      <c r="J1719" s="285" t="s">
        <v>222</v>
      </c>
      <c r="K1719" s="125" t="s">
        <v>222</v>
      </c>
      <c r="L1719" s="291" t="s">
        <v>3</v>
      </c>
      <c r="M1719" s="288" t="s">
        <v>131</v>
      </c>
      <c r="N1719" s="288" t="s">
        <v>129</v>
      </c>
      <c r="O1719" s="288" t="s">
        <v>376</v>
      </c>
      <c r="P1719" s="288" t="s">
        <v>96</v>
      </c>
      <c r="Q1719" s="288" t="s">
        <v>131</v>
      </c>
      <c r="R1719" s="288" t="s">
        <v>131</v>
      </c>
      <c r="S1719" s="288" t="s">
        <v>129</v>
      </c>
      <c r="T1719" s="288"/>
      <c r="U1719" s="288"/>
      <c r="V1719" s="288"/>
      <c r="W1719" s="288"/>
      <c r="X1719" s="288"/>
      <c r="Y1719" s="288"/>
      <c r="Z1719" s="288"/>
      <c r="AA1719" s="288"/>
      <c r="AB1719" s="288"/>
      <c r="AC1719" s="288"/>
      <c r="AD1719" s="289" t="s">
        <v>5</v>
      </c>
      <c r="AE1719" s="298"/>
      <c r="AF1719" s="298"/>
      <c r="AG1719" s="298"/>
      <c r="AH1719" s="298"/>
      <c r="AI1719" s="298"/>
      <c r="AJ1719" s="298"/>
      <c r="AK1719" s="298"/>
      <c r="AL1719" s="298"/>
    </row>
    <row r="1720" spans="1:38" s="182" customFormat="1" ht="33" customHeight="1" x14ac:dyDescent="0.3">
      <c r="A1720" s="167">
        <v>30</v>
      </c>
      <c r="B1720" s="168">
        <v>192</v>
      </c>
      <c r="C1720" s="278" t="str">
        <f t="shared" si="35"/>
        <v>30.192</v>
      </c>
      <c r="D1720" s="279"/>
      <c r="E1720" s="64" t="str">
        <f>IF(ISBLANK(D1720)=TRUE,"",VLOOKUP(D1720,Krav!$C:$F,4,FALSE))</f>
        <v/>
      </c>
      <c r="F1720" s="281" t="s">
        <v>418</v>
      </c>
      <c r="G1720" s="282" t="s">
        <v>446</v>
      </c>
      <c r="H1720" s="296" t="s">
        <v>451</v>
      </c>
      <c r="I1720" s="286" t="s">
        <v>129</v>
      </c>
      <c r="J1720" s="388" t="s">
        <v>222</v>
      </c>
      <c r="K1720" s="123" t="s">
        <v>222</v>
      </c>
      <c r="L1720" s="291" t="s">
        <v>3</v>
      </c>
      <c r="M1720" s="288" t="s">
        <v>131</v>
      </c>
      <c r="N1720" s="288" t="s">
        <v>129</v>
      </c>
      <c r="O1720" s="288" t="s">
        <v>376</v>
      </c>
      <c r="P1720" s="288" t="s">
        <v>96</v>
      </c>
      <c r="Q1720" s="288" t="s">
        <v>131</v>
      </c>
      <c r="R1720" s="288" t="s">
        <v>129</v>
      </c>
      <c r="S1720" s="288" t="s">
        <v>131</v>
      </c>
      <c r="T1720" s="288"/>
      <c r="U1720" s="288"/>
      <c r="V1720" s="288" t="s">
        <v>294</v>
      </c>
      <c r="W1720" s="288"/>
      <c r="X1720" s="288"/>
      <c r="Y1720" s="288"/>
      <c r="Z1720" s="288"/>
      <c r="AA1720" s="288"/>
      <c r="AB1720" s="288"/>
      <c r="AC1720" s="288"/>
      <c r="AD1720" s="289" t="s">
        <v>5</v>
      </c>
      <c r="AE1720" s="298"/>
      <c r="AF1720" s="298"/>
      <c r="AG1720" s="298"/>
      <c r="AH1720" s="298"/>
      <c r="AI1720" s="298"/>
      <c r="AJ1720" s="298"/>
      <c r="AK1720" s="298"/>
      <c r="AL1720" s="298"/>
    </row>
    <row r="1721" spans="1:38" s="182" customFormat="1" ht="33" customHeight="1" x14ac:dyDescent="0.3">
      <c r="A1721" s="167">
        <v>30</v>
      </c>
      <c r="B1721" s="168">
        <v>193</v>
      </c>
      <c r="C1721" s="278" t="str">
        <f t="shared" si="35"/>
        <v>30.193</v>
      </c>
      <c r="D1721" s="279"/>
      <c r="E1721" s="64" t="str">
        <f>IF(ISBLANK(D1721)=TRUE,"",VLOOKUP(D1721,Krav!$C:$F,4,FALSE))</f>
        <v/>
      </c>
      <c r="F1721" s="281" t="s">
        <v>418</v>
      </c>
      <c r="G1721" s="282" t="s">
        <v>446</v>
      </c>
      <c r="H1721" s="296" t="s">
        <v>451</v>
      </c>
      <c r="I1721" s="286" t="s">
        <v>129</v>
      </c>
      <c r="J1721" s="285" t="s">
        <v>222</v>
      </c>
      <c r="K1721" s="123" t="s">
        <v>222</v>
      </c>
      <c r="L1721" s="291" t="s">
        <v>3</v>
      </c>
      <c r="M1721" s="288" t="s">
        <v>131</v>
      </c>
      <c r="N1721" s="288" t="s">
        <v>129</v>
      </c>
      <c r="O1721" s="288" t="s">
        <v>376</v>
      </c>
      <c r="P1721" s="288" t="s">
        <v>96</v>
      </c>
      <c r="Q1721" s="288" t="s">
        <v>131</v>
      </c>
      <c r="R1721" s="288" t="s">
        <v>129</v>
      </c>
      <c r="S1721" s="288" t="s">
        <v>131</v>
      </c>
      <c r="T1721" s="288"/>
      <c r="U1721" s="288"/>
      <c r="V1721" s="289" t="s">
        <v>295</v>
      </c>
      <c r="W1721" s="288" t="s">
        <v>26</v>
      </c>
      <c r="X1721" s="288"/>
      <c r="Y1721" s="288"/>
      <c r="Z1721" s="288"/>
      <c r="AA1721" s="288"/>
      <c r="AB1721" s="288"/>
      <c r="AC1721" s="288"/>
      <c r="AD1721" s="289" t="s">
        <v>5</v>
      </c>
      <c r="AE1721" s="298"/>
      <c r="AF1721" s="298"/>
      <c r="AG1721" s="298"/>
      <c r="AH1721" s="298"/>
      <c r="AI1721" s="298"/>
      <c r="AJ1721" s="298"/>
      <c r="AK1721" s="298"/>
      <c r="AL1721" s="298"/>
    </row>
    <row r="1722" spans="1:38" s="182" customFormat="1" ht="33" customHeight="1" x14ac:dyDescent="0.3">
      <c r="A1722" s="167">
        <v>30</v>
      </c>
      <c r="B1722" s="168">
        <v>194</v>
      </c>
      <c r="C1722" s="278" t="str">
        <f t="shared" si="35"/>
        <v>30.194</v>
      </c>
      <c r="D1722" s="279"/>
      <c r="E1722" s="64" t="str">
        <f>IF(ISBLANK(D1722)=TRUE,"",VLOOKUP(D1722,Krav!$C:$F,4,FALSE))</f>
        <v/>
      </c>
      <c r="F1722" s="281" t="s">
        <v>418</v>
      </c>
      <c r="G1722" s="282" t="s">
        <v>446</v>
      </c>
      <c r="H1722" s="296" t="s">
        <v>451</v>
      </c>
      <c r="I1722" s="286" t="s">
        <v>129</v>
      </c>
      <c r="J1722" s="285" t="s">
        <v>222</v>
      </c>
      <c r="K1722" s="123" t="s">
        <v>222</v>
      </c>
      <c r="L1722" s="291" t="s">
        <v>3</v>
      </c>
      <c r="M1722" s="288" t="s">
        <v>131</v>
      </c>
      <c r="N1722" s="288" t="s">
        <v>129</v>
      </c>
      <c r="O1722" s="288" t="s">
        <v>376</v>
      </c>
      <c r="P1722" s="288" t="s">
        <v>96</v>
      </c>
      <c r="Q1722" s="288" t="s">
        <v>131</v>
      </c>
      <c r="R1722" s="288" t="s">
        <v>129</v>
      </c>
      <c r="S1722" s="288" t="s">
        <v>131</v>
      </c>
      <c r="T1722" s="288"/>
      <c r="U1722" s="288"/>
      <c r="V1722" s="289" t="s">
        <v>295</v>
      </c>
      <c r="W1722" s="288" t="s">
        <v>166</v>
      </c>
      <c r="X1722" s="288" t="s">
        <v>26</v>
      </c>
      <c r="Y1722" s="288"/>
      <c r="Z1722" s="288"/>
      <c r="AA1722" s="288"/>
      <c r="AB1722" s="288"/>
      <c r="AC1722" s="288"/>
      <c r="AD1722" s="289" t="s">
        <v>5</v>
      </c>
      <c r="AE1722" s="298"/>
      <c r="AF1722" s="298"/>
      <c r="AG1722" s="298"/>
      <c r="AH1722" s="298"/>
      <c r="AI1722" s="298"/>
      <c r="AJ1722" s="298"/>
      <c r="AK1722" s="298"/>
      <c r="AL1722" s="298"/>
    </row>
    <row r="1723" spans="1:38" s="182" customFormat="1" ht="33" customHeight="1" x14ac:dyDescent="0.3">
      <c r="A1723" s="167">
        <v>30</v>
      </c>
      <c r="B1723" s="168">
        <v>195</v>
      </c>
      <c r="C1723" s="278" t="str">
        <f t="shared" si="35"/>
        <v>30.195</v>
      </c>
      <c r="D1723" s="279"/>
      <c r="E1723" s="64" t="str">
        <f>IF(ISBLANK(D1723)=TRUE,"",VLOOKUP(D1723,Krav!$C:$F,4,FALSE))</f>
        <v/>
      </c>
      <c r="F1723" s="281" t="s">
        <v>418</v>
      </c>
      <c r="G1723" s="282" t="s">
        <v>446</v>
      </c>
      <c r="H1723" s="296" t="s">
        <v>451</v>
      </c>
      <c r="I1723" s="286" t="s">
        <v>129</v>
      </c>
      <c r="J1723" s="285" t="s">
        <v>222</v>
      </c>
      <c r="K1723" s="123" t="s">
        <v>222</v>
      </c>
      <c r="L1723" s="291" t="s">
        <v>3</v>
      </c>
      <c r="M1723" s="288" t="s">
        <v>131</v>
      </c>
      <c r="N1723" s="288" t="s">
        <v>129</v>
      </c>
      <c r="O1723" s="288" t="s">
        <v>376</v>
      </c>
      <c r="P1723" s="288" t="s">
        <v>96</v>
      </c>
      <c r="Q1723" s="288" t="s">
        <v>131</v>
      </c>
      <c r="R1723" s="288" t="s">
        <v>129</v>
      </c>
      <c r="S1723" s="288" t="s">
        <v>131</v>
      </c>
      <c r="T1723" s="288"/>
      <c r="U1723" s="288"/>
      <c r="V1723" s="289" t="s">
        <v>295</v>
      </c>
      <c r="W1723" s="288" t="s">
        <v>166</v>
      </c>
      <c r="X1723" s="288" t="s">
        <v>166</v>
      </c>
      <c r="Y1723" s="288" t="s">
        <v>580</v>
      </c>
      <c r="Z1723" s="288"/>
      <c r="AA1723" s="288"/>
      <c r="AB1723" s="288"/>
      <c r="AC1723" s="288"/>
      <c r="AD1723" s="289" t="s">
        <v>5</v>
      </c>
      <c r="AE1723" s="298"/>
      <c r="AF1723" s="298"/>
      <c r="AG1723" s="298"/>
      <c r="AH1723" s="298"/>
      <c r="AI1723" s="298"/>
      <c r="AJ1723" s="298"/>
      <c r="AK1723" s="298"/>
      <c r="AL1723" s="298"/>
    </row>
    <row r="1724" spans="1:38" s="182" customFormat="1" ht="33" customHeight="1" x14ac:dyDescent="0.3">
      <c r="A1724" s="167">
        <v>30</v>
      </c>
      <c r="B1724" s="168">
        <v>196</v>
      </c>
      <c r="C1724" s="278" t="str">
        <f t="shared" si="35"/>
        <v>30.196</v>
      </c>
      <c r="D1724" s="279"/>
      <c r="E1724" s="64" t="str">
        <f>IF(ISBLANK(D1724)=TRUE,"",VLOOKUP(D1724,Krav!$C:$F,4,FALSE))</f>
        <v/>
      </c>
      <c r="F1724" s="281" t="s">
        <v>418</v>
      </c>
      <c r="G1724" s="282" t="s">
        <v>446</v>
      </c>
      <c r="H1724" s="296" t="s">
        <v>451</v>
      </c>
      <c r="I1724" s="286" t="s">
        <v>129</v>
      </c>
      <c r="J1724" s="285" t="s">
        <v>222</v>
      </c>
      <c r="K1724" s="123" t="s">
        <v>222</v>
      </c>
      <c r="L1724" s="291" t="s">
        <v>3</v>
      </c>
      <c r="M1724" s="288" t="s">
        <v>131</v>
      </c>
      <c r="N1724" s="288" t="s">
        <v>129</v>
      </c>
      <c r="O1724" s="288" t="s">
        <v>96</v>
      </c>
      <c r="P1724" s="288" t="s">
        <v>376</v>
      </c>
      <c r="Q1724" s="288" t="s">
        <v>129</v>
      </c>
      <c r="R1724" s="288" t="s">
        <v>131</v>
      </c>
      <c r="S1724" s="288" t="s">
        <v>131</v>
      </c>
      <c r="T1724" s="288"/>
      <c r="U1724" s="288"/>
      <c r="V1724" s="289" t="s">
        <v>295</v>
      </c>
      <c r="W1724" s="288" t="s">
        <v>26</v>
      </c>
      <c r="X1724" s="288"/>
      <c r="Y1724" s="288"/>
      <c r="Z1724" s="288"/>
      <c r="AA1724" s="288"/>
      <c r="AB1724" s="288"/>
      <c r="AC1724" s="288"/>
      <c r="AD1724" s="289" t="s">
        <v>5</v>
      </c>
      <c r="AE1724" s="298"/>
      <c r="AF1724" s="298"/>
      <c r="AG1724" s="298"/>
      <c r="AH1724" s="298"/>
      <c r="AI1724" s="298"/>
      <c r="AJ1724" s="298"/>
      <c r="AK1724" s="298"/>
      <c r="AL1724" s="298"/>
    </row>
    <row r="1725" spans="1:38" s="182" customFormat="1" ht="33" customHeight="1" x14ac:dyDescent="0.3">
      <c r="A1725" s="167">
        <v>30</v>
      </c>
      <c r="B1725" s="168">
        <v>197</v>
      </c>
      <c r="C1725" s="278" t="str">
        <f t="shared" si="35"/>
        <v>30.197</v>
      </c>
      <c r="D1725" s="279"/>
      <c r="E1725" s="64" t="str">
        <f>IF(ISBLANK(D1725)=TRUE,"",VLOOKUP(D1725,Krav!$C:$F,4,FALSE))</f>
        <v/>
      </c>
      <c r="F1725" s="281" t="s">
        <v>418</v>
      </c>
      <c r="G1725" s="282" t="s">
        <v>446</v>
      </c>
      <c r="H1725" s="296" t="s">
        <v>451</v>
      </c>
      <c r="I1725" s="286" t="s">
        <v>129</v>
      </c>
      <c r="J1725" s="285" t="s">
        <v>222</v>
      </c>
      <c r="K1725" s="123" t="s">
        <v>222</v>
      </c>
      <c r="L1725" s="291" t="s">
        <v>3</v>
      </c>
      <c r="M1725" s="288" t="s">
        <v>131</v>
      </c>
      <c r="N1725" s="288" t="s">
        <v>129</v>
      </c>
      <c r="O1725" s="288" t="s">
        <v>96</v>
      </c>
      <c r="P1725" s="288" t="s">
        <v>376</v>
      </c>
      <c r="Q1725" s="288" t="s">
        <v>129</v>
      </c>
      <c r="R1725" s="288" t="s">
        <v>131</v>
      </c>
      <c r="S1725" s="288" t="s">
        <v>131</v>
      </c>
      <c r="T1725" s="288"/>
      <c r="U1725" s="288"/>
      <c r="V1725" s="289" t="s">
        <v>295</v>
      </c>
      <c r="W1725" s="288" t="s">
        <v>166</v>
      </c>
      <c r="X1725" s="288" t="s">
        <v>26</v>
      </c>
      <c r="Y1725" s="288"/>
      <c r="Z1725" s="288"/>
      <c r="AA1725" s="288"/>
      <c r="AB1725" s="288"/>
      <c r="AC1725" s="288"/>
      <c r="AD1725" s="289" t="s">
        <v>5</v>
      </c>
      <c r="AE1725" s="298"/>
      <c r="AF1725" s="298"/>
      <c r="AG1725" s="298"/>
      <c r="AH1725" s="298"/>
      <c r="AI1725" s="298"/>
      <c r="AJ1725" s="298"/>
      <c r="AK1725" s="298"/>
      <c r="AL1725" s="298"/>
    </row>
    <row r="1726" spans="1:38" s="182" customFormat="1" ht="33" customHeight="1" x14ac:dyDescent="0.3">
      <c r="A1726" s="167">
        <v>30</v>
      </c>
      <c r="B1726" s="168">
        <v>198</v>
      </c>
      <c r="C1726" s="278" t="str">
        <f t="shared" si="35"/>
        <v>30.198</v>
      </c>
      <c r="D1726" s="279"/>
      <c r="E1726" s="64" t="str">
        <f>IF(ISBLANK(D1726)=TRUE,"",VLOOKUP(D1726,Krav!$C:$F,4,FALSE))</f>
        <v/>
      </c>
      <c r="F1726" s="281" t="s">
        <v>418</v>
      </c>
      <c r="G1726" s="282" t="s">
        <v>446</v>
      </c>
      <c r="H1726" s="296" t="s">
        <v>451</v>
      </c>
      <c r="I1726" s="286" t="s">
        <v>129</v>
      </c>
      <c r="J1726" s="285" t="s">
        <v>222</v>
      </c>
      <c r="K1726" s="123" t="s">
        <v>222</v>
      </c>
      <c r="L1726" s="291" t="s">
        <v>3</v>
      </c>
      <c r="M1726" s="288" t="s">
        <v>131</v>
      </c>
      <c r="N1726" s="288" t="s">
        <v>129</v>
      </c>
      <c r="O1726" s="288" t="s">
        <v>96</v>
      </c>
      <c r="P1726" s="288" t="s">
        <v>376</v>
      </c>
      <c r="Q1726" s="288" t="s">
        <v>129</v>
      </c>
      <c r="R1726" s="288" t="s">
        <v>131</v>
      </c>
      <c r="S1726" s="288" t="s">
        <v>131</v>
      </c>
      <c r="T1726" s="288"/>
      <c r="U1726" s="288"/>
      <c r="V1726" s="289" t="s">
        <v>295</v>
      </c>
      <c r="W1726" s="288" t="s">
        <v>166</v>
      </c>
      <c r="X1726" s="288" t="s">
        <v>166</v>
      </c>
      <c r="Y1726" s="288" t="s">
        <v>580</v>
      </c>
      <c r="Z1726" s="288"/>
      <c r="AA1726" s="288"/>
      <c r="AB1726" s="288"/>
      <c r="AC1726" s="288"/>
      <c r="AD1726" s="289" t="s">
        <v>5</v>
      </c>
      <c r="AE1726" s="298"/>
      <c r="AF1726" s="298"/>
      <c r="AG1726" s="298"/>
      <c r="AH1726" s="298"/>
      <c r="AI1726" s="298"/>
      <c r="AJ1726" s="298"/>
      <c r="AK1726" s="298"/>
      <c r="AL1726" s="298"/>
    </row>
    <row r="1727" spans="1:38" s="182" customFormat="1" ht="33" customHeight="1" x14ac:dyDescent="0.3">
      <c r="A1727" s="167">
        <v>30</v>
      </c>
      <c r="B1727" s="168">
        <v>199</v>
      </c>
      <c r="C1727" s="278" t="str">
        <f t="shared" si="35"/>
        <v>30.199</v>
      </c>
      <c r="D1727" s="279"/>
      <c r="E1727" s="64" t="str">
        <f>IF(ISBLANK(D1727)=TRUE,"",VLOOKUP(D1727,Krav!$C:$F,4,FALSE))</f>
        <v/>
      </c>
      <c r="F1727" s="281" t="s">
        <v>418</v>
      </c>
      <c r="G1727" s="282" t="s">
        <v>446</v>
      </c>
      <c r="H1727" s="296" t="s">
        <v>451</v>
      </c>
      <c r="I1727" s="286" t="s">
        <v>129</v>
      </c>
      <c r="J1727" s="285" t="s">
        <v>222</v>
      </c>
      <c r="K1727" s="123" t="s">
        <v>222</v>
      </c>
      <c r="L1727" s="287" t="s">
        <v>3</v>
      </c>
      <c r="M1727" s="288" t="s">
        <v>131</v>
      </c>
      <c r="N1727" s="288" t="s">
        <v>129</v>
      </c>
      <c r="O1727" s="288" t="s">
        <v>96</v>
      </c>
      <c r="P1727" s="288" t="s">
        <v>376</v>
      </c>
      <c r="Q1727" s="288" t="s">
        <v>129</v>
      </c>
      <c r="R1727" s="288" t="s">
        <v>131</v>
      </c>
      <c r="S1727" s="288" t="s">
        <v>131</v>
      </c>
      <c r="T1727" s="288"/>
      <c r="U1727" s="288"/>
      <c r="V1727" s="288" t="s">
        <v>294</v>
      </c>
      <c r="W1727" s="288"/>
      <c r="X1727" s="288"/>
      <c r="Y1727" s="288"/>
      <c r="Z1727" s="288"/>
      <c r="AA1727" s="288"/>
      <c r="AB1727" s="288"/>
      <c r="AC1727" s="288"/>
      <c r="AD1727" s="289" t="s">
        <v>5</v>
      </c>
      <c r="AE1727" s="298"/>
      <c r="AF1727" s="298"/>
      <c r="AG1727" s="298"/>
      <c r="AH1727" s="298"/>
      <c r="AI1727" s="298"/>
      <c r="AJ1727" s="298"/>
      <c r="AK1727" s="298"/>
      <c r="AL1727" s="298"/>
    </row>
    <row r="1728" spans="1:38" s="387" customFormat="1" ht="33" customHeight="1" x14ac:dyDescent="0.3">
      <c r="A1728" s="374">
        <v>30</v>
      </c>
      <c r="B1728" s="375">
        <v>200</v>
      </c>
      <c r="C1728" s="376" t="str">
        <f t="shared" ref="C1728:C1747" si="36">IF(B1728&lt;10,_xlfn.CONCAT(A1728,".0",B1728),_xlfn.CONCAT(A1728,".",B1728))</f>
        <v>30.200</v>
      </c>
      <c r="D1728" s="380"/>
      <c r="E1728" s="381" t="str">
        <f>IF(ISBLANK(D1728)=TRUE,"",VLOOKUP(D1728,Krav!$C:$F,4,FALSE))</f>
        <v/>
      </c>
      <c r="F1728" s="382" t="s">
        <v>226</v>
      </c>
      <c r="G1728" s="383" t="s">
        <v>308</v>
      </c>
      <c r="H1728" s="379" t="s">
        <v>2382</v>
      </c>
      <c r="I1728" s="384" t="s">
        <v>241</v>
      </c>
      <c r="J1728" s="384" t="s">
        <v>222</v>
      </c>
      <c r="K1728" s="384" t="s">
        <v>222</v>
      </c>
      <c r="L1728" s="385" t="s">
        <v>3</v>
      </c>
      <c r="M1728" s="377" t="s">
        <v>129</v>
      </c>
      <c r="N1728" s="377" t="s">
        <v>131</v>
      </c>
      <c r="O1728" s="377" t="s">
        <v>96</v>
      </c>
      <c r="P1728" s="377" t="s">
        <v>376</v>
      </c>
      <c r="Q1728" s="377" t="s">
        <v>129</v>
      </c>
      <c r="R1728" s="377" t="s">
        <v>131</v>
      </c>
      <c r="S1728" s="377" t="s">
        <v>131</v>
      </c>
      <c r="T1728" s="377"/>
      <c r="U1728" s="379" t="s">
        <v>1308</v>
      </c>
      <c r="V1728" s="377"/>
      <c r="W1728" s="377"/>
      <c r="X1728" s="377"/>
      <c r="Y1728" s="377"/>
      <c r="Z1728" s="377"/>
      <c r="AA1728" s="377"/>
      <c r="AB1728" s="377"/>
      <c r="AC1728" s="377"/>
      <c r="AD1728" s="378" t="s">
        <v>5</v>
      </c>
      <c r="AE1728" s="386"/>
      <c r="AF1728" s="386"/>
      <c r="AG1728" s="386"/>
      <c r="AH1728" s="386"/>
      <c r="AI1728" s="386"/>
      <c r="AJ1728" s="386"/>
      <c r="AK1728" s="386"/>
      <c r="AL1728" s="386"/>
    </row>
    <row r="1729" spans="1:38" s="387" customFormat="1" ht="33" customHeight="1" x14ac:dyDescent="0.3">
      <c r="A1729" s="374">
        <v>30</v>
      </c>
      <c r="B1729" s="375">
        <v>201</v>
      </c>
      <c r="C1729" s="376" t="str">
        <f t="shared" si="36"/>
        <v>30.201</v>
      </c>
      <c r="D1729" s="380"/>
      <c r="E1729" s="381" t="str">
        <f>IF(ISBLANK(D1729)=TRUE,"",VLOOKUP(D1729,Krav!$C:$F,4,FALSE))</f>
        <v/>
      </c>
      <c r="F1729" s="382" t="s">
        <v>226</v>
      </c>
      <c r="G1729" s="383" t="s">
        <v>308</v>
      </c>
      <c r="H1729" s="379" t="s">
        <v>2383</v>
      </c>
      <c r="I1729" s="384" t="s">
        <v>241</v>
      </c>
      <c r="J1729" s="384" t="s">
        <v>222</v>
      </c>
      <c r="K1729" s="384" t="s">
        <v>222</v>
      </c>
      <c r="L1729" s="385" t="s">
        <v>3</v>
      </c>
      <c r="M1729" s="377" t="s">
        <v>129</v>
      </c>
      <c r="N1729" s="377" t="s">
        <v>131</v>
      </c>
      <c r="O1729" s="377" t="s">
        <v>96</v>
      </c>
      <c r="P1729" s="377" t="s">
        <v>376</v>
      </c>
      <c r="Q1729" s="377" t="s">
        <v>129</v>
      </c>
      <c r="R1729" s="377" t="s">
        <v>131</v>
      </c>
      <c r="S1729" s="377" t="s">
        <v>131</v>
      </c>
      <c r="T1729" s="377"/>
      <c r="U1729" s="379" t="s">
        <v>1309</v>
      </c>
      <c r="V1729" s="377"/>
      <c r="W1729" s="377"/>
      <c r="X1729" s="377"/>
      <c r="Y1729" s="377"/>
      <c r="Z1729" s="377"/>
      <c r="AA1729" s="377"/>
      <c r="AB1729" s="377"/>
      <c r="AC1729" s="377"/>
      <c r="AD1729" s="378" t="s">
        <v>5</v>
      </c>
      <c r="AE1729" s="386"/>
      <c r="AF1729" s="386"/>
      <c r="AG1729" s="386"/>
      <c r="AH1729" s="386"/>
      <c r="AI1729" s="386"/>
      <c r="AJ1729" s="386"/>
      <c r="AK1729" s="386"/>
      <c r="AL1729" s="386"/>
    </row>
    <row r="1730" spans="1:38" s="387" customFormat="1" ht="33" customHeight="1" x14ac:dyDescent="0.3">
      <c r="A1730" s="374">
        <v>30</v>
      </c>
      <c r="B1730" s="375">
        <v>202</v>
      </c>
      <c r="C1730" s="376" t="str">
        <f t="shared" si="36"/>
        <v>30.202</v>
      </c>
      <c r="D1730" s="380"/>
      <c r="E1730" s="381" t="str">
        <f>IF(ISBLANK(D1730)=TRUE,"",VLOOKUP(D1730,Krav!$C:$F,4,FALSE))</f>
        <v/>
      </c>
      <c r="F1730" s="382" t="s">
        <v>226</v>
      </c>
      <c r="G1730" s="383" t="s">
        <v>308</v>
      </c>
      <c r="H1730" s="379" t="s">
        <v>2384</v>
      </c>
      <c r="I1730" s="384" t="s">
        <v>241</v>
      </c>
      <c r="J1730" s="384" t="s">
        <v>222</v>
      </c>
      <c r="K1730" s="384" t="s">
        <v>222</v>
      </c>
      <c r="L1730" s="385" t="s">
        <v>3</v>
      </c>
      <c r="M1730" s="377" t="s">
        <v>129</v>
      </c>
      <c r="N1730" s="377" t="s">
        <v>131</v>
      </c>
      <c r="O1730" s="377" t="s">
        <v>96</v>
      </c>
      <c r="P1730" s="377" t="s">
        <v>376</v>
      </c>
      <c r="Q1730" s="377" t="s">
        <v>129</v>
      </c>
      <c r="R1730" s="377" t="s">
        <v>131</v>
      </c>
      <c r="S1730" s="377" t="s">
        <v>131</v>
      </c>
      <c r="T1730" s="377"/>
      <c r="U1730" s="379" t="s">
        <v>1310</v>
      </c>
      <c r="V1730" s="377"/>
      <c r="W1730" s="377"/>
      <c r="X1730" s="377"/>
      <c r="Y1730" s="377"/>
      <c r="Z1730" s="377"/>
      <c r="AA1730" s="377"/>
      <c r="AB1730" s="377"/>
      <c r="AC1730" s="377"/>
      <c r="AD1730" s="378" t="s">
        <v>5</v>
      </c>
      <c r="AE1730" s="386"/>
      <c r="AF1730" s="386"/>
      <c r="AG1730" s="386"/>
      <c r="AH1730" s="386"/>
      <c r="AI1730" s="386"/>
      <c r="AJ1730" s="386"/>
      <c r="AK1730" s="386"/>
      <c r="AL1730" s="386"/>
    </row>
    <row r="1731" spans="1:38" s="387" customFormat="1" ht="33" customHeight="1" x14ac:dyDescent="0.3">
      <c r="A1731" s="374">
        <v>30</v>
      </c>
      <c r="B1731" s="375">
        <v>203</v>
      </c>
      <c r="C1731" s="376" t="str">
        <f t="shared" si="36"/>
        <v>30.203</v>
      </c>
      <c r="D1731" s="380"/>
      <c r="E1731" s="381" t="str">
        <f>IF(ISBLANK(D1731)=TRUE,"",VLOOKUP(D1731,Krav!$C:$F,4,FALSE))</f>
        <v/>
      </c>
      <c r="F1731" s="382" t="s">
        <v>226</v>
      </c>
      <c r="G1731" s="383" t="s">
        <v>308</v>
      </c>
      <c r="H1731" s="379" t="s">
        <v>2385</v>
      </c>
      <c r="I1731" s="384" t="s">
        <v>241</v>
      </c>
      <c r="J1731" s="384" t="s">
        <v>222</v>
      </c>
      <c r="K1731" s="384" t="s">
        <v>222</v>
      </c>
      <c r="L1731" s="385" t="s">
        <v>3</v>
      </c>
      <c r="M1731" s="377" t="s">
        <v>129</v>
      </c>
      <c r="N1731" s="377" t="s">
        <v>131</v>
      </c>
      <c r="O1731" s="377" t="s">
        <v>96</v>
      </c>
      <c r="P1731" s="377" t="s">
        <v>376</v>
      </c>
      <c r="Q1731" s="377" t="s">
        <v>129</v>
      </c>
      <c r="R1731" s="377" t="s">
        <v>131</v>
      </c>
      <c r="S1731" s="377" t="s">
        <v>131</v>
      </c>
      <c r="T1731" s="377"/>
      <c r="U1731" s="379" t="s">
        <v>1311</v>
      </c>
      <c r="V1731" s="377"/>
      <c r="W1731" s="377"/>
      <c r="X1731" s="377"/>
      <c r="Y1731" s="377"/>
      <c r="Z1731" s="377"/>
      <c r="AA1731" s="377"/>
      <c r="AB1731" s="377"/>
      <c r="AC1731" s="377"/>
      <c r="AD1731" s="378" t="s">
        <v>5</v>
      </c>
      <c r="AE1731" s="386"/>
      <c r="AF1731" s="386"/>
      <c r="AG1731" s="386"/>
      <c r="AH1731" s="386"/>
      <c r="AI1731" s="386"/>
      <c r="AJ1731" s="386"/>
      <c r="AK1731" s="386"/>
      <c r="AL1731" s="386"/>
    </row>
    <row r="1732" spans="1:38" s="387" customFormat="1" ht="33" customHeight="1" x14ac:dyDescent="0.3">
      <c r="A1732" s="374">
        <v>30</v>
      </c>
      <c r="B1732" s="375">
        <v>204</v>
      </c>
      <c r="C1732" s="376" t="str">
        <f t="shared" si="36"/>
        <v>30.204</v>
      </c>
      <c r="D1732" s="380"/>
      <c r="E1732" s="381" t="str">
        <f>IF(ISBLANK(D1732)=TRUE,"",VLOOKUP(D1732,Krav!$C:$F,4,FALSE))</f>
        <v/>
      </c>
      <c r="F1732" s="382" t="s">
        <v>226</v>
      </c>
      <c r="G1732" s="383" t="s">
        <v>308</v>
      </c>
      <c r="H1732" s="379" t="s">
        <v>2386</v>
      </c>
      <c r="I1732" s="384" t="s">
        <v>241</v>
      </c>
      <c r="J1732" s="384" t="s">
        <v>222</v>
      </c>
      <c r="K1732" s="384" t="s">
        <v>222</v>
      </c>
      <c r="L1732" s="385" t="s">
        <v>3</v>
      </c>
      <c r="M1732" s="377" t="s">
        <v>129</v>
      </c>
      <c r="N1732" s="377" t="s">
        <v>131</v>
      </c>
      <c r="O1732" s="377" t="s">
        <v>96</v>
      </c>
      <c r="P1732" s="377" t="s">
        <v>376</v>
      </c>
      <c r="Q1732" s="377" t="s">
        <v>129</v>
      </c>
      <c r="R1732" s="377" t="s">
        <v>131</v>
      </c>
      <c r="S1732" s="377" t="s">
        <v>131</v>
      </c>
      <c r="T1732" s="377"/>
      <c r="U1732" s="379" t="s">
        <v>1312</v>
      </c>
      <c r="V1732" s="377"/>
      <c r="W1732" s="377"/>
      <c r="X1732" s="377"/>
      <c r="Y1732" s="377"/>
      <c r="Z1732" s="377"/>
      <c r="AA1732" s="377"/>
      <c r="AB1732" s="377"/>
      <c r="AC1732" s="377"/>
      <c r="AD1732" s="378" t="s">
        <v>5</v>
      </c>
      <c r="AE1732" s="386"/>
      <c r="AF1732" s="386"/>
      <c r="AG1732" s="386"/>
      <c r="AH1732" s="386"/>
      <c r="AI1732" s="386"/>
      <c r="AJ1732" s="386"/>
      <c r="AK1732" s="386"/>
      <c r="AL1732" s="386"/>
    </row>
    <row r="1733" spans="1:38" s="387" customFormat="1" ht="33" customHeight="1" x14ac:dyDescent="0.3">
      <c r="A1733" s="374">
        <v>30</v>
      </c>
      <c r="B1733" s="375">
        <v>205</v>
      </c>
      <c r="C1733" s="376" t="str">
        <f t="shared" si="36"/>
        <v>30.205</v>
      </c>
      <c r="D1733" s="380"/>
      <c r="E1733" s="381" t="str">
        <f>IF(ISBLANK(D1733)=TRUE,"",VLOOKUP(D1733,Krav!$C:$F,4,FALSE))</f>
        <v/>
      </c>
      <c r="F1733" s="382" t="s">
        <v>226</v>
      </c>
      <c r="G1733" s="383" t="s">
        <v>308</v>
      </c>
      <c r="H1733" s="379" t="s">
        <v>2382</v>
      </c>
      <c r="I1733" s="384" t="s">
        <v>241</v>
      </c>
      <c r="J1733" s="384" t="s">
        <v>222</v>
      </c>
      <c r="K1733" s="384" t="s">
        <v>222</v>
      </c>
      <c r="L1733" s="385" t="s">
        <v>3</v>
      </c>
      <c r="M1733" s="377" t="s">
        <v>129</v>
      </c>
      <c r="N1733" s="377" t="s">
        <v>131</v>
      </c>
      <c r="O1733" s="377" t="s">
        <v>376</v>
      </c>
      <c r="P1733" s="377" t="s">
        <v>96</v>
      </c>
      <c r="Q1733" s="377" t="s">
        <v>131</v>
      </c>
      <c r="R1733" s="377" t="s">
        <v>129</v>
      </c>
      <c r="S1733" s="377" t="s">
        <v>131</v>
      </c>
      <c r="T1733" s="377"/>
      <c r="U1733" s="379" t="s">
        <v>1308</v>
      </c>
      <c r="V1733" s="377"/>
      <c r="W1733" s="377"/>
      <c r="X1733" s="377"/>
      <c r="Y1733" s="377"/>
      <c r="Z1733" s="377"/>
      <c r="AA1733" s="377"/>
      <c r="AB1733" s="377"/>
      <c r="AC1733" s="377"/>
      <c r="AD1733" s="378" t="s">
        <v>5</v>
      </c>
      <c r="AE1733" s="386"/>
      <c r="AF1733" s="386"/>
      <c r="AG1733" s="386"/>
      <c r="AH1733" s="386"/>
      <c r="AI1733" s="386"/>
      <c r="AJ1733" s="386"/>
      <c r="AK1733" s="386"/>
      <c r="AL1733" s="386"/>
    </row>
    <row r="1734" spans="1:38" s="387" customFormat="1" ht="33" customHeight="1" x14ac:dyDescent="0.3">
      <c r="A1734" s="374">
        <v>30</v>
      </c>
      <c r="B1734" s="375">
        <v>206</v>
      </c>
      <c r="C1734" s="376" t="str">
        <f t="shared" si="36"/>
        <v>30.206</v>
      </c>
      <c r="D1734" s="380"/>
      <c r="E1734" s="381" t="str">
        <f>IF(ISBLANK(D1734)=TRUE,"",VLOOKUP(D1734,Krav!$C:$F,4,FALSE))</f>
        <v/>
      </c>
      <c r="F1734" s="382" t="s">
        <v>226</v>
      </c>
      <c r="G1734" s="383" t="s">
        <v>308</v>
      </c>
      <c r="H1734" s="379" t="s">
        <v>2383</v>
      </c>
      <c r="I1734" s="384" t="s">
        <v>241</v>
      </c>
      <c r="J1734" s="384" t="s">
        <v>222</v>
      </c>
      <c r="K1734" s="384" t="s">
        <v>222</v>
      </c>
      <c r="L1734" s="385" t="s">
        <v>3</v>
      </c>
      <c r="M1734" s="377" t="s">
        <v>129</v>
      </c>
      <c r="N1734" s="377" t="s">
        <v>131</v>
      </c>
      <c r="O1734" s="377" t="s">
        <v>376</v>
      </c>
      <c r="P1734" s="377" t="s">
        <v>96</v>
      </c>
      <c r="Q1734" s="377" t="s">
        <v>131</v>
      </c>
      <c r="R1734" s="377" t="s">
        <v>129</v>
      </c>
      <c r="S1734" s="377" t="s">
        <v>131</v>
      </c>
      <c r="T1734" s="377"/>
      <c r="U1734" s="379" t="s">
        <v>1309</v>
      </c>
      <c r="V1734" s="377"/>
      <c r="W1734" s="377"/>
      <c r="X1734" s="377"/>
      <c r="Y1734" s="377"/>
      <c r="Z1734" s="377"/>
      <c r="AA1734" s="377"/>
      <c r="AB1734" s="377"/>
      <c r="AC1734" s="377"/>
      <c r="AD1734" s="378" t="s">
        <v>5</v>
      </c>
      <c r="AE1734" s="386"/>
      <c r="AF1734" s="386"/>
      <c r="AG1734" s="386"/>
      <c r="AH1734" s="386"/>
      <c r="AI1734" s="386"/>
      <c r="AJ1734" s="386"/>
      <c r="AK1734" s="386"/>
      <c r="AL1734" s="386"/>
    </row>
    <row r="1735" spans="1:38" s="387" customFormat="1" ht="33" customHeight="1" x14ac:dyDescent="0.3">
      <c r="A1735" s="374">
        <v>30</v>
      </c>
      <c r="B1735" s="375">
        <v>207</v>
      </c>
      <c r="C1735" s="376" t="str">
        <f t="shared" si="36"/>
        <v>30.207</v>
      </c>
      <c r="D1735" s="380"/>
      <c r="E1735" s="381" t="str">
        <f>IF(ISBLANK(D1735)=TRUE,"",VLOOKUP(D1735,Krav!$C:$F,4,FALSE))</f>
        <v/>
      </c>
      <c r="F1735" s="382" t="s">
        <v>226</v>
      </c>
      <c r="G1735" s="383" t="s">
        <v>308</v>
      </c>
      <c r="H1735" s="379" t="s">
        <v>2384</v>
      </c>
      <c r="I1735" s="384" t="s">
        <v>241</v>
      </c>
      <c r="J1735" s="384" t="s">
        <v>222</v>
      </c>
      <c r="K1735" s="384" t="s">
        <v>222</v>
      </c>
      <c r="L1735" s="385" t="s">
        <v>3</v>
      </c>
      <c r="M1735" s="377" t="s">
        <v>129</v>
      </c>
      <c r="N1735" s="377" t="s">
        <v>131</v>
      </c>
      <c r="O1735" s="377" t="s">
        <v>376</v>
      </c>
      <c r="P1735" s="377" t="s">
        <v>96</v>
      </c>
      <c r="Q1735" s="377" t="s">
        <v>131</v>
      </c>
      <c r="R1735" s="377" t="s">
        <v>129</v>
      </c>
      <c r="S1735" s="377" t="s">
        <v>131</v>
      </c>
      <c r="T1735" s="377"/>
      <c r="U1735" s="379" t="s">
        <v>1310</v>
      </c>
      <c r="V1735" s="377"/>
      <c r="W1735" s="377"/>
      <c r="X1735" s="377"/>
      <c r="Y1735" s="377"/>
      <c r="Z1735" s="377"/>
      <c r="AA1735" s="377"/>
      <c r="AB1735" s="377"/>
      <c r="AC1735" s="377"/>
      <c r="AD1735" s="378" t="s">
        <v>5</v>
      </c>
      <c r="AE1735" s="386"/>
      <c r="AF1735" s="386"/>
      <c r="AG1735" s="386"/>
      <c r="AH1735" s="386"/>
      <c r="AI1735" s="386"/>
      <c r="AJ1735" s="386"/>
      <c r="AK1735" s="386"/>
      <c r="AL1735" s="386"/>
    </row>
    <row r="1736" spans="1:38" s="387" customFormat="1" ht="33" customHeight="1" x14ac:dyDescent="0.3">
      <c r="A1736" s="374">
        <v>30</v>
      </c>
      <c r="B1736" s="375">
        <v>208</v>
      </c>
      <c r="C1736" s="376" t="str">
        <f t="shared" si="36"/>
        <v>30.208</v>
      </c>
      <c r="D1736" s="380"/>
      <c r="E1736" s="381" t="str">
        <f>IF(ISBLANK(D1736)=TRUE,"",VLOOKUP(D1736,Krav!$C:$F,4,FALSE))</f>
        <v/>
      </c>
      <c r="F1736" s="382" t="s">
        <v>226</v>
      </c>
      <c r="G1736" s="383" t="s">
        <v>308</v>
      </c>
      <c r="H1736" s="379" t="s">
        <v>2385</v>
      </c>
      <c r="I1736" s="384" t="s">
        <v>241</v>
      </c>
      <c r="J1736" s="384" t="s">
        <v>222</v>
      </c>
      <c r="K1736" s="384" t="s">
        <v>222</v>
      </c>
      <c r="L1736" s="385" t="s">
        <v>3</v>
      </c>
      <c r="M1736" s="377" t="s">
        <v>129</v>
      </c>
      <c r="N1736" s="377" t="s">
        <v>131</v>
      </c>
      <c r="O1736" s="377" t="s">
        <v>376</v>
      </c>
      <c r="P1736" s="377" t="s">
        <v>96</v>
      </c>
      <c r="Q1736" s="377" t="s">
        <v>131</v>
      </c>
      <c r="R1736" s="377" t="s">
        <v>129</v>
      </c>
      <c r="S1736" s="377" t="s">
        <v>131</v>
      </c>
      <c r="T1736" s="377"/>
      <c r="U1736" s="379" t="s">
        <v>1311</v>
      </c>
      <c r="V1736" s="377"/>
      <c r="W1736" s="377"/>
      <c r="X1736" s="377"/>
      <c r="Y1736" s="377"/>
      <c r="Z1736" s="377"/>
      <c r="AA1736" s="377"/>
      <c r="AB1736" s="377"/>
      <c r="AC1736" s="377"/>
      <c r="AD1736" s="378" t="s">
        <v>5</v>
      </c>
      <c r="AE1736" s="386"/>
      <c r="AF1736" s="386"/>
      <c r="AG1736" s="386"/>
      <c r="AH1736" s="386"/>
      <c r="AI1736" s="386"/>
      <c r="AJ1736" s="386"/>
      <c r="AK1736" s="386"/>
      <c r="AL1736" s="386"/>
    </row>
    <row r="1737" spans="1:38" s="387" customFormat="1" ht="33" customHeight="1" x14ac:dyDescent="0.3">
      <c r="A1737" s="374">
        <v>30</v>
      </c>
      <c r="B1737" s="375">
        <v>209</v>
      </c>
      <c r="C1737" s="376" t="str">
        <f t="shared" si="36"/>
        <v>30.209</v>
      </c>
      <c r="D1737" s="380"/>
      <c r="E1737" s="381" t="str">
        <f>IF(ISBLANK(D1737)=TRUE,"",VLOOKUP(D1737,Krav!$C:$F,4,FALSE))</f>
        <v/>
      </c>
      <c r="F1737" s="382" t="s">
        <v>226</v>
      </c>
      <c r="G1737" s="383" t="s">
        <v>308</v>
      </c>
      <c r="H1737" s="379" t="s">
        <v>2386</v>
      </c>
      <c r="I1737" s="384" t="s">
        <v>241</v>
      </c>
      <c r="J1737" s="384" t="s">
        <v>222</v>
      </c>
      <c r="K1737" s="384" t="s">
        <v>222</v>
      </c>
      <c r="L1737" s="385" t="s">
        <v>3</v>
      </c>
      <c r="M1737" s="377" t="s">
        <v>129</v>
      </c>
      <c r="N1737" s="377" t="s">
        <v>131</v>
      </c>
      <c r="O1737" s="377" t="s">
        <v>376</v>
      </c>
      <c r="P1737" s="377" t="s">
        <v>96</v>
      </c>
      <c r="Q1737" s="377" t="s">
        <v>131</v>
      </c>
      <c r="R1737" s="377" t="s">
        <v>129</v>
      </c>
      <c r="S1737" s="377" t="s">
        <v>131</v>
      </c>
      <c r="T1737" s="377"/>
      <c r="U1737" s="379" t="s">
        <v>1312</v>
      </c>
      <c r="V1737" s="377"/>
      <c r="W1737" s="377"/>
      <c r="X1737" s="377"/>
      <c r="Y1737" s="377"/>
      <c r="Z1737" s="377"/>
      <c r="AA1737" s="377"/>
      <c r="AB1737" s="377"/>
      <c r="AC1737" s="377"/>
      <c r="AD1737" s="378" t="s">
        <v>5</v>
      </c>
      <c r="AE1737" s="386"/>
      <c r="AF1737" s="386"/>
      <c r="AG1737" s="386"/>
      <c r="AH1737" s="386"/>
      <c r="AI1737" s="386"/>
      <c r="AJ1737" s="386"/>
      <c r="AK1737" s="386"/>
      <c r="AL1737" s="386"/>
    </row>
    <row r="1738" spans="1:38" s="387" customFormat="1" ht="33" customHeight="1" x14ac:dyDescent="0.3">
      <c r="A1738" s="374">
        <v>30</v>
      </c>
      <c r="B1738" s="375">
        <v>210</v>
      </c>
      <c r="C1738" s="376" t="str">
        <f t="shared" si="36"/>
        <v>30.210</v>
      </c>
      <c r="D1738" s="380"/>
      <c r="E1738" s="381" t="str">
        <f>IF(ISBLANK(D1738)=TRUE,"",VLOOKUP(D1738,Krav!$C:$F,4,FALSE))</f>
        <v/>
      </c>
      <c r="F1738" s="382" t="s">
        <v>226</v>
      </c>
      <c r="G1738" s="383" t="s">
        <v>308</v>
      </c>
      <c r="H1738" s="379" t="s">
        <v>2382</v>
      </c>
      <c r="I1738" s="384" t="s">
        <v>241</v>
      </c>
      <c r="J1738" s="384" t="s">
        <v>222</v>
      </c>
      <c r="K1738" s="384" t="s">
        <v>222</v>
      </c>
      <c r="L1738" s="385" t="s">
        <v>3</v>
      </c>
      <c r="M1738" s="377" t="s">
        <v>131</v>
      </c>
      <c r="N1738" s="377" t="s">
        <v>129</v>
      </c>
      <c r="O1738" s="377" t="s">
        <v>96</v>
      </c>
      <c r="P1738" s="377" t="s">
        <v>376</v>
      </c>
      <c r="Q1738" s="377" t="s">
        <v>129</v>
      </c>
      <c r="R1738" s="377" t="s">
        <v>131</v>
      </c>
      <c r="S1738" s="377" t="s">
        <v>131</v>
      </c>
      <c r="T1738" s="377"/>
      <c r="U1738" s="379" t="s">
        <v>1308</v>
      </c>
      <c r="V1738" s="377"/>
      <c r="W1738" s="377"/>
      <c r="X1738" s="377"/>
      <c r="Y1738" s="377"/>
      <c r="Z1738" s="377"/>
      <c r="AA1738" s="377"/>
      <c r="AB1738" s="377"/>
      <c r="AC1738" s="377"/>
      <c r="AD1738" s="378" t="s">
        <v>5</v>
      </c>
      <c r="AE1738" s="386"/>
      <c r="AF1738" s="386"/>
      <c r="AG1738" s="386"/>
      <c r="AH1738" s="386"/>
      <c r="AI1738" s="386"/>
      <c r="AJ1738" s="386"/>
      <c r="AK1738" s="386"/>
      <c r="AL1738" s="386"/>
    </row>
    <row r="1739" spans="1:38" s="387" customFormat="1" ht="33" customHeight="1" x14ac:dyDescent="0.3">
      <c r="A1739" s="374">
        <v>30</v>
      </c>
      <c r="B1739" s="375">
        <v>211</v>
      </c>
      <c r="C1739" s="376" t="str">
        <f t="shared" si="36"/>
        <v>30.211</v>
      </c>
      <c r="D1739" s="380"/>
      <c r="E1739" s="381" t="str">
        <f>IF(ISBLANK(D1739)=TRUE,"",VLOOKUP(D1739,Krav!$C:$F,4,FALSE))</f>
        <v/>
      </c>
      <c r="F1739" s="382" t="s">
        <v>226</v>
      </c>
      <c r="G1739" s="383" t="s">
        <v>308</v>
      </c>
      <c r="H1739" s="379" t="s">
        <v>2383</v>
      </c>
      <c r="I1739" s="384" t="s">
        <v>241</v>
      </c>
      <c r="J1739" s="384" t="s">
        <v>222</v>
      </c>
      <c r="K1739" s="384" t="s">
        <v>222</v>
      </c>
      <c r="L1739" s="385" t="s">
        <v>3</v>
      </c>
      <c r="M1739" s="377" t="s">
        <v>131</v>
      </c>
      <c r="N1739" s="377" t="s">
        <v>129</v>
      </c>
      <c r="O1739" s="377" t="s">
        <v>96</v>
      </c>
      <c r="P1739" s="377" t="s">
        <v>376</v>
      </c>
      <c r="Q1739" s="377" t="s">
        <v>129</v>
      </c>
      <c r="R1739" s="377" t="s">
        <v>131</v>
      </c>
      <c r="S1739" s="377" t="s">
        <v>131</v>
      </c>
      <c r="T1739" s="377"/>
      <c r="U1739" s="379" t="s">
        <v>1309</v>
      </c>
      <c r="V1739" s="377"/>
      <c r="W1739" s="377"/>
      <c r="X1739" s="377"/>
      <c r="Y1739" s="377"/>
      <c r="Z1739" s="377"/>
      <c r="AA1739" s="377"/>
      <c r="AB1739" s="377"/>
      <c r="AC1739" s="377"/>
      <c r="AD1739" s="378" t="s">
        <v>5</v>
      </c>
      <c r="AE1739" s="386"/>
      <c r="AF1739" s="386"/>
      <c r="AG1739" s="386"/>
      <c r="AH1739" s="386"/>
      <c r="AI1739" s="386"/>
      <c r="AJ1739" s="386"/>
      <c r="AK1739" s="386"/>
      <c r="AL1739" s="386"/>
    </row>
    <row r="1740" spans="1:38" s="387" customFormat="1" ht="33" customHeight="1" x14ac:dyDescent="0.3">
      <c r="A1740" s="374">
        <v>30</v>
      </c>
      <c r="B1740" s="375">
        <v>212</v>
      </c>
      <c r="C1740" s="376" t="str">
        <f t="shared" si="36"/>
        <v>30.212</v>
      </c>
      <c r="D1740" s="380"/>
      <c r="E1740" s="381" t="str">
        <f>IF(ISBLANK(D1740)=TRUE,"",VLOOKUP(D1740,Krav!$C:$F,4,FALSE))</f>
        <v/>
      </c>
      <c r="F1740" s="382" t="s">
        <v>226</v>
      </c>
      <c r="G1740" s="383" t="s">
        <v>308</v>
      </c>
      <c r="H1740" s="379" t="s">
        <v>2384</v>
      </c>
      <c r="I1740" s="384" t="s">
        <v>241</v>
      </c>
      <c r="J1740" s="384" t="s">
        <v>222</v>
      </c>
      <c r="K1740" s="384" t="s">
        <v>222</v>
      </c>
      <c r="L1740" s="385" t="s">
        <v>3</v>
      </c>
      <c r="M1740" s="377" t="s">
        <v>131</v>
      </c>
      <c r="N1740" s="377" t="s">
        <v>129</v>
      </c>
      <c r="O1740" s="377" t="s">
        <v>96</v>
      </c>
      <c r="P1740" s="377" t="s">
        <v>376</v>
      </c>
      <c r="Q1740" s="377" t="s">
        <v>129</v>
      </c>
      <c r="R1740" s="377" t="s">
        <v>131</v>
      </c>
      <c r="S1740" s="377" t="s">
        <v>131</v>
      </c>
      <c r="T1740" s="377"/>
      <c r="U1740" s="379" t="s">
        <v>1310</v>
      </c>
      <c r="V1740" s="377"/>
      <c r="W1740" s="377"/>
      <c r="X1740" s="377"/>
      <c r="Y1740" s="377"/>
      <c r="Z1740" s="377"/>
      <c r="AA1740" s="377"/>
      <c r="AB1740" s="377"/>
      <c r="AC1740" s="377"/>
      <c r="AD1740" s="378" t="s">
        <v>5</v>
      </c>
      <c r="AE1740" s="386"/>
      <c r="AF1740" s="386"/>
      <c r="AG1740" s="386"/>
      <c r="AH1740" s="386"/>
      <c r="AI1740" s="386"/>
      <c r="AJ1740" s="386"/>
      <c r="AK1740" s="386"/>
      <c r="AL1740" s="386"/>
    </row>
    <row r="1741" spans="1:38" s="387" customFormat="1" ht="33" customHeight="1" x14ac:dyDescent="0.3">
      <c r="A1741" s="374">
        <v>30</v>
      </c>
      <c r="B1741" s="375">
        <v>213</v>
      </c>
      <c r="C1741" s="376" t="str">
        <f t="shared" si="36"/>
        <v>30.213</v>
      </c>
      <c r="D1741" s="380"/>
      <c r="E1741" s="381" t="str">
        <f>IF(ISBLANK(D1741)=TRUE,"",VLOOKUP(D1741,Krav!$C:$F,4,FALSE))</f>
        <v/>
      </c>
      <c r="F1741" s="382" t="s">
        <v>226</v>
      </c>
      <c r="G1741" s="383" t="s">
        <v>308</v>
      </c>
      <c r="H1741" s="379" t="s">
        <v>2385</v>
      </c>
      <c r="I1741" s="384" t="s">
        <v>241</v>
      </c>
      <c r="J1741" s="384" t="s">
        <v>222</v>
      </c>
      <c r="K1741" s="384" t="s">
        <v>222</v>
      </c>
      <c r="L1741" s="385" t="s">
        <v>3</v>
      </c>
      <c r="M1741" s="377" t="s">
        <v>131</v>
      </c>
      <c r="N1741" s="377" t="s">
        <v>129</v>
      </c>
      <c r="O1741" s="377" t="s">
        <v>96</v>
      </c>
      <c r="P1741" s="377" t="s">
        <v>376</v>
      </c>
      <c r="Q1741" s="377" t="s">
        <v>129</v>
      </c>
      <c r="R1741" s="377" t="s">
        <v>131</v>
      </c>
      <c r="S1741" s="377" t="s">
        <v>131</v>
      </c>
      <c r="T1741" s="377"/>
      <c r="U1741" s="379" t="s">
        <v>1311</v>
      </c>
      <c r="V1741" s="377"/>
      <c r="W1741" s="377"/>
      <c r="X1741" s="377"/>
      <c r="Y1741" s="377"/>
      <c r="Z1741" s="377"/>
      <c r="AA1741" s="377"/>
      <c r="AB1741" s="377"/>
      <c r="AC1741" s="377"/>
      <c r="AD1741" s="378" t="s">
        <v>5</v>
      </c>
      <c r="AE1741" s="386"/>
      <c r="AF1741" s="386"/>
      <c r="AG1741" s="386"/>
      <c r="AH1741" s="386"/>
      <c r="AI1741" s="386"/>
      <c r="AJ1741" s="386"/>
      <c r="AK1741" s="386"/>
      <c r="AL1741" s="386"/>
    </row>
    <row r="1742" spans="1:38" s="387" customFormat="1" ht="33" customHeight="1" x14ac:dyDescent="0.3">
      <c r="A1742" s="374">
        <v>30</v>
      </c>
      <c r="B1742" s="375">
        <v>214</v>
      </c>
      <c r="C1742" s="376" t="str">
        <f t="shared" si="36"/>
        <v>30.214</v>
      </c>
      <c r="D1742" s="380"/>
      <c r="E1742" s="381" t="str">
        <f>IF(ISBLANK(D1742)=TRUE,"",VLOOKUP(D1742,Krav!$C:$F,4,FALSE))</f>
        <v/>
      </c>
      <c r="F1742" s="382" t="s">
        <v>226</v>
      </c>
      <c r="G1742" s="383" t="s">
        <v>308</v>
      </c>
      <c r="H1742" s="379" t="s">
        <v>2386</v>
      </c>
      <c r="I1742" s="384" t="s">
        <v>241</v>
      </c>
      <c r="J1742" s="384" t="s">
        <v>222</v>
      </c>
      <c r="K1742" s="384" t="s">
        <v>222</v>
      </c>
      <c r="L1742" s="385" t="s">
        <v>3</v>
      </c>
      <c r="M1742" s="377" t="s">
        <v>131</v>
      </c>
      <c r="N1742" s="377" t="s">
        <v>129</v>
      </c>
      <c r="O1742" s="377" t="s">
        <v>96</v>
      </c>
      <c r="P1742" s="377" t="s">
        <v>376</v>
      </c>
      <c r="Q1742" s="377" t="s">
        <v>129</v>
      </c>
      <c r="R1742" s="377" t="s">
        <v>131</v>
      </c>
      <c r="S1742" s="377" t="s">
        <v>131</v>
      </c>
      <c r="T1742" s="377"/>
      <c r="U1742" s="379" t="s">
        <v>1312</v>
      </c>
      <c r="V1742" s="377"/>
      <c r="W1742" s="377"/>
      <c r="X1742" s="377"/>
      <c r="Y1742" s="377"/>
      <c r="Z1742" s="377"/>
      <c r="AA1742" s="377"/>
      <c r="AB1742" s="377"/>
      <c r="AC1742" s="377"/>
      <c r="AD1742" s="378" t="s">
        <v>5</v>
      </c>
      <c r="AE1742" s="386"/>
      <c r="AF1742" s="386"/>
      <c r="AG1742" s="386"/>
      <c r="AH1742" s="386"/>
      <c r="AI1742" s="386"/>
      <c r="AJ1742" s="386"/>
      <c r="AK1742" s="386"/>
      <c r="AL1742" s="386"/>
    </row>
    <row r="1743" spans="1:38" s="387" customFormat="1" ht="33" customHeight="1" x14ac:dyDescent="0.3">
      <c r="A1743" s="374">
        <v>30</v>
      </c>
      <c r="B1743" s="375">
        <v>215</v>
      </c>
      <c r="C1743" s="376" t="str">
        <f t="shared" si="36"/>
        <v>30.215</v>
      </c>
      <c r="D1743" s="380"/>
      <c r="E1743" s="381" t="str">
        <f>IF(ISBLANK(D1743)=TRUE,"",VLOOKUP(D1743,Krav!$C:$F,4,FALSE))</f>
        <v/>
      </c>
      <c r="F1743" s="382" t="s">
        <v>226</v>
      </c>
      <c r="G1743" s="383" t="s">
        <v>308</v>
      </c>
      <c r="H1743" s="379" t="s">
        <v>2382</v>
      </c>
      <c r="I1743" s="384" t="s">
        <v>241</v>
      </c>
      <c r="J1743" s="384" t="s">
        <v>222</v>
      </c>
      <c r="K1743" s="384" t="s">
        <v>222</v>
      </c>
      <c r="L1743" s="385" t="s">
        <v>3</v>
      </c>
      <c r="M1743" s="377" t="s">
        <v>131</v>
      </c>
      <c r="N1743" s="377" t="s">
        <v>129</v>
      </c>
      <c r="O1743" s="377" t="s">
        <v>376</v>
      </c>
      <c r="P1743" s="377" t="s">
        <v>96</v>
      </c>
      <c r="Q1743" s="377" t="s">
        <v>131</v>
      </c>
      <c r="R1743" s="377" t="s">
        <v>129</v>
      </c>
      <c r="S1743" s="377" t="s">
        <v>131</v>
      </c>
      <c r="T1743" s="377"/>
      <c r="U1743" s="379" t="s">
        <v>1308</v>
      </c>
      <c r="V1743" s="377"/>
      <c r="W1743" s="377"/>
      <c r="X1743" s="377"/>
      <c r="Y1743" s="377"/>
      <c r="Z1743" s="377"/>
      <c r="AA1743" s="377"/>
      <c r="AB1743" s="377"/>
      <c r="AC1743" s="377"/>
      <c r="AD1743" s="378" t="s">
        <v>5</v>
      </c>
      <c r="AE1743" s="386"/>
      <c r="AF1743" s="386"/>
      <c r="AG1743" s="386"/>
      <c r="AH1743" s="386"/>
      <c r="AI1743" s="386"/>
      <c r="AJ1743" s="386"/>
      <c r="AK1743" s="386"/>
      <c r="AL1743" s="386"/>
    </row>
    <row r="1744" spans="1:38" s="387" customFormat="1" ht="33" customHeight="1" x14ac:dyDescent="0.3">
      <c r="A1744" s="374">
        <v>30</v>
      </c>
      <c r="B1744" s="375">
        <v>216</v>
      </c>
      <c r="C1744" s="376" t="str">
        <f t="shared" si="36"/>
        <v>30.216</v>
      </c>
      <c r="D1744" s="380"/>
      <c r="E1744" s="381" t="str">
        <f>IF(ISBLANK(D1744)=TRUE,"",VLOOKUP(D1744,Krav!$C:$F,4,FALSE))</f>
        <v/>
      </c>
      <c r="F1744" s="382" t="s">
        <v>226</v>
      </c>
      <c r="G1744" s="383" t="s">
        <v>308</v>
      </c>
      <c r="H1744" s="379" t="s">
        <v>2383</v>
      </c>
      <c r="I1744" s="384" t="s">
        <v>241</v>
      </c>
      <c r="J1744" s="384" t="s">
        <v>222</v>
      </c>
      <c r="K1744" s="384" t="s">
        <v>222</v>
      </c>
      <c r="L1744" s="385" t="s">
        <v>3</v>
      </c>
      <c r="M1744" s="377" t="s">
        <v>131</v>
      </c>
      <c r="N1744" s="377" t="s">
        <v>129</v>
      </c>
      <c r="O1744" s="377" t="s">
        <v>376</v>
      </c>
      <c r="P1744" s="377" t="s">
        <v>96</v>
      </c>
      <c r="Q1744" s="377" t="s">
        <v>131</v>
      </c>
      <c r="R1744" s="377" t="s">
        <v>129</v>
      </c>
      <c r="S1744" s="377" t="s">
        <v>131</v>
      </c>
      <c r="T1744" s="377"/>
      <c r="U1744" s="379" t="s">
        <v>1309</v>
      </c>
      <c r="V1744" s="377"/>
      <c r="W1744" s="377"/>
      <c r="X1744" s="377"/>
      <c r="Y1744" s="377"/>
      <c r="Z1744" s="377"/>
      <c r="AA1744" s="377"/>
      <c r="AB1744" s="377"/>
      <c r="AC1744" s="377"/>
      <c r="AD1744" s="378" t="s">
        <v>5</v>
      </c>
      <c r="AE1744" s="386"/>
      <c r="AF1744" s="386"/>
      <c r="AG1744" s="386"/>
      <c r="AH1744" s="386"/>
      <c r="AI1744" s="386"/>
      <c r="AJ1744" s="386"/>
      <c r="AK1744" s="386"/>
      <c r="AL1744" s="386"/>
    </row>
    <row r="1745" spans="1:38" s="387" customFormat="1" ht="33" customHeight="1" x14ac:dyDescent="0.3">
      <c r="A1745" s="374">
        <v>30</v>
      </c>
      <c r="B1745" s="375">
        <v>217</v>
      </c>
      <c r="C1745" s="376" t="str">
        <f t="shared" si="36"/>
        <v>30.217</v>
      </c>
      <c r="D1745" s="380"/>
      <c r="E1745" s="381" t="str">
        <f>IF(ISBLANK(D1745)=TRUE,"",VLOOKUP(D1745,Krav!$C:$F,4,FALSE))</f>
        <v/>
      </c>
      <c r="F1745" s="382" t="s">
        <v>226</v>
      </c>
      <c r="G1745" s="383" t="s">
        <v>308</v>
      </c>
      <c r="H1745" s="379" t="s">
        <v>2384</v>
      </c>
      <c r="I1745" s="384" t="s">
        <v>241</v>
      </c>
      <c r="J1745" s="384" t="s">
        <v>222</v>
      </c>
      <c r="K1745" s="384" t="s">
        <v>222</v>
      </c>
      <c r="L1745" s="385" t="s">
        <v>3</v>
      </c>
      <c r="M1745" s="377" t="s">
        <v>131</v>
      </c>
      <c r="N1745" s="377" t="s">
        <v>129</v>
      </c>
      <c r="O1745" s="377" t="s">
        <v>376</v>
      </c>
      <c r="P1745" s="377" t="s">
        <v>96</v>
      </c>
      <c r="Q1745" s="377" t="s">
        <v>131</v>
      </c>
      <c r="R1745" s="377" t="s">
        <v>129</v>
      </c>
      <c r="S1745" s="377" t="s">
        <v>131</v>
      </c>
      <c r="T1745" s="377"/>
      <c r="U1745" s="379" t="s">
        <v>1310</v>
      </c>
      <c r="V1745" s="377"/>
      <c r="W1745" s="377"/>
      <c r="X1745" s="377"/>
      <c r="Y1745" s="377"/>
      <c r="Z1745" s="377"/>
      <c r="AA1745" s="377"/>
      <c r="AB1745" s="377"/>
      <c r="AC1745" s="377"/>
      <c r="AD1745" s="378" t="s">
        <v>5</v>
      </c>
      <c r="AE1745" s="386"/>
      <c r="AF1745" s="386"/>
      <c r="AG1745" s="386"/>
      <c r="AH1745" s="386"/>
      <c r="AI1745" s="386"/>
      <c r="AJ1745" s="386"/>
      <c r="AK1745" s="386"/>
      <c r="AL1745" s="386"/>
    </row>
    <row r="1746" spans="1:38" s="387" customFormat="1" ht="33" customHeight="1" x14ac:dyDescent="0.3">
      <c r="A1746" s="374">
        <v>30</v>
      </c>
      <c r="B1746" s="375">
        <v>218</v>
      </c>
      <c r="C1746" s="376" t="str">
        <f t="shared" si="36"/>
        <v>30.218</v>
      </c>
      <c r="D1746" s="380"/>
      <c r="E1746" s="381" t="str">
        <f>IF(ISBLANK(D1746)=TRUE,"",VLOOKUP(D1746,Krav!$C:$F,4,FALSE))</f>
        <v/>
      </c>
      <c r="F1746" s="382" t="s">
        <v>226</v>
      </c>
      <c r="G1746" s="383" t="s">
        <v>308</v>
      </c>
      <c r="H1746" s="379" t="s">
        <v>2385</v>
      </c>
      <c r="I1746" s="384" t="s">
        <v>241</v>
      </c>
      <c r="J1746" s="384" t="s">
        <v>222</v>
      </c>
      <c r="K1746" s="384" t="s">
        <v>222</v>
      </c>
      <c r="L1746" s="385" t="s">
        <v>3</v>
      </c>
      <c r="M1746" s="377" t="s">
        <v>131</v>
      </c>
      <c r="N1746" s="377" t="s">
        <v>129</v>
      </c>
      <c r="O1746" s="377" t="s">
        <v>376</v>
      </c>
      <c r="P1746" s="377" t="s">
        <v>96</v>
      </c>
      <c r="Q1746" s="377" t="s">
        <v>131</v>
      </c>
      <c r="R1746" s="377" t="s">
        <v>129</v>
      </c>
      <c r="S1746" s="377" t="s">
        <v>131</v>
      </c>
      <c r="T1746" s="377"/>
      <c r="U1746" s="379" t="s">
        <v>1311</v>
      </c>
      <c r="V1746" s="377"/>
      <c r="W1746" s="377"/>
      <c r="X1746" s="377"/>
      <c r="Y1746" s="377"/>
      <c r="Z1746" s="377"/>
      <c r="AA1746" s="377"/>
      <c r="AB1746" s="377"/>
      <c r="AC1746" s="377"/>
      <c r="AD1746" s="378" t="s">
        <v>5</v>
      </c>
      <c r="AE1746" s="386"/>
      <c r="AF1746" s="386"/>
      <c r="AG1746" s="386"/>
      <c r="AH1746" s="386"/>
      <c r="AI1746" s="386"/>
      <c r="AJ1746" s="386"/>
      <c r="AK1746" s="386"/>
      <c r="AL1746" s="386"/>
    </row>
    <row r="1747" spans="1:38" s="387" customFormat="1" ht="33" customHeight="1" x14ac:dyDescent="0.3">
      <c r="A1747" s="374">
        <v>30</v>
      </c>
      <c r="B1747" s="375">
        <v>219</v>
      </c>
      <c r="C1747" s="376" t="str">
        <f t="shared" si="36"/>
        <v>30.219</v>
      </c>
      <c r="D1747" s="380"/>
      <c r="E1747" s="381" t="str">
        <f>IF(ISBLANK(D1747)=TRUE,"",VLOOKUP(D1747,Krav!$C:$F,4,FALSE))</f>
        <v/>
      </c>
      <c r="F1747" s="382" t="s">
        <v>226</v>
      </c>
      <c r="G1747" s="383" t="s">
        <v>308</v>
      </c>
      <c r="H1747" s="379" t="s">
        <v>2386</v>
      </c>
      <c r="I1747" s="384" t="s">
        <v>241</v>
      </c>
      <c r="J1747" s="384" t="s">
        <v>222</v>
      </c>
      <c r="K1747" s="384" t="s">
        <v>222</v>
      </c>
      <c r="L1747" s="385" t="s">
        <v>3</v>
      </c>
      <c r="M1747" s="377" t="s">
        <v>131</v>
      </c>
      <c r="N1747" s="377" t="s">
        <v>129</v>
      </c>
      <c r="O1747" s="377" t="s">
        <v>376</v>
      </c>
      <c r="P1747" s="377" t="s">
        <v>96</v>
      </c>
      <c r="Q1747" s="377" t="s">
        <v>131</v>
      </c>
      <c r="R1747" s="377" t="s">
        <v>129</v>
      </c>
      <c r="S1747" s="377" t="s">
        <v>131</v>
      </c>
      <c r="T1747" s="377"/>
      <c r="U1747" s="379" t="s">
        <v>1312</v>
      </c>
      <c r="V1747" s="377"/>
      <c r="W1747" s="377"/>
      <c r="X1747" s="377"/>
      <c r="Y1747" s="377"/>
      <c r="Z1747" s="377"/>
      <c r="AA1747" s="377"/>
      <c r="AB1747" s="377"/>
      <c r="AC1747" s="377"/>
      <c r="AD1747" s="378" t="s">
        <v>5</v>
      </c>
      <c r="AE1747" s="386"/>
      <c r="AF1747" s="386"/>
      <c r="AG1747" s="386"/>
      <c r="AH1747" s="386"/>
      <c r="AI1747" s="386"/>
      <c r="AJ1747" s="386"/>
      <c r="AK1747" s="386"/>
      <c r="AL1747" s="386"/>
    </row>
    <row r="1748" spans="1:38" s="57" customFormat="1" ht="14.4" x14ac:dyDescent="0.3"/>
    <row r="1749" spans="1:38" s="57" customFormat="1" ht="14.4" x14ac:dyDescent="0.3"/>
    <row r="1750" spans="1:38" s="57" customFormat="1" ht="14.4" x14ac:dyDescent="0.3"/>
    <row r="1751" spans="1:38" s="57" customFormat="1" ht="14.4" x14ac:dyDescent="0.3"/>
    <row r="1752" spans="1:38" s="57" customFormat="1" ht="14.4" x14ac:dyDescent="0.3"/>
    <row r="1753" spans="1:38" s="57" customFormat="1" ht="14.4" x14ac:dyDescent="0.3"/>
    <row r="1754" spans="1:38" s="57" customFormat="1" ht="14.4" x14ac:dyDescent="0.3"/>
    <row r="1755" spans="1:38" s="57" customFormat="1" ht="16.5" customHeight="1" x14ac:dyDescent="0.3">
      <c r="E1755" s="5"/>
      <c r="F1755" s="5"/>
      <c r="H1755" s="5"/>
      <c r="M1755" s="62" t="s">
        <v>1374</v>
      </c>
      <c r="N1755" s="62" t="s">
        <v>1375</v>
      </c>
      <c r="O1755" s="62" t="s">
        <v>1376</v>
      </c>
      <c r="P1755" s="62" t="s">
        <v>1377</v>
      </c>
      <c r="Q1755" s="62" t="s">
        <v>1378</v>
      </c>
      <c r="R1755" s="62" t="s">
        <v>1379</v>
      </c>
      <c r="S1755" s="62" t="s">
        <v>1380</v>
      </c>
      <c r="T1755" s="62" t="s">
        <v>334</v>
      </c>
      <c r="U1755" s="62" t="s">
        <v>371</v>
      </c>
      <c r="V1755" s="62" t="s">
        <v>1381</v>
      </c>
      <c r="W1755" s="62" t="s">
        <v>1382</v>
      </c>
      <c r="X1755" s="62" t="s">
        <v>1383</v>
      </c>
      <c r="Y1755" s="62" t="s">
        <v>1384</v>
      </c>
      <c r="Z1755" s="62"/>
      <c r="AA1755" s="62"/>
      <c r="AB1755" s="62"/>
      <c r="AC1755" s="62" t="s">
        <v>1385</v>
      </c>
      <c r="AD1755" s="62" t="s">
        <v>335</v>
      </c>
      <c r="AE1755" s="62" t="s">
        <v>1386</v>
      </c>
    </row>
    <row r="1756" spans="1:38" s="57" customFormat="1" ht="16.5" customHeight="1" x14ac:dyDescent="0.3">
      <c r="E1756" s="5"/>
      <c r="F1756" s="5"/>
      <c r="H1756" s="5"/>
      <c r="M1756" s="62" t="s">
        <v>1387</v>
      </c>
      <c r="N1756" s="62" t="s">
        <v>1387</v>
      </c>
      <c r="O1756" s="62" t="s">
        <v>12</v>
      </c>
      <c r="P1756" s="62" t="s">
        <v>12</v>
      </c>
      <c r="Q1756" s="62" t="s">
        <v>1387</v>
      </c>
      <c r="R1756" s="62" t="s">
        <v>1387</v>
      </c>
      <c r="S1756" s="62" t="s">
        <v>1387</v>
      </c>
      <c r="T1756" s="62" t="s">
        <v>12</v>
      </c>
      <c r="U1756" s="62" t="s">
        <v>12</v>
      </c>
      <c r="V1756" s="62" t="s">
        <v>12</v>
      </c>
      <c r="W1756" s="62" t="s">
        <v>12</v>
      </c>
      <c r="X1756" s="62" t="s">
        <v>12</v>
      </c>
      <c r="Y1756" s="62" t="s">
        <v>12</v>
      </c>
      <c r="Z1756" s="62" t="s">
        <v>12</v>
      </c>
      <c r="AA1756" s="62" t="s">
        <v>12</v>
      </c>
      <c r="AB1756" s="62" t="s">
        <v>12</v>
      </c>
      <c r="AC1756" s="62" t="s">
        <v>12</v>
      </c>
      <c r="AD1756" s="62" t="s">
        <v>1387</v>
      </c>
    </row>
    <row r="1757" spans="1:38" s="1" customFormat="1" ht="15" customHeight="1" x14ac:dyDescent="0.3">
      <c r="A1757" s="50" t="s">
        <v>6</v>
      </c>
      <c r="B1757" s="51" t="s">
        <v>7</v>
      </c>
      <c r="C1757" s="31" t="s">
        <v>0</v>
      </c>
      <c r="D1757" s="31" t="s">
        <v>22</v>
      </c>
      <c r="E1757" s="52" t="s">
        <v>99</v>
      </c>
      <c r="F1757" s="52" t="s">
        <v>216</v>
      </c>
      <c r="G1757" s="31" t="s">
        <v>217</v>
      </c>
      <c r="H1757" s="52" t="s">
        <v>28</v>
      </c>
      <c r="I1757" s="31" t="s">
        <v>218</v>
      </c>
      <c r="J1757" s="31" t="s">
        <v>219</v>
      </c>
      <c r="K1757" s="31" t="s">
        <v>220</v>
      </c>
      <c r="L1757" s="31" t="s">
        <v>1</v>
      </c>
      <c r="M1757" s="62" t="s">
        <v>230</v>
      </c>
      <c r="N1757" s="62" t="s">
        <v>231</v>
      </c>
      <c r="O1757" s="62" t="s">
        <v>1388</v>
      </c>
      <c r="P1757" s="62" t="s">
        <v>1389</v>
      </c>
      <c r="Q1757" s="62" t="s">
        <v>1390</v>
      </c>
      <c r="R1757" s="62" t="s">
        <v>1391</v>
      </c>
      <c r="S1757" s="62" t="s">
        <v>1392</v>
      </c>
      <c r="T1757" s="62" t="s">
        <v>361</v>
      </c>
      <c r="U1757" s="62" t="s">
        <v>234</v>
      </c>
      <c r="V1757" s="62" t="s">
        <v>1393</v>
      </c>
      <c r="W1757" s="62" t="s">
        <v>1394</v>
      </c>
      <c r="X1757" s="62" t="s">
        <v>1395</v>
      </c>
      <c r="Y1757" s="62" t="s">
        <v>1396</v>
      </c>
      <c r="Z1757" s="166" t="s">
        <v>523</v>
      </c>
      <c r="AA1757" s="166" t="s">
        <v>1397</v>
      </c>
      <c r="AB1757" s="166" t="s">
        <v>1398</v>
      </c>
      <c r="AC1757" s="166" t="s">
        <v>522</v>
      </c>
      <c r="AD1757" s="62" t="s">
        <v>233</v>
      </c>
    </row>
    <row r="1758" spans="1:38" s="178" customFormat="1" ht="20.25" customHeight="1" x14ac:dyDescent="0.3">
      <c r="A1758" s="167">
        <v>31</v>
      </c>
      <c r="B1758" s="168">
        <v>1</v>
      </c>
      <c r="C1758" s="169" t="str">
        <f t="shared" ref="C1758:C1848" si="37">IF(B1758&lt;10,_xlfn.CONCAT(A1758,".0",B1758),_xlfn.CONCAT(A1758,".",B1758))</f>
        <v>31.01</v>
      </c>
      <c r="D1758" s="170" t="s">
        <v>825</v>
      </c>
      <c r="E1758" s="64" t="str">
        <f>IF(ISBLANK(D1758)=TRUE,"",VLOOKUP(D1758,Krav!$C:$F,4,FALSE))</f>
        <v>10.a.1.1.1.4 - Gruppe 1 aktiveres</v>
      </c>
      <c r="F1758" s="171" t="s">
        <v>227</v>
      </c>
      <c r="G1758" s="171"/>
      <c r="H1758" s="172" t="s">
        <v>1399</v>
      </c>
      <c r="I1758" s="173" t="s">
        <v>240</v>
      </c>
      <c r="J1758" s="174" t="s">
        <v>222</v>
      </c>
      <c r="K1758" s="125" t="s">
        <v>222</v>
      </c>
      <c r="L1758" s="175" t="s">
        <v>3</v>
      </c>
      <c r="M1758" s="176" t="s">
        <v>129</v>
      </c>
      <c r="N1758" s="176" t="s">
        <v>131</v>
      </c>
      <c r="O1758" s="176" t="s">
        <v>376</v>
      </c>
      <c r="P1758" s="176" t="s">
        <v>376</v>
      </c>
      <c r="Q1758" s="176" t="s">
        <v>131</v>
      </c>
      <c r="R1758" s="176" t="s">
        <v>131</v>
      </c>
      <c r="S1758" s="176" t="s">
        <v>131</v>
      </c>
      <c r="T1758" s="176" t="s">
        <v>412</v>
      </c>
      <c r="U1758" s="176"/>
      <c r="V1758" s="176"/>
      <c r="W1758" s="176"/>
      <c r="X1758" s="176"/>
      <c r="Y1758" s="176"/>
      <c r="Z1758" s="176"/>
      <c r="AA1758" s="176"/>
      <c r="AB1758" s="176"/>
      <c r="AC1758" s="176"/>
      <c r="AD1758" s="177" t="s">
        <v>5</v>
      </c>
    </row>
    <row r="1759" spans="1:38" s="182" customFormat="1" ht="33" customHeight="1" x14ac:dyDescent="0.3">
      <c r="A1759" s="167">
        <v>31</v>
      </c>
      <c r="B1759" s="168">
        <v>2</v>
      </c>
      <c r="C1759" s="169" t="str">
        <f t="shared" si="37"/>
        <v>31.02</v>
      </c>
      <c r="D1759" s="170"/>
      <c r="E1759" s="64" t="str">
        <f>IF(ISBLANK(D1759)=TRUE,"",VLOOKUP(D1759,Krav!$C:$F,4,FALSE))</f>
        <v/>
      </c>
      <c r="F1759" s="171" t="s">
        <v>225</v>
      </c>
      <c r="G1759" s="179" t="s">
        <v>1389</v>
      </c>
      <c r="H1759" s="179" t="s">
        <v>158</v>
      </c>
      <c r="I1759" s="174" t="s">
        <v>1400</v>
      </c>
      <c r="J1759" s="180" t="s">
        <v>222</v>
      </c>
      <c r="K1759" s="125" t="s">
        <v>222</v>
      </c>
      <c r="L1759" s="181" t="s">
        <v>3</v>
      </c>
      <c r="M1759" s="176" t="s">
        <v>129</v>
      </c>
      <c r="N1759" s="176" t="s">
        <v>131</v>
      </c>
      <c r="O1759" s="176" t="s">
        <v>376</v>
      </c>
      <c r="P1759" s="176" t="s">
        <v>96</v>
      </c>
      <c r="Q1759" s="176" t="s">
        <v>131</v>
      </c>
      <c r="R1759" s="176" t="s">
        <v>131</v>
      </c>
      <c r="S1759" s="176" t="s">
        <v>129</v>
      </c>
      <c r="T1759" s="176"/>
      <c r="U1759" s="176"/>
      <c r="V1759" s="176"/>
      <c r="W1759" s="176"/>
      <c r="X1759" s="176"/>
      <c r="Y1759" s="176"/>
      <c r="Z1759" s="176"/>
      <c r="AA1759" s="176"/>
      <c r="AB1759" s="176"/>
      <c r="AC1759" s="176"/>
      <c r="AD1759" s="177" t="s">
        <v>5</v>
      </c>
    </row>
    <row r="1760" spans="1:38" s="178" customFormat="1" ht="16.5" customHeight="1" x14ac:dyDescent="0.3">
      <c r="A1760" s="167">
        <v>31</v>
      </c>
      <c r="B1760" s="168">
        <v>3</v>
      </c>
      <c r="C1760" s="169" t="str">
        <f t="shared" si="37"/>
        <v>31.03</v>
      </c>
      <c r="D1760" s="170" t="s">
        <v>901</v>
      </c>
      <c r="E1760" s="64" t="str">
        <f>IF(ISBLANK(D1760)=TRUE,"",VLOOKUP(D1760,Krav!$C:$F,4,FALSE))</f>
        <v>10.a.1.1.1.43 - Hvis FordringsSlutDato ikke er valgt: Regel R0059 deaktiveres</v>
      </c>
      <c r="F1760" s="171" t="s">
        <v>226</v>
      </c>
      <c r="G1760" s="171" t="s">
        <v>313</v>
      </c>
      <c r="H1760" s="172" t="s">
        <v>1401</v>
      </c>
      <c r="I1760" s="174" t="s">
        <v>1402</v>
      </c>
      <c r="J1760" s="173" t="s">
        <v>222</v>
      </c>
      <c r="K1760" s="123" t="s">
        <v>222</v>
      </c>
      <c r="L1760" s="181" t="s">
        <v>3</v>
      </c>
      <c r="M1760" s="176" t="s">
        <v>129</v>
      </c>
      <c r="N1760" s="176" t="s">
        <v>131</v>
      </c>
      <c r="O1760" s="176" t="s">
        <v>376</v>
      </c>
      <c r="P1760" s="176" t="s">
        <v>96</v>
      </c>
      <c r="Q1760" s="176" t="s">
        <v>131</v>
      </c>
      <c r="R1760" s="176" t="s">
        <v>131</v>
      </c>
      <c r="S1760" s="176" t="s">
        <v>129</v>
      </c>
      <c r="T1760" s="176"/>
      <c r="U1760" s="176" t="s">
        <v>1314</v>
      </c>
      <c r="V1760" s="176"/>
      <c r="W1760" s="176"/>
      <c r="X1760" s="176"/>
      <c r="Y1760" s="176"/>
      <c r="Z1760" s="176"/>
      <c r="AA1760" s="176"/>
      <c r="AB1760" s="176"/>
      <c r="AC1760" s="176"/>
      <c r="AD1760" s="177" t="s">
        <v>5</v>
      </c>
    </row>
    <row r="1761" spans="1:30" s="178" customFormat="1" ht="33" customHeight="1" x14ac:dyDescent="0.3">
      <c r="A1761" s="167">
        <v>31</v>
      </c>
      <c r="B1761" s="168">
        <v>4</v>
      </c>
      <c r="C1761" s="169" t="str">
        <f t="shared" si="37"/>
        <v>31.04</v>
      </c>
      <c r="D1761" s="170" t="s">
        <v>903</v>
      </c>
      <c r="E1761" s="64" t="str">
        <f>IF(ISBLANK(D1761)=TRUE,"",VLOOKUP(D1761,Krav!$C:$F,4,FALSE))</f>
        <v>10.a.1.1.1.44 - Hvis FordringsSlutDato ikke er valgt: Regel R0060 deaktiveres</v>
      </c>
      <c r="F1761" s="171" t="s">
        <v>226</v>
      </c>
      <c r="G1761" s="171" t="s">
        <v>313</v>
      </c>
      <c r="H1761" s="172" t="s">
        <v>1401</v>
      </c>
      <c r="I1761" s="174" t="s">
        <v>1402</v>
      </c>
      <c r="J1761" s="173" t="s">
        <v>222</v>
      </c>
      <c r="K1761" s="123" t="s">
        <v>222</v>
      </c>
      <c r="L1761" s="181" t="s">
        <v>3</v>
      </c>
      <c r="M1761" s="176" t="s">
        <v>129</v>
      </c>
      <c r="N1761" s="176" t="s">
        <v>131</v>
      </c>
      <c r="O1761" s="176" t="s">
        <v>376</v>
      </c>
      <c r="P1761" s="176" t="s">
        <v>96</v>
      </c>
      <c r="Q1761" s="176" t="s">
        <v>131</v>
      </c>
      <c r="R1761" s="176" t="s">
        <v>131</v>
      </c>
      <c r="S1761" s="176" t="s">
        <v>129</v>
      </c>
      <c r="T1761" s="176"/>
      <c r="U1761" s="176" t="s">
        <v>1315</v>
      </c>
      <c r="V1761" s="176"/>
      <c r="W1761" s="176"/>
      <c r="X1761" s="176"/>
      <c r="Y1761" s="176"/>
      <c r="Z1761" s="176"/>
      <c r="AA1761" s="176"/>
      <c r="AB1761" s="176"/>
      <c r="AC1761" s="176"/>
      <c r="AD1761" s="177" t="s">
        <v>5</v>
      </c>
    </row>
    <row r="1762" spans="1:30" s="178" customFormat="1" ht="33" customHeight="1" x14ac:dyDescent="0.3">
      <c r="A1762" s="167">
        <v>31</v>
      </c>
      <c r="B1762" s="168">
        <v>5</v>
      </c>
      <c r="C1762" s="169" t="str">
        <f t="shared" si="37"/>
        <v>31.05</v>
      </c>
      <c r="D1762" s="170" t="s">
        <v>905</v>
      </c>
      <c r="E1762" s="64" t="str">
        <f>IF(ISBLANK(D1762)=TRUE,"",VLOOKUP(D1762,Krav!$C:$F,4,FALSE))</f>
        <v>10.a.1.1.1.45 - Hvis FordringsSlutDato ikke er valgt: Regel R0061 deaktiveres</v>
      </c>
      <c r="F1762" s="171" t="s">
        <v>226</v>
      </c>
      <c r="G1762" s="171" t="s">
        <v>313</v>
      </c>
      <c r="H1762" s="172" t="s">
        <v>1401</v>
      </c>
      <c r="I1762" s="174" t="s">
        <v>1402</v>
      </c>
      <c r="J1762" s="174" t="s">
        <v>222</v>
      </c>
      <c r="K1762" s="123" t="s">
        <v>222</v>
      </c>
      <c r="L1762" s="175" t="s">
        <v>3</v>
      </c>
      <c r="M1762" s="176" t="s">
        <v>129</v>
      </c>
      <c r="N1762" s="176" t="s">
        <v>131</v>
      </c>
      <c r="O1762" s="176" t="s">
        <v>376</v>
      </c>
      <c r="P1762" s="176" t="s">
        <v>96</v>
      </c>
      <c r="Q1762" s="176" t="s">
        <v>131</v>
      </c>
      <c r="R1762" s="176" t="s">
        <v>131</v>
      </c>
      <c r="S1762" s="176" t="s">
        <v>129</v>
      </c>
      <c r="T1762" s="176"/>
      <c r="U1762" s="176" t="s">
        <v>1316</v>
      </c>
      <c r="V1762" s="176"/>
      <c r="W1762" s="176"/>
      <c r="X1762" s="176"/>
      <c r="Y1762" s="176"/>
      <c r="Z1762" s="176"/>
      <c r="AA1762" s="176"/>
      <c r="AB1762" s="176"/>
      <c r="AC1762" s="176"/>
      <c r="AD1762" s="177" t="s">
        <v>5</v>
      </c>
    </row>
    <row r="1763" spans="1:30" s="178" customFormat="1" ht="33" customHeight="1" x14ac:dyDescent="0.3">
      <c r="A1763" s="167">
        <v>31</v>
      </c>
      <c r="B1763" s="168">
        <v>6</v>
      </c>
      <c r="C1763" s="169" t="str">
        <f t="shared" si="37"/>
        <v>31.06</v>
      </c>
      <c r="D1763" s="170" t="s">
        <v>907</v>
      </c>
      <c r="E1763" s="64" t="str">
        <f>IF(ISBLANK(D1763)=TRUE,"",VLOOKUP(D1763,Krav!$C:$F,4,FALSE))</f>
        <v>10.a.1.1.1.46 - Hvis FordringsSlutDato ikke er valgt: Regel R0062 deaktiveres</v>
      </c>
      <c r="F1763" s="171" t="s">
        <v>226</v>
      </c>
      <c r="G1763" s="171" t="s">
        <v>313</v>
      </c>
      <c r="H1763" s="172" t="s">
        <v>1401</v>
      </c>
      <c r="I1763" s="174" t="s">
        <v>1402</v>
      </c>
      <c r="J1763" s="174" t="s">
        <v>222</v>
      </c>
      <c r="K1763" s="123" t="s">
        <v>222</v>
      </c>
      <c r="L1763" s="175" t="s">
        <v>3</v>
      </c>
      <c r="M1763" s="176" t="s">
        <v>129</v>
      </c>
      <c r="N1763" s="176" t="s">
        <v>131</v>
      </c>
      <c r="O1763" s="176" t="s">
        <v>376</v>
      </c>
      <c r="P1763" s="176" t="s">
        <v>96</v>
      </c>
      <c r="Q1763" s="176" t="s">
        <v>131</v>
      </c>
      <c r="R1763" s="176" t="s">
        <v>131</v>
      </c>
      <c r="S1763" s="176" t="s">
        <v>129</v>
      </c>
      <c r="T1763" s="176"/>
      <c r="U1763" s="176" t="s">
        <v>1317</v>
      </c>
      <c r="V1763" s="176"/>
      <c r="W1763" s="176"/>
      <c r="X1763" s="176"/>
      <c r="Y1763" s="176"/>
      <c r="Z1763" s="176"/>
      <c r="AA1763" s="176"/>
      <c r="AB1763" s="176"/>
      <c r="AC1763" s="176"/>
      <c r="AD1763" s="177" t="s">
        <v>5</v>
      </c>
    </row>
    <row r="1764" spans="1:30" s="178" customFormat="1" ht="33" customHeight="1" x14ac:dyDescent="0.3">
      <c r="A1764" s="167">
        <v>31</v>
      </c>
      <c r="B1764" s="168">
        <v>7</v>
      </c>
      <c r="C1764" s="169" t="str">
        <f t="shared" si="37"/>
        <v>31.07</v>
      </c>
      <c r="D1764" s="170" t="s">
        <v>923</v>
      </c>
      <c r="E1764" s="64" t="str">
        <f>IF(ISBLANK(D1764)=TRUE,"",VLOOKUP(D1764,Krav!$C:$F,4,FALSE))</f>
        <v>10.a.1.1.1.54 - Hvis FordringsSlutDato ikke er valgt: Regel R0070 deaktiveres</v>
      </c>
      <c r="F1764" s="171" t="s">
        <v>226</v>
      </c>
      <c r="G1764" s="171" t="s">
        <v>313</v>
      </c>
      <c r="H1764" s="172" t="s">
        <v>1401</v>
      </c>
      <c r="I1764" s="174" t="s">
        <v>1402</v>
      </c>
      <c r="J1764" s="174" t="s">
        <v>222</v>
      </c>
      <c r="K1764" s="123" t="s">
        <v>222</v>
      </c>
      <c r="L1764" s="175" t="s">
        <v>3</v>
      </c>
      <c r="M1764" s="176" t="s">
        <v>129</v>
      </c>
      <c r="N1764" s="176" t="s">
        <v>131</v>
      </c>
      <c r="O1764" s="176" t="s">
        <v>376</v>
      </c>
      <c r="P1764" s="176" t="s">
        <v>96</v>
      </c>
      <c r="Q1764" s="176" t="s">
        <v>131</v>
      </c>
      <c r="R1764" s="176" t="s">
        <v>131</v>
      </c>
      <c r="S1764" s="176" t="s">
        <v>129</v>
      </c>
      <c r="T1764" s="176"/>
      <c r="U1764" s="176" t="s">
        <v>1313</v>
      </c>
      <c r="V1764" s="176"/>
      <c r="W1764" s="176"/>
      <c r="X1764" s="176"/>
      <c r="Y1764" s="176"/>
      <c r="Z1764" s="176"/>
      <c r="AA1764" s="176"/>
      <c r="AB1764" s="176"/>
      <c r="AC1764" s="176"/>
      <c r="AD1764" s="177" t="s">
        <v>5</v>
      </c>
    </row>
    <row r="1765" spans="1:30" s="178" customFormat="1" ht="16.5" customHeight="1" x14ac:dyDescent="0.3">
      <c r="A1765" s="167">
        <v>31</v>
      </c>
      <c r="B1765" s="168">
        <v>8</v>
      </c>
      <c r="C1765" s="169" t="str">
        <f t="shared" si="37"/>
        <v>31.08</v>
      </c>
      <c r="D1765" s="170" t="s">
        <v>901</v>
      </c>
      <c r="E1765" s="64" t="str">
        <f>IF(ISBLANK(D1765)=TRUE,"",VLOOKUP(D1765,Krav!$C:$F,4,FALSE))</f>
        <v>10.a.1.1.1.43 - Hvis FordringsSlutDato ikke er valgt: Regel R0059 deaktiveres</v>
      </c>
      <c r="F1765" s="171" t="s">
        <v>226</v>
      </c>
      <c r="G1765" s="171" t="s">
        <v>313</v>
      </c>
      <c r="H1765" s="172" t="s">
        <v>1401</v>
      </c>
      <c r="I1765" s="174" t="s">
        <v>33</v>
      </c>
      <c r="J1765" s="173" t="s">
        <v>222</v>
      </c>
      <c r="K1765" s="123" t="s">
        <v>222</v>
      </c>
      <c r="L1765" s="181" t="s">
        <v>3</v>
      </c>
      <c r="M1765" s="176" t="s">
        <v>129</v>
      </c>
      <c r="N1765" s="176" t="s">
        <v>131</v>
      </c>
      <c r="O1765" s="176" t="s">
        <v>376</v>
      </c>
      <c r="P1765" s="176" t="s">
        <v>376</v>
      </c>
      <c r="Q1765" s="176" t="s">
        <v>131</v>
      </c>
      <c r="R1765" s="176" t="s">
        <v>131</v>
      </c>
      <c r="S1765" s="176" t="s">
        <v>131</v>
      </c>
      <c r="T1765" s="176"/>
      <c r="U1765" s="176" t="s">
        <v>1314</v>
      </c>
      <c r="V1765" s="176"/>
      <c r="W1765" s="176"/>
      <c r="X1765" s="176"/>
      <c r="Y1765" s="176"/>
      <c r="Z1765" s="176"/>
      <c r="AA1765" s="176"/>
      <c r="AB1765" s="176"/>
      <c r="AC1765" s="176"/>
      <c r="AD1765" s="177" t="s">
        <v>5</v>
      </c>
    </row>
    <row r="1766" spans="1:30" s="178" customFormat="1" ht="33" customHeight="1" x14ac:dyDescent="0.3">
      <c r="A1766" s="167">
        <v>31</v>
      </c>
      <c r="B1766" s="168">
        <v>9</v>
      </c>
      <c r="C1766" s="169" t="str">
        <f t="shared" si="37"/>
        <v>31.09</v>
      </c>
      <c r="D1766" s="170" t="s">
        <v>903</v>
      </c>
      <c r="E1766" s="64" t="str">
        <f>IF(ISBLANK(D1766)=TRUE,"",VLOOKUP(D1766,Krav!$C:$F,4,FALSE))</f>
        <v>10.a.1.1.1.44 - Hvis FordringsSlutDato ikke er valgt: Regel R0060 deaktiveres</v>
      </c>
      <c r="F1766" s="171" t="s">
        <v>226</v>
      </c>
      <c r="G1766" s="171" t="s">
        <v>313</v>
      </c>
      <c r="H1766" s="172" t="s">
        <v>1401</v>
      </c>
      <c r="I1766" s="174" t="s">
        <v>33</v>
      </c>
      <c r="J1766" s="173" t="s">
        <v>222</v>
      </c>
      <c r="K1766" s="123" t="s">
        <v>222</v>
      </c>
      <c r="L1766" s="181" t="s">
        <v>3</v>
      </c>
      <c r="M1766" s="176" t="s">
        <v>129</v>
      </c>
      <c r="N1766" s="176" t="s">
        <v>131</v>
      </c>
      <c r="O1766" s="176" t="s">
        <v>376</v>
      </c>
      <c r="P1766" s="176" t="s">
        <v>376</v>
      </c>
      <c r="Q1766" s="176" t="s">
        <v>131</v>
      </c>
      <c r="R1766" s="176" t="s">
        <v>131</v>
      </c>
      <c r="S1766" s="176" t="s">
        <v>131</v>
      </c>
      <c r="T1766" s="176"/>
      <c r="U1766" s="176" t="s">
        <v>1315</v>
      </c>
      <c r="V1766" s="176"/>
      <c r="W1766" s="176"/>
      <c r="X1766" s="176"/>
      <c r="Y1766" s="176"/>
      <c r="Z1766" s="176"/>
      <c r="AA1766" s="176"/>
      <c r="AB1766" s="176"/>
      <c r="AC1766" s="176"/>
      <c r="AD1766" s="177" t="s">
        <v>5</v>
      </c>
    </row>
    <row r="1767" spans="1:30" s="178" customFormat="1" ht="33" customHeight="1" x14ac:dyDescent="0.3">
      <c r="A1767" s="167">
        <v>31</v>
      </c>
      <c r="B1767" s="168">
        <v>10</v>
      </c>
      <c r="C1767" s="169" t="str">
        <f t="shared" si="37"/>
        <v>31.10</v>
      </c>
      <c r="D1767" s="170" t="s">
        <v>905</v>
      </c>
      <c r="E1767" s="64" t="str">
        <f>IF(ISBLANK(D1767)=TRUE,"",VLOOKUP(D1767,Krav!$C:$F,4,FALSE))</f>
        <v>10.a.1.1.1.45 - Hvis FordringsSlutDato ikke er valgt: Regel R0061 deaktiveres</v>
      </c>
      <c r="F1767" s="171" t="s">
        <v>226</v>
      </c>
      <c r="G1767" s="171" t="s">
        <v>313</v>
      </c>
      <c r="H1767" s="172" t="s">
        <v>1401</v>
      </c>
      <c r="I1767" s="174" t="s">
        <v>33</v>
      </c>
      <c r="J1767" s="174" t="s">
        <v>222</v>
      </c>
      <c r="K1767" s="123" t="s">
        <v>222</v>
      </c>
      <c r="L1767" s="175" t="s">
        <v>3</v>
      </c>
      <c r="M1767" s="176" t="s">
        <v>129</v>
      </c>
      <c r="N1767" s="176" t="s">
        <v>131</v>
      </c>
      <c r="O1767" s="176" t="s">
        <v>376</v>
      </c>
      <c r="P1767" s="176" t="s">
        <v>376</v>
      </c>
      <c r="Q1767" s="176" t="s">
        <v>131</v>
      </c>
      <c r="R1767" s="176" t="s">
        <v>131</v>
      </c>
      <c r="S1767" s="176" t="s">
        <v>131</v>
      </c>
      <c r="T1767" s="176"/>
      <c r="U1767" s="176" t="s">
        <v>1316</v>
      </c>
      <c r="V1767" s="176"/>
      <c r="W1767" s="176"/>
      <c r="X1767" s="176"/>
      <c r="Y1767" s="176"/>
      <c r="Z1767" s="176"/>
      <c r="AA1767" s="176"/>
      <c r="AB1767" s="176"/>
      <c r="AC1767" s="176"/>
      <c r="AD1767" s="177" t="s">
        <v>5</v>
      </c>
    </row>
    <row r="1768" spans="1:30" s="178" customFormat="1" ht="33" customHeight="1" x14ac:dyDescent="0.3">
      <c r="A1768" s="167">
        <v>31</v>
      </c>
      <c r="B1768" s="168">
        <v>11</v>
      </c>
      <c r="C1768" s="169" t="str">
        <f t="shared" si="37"/>
        <v>31.11</v>
      </c>
      <c r="D1768" s="170" t="s">
        <v>907</v>
      </c>
      <c r="E1768" s="64" t="str">
        <f>IF(ISBLANK(D1768)=TRUE,"",VLOOKUP(D1768,Krav!$C:$F,4,FALSE))</f>
        <v>10.a.1.1.1.46 - Hvis FordringsSlutDato ikke er valgt: Regel R0062 deaktiveres</v>
      </c>
      <c r="F1768" s="171" t="s">
        <v>226</v>
      </c>
      <c r="G1768" s="171" t="s">
        <v>313</v>
      </c>
      <c r="H1768" s="172" t="s">
        <v>1401</v>
      </c>
      <c r="I1768" s="174" t="s">
        <v>33</v>
      </c>
      <c r="J1768" s="174" t="s">
        <v>222</v>
      </c>
      <c r="K1768" s="123" t="s">
        <v>222</v>
      </c>
      <c r="L1768" s="175" t="s">
        <v>3</v>
      </c>
      <c r="M1768" s="176" t="s">
        <v>129</v>
      </c>
      <c r="N1768" s="176" t="s">
        <v>131</v>
      </c>
      <c r="O1768" s="176" t="s">
        <v>376</v>
      </c>
      <c r="P1768" s="176" t="s">
        <v>376</v>
      </c>
      <c r="Q1768" s="176" t="s">
        <v>131</v>
      </c>
      <c r="R1768" s="176" t="s">
        <v>131</v>
      </c>
      <c r="S1768" s="176" t="s">
        <v>131</v>
      </c>
      <c r="T1768" s="176"/>
      <c r="U1768" s="176" t="s">
        <v>1317</v>
      </c>
      <c r="V1768" s="176"/>
      <c r="W1768" s="176"/>
      <c r="X1768" s="176"/>
      <c r="Y1768" s="176"/>
      <c r="Z1768" s="176"/>
      <c r="AA1768" s="176"/>
      <c r="AB1768" s="176"/>
      <c r="AC1768" s="176"/>
      <c r="AD1768" s="177" t="s">
        <v>5</v>
      </c>
    </row>
    <row r="1769" spans="1:30" s="178" customFormat="1" ht="33" customHeight="1" x14ac:dyDescent="0.3">
      <c r="A1769" s="167">
        <v>31</v>
      </c>
      <c r="B1769" s="168">
        <v>12</v>
      </c>
      <c r="C1769" s="169" t="str">
        <f t="shared" si="37"/>
        <v>31.12</v>
      </c>
      <c r="D1769" s="170" t="s">
        <v>923</v>
      </c>
      <c r="E1769" s="64" t="str">
        <f>IF(ISBLANK(D1769)=TRUE,"",VLOOKUP(D1769,Krav!$C:$F,4,FALSE))</f>
        <v>10.a.1.1.1.54 - Hvis FordringsSlutDato ikke er valgt: Regel R0070 deaktiveres</v>
      </c>
      <c r="F1769" s="171" t="s">
        <v>226</v>
      </c>
      <c r="G1769" s="171" t="s">
        <v>313</v>
      </c>
      <c r="H1769" s="172" t="s">
        <v>1401</v>
      </c>
      <c r="I1769" s="174" t="s">
        <v>33</v>
      </c>
      <c r="J1769" s="174" t="s">
        <v>222</v>
      </c>
      <c r="K1769" s="123" t="s">
        <v>222</v>
      </c>
      <c r="L1769" s="175" t="s">
        <v>3</v>
      </c>
      <c r="M1769" s="176" t="s">
        <v>129</v>
      </c>
      <c r="N1769" s="176" t="s">
        <v>131</v>
      </c>
      <c r="O1769" s="176" t="s">
        <v>376</v>
      </c>
      <c r="P1769" s="176" t="s">
        <v>376</v>
      </c>
      <c r="Q1769" s="176" t="s">
        <v>131</v>
      </c>
      <c r="R1769" s="176" t="s">
        <v>131</v>
      </c>
      <c r="S1769" s="176" t="s">
        <v>131</v>
      </c>
      <c r="T1769" s="176"/>
      <c r="U1769" s="176" t="s">
        <v>1313</v>
      </c>
      <c r="V1769" s="176"/>
      <c r="W1769" s="176"/>
      <c r="X1769" s="176"/>
      <c r="Y1769" s="176"/>
      <c r="Z1769" s="176"/>
      <c r="AA1769" s="176"/>
      <c r="AB1769" s="176"/>
      <c r="AC1769" s="176"/>
      <c r="AD1769" s="177" t="s">
        <v>5</v>
      </c>
    </row>
    <row r="1770" spans="1:30" s="178" customFormat="1" ht="33" customHeight="1" x14ac:dyDescent="0.3">
      <c r="A1770" s="167">
        <v>31</v>
      </c>
      <c r="B1770" s="168">
        <v>13</v>
      </c>
      <c r="C1770" s="169" t="str">
        <f t="shared" si="37"/>
        <v>31.13</v>
      </c>
      <c r="D1770" s="170" t="s">
        <v>901</v>
      </c>
      <c r="E1770" s="64" t="str">
        <f>IF(ISBLANK(D1770)=TRUE,"",VLOOKUP(D1770,Krav!$C:$F,4,FALSE))</f>
        <v>10.a.1.1.1.43 - Hvis FordringsSlutDato ikke er valgt: Regel R0059 deaktiveres</v>
      </c>
      <c r="F1770" s="171" t="s">
        <v>226</v>
      </c>
      <c r="G1770" s="171" t="s">
        <v>313</v>
      </c>
      <c r="H1770" s="172" t="s">
        <v>1401</v>
      </c>
      <c r="I1770" s="174" t="s">
        <v>404</v>
      </c>
      <c r="J1770" s="173" t="s">
        <v>222</v>
      </c>
      <c r="K1770" s="123" t="s">
        <v>222</v>
      </c>
      <c r="L1770" s="181" t="s">
        <v>3</v>
      </c>
      <c r="M1770" s="176" t="s">
        <v>129</v>
      </c>
      <c r="N1770" s="176" t="s">
        <v>131</v>
      </c>
      <c r="O1770" s="176" t="s">
        <v>1403</v>
      </c>
      <c r="P1770" s="176" t="s">
        <v>376</v>
      </c>
      <c r="Q1770" s="176" t="s">
        <v>131</v>
      </c>
      <c r="R1770" s="176" t="s">
        <v>131</v>
      </c>
      <c r="S1770" s="176" t="s">
        <v>131</v>
      </c>
      <c r="T1770" s="176"/>
      <c r="U1770" s="176" t="s">
        <v>1314</v>
      </c>
      <c r="V1770" s="176"/>
      <c r="W1770" s="176"/>
      <c r="X1770" s="176"/>
      <c r="Y1770" s="176"/>
      <c r="Z1770" s="176"/>
      <c r="AA1770" s="176"/>
      <c r="AB1770" s="176"/>
      <c r="AC1770" s="176"/>
      <c r="AD1770" s="177" t="s">
        <v>5</v>
      </c>
    </row>
    <row r="1771" spans="1:30" s="178" customFormat="1" ht="33" customHeight="1" x14ac:dyDescent="0.3">
      <c r="A1771" s="167">
        <v>31</v>
      </c>
      <c r="B1771" s="168">
        <v>14</v>
      </c>
      <c r="C1771" s="169" t="str">
        <f t="shared" si="37"/>
        <v>31.14</v>
      </c>
      <c r="D1771" s="170" t="s">
        <v>903</v>
      </c>
      <c r="E1771" s="64" t="str">
        <f>IF(ISBLANK(D1771)=TRUE,"",VLOOKUP(D1771,Krav!$C:$F,4,FALSE))</f>
        <v>10.a.1.1.1.44 - Hvis FordringsSlutDato ikke er valgt: Regel R0060 deaktiveres</v>
      </c>
      <c r="F1771" s="171" t="s">
        <v>226</v>
      </c>
      <c r="G1771" s="171" t="s">
        <v>313</v>
      </c>
      <c r="H1771" s="172" t="s">
        <v>1401</v>
      </c>
      <c r="I1771" s="174" t="s">
        <v>404</v>
      </c>
      <c r="J1771" s="173" t="s">
        <v>222</v>
      </c>
      <c r="K1771" s="123" t="s">
        <v>222</v>
      </c>
      <c r="L1771" s="181" t="s">
        <v>3</v>
      </c>
      <c r="M1771" s="176" t="s">
        <v>129</v>
      </c>
      <c r="N1771" s="176" t="s">
        <v>131</v>
      </c>
      <c r="O1771" s="176" t="s">
        <v>1403</v>
      </c>
      <c r="P1771" s="176" t="s">
        <v>376</v>
      </c>
      <c r="Q1771" s="176" t="s">
        <v>131</v>
      </c>
      <c r="R1771" s="176" t="s">
        <v>131</v>
      </c>
      <c r="S1771" s="176" t="s">
        <v>131</v>
      </c>
      <c r="T1771" s="176"/>
      <c r="U1771" s="176" t="s">
        <v>1315</v>
      </c>
      <c r="V1771" s="176"/>
      <c r="W1771" s="176"/>
      <c r="X1771" s="176"/>
      <c r="Y1771" s="176"/>
      <c r="Z1771" s="176"/>
      <c r="AA1771" s="176"/>
      <c r="AB1771" s="176"/>
      <c r="AC1771" s="176"/>
      <c r="AD1771" s="177" t="s">
        <v>5</v>
      </c>
    </row>
    <row r="1772" spans="1:30" s="178" customFormat="1" ht="33" customHeight="1" x14ac:dyDescent="0.3">
      <c r="A1772" s="167">
        <v>31</v>
      </c>
      <c r="B1772" s="168">
        <v>15</v>
      </c>
      <c r="C1772" s="169" t="str">
        <f t="shared" si="37"/>
        <v>31.15</v>
      </c>
      <c r="D1772" s="170" t="s">
        <v>905</v>
      </c>
      <c r="E1772" s="64" t="str">
        <f>IF(ISBLANK(D1772)=TRUE,"",VLOOKUP(D1772,Krav!$C:$F,4,FALSE))</f>
        <v>10.a.1.1.1.45 - Hvis FordringsSlutDato ikke er valgt: Regel R0061 deaktiveres</v>
      </c>
      <c r="F1772" s="171" t="s">
        <v>226</v>
      </c>
      <c r="G1772" s="171" t="s">
        <v>313</v>
      </c>
      <c r="H1772" s="172" t="s">
        <v>1401</v>
      </c>
      <c r="I1772" s="174" t="s">
        <v>404</v>
      </c>
      <c r="J1772" s="174" t="s">
        <v>222</v>
      </c>
      <c r="K1772" s="123" t="s">
        <v>222</v>
      </c>
      <c r="L1772" s="175" t="s">
        <v>3</v>
      </c>
      <c r="M1772" s="176" t="s">
        <v>129</v>
      </c>
      <c r="N1772" s="176" t="s">
        <v>131</v>
      </c>
      <c r="O1772" s="176" t="s">
        <v>1403</v>
      </c>
      <c r="P1772" s="176" t="s">
        <v>376</v>
      </c>
      <c r="Q1772" s="176" t="s">
        <v>131</v>
      </c>
      <c r="R1772" s="176" t="s">
        <v>131</v>
      </c>
      <c r="S1772" s="176" t="s">
        <v>131</v>
      </c>
      <c r="T1772" s="176"/>
      <c r="U1772" s="176" t="s">
        <v>1316</v>
      </c>
      <c r="V1772" s="176"/>
      <c r="W1772" s="176"/>
      <c r="X1772" s="176"/>
      <c r="Y1772" s="176"/>
      <c r="Z1772" s="176"/>
      <c r="AA1772" s="176"/>
      <c r="AB1772" s="176"/>
      <c r="AC1772" s="176"/>
      <c r="AD1772" s="177" t="s">
        <v>5</v>
      </c>
    </row>
    <row r="1773" spans="1:30" s="178" customFormat="1" ht="33" customHeight="1" x14ac:dyDescent="0.3">
      <c r="A1773" s="167">
        <v>31</v>
      </c>
      <c r="B1773" s="168">
        <v>16</v>
      </c>
      <c r="C1773" s="169" t="str">
        <f t="shared" si="37"/>
        <v>31.16</v>
      </c>
      <c r="D1773" s="170" t="s">
        <v>907</v>
      </c>
      <c r="E1773" s="64" t="str">
        <f>IF(ISBLANK(D1773)=TRUE,"",VLOOKUP(D1773,Krav!$C:$F,4,FALSE))</f>
        <v>10.a.1.1.1.46 - Hvis FordringsSlutDato ikke er valgt: Regel R0062 deaktiveres</v>
      </c>
      <c r="F1773" s="171" t="s">
        <v>226</v>
      </c>
      <c r="G1773" s="171" t="s">
        <v>313</v>
      </c>
      <c r="H1773" s="172" t="s">
        <v>1401</v>
      </c>
      <c r="I1773" s="174" t="s">
        <v>404</v>
      </c>
      <c r="J1773" s="174" t="s">
        <v>222</v>
      </c>
      <c r="K1773" s="123" t="s">
        <v>222</v>
      </c>
      <c r="L1773" s="175" t="s">
        <v>3</v>
      </c>
      <c r="M1773" s="176" t="s">
        <v>129</v>
      </c>
      <c r="N1773" s="176" t="s">
        <v>131</v>
      </c>
      <c r="O1773" s="176" t="s">
        <v>1403</v>
      </c>
      <c r="P1773" s="176" t="s">
        <v>376</v>
      </c>
      <c r="Q1773" s="176" t="s">
        <v>131</v>
      </c>
      <c r="R1773" s="176" t="s">
        <v>131</v>
      </c>
      <c r="S1773" s="176" t="s">
        <v>131</v>
      </c>
      <c r="T1773" s="176"/>
      <c r="U1773" s="176" t="s">
        <v>1317</v>
      </c>
      <c r="V1773" s="176"/>
      <c r="W1773" s="176"/>
      <c r="X1773" s="176"/>
      <c r="Y1773" s="176"/>
      <c r="Z1773" s="176"/>
      <c r="AA1773" s="176"/>
      <c r="AB1773" s="176"/>
      <c r="AC1773" s="176"/>
      <c r="AD1773" s="177" t="s">
        <v>5</v>
      </c>
    </row>
    <row r="1774" spans="1:30" s="178" customFormat="1" ht="33" customHeight="1" x14ac:dyDescent="0.3">
      <c r="A1774" s="167">
        <v>31</v>
      </c>
      <c r="B1774" s="168">
        <v>17</v>
      </c>
      <c r="C1774" s="169" t="str">
        <f t="shared" si="37"/>
        <v>31.17</v>
      </c>
      <c r="D1774" s="170" t="s">
        <v>923</v>
      </c>
      <c r="E1774" s="64" t="str">
        <f>IF(ISBLANK(D1774)=TRUE,"",VLOOKUP(D1774,Krav!$C:$F,4,FALSE))</f>
        <v>10.a.1.1.1.54 - Hvis FordringsSlutDato ikke er valgt: Regel R0070 deaktiveres</v>
      </c>
      <c r="F1774" s="171" t="s">
        <v>226</v>
      </c>
      <c r="G1774" s="171" t="s">
        <v>313</v>
      </c>
      <c r="H1774" s="172" t="s">
        <v>1401</v>
      </c>
      <c r="I1774" s="174" t="s">
        <v>404</v>
      </c>
      <c r="J1774" s="174" t="s">
        <v>222</v>
      </c>
      <c r="K1774" s="123" t="s">
        <v>222</v>
      </c>
      <c r="L1774" s="175" t="s">
        <v>3</v>
      </c>
      <c r="M1774" s="176" t="s">
        <v>129</v>
      </c>
      <c r="N1774" s="176" t="s">
        <v>131</v>
      </c>
      <c r="O1774" s="176" t="s">
        <v>1403</v>
      </c>
      <c r="P1774" s="176" t="s">
        <v>376</v>
      </c>
      <c r="Q1774" s="176" t="s">
        <v>131</v>
      </c>
      <c r="R1774" s="176" t="s">
        <v>131</v>
      </c>
      <c r="S1774" s="176" t="s">
        <v>131</v>
      </c>
      <c r="T1774" s="176"/>
      <c r="U1774" s="176" t="s">
        <v>1313</v>
      </c>
      <c r="V1774" s="176"/>
      <c r="W1774" s="176"/>
      <c r="X1774" s="176"/>
      <c r="Y1774" s="176"/>
      <c r="Z1774" s="176"/>
      <c r="AA1774" s="176"/>
      <c r="AB1774" s="176"/>
      <c r="AC1774" s="176"/>
      <c r="AD1774" s="177" t="s">
        <v>5</v>
      </c>
    </row>
    <row r="1775" spans="1:30" s="178" customFormat="1" ht="33" customHeight="1" x14ac:dyDescent="0.3">
      <c r="A1775" s="167">
        <v>31</v>
      </c>
      <c r="B1775" s="168">
        <v>18</v>
      </c>
      <c r="C1775" s="169" t="str">
        <f t="shared" si="37"/>
        <v>31.18</v>
      </c>
      <c r="D1775" s="170" t="s">
        <v>901</v>
      </c>
      <c r="E1775" s="64" t="str">
        <f>IF(ISBLANK(D1775)=TRUE,"",VLOOKUP(D1775,Krav!$C:$F,4,FALSE))</f>
        <v>10.a.1.1.1.43 - Hvis FordringsSlutDato ikke er valgt: Regel R0059 deaktiveres</v>
      </c>
      <c r="F1775" s="171" t="s">
        <v>226</v>
      </c>
      <c r="G1775" s="171" t="s">
        <v>313</v>
      </c>
      <c r="H1775" s="172" t="s">
        <v>1401</v>
      </c>
      <c r="I1775" s="173" t="s">
        <v>376</v>
      </c>
      <c r="J1775" s="173" t="s">
        <v>222</v>
      </c>
      <c r="K1775" s="123" t="s">
        <v>222</v>
      </c>
      <c r="L1775" s="181" t="s">
        <v>3</v>
      </c>
      <c r="M1775" s="176" t="s">
        <v>129</v>
      </c>
      <c r="N1775" s="176" t="s">
        <v>131</v>
      </c>
      <c r="O1775" s="176" t="s">
        <v>376</v>
      </c>
      <c r="P1775" s="176" t="s">
        <v>1403</v>
      </c>
      <c r="Q1775" s="176" t="s">
        <v>131</v>
      </c>
      <c r="R1775" s="176" t="s">
        <v>131</v>
      </c>
      <c r="S1775" s="176" t="s">
        <v>131</v>
      </c>
      <c r="T1775" s="176"/>
      <c r="U1775" s="176" t="s">
        <v>1314</v>
      </c>
      <c r="V1775" s="176"/>
      <c r="W1775" s="176"/>
      <c r="X1775" s="176"/>
      <c r="Y1775" s="176"/>
      <c r="Z1775" s="176"/>
      <c r="AA1775" s="176"/>
      <c r="AB1775" s="176"/>
      <c r="AC1775" s="176"/>
      <c r="AD1775" s="177" t="s">
        <v>5</v>
      </c>
    </row>
    <row r="1776" spans="1:30" s="178" customFormat="1" ht="33" customHeight="1" x14ac:dyDescent="0.3">
      <c r="A1776" s="167">
        <v>31</v>
      </c>
      <c r="B1776" s="168">
        <v>19</v>
      </c>
      <c r="C1776" s="169" t="str">
        <f t="shared" si="37"/>
        <v>31.19</v>
      </c>
      <c r="D1776" s="170" t="s">
        <v>903</v>
      </c>
      <c r="E1776" s="64" t="str">
        <f>IF(ISBLANK(D1776)=TRUE,"",VLOOKUP(D1776,Krav!$C:$F,4,FALSE))</f>
        <v>10.a.1.1.1.44 - Hvis FordringsSlutDato ikke er valgt: Regel R0060 deaktiveres</v>
      </c>
      <c r="F1776" s="171" t="s">
        <v>226</v>
      </c>
      <c r="G1776" s="171" t="s">
        <v>313</v>
      </c>
      <c r="H1776" s="172" t="s">
        <v>1401</v>
      </c>
      <c r="I1776" s="173" t="s">
        <v>376</v>
      </c>
      <c r="J1776" s="173" t="s">
        <v>222</v>
      </c>
      <c r="K1776" s="123" t="s">
        <v>222</v>
      </c>
      <c r="L1776" s="181" t="s">
        <v>3</v>
      </c>
      <c r="M1776" s="176" t="s">
        <v>129</v>
      </c>
      <c r="N1776" s="176" t="s">
        <v>131</v>
      </c>
      <c r="O1776" s="176" t="s">
        <v>376</v>
      </c>
      <c r="P1776" s="176" t="s">
        <v>1403</v>
      </c>
      <c r="Q1776" s="176" t="s">
        <v>131</v>
      </c>
      <c r="R1776" s="176" t="s">
        <v>131</v>
      </c>
      <c r="S1776" s="176" t="s">
        <v>131</v>
      </c>
      <c r="T1776" s="176"/>
      <c r="U1776" s="176" t="s">
        <v>1315</v>
      </c>
      <c r="V1776" s="176"/>
      <c r="W1776" s="176"/>
      <c r="X1776" s="176"/>
      <c r="Y1776" s="176"/>
      <c r="Z1776" s="176"/>
      <c r="AA1776" s="176"/>
      <c r="AB1776" s="176"/>
      <c r="AC1776" s="176"/>
      <c r="AD1776" s="177" t="s">
        <v>5</v>
      </c>
    </row>
    <row r="1777" spans="1:30" s="178" customFormat="1" ht="33" customHeight="1" x14ac:dyDescent="0.3">
      <c r="A1777" s="167">
        <v>31</v>
      </c>
      <c r="B1777" s="168">
        <v>20</v>
      </c>
      <c r="C1777" s="169" t="str">
        <f t="shared" si="37"/>
        <v>31.20</v>
      </c>
      <c r="D1777" s="170" t="s">
        <v>905</v>
      </c>
      <c r="E1777" s="64" t="str">
        <f>IF(ISBLANK(D1777)=TRUE,"",VLOOKUP(D1777,Krav!$C:$F,4,FALSE))</f>
        <v>10.a.1.1.1.45 - Hvis FordringsSlutDato ikke er valgt: Regel R0061 deaktiveres</v>
      </c>
      <c r="F1777" s="171" t="s">
        <v>226</v>
      </c>
      <c r="G1777" s="171" t="s">
        <v>313</v>
      </c>
      <c r="H1777" s="172" t="s">
        <v>1401</v>
      </c>
      <c r="I1777" s="174" t="s">
        <v>376</v>
      </c>
      <c r="J1777" s="174" t="s">
        <v>222</v>
      </c>
      <c r="K1777" s="123" t="s">
        <v>222</v>
      </c>
      <c r="L1777" s="175" t="s">
        <v>3</v>
      </c>
      <c r="M1777" s="176" t="s">
        <v>129</v>
      </c>
      <c r="N1777" s="176" t="s">
        <v>131</v>
      </c>
      <c r="O1777" s="176" t="s">
        <v>376</v>
      </c>
      <c r="P1777" s="176" t="s">
        <v>1403</v>
      </c>
      <c r="Q1777" s="176" t="s">
        <v>131</v>
      </c>
      <c r="R1777" s="176" t="s">
        <v>131</v>
      </c>
      <c r="S1777" s="176" t="s">
        <v>131</v>
      </c>
      <c r="T1777" s="176"/>
      <c r="U1777" s="176" t="s">
        <v>1316</v>
      </c>
      <c r="V1777" s="176"/>
      <c r="W1777" s="176"/>
      <c r="X1777" s="176"/>
      <c r="Y1777" s="176"/>
      <c r="Z1777" s="176"/>
      <c r="AA1777" s="176"/>
      <c r="AB1777" s="176"/>
      <c r="AC1777" s="176"/>
      <c r="AD1777" s="177" t="s">
        <v>5</v>
      </c>
    </row>
    <row r="1778" spans="1:30" s="178" customFormat="1" ht="33" customHeight="1" x14ac:dyDescent="0.3">
      <c r="A1778" s="167">
        <v>31</v>
      </c>
      <c r="B1778" s="168">
        <v>21</v>
      </c>
      <c r="C1778" s="169" t="str">
        <f t="shared" si="37"/>
        <v>31.21</v>
      </c>
      <c r="D1778" s="170" t="s">
        <v>907</v>
      </c>
      <c r="E1778" s="64" t="str">
        <f>IF(ISBLANK(D1778)=TRUE,"",VLOOKUP(D1778,Krav!$C:$F,4,FALSE))</f>
        <v>10.a.1.1.1.46 - Hvis FordringsSlutDato ikke er valgt: Regel R0062 deaktiveres</v>
      </c>
      <c r="F1778" s="171" t="s">
        <v>226</v>
      </c>
      <c r="G1778" s="171" t="s">
        <v>313</v>
      </c>
      <c r="H1778" s="172" t="s">
        <v>1401</v>
      </c>
      <c r="I1778" s="174" t="s">
        <v>376</v>
      </c>
      <c r="J1778" s="174" t="s">
        <v>222</v>
      </c>
      <c r="K1778" s="123" t="s">
        <v>222</v>
      </c>
      <c r="L1778" s="175" t="s">
        <v>3</v>
      </c>
      <c r="M1778" s="176" t="s">
        <v>129</v>
      </c>
      <c r="N1778" s="176" t="s">
        <v>131</v>
      </c>
      <c r="O1778" s="176" t="s">
        <v>376</v>
      </c>
      <c r="P1778" s="176" t="s">
        <v>1403</v>
      </c>
      <c r="Q1778" s="176" t="s">
        <v>131</v>
      </c>
      <c r="R1778" s="176" t="s">
        <v>131</v>
      </c>
      <c r="S1778" s="176" t="s">
        <v>131</v>
      </c>
      <c r="T1778" s="176"/>
      <c r="U1778" s="176" t="s">
        <v>1317</v>
      </c>
      <c r="V1778" s="176"/>
      <c r="W1778" s="176"/>
      <c r="X1778" s="176"/>
      <c r="Y1778" s="176"/>
      <c r="Z1778" s="176"/>
      <c r="AA1778" s="176"/>
      <c r="AB1778" s="176"/>
      <c r="AC1778" s="176"/>
      <c r="AD1778" s="177" t="s">
        <v>5</v>
      </c>
    </row>
    <row r="1779" spans="1:30" s="178" customFormat="1" ht="33" customHeight="1" x14ac:dyDescent="0.3">
      <c r="A1779" s="167">
        <v>31</v>
      </c>
      <c r="B1779" s="168">
        <v>22</v>
      </c>
      <c r="C1779" s="169" t="str">
        <f t="shared" si="37"/>
        <v>31.22</v>
      </c>
      <c r="D1779" s="170" t="s">
        <v>923</v>
      </c>
      <c r="E1779" s="64" t="str">
        <f>IF(ISBLANK(D1779)=TRUE,"",VLOOKUP(D1779,Krav!$C:$F,4,FALSE))</f>
        <v>10.a.1.1.1.54 - Hvis FordringsSlutDato ikke er valgt: Regel R0070 deaktiveres</v>
      </c>
      <c r="F1779" s="171" t="s">
        <v>226</v>
      </c>
      <c r="G1779" s="171" t="s">
        <v>313</v>
      </c>
      <c r="H1779" s="172" t="s">
        <v>1401</v>
      </c>
      <c r="I1779" s="174" t="s">
        <v>376</v>
      </c>
      <c r="J1779" s="174" t="s">
        <v>222</v>
      </c>
      <c r="K1779" s="123" t="s">
        <v>222</v>
      </c>
      <c r="L1779" s="175" t="s">
        <v>3</v>
      </c>
      <c r="M1779" s="176" t="s">
        <v>129</v>
      </c>
      <c r="N1779" s="176" t="s">
        <v>131</v>
      </c>
      <c r="O1779" s="176" t="s">
        <v>376</v>
      </c>
      <c r="P1779" s="176" t="s">
        <v>1403</v>
      </c>
      <c r="Q1779" s="176" t="s">
        <v>131</v>
      </c>
      <c r="R1779" s="176" t="s">
        <v>131</v>
      </c>
      <c r="S1779" s="176" t="s">
        <v>131</v>
      </c>
      <c r="T1779" s="176"/>
      <c r="U1779" s="176" t="s">
        <v>1313</v>
      </c>
      <c r="V1779" s="176"/>
      <c r="W1779" s="176"/>
      <c r="X1779" s="176"/>
      <c r="Y1779" s="176"/>
      <c r="Z1779" s="176"/>
      <c r="AA1779" s="176"/>
      <c r="AB1779" s="176"/>
      <c r="AC1779" s="176"/>
      <c r="AD1779" s="177" t="s">
        <v>5</v>
      </c>
    </row>
    <row r="1780" spans="1:30" s="178" customFormat="1" ht="33" customHeight="1" x14ac:dyDescent="0.3">
      <c r="A1780" s="167">
        <v>31</v>
      </c>
      <c r="B1780" s="168">
        <v>23</v>
      </c>
      <c r="C1780" s="169" t="str">
        <f t="shared" si="37"/>
        <v>31.23</v>
      </c>
      <c r="D1780" s="170" t="s">
        <v>901</v>
      </c>
      <c r="E1780" s="64" t="str">
        <f>IF(ISBLANK(D1780)=TRUE,"",VLOOKUP(D1780,Krav!$C:$F,4,FALSE))</f>
        <v>10.a.1.1.1.43 - Hvis FordringsSlutDato ikke er valgt: Regel R0059 deaktiveres</v>
      </c>
      <c r="F1780" s="171" t="s">
        <v>226</v>
      </c>
      <c r="G1780" s="171" t="s">
        <v>313</v>
      </c>
      <c r="H1780" s="172" t="s">
        <v>1404</v>
      </c>
      <c r="I1780" s="173" t="s">
        <v>408</v>
      </c>
      <c r="J1780" s="173" t="s">
        <v>222</v>
      </c>
      <c r="K1780" s="123" t="s">
        <v>222</v>
      </c>
      <c r="L1780" s="181" t="s">
        <v>4</v>
      </c>
      <c r="M1780" s="176" t="s">
        <v>129</v>
      </c>
      <c r="N1780" s="176" t="s">
        <v>131</v>
      </c>
      <c r="O1780" s="176" t="s">
        <v>1403</v>
      </c>
      <c r="P1780" s="176" t="s">
        <v>1405</v>
      </c>
      <c r="Q1780" s="176" t="s">
        <v>131</v>
      </c>
      <c r="R1780" s="176" t="s">
        <v>131</v>
      </c>
      <c r="S1780" s="176" t="s">
        <v>131</v>
      </c>
      <c r="T1780" s="176"/>
      <c r="U1780" s="176" t="s">
        <v>1314</v>
      </c>
      <c r="V1780" s="176"/>
      <c r="W1780" s="176"/>
      <c r="X1780" s="176"/>
      <c r="Y1780" s="176"/>
      <c r="Z1780" s="176"/>
      <c r="AA1780" s="176"/>
      <c r="AB1780" s="176"/>
      <c r="AC1780" s="176"/>
      <c r="AD1780" s="177" t="s">
        <v>5</v>
      </c>
    </row>
    <row r="1781" spans="1:30" s="178" customFormat="1" ht="33" customHeight="1" x14ac:dyDescent="0.3">
      <c r="A1781" s="167">
        <v>31</v>
      </c>
      <c r="B1781" s="168">
        <v>24</v>
      </c>
      <c r="C1781" s="169" t="str">
        <f t="shared" si="37"/>
        <v>31.24</v>
      </c>
      <c r="D1781" s="170" t="s">
        <v>903</v>
      </c>
      <c r="E1781" s="64" t="str">
        <f>IF(ISBLANK(D1781)=TRUE,"",VLOOKUP(D1781,Krav!$C:$F,4,FALSE))</f>
        <v>10.a.1.1.1.44 - Hvis FordringsSlutDato ikke er valgt: Regel R0060 deaktiveres</v>
      </c>
      <c r="F1781" s="171" t="s">
        <v>226</v>
      </c>
      <c r="G1781" s="171" t="s">
        <v>313</v>
      </c>
      <c r="H1781" s="172" t="s">
        <v>1404</v>
      </c>
      <c r="I1781" s="173" t="s">
        <v>408</v>
      </c>
      <c r="J1781" s="173" t="s">
        <v>222</v>
      </c>
      <c r="K1781" s="123" t="s">
        <v>222</v>
      </c>
      <c r="L1781" s="181" t="s">
        <v>4</v>
      </c>
      <c r="M1781" s="176" t="s">
        <v>129</v>
      </c>
      <c r="N1781" s="176" t="s">
        <v>131</v>
      </c>
      <c r="O1781" s="176" t="s">
        <v>1403</v>
      </c>
      <c r="P1781" s="176" t="s">
        <v>1405</v>
      </c>
      <c r="Q1781" s="176" t="s">
        <v>131</v>
      </c>
      <c r="R1781" s="176" t="s">
        <v>131</v>
      </c>
      <c r="S1781" s="176" t="s">
        <v>131</v>
      </c>
      <c r="T1781" s="176"/>
      <c r="U1781" s="176" t="s">
        <v>1315</v>
      </c>
      <c r="V1781" s="176"/>
      <c r="W1781" s="176"/>
      <c r="X1781" s="176"/>
      <c r="Y1781" s="176"/>
      <c r="Z1781" s="176"/>
      <c r="AA1781" s="176"/>
      <c r="AB1781" s="176"/>
      <c r="AC1781" s="176"/>
      <c r="AD1781" s="177" t="s">
        <v>5</v>
      </c>
    </row>
    <row r="1782" spans="1:30" s="178" customFormat="1" ht="33" customHeight="1" x14ac:dyDescent="0.3">
      <c r="A1782" s="167">
        <v>31</v>
      </c>
      <c r="B1782" s="168">
        <v>25</v>
      </c>
      <c r="C1782" s="169" t="str">
        <f t="shared" si="37"/>
        <v>31.25</v>
      </c>
      <c r="D1782" s="170" t="s">
        <v>905</v>
      </c>
      <c r="E1782" s="64" t="str">
        <f>IF(ISBLANK(D1782)=TRUE,"",VLOOKUP(D1782,Krav!$C:$F,4,FALSE))</f>
        <v>10.a.1.1.1.45 - Hvis FordringsSlutDato ikke er valgt: Regel R0061 deaktiveres</v>
      </c>
      <c r="F1782" s="171" t="s">
        <v>226</v>
      </c>
      <c r="G1782" s="171" t="s">
        <v>313</v>
      </c>
      <c r="H1782" s="172" t="s">
        <v>1404</v>
      </c>
      <c r="I1782" s="173" t="s">
        <v>408</v>
      </c>
      <c r="J1782" s="174" t="s">
        <v>222</v>
      </c>
      <c r="K1782" s="123" t="s">
        <v>222</v>
      </c>
      <c r="L1782" s="181" t="s">
        <v>4</v>
      </c>
      <c r="M1782" s="176" t="s">
        <v>129</v>
      </c>
      <c r="N1782" s="176" t="s">
        <v>131</v>
      </c>
      <c r="O1782" s="176" t="s">
        <v>1403</v>
      </c>
      <c r="P1782" s="176" t="s">
        <v>1405</v>
      </c>
      <c r="Q1782" s="176" t="s">
        <v>131</v>
      </c>
      <c r="R1782" s="176" t="s">
        <v>131</v>
      </c>
      <c r="S1782" s="176" t="s">
        <v>131</v>
      </c>
      <c r="T1782" s="176"/>
      <c r="U1782" s="176" t="s">
        <v>1316</v>
      </c>
      <c r="V1782" s="176"/>
      <c r="W1782" s="176"/>
      <c r="X1782" s="176"/>
      <c r="Y1782" s="176"/>
      <c r="Z1782" s="176"/>
      <c r="AA1782" s="176"/>
      <c r="AB1782" s="176"/>
      <c r="AC1782" s="176"/>
      <c r="AD1782" s="177" t="s">
        <v>5</v>
      </c>
    </row>
    <row r="1783" spans="1:30" s="178" customFormat="1" ht="33" customHeight="1" x14ac:dyDescent="0.3">
      <c r="A1783" s="167">
        <v>31</v>
      </c>
      <c r="B1783" s="168">
        <v>26</v>
      </c>
      <c r="C1783" s="169" t="str">
        <f t="shared" si="37"/>
        <v>31.26</v>
      </c>
      <c r="D1783" s="170" t="s">
        <v>907</v>
      </c>
      <c r="E1783" s="64" t="str">
        <f>IF(ISBLANK(D1783)=TRUE,"",VLOOKUP(D1783,Krav!$C:$F,4,FALSE))</f>
        <v>10.a.1.1.1.46 - Hvis FordringsSlutDato ikke er valgt: Regel R0062 deaktiveres</v>
      </c>
      <c r="F1783" s="171" t="s">
        <v>226</v>
      </c>
      <c r="G1783" s="171" t="s">
        <v>313</v>
      </c>
      <c r="H1783" s="172" t="s">
        <v>1404</v>
      </c>
      <c r="I1783" s="173" t="s">
        <v>408</v>
      </c>
      <c r="J1783" s="174" t="s">
        <v>222</v>
      </c>
      <c r="K1783" s="123" t="s">
        <v>222</v>
      </c>
      <c r="L1783" s="181" t="s">
        <v>4</v>
      </c>
      <c r="M1783" s="176" t="s">
        <v>129</v>
      </c>
      <c r="N1783" s="176" t="s">
        <v>131</v>
      </c>
      <c r="O1783" s="176" t="s">
        <v>1403</v>
      </c>
      <c r="P1783" s="176" t="s">
        <v>1405</v>
      </c>
      <c r="Q1783" s="176" t="s">
        <v>131</v>
      </c>
      <c r="R1783" s="176" t="s">
        <v>131</v>
      </c>
      <c r="S1783" s="176" t="s">
        <v>131</v>
      </c>
      <c r="T1783" s="176"/>
      <c r="U1783" s="176" t="s">
        <v>1317</v>
      </c>
      <c r="V1783" s="176"/>
      <c r="W1783" s="176"/>
      <c r="X1783" s="176"/>
      <c r="Y1783" s="176"/>
      <c r="Z1783" s="176"/>
      <c r="AA1783" s="176"/>
      <c r="AB1783" s="176"/>
      <c r="AC1783" s="176"/>
      <c r="AD1783" s="177" t="s">
        <v>5</v>
      </c>
    </row>
    <row r="1784" spans="1:30" s="178" customFormat="1" ht="33" customHeight="1" x14ac:dyDescent="0.3">
      <c r="A1784" s="167">
        <v>31</v>
      </c>
      <c r="B1784" s="168">
        <v>27</v>
      </c>
      <c r="C1784" s="169" t="str">
        <f t="shared" si="37"/>
        <v>31.27</v>
      </c>
      <c r="D1784" s="170" t="s">
        <v>923</v>
      </c>
      <c r="E1784" s="64" t="str">
        <f>IF(ISBLANK(D1784)=TRUE,"",VLOOKUP(D1784,Krav!$C:$F,4,FALSE))</f>
        <v>10.a.1.1.1.54 - Hvis FordringsSlutDato ikke er valgt: Regel R0070 deaktiveres</v>
      </c>
      <c r="F1784" s="171" t="s">
        <v>226</v>
      </c>
      <c r="G1784" s="171" t="s">
        <v>313</v>
      </c>
      <c r="H1784" s="172" t="s">
        <v>1404</v>
      </c>
      <c r="I1784" s="173" t="s">
        <v>408</v>
      </c>
      <c r="J1784" s="174" t="s">
        <v>222</v>
      </c>
      <c r="K1784" s="123" t="s">
        <v>222</v>
      </c>
      <c r="L1784" s="181" t="s">
        <v>4</v>
      </c>
      <c r="M1784" s="176" t="s">
        <v>129</v>
      </c>
      <c r="N1784" s="176" t="s">
        <v>131</v>
      </c>
      <c r="O1784" s="176" t="s">
        <v>1403</v>
      </c>
      <c r="P1784" s="176" t="s">
        <v>1405</v>
      </c>
      <c r="Q1784" s="176" t="s">
        <v>131</v>
      </c>
      <c r="R1784" s="176" t="s">
        <v>131</v>
      </c>
      <c r="S1784" s="176" t="s">
        <v>131</v>
      </c>
      <c r="T1784" s="176"/>
      <c r="U1784" s="176" t="s">
        <v>1313</v>
      </c>
      <c r="V1784" s="176"/>
      <c r="W1784" s="176"/>
      <c r="X1784" s="176"/>
      <c r="Y1784" s="176"/>
      <c r="Z1784" s="176"/>
      <c r="AA1784" s="176"/>
      <c r="AB1784" s="176"/>
      <c r="AC1784" s="176"/>
      <c r="AD1784" s="177" t="s">
        <v>5</v>
      </c>
    </row>
    <row r="1785" spans="1:30" s="178" customFormat="1" ht="33" customHeight="1" x14ac:dyDescent="0.3">
      <c r="A1785" s="167">
        <v>31</v>
      </c>
      <c r="B1785" s="168">
        <v>28</v>
      </c>
      <c r="C1785" s="169" t="str">
        <f t="shared" si="37"/>
        <v>31.28</v>
      </c>
      <c r="D1785" s="170" t="s">
        <v>901</v>
      </c>
      <c r="E1785" s="64" t="str">
        <f>IF(ISBLANK(D1785)=TRUE,"",VLOOKUP(D1785,Krav!$C:$F,4,FALSE))</f>
        <v>10.a.1.1.1.43 - Hvis FordringsSlutDato ikke er valgt: Regel R0059 deaktiveres</v>
      </c>
      <c r="F1785" s="171" t="s">
        <v>226</v>
      </c>
      <c r="G1785" s="171" t="s">
        <v>313</v>
      </c>
      <c r="H1785" s="172" t="s">
        <v>1404</v>
      </c>
      <c r="I1785" s="174" t="s">
        <v>410</v>
      </c>
      <c r="J1785" s="173" t="s">
        <v>222</v>
      </c>
      <c r="K1785" s="123" t="s">
        <v>222</v>
      </c>
      <c r="L1785" s="181" t="s">
        <v>4</v>
      </c>
      <c r="M1785" s="176" t="s">
        <v>129</v>
      </c>
      <c r="N1785" s="176" t="s">
        <v>131</v>
      </c>
      <c r="O1785" s="176" t="s">
        <v>1405</v>
      </c>
      <c r="P1785" s="176" t="s">
        <v>1403</v>
      </c>
      <c r="Q1785" s="176" t="s">
        <v>131</v>
      </c>
      <c r="R1785" s="176" t="s">
        <v>131</v>
      </c>
      <c r="S1785" s="176" t="s">
        <v>131</v>
      </c>
      <c r="T1785" s="176"/>
      <c r="U1785" s="176" t="s">
        <v>1314</v>
      </c>
      <c r="V1785" s="176"/>
      <c r="W1785" s="176"/>
      <c r="X1785" s="176"/>
      <c r="Y1785" s="176"/>
      <c r="Z1785" s="176"/>
      <c r="AA1785" s="176"/>
      <c r="AB1785" s="176"/>
      <c r="AC1785" s="176"/>
      <c r="AD1785" s="177" t="s">
        <v>5</v>
      </c>
    </row>
    <row r="1786" spans="1:30" s="178" customFormat="1" ht="33" customHeight="1" x14ac:dyDescent="0.3">
      <c r="A1786" s="167">
        <v>31</v>
      </c>
      <c r="B1786" s="168">
        <v>29</v>
      </c>
      <c r="C1786" s="169" t="str">
        <f t="shared" si="37"/>
        <v>31.29</v>
      </c>
      <c r="D1786" s="170" t="s">
        <v>903</v>
      </c>
      <c r="E1786" s="64" t="str">
        <f>IF(ISBLANK(D1786)=TRUE,"",VLOOKUP(D1786,Krav!$C:$F,4,FALSE))</f>
        <v>10.a.1.1.1.44 - Hvis FordringsSlutDato ikke er valgt: Regel R0060 deaktiveres</v>
      </c>
      <c r="F1786" s="171" t="s">
        <v>226</v>
      </c>
      <c r="G1786" s="171" t="s">
        <v>313</v>
      </c>
      <c r="H1786" s="172" t="s">
        <v>1404</v>
      </c>
      <c r="I1786" s="174" t="s">
        <v>410</v>
      </c>
      <c r="J1786" s="173" t="s">
        <v>222</v>
      </c>
      <c r="K1786" s="123" t="s">
        <v>222</v>
      </c>
      <c r="L1786" s="181" t="s">
        <v>4</v>
      </c>
      <c r="M1786" s="176" t="s">
        <v>129</v>
      </c>
      <c r="N1786" s="176" t="s">
        <v>131</v>
      </c>
      <c r="O1786" s="176" t="s">
        <v>1405</v>
      </c>
      <c r="P1786" s="176" t="s">
        <v>1403</v>
      </c>
      <c r="Q1786" s="176" t="s">
        <v>131</v>
      </c>
      <c r="R1786" s="176" t="s">
        <v>131</v>
      </c>
      <c r="S1786" s="176" t="s">
        <v>131</v>
      </c>
      <c r="T1786" s="176"/>
      <c r="U1786" s="176" t="s">
        <v>1315</v>
      </c>
      <c r="V1786" s="176"/>
      <c r="W1786" s="176"/>
      <c r="X1786" s="176"/>
      <c r="Y1786" s="176"/>
      <c r="Z1786" s="176"/>
      <c r="AA1786" s="176"/>
      <c r="AB1786" s="176"/>
      <c r="AC1786" s="176"/>
      <c r="AD1786" s="177" t="s">
        <v>5</v>
      </c>
    </row>
    <row r="1787" spans="1:30" s="178" customFormat="1" ht="33" customHeight="1" x14ac:dyDescent="0.3">
      <c r="A1787" s="167">
        <v>31</v>
      </c>
      <c r="B1787" s="168">
        <v>30</v>
      </c>
      <c r="C1787" s="169" t="str">
        <f t="shared" si="37"/>
        <v>31.30</v>
      </c>
      <c r="D1787" s="170" t="s">
        <v>905</v>
      </c>
      <c r="E1787" s="64" t="str">
        <f>IF(ISBLANK(D1787)=TRUE,"",VLOOKUP(D1787,Krav!$C:$F,4,FALSE))</f>
        <v>10.a.1.1.1.45 - Hvis FordringsSlutDato ikke er valgt: Regel R0061 deaktiveres</v>
      </c>
      <c r="F1787" s="171" t="s">
        <v>226</v>
      </c>
      <c r="G1787" s="171" t="s">
        <v>313</v>
      </c>
      <c r="H1787" s="172" t="s">
        <v>1404</v>
      </c>
      <c r="I1787" s="174" t="s">
        <v>410</v>
      </c>
      <c r="J1787" s="174" t="s">
        <v>222</v>
      </c>
      <c r="K1787" s="123" t="s">
        <v>222</v>
      </c>
      <c r="L1787" s="181" t="s">
        <v>4</v>
      </c>
      <c r="M1787" s="176" t="s">
        <v>129</v>
      </c>
      <c r="N1787" s="176" t="s">
        <v>131</v>
      </c>
      <c r="O1787" s="176" t="s">
        <v>1405</v>
      </c>
      <c r="P1787" s="176" t="s">
        <v>1403</v>
      </c>
      <c r="Q1787" s="176" t="s">
        <v>131</v>
      </c>
      <c r="R1787" s="176" t="s">
        <v>131</v>
      </c>
      <c r="S1787" s="176" t="s">
        <v>131</v>
      </c>
      <c r="T1787" s="176"/>
      <c r="U1787" s="176" t="s">
        <v>1316</v>
      </c>
      <c r="V1787" s="176"/>
      <c r="W1787" s="176"/>
      <c r="X1787" s="176"/>
      <c r="Y1787" s="176"/>
      <c r="Z1787" s="176"/>
      <c r="AA1787" s="176"/>
      <c r="AB1787" s="176"/>
      <c r="AC1787" s="176"/>
      <c r="AD1787" s="177" t="s">
        <v>5</v>
      </c>
    </row>
    <row r="1788" spans="1:30" s="178" customFormat="1" ht="33" customHeight="1" x14ac:dyDescent="0.3">
      <c r="A1788" s="167">
        <v>31</v>
      </c>
      <c r="B1788" s="168">
        <v>31</v>
      </c>
      <c r="C1788" s="169" t="str">
        <f t="shared" si="37"/>
        <v>31.31</v>
      </c>
      <c r="D1788" s="170" t="s">
        <v>907</v>
      </c>
      <c r="E1788" s="64" t="str">
        <f>IF(ISBLANK(D1788)=TRUE,"",VLOOKUP(D1788,Krav!$C:$F,4,FALSE))</f>
        <v>10.a.1.1.1.46 - Hvis FordringsSlutDato ikke er valgt: Regel R0062 deaktiveres</v>
      </c>
      <c r="F1788" s="171" t="s">
        <v>226</v>
      </c>
      <c r="G1788" s="171" t="s">
        <v>313</v>
      </c>
      <c r="H1788" s="172" t="s">
        <v>1404</v>
      </c>
      <c r="I1788" s="174" t="s">
        <v>410</v>
      </c>
      <c r="J1788" s="174" t="s">
        <v>222</v>
      </c>
      <c r="K1788" s="123" t="s">
        <v>222</v>
      </c>
      <c r="L1788" s="181" t="s">
        <v>4</v>
      </c>
      <c r="M1788" s="176" t="s">
        <v>129</v>
      </c>
      <c r="N1788" s="176" t="s">
        <v>131</v>
      </c>
      <c r="O1788" s="176" t="s">
        <v>1405</v>
      </c>
      <c r="P1788" s="176" t="s">
        <v>1403</v>
      </c>
      <c r="Q1788" s="176" t="s">
        <v>131</v>
      </c>
      <c r="R1788" s="176" t="s">
        <v>131</v>
      </c>
      <c r="S1788" s="176" t="s">
        <v>131</v>
      </c>
      <c r="T1788" s="176"/>
      <c r="U1788" s="176" t="s">
        <v>1317</v>
      </c>
      <c r="V1788" s="176"/>
      <c r="W1788" s="176"/>
      <c r="X1788" s="176"/>
      <c r="Y1788" s="176"/>
      <c r="Z1788" s="176"/>
      <c r="AA1788" s="176"/>
      <c r="AB1788" s="176"/>
      <c r="AC1788" s="176"/>
      <c r="AD1788" s="177" t="s">
        <v>5</v>
      </c>
    </row>
    <row r="1789" spans="1:30" s="178" customFormat="1" ht="33" customHeight="1" x14ac:dyDescent="0.3">
      <c r="A1789" s="167">
        <v>31</v>
      </c>
      <c r="B1789" s="168">
        <v>32</v>
      </c>
      <c r="C1789" s="169" t="str">
        <f t="shared" si="37"/>
        <v>31.32</v>
      </c>
      <c r="D1789" s="170" t="s">
        <v>923</v>
      </c>
      <c r="E1789" s="64" t="str">
        <f>IF(ISBLANK(D1789)=TRUE,"",VLOOKUP(D1789,Krav!$C:$F,4,FALSE))</f>
        <v>10.a.1.1.1.54 - Hvis FordringsSlutDato ikke er valgt: Regel R0070 deaktiveres</v>
      </c>
      <c r="F1789" s="171" t="s">
        <v>226</v>
      </c>
      <c r="G1789" s="171" t="s">
        <v>313</v>
      </c>
      <c r="H1789" s="172" t="s">
        <v>1404</v>
      </c>
      <c r="I1789" s="174" t="s">
        <v>410</v>
      </c>
      <c r="J1789" s="174" t="s">
        <v>222</v>
      </c>
      <c r="K1789" s="123" t="s">
        <v>222</v>
      </c>
      <c r="L1789" s="181" t="s">
        <v>4</v>
      </c>
      <c r="M1789" s="176" t="s">
        <v>129</v>
      </c>
      <c r="N1789" s="176" t="s">
        <v>131</v>
      </c>
      <c r="O1789" s="176" t="s">
        <v>1405</v>
      </c>
      <c r="P1789" s="176" t="s">
        <v>1403</v>
      </c>
      <c r="Q1789" s="176" t="s">
        <v>131</v>
      </c>
      <c r="R1789" s="176" t="s">
        <v>131</v>
      </c>
      <c r="S1789" s="176" t="s">
        <v>131</v>
      </c>
      <c r="T1789" s="176"/>
      <c r="U1789" s="176" t="s">
        <v>1313</v>
      </c>
      <c r="V1789" s="176"/>
      <c r="W1789" s="176"/>
      <c r="X1789" s="176"/>
      <c r="Y1789" s="176"/>
      <c r="Z1789" s="176"/>
      <c r="AA1789" s="176"/>
      <c r="AB1789" s="176"/>
      <c r="AC1789" s="176"/>
      <c r="AD1789" s="177" t="s">
        <v>5</v>
      </c>
    </row>
    <row r="1790" spans="1:30" s="178" customFormat="1" ht="33" customHeight="1" x14ac:dyDescent="0.3">
      <c r="A1790" s="167">
        <v>31</v>
      </c>
      <c r="B1790" s="168">
        <v>33</v>
      </c>
      <c r="C1790" s="169" t="str">
        <f t="shared" si="37"/>
        <v>31.33</v>
      </c>
      <c r="D1790" s="170" t="s">
        <v>1031</v>
      </c>
      <c r="E1790" s="64" t="str">
        <f>IF(ISBLANK(D1790)=TRUE,"",VLOOKUP(D1790,Krav!$C:$F,4,FALSE))</f>
        <v>10.a.1.1.1.109 - Der angives et ”JA” i populationen under ”Vil RIM beregne en tidligst mulig forældelsesdato?”</v>
      </c>
      <c r="F1790" s="171" t="s">
        <v>221</v>
      </c>
      <c r="G1790" s="171"/>
      <c r="H1790" s="172" t="s">
        <v>1406</v>
      </c>
      <c r="I1790" s="174" t="s">
        <v>240</v>
      </c>
      <c r="J1790" s="174" t="s">
        <v>222</v>
      </c>
      <c r="K1790" s="125" t="s">
        <v>222</v>
      </c>
      <c r="L1790" s="175" t="s">
        <v>3</v>
      </c>
      <c r="M1790" s="176" t="s">
        <v>129</v>
      </c>
      <c r="N1790" s="176" t="s">
        <v>131</v>
      </c>
      <c r="O1790" s="176" t="s">
        <v>376</v>
      </c>
      <c r="P1790" s="176" t="s">
        <v>376</v>
      </c>
      <c r="Q1790" s="176" t="s">
        <v>131</v>
      </c>
      <c r="R1790" s="176" t="s">
        <v>131</v>
      </c>
      <c r="S1790" s="176" t="s">
        <v>131</v>
      </c>
      <c r="T1790" s="176"/>
      <c r="U1790" s="176"/>
      <c r="V1790" s="176"/>
      <c r="W1790" s="176"/>
      <c r="X1790" s="176"/>
      <c r="Y1790" s="176"/>
      <c r="Z1790" s="176"/>
      <c r="AA1790" s="176"/>
      <c r="AB1790" s="176"/>
      <c r="AC1790" s="176"/>
      <c r="AD1790" s="177" t="s">
        <v>5</v>
      </c>
    </row>
    <row r="1791" spans="1:30" s="178" customFormat="1" ht="33" customHeight="1" x14ac:dyDescent="0.3">
      <c r="A1791" s="167">
        <v>31</v>
      </c>
      <c r="B1791" s="168">
        <v>34</v>
      </c>
      <c r="C1791" s="169" t="str">
        <f t="shared" si="37"/>
        <v>31.34</v>
      </c>
      <c r="D1791" s="170"/>
      <c r="E1791" s="64" t="str">
        <f>IF(ISBLANK(D1791)=TRUE,"",VLOOKUP(D1791,Krav!$C:$F,4,FALSE))</f>
        <v/>
      </c>
      <c r="F1791" s="171" t="s">
        <v>225</v>
      </c>
      <c r="G1791" s="179" t="s">
        <v>230</v>
      </c>
      <c r="H1791" s="179" t="s">
        <v>158</v>
      </c>
      <c r="I1791" s="174" t="s">
        <v>1407</v>
      </c>
      <c r="J1791" s="174" t="s">
        <v>222</v>
      </c>
      <c r="K1791" s="123" t="s">
        <v>222</v>
      </c>
      <c r="L1791" s="175" t="s">
        <v>3</v>
      </c>
      <c r="M1791" s="176" t="s">
        <v>129</v>
      </c>
      <c r="N1791" s="176" t="s">
        <v>131</v>
      </c>
      <c r="O1791" s="176" t="s">
        <v>376</v>
      </c>
      <c r="P1791" s="176" t="s">
        <v>376</v>
      </c>
      <c r="Q1791" s="176" t="s">
        <v>131</v>
      </c>
      <c r="R1791" s="176" t="s">
        <v>131</v>
      </c>
      <c r="S1791" s="176" t="s">
        <v>131</v>
      </c>
      <c r="T1791" s="176"/>
      <c r="U1791" s="176"/>
      <c r="V1791" s="176"/>
      <c r="W1791" s="176"/>
      <c r="X1791" s="176"/>
      <c r="Y1791" s="176"/>
      <c r="Z1791" s="176"/>
      <c r="AA1791" s="176"/>
      <c r="AB1791" s="176"/>
      <c r="AC1791" s="176"/>
      <c r="AD1791" s="177" t="s">
        <v>5</v>
      </c>
    </row>
    <row r="1792" spans="1:30" s="178" customFormat="1" ht="33" customHeight="1" x14ac:dyDescent="0.3">
      <c r="A1792" s="167">
        <v>31</v>
      </c>
      <c r="B1792" s="168">
        <v>35</v>
      </c>
      <c r="C1792" s="169" t="str">
        <f t="shared" si="37"/>
        <v>31.35</v>
      </c>
      <c r="D1792" s="170"/>
      <c r="E1792" s="64" t="str">
        <f>IF(ISBLANK(D1792)=TRUE,"",VLOOKUP(D1792,Krav!$C:$F,4,FALSE))</f>
        <v/>
      </c>
      <c r="F1792" s="171" t="s">
        <v>225</v>
      </c>
      <c r="G1792" s="179" t="s">
        <v>1388</v>
      </c>
      <c r="H1792" s="179" t="s">
        <v>158</v>
      </c>
      <c r="I1792" s="174" t="s">
        <v>376</v>
      </c>
      <c r="J1792" s="174" t="s">
        <v>222</v>
      </c>
      <c r="K1792" s="123" t="s">
        <v>222</v>
      </c>
      <c r="L1792" s="175" t="s">
        <v>3</v>
      </c>
      <c r="M1792" s="176" t="s">
        <v>129</v>
      </c>
      <c r="N1792" s="176" t="s">
        <v>131</v>
      </c>
      <c r="O1792" s="176" t="s">
        <v>376</v>
      </c>
      <c r="P1792" s="176" t="s">
        <v>376</v>
      </c>
      <c r="Q1792" s="176" t="s">
        <v>131</v>
      </c>
      <c r="R1792" s="176" t="s">
        <v>131</v>
      </c>
      <c r="S1792" s="176" t="s">
        <v>131</v>
      </c>
      <c r="T1792" s="176"/>
      <c r="U1792" s="176"/>
      <c r="V1792" s="176"/>
      <c r="W1792" s="176"/>
      <c r="X1792" s="176"/>
      <c r="Y1792" s="176"/>
      <c r="Z1792" s="176"/>
      <c r="AA1792" s="176"/>
      <c r="AB1792" s="176"/>
      <c r="AC1792" s="176"/>
      <c r="AD1792" s="177" t="s">
        <v>5</v>
      </c>
    </row>
    <row r="1793" spans="1:38" s="178" customFormat="1" ht="33" customHeight="1" x14ac:dyDescent="0.3">
      <c r="A1793" s="167">
        <v>31</v>
      </c>
      <c r="B1793" s="168">
        <v>36</v>
      </c>
      <c r="C1793" s="169" t="str">
        <f t="shared" si="37"/>
        <v>31.36</v>
      </c>
      <c r="D1793" s="170"/>
      <c r="E1793" s="64" t="str">
        <f>IF(ISBLANK(D1793)=TRUE,"",VLOOKUP(D1793,Krav!$C:$F,4,FALSE))</f>
        <v/>
      </c>
      <c r="F1793" s="171" t="s">
        <v>225</v>
      </c>
      <c r="G1793" s="179" t="s">
        <v>1389</v>
      </c>
      <c r="H1793" s="179" t="s">
        <v>158</v>
      </c>
      <c r="I1793" s="174" t="s">
        <v>376</v>
      </c>
      <c r="J1793" s="174" t="s">
        <v>222</v>
      </c>
      <c r="K1793" s="123" t="s">
        <v>222</v>
      </c>
      <c r="L1793" s="175" t="s">
        <v>3</v>
      </c>
      <c r="M1793" s="176" t="s">
        <v>129</v>
      </c>
      <c r="N1793" s="176" t="s">
        <v>131</v>
      </c>
      <c r="O1793" s="176" t="s">
        <v>376</v>
      </c>
      <c r="P1793" s="176" t="s">
        <v>376</v>
      </c>
      <c r="Q1793" s="176" t="s">
        <v>131</v>
      </c>
      <c r="R1793" s="176" t="s">
        <v>131</v>
      </c>
      <c r="S1793" s="176" t="s">
        <v>131</v>
      </c>
      <c r="T1793" s="176"/>
      <c r="U1793" s="176"/>
      <c r="V1793" s="176"/>
      <c r="W1793" s="176"/>
      <c r="X1793" s="176"/>
      <c r="Y1793" s="176"/>
      <c r="Z1793" s="176"/>
      <c r="AA1793" s="176"/>
      <c r="AB1793" s="176"/>
      <c r="AC1793" s="176"/>
      <c r="AD1793" s="177" t="s">
        <v>5</v>
      </c>
    </row>
    <row r="1794" spans="1:38" s="178" customFormat="1" ht="33" customHeight="1" x14ac:dyDescent="0.3">
      <c r="A1794" s="167">
        <v>31</v>
      </c>
      <c r="B1794" s="168">
        <v>37</v>
      </c>
      <c r="C1794" s="169" t="str">
        <f t="shared" si="37"/>
        <v>31.37</v>
      </c>
      <c r="D1794" s="170" t="s">
        <v>813</v>
      </c>
      <c r="E1794" s="64" t="str">
        <f>IF(ISBLANK(D1794)=TRUE,"",VLOOKUP(D1794,Krav!$C:$F,4,FALSE))</f>
        <v>10.a.1.1.23 - Såfremt brugeren angiver en frist skal brugeren ledes til spørgsmål 10.a.1.1.1</v>
      </c>
      <c r="F1794" s="171" t="s">
        <v>143</v>
      </c>
      <c r="G1794" s="171"/>
      <c r="H1794" s="183" t="s">
        <v>1408</v>
      </c>
      <c r="I1794" s="174" t="s">
        <v>468</v>
      </c>
      <c r="J1794" s="174" t="s">
        <v>222</v>
      </c>
      <c r="K1794" s="123" t="s">
        <v>222</v>
      </c>
      <c r="L1794" s="175" t="s">
        <v>3</v>
      </c>
      <c r="M1794" s="176" t="s">
        <v>129</v>
      </c>
      <c r="N1794" s="176" t="s">
        <v>131</v>
      </c>
      <c r="O1794" s="176" t="s">
        <v>376</v>
      </c>
      <c r="P1794" s="176" t="s">
        <v>376</v>
      </c>
      <c r="Q1794" s="176" t="s">
        <v>131</v>
      </c>
      <c r="R1794" s="176" t="s">
        <v>131</v>
      </c>
      <c r="S1794" s="176" t="s">
        <v>131</v>
      </c>
      <c r="T1794" s="176"/>
      <c r="U1794" s="176"/>
      <c r="V1794" s="176"/>
      <c r="W1794" s="176"/>
      <c r="X1794" s="176"/>
      <c r="Y1794" s="176"/>
      <c r="Z1794" s="176"/>
      <c r="AA1794" s="176"/>
      <c r="AB1794" s="176"/>
      <c r="AC1794" s="176"/>
      <c r="AD1794" s="177" t="s">
        <v>5</v>
      </c>
    </row>
    <row r="1795" spans="1:38" s="178" customFormat="1" ht="33" customHeight="1" x14ac:dyDescent="0.3">
      <c r="A1795" s="167">
        <v>31</v>
      </c>
      <c r="B1795" s="168">
        <v>38</v>
      </c>
      <c r="C1795" s="169" t="str">
        <f t="shared" si="37"/>
        <v>31.38</v>
      </c>
      <c r="D1795" s="170"/>
      <c r="E1795" s="64" t="str">
        <f>IF(ISBLANK(D1795)=TRUE,"",VLOOKUP(D1795,Krav!$C:$F,4,FALSE))</f>
        <v/>
      </c>
      <c r="F1795" s="186" t="s">
        <v>185</v>
      </c>
      <c r="G1795" s="186"/>
      <c r="H1795" s="172" t="s">
        <v>351</v>
      </c>
      <c r="I1795" s="174" t="s">
        <v>305</v>
      </c>
      <c r="J1795" s="173" t="s">
        <v>222</v>
      </c>
      <c r="K1795" s="123" t="s">
        <v>222</v>
      </c>
      <c r="L1795" s="175" t="s">
        <v>3</v>
      </c>
      <c r="M1795" s="176" t="s">
        <v>129</v>
      </c>
      <c r="N1795" s="176" t="s">
        <v>131</v>
      </c>
      <c r="O1795" s="176" t="s">
        <v>376</v>
      </c>
      <c r="P1795" s="176" t="s">
        <v>376</v>
      </c>
      <c r="Q1795" s="176" t="s">
        <v>131</v>
      </c>
      <c r="R1795" s="176" t="s">
        <v>131</v>
      </c>
      <c r="S1795" s="176" t="s">
        <v>131</v>
      </c>
      <c r="T1795" s="176"/>
      <c r="U1795" s="176"/>
      <c r="V1795" s="176"/>
      <c r="W1795" s="176"/>
      <c r="X1795" s="176"/>
      <c r="Y1795" s="176"/>
      <c r="Z1795" s="176"/>
      <c r="AA1795" s="176"/>
      <c r="AB1795" s="176"/>
      <c r="AC1795" s="176"/>
      <c r="AD1795" s="177" t="s">
        <v>5</v>
      </c>
    </row>
    <row r="1796" spans="1:38" s="178" customFormat="1" ht="33" customHeight="1" x14ac:dyDescent="0.3">
      <c r="A1796" s="167">
        <v>31</v>
      </c>
      <c r="B1796" s="168">
        <v>39</v>
      </c>
      <c r="C1796" s="169" t="str">
        <f t="shared" si="37"/>
        <v>31.39</v>
      </c>
      <c r="D1796" s="170" t="s">
        <v>778</v>
      </c>
      <c r="E1796" s="64" t="str">
        <f>IF(ISBLANK(D1796)=TRUE,"",VLOOKUP(D1796,Krav!$C:$F,4,FALSE))</f>
        <v>10.a.1.15 - Såfremt brugeren angiver antal dage skal brugeren ledes til spørgsmål 10.a.1.1</v>
      </c>
      <c r="F1796" s="186" t="s">
        <v>174</v>
      </c>
      <c r="G1796" s="184"/>
      <c r="H1796" s="172" t="s">
        <v>1413</v>
      </c>
      <c r="I1796" s="174" t="s">
        <v>1414</v>
      </c>
      <c r="J1796" s="174" t="s">
        <v>222</v>
      </c>
      <c r="K1796" s="125" t="s">
        <v>222</v>
      </c>
      <c r="L1796" s="175" t="s">
        <v>4</v>
      </c>
      <c r="M1796" s="176" t="s">
        <v>129</v>
      </c>
      <c r="N1796" s="176" t="s">
        <v>131</v>
      </c>
      <c r="O1796" s="187" t="s">
        <v>96</v>
      </c>
      <c r="P1796" s="176" t="s">
        <v>376</v>
      </c>
      <c r="Q1796" s="176" t="s">
        <v>131</v>
      </c>
      <c r="R1796" s="176" t="s">
        <v>131</v>
      </c>
      <c r="S1796" s="176" t="s">
        <v>131</v>
      </c>
      <c r="T1796" s="176"/>
      <c r="U1796" s="176"/>
      <c r="V1796" s="176"/>
      <c r="W1796" s="176"/>
      <c r="X1796" s="176"/>
      <c r="Y1796" s="176"/>
      <c r="Z1796" s="176"/>
      <c r="AA1796" s="176"/>
      <c r="AB1796" s="176"/>
      <c r="AC1796" s="176"/>
      <c r="AD1796" s="177" t="s">
        <v>5</v>
      </c>
    </row>
    <row r="1797" spans="1:38" s="178" customFormat="1" ht="33" customHeight="1" x14ac:dyDescent="0.3">
      <c r="A1797" s="167">
        <v>31</v>
      </c>
      <c r="B1797" s="168">
        <v>40</v>
      </c>
      <c r="C1797" s="169" t="str">
        <f t="shared" si="37"/>
        <v>31.40</v>
      </c>
      <c r="D1797" s="170" t="s">
        <v>778</v>
      </c>
      <c r="E1797" s="64" t="str">
        <f>IF(ISBLANK(D1797)=TRUE,"",VLOOKUP(D1797,Krav!$C:$F,4,FALSE))</f>
        <v>10.a.1.15 - Såfremt brugeren angiver antal dage skal brugeren ledes til spørgsmål 10.a.1.1</v>
      </c>
      <c r="F1797" s="186" t="s">
        <v>418</v>
      </c>
      <c r="G1797" s="186" t="s">
        <v>419</v>
      </c>
      <c r="H1797" s="172" t="s">
        <v>1415</v>
      </c>
      <c r="I1797" s="174" t="s">
        <v>129</v>
      </c>
      <c r="J1797" s="173" t="s">
        <v>222</v>
      </c>
      <c r="K1797" s="123" t="s">
        <v>222</v>
      </c>
      <c r="L1797" s="175" t="s">
        <v>4</v>
      </c>
      <c r="M1797" s="176" t="s">
        <v>129</v>
      </c>
      <c r="N1797" s="176" t="s">
        <v>131</v>
      </c>
      <c r="O1797" s="187" t="s">
        <v>96</v>
      </c>
      <c r="P1797" s="176" t="s">
        <v>376</v>
      </c>
      <c r="Q1797" s="176" t="s">
        <v>131</v>
      </c>
      <c r="R1797" s="176" t="s">
        <v>131</v>
      </c>
      <c r="S1797" s="176" t="s">
        <v>131</v>
      </c>
      <c r="T1797" s="176"/>
      <c r="U1797" s="176"/>
      <c r="V1797" s="176"/>
      <c r="W1797" s="176"/>
      <c r="X1797" s="176"/>
      <c r="Y1797" s="176"/>
      <c r="Z1797" s="176"/>
      <c r="AA1797" s="176"/>
      <c r="AB1797" s="176"/>
      <c r="AC1797" s="176"/>
      <c r="AD1797" s="177" t="s">
        <v>5</v>
      </c>
    </row>
    <row r="1798" spans="1:38" s="178" customFormat="1" ht="33" customHeight="1" x14ac:dyDescent="0.3">
      <c r="A1798" s="167">
        <v>31</v>
      </c>
      <c r="B1798" s="168">
        <v>41</v>
      </c>
      <c r="C1798" s="169" t="str">
        <f t="shared" si="37"/>
        <v>31.41</v>
      </c>
      <c r="D1798" s="170" t="s">
        <v>813</v>
      </c>
      <c r="E1798" s="64" t="str">
        <f>IF(ISBLANK(D1798)=TRUE,"",VLOOKUP(D1798,Krav!$C:$F,4,FALSE))</f>
        <v>10.a.1.1.23 - Såfremt brugeren angiver en frist skal brugeren ledes til spørgsmål 10.a.1.1.1</v>
      </c>
      <c r="F1798" s="186" t="s">
        <v>174</v>
      </c>
      <c r="G1798" s="184"/>
      <c r="H1798" s="172" t="s">
        <v>1413</v>
      </c>
      <c r="I1798" s="174" t="s">
        <v>1414</v>
      </c>
      <c r="J1798" s="174" t="s">
        <v>222</v>
      </c>
      <c r="K1798" s="125" t="s">
        <v>222</v>
      </c>
      <c r="L1798" s="175" t="s">
        <v>4</v>
      </c>
      <c r="M1798" s="176" t="s">
        <v>129</v>
      </c>
      <c r="N1798" s="176" t="s">
        <v>131</v>
      </c>
      <c r="O1798" s="176" t="s">
        <v>376</v>
      </c>
      <c r="P1798" s="187" t="s">
        <v>96</v>
      </c>
      <c r="Q1798" s="176" t="s">
        <v>131</v>
      </c>
      <c r="R1798" s="176" t="s">
        <v>131</v>
      </c>
      <c r="S1798" s="176" t="s">
        <v>131</v>
      </c>
      <c r="T1798" s="176"/>
      <c r="U1798" s="176"/>
      <c r="V1798" s="176"/>
      <c r="W1798" s="176"/>
      <c r="X1798" s="176"/>
      <c r="Y1798" s="176"/>
      <c r="Z1798" s="176"/>
      <c r="AA1798" s="176"/>
      <c r="AB1798" s="176"/>
      <c r="AC1798" s="176"/>
      <c r="AD1798" s="177" t="s">
        <v>5</v>
      </c>
      <c r="AE1798" s="188"/>
      <c r="AF1798" s="188"/>
      <c r="AG1798" s="188"/>
      <c r="AH1798" s="188"/>
      <c r="AI1798" s="188"/>
      <c r="AJ1798" s="188"/>
      <c r="AK1798" s="188"/>
      <c r="AL1798" s="188"/>
    </row>
    <row r="1799" spans="1:38" s="178" customFormat="1" ht="33" customHeight="1" x14ac:dyDescent="0.3">
      <c r="A1799" s="167">
        <v>31</v>
      </c>
      <c r="B1799" s="168">
        <v>42</v>
      </c>
      <c r="C1799" s="169" t="str">
        <f t="shared" si="37"/>
        <v>31.42</v>
      </c>
      <c r="D1799" s="170" t="s">
        <v>813</v>
      </c>
      <c r="E1799" s="64" t="str">
        <f>IF(ISBLANK(D1799)=TRUE,"",VLOOKUP(D1799,Krav!$C:$F,4,FALSE))</f>
        <v>10.a.1.1.23 - Såfremt brugeren angiver en frist skal brugeren ledes til spørgsmål 10.a.1.1.1</v>
      </c>
      <c r="F1799" s="186" t="s">
        <v>418</v>
      </c>
      <c r="G1799" s="186" t="s">
        <v>419</v>
      </c>
      <c r="H1799" s="172" t="s">
        <v>1415</v>
      </c>
      <c r="I1799" s="174" t="s">
        <v>129</v>
      </c>
      <c r="J1799" s="174" t="s">
        <v>222</v>
      </c>
      <c r="K1799" s="123" t="s">
        <v>222</v>
      </c>
      <c r="L1799" s="175" t="s">
        <v>4</v>
      </c>
      <c r="M1799" s="176" t="s">
        <v>129</v>
      </c>
      <c r="N1799" s="176" t="s">
        <v>131</v>
      </c>
      <c r="O1799" s="176" t="s">
        <v>376</v>
      </c>
      <c r="P1799" s="187" t="s">
        <v>96</v>
      </c>
      <c r="Q1799" s="176" t="s">
        <v>131</v>
      </c>
      <c r="R1799" s="176" t="s">
        <v>131</v>
      </c>
      <c r="S1799" s="176" t="s">
        <v>131</v>
      </c>
      <c r="T1799" s="176"/>
      <c r="U1799" s="176"/>
      <c r="V1799" s="176"/>
      <c r="W1799" s="176"/>
      <c r="X1799" s="176"/>
      <c r="Y1799" s="176"/>
      <c r="Z1799" s="176"/>
      <c r="AA1799" s="176"/>
      <c r="AB1799" s="176"/>
      <c r="AC1799" s="176"/>
      <c r="AD1799" s="177" t="s">
        <v>5</v>
      </c>
      <c r="AE1799" s="188"/>
      <c r="AF1799" s="188"/>
      <c r="AG1799" s="188"/>
      <c r="AH1799" s="188"/>
      <c r="AI1799" s="188"/>
      <c r="AJ1799" s="188"/>
      <c r="AK1799" s="188"/>
      <c r="AL1799" s="188"/>
    </row>
    <row r="1800" spans="1:38" s="178" customFormat="1" ht="33" customHeight="1" x14ac:dyDescent="0.3">
      <c r="A1800" s="167">
        <v>31</v>
      </c>
      <c r="B1800" s="168">
        <v>43</v>
      </c>
      <c r="C1800" s="169" t="str">
        <f t="shared" si="37"/>
        <v>31.43</v>
      </c>
      <c r="D1800" s="170" t="s">
        <v>778</v>
      </c>
      <c r="E1800" s="64" t="str">
        <f>IF(ISBLANK(D1800)=TRUE,"",VLOOKUP(D1800,Krav!$C:$F,4,FALSE))</f>
        <v>10.a.1.15 - Såfremt brugeren angiver antal dage skal brugeren ledes til spørgsmål 10.a.1.1</v>
      </c>
      <c r="F1800" s="186" t="s">
        <v>174</v>
      </c>
      <c r="G1800" s="184"/>
      <c r="H1800" s="172" t="s">
        <v>1416</v>
      </c>
      <c r="I1800" s="174" t="s">
        <v>1414</v>
      </c>
      <c r="J1800" s="174" t="s">
        <v>222</v>
      </c>
      <c r="K1800" s="125" t="s">
        <v>222</v>
      </c>
      <c r="L1800" s="175" t="s">
        <v>4</v>
      </c>
      <c r="M1800" s="176" t="s">
        <v>129</v>
      </c>
      <c r="N1800" s="176" t="s">
        <v>131</v>
      </c>
      <c r="O1800" s="187" t="s">
        <v>97</v>
      </c>
      <c r="P1800" s="176" t="s">
        <v>376</v>
      </c>
      <c r="Q1800" s="176" t="s">
        <v>131</v>
      </c>
      <c r="R1800" s="176" t="s">
        <v>131</v>
      </c>
      <c r="S1800" s="176" t="s">
        <v>131</v>
      </c>
      <c r="T1800" s="176"/>
      <c r="U1800" s="176"/>
      <c r="V1800" s="176"/>
      <c r="W1800" s="176"/>
      <c r="X1800" s="176"/>
      <c r="Y1800" s="176"/>
      <c r="Z1800" s="176"/>
      <c r="AA1800" s="176"/>
      <c r="AB1800" s="176"/>
      <c r="AC1800" s="176"/>
      <c r="AD1800" s="177" t="s">
        <v>5</v>
      </c>
      <c r="AE1800" s="188"/>
      <c r="AF1800" s="188"/>
      <c r="AG1800" s="188"/>
      <c r="AH1800" s="188"/>
      <c r="AI1800" s="188"/>
      <c r="AJ1800" s="188"/>
      <c r="AK1800" s="188"/>
      <c r="AL1800" s="188"/>
    </row>
    <row r="1801" spans="1:38" s="178" customFormat="1" ht="33" customHeight="1" x14ac:dyDescent="0.3">
      <c r="A1801" s="167">
        <v>31</v>
      </c>
      <c r="B1801" s="168">
        <v>44</v>
      </c>
      <c r="C1801" s="169" t="str">
        <f t="shared" si="37"/>
        <v>31.44</v>
      </c>
      <c r="D1801" s="170" t="s">
        <v>778</v>
      </c>
      <c r="E1801" s="64" t="str">
        <f>IF(ISBLANK(D1801)=TRUE,"",VLOOKUP(D1801,Krav!$C:$F,4,FALSE))</f>
        <v>10.a.1.15 - Såfremt brugeren angiver antal dage skal brugeren ledes til spørgsmål 10.a.1.1</v>
      </c>
      <c r="F1801" s="186" t="s">
        <v>418</v>
      </c>
      <c r="G1801" s="186" t="s">
        <v>419</v>
      </c>
      <c r="H1801" s="172" t="s">
        <v>1417</v>
      </c>
      <c r="I1801" s="174" t="s">
        <v>129</v>
      </c>
      <c r="J1801" s="174" t="s">
        <v>222</v>
      </c>
      <c r="K1801" s="123" t="s">
        <v>222</v>
      </c>
      <c r="L1801" s="175" t="s">
        <v>4</v>
      </c>
      <c r="M1801" s="176" t="s">
        <v>129</v>
      </c>
      <c r="N1801" s="176" t="s">
        <v>131</v>
      </c>
      <c r="O1801" s="187" t="s">
        <v>97</v>
      </c>
      <c r="P1801" s="176" t="s">
        <v>376</v>
      </c>
      <c r="Q1801" s="176" t="s">
        <v>131</v>
      </c>
      <c r="R1801" s="176" t="s">
        <v>131</v>
      </c>
      <c r="S1801" s="176" t="s">
        <v>131</v>
      </c>
      <c r="T1801" s="176"/>
      <c r="U1801" s="176"/>
      <c r="V1801" s="176"/>
      <c r="W1801" s="176"/>
      <c r="X1801" s="176"/>
      <c r="Y1801" s="176"/>
      <c r="Z1801" s="176"/>
      <c r="AA1801" s="176"/>
      <c r="AB1801" s="176"/>
      <c r="AC1801" s="176"/>
      <c r="AD1801" s="177" t="s">
        <v>5</v>
      </c>
      <c r="AE1801" s="188"/>
      <c r="AF1801" s="188"/>
      <c r="AG1801" s="188"/>
      <c r="AH1801" s="188"/>
      <c r="AI1801" s="188"/>
      <c r="AJ1801" s="188"/>
      <c r="AK1801" s="188"/>
      <c r="AL1801" s="188"/>
    </row>
    <row r="1802" spans="1:38" s="178" customFormat="1" ht="33" customHeight="1" x14ac:dyDescent="0.3">
      <c r="A1802" s="167">
        <v>31</v>
      </c>
      <c r="B1802" s="168">
        <v>45</v>
      </c>
      <c r="C1802" s="169" t="str">
        <f t="shared" si="37"/>
        <v>31.45</v>
      </c>
      <c r="D1802" s="170" t="s">
        <v>813</v>
      </c>
      <c r="E1802" s="64" t="str">
        <f>IF(ISBLANK(D1802)=TRUE,"",VLOOKUP(D1802,Krav!$C:$F,4,FALSE))</f>
        <v>10.a.1.1.23 - Såfremt brugeren angiver en frist skal brugeren ledes til spørgsmål 10.a.1.1.1</v>
      </c>
      <c r="F1802" s="186" t="s">
        <v>174</v>
      </c>
      <c r="G1802" s="184"/>
      <c r="H1802" s="172" t="s">
        <v>1416</v>
      </c>
      <c r="I1802" s="174" t="s">
        <v>1414</v>
      </c>
      <c r="J1802" s="174" t="s">
        <v>222</v>
      </c>
      <c r="K1802" s="125" t="s">
        <v>222</v>
      </c>
      <c r="L1802" s="175" t="s">
        <v>4</v>
      </c>
      <c r="M1802" s="176" t="s">
        <v>129</v>
      </c>
      <c r="N1802" s="176" t="s">
        <v>131</v>
      </c>
      <c r="O1802" s="176" t="s">
        <v>376</v>
      </c>
      <c r="P1802" s="187" t="s">
        <v>97</v>
      </c>
      <c r="Q1802" s="176" t="s">
        <v>131</v>
      </c>
      <c r="R1802" s="176" t="s">
        <v>131</v>
      </c>
      <c r="S1802" s="176" t="s">
        <v>131</v>
      </c>
      <c r="T1802" s="176"/>
      <c r="U1802" s="176"/>
      <c r="V1802" s="176"/>
      <c r="W1802" s="176"/>
      <c r="X1802" s="176"/>
      <c r="Y1802" s="176"/>
      <c r="Z1802" s="176"/>
      <c r="AA1802" s="176"/>
      <c r="AB1802" s="176"/>
      <c r="AC1802" s="176"/>
      <c r="AD1802" s="177" t="s">
        <v>5</v>
      </c>
      <c r="AE1802" s="188"/>
      <c r="AF1802" s="188"/>
      <c r="AG1802" s="188"/>
      <c r="AH1802" s="188"/>
      <c r="AI1802" s="188"/>
      <c r="AJ1802" s="188"/>
      <c r="AK1802" s="188"/>
      <c r="AL1802" s="188"/>
    </row>
    <row r="1803" spans="1:38" s="178" customFormat="1" ht="33" customHeight="1" x14ac:dyDescent="0.3">
      <c r="A1803" s="167">
        <v>31</v>
      </c>
      <c r="B1803" s="168">
        <v>46</v>
      </c>
      <c r="C1803" s="169" t="str">
        <f t="shared" si="37"/>
        <v>31.46</v>
      </c>
      <c r="D1803" s="170" t="s">
        <v>813</v>
      </c>
      <c r="E1803" s="64" t="str">
        <f>IF(ISBLANK(D1803)=TRUE,"",VLOOKUP(D1803,Krav!$C:$F,4,FALSE))</f>
        <v>10.a.1.1.23 - Såfremt brugeren angiver en frist skal brugeren ledes til spørgsmål 10.a.1.1.1</v>
      </c>
      <c r="F1803" s="186" t="s">
        <v>418</v>
      </c>
      <c r="G1803" s="186" t="s">
        <v>419</v>
      </c>
      <c r="H1803" s="172" t="s">
        <v>1417</v>
      </c>
      <c r="I1803" s="174" t="s">
        <v>129</v>
      </c>
      <c r="J1803" s="173" t="s">
        <v>222</v>
      </c>
      <c r="K1803" s="123" t="s">
        <v>222</v>
      </c>
      <c r="L1803" s="175" t="s">
        <v>4</v>
      </c>
      <c r="M1803" s="176" t="s">
        <v>129</v>
      </c>
      <c r="N1803" s="176" t="s">
        <v>131</v>
      </c>
      <c r="O1803" s="176" t="s">
        <v>376</v>
      </c>
      <c r="P1803" s="187" t="s">
        <v>97</v>
      </c>
      <c r="Q1803" s="176" t="s">
        <v>131</v>
      </c>
      <c r="R1803" s="176" t="s">
        <v>131</v>
      </c>
      <c r="S1803" s="176" t="s">
        <v>131</v>
      </c>
      <c r="T1803" s="176"/>
      <c r="U1803" s="176"/>
      <c r="V1803" s="176"/>
      <c r="W1803" s="176"/>
      <c r="X1803" s="176"/>
      <c r="Y1803" s="176"/>
      <c r="Z1803" s="176"/>
      <c r="AA1803" s="176"/>
      <c r="AB1803" s="176"/>
      <c r="AC1803" s="176"/>
      <c r="AD1803" s="177" t="s">
        <v>5</v>
      </c>
      <c r="AE1803" s="188"/>
      <c r="AF1803" s="188"/>
      <c r="AG1803" s="188"/>
      <c r="AH1803" s="188"/>
      <c r="AI1803" s="188"/>
      <c r="AJ1803" s="188"/>
      <c r="AK1803" s="188"/>
      <c r="AL1803" s="188"/>
    </row>
    <row r="1804" spans="1:38" s="178" customFormat="1" ht="33" customHeight="1" x14ac:dyDescent="0.3">
      <c r="A1804" s="167">
        <v>31</v>
      </c>
      <c r="B1804" s="168">
        <v>47</v>
      </c>
      <c r="C1804" s="169" t="str">
        <f t="shared" si="37"/>
        <v>31.47</v>
      </c>
      <c r="D1804" s="170"/>
      <c r="E1804" s="64" t="str">
        <f>IF(ISBLANK(D1804)=TRUE,"",VLOOKUP(D1804,Krav!$C:$F,4,FALSE))</f>
        <v/>
      </c>
      <c r="F1804" s="186" t="s">
        <v>174</v>
      </c>
      <c r="G1804" s="184"/>
      <c r="H1804" s="172" t="s">
        <v>1418</v>
      </c>
      <c r="I1804" s="174" t="s">
        <v>1414</v>
      </c>
      <c r="J1804" s="174" t="s">
        <v>222</v>
      </c>
      <c r="K1804" s="125" t="s">
        <v>222</v>
      </c>
      <c r="L1804" s="175" t="s">
        <v>4</v>
      </c>
      <c r="M1804" s="176" t="s">
        <v>129</v>
      </c>
      <c r="N1804" s="176" t="s">
        <v>131</v>
      </c>
      <c r="O1804" s="187" t="s">
        <v>404</v>
      </c>
      <c r="P1804" s="176" t="s">
        <v>376</v>
      </c>
      <c r="Q1804" s="176" t="s">
        <v>131</v>
      </c>
      <c r="R1804" s="176" t="s">
        <v>131</v>
      </c>
      <c r="S1804" s="176" t="s">
        <v>131</v>
      </c>
      <c r="T1804" s="176"/>
      <c r="U1804" s="176"/>
      <c r="V1804" s="176"/>
      <c r="W1804" s="176"/>
      <c r="X1804" s="176"/>
      <c r="Y1804" s="176"/>
      <c r="Z1804" s="176"/>
      <c r="AA1804" s="176"/>
      <c r="AB1804" s="176"/>
      <c r="AC1804" s="176"/>
      <c r="AD1804" s="177" t="s">
        <v>5</v>
      </c>
      <c r="AE1804" s="188"/>
      <c r="AF1804" s="188"/>
      <c r="AG1804" s="188"/>
      <c r="AH1804" s="188"/>
      <c r="AI1804" s="188"/>
      <c r="AJ1804" s="188"/>
      <c r="AK1804" s="188"/>
      <c r="AL1804" s="188"/>
    </row>
    <row r="1805" spans="1:38" s="178" customFormat="1" ht="33" customHeight="1" x14ac:dyDescent="0.3">
      <c r="A1805" s="167">
        <v>31</v>
      </c>
      <c r="B1805" s="168">
        <v>48</v>
      </c>
      <c r="C1805" s="169" t="str">
        <f t="shared" si="37"/>
        <v>31.48</v>
      </c>
      <c r="D1805" s="170"/>
      <c r="E1805" s="64" t="str">
        <f>IF(ISBLANK(D1805)=TRUE,"",VLOOKUP(D1805,Krav!$C:$F,4,FALSE))</f>
        <v/>
      </c>
      <c r="F1805" s="186" t="s">
        <v>418</v>
      </c>
      <c r="G1805" s="186" t="s">
        <v>419</v>
      </c>
      <c r="H1805" s="172" t="s">
        <v>1419</v>
      </c>
      <c r="I1805" s="174" t="s">
        <v>129</v>
      </c>
      <c r="J1805" s="180" t="s">
        <v>222</v>
      </c>
      <c r="K1805" s="125" t="s">
        <v>222</v>
      </c>
      <c r="L1805" s="175" t="s">
        <v>4</v>
      </c>
      <c r="M1805" s="176" t="s">
        <v>129</v>
      </c>
      <c r="N1805" s="176" t="s">
        <v>131</v>
      </c>
      <c r="O1805" s="187" t="s">
        <v>404</v>
      </c>
      <c r="P1805" s="176" t="s">
        <v>376</v>
      </c>
      <c r="Q1805" s="176" t="s">
        <v>131</v>
      </c>
      <c r="R1805" s="176" t="s">
        <v>131</v>
      </c>
      <c r="S1805" s="176" t="s">
        <v>131</v>
      </c>
      <c r="T1805" s="176"/>
      <c r="U1805" s="176"/>
      <c r="V1805" s="176"/>
      <c r="W1805" s="176"/>
      <c r="X1805" s="176"/>
      <c r="Y1805" s="176"/>
      <c r="Z1805" s="176"/>
      <c r="AA1805" s="176"/>
      <c r="AB1805" s="176"/>
      <c r="AC1805" s="176"/>
      <c r="AD1805" s="177" t="s">
        <v>5</v>
      </c>
      <c r="AE1805" s="188"/>
      <c r="AF1805" s="188"/>
      <c r="AG1805" s="188"/>
      <c r="AH1805" s="188"/>
      <c r="AI1805" s="188"/>
      <c r="AJ1805" s="188"/>
      <c r="AK1805" s="188"/>
      <c r="AL1805" s="188"/>
    </row>
    <row r="1806" spans="1:38" s="178" customFormat="1" ht="33" customHeight="1" x14ac:dyDescent="0.3">
      <c r="A1806" s="167">
        <v>31</v>
      </c>
      <c r="B1806" s="168">
        <v>49</v>
      </c>
      <c r="C1806" s="169" t="str">
        <f t="shared" si="37"/>
        <v>31.49</v>
      </c>
      <c r="D1806" s="170"/>
      <c r="E1806" s="64" t="str">
        <f>IF(ISBLANK(D1806)=TRUE,"",VLOOKUP(D1806,Krav!$C:$F,4,FALSE))</f>
        <v/>
      </c>
      <c r="F1806" s="186" t="s">
        <v>174</v>
      </c>
      <c r="G1806" s="184"/>
      <c r="H1806" s="172" t="s">
        <v>1420</v>
      </c>
      <c r="I1806" s="174" t="s">
        <v>1414</v>
      </c>
      <c r="J1806" s="174" t="s">
        <v>222</v>
      </c>
      <c r="K1806" s="125" t="s">
        <v>222</v>
      </c>
      <c r="L1806" s="175" t="s">
        <v>4</v>
      </c>
      <c r="M1806" s="176" t="s">
        <v>129</v>
      </c>
      <c r="N1806" s="176" t="s">
        <v>131</v>
      </c>
      <c r="O1806" s="176" t="s">
        <v>376</v>
      </c>
      <c r="P1806" s="187" t="s">
        <v>404</v>
      </c>
      <c r="Q1806" s="176" t="s">
        <v>131</v>
      </c>
      <c r="R1806" s="176" t="s">
        <v>131</v>
      </c>
      <c r="S1806" s="176" t="s">
        <v>131</v>
      </c>
      <c r="T1806" s="176"/>
      <c r="U1806" s="176"/>
      <c r="V1806" s="176"/>
      <c r="W1806" s="176"/>
      <c r="X1806" s="176"/>
      <c r="Y1806" s="176"/>
      <c r="Z1806" s="176"/>
      <c r="AA1806" s="176"/>
      <c r="AB1806" s="176"/>
      <c r="AC1806" s="176"/>
      <c r="AD1806" s="177" t="s">
        <v>5</v>
      </c>
      <c r="AE1806" s="188"/>
      <c r="AF1806" s="188"/>
      <c r="AG1806" s="188"/>
      <c r="AH1806" s="188"/>
      <c r="AI1806" s="188"/>
      <c r="AJ1806" s="188"/>
      <c r="AK1806" s="188"/>
      <c r="AL1806" s="188"/>
    </row>
    <row r="1807" spans="1:38" s="178" customFormat="1" ht="33" customHeight="1" x14ac:dyDescent="0.3">
      <c r="A1807" s="167">
        <v>31</v>
      </c>
      <c r="B1807" s="168">
        <v>50</v>
      </c>
      <c r="C1807" s="169" t="str">
        <f t="shared" si="37"/>
        <v>31.50</v>
      </c>
      <c r="D1807" s="170"/>
      <c r="E1807" s="64" t="str">
        <f>IF(ISBLANK(D1807)=TRUE,"",VLOOKUP(D1807,Krav!$C:$F,4,FALSE))</f>
        <v/>
      </c>
      <c r="F1807" s="186" t="s">
        <v>418</v>
      </c>
      <c r="G1807" s="186" t="s">
        <v>419</v>
      </c>
      <c r="H1807" s="172" t="s">
        <v>1419</v>
      </c>
      <c r="I1807" s="174" t="s">
        <v>129</v>
      </c>
      <c r="J1807" s="189" t="s">
        <v>222</v>
      </c>
      <c r="K1807" s="125" t="s">
        <v>222</v>
      </c>
      <c r="L1807" s="175" t="s">
        <v>4</v>
      </c>
      <c r="M1807" s="176" t="s">
        <v>129</v>
      </c>
      <c r="N1807" s="176" t="s">
        <v>131</v>
      </c>
      <c r="O1807" s="176" t="s">
        <v>376</v>
      </c>
      <c r="P1807" s="187" t="s">
        <v>404</v>
      </c>
      <c r="Q1807" s="176" t="s">
        <v>131</v>
      </c>
      <c r="R1807" s="176" t="s">
        <v>131</v>
      </c>
      <c r="S1807" s="176" t="s">
        <v>131</v>
      </c>
      <c r="T1807" s="176"/>
      <c r="U1807" s="176"/>
      <c r="V1807" s="176"/>
      <c r="W1807" s="176"/>
      <c r="X1807" s="176"/>
      <c r="Y1807" s="176"/>
      <c r="Z1807" s="176"/>
      <c r="AA1807" s="176"/>
      <c r="AB1807" s="176"/>
      <c r="AC1807" s="176"/>
      <c r="AD1807" s="177" t="s">
        <v>5</v>
      </c>
      <c r="AE1807" s="188"/>
      <c r="AF1807" s="188"/>
      <c r="AG1807" s="188"/>
      <c r="AH1807" s="188"/>
      <c r="AI1807" s="188"/>
      <c r="AJ1807" s="188"/>
      <c r="AK1807" s="188"/>
      <c r="AL1807" s="188"/>
    </row>
    <row r="1808" spans="1:38" s="188" customFormat="1" ht="33" customHeight="1" x14ac:dyDescent="0.3">
      <c r="A1808" s="167">
        <v>31</v>
      </c>
      <c r="B1808" s="168">
        <v>51</v>
      </c>
      <c r="C1808" s="192" t="str">
        <f t="shared" si="37"/>
        <v>31.51</v>
      </c>
      <c r="D1808" s="193" t="s">
        <v>1035</v>
      </c>
      <c r="E1808" s="64" t="str">
        <f>IF(ISBLANK(D1808)=TRUE,"",VLOOKUP(D1808,Krav!$C:$F,4,FALSE))</f>
        <v>10.a.1.1.2.2 - Der angives et "NEJ" i i populationen under ”vil RIM beregne en tidligst mulig forældelsesdato?"</v>
      </c>
      <c r="F1808" s="77" t="s">
        <v>221</v>
      </c>
      <c r="G1808" s="194"/>
      <c r="H1808" s="81" t="s">
        <v>1421</v>
      </c>
      <c r="I1808" s="83" t="s">
        <v>241</v>
      </c>
      <c r="J1808" s="195" t="s">
        <v>222</v>
      </c>
      <c r="K1808" s="125" t="s">
        <v>222</v>
      </c>
      <c r="L1808" s="196" t="s">
        <v>3</v>
      </c>
      <c r="M1808" s="197" t="s">
        <v>129</v>
      </c>
      <c r="N1808" s="197" t="s">
        <v>131</v>
      </c>
      <c r="O1808" s="197" t="s">
        <v>376</v>
      </c>
      <c r="P1808" s="197" t="s">
        <v>96</v>
      </c>
      <c r="Q1808" s="197" t="s">
        <v>131</v>
      </c>
      <c r="R1808" s="197" t="s">
        <v>129</v>
      </c>
      <c r="S1808" s="197" t="s">
        <v>131</v>
      </c>
      <c r="T1808" s="197"/>
      <c r="U1808" s="197"/>
      <c r="V1808" s="198"/>
      <c r="W1808" s="197"/>
      <c r="X1808" s="197"/>
      <c r="Y1808" s="197"/>
      <c r="Z1808" s="197"/>
      <c r="AA1808" s="197"/>
      <c r="AB1808" s="197"/>
      <c r="AC1808" s="197"/>
      <c r="AD1808" s="198" t="s">
        <v>5</v>
      </c>
    </row>
    <row r="1809" spans="1:30" s="188" customFormat="1" ht="33" customHeight="1" x14ac:dyDescent="0.3">
      <c r="A1809" s="167">
        <v>31</v>
      </c>
      <c r="B1809" s="168">
        <v>52</v>
      </c>
      <c r="C1809" s="192" t="str">
        <f t="shared" si="37"/>
        <v>31.52</v>
      </c>
      <c r="D1809" s="193"/>
      <c r="E1809" s="64" t="str">
        <f>IF(ISBLANK(D1809)=TRUE,"",VLOOKUP(D1809,Krav!$C:$F,4,FALSE))</f>
        <v/>
      </c>
      <c r="F1809" s="77" t="s">
        <v>225</v>
      </c>
      <c r="G1809" s="145" t="s">
        <v>230</v>
      </c>
      <c r="H1809" s="81" t="s">
        <v>1422</v>
      </c>
      <c r="I1809" s="83" t="s">
        <v>1407</v>
      </c>
      <c r="J1809" s="195" t="s">
        <v>222</v>
      </c>
      <c r="K1809" s="125" t="s">
        <v>222</v>
      </c>
      <c r="L1809" s="196"/>
      <c r="M1809" s="197" t="s">
        <v>129</v>
      </c>
      <c r="N1809" s="197" t="s">
        <v>131</v>
      </c>
      <c r="O1809" s="197" t="s">
        <v>376</v>
      </c>
      <c r="P1809" s="197" t="s">
        <v>96</v>
      </c>
      <c r="Q1809" s="197" t="s">
        <v>131</v>
      </c>
      <c r="R1809" s="197" t="s">
        <v>129</v>
      </c>
      <c r="S1809" s="197" t="s">
        <v>131</v>
      </c>
      <c r="T1809" s="197"/>
      <c r="U1809" s="197"/>
      <c r="V1809" s="198"/>
      <c r="W1809" s="197"/>
      <c r="X1809" s="197"/>
      <c r="Y1809" s="197"/>
      <c r="Z1809" s="197"/>
      <c r="AA1809" s="197"/>
      <c r="AB1809" s="197"/>
      <c r="AC1809" s="197"/>
      <c r="AD1809" s="198" t="s">
        <v>5</v>
      </c>
    </row>
    <row r="1810" spans="1:30" s="188" customFormat="1" ht="33" customHeight="1" x14ac:dyDescent="0.3">
      <c r="A1810" s="167">
        <v>31</v>
      </c>
      <c r="B1810" s="168">
        <v>53</v>
      </c>
      <c r="C1810" s="192" t="str">
        <f t="shared" si="37"/>
        <v>31.53</v>
      </c>
      <c r="D1810" s="193"/>
      <c r="E1810" s="64" t="str">
        <f>IF(ISBLANK(D1810)=TRUE,"",VLOOKUP(D1810,Krav!$C:$F,4,FALSE))</f>
        <v/>
      </c>
      <c r="F1810" s="77" t="s">
        <v>225</v>
      </c>
      <c r="G1810" s="145" t="s">
        <v>1388</v>
      </c>
      <c r="H1810" s="81" t="s">
        <v>1422</v>
      </c>
      <c r="I1810" s="83" t="s">
        <v>376</v>
      </c>
      <c r="J1810" s="195" t="s">
        <v>222</v>
      </c>
      <c r="K1810" s="125" t="s">
        <v>222</v>
      </c>
      <c r="L1810" s="196"/>
      <c r="M1810" s="197" t="s">
        <v>129</v>
      </c>
      <c r="N1810" s="197" t="s">
        <v>131</v>
      </c>
      <c r="O1810" s="197" t="s">
        <v>376</v>
      </c>
      <c r="P1810" s="197" t="s">
        <v>96</v>
      </c>
      <c r="Q1810" s="197" t="s">
        <v>131</v>
      </c>
      <c r="R1810" s="197" t="s">
        <v>129</v>
      </c>
      <c r="S1810" s="197" t="s">
        <v>131</v>
      </c>
      <c r="T1810" s="197"/>
      <c r="U1810" s="197"/>
      <c r="V1810" s="198"/>
      <c r="W1810" s="197"/>
      <c r="X1810" s="197"/>
      <c r="Y1810" s="197"/>
      <c r="Z1810" s="197"/>
      <c r="AA1810" s="197"/>
      <c r="AB1810" s="197"/>
      <c r="AC1810" s="197"/>
      <c r="AD1810" s="198" t="s">
        <v>5</v>
      </c>
    </row>
    <row r="1811" spans="1:30" s="188" customFormat="1" ht="33" customHeight="1" x14ac:dyDescent="0.3">
      <c r="A1811" s="167">
        <v>31</v>
      </c>
      <c r="B1811" s="168">
        <v>54</v>
      </c>
      <c r="C1811" s="192" t="str">
        <f t="shared" si="37"/>
        <v>31.54</v>
      </c>
      <c r="D1811" s="193"/>
      <c r="E1811" s="64" t="str">
        <f>IF(ISBLANK(D1811)=TRUE,"",VLOOKUP(D1811,Krav!$C:$F,4,FALSE))</f>
        <v/>
      </c>
      <c r="F1811" s="77" t="s">
        <v>225</v>
      </c>
      <c r="G1811" s="145" t="s">
        <v>1391</v>
      </c>
      <c r="H1811" s="81" t="s">
        <v>1422</v>
      </c>
      <c r="I1811" s="83" t="s">
        <v>369</v>
      </c>
      <c r="J1811" s="195" t="s">
        <v>222</v>
      </c>
      <c r="K1811" s="123" t="s">
        <v>222</v>
      </c>
      <c r="L1811" s="196"/>
      <c r="M1811" s="197" t="s">
        <v>129</v>
      </c>
      <c r="N1811" s="197" t="s">
        <v>131</v>
      </c>
      <c r="O1811" s="197" t="s">
        <v>376</v>
      </c>
      <c r="P1811" s="197" t="s">
        <v>96</v>
      </c>
      <c r="Q1811" s="197" t="s">
        <v>131</v>
      </c>
      <c r="R1811" s="197" t="s">
        <v>129</v>
      </c>
      <c r="S1811" s="197" t="s">
        <v>131</v>
      </c>
      <c r="T1811" s="197"/>
      <c r="U1811" s="197"/>
      <c r="V1811" s="198"/>
      <c r="W1811" s="197"/>
      <c r="X1811" s="197"/>
      <c r="Y1811" s="197"/>
      <c r="Z1811" s="197"/>
      <c r="AA1811" s="197"/>
      <c r="AB1811" s="197"/>
      <c r="AC1811" s="197"/>
      <c r="AD1811" s="198" t="s">
        <v>5</v>
      </c>
    </row>
    <row r="1812" spans="1:30" s="188" customFormat="1" ht="33" customHeight="1" x14ac:dyDescent="0.3">
      <c r="A1812" s="167">
        <v>31</v>
      </c>
      <c r="B1812" s="168">
        <v>55</v>
      </c>
      <c r="C1812" s="192" t="str">
        <f t="shared" si="37"/>
        <v>31.55</v>
      </c>
      <c r="D1812" s="193" t="s">
        <v>1037</v>
      </c>
      <c r="E1812" s="64" t="str">
        <f>IF(ISBLANK(D1812)=TRUE,"",VLOOKUP(D1812,Krav!$C:$F,4,FALSE))</f>
        <v>10.a.1.1.2.3 - Gruppe 1 deaktiveres</v>
      </c>
      <c r="F1812" s="77" t="s">
        <v>227</v>
      </c>
      <c r="G1812" s="194"/>
      <c r="H1812" s="81" t="s">
        <v>1423</v>
      </c>
      <c r="I1812" s="83" t="s">
        <v>241</v>
      </c>
      <c r="J1812" s="195" t="s">
        <v>222</v>
      </c>
      <c r="K1812" s="125" t="s">
        <v>222</v>
      </c>
      <c r="L1812" s="196" t="s">
        <v>3</v>
      </c>
      <c r="M1812" s="197" t="s">
        <v>129</v>
      </c>
      <c r="N1812" s="197" t="s">
        <v>131</v>
      </c>
      <c r="O1812" s="197" t="s">
        <v>376</v>
      </c>
      <c r="P1812" s="197" t="s">
        <v>96</v>
      </c>
      <c r="Q1812" s="197" t="s">
        <v>131</v>
      </c>
      <c r="R1812" s="197" t="s">
        <v>129</v>
      </c>
      <c r="S1812" s="197" t="s">
        <v>131</v>
      </c>
      <c r="T1812" s="197"/>
      <c r="U1812" s="197"/>
      <c r="V1812" s="197"/>
      <c r="W1812" s="197"/>
      <c r="X1812" s="197"/>
      <c r="Y1812" s="197"/>
      <c r="Z1812" s="197"/>
      <c r="AA1812" s="197"/>
      <c r="AB1812" s="197"/>
      <c r="AC1812" s="197"/>
      <c r="AD1812" s="198" t="s">
        <v>5</v>
      </c>
    </row>
    <row r="1813" spans="1:30" s="188" customFormat="1" ht="33" customHeight="1" x14ac:dyDescent="0.3">
      <c r="A1813" s="167">
        <v>31</v>
      </c>
      <c r="B1813" s="168">
        <v>56</v>
      </c>
      <c r="C1813" s="192" t="str">
        <f t="shared" si="37"/>
        <v>31.56</v>
      </c>
      <c r="D1813" s="193" t="s">
        <v>1038</v>
      </c>
      <c r="E1813" s="64" t="str">
        <f>IF(ISBLANK(D1813)=TRUE,"",VLOOKUP(D1813,Krav!$C:$F,4,FALSE))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13" s="78" t="s">
        <v>174</v>
      </c>
      <c r="G1813" s="194"/>
      <c r="H1813" s="145" t="s">
        <v>1424</v>
      </c>
      <c r="I1813" s="83" t="s">
        <v>1425</v>
      </c>
      <c r="J1813" s="195" t="s">
        <v>222</v>
      </c>
      <c r="K1813" s="125" t="s">
        <v>222</v>
      </c>
      <c r="L1813" s="196" t="s">
        <v>3</v>
      </c>
      <c r="M1813" s="197" t="s">
        <v>129</v>
      </c>
      <c r="N1813" s="197" t="s">
        <v>131</v>
      </c>
      <c r="O1813" s="197" t="s">
        <v>376</v>
      </c>
      <c r="P1813" s="197" t="s">
        <v>96</v>
      </c>
      <c r="Q1813" s="197" t="s">
        <v>131</v>
      </c>
      <c r="R1813" s="197" t="s">
        <v>129</v>
      </c>
      <c r="S1813" s="197" t="s">
        <v>131</v>
      </c>
      <c r="T1813" s="197"/>
      <c r="U1813" s="197"/>
      <c r="V1813" s="197" t="s">
        <v>294</v>
      </c>
      <c r="W1813" s="197"/>
      <c r="X1813" s="197"/>
      <c r="Y1813" s="197"/>
      <c r="Z1813" s="197"/>
      <c r="AA1813" s="197"/>
      <c r="AB1813" s="197"/>
      <c r="AC1813" s="197"/>
      <c r="AD1813" s="198" t="s">
        <v>5</v>
      </c>
    </row>
    <row r="1814" spans="1:30" s="188" customFormat="1" ht="33" customHeight="1" x14ac:dyDescent="0.3">
      <c r="A1814" s="167">
        <v>31</v>
      </c>
      <c r="B1814" s="168">
        <v>57</v>
      </c>
      <c r="C1814" s="192" t="str">
        <f t="shared" si="37"/>
        <v>31.57</v>
      </c>
      <c r="D1814" s="193" t="s">
        <v>1038</v>
      </c>
      <c r="E1814" s="64" t="str">
        <f>IF(ISBLANK(D1814)=TRUE,"",VLOOKUP(D1814,Krav!$C:$F,4,FALSE))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14" s="78" t="s">
        <v>174</v>
      </c>
      <c r="G1814" s="77"/>
      <c r="H1814" s="145" t="s">
        <v>1424</v>
      </c>
      <c r="I1814" s="83" t="s">
        <v>1425</v>
      </c>
      <c r="J1814" s="195" t="s">
        <v>222</v>
      </c>
      <c r="K1814" s="125" t="s">
        <v>222</v>
      </c>
      <c r="L1814" s="196" t="s">
        <v>3</v>
      </c>
      <c r="M1814" s="197" t="s">
        <v>129</v>
      </c>
      <c r="N1814" s="197" t="s">
        <v>131</v>
      </c>
      <c r="O1814" s="197" t="s">
        <v>376</v>
      </c>
      <c r="P1814" s="197" t="s">
        <v>96</v>
      </c>
      <c r="Q1814" s="197" t="s">
        <v>131</v>
      </c>
      <c r="R1814" s="197" t="s">
        <v>129</v>
      </c>
      <c r="S1814" s="197" t="s">
        <v>131</v>
      </c>
      <c r="T1814" s="197"/>
      <c r="U1814" s="197"/>
      <c r="V1814" s="198" t="s">
        <v>295</v>
      </c>
      <c r="W1814" s="197" t="s">
        <v>26</v>
      </c>
      <c r="X1814" s="197"/>
      <c r="Y1814" s="197"/>
      <c r="Z1814" s="197"/>
      <c r="AA1814" s="197"/>
      <c r="AB1814" s="197"/>
      <c r="AC1814" s="197"/>
      <c r="AD1814" s="198" t="s">
        <v>5</v>
      </c>
    </row>
    <row r="1815" spans="1:30" s="188" customFormat="1" ht="33" customHeight="1" x14ac:dyDescent="0.3">
      <c r="A1815" s="167">
        <v>31</v>
      </c>
      <c r="B1815" s="168">
        <v>58</v>
      </c>
      <c r="C1815" s="192" t="str">
        <f t="shared" si="37"/>
        <v>31.58</v>
      </c>
      <c r="D1815" s="193" t="s">
        <v>1038</v>
      </c>
      <c r="E1815" s="64" t="str">
        <f>IF(ISBLANK(D1815)=TRUE,"",VLOOKUP(D1815,Krav!$C:$F,4,FALSE))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15" s="78" t="s">
        <v>174</v>
      </c>
      <c r="G1815" s="194"/>
      <c r="H1815" s="145" t="s">
        <v>1424</v>
      </c>
      <c r="I1815" s="195" t="s">
        <v>1425</v>
      </c>
      <c r="J1815" s="195" t="s">
        <v>222</v>
      </c>
      <c r="K1815" s="125" t="s">
        <v>222</v>
      </c>
      <c r="L1815" s="196" t="s">
        <v>3</v>
      </c>
      <c r="M1815" s="197" t="s">
        <v>129</v>
      </c>
      <c r="N1815" s="197" t="s">
        <v>131</v>
      </c>
      <c r="O1815" s="197" t="s">
        <v>376</v>
      </c>
      <c r="P1815" s="197" t="s">
        <v>96</v>
      </c>
      <c r="Q1815" s="197" t="s">
        <v>131</v>
      </c>
      <c r="R1815" s="197" t="s">
        <v>129</v>
      </c>
      <c r="S1815" s="197" t="s">
        <v>131</v>
      </c>
      <c r="T1815" s="197"/>
      <c r="U1815" s="197"/>
      <c r="V1815" s="198" t="s">
        <v>295</v>
      </c>
      <c r="W1815" s="197" t="s">
        <v>166</v>
      </c>
      <c r="X1815" s="197" t="s">
        <v>26</v>
      </c>
      <c r="Y1815" s="197"/>
      <c r="Z1815" s="197"/>
      <c r="AA1815" s="197"/>
      <c r="AB1815" s="197"/>
      <c r="AC1815" s="197"/>
      <c r="AD1815" s="198" t="s">
        <v>5</v>
      </c>
    </row>
    <row r="1816" spans="1:30" s="188" customFormat="1" ht="33" customHeight="1" x14ac:dyDescent="0.3">
      <c r="A1816" s="167">
        <v>31</v>
      </c>
      <c r="B1816" s="168">
        <v>59</v>
      </c>
      <c r="C1816" s="192" t="str">
        <f t="shared" si="37"/>
        <v>31.59</v>
      </c>
      <c r="D1816" s="193" t="s">
        <v>1038</v>
      </c>
      <c r="E1816" s="64" t="str">
        <f>IF(ISBLANK(D1816)=TRUE,"",VLOOKUP(D1816,Krav!$C:$F,4,FALSE))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16" s="78" t="s">
        <v>174</v>
      </c>
      <c r="G1816" s="77"/>
      <c r="H1816" s="145" t="s">
        <v>1424</v>
      </c>
      <c r="I1816" s="83" t="s">
        <v>1425</v>
      </c>
      <c r="J1816" s="195" t="s">
        <v>222</v>
      </c>
      <c r="K1816" s="125" t="s">
        <v>222</v>
      </c>
      <c r="L1816" s="196" t="s">
        <v>3</v>
      </c>
      <c r="M1816" s="197" t="s">
        <v>129</v>
      </c>
      <c r="N1816" s="197" t="s">
        <v>131</v>
      </c>
      <c r="O1816" s="197" t="s">
        <v>376</v>
      </c>
      <c r="P1816" s="197" t="s">
        <v>96</v>
      </c>
      <c r="Q1816" s="197" t="s">
        <v>131</v>
      </c>
      <c r="R1816" s="197" t="s">
        <v>129</v>
      </c>
      <c r="S1816" s="197" t="s">
        <v>131</v>
      </c>
      <c r="T1816" s="197"/>
      <c r="U1816" s="197"/>
      <c r="V1816" s="198" t="s">
        <v>295</v>
      </c>
      <c r="W1816" s="197" t="s">
        <v>166</v>
      </c>
      <c r="X1816" s="197" t="s">
        <v>166</v>
      </c>
      <c r="Y1816" s="197" t="s">
        <v>580</v>
      </c>
      <c r="Z1816" s="197"/>
      <c r="AA1816" s="197"/>
      <c r="AB1816" s="197"/>
      <c r="AC1816" s="197"/>
      <c r="AD1816" s="198" t="s">
        <v>5</v>
      </c>
    </row>
    <row r="1817" spans="1:30" s="188" customFormat="1" ht="33" customHeight="1" x14ac:dyDescent="0.3">
      <c r="A1817" s="167">
        <v>31</v>
      </c>
      <c r="B1817" s="168">
        <v>60</v>
      </c>
      <c r="C1817" s="192" t="str">
        <f t="shared" si="37"/>
        <v>31.60</v>
      </c>
      <c r="D1817" s="193"/>
      <c r="E1817" s="64" t="str">
        <f>IF(ISBLANK(D1817)=TRUE,"",VLOOKUP(D1817,Krav!$C:$F,4,FALSE))</f>
        <v/>
      </c>
      <c r="F1817" s="78" t="s">
        <v>174</v>
      </c>
      <c r="G1817" s="194"/>
      <c r="H1817" s="145"/>
      <c r="I1817" s="83" t="s">
        <v>1414</v>
      </c>
      <c r="J1817" s="195" t="s">
        <v>222</v>
      </c>
      <c r="K1817" s="125" t="s">
        <v>222</v>
      </c>
      <c r="L1817" s="196" t="s">
        <v>4</v>
      </c>
      <c r="M1817" s="197" t="s">
        <v>129</v>
      </c>
      <c r="N1817" s="197" t="s">
        <v>131</v>
      </c>
      <c r="O1817" s="197" t="s">
        <v>376</v>
      </c>
      <c r="P1817" s="197" t="s">
        <v>96</v>
      </c>
      <c r="Q1817" s="197" t="s">
        <v>131</v>
      </c>
      <c r="R1817" s="197" t="s">
        <v>129</v>
      </c>
      <c r="S1817" s="197" t="s">
        <v>131</v>
      </c>
      <c r="T1817" s="197"/>
      <c r="U1817" s="197"/>
      <c r="V1817" s="198" t="s">
        <v>295</v>
      </c>
      <c r="W1817" s="197" t="s">
        <v>166</v>
      </c>
      <c r="X1817" s="197" t="s">
        <v>166</v>
      </c>
      <c r="Y1817" s="197" t="s">
        <v>369</v>
      </c>
      <c r="Z1817" s="197"/>
      <c r="AA1817" s="197"/>
      <c r="AB1817" s="197"/>
      <c r="AC1817" s="197"/>
      <c r="AD1817" s="198" t="s">
        <v>5</v>
      </c>
    </row>
    <row r="1818" spans="1:30" s="188" customFormat="1" ht="33" customHeight="1" x14ac:dyDescent="0.3">
      <c r="A1818" s="167">
        <v>31</v>
      </c>
      <c r="B1818" s="168">
        <v>61</v>
      </c>
      <c r="C1818" s="192" t="str">
        <f t="shared" si="37"/>
        <v>31.61</v>
      </c>
      <c r="D1818" s="193" t="s">
        <v>1040</v>
      </c>
      <c r="E1818" s="64" t="str">
        <f>IF(ISBLANK(D1818)=TRUE,"",VLOOKUP(D1818,Krav!$C:$F,4,FALSE))</f>
        <v xml:space="preserve">10.a.1.1.2.5 - Hvis fordringshaver har svaret ”aldrig” i spm. 9, kan der ikke opsættes en FLEX-filter konfiguration for populationen. </v>
      </c>
      <c r="F1818" s="78" t="s">
        <v>174</v>
      </c>
      <c r="G1818" s="194"/>
      <c r="H1818" s="145" t="s">
        <v>1426</v>
      </c>
      <c r="I1818" s="83" t="s">
        <v>1414</v>
      </c>
      <c r="J1818" s="83" t="s">
        <v>222</v>
      </c>
      <c r="K1818" s="125" t="s">
        <v>222</v>
      </c>
      <c r="L1818" s="196" t="s">
        <v>4</v>
      </c>
      <c r="M1818" s="197" t="s">
        <v>129</v>
      </c>
      <c r="N1818" s="197" t="s">
        <v>131</v>
      </c>
      <c r="O1818" s="197" t="s">
        <v>376</v>
      </c>
      <c r="P1818" s="197" t="s">
        <v>96</v>
      </c>
      <c r="Q1818" s="197" t="s">
        <v>131</v>
      </c>
      <c r="R1818" s="197" t="s">
        <v>129</v>
      </c>
      <c r="S1818" s="197" t="s">
        <v>131</v>
      </c>
      <c r="T1818" s="197"/>
      <c r="U1818" s="197"/>
      <c r="V1818" s="197" t="s">
        <v>303</v>
      </c>
      <c r="W1818" s="197"/>
      <c r="X1818" s="197"/>
      <c r="Y1818" s="197"/>
      <c r="Z1818" s="197"/>
      <c r="AA1818" s="197"/>
      <c r="AB1818" s="197"/>
      <c r="AC1818" s="197"/>
      <c r="AD1818" s="198" t="s">
        <v>5</v>
      </c>
    </row>
    <row r="1819" spans="1:30" s="188" customFormat="1" ht="33" customHeight="1" x14ac:dyDescent="0.3">
      <c r="A1819" s="167">
        <v>31</v>
      </c>
      <c r="B1819" s="168">
        <v>62</v>
      </c>
      <c r="C1819" s="192" t="str">
        <f t="shared" si="37"/>
        <v>31.62</v>
      </c>
      <c r="D1819" s="193" t="s">
        <v>1033</v>
      </c>
      <c r="E1819" s="64" t="str">
        <f>IF(ISBLANK(D1819)=TRUE,"",VLOOKUP(D1819,Krav!$C:$F,4,FALSE))</f>
        <v>10.a.1.1.2.1 - Hvis der er svaret "I visse tilfælde" i spørgsmål 9 og hvis der er svaret "Ja" i enten 9.b.1, 9.b.2.1 eller 9.b.2.2.1 skal brugeren ledes til spørgsmål 11</v>
      </c>
      <c r="F1819" s="77" t="s">
        <v>143</v>
      </c>
      <c r="G1819" s="77" t="s">
        <v>1427</v>
      </c>
      <c r="H1819" s="145" t="s">
        <v>1428</v>
      </c>
      <c r="I1819" s="83" t="s">
        <v>468</v>
      </c>
      <c r="J1819" s="83" t="s">
        <v>222</v>
      </c>
      <c r="K1819" s="125" t="s">
        <v>222</v>
      </c>
      <c r="L1819" s="196" t="s">
        <v>3</v>
      </c>
      <c r="M1819" s="197" t="s">
        <v>129</v>
      </c>
      <c r="N1819" s="197" t="s">
        <v>131</v>
      </c>
      <c r="O1819" s="197" t="s">
        <v>376</v>
      </c>
      <c r="P1819" s="197" t="s">
        <v>96</v>
      </c>
      <c r="Q1819" s="197" t="s">
        <v>131</v>
      </c>
      <c r="R1819" s="197" t="s">
        <v>129</v>
      </c>
      <c r="S1819" s="197" t="s">
        <v>131</v>
      </c>
      <c r="T1819" s="197"/>
      <c r="U1819" s="197"/>
      <c r="V1819" s="198" t="s">
        <v>295</v>
      </c>
      <c r="W1819" s="197" t="s">
        <v>26</v>
      </c>
      <c r="X1819" s="197"/>
      <c r="Y1819" s="197"/>
      <c r="Z1819" s="197"/>
      <c r="AA1819" s="197"/>
      <c r="AB1819" s="197"/>
      <c r="AC1819" s="197"/>
      <c r="AD1819" s="198" t="s">
        <v>5</v>
      </c>
    </row>
    <row r="1820" spans="1:30" s="188" customFormat="1" ht="33" customHeight="1" x14ac:dyDescent="0.3">
      <c r="A1820" s="167">
        <v>31</v>
      </c>
      <c r="B1820" s="168">
        <v>63</v>
      </c>
      <c r="C1820" s="192" t="str">
        <f t="shared" si="37"/>
        <v>31.63</v>
      </c>
      <c r="D1820" s="193" t="s">
        <v>1033</v>
      </c>
      <c r="E1820" s="64" t="str">
        <f>IF(ISBLANK(D1820)=TRUE,"",VLOOKUP(D1820,Krav!$C:$F,4,FALSE))</f>
        <v>10.a.1.1.2.1 - Hvis der er svaret "I visse tilfælde" i spørgsmål 9 og hvis der er svaret "Ja" i enten 9.b.1, 9.b.2.1 eller 9.b.2.2.1 skal brugeren ledes til spørgsmål 11</v>
      </c>
      <c r="F1820" s="77" t="s">
        <v>143</v>
      </c>
      <c r="G1820" s="77" t="s">
        <v>1427</v>
      </c>
      <c r="H1820" s="145" t="s">
        <v>1428</v>
      </c>
      <c r="I1820" s="83" t="s">
        <v>468</v>
      </c>
      <c r="J1820" s="83" t="s">
        <v>222</v>
      </c>
      <c r="K1820" s="125" t="s">
        <v>222</v>
      </c>
      <c r="L1820" s="196" t="s">
        <v>3</v>
      </c>
      <c r="M1820" s="197" t="s">
        <v>129</v>
      </c>
      <c r="N1820" s="197" t="s">
        <v>131</v>
      </c>
      <c r="O1820" s="197" t="s">
        <v>376</v>
      </c>
      <c r="P1820" s="197" t="s">
        <v>96</v>
      </c>
      <c r="Q1820" s="197" t="s">
        <v>131</v>
      </c>
      <c r="R1820" s="197" t="s">
        <v>129</v>
      </c>
      <c r="S1820" s="197" t="s">
        <v>131</v>
      </c>
      <c r="T1820" s="197"/>
      <c r="U1820" s="197"/>
      <c r="V1820" s="198" t="s">
        <v>295</v>
      </c>
      <c r="W1820" s="197" t="s">
        <v>166</v>
      </c>
      <c r="X1820" s="197" t="s">
        <v>26</v>
      </c>
      <c r="Y1820" s="197"/>
      <c r="Z1820" s="197"/>
      <c r="AA1820" s="197"/>
      <c r="AB1820" s="197"/>
      <c r="AC1820" s="197"/>
      <c r="AD1820" s="198" t="s">
        <v>5</v>
      </c>
    </row>
    <row r="1821" spans="1:30" s="188" customFormat="1" ht="33" customHeight="1" x14ac:dyDescent="0.3">
      <c r="A1821" s="167">
        <v>31</v>
      </c>
      <c r="B1821" s="168">
        <v>64</v>
      </c>
      <c r="C1821" s="192" t="str">
        <f t="shared" si="37"/>
        <v>31.64</v>
      </c>
      <c r="D1821" s="193" t="s">
        <v>1033</v>
      </c>
      <c r="E1821" s="64" t="str">
        <f>IF(ISBLANK(D1821)=TRUE,"",VLOOKUP(D1821,Krav!$C:$F,4,FALSE))</f>
        <v>10.a.1.1.2.1 - Hvis der er svaret "I visse tilfælde" i spørgsmål 9 og hvis der er svaret "Ja" i enten 9.b.1, 9.b.2.1 eller 9.b.2.2.1 skal brugeren ledes til spørgsmål 11</v>
      </c>
      <c r="F1821" s="77" t="s">
        <v>143</v>
      </c>
      <c r="G1821" s="77" t="s">
        <v>1427</v>
      </c>
      <c r="H1821" s="145" t="s">
        <v>1428</v>
      </c>
      <c r="I1821" s="83" t="s">
        <v>468</v>
      </c>
      <c r="J1821" s="83" t="s">
        <v>222</v>
      </c>
      <c r="K1821" s="125" t="s">
        <v>222</v>
      </c>
      <c r="L1821" s="199" t="s">
        <v>3</v>
      </c>
      <c r="M1821" s="197" t="s">
        <v>129</v>
      </c>
      <c r="N1821" s="197" t="s">
        <v>131</v>
      </c>
      <c r="O1821" s="197" t="s">
        <v>376</v>
      </c>
      <c r="P1821" s="197" t="s">
        <v>96</v>
      </c>
      <c r="Q1821" s="197" t="s">
        <v>131</v>
      </c>
      <c r="R1821" s="197" t="s">
        <v>129</v>
      </c>
      <c r="S1821" s="197" t="s">
        <v>131</v>
      </c>
      <c r="T1821" s="197"/>
      <c r="U1821" s="197"/>
      <c r="V1821" s="198" t="s">
        <v>295</v>
      </c>
      <c r="W1821" s="197" t="s">
        <v>166</v>
      </c>
      <c r="X1821" s="197" t="s">
        <v>166</v>
      </c>
      <c r="Y1821" s="197" t="s">
        <v>580</v>
      </c>
      <c r="Z1821" s="197"/>
      <c r="AA1821" s="197"/>
      <c r="AB1821" s="197"/>
      <c r="AC1821" s="197"/>
      <c r="AD1821" s="198" t="s">
        <v>5</v>
      </c>
    </row>
    <row r="1822" spans="1:30" s="188" customFormat="1" ht="33" customHeight="1" x14ac:dyDescent="0.3">
      <c r="A1822" s="167">
        <v>31</v>
      </c>
      <c r="B1822" s="168">
        <v>65</v>
      </c>
      <c r="C1822" s="192" t="str">
        <f t="shared" si="37"/>
        <v>31.65</v>
      </c>
      <c r="D1822" s="193"/>
      <c r="E1822" s="64" t="str">
        <f>IF(ISBLANK(D1822)=TRUE,"",VLOOKUP(D1822,Krav!$C:$F,4,FALSE))</f>
        <v/>
      </c>
      <c r="F1822" s="77" t="s">
        <v>143</v>
      </c>
      <c r="G1822" s="77" t="s">
        <v>1427</v>
      </c>
      <c r="H1822" s="145" t="s">
        <v>1429</v>
      </c>
      <c r="I1822" s="83" t="s">
        <v>468</v>
      </c>
      <c r="J1822" s="83" t="s">
        <v>222</v>
      </c>
      <c r="K1822" s="125" t="s">
        <v>222</v>
      </c>
      <c r="L1822" s="199" t="s">
        <v>3</v>
      </c>
      <c r="M1822" s="197" t="s">
        <v>129</v>
      </c>
      <c r="N1822" s="197" t="s">
        <v>131</v>
      </c>
      <c r="O1822" s="197" t="s">
        <v>376</v>
      </c>
      <c r="P1822" s="197" t="s">
        <v>96</v>
      </c>
      <c r="Q1822" s="197" t="s">
        <v>131</v>
      </c>
      <c r="R1822" s="197" t="s">
        <v>129</v>
      </c>
      <c r="S1822" s="197" t="s">
        <v>131</v>
      </c>
      <c r="T1822" s="197"/>
      <c r="U1822" s="197"/>
      <c r="V1822" s="197" t="s">
        <v>294</v>
      </c>
      <c r="W1822" s="197"/>
      <c r="X1822" s="197"/>
      <c r="Y1822" s="197"/>
      <c r="Z1822" s="197"/>
      <c r="AA1822" s="197"/>
      <c r="AB1822" s="197"/>
      <c r="AC1822" s="197"/>
      <c r="AD1822" s="198" t="s">
        <v>5</v>
      </c>
    </row>
    <row r="1823" spans="1:30" s="200" customFormat="1" ht="33" customHeight="1" x14ac:dyDescent="0.3">
      <c r="A1823" s="167">
        <v>31</v>
      </c>
      <c r="B1823" s="168">
        <v>66</v>
      </c>
      <c r="C1823" s="203" t="str">
        <f t="shared" si="37"/>
        <v>31.66</v>
      </c>
      <c r="D1823" s="18" t="s">
        <v>1058</v>
      </c>
      <c r="E1823" s="64" t="str">
        <f>IF(ISBLANK(D1823)=TRUE,"",VLOOKUP(D1823,Krav!$C:$F,4,FALSE))</f>
        <v>10.a.1.2.17 - Der angives et "NEJ" i i populationen under ”vil RIM beregne en tidligst mulig forældelsesdato?"</v>
      </c>
      <c r="F1823" s="53" t="s">
        <v>221</v>
      </c>
      <c r="G1823" s="19"/>
      <c r="H1823" s="76" t="s">
        <v>1430</v>
      </c>
      <c r="I1823" s="67" t="s">
        <v>241</v>
      </c>
      <c r="J1823" s="68" t="s">
        <v>222</v>
      </c>
      <c r="K1823" s="125" t="s">
        <v>222</v>
      </c>
      <c r="L1823" s="204" t="s">
        <v>3</v>
      </c>
      <c r="M1823" s="61" t="s">
        <v>129</v>
      </c>
      <c r="N1823" s="61" t="s">
        <v>131</v>
      </c>
      <c r="O1823" s="61" t="s">
        <v>96</v>
      </c>
      <c r="P1823" s="61" t="s">
        <v>376</v>
      </c>
      <c r="Q1823" s="61" t="s">
        <v>129</v>
      </c>
      <c r="R1823" s="61" t="s">
        <v>131</v>
      </c>
      <c r="S1823" s="61" t="s">
        <v>131</v>
      </c>
      <c r="T1823" s="61"/>
      <c r="U1823" s="61"/>
      <c r="V1823" s="61"/>
      <c r="W1823" s="61"/>
      <c r="X1823" s="61"/>
      <c r="Y1823" s="61"/>
      <c r="Z1823" s="61"/>
      <c r="AA1823" s="61"/>
      <c r="AB1823" s="61"/>
      <c r="AC1823" s="61"/>
      <c r="AD1823" s="59" t="s">
        <v>5</v>
      </c>
    </row>
    <row r="1824" spans="1:30" s="200" customFormat="1" ht="33" customHeight="1" x14ac:dyDescent="0.3">
      <c r="A1824" s="167">
        <v>31</v>
      </c>
      <c r="B1824" s="168">
        <v>67</v>
      </c>
      <c r="C1824" s="203" t="str">
        <f t="shared" si="37"/>
        <v>31.67</v>
      </c>
      <c r="D1824" s="18" t="s">
        <v>1059</v>
      </c>
      <c r="E1824" s="64" t="str">
        <f>IF(ISBLANK(D1824)=TRUE,"",VLOOKUP(D1824,Krav!$C:$F,4,FALSE))</f>
        <v>10.a.1.2.18 - Gruppe 1 deaktiveres</v>
      </c>
      <c r="F1824" s="53" t="s">
        <v>227</v>
      </c>
      <c r="G1824" s="19"/>
      <c r="H1824" s="25" t="s">
        <v>1423</v>
      </c>
      <c r="I1824" s="67" t="s">
        <v>241</v>
      </c>
      <c r="J1824" s="68" t="s">
        <v>222</v>
      </c>
      <c r="K1824" s="125" t="s">
        <v>222</v>
      </c>
      <c r="L1824" s="204" t="s">
        <v>3</v>
      </c>
      <c r="M1824" s="61" t="s">
        <v>129</v>
      </c>
      <c r="N1824" s="61" t="s">
        <v>131</v>
      </c>
      <c r="O1824" s="61" t="s">
        <v>96</v>
      </c>
      <c r="P1824" s="61" t="s">
        <v>376</v>
      </c>
      <c r="Q1824" s="61" t="s">
        <v>129</v>
      </c>
      <c r="R1824" s="61" t="s">
        <v>131</v>
      </c>
      <c r="S1824" s="61" t="s">
        <v>131</v>
      </c>
      <c r="T1824" s="61"/>
      <c r="U1824" s="61"/>
      <c r="V1824" s="61"/>
      <c r="W1824" s="61"/>
      <c r="X1824" s="61"/>
      <c r="Y1824" s="61"/>
      <c r="Z1824" s="61"/>
      <c r="AA1824" s="61"/>
      <c r="AB1824" s="61"/>
      <c r="AC1824" s="61"/>
      <c r="AD1824" s="59" t="s">
        <v>5</v>
      </c>
    </row>
    <row r="1825" spans="1:30" s="200" customFormat="1" ht="33" customHeight="1" x14ac:dyDescent="0.3">
      <c r="A1825" s="167">
        <v>31</v>
      </c>
      <c r="B1825" s="168">
        <v>68</v>
      </c>
      <c r="C1825" s="203" t="str">
        <f t="shared" si="37"/>
        <v>31.68</v>
      </c>
      <c r="D1825" s="18"/>
      <c r="E1825" s="64" t="str">
        <f>IF(ISBLANK(D1825)=TRUE,"",VLOOKUP(D1825,Krav!$C:$F,4,FALSE))</f>
        <v/>
      </c>
      <c r="F1825" s="53" t="s">
        <v>225</v>
      </c>
      <c r="G1825" s="19" t="s">
        <v>230</v>
      </c>
      <c r="H1825" s="76" t="s">
        <v>1431</v>
      </c>
      <c r="I1825" s="67" t="s">
        <v>1407</v>
      </c>
      <c r="J1825" s="68" t="s">
        <v>222</v>
      </c>
      <c r="K1825" s="125" t="s">
        <v>222</v>
      </c>
      <c r="L1825" s="204" t="s">
        <v>3</v>
      </c>
      <c r="M1825" s="61" t="s">
        <v>129</v>
      </c>
      <c r="N1825" s="61" t="s">
        <v>131</v>
      </c>
      <c r="O1825" s="61" t="s">
        <v>96</v>
      </c>
      <c r="P1825" s="61" t="s">
        <v>376</v>
      </c>
      <c r="Q1825" s="61" t="s">
        <v>129</v>
      </c>
      <c r="R1825" s="61" t="s">
        <v>131</v>
      </c>
      <c r="S1825" s="61" t="s">
        <v>131</v>
      </c>
      <c r="T1825" s="61"/>
      <c r="U1825" s="61"/>
      <c r="V1825" s="61"/>
      <c r="W1825" s="61"/>
      <c r="X1825" s="61"/>
      <c r="Y1825" s="61"/>
      <c r="Z1825" s="61"/>
      <c r="AA1825" s="61"/>
      <c r="AB1825" s="61"/>
      <c r="AC1825" s="61"/>
      <c r="AD1825" s="59" t="s">
        <v>5</v>
      </c>
    </row>
    <row r="1826" spans="1:30" s="200" customFormat="1" ht="33" customHeight="1" x14ac:dyDescent="0.3">
      <c r="A1826" s="167">
        <v>31</v>
      </c>
      <c r="B1826" s="168">
        <v>69</v>
      </c>
      <c r="C1826" s="203" t="str">
        <f t="shared" si="37"/>
        <v>31.69</v>
      </c>
      <c r="D1826" s="18"/>
      <c r="E1826" s="64" t="str">
        <f>IF(ISBLANK(D1826)=TRUE,"",VLOOKUP(D1826,Krav!$C:$F,4,FALSE))</f>
        <v/>
      </c>
      <c r="F1826" s="53" t="s">
        <v>225</v>
      </c>
      <c r="G1826" s="19" t="s">
        <v>1390</v>
      </c>
      <c r="H1826" s="76" t="s">
        <v>1431</v>
      </c>
      <c r="I1826" s="67" t="s">
        <v>369</v>
      </c>
      <c r="J1826" s="68" t="s">
        <v>222</v>
      </c>
      <c r="K1826" s="125" t="s">
        <v>222</v>
      </c>
      <c r="L1826" s="204" t="s">
        <v>3</v>
      </c>
      <c r="M1826" s="61" t="s">
        <v>129</v>
      </c>
      <c r="N1826" s="61" t="s">
        <v>131</v>
      </c>
      <c r="O1826" s="61" t="s">
        <v>96</v>
      </c>
      <c r="P1826" s="61" t="s">
        <v>376</v>
      </c>
      <c r="Q1826" s="61" t="s">
        <v>129</v>
      </c>
      <c r="R1826" s="61" t="s">
        <v>131</v>
      </c>
      <c r="S1826" s="61" t="s">
        <v>131</v>
      </c>
      <c r="T1826" s="61"/>
      <c r="U1826" s="61"/>
      <c r="V1826" s="61"/>
      <c r="W1826" s="61"/>
      <c r="X1826" s="61"/>
      <c r="Y1826" s="61"/>
      <c r="Z1826" s="61"/>
      <c r="AA1826" s="61"/>
      <c r="AB1826" s="61"/>
      <c r="AC1826" s="61"/>
      <c r="AD1826" s="59" t="s">
        <v>5</v>
      </c>
    </row>
    <row r="1827" spans="1:30" s="200" customFormat="1" ht="33" customHeight="1" x14ac:dyDescent="0.3">
      <c r="A1827" s="167">
        <v>31</v>
      </c>
      <c r="B1827" s="168">
        <v>70</v>
      </c>
      <c r="C1827" s="203" t="str">
        <f t="shared" si="37"/>
        <v>31.70</v>
      </c>
      <c r="D1827" s="18" t="s">
        <v>1060</v>
      </c>
      <c r="E1827" s="64" t="str">
        <f>IF(ISBLANK(D1827)=TRUE,"",VLOOKUP(D1827,Krav!$C:$F,4,FALSE))</f>
        <v>10.a.1.2.19 -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27" s="29" t="s">
        <v>174</v>
      </c>
      <c r="G1827" s="19"/>
      <c r="H1827" s="76" t="s">
        <v>1424</v>
      </c>
      <c r="I1827" s="67" t="s">
        <v>1425</v>
      </c>
      <c r="J1827" s="68" t="s">
        <v>222</v>
      </c>
      <c r="K1827" s="125" t="s">
        <v>222</v>
      </c>
      <c r="L1827" s="204" t="s">
        <v>3</v>
      </c>
      <c r="M1827" s="61" t="s">
        <v>129</v>
      </c>
      <c r="N1827" s="61" t="s">
        <v>131</v>
      </c>
      <c r="O1827" s="61" t="s">
        <v>96</v>
      </c>
      <c r="P1827" s="61" t="s">
        <v>376</v>
      </c>
      <c r="Q1827" s="61" t="s">
        <v>129</v>
      </c>
      <c r="R1827" s="61" t="s">
        <v>131</v>
      </c>
      <c r="S1827" s="61" t="s">
        <v>131</v>
      </c>
      <c r="T1827" s="61"/>
      <c r="U1827" s="61"/>
      <c r="V1827" s="61" t="s">
        <v>294</v>
      </c>
      <c r="W1827" s="61"/>
      <c r="X1827" s="61"/>
      <c r="Y1827" s="61"/>
      <c r="Z1827" s="61"/>
      <c r="AA1827" s="61"/>
      <c r="AB1827" s="61"/>
      <c r="AC1827" s="61"/>
      <c r="AD1827" s="59" t="s">
        <v>5</v>
      </c>
    </row>
    <row r="1828" spans="1:30" s="200" customFormat="1" ht="33" customHeight="1" x14ac:dyDescent="0.3">
      <c r="A1828" s="167">
        <v>31</v>
      </c>
      <c r="B1828" s="168">
        <v>71</v>
      </c>
      <c r="C1828" s="203" t="str">
        <f t="shared" si="37"/>
        <v>31.71</v>
      </c>
      <c r="D1828" s="18" t="s">
        <v>1060</v>
      </c>
      <c r="E1828" s="64" t="str">
        <f>IF(ISBLANK(D1828)=TRUE,"",VLOOKUP(D1828,Krav!$C:$F,4,FALSE))</f>
        <v>10.a.1.2.19 -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28" s="29" t="s">
        <v>174</v>
      </c>
      <c r="G1828" s="53"/>
      <c r="H1828" s="76" t="s">
        <v>1432</v>
      </c>
      <c r="I1828" s="67" t="s">
        <v>1425</v>
      </c>
      <c r="J1828" s="68" t="s">
        <v>222</v>
      </c>
      <c r="K1828" s="125" t="s">
        <v>222</v>
      </c>
      <c r="L1828" s="204" t="s">
        <v>3</v>
      </c>
      <c r="M1828" s="61" t="s">
        <v>129</v>
      </c>
      <c r="N1828" s="61" t="s">
        <v>131</v>
      </c>
      <c r="O1828" s="61" t="s">
        <v>96</v>
      </c>
      <c r="P1828" s="61" t="s">
        <v>376</v>
      </c>
      <c r="Q1828" s="61" t="s">
        <v>129</v>
      </c>
      <c r="R1828" s="61" t="s">
        <v>131</v>
      </c>
      <c r="S1828" s="61" t="s">
        <v>131</v>
      </c>
      <c r="T1828" s="61"/>
      <c r="U1828" s="61"/>
      <c r="V1828" s="59" t="s">
        <v>295</v>
      </c>
      <c r="W1828" s="61" t="s">
        <v>26</v>
      </c>
      <c r="X1828" s="61"/>
      <c r="Y1828" s="61"/>
      <c r="Z1828" s="61"/>
      <c r="AA1828" s="61"/>
      <c r="AB1828" s="61"/>
      <c r="AC1828" s="61"/>
      <c r="AD1828" s="59" t="s">
        <v>5</v>
      </c>
    </row>
    <row r="1829" spans="1:30" s="200" customFormat="1" ht="33" customHeight="1" x14ac:dyDescent="0.3">
      <c r="A1829" s="167">
        <v>31</v>
      </c>
      <c r="B1829" s="168">
        <v>72</v>
      </c>
      <c r="C1829" s="203" t="str">
        <f t="shared" si="37"/>
        <v>31.72</v>
      </c>
      <c r="D1829" s="18" t="s">
        <v>1060</v>
      </c>
      <c r="E1829" s="64" t="str">
        <f>IF(ISBLANK(D1829)=TRUE,"",VLOOKUP(D1829,Krav!$C:$F,4,FALSE))</f>
        <v>10.a.1.2.19 -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29" s="29" t="s">
        <v>174</v>
      </c>
      <c r="G1829" s="19"/>
      <c r="H1829" s="76" t="s">
        <v>1432</v>
      </c>
      <c r="I1829" s="68" t="s">
        <v>1425</v>
      </c>
      <c r="J1829" s="68" t="s">
        <v>222</v>
      </c>
      <c r="K1829" s="125" t="s">
        <v>222</v>
      </c>
      <c r="L1829" s="204" t="s">
        <v>3</v>
      </c>
      <c r="M1829" s="61" t="s">
        <v>129</v>
      </c>
      <c r="N1829" s="61" t="s">
        <v>131</v>
      </c>
      <c r="O1829" s="61" t="s">
        <v>96</v>
      </c>
      <c r="P1829" s="61" t="s">
        <v>376</v>
      </c>
      <c r="Q1829" s="61" t="s">
        <v>129</v>
      </c>
      <c r="R1829" s="61" t="s">
        <v>131</v>
      </c>
      <c r="S1829" s="61" t="s">
        <v>131</v>
      </c>
      <c r="T1829" s="61"/>
      <c r="U1829" s="61"/>
      <c r="V1829" s="59" t="s">
        <v>295</v>
      </c>
      <c r="W1829" s="61" t="s">
        <v>166</v>
      </c>
      <c r="X1829" s="61" t="s">
        <v>26</v>
      </c>
      <c r="Y1829" s="61"/>
      <c r="Z1829" s="61"/>
      <c r="AA1829" s="61"/>
      <c r="AB1829" s="61"/>
      <c r="AC1829" s="61"/>
      <c r="AD1829" s="59" t="s">
        <v>5</v>
      </c>
    </row>
    <row r="1830" spans="1:30" s="200" customFormat="1" ht="33" customHeight="1" x14ac:dyDescent="0.3">
      <c r="A1830" s="167">
        <v>31</v>
      </c>
      <c r="B1830" s="168">
        <v>73</v>
      </c>
      <c r="C1830" s="203" t="str">
        <f t="shared" si="37"/>
        <v>31.73</v>
      </c>
      <c r="D1830" s="18" t="s">
        <v>1060</v>
      </c>
      <c r="E1830" s="64" t="str">
        <f>IF(ISBLANK(D1830)=TRUE,"",VLOOKUP(D1830,Krav!$C:$F,4,FALSE))</f>
        <v>10.a.1.2.19 -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30" s="29" t="s">
        <v>174</v>
      </c>
      <c r="G1830" s="53"/>
      <c r="H1830" s="76" t="s">
        <v>1432</v>
      </c>
      <c r="I1830" s="67" t="s">
        <v>1425</v>
      </c>
      <c r="J1830" s="68" t="s">
        <v>222</v>
      </c>
      <c r="K1830" s="125" t="s">
        <v>222</v>
      </c>
      <c r="L1830" s="204" t="s">
        <v>3</v>
      </c>
      <c r="M1830" s="61" t="s">
        <v>129</v>
      </c>
      <c r="N1830" s="61" t="s">
        <v>131</v>
      </c>
      <c r="O1830" s="61" t="s">
        <v>96</v>
      </c>
      <c r="P1830" s="61" t="s">
        <v>376</v>
      </c>
      <c r="Q1830" s="61" t="s">
        <v>129</v>
      </c>
      <c r="R1830" s="61" t="s">
        <v>131</v>
      </c>
      <c r="S1830" s="61" t="s">
        <v>131</v>
      </c>
      <c r="T1830" s="61"/>
      <c r="U1830" s="61"/>
      <c r="V1830" s="59" t="s">
        <v>295</v>
      </c>
      <c r="W1830" s="61" t="s">
        <v>166</v>
      </c>
      <c r="X1830" s="61" t="s">
        <v>166</v>
      </c>
      <c r="Y1830" s="61" t="s">
        <v>580</v>
      </c>
      <c r="Z1830" s="61"/>
      <c r="AA1830" s="61"/>
      <c r="AB1830" s="61"/>
      <c r="AC1830" s="61"/>
      <c r="AD1830" s="59" t="s">
        <v>5</v>
      </c>
    </row>
    <row r="1831" spans="1:30" s="200" customFormat="1" ht="33" customHeight="1" x14ac:dyDescent="0.3">
      <c r="A1831" s="167">
        <v>31</v>
      </c>
      <c r="B1831" s="168">
        <v>74</v>
      </c>
      <c r="C1831" s="203" t="str">
        <f t="shared" si="37"/>
        <v>31.74</v>
      </c>
      <c r="D1831" s="18" t="s">
        <v>1061</v>
      </c>
      <c r="E1831" s="64" t="str">
        <f>IF(ISBLANK(D1831)=TRUE,"",VLOOKUP(D1831,Krav!$C:$F,4,FALSE))</f>
        <v xml:space="preserve">10.a.1.2.20 - Hvis fordringshaver har svaret ”aldrig” i spm. 9, kan der ikke opsættes en FLEX-filter konfiguration for populationen. </v>
      </c>
      <c r="F1831" s="29" t="s">
        <v>174</v>
      </c>
      <c r="G1831" s="19"/>
      <c r="H1831" s="76"/>
      <c r="I1831" s="67" t="s">
        <v>1414</v>
      </c>
      <c r="J1831" s="68" t="s">
        <v>222</v>
      </c>
      <c r="K1831" s="125" t="s">
        <v>222</v>
      </c>
      <c r="L1831" s="204" t="s">
        <v>4</v>
      </c>
      <c r="M1831" s="61" t="s">
        <v>129</v>
      </c>
      <c r="N1831" s="61" t="s">
        <v>131</v>
      </c>
      <c r="O1831" s="61" t="s">
        <v>96</v>
      </c>
      <c r="P1831" s="61" t="s">
        <v>376</v>
      </c>
      <c r="Q1831" s="61" t="s">
        <v>129</v>
      </c>
      <c r="R1831" s="61" t="s">
        <v>131</v>
      </c>
      <c r="S1831" s="61" t="s">
        <v>131</v>
      </c>
      <c r="T1831" s="61"/>
      <c r="U1831" s="61"/>
      <c r="V1831" s="59" t="s">
        <v>295</v>
      </c>
      <c r="W1831" s="61" t="s">
        <v>166</v>
      </c>
      <c r="X1831" s="61" t="s">
        <v>166</v>
      </c>
      <c r="Y1831" s="61" t="s">
        <v>369</v>
      </c>
      <c r="Z1831" s="61"/>
      <c r="AA1831" s="61"/>
      <c r="AB1831" s="61"/>
      <c r="AC1831" s="61"/>
      <c r="AD1831" s="59" t="s">
        <v>5</v>
      </c>
    </row>
    <row r="1832" spans="1:30" s="200" customFormat="1" ht="33" customHeight="1" x14ac:dyDescent="0.3">
      <c r="A1832" s="167">
        <v>31</v>
      </c>
      <c r="B1832" s="168">
        <v>75</v>
      </c>
      <c r="C1832" s="203" t="str">
        <f t="shared" si="37"/>
        <v>31.75</v>
      </c>
      <c r="D1832" s="18" t="s">
        <v>1061</v>
      </c>
      <c r="E1832" s="64" t="str">
        <f>IF(ISBLANK(D1832)=TRUE,"",VLOOKUP(D1832,Krav!$C:$F,4,FALSE))</f>
        <v xml:space="preserve">10.a.1.2.20 - Hvis fordringshaver har svaret ”aldrig” i spm. 9, kan der ikke opsættes en FLEX-filter konfiguration for populationen. </v>
      </c>
      <c r="F1832" s="29" t="s">
        <v>174</v>
      </c>
      <c r="G1832" s="19"/>
      <c r="H1832" s="76" t="s">
        <v>1426</v>
      </c>
      <c r="I1832" s="67" t="s">
        <v>1414</v>
      </c>
      <c r="J1832" s="67" t="s">
        <v>222</v>
      </c>
      <c r="K1832" s="125" t="s">
        <v>222</v>
      </c>
      <c r="L1832" s="204" t="s">
        <v>4</v>
      </c>
      <c r="M1832" s="61" t="s">
        <v>129</v>
      </c>
      <c r="N1832" s="61" t="s">
        <v>131</v>
      </c>
      <c r="O1832" s="61" t="s">
        <v>96</v>
      </c>
      <c r="P1832" s="61" t="s">
        <v>376</v>
      </c>
      <c r="Q1832" s="61" t="s">
        <v>129</v>
      </c>
      <c r="R1832" s="61" t="s">
        <v>131</v>
      </c>
      <c r="S1832" s="61" t="s">
        <v>131</v>
      </c>
      <c r="T1832" s="61"/>
      <c r="U1832" s="61"/>
      <c r="V1832" s="61" t="s">
        <v>303</v>
      </c>
      <c r="W1832" s="61"/>
      <c r="X1832" s="61"/>
      <c r="Y1832" s="61"/>
      <c r="Z1832" s="61"/>
      <c r="AA1832" s="61"/>
      <c r="AB1832" s="61"/>
      <c r="AC1832" s="61"/>
      <c r="AD1832" s="59" t="s">
        <v>5</v>
      </c>
    </row>
    <row r="1833" spans="1:30" s="200" customFormat="1" ht="33" customHeight="1" x14ac:dyDescent="0.3">
      <c r="A1833" s="167">
        <v>31</v>
      </c>
      <c r="B1833" s="168">
        <v>76</v>
      </c>
      <c r="C1833" s="203" t="str">
        <f t="shared" si="37"/>
        <v>31.76</v>
      </c>
      <c r="D1833" s="18" t="s">
        <v>1057</v>
      </c>
      <c r="E1833" s="64" t="str">
        <f>IF(ISBLANK(D1833)=TRUE,"",VLOOKUP(D1833,Krav!$C:$F,4,FALSE))</f>
        <v>10.a.1.2.16 - Hvis der er svaret "I visse tilfælde" i spørgsmål 9 og hvis der er svaret "Ja" i enten 9.b.1, 9.b.2.1 eller 9.b.2.2.1 skal brugeren ledes til spørgsmål 11</v>
      </c>
      <c r="F1833" s="53" t="s">
        <v>143</v>
      </c>
      <c r="G1833" s="53" t="s">
        <v>1427</v>
      </c>
      <c r="H1833" s="76" t="s">
        <v>1433</v>
      </c>
      <c r="I1833" s="67" t="s">
        <v>468</v>
      </c>
      <c r="J1833" s="67" t="s">
        <v>222</v>
      </c>
      <c r="K1833" s="125" t="s">
        <v>222</v>
      </c>
      <c r="L1833" s="204" t="s">
        <v>3</v>
      </c>
      <c r="M1833" s="61" t="s">
        <v>129</v>
      </c>
      <c r="N1833" s="61" t="s">
        <v>131</v>
      </c>
      <c r="O1833" s="61" t="s">
        <v>96</v>
      </c>
      <c r="P1833" s="61" t="s">
        <v>376</v>
      </c>
      <c r="Q1833" s="61" t="s">
        <v>129</v>
      </c>
      <c r="R1833" s="61" t="s">
        <v>131</v>
      </c>
      <c r="S1833" s="61" t="s">
        <v>131</v>
      </c>
      <c r="T1833" s="61"/>
      <c r="U1833" s="61"/>
      <c r="V1833" s="59" t="s">
        <v>295</v>
      </c>
      <c r="W1833" s="61" t="s">
        <v>26</v>
      </c>
      <c r="X1833" s="61"/>
      <c r="Y1833" s="61"/>
      <c r="Z1833" s="61"/>
      <c r="AA1833" s="61"/>
      <c r="AB1833" s="61"/>
      <c r="AC1833" s="61"/>
      <c r="AD1833" s="59" t="s">
        <v>5</v>
      </c>
    </row>
    <row r="1834" spans="1:30" s="200" customFormat="1" ht="33" customHeight="1" x14ac:dyDescent="0.3">
      <c r="A1834" s="167">
        <v>31</v>
      </c>
      <c r="B1834" s="168">
        <v>77</v>
      </c>
      <c r="C1834" s="203" t="str">
        <f t="shared" si="37"/>
        <v>31.77</v>
      </c>
      <c r="D1834" s="18" t="s">
        <v>1057</v>
      </c>
      <c r="E1834" s="64" t="str">
        <f>IF(ISBLANK(D1834)=TRUE,"",VLOOKUP(D1834,Krav!$C:$F,4,FALSE))</f>
        <v>10.a.1.2.16 - Hvis der er svaret "I visse tilfælde" i spørgsmål 9 og hvis der er svaret "Ja" i enten 9.b.1, 9.b.2.1 eller 9.b.2.2.1 skal brugeren ledes til spørgsmål 11</v>
      </c>
      <c r="F1834" s="53" t="s">
        <v>143</v>
      </c>
      <c r="G1834" s="53" t="s">
        <v>1427</v>
      </c>
      <c r="H1834" s="76" t="s">
        <v>1433</v>
      </c>
      <c r="I1834" s="67" t="s">
        <v>468</v>
      </c>
      <c r="J1834" s="67" t="s">
        <v>222</v>
      </c>
      <c r="K1834" s="125" t="s">
        <v>222</v>
      </c>
      <c r="L1834" s="204" t="s">
        <v>3</v>
      </c>
      <c r="M1834" s="61" t="s">
        <v>129</v>
      </c>
      <c r="N1834" s="61" t="s">
        <v>131</v>
      </c>
      <c r="O1834" s="61" t="s">
        <v>96</v>
      </c>
      <c r="P1834" s="61" t="s">
        <v>376</v>
      </c>
      <c r="Q1834" s="61" t="s">
        <v>129</v>
      </c>
      <c r="R1834" s="61" t="s">
        <v>131</v>
      </c>
      <c r="S1834" s="61" t="s">
        <v>131</v>
      </c>
      <c r="T1834" s="61"/>
      <c r="U1834" s="61"/>
      <c r="V1834" s="59" t="s">
        <v>295</v>
      </c>
      <c r="W1834" s="61" t="s">
        <v>166</v>
      </c>
      <c r="X1834" s="61" t="s">
        <v>26</v>
      </c>
      <c r="Y1834" s="61"/>
      <c r="Z1834" s="61"/>
      <c r="AA1834" s="61"/>
      <c r="AB1834" s="61"/>
      <c r="AC1834" s="61"/>
      <c r="AD1834" s="59" t="s">
        <v>5</v>
      </c>
    </row>
    <row r="1835" spans="1:30" s="200" customFormat="1" ht="33" customHeight="1" x14ac:dyDescent="0.3">
      <c r="A1835" s="167">
        <v>31</v>
      </c>
      <c r="B1835" s="168">
        <v>78</v>
      </c>
      <c r="C1835" s="203" t="str">
        <f t="shared" si="37"/>
        <v>31.78</v>
      </c>
      <c r="D1835" s="18" t="s">
        <v>1057</v>
      </c>
      <c r="E1835" s="64" t="str">
        <f>IF(ISBLANK(D1835)=TRUE,"",VLOOKUP(D1835,Krav!$C:$F,4,FALSE))</f>
        <v>10.a.1.2.16 - Hvis der er svaret "I visse tilfælde" i spørgsmål 9 og hvis der er svaret "Ja" i enten 9.b.1, 9.b.2.1 eller 9.b.2.2.1 skal brugeren ledes til spørgsmål 11</v>
      </c>
      <c r="F1835" s="53" t="s">
        <v>143</v>
      </c>
      <c r="G1835" s="53" t="s">
        <v>1427</v>
      </c>
      <c r="H1835" s="76" t="s">
        <v>1433</v>
      </c>
      <c r="I1835" s="67" t="s">
        <v>468</v>
      </c>
      <c r="J1835" s="67" t="s">
        <v>222</v>
      </c>
      <c r="K1835" s="125" t="s">
        <v>222</v>
      </c>
      <c r="L1835" s="206" t="s">
        <v>3</v>
      </c>
      <c r="M1835" s="61" t="s">
        <v>129</v>
      </c>
      <c r="N1835" s="61" t="s">
        <v>131</v>
      </c>
      <c r="O1835" s="61" t="s">
        <v>96</v>
      </c>
      <c r="P1835" s="61" t="s">
        <v>376</v>
      </c>
      <c r="Q1835" s="61" t="s">
        <v>129</v>
      </c>
      <c r="R1835" s="61" t="s">
        <v>131</v>
      </c>
      <c r="S1835" s="61" t="s">
        <v>131</v>
      </c>
      <c r="T1835" s="61"/>
      <c r="U1835" s="61"/>
      <c r="V1835" s="59" t="s">
        <v>295</v>
      </c>
      <c r="W1835" s="61" t="s">
        <v>166</v>
      </c>
      <c r="X1835" s="61" t="s">
        <v>166</v>
      </c>
      <c r="Y1835" s="61" t="s">
        <v>580</v>
      </c>
      <c r="Z1835" s="61"/>
      <c r="AA1835" s="61"/>
      <c r="AB1835" s="61"/>
      <c r="AC1835" s="61"/>
      <c r="AD1835" s="59" t="s">
        <v>5</v>
      </c>
    </row>
    <row r="1836" spans="1:30" s="200" customFormat="1" ht="33" customHeight="1" x14ac:dyDescent="0.3">
      <c r="A1836" s="167">
        <v>31</v>
      </c>
      <c r="B1836" s="168">
        <v>79</v>
      </c>
      <c r="C1836" s="203" t="str">
        <f t="shared" si="37"/>
        <v>31.79</v>
      </c>
      <c r="D1836" s="18"/>
      <c r="E1836" s="64" t="str">
        <f>IF(ISBLANK(D1836)=TRUE,"",VLOOKUP(D1836,Krav!$C:$F,4,FALSE))</f>
        <v/>
      </c>
      <c r="F1836" s="53" t="s">
        <v>143</v>
      </c>
      <c r="G1836" s="53" t="s">
        <v>1427</v>
      </c>
      <c r="H1836" s="76" t="s">
        <v>1429</v>
      </c>
      <c r="I1836" s="67" t="s">
        <v>468</v>
      </c>
      <c r="J1836" s="67" t="s">
        <v>222</v>
      </c>
      <c r="K1836" s="125" t="s">
        <v>222</v>
      </c>
      <c r="L1836" s="206" t="s">
        <v>3</v>
      </c>
      <c r="M1836" s="61" t="s">
        <v>129</v>
      </c>
      <c r="N1836" s="61" t="s">
        <v>131</v>
      </c>
      <c r="O1836" s="61" t="s">
        <v>96</v>
      </c>
      <c r="P1836" s="61" t="s">
        <v>376</v>
      </c>
      <c r="Q1836" s="61" t="s">
        <v>129</v>
      </c>
      <c r="R1836" s="61" t="s">
        <v>131</v>
      </c>
      <c r="S1836" s="61" t="s">
        <v>131</v>
      </c>
      <c r="T1836" s="61"/>
      <c r="U1836" s="61"/>
      <c r="V1836" s="61" t="s">
        <v>294</v>
      </c>
      <c r="W1836" s="61"/>
      <c r="X1836" s="61"/>
      <c r="Y1836" s="61"/>
      <c r="Z1836" s="61"/>
      <c r="AA1836" s="61"/>
      <c r="AB1836" s="61"/>
      <c r="AC1836" s="61"/>
      <c r="AD1836" s="59" t="s">
        <v>5</v>
      </c>
    </row>
    <row r="1837" spans="1:30" s="221" customFormat="1" ht="33" customHeight="1" x14ac:dyDescent="0.3">
      <c r="A1837" s="167">
        <v>31</v>
      </c>
      <c r="B1837" s="168">
        <v>80</v>
      </c>
      <c r="C1837" s="210" t="str">
        <f t="shared" si="37"/>
        <v>31.80</v>
      </c>
      <c r="D1837" s="211" t="s">
        <v>776</v>
      </c>
      <c r="E1837" s="64" t="str">
        <f>IF(ISBLANK(D1837)=TRUE,"",VLOOKUP(D1837,Krav!$C:$F,4,FALSE))</f>
        <v>10.a.1.13 - Det skal være muligt for brugeren, via tekstfelt, at udfylde det antal dage, for hvor lang tid før det [valgte stamdatafelt] kan begyndelsestidspunktet for forældelsesfristens beregning tidligst ligge for den afgrænsede population.</v>
      </c>
      <c r="F1837" s="213" t="s">
        <v>174</v>
      </c>
      <c r="G1837" s="214"/>
      <c r="H1837" s="215" t="s">
        <v>1434</v>
      </c>
      <c r="I1837" s="216" t="s">
        <v>1414</v>
      </c>
      <c r="J1837" s="217" t="s">
        <v>222</v>
      </c>
      <c r="K1837" s="125" t="s">
        <v>222</v>
      </c>
      <c r="L1837" s="218" t="s">
        <v>4</v>
      </c>
      <c r="M1837" s="219" t="s">
        <v>131</v>
      </c>
      <c r="N1837" s="219" t="s">
        <v>131</v>
      </c>
      <c r="O1837" s="219"/>
      <c r="P1837" s="219"/>
      <c r="Q1837" s="219"/>
      <c r="R1837" s="219"/>
      <c r="S1837" s="219"/>
      <c r="T1837" s="219"/>
      <c r="U1837" s="219"/>
      <c r="V1837" s="219"/>
      <c r="W1837" s="219"/>
      <c r="X1837" s="219"/>
      <c r="Y1837" s="219"/>
      <c r="Z1837" s="219"/>
      <c r="AA1837" s="219"/>
      <c r="AB1837" s="219"/>
      <c r="AC1837" s="219"/>
      <c r="AD1837" s="220" t="s">
        <v>5</v>
      </c>
    </row>
    <row r="1838" spans="1:30" s="221" customFormat="1" ht="33" customHeight="1" x14ac:dyDescent="0.3">
      <c r="A1838" s="167">
        <v>31</v>
      </c>
      <c r="B1838" s="168">
        <v>81</v>
      </c>
      <c r="C1838" s="210" t="str">
        <f t="shared" si="37"/>
        <v>31.81</v>
      </c>
      <c r="D1838" s="211" t="s">
        <v>776</v>
      </c>
      <c r="E1838" s="64" t="str">
        <f>IF(ISBLANK(D1838)=TRUE,"",VLOOKUP(D1838,Krav!$C:$F,4,FALSE))</f>
        <v>10.a.1.13 - Det skal være muligt for brugeren, via tekstfelt, at udfylde det antal dage, for hvor lang tid før det [valgte stamdatafelt] kan begyndelsestidspunktet for forældelsesfristens beregning tidligst ligge for den afgrænsede population.</v>
      </c>
      <c r="F1838" s="213" t="s">
        <v>418</v>
      </c>
      <c r="G1838" s="213" t="s">
        <v>419</v>
      </c>
      <c r="H1838" s="215" t="s">
        <v>1435</v>
      </c>
      <c r="I1838" s="216" t="s">
        <v>129</v>
      </c>
      <c r="J1838" s="217" t="s">
        <v>222</v>
      </c>
      <c r="K1838" s="123" t="s">
        <v>222</v>
      </c>
      <c r="L1838" s="222" t="s">
        <v>3</v>
      </c>
      <c r="M1838" s="219" t="s">
        <v>131</v>
      </c>
      <c r="N1838" s="219" t="s">
        <v>131</v>
      </c>
      <c r="O1838" s="219"/>
      <c r="P1838" s="219"/>
      <c r="Q1838" s="219"/>
      <c r="R1838" s="219"/>
      <c r="S1838" s="219"/>
      <c r="T1838" s="219"/>
      <c r="U1838" s="219"/>
      <c r="V1838" s="219"/>
      <c r="W1838" s="219"/>
      <c r="X1838" s="219"/>
      <c r="Y1838" s="219"/>
      <c r="Z1838" s="219"/>
      <c r="AA1838" s="219"/>
      <c r="AB1838" s="219"/>
      <c r="AC1838" s="219"/>
      <c r="AD1838" s="220" t="s">
        <v>5</v>
      </c>
    </row>
    <row r="1839" spans="1:30" s="221" customFormat="1" ht="33" customHeight="1" x14ac:dyDescent="0.3">
      <c r="A1839" s="167">
        <v>31</v>
      </c>
      <c r="B1839" s="168">
        <v>82</v>
      </c>
      <c r="C1839" s="210" t="str">
        <f t="shared" si="37"/>
        <v>31.82</v>
      </c>
      <c r="D1839" s="211" t="s">
        <v>809</v>
      </c>
      <c r="E1839" s="64" t="str">
        <f>IF(ISBLANK(D1839)=TRUE,"",VLOOKUP(D1839,Krav!$C:$F,4,FALSE))</f>
        <v>10.a.1.1.19 - Der skal fremgå en infoboks med teksten: ”Normalt” er fordringer undergivet en 3 års forældelsesfrist”.</v>
      </c>
      <c r="F1839" s="213" t="s">
        <v>228</v>
      </c>
      <c r="G1839" s="223" t="s">
        <v>230</v>
      </c>
      <c r="H1839" s="215" t="s">
        <v>1436</v>
      </c>
      <c r="I1839" s="216" t="s">
        <v>1437</v>
      </c>
      <c r="J1839" s="217" t="s">
        <v>222</v>
      </c>
      <c r="K1839" s="123" t="s">
        <v>222</v>
      </c>
      <c r="L1839" s="222" t="s">
        <v>3</v>
      </c>
      <c r="M1839" s="219"/>
      <c r="N1839" s="219"/>
      <c r="O1839" s="219"/>
      <c r="P1839" s="219"/>
      <c r="Q1839" s="219"/>
      <c r="R1839" s="219"/>
      <c r="S1839" s="219"/>
      <c r="T1839" s="219"/>
      <c r="U1839" s="219"/>
      <c r="V1839" s="219"/>
      <c r="W1839" s="219"/>
      <c r="X1839" s="219"/>
      <c r="Y1839" s="219"/>
      <c r="Z1839" s="219"/>
      <c r="AA1839" s="219"/>
      <c r="AB1839" s="219"/>
      <c r="AC1839" s="219"/>
      <c r="AD1839" s="220" t="s">
        <v>5</v>
      </c>
    </row>
    <row r="1840" spans="1:30" s="221" customFormat="1" ht="33" customHeight="1" x14ac:dyDescent="0.3">
      <c r="A1840" s="167">
        <v>31</v>
      </c>
      <c r="B1840" s="168">
        <v>83</v>
      </c>
      <c r="C1840" s="210" t="str">
        <f t="shared" si="37"/>
        <v>31.83</v>
      </c>
      <c r="D1840" s="211" t="s">
        <v>1091</v>
      </c>
      <c r="E1840" s="64" t="str">
        <f>IF(ISBLANK(D1840)=TRUE,"",VLOOKUP(D1840,Krav!$C:$F,4,FALSE))</f>
        <v>10.a.2.20 - Der skal være en infoboks med teksten: "Hvis begyndelsestidspunktet kan ligge samme dag som indholdet af stamdatafeltet svares 0 dage."</v>
      </c>
      <c r="F1840" s="213" t="s">
        <v>228</v>
      </c>
      <c r="G1840" s="223" t="s">
        <v>231</v>
      </c>
      <c r="H1840" s="215" t="s">
        <v>1438</v>
      </c>
      <c r="I1840" s="216" t="s">
        <v>1439</v>
      </c>
      <c r="J1840" s="217" t="s">
        <v>222</v>
      </c>
      <c r="K1840" s="123" t="s">
        <v>222</v>
      </c>
      <c r="L1840" s="222" t="s">
        <v>3</v>
      </c>
      <c r="M1840" s="219"/>
      <c r="N1840" s="219"/>
      <c r="O1840" s="219"/>
      <c r="P1840" s="219"/>
      <c r="Q1840" s="219"/>
      <c r="R1840" s="219"/>
      <c r="S1840" s="219"/>
      <c r="T1840" s="219"/>
      <c r="U1840" s="219"/>
      <c r="V1840" s="219"/>
      <c r="W1840" s="219"/>
      <c r="X1840" s="219"/>
      <c r="Y1840" s="219"/>
      <c r="Z1840" s="219"/>
      <c r="AA1840" s="219"/>
      <c r="AB1840" s="219"/>
      <c r="AC1840" s="219"/>
      <c r="AD1840" s="220" t="s">
        <v>5</v>
      </c>
    </row>
    <row r="1841" spans="1:30" s="234" customFormat="1" ht="33" customHeight="1" x14ac:dyDescent="0.3">
      <c r="A1841" s="167">
        <v>31</v>
      </c>
      <c r="B1841" s="168">
        <v>84</v>
      </c>
      <c r="C1841" s="226" t="str">
        <f t="shared" si="37"/>
        <v>31.84</v>
      </c>
      <c r="D1841" s="227" t="s">
        <v>1106</v>
      </c>
      <c r="E1841" s="64" t="str">
        <f>IF(ISBLANK(D1841)=TRUE,"",VLOOKUP(D1841,Krav!$C:$F,4,FALSE))</f>
        <v>10.a.2.1.1.4 - Gruppe 1 aktiveres</v>
      </c>
      <c r="F1841" s="228" t="s">
        <v>227</v>
      </c>
      <c r="G1841" s="228"/>
      <c r="H1841" s="229" t="s">
        <v>1440</v>
      </c>
      <c r="I1841" s="230" t="s">
        <v>240</v>
      </c>
      <c r="J1841" s="230" t="s">
        <v>222</v>
      </c>
      <c r="K1841" s="125" t="s">
        <v>222</v>
      </c>
      <c r="L1841" s="231" t="s">
        <v>3</v>
      </c>
      <c r="M1841" s="232" t="s">
        <v>131</v>
      </c>
      <c r="N1841" s="232" t="s">
        <v>129</v>
      </c>
      <c r="O1841" s="232" t="s">
        <v>376</v>
      </c>
      <c r="P1841" s="232" t="s">
        <v>376</v>
      </c>
      <c r="Q1841" s="232" t="s">
        <v>131</v>
      </c>
      <c r="R1841" s="232" t="s">
        <v>131</v>
      </c>
      <c r="S1841" s="232" t="s">
        <v>131</v>
      </c>
      <c r="T1841" s="232" t="s">
        <v>412</v>
      </c>
      <c r="U1841" s="232"/>
      <c r="V1841" s="232"/>
      <c r="W1841" s="232"/>
      <c r="X1841" s="232"/>
      <c r="Y1841" s="232"/>
      <c r="Z1841" s="232"/>
      <c r="AA1841" s="232"/>
      <c r="AB1841" s="232"/>
      <c r="AC1841" s="232"/>
      <c r="AD1841" s="233" t="s">
        <v>5</v>
      </c>
    </row>
    <row r="1842" spans="1:30" s="234" customFormat="1" ht="33" customHeight="1" x14ac:dyDescent="0.3">
      <c r="A1842" s="167">
        <v>31</v>
      </c>
      <c r="B1842" s="168">
        <v>85</v>
      </c>
      <c r="C1842" s="226" t="str">
        <f t="shared" si="37"/>
        <v>31.85</v>
      </c>
      <c r="D1842" s="227"/>
      <c r="E1842" s="64" t="str">
        <f>IF(ISBLANK(D1842)=TRUE,"",VLOOKUP(D1842,Krav!$C:$F,4,FALSE))</f>
        <v/>
      </c>
      <c r="F1842" s="228" t="s">
        <v>225</v>
      </c>
      <c r="G1842" s="235" t="s">
        <v>1389</v>
      </c>
      <c r="H1842" s="235" t="s">
        <v>158</v>
      </c>
      <c r="I1842" s="230" t="s">
        <v>1400</v>
      </c>
      <c r="J1842" s="236" t="s">
        <v>222</v>
      </c>
      <c r="K1842" s="125" t="s">
        <v>222</v>
      </c>
      <c r="L1842" s="231" t="s">
        <v>3</v>
      </c>
      <c r="M1842" s="232" t="s">
        <v>131</v>
      </c>
      <c r="N1842" s="232" t="s">
        <v>129</v>
      </c>
      <c r="O1842" s="232" t="s">
        <v>376</v>
      </c>
      <c r="P1842" s="232" t="s">
        <v>96</v>
      </c>
      <c r="Q1842" s="232" t="s">
        <v>131</v>
      </c>
      <c r="R1842" s="232" t="s">
        <v>131</v>
      </c>
      <c r="S1842" s="232" t="s">
        <v>129</v>
      </c>
      <c r="T1842" s="232"/>
      <c r="U1842" s="232"/>
      <c r="V1842" s="232"/>
      <c r="W1842" s="232"/>
      <c r="X1842" s="232"/>
      <c r="Y1842" s="232"/>
      <c r="Z1842" s="232"/>
      <c r="AA1842" s="232"/>
      <c r="AB1842" s="232"/>
      <c r="AC1842" s="232"/>
      <c r="AD1842" s="233" t="s">
        <v>5</v>
      </c>
    </row>
    <row r="1843" spans="1:30" s="234" customFormat="1" ht="16.5" customHeight="1" x14ac:dyDescent="0.3">
      <c r="A1843" s="167">
        <v>31</v>
      </c>
      <c r="B1843" s="168">
        <v>86</v>
      </c>
      <c r="C1843" s="226" t="str">
        <f t="shared" si="37"/>
        <v>31.86</v>
      </c>
      <c r="D1843" s="227" t="s">
        <v>1145</v>
      </c>
      <c r="E1843" s="64" t="str">
        <f>IF(ISBLANK(D1843)=TRUE,"",VLOOKUP(D1843,Krav!$C:$F,4,FALSE))</f>
        <v>10.a.2.1.1.43 - Hvis FordringsSlutDato ikke er valgt: Regel R0059 deaktiveres</v>
      </c>
      <c r="F1843" s="228" t="s">
        <v>226</v>
      </c>
      <c r="G1843" s="228" t="s">
        <v>313</v>
      </c>
      <c r="H1843" s="229" t="s">
        <v>1441</v>
      </c>
      <c r="I1843" s="230" t="s">
        <v>1402</v>
      </c>
      <c r="J1843" s="237" t="s">
        <v>222</v>
      </c>
      <c r="K1843" s="125" t="s">
        <v>222</v>
      </c>
      <c r="L1843" s="231" t="s">
        <v>3</v>
      </c>
      <c r="M1843" s="232" t="s">
        <v>131</v>
      </c>
      <c r="N1843" s="232" t="s">
        <v>129</v>
      </c>
      <c r="O1843" s="232" t="s">
        <v>376</v>
      </c>
      <c r="P1843" s="232" t="s">
        <v>96</v>
      </c>
      <c r="Q1843" s="232" t="s">
        <v>131</v>
      </c>
      <c r="R1843" s="232" t="s">
        <v>131</v>
      </c>
      <c r="S1843" s="232" t="s">
        <v>129</v>
      </c>
      <c r="T1843" s="232"/>
      <c r="U1843" s="232" t="s">
        <v>1314</v>
      </c>
      <c r="V1843" s="232"/>
      <c r="W1843" s="232"/>
      <c r="X1843" s="232"/>
      <c r="Y1843" s="232"/>
      <c r="Z1843" s="232"/>
      <c r="AA1843" s="232"/>
      <c r="AB1843" s="232"/>
      <c r="AC1843" s="232"/>
      <c r="AD1843" s="233" t="s">
        <v>5</v>
      </c>
    </row>
    <row r="1844" spans="1:30" s="234" customFormat="1" ht="33" customHeight="1" x14ac:dyDescent="0.3">
      <c r="A1844" s="167">
        <v>31</v>
      </c>
      <c r="B1844" s="168">
        <v>87</v>
      </c>
      <c r="C1844" s="226" t="str">
        <f t="shared" si="37"/>
        <v>31.87</v>
      </c>
      <c r="D1844" s="227" t="s">
        <v>1146</v>
      </c>
      <c r="E1844" s="64" t="str">
        <f>IF(ISBLANK(D1844)=TRUE,"",VLOOKUP(D1844,Krav!$C:$F,4,FALSE))</f>
        <v>10.a.2.1.1.44 - Hvis FordringsSlutDato ikke er valgt: Regel R0060 deaktiveres</v>
      </c>
      <c r="F1844" s="228" t="s">
        <v>226</v>
      </c>
      <c r="G1844" s="228" t="s">
        <v>313</v>
      </c>
      <c r="H1844" s="229" t="s">
        <v>1442</v>
      </c>
      <c r="I1844" s="230" t="s">
        <v>1402</v>
      </c>
      <c r="J1844" s="237" t="s">
        <v>222</v>
      </c>
      <c r="K1844" s="125" t="s">
        <v>222</v>
      </c>
      <c r="L1844" s="231" t="s">
        <v>3</v>
      </c>
      <c r="M1844" s="232" t="s">
        <v>131</v>
      </c>
      <c r="N1844" s="232" t="s">
        <v>129</v>
      </c>
      <c r="O1844" s="232" t="s">
        <v>376</v>
      </c>
      <c r="P1844" s="232" t="s">
        <v>96</v>
      </c>
      <c r="Q1844" s="232" t="s">
        <v>131</v>
      </c>
      <c r="R1844" s="232" t="s">
        <v>131</v>
      </c>
      <c r="S1844" s="232" t="s">
        <v>129</v>
      </c>
      <c r="T1844" s="232"/>
      <c r="U1844" s="232" t="s">
        <v>1315</v>
      </c>
      <c r="V1844" s="232"/>
      <c r="W1844" s="232"/>
      <c r="X1844" s="232"/>
      <c r="Y1844" s="232"/>
      <c r="Z1844" s="232"/>
      <c r="AA1844" s="232"/>
      <c r="AB1844" s="232"/>
      <c r="AC1844" s="232"/>
      <c r="AD1844" s="233" t="s">
        <v>5</v>
      </c>
    </row>
    <row r="1845" spans="1:30" s="234" customFormat="1" ht="33" customHeight="1" x14ac:dyDescent="0.3">
      <c r="A1845" s="167">
        <v>31</v>
      </c>
      <c r="B1845" s="168">
        <v>88</v>
      </c>
      <c r="C1845" s="226" t="str">
        <f t="shared" si="37"/>
        <v>31.88</v>
      </c>
      <c r="D1845" s="227" t="s">
        <v>1147</v>
      </c>
      <c r="E1845" s="64" t="str">
        <f>IF(ISBLANK(D1845)=TRUE,"",VLOOKUP(D1845,Krav!$C:$F,4,FALSE))</f>
        <v>10.a.2.1.1.45 - Hvis FordringsSlutDato ikke er valgt: Regel R0061 deaktiveres</v>
      </c>
      <c r="F1845" s="228" t="s">
        <v>226</v>
      </c>
      <c r="G1845" s="228" t="s">
        <v>313</v>
      </c>
      <c r="H1845" s="229" t="s">
        <v>1441</v>
      </c>
      <c r="I1845" s="230" t="s">
        <v>1402</v>
      </c>
      <c r="J1845" s="230" t="s">
        <v>222</v>
      </c>
      <c r="K1845" s="125" t="s">
        <v>222</v>
      </c>
      <c r="L1845" s="238" t="s">
        <v>3</v>
      </c>
      <c r="M1845" s="232" t="s">
        <v>131</v>
      </c>
      <c r="N1845" s="232" t="s">
        <v>129</v>
      </c>
      <c r="O1845" s="232" t="s">
        <v>376</v>
      </c>
      <c r="P1845" s="232" t="s">
        <v>96</v>
      </c>
      <c r="Q1845" s="232" t="s">
        <v>131</v>
      </c>
      <c r="R1845" s="232" t="s">
        <v>131</v>
      </c>
      <c r="S1845" s="232" t="s">
        <v>129</v>
      </c>
      <c r="T1845" s="232"/>
      <c r="U1845" s="232" t="s">
        <v>1316</v>
      </c>
      <c r="V1845" s="232"/>
      <c r="W1845" s="232"/>
      <c r="X1845" s="232"/>
      <c r="Y1845" s="232"/>
      <c r="Z1845" s="232"/>
      <c r="AA1845" s="232"/>
      <c r="AB1845" s="232"/>
      <c r="AC1845" s="232"/>
      <c r="AD1845" s="233" t="s">
        <v>5</v>
      </c>
    </row>
    <row r="1846" spans="1:30" s="234" customFormat="1" ht="33" customHeight="1" x14ac:dyDescent="0.3">
      <c r="A1846" s="167">
        <v>31</v>
      </c>
      <c r="B1846" s="168">
        <v>89</v>
      </c>
      <c r="C1846" s="226" t="str">
        <f t="shared" si="37"/>
        <v>31.89</v>
      </c>
      <c r="D1846" s="227" t="s">
        <v>1148</v>
      </c>
      <c r="E1846" s="64" t="str">
        <f>IF(ISBLANK(D1846)=TRUE,"",VLOOKUP(D1846,Krav!$C:$F,4,FALSE))</f>
        <v>10.a.2.1.1.46 - Hvis FordringsSlutDato ikke er valgt: Regel R0062 deaktiveres</v>
      </c>
      <c r="F1846" s="228" t="s">
        <v>226</v>
      </c>
      <c r="G1846" s="228" t="s">
        <v>313</v>
      </c>
      <c r="H1846" s="229" t="s">
        <v>1441</v>
      </c>
      <c r="I1846" s="230" t="s">
        <v>1402</v>
      </c>
      <c r="J1846" s="230" t="s">
        <v>222</v>
      </c>
      <c r="K1846" s="125" t="s">
        <v>222</v>
      </c>
      <c r="L1846" s="238" t="s">
        <v>3</v>
      </c>
      <c r="M1846" s="232" t="s">
        <v>131</v>
      </c>
      <c r="N1846" s="232" t="s">
        <v>129</v>
      </c>
      <c r="O1846" s="232" t="s">
        <v>376</v>
      </c>
      <c r="P1846" s="232" t="s">
        <v>96</v>
      </c>
      <c r="Q1846" s="232" t="s">
        <v>131</v>
      </c>
      <c r="R1846" s="232" t="s">
        <v>131</v>
      </c>
      <c r="S1846" s="232" t="s">
        <v>129</v>
      </c>
      <c r="T1846" s="232"/>
      <c r="U1846" s="232" t="s">
        <v>1317</v>
      </c>
      <c r="V1846" s="232"/>
      <c r="W1846" s="232"/>
      <c r="X1846" s="232"/>
      <c r="Y1846" s="232"/>
      <c r="Z1846" s="232"/>
      <c r="AA1846" s="232"/>
      <c r="AB1846" s="232"/>
      <c r="AC1846" s="232"/>
      <c r="AD1846" s="233" t="s">
        <v>5</v>
      </c>
    </row>
    <row r="1847" spans="1:30" s="234" customFormat="1" ht="33" customHeight="1" x14ac:dyDescent="0.3">
      <c r="A1847" s="167">
        <v>31</v>
      </c>
      <c r="B1847" s="168">
        <v>90</v>
      </c>
      <c r="C1847" s="226" t="str">
        <f t="shared" si="37"/>
        <v>31.90</v>
      </c>
      <c r="D1847" s="227" t="s">
        <v>1156</v>
      </c>
      <c r="E1847" s="64" t="str">
        <f>IF(ISBLANK(D1847)=TRUE,"",VLOOKUP(D1847,Krav!$C:$F,4,FALSE))</f>
        <v>10.a.2.1.1.54 - Hvis FordringsSlutDato ikke er valgt: Regel R0070 deaktiveres</v>
      </c>
      <c r="F1847" s="228" t="s">
        <v>226</v>
      </c>
      <c r="G1847" s="228" t="s">
        <v>313</v>
      </c>
      <c r="H1847" s="229" t="s">
        <v>1441</v>
      </c>
      <c r="I1847" s="230" t="s">
        <v>1402</v>
      </c>
      <c r="J1847" s="230" t="s">
        <v>222</v>
      </c>
      <c r="K1847" s="125" t="s">
        <v>222</v>
      </c>
      <c r="L1847" s="238" t="s">
        <v>3</v>
      </c>
      <c r="M1847" s="232" t="s">
        <v>131</v>
      </c>
      <c r="N1847" s="232" t="s">
        <v>129</v>
      </c>
      <c r="O1847" s="232" t="s">
        <v>376</v>
      </c>
      <c r="P1847" s="232" t="s">
        <v>96</v>
      </c>
      <c r="Q1847" s="232" t="s">
        <v>131</v>
      </c>
      <c r="R1847" s="232" t="s">
        <v>131</v>
      </c>
      <c r="S1847" s="232" t="s">
        <v>129</v>
      </c>
      <c r="T1847" s="232"/>
      <c r="U1847" s="232" t="s">
        <v>1313</v>
      </c>
      <c r="V1847" s="232"/>
      <c r="W1847" s="232"/>
      <c r="X1847" s="232"/>
      <c r="Y1847" s="232"/>
      <c r="Z1847" s="232"/>
      <c r="AA1847" s="232"/>
      <c r="AB1847" s="232"/>
      <c r="AC1847" s="232"/>
      <c r="AD1847" s="233" t="s">
        <v>5</v>
      </c>
    </row>
    <row r="1848" spans="1:30" s="234" customFormat="1" ht="33" customHeight="1" x14ac:dyDescent="0.3">
      <c r="A1848" s="167">
        <v>31</v>
      </c>
      <c r="B1848" s="168">
        <v>91</v>
      </c>
      <c r="C1848" s="226" t="str">
        <f t="shared" si="37"/>
        <v>31.91</v>
      </c>
      <c r="D1848" s="227" t="s">
        <v>1145</v>
      </c>
      <c r="E1848" s="64" t="str">
        <f>IF(ISBLANK(D1848)=TRUE,"",VLOOKUP(D1848,Krav!$C:$F,4,FALSE))</f>
        <v>10.a.2.1.1.43 - Hvis FordringsSlutDato ikke er valgt: Regel R0059 deaktiveres</v>
      </c>
      <c r="F1848" s="228" t="s">
        <v>226</v>
      </c>
      <c r="G1848" s="228" t="s">
        <v>313</v>
      </c>
      <c r="H1848" s="229" t="s">
        <v>1441</v>
      </c>
      <c r="I1848" s="230" t="s">
        <v>1403</v>
      </c>
      <c r="J1848" s="237" t="s">
        <v>222</v>
      </c>
      <c r="K1848" s="123" t="s">
        <v>222</v>
      </c>
      <c r="L1848" s="231" t="s">
        <v>3</v>
      </c>
      <c r="M1848" s="232" t="s">
        <v>131</v>
      </c>
      <c r="N1848" s="232" t="s">
        <v>129</v>
      </c>
      <c r="O1848" s="232" t="s">
        <v>376</v>
      </c>
      <c r="P1848" s="232" t="s">
        <v>376</v>
      </c>
      <c r="Q1848" s="232" t="s">
        <v>131</v>
      </c>
      <c r="R1848" s="232" t="s">
        <v>131</v>
      </c>
      <c r="S1848" s="232" t="s">
        <v>131</v>
      </c>
      <c r="T1848" s="232"/>
      <c r="U1848" s="232" t="s">
        <v>1314</v>
      </c>
      <c r="V1848" s="232"/>
      <c r="W1848" s="232"/>
      <c r="X1848" s="232"/>
      <c r="Y1848" s="232"/>
      <c r="Z1848" s="232"/>
      <c r="AA1848" s="232"/>
      <c r="AB1848" s="232"/>
      <c r="AC1848" s="232"/>
      <c r="AD1848" s="233" t="s">
        <v>5</v>
      </c>
    </row>
    <row r="1849" spans="1:30" s="234" customFormat="1" ht="33" customHeight="1" x14ac:dyDescent="0.3">
      <c r="A1849" s="167">
        <v>31</v>
      </c>
      <c r="B1849" s="168">
        <v>92</v>
      </c>
      <c r="C1849" s="226" t="str">
        <f t="shared" ref="C1849:C1912" si="38">IF(B1849&lt;10,_xlfn.CONCAT(A1849,".0",B1849),_xlfn.CONCAT(A1849,".",B1849))</f>
        <v>31.92</v>
      </c>
      <c r="D1849" s="227" t="s">
        <v>1146</v>
      </c>
      <c r="E1849" s="64" t="str">
        <f>IF(ISBLANK(D1849)=TRUE,"",VLOOKUP(D1849,Krav!$C:$F,4,FALSE))</f>
        <v>10.a.2.1.1.44 - Hvis FordringsSlutDato ikke er valgt: Regel R0060 deaktiveres</v>
      </c>
      <c r="F1849" s="228" t="s">
        <v>226</v>
      </c>
      <c r="G1849" s="228" t="s">
        <v>313</v>
      </c>
      <c r="H1849" s="229" t="s">
        <v>1442</v>
      </c>
      <c r="I1849" s="230" t="s">
        <v>1403</v>
      </c>
      <c r="J1849" s="237" t="s">
        <v>222</v>
      </c>
      <c r="K1849" s="123" t="s">
        <v>222</v>
      </c>
      <c r="L1849" s="231" t="s">
        <v>3</v>
      </c>
      <c r="M1849" s="232" t="s">
        <v>131</v>
      </c>
      <c r="N1849" s="232" t="s">
        <v>129</v>
      </c>
      <c r="O1849" s="232" t="s">
        <v>376</v>
      </c>
      <c r="P1849" s="232" t="s">
        <v>376</v>
      </c>
      <c r="Q1849" s="232" t="s">
        <v>131</v>
      </c>
      <c r="R1849" s="232" t="s">
        <v>131</v>
      </c>
      <c r="S1849" s="232" t="s">
        <v>131</v>
      </c>
      <c r="T1849" s="232"/>
      <c r="U1849" s="232" t="s">
        <v>1315</v>
      </c>
      <c r="V1849" s="232"/>
      <c r="W1849" s="232"/>
      <c r="X1849" s="232"/>
      <c r="Y1849" s="232"/>
      <c r="Z1849" s="232"/>
      <c r="AA1849" s="232"/>
      <c r="AB1849" s="232"/>
      <c r="AC1849" s="232"/>
      <c r="AD1849" s="233" t="s">
        <v>5</v>
      </c>
    </row>
    <row r="1850" spans="1:30" s="234" customFormat="1" ht="33" customHeight="1" x14ac:dyDescent="0.3">
      <c r="A1850" s="167">
        <v>31</v>
      </c>
      <c r="B1850" s="168">
        <v>93</v>
      </c>
      <c r="C1850" s="226" t="str">
        <f t="shared" si="38"/>
        <v>31.93</v>
      </c>
      <c r="D1850" s="227" t="s">
        <v>1147</v>
      </c>
      <c r="E1850" s="64" t="str">
        <f>IF(ISBLANK(D1850)=TRUE,"",VLOOKUP(D1850,Krav!$C:$F,4,FALSE))</f>
        <v>10.a.2.1.1.45 - Hvis FordringsSlutDato ikke er valgt: Regel R0061 deaktiveres</v>
      </c>
      <c r="F1850" s="228" t="s">
        <v>226</v>
      </c>
      <c r="G1850" s="228" t="s">
        <v>313</v>
      </c>
      <c r="H1850" s="229" t="s">
        <v>1441</v>
      </c>
      <c r="I1850" s="230" t="s">
        <v>1403</v>
      </c>
      <c r="J1850" s="230" t="s">
        <v>222</v>
      </c>
      <c r="K1850" s="123" t="s">
        <v>222</v>
      </c>
      <c r="L1850" s="238" t="s">
        <v>3</v>
      </c>
      <c r="M1850" s="232" t="s">
        <v>131</v>
      </c>
      <c r="N1850" s="232" t="s">
        <v>129</v>
      </c>
      <c r="O1850" s="232" t="s">
        <v>376</v>
      </c>
      <c r="P1850" s="232" t="s">
        <v>376</v>
      </c>
      <c r="Q1850" s="232" t="s">
        <v>131</v>
      </c>
      <c r="R1850" s="232" t="s">
        <v>131</v>
      </c>
      <c r="S1850" s="232" t="s">
        <v>131</v>
      </c>
      <c r="T1850" s="232"/>
      <c r="U1850" s="232" t="s">
        <v>1316</v>
      </c>
      <c r="V1850" s="232"/>
      <c r="W1850" s="232"/>
      <c r="X1850" s="232"/>
      <c r="Y1850" s="232"/>
      <c r="Z1850" s="232"/>
      <c r="AA1850" s="232"/>
      <c r="AB1850" s="232"/>
      <c r="AC1850" s="232"/>
      <c r="AD1850" s="233" t="s">
        <v>5</v>
      </c>
    </row>
    <row r="1851" spans="1:30" s="234" customFormat="1" ht="33" customHeight="1" x14ac:dyDescent="0.3">
      <c r="A1851" s="167">
        <v>31</v>
      </c>
      <c r="B1851" s="168">
        <v>94</v>
      </c>
      <c r="C1851" s="226" t="str">
        <f t="shared" si="38"/>
        <v>31.94</v>
      </c>
      <c r="D1851" s="227" t="s">
        <v>1148</v>
      </c>
      <c r="E1851" s="64" t="str">
        <f>IF(ISBLANK(D1851)=TRUE,"",VLOOKUP(D1851,Krav!$C:$F,4,FALSE))</f>
        <v>10.a.2.1.1.46 - Hvis FordringsSlutDato ikke er valgt: Regel R0062 deaktiveres</v>
      </c>
      <c r="F1851" s="228" t="s">
        <v>226</v>
      </c>
      <c r="G1851" s="228" t="s">
        <v>313</v>
      </c>
      <c r="H1851" s="229" t="s">
        <v>1441</v>
      </c>
      <c r="I1851" s="230" t="s">
        <v>1403</v>
      </c>
      <c r="J1851" s="230" t="s">
        <v>222</v>
      </c>
      <c r="K1851" s="123" t="s">
        <v>222</v>
      </c>
      <c r="L1851" s="238" t="s">
        <v>3</v>
      </c>
      <c r="M1851" s="232" t="s">
        <v>131</v>
      </c>
      <c r="N1851" s="232" t="s">
        <v>129</v>
      </c>
      <c r="O1851" s="232" t="s">
        <v>376</v>
      </c>
      <c r="P1851" s="232" t="s">
        <v>376</v>
      </c>
      <c r="Q1851" s="232" t="s">
        <v>131</v>
      </c>
      <c r="R1851" s="232" t="s">
        <v>131</v>
      </c>
      <c r="S1851" s="232" t="s">
        <v>131</v>
      </c>
      <c r="T1851" s="232"/>
      <c r="U1851" s="232" t="s">
        <v>1317</v>
      </c>
      <c r="V1851" s="232"/>
      <c r="W1851" s="232"/>
      <c r="X1851" s="232"/>
      <c r="Y1851" s="232"/>
      <c r="Z1851" s="232"/>
      <c r="AA1851" s="232"/>
      <c r="AB1851" s="232"/>
      <c r="AC1851" s="232"/>
      <c r="AD1851" s="233" t="s">
        <v>5</v>
      </c>
    </row>
    <row r="1852" spans="1:30" s="234" customFormat="1" ht="33" customHeight="1" x14ac:dyDescent="0.3">
      <c r="A1852" s="167">
        <v>31</v>
      </c>
      <c r="B1852" s="168">
        <v>95</v>
      </c>
      <c r="C1852" s="226" t="str">
        <f t="shared" si="38"/>
        <v>31.95</v>
      </c>
      <c r="D1852" s="227" t="s">
        <v>1156</v>
      </c>
      <c r="E1852" s="64" t="str">
        <f>IF(ISBLANK(D1852)=TRUE,"",VLOOKUP(D1852,Krav!$C:$F,4,FALSE))</f>
        <v>10.a.2.1.1.54 - Hvis FordringsSlutDato ikke er valgt: Regel R0070 deaktiveres</v>
      </c>
      <c r="F1852" s="228" t="s">
        <v>226</v>
      </c>
      <c r="G1852" s="228" t="s">
        <v>313</v>
      </c>
      <c r="H1852" s="229" t="s">
        <v>1441</v>
      </c>
      <c r="I1852" s="230" t="s">
        <v>1403</v>
      </c>
      <c r="J1852" s="230" t="s">
        <v>222</v>
      </c>
      <c r="K1852" s="123" t="s">
        <v>222</v>
      </c>
      <c r="L1852" s="238" t="s">
        <v>3</v>
      </c>
      <c r="M1852" s="232" t="s">
        <v>131</v>
      </c>
      <c r="N1852" s="232" t="s">
        <v>129</v>
      </c>
      <c r="O1852" s="232" t="s">
        <v>376</v>
      </c>
      <c r="P1852" s="232" t="s">
        <v>376</v>
      </c>
      <c r="Q1852" s="232" t="s">
        <v>131</v>
      </c>
      <c r="R1852" s="232" t="s">
        <v>131</v>
      </c>
      <c r="S1852" s="232" t="s">
        <v>131</v>
      </c>
      <c r="T1852" s="232"/>
      <c r="U1852" s="232" t="s">
        <v>1313</v>
      </c>
      <c r="V1852" s="232"/>
      <c r="W1852" s="232"/>
      <c r="X1852" s="232"/>
      <c r="Y1852" s="232"/>
      <c r="Z1852" s="232"/>
      <c r="AA1852" s="232"/>
      <c r="AB1852" s="232"/>
      <c r="AC1852" s="232"/>
      <c r="AD1852" s="233" t="s">
        <v>5</v>
      </c>
    </row>
    <row r="1853" spans="1:30" s="234" customFormat="1" ht="33" customHeight="1" x14ac:dyDescent="0.3">
      <c r="A1853" s="167">
        <v>31</v>
      </c>
      <c r="B1853" s="168">
        <v>96</v>
      </c>
      <c r="C1853" s="226" t="str">
        <f t="shared" si="38"/>
        <v>31.96</v>
      </c>
      <c r="D1853" s="227" t="s">
        <v>1145</v>
      </c>
      <c r="E1853" s="64" t="str">
        <f>IF(ISBLANK(D1853)=TRUE,"",VLOOKUP(D1853,Krav!$C:$F,4,FALSE))</f>
        <v>10.a.2.1.1.43 - Hvis FordringsSlutDato ikke er valgt: Regel R0059 deaktiveres</v>
      </c>
      <c r="F1853" s="228" t="s">
        <v>226</v>
      </c>
      <c r="G1853" s="228" t="s">
        <v>313</v>
      </c>
      <c r="H1853" s="229" t="s">
        <v>1404</v>
      </c>
      <c r="I1853" s="237" t="s">
        <v>408</v>
      </c>
      <c r="J1853" s="237" t="s">
        <v>222</v>
      </c>
      <c r="K1853" s="123" t="s">
        <v>222</v>
      </c>
      <c r="L1853" s="231" t="s">
        <v>4</v>
      </c>
      <c r="M1853" s="232" t="s">
        <v>129</v>
      </c>
      <c r="N1853" s="232" t="s">
        <v>131</v>
      </c>
      <c r="O1853" s="232" t="s">
        <v>1403</v>
      </c>
      <c r="P1853" s="232" t="s">
        <v>1405</v>
      </c>
      <c r="Q1853" s="232" t="s">
        <v>131</v>
      </c>
      <c r="R1853" s="232" t="s">
        <v>131</v>
      </c>
      <c r="S1853" s="232" t="s">
        <v>131</v>
      </c>
      <c r="T1853" s="232"/>
      <c r="U1853" s="232" t="s">
        <v>1314</v>
      </c>
      <c r="V1853" s="232"/>
      <c r="W1853" s="232"/>
      <c r="X1853" s="232"/>
      <c r="Y1853" s="232"/>
      <c r="Z1853" s="232"/>
      <c r="AA1853" s="232"/>
      <c r="AB1853" s="232"/>
      <c r="AC1853" s="232"/>
      <c r="AD1853" s="233" t="s">
        <v>5</v>
      </c>
    </row>
    <row r="1854" spans="1:30" s="234" customFormat="1" ht="33" customHeight="1" x14ac:dyDescent="0.3">
      <c r="A1854" s="167">
        <v>31</v>
      </c>
      <c r="B1854" s="168">
        <v>97</v>
      </c>
      <c r="C1854" s="226" t="str">
        <f t="shared" si="38"/>
        <v>31.97</v>
      </c>
      <c r="D1854" s="227" t="s">
        <v>1146</v>
      </c>
      <c r="E1854" s="64" t="str">
        <f>IF(ISBLANK(D1854)=TRUE,"",VLOOKUP(D1854,Krav!$C:$F,4,FALSE))</f>
        <v>10.a.2.1.1.44 - Hvis FordringsSlutDato ikke er valgt: Regel R0060 deaktiveres</v>
      </c>
      <c r="F1854" s="228" t="s">
        <v>226</v>
      </c>
      <c r="G1854" s="228" t="s">
        <v>313</v>
      </c>
      <c r="H1854" s="229" t="s">
        <v>1404</v>
      </c>
      <c r="I1854" s="237" t="s">
        <v>408</v>
      </c>
      <c r="J1854" s="237" t="s">
        <v>222</v>
      </c>
      <c r="K1854" s="123" t="s">
        <v>222</v>
      </c>
      <c r="L1854" s="231" t="s">
        <v>4</v>
      </c>
      <c r="M1854" s="232" t="s">
        <v>129</v>
      </c>
      <c r="N1854" s="232" t="s">
        <v>131</v>
      </c>
      <c r="O1854" s="232" t="s">
        <v>1403</v>
      </c>
      <c r="P1854" s="232" t="s">
        <v>1405</v>
      </c>
      <c r="Q1854" s="232" t="s">
        <v>131</v>
      </c>
      <c r="R1854" s="232" t="s">
        <v>131</v>
      </c>
      <c r="S1854" s="232" t="s">
        <v>131</v>
      </c>
      <c r="T1854" s="232"/>
      <c r="U1854" s="232" t="s">
        <v>1315</v>
      </c>
      <c r="V1854" s="232"/>
      <c r="W1854" s="232"/>
      <c r="X1854" s="232"/>
      <c r="Y1854" s="232"/>
      <c r="Z1854" s="232"/>
      <c r="AA1854" s="232"/>
      <c r="AB1854" s="232"/>
      <c r="AC1854" s="232"/>
      <c r="AD1854" s="233" t="s">
        <v>5</v>
      </c>
    </row>
    <row r="1855" spans="1:30" s="234" customFormat="1" ht="33" customHeight="1" x14ac:dyDescent="0.3">
      <c r="A1855" s="167">
        <v>31</v>
      </c>
      <c r="B1855" s="168">
        <v>98</v>
      </c>
      <c r="C1855" s="226" t="str">
        <f t="shared" si="38"/>
        <v>31.98</v>
      </c>
      <c r="D1855" s="227" t="s">
        <v>1147</v>
      </c>
      <c r="E1855" s="64" t="str">
        <f>IF(ISBLANK(D1855)=TRUE,"",VLOOKUP(D1855,Krav!$C:$F,4,FALSE))</f>
        <v>10.a.2.1.1.45 - Hvis FordringsSlutDato ikke er valgt: Regel R0061 deaktiveres</v>
      </c>
      <c r="F1855" s="228" t="s">
        <v>226</v>
      </c>
      <c r="G1855" s="228" t="s">
        <v>313</v>
      </c>
      <c r="H1855" s="229" t="s">
        <v>1404</v>
      </c>
      <c r="I1855" s="237" t="s">
        <v>408</v>
      </c>
      <c r="J1855" s="230" t="s">
        <v>222</v>
      </c>
      <c r="K1855" s="123" t="s">
        <v>222</v>
      </c>
      <c r="L1855" s="231" t="s">
        <v>4</v>
      </c>
      <c r="M1855" s="232" t="s">
        <v>129</v>
      </c>
      <c r="N1855" s="232" t="s">
        <v>131</v>
      </c>
      <c r="O1855" s="232" t="s">
        <v>1403</v>
      </c>
      <c r="P1855" s="232" t="s">
        <v>1405</v>
      </c>
      <c r="Q1855" s="232" t="s">
        <v>131</v>
      </c>
      <c r="R1855" s="232" t="s">
        <v>131</v>
      </c>
      <c r="S1855" s="232" t="s">
        <v>131</v>
      </c>
      <c r="T1855" s="232"/>
      <c r="U1855" s="232" t="s">
        <v>1316</v>
      </c>
      <c r="V1855" s="232"/>
      <c r="W1855" s="232"/>
      <c r="X1855" s="232"/>
      <c r="Y1855" s="232"/>
      <c r="Z1855" s="232"/>
      <c r="AA1855" s="232"/>
      <c r="AB1855" s="232"/>
      <c r="AC1855" s="232"/>
      <c r="AD1855" s="233" t="s">
        <v>5</v>
      </c>
    </row>
    <row r="1856" spans="1:30" s="234" customFormat="1" ht="33" customHeight="1" x14ac:dyDescent="0.3">
      <c r="A1856" s="167">
        <v>31</v>
      </c>
      <c r="B1856" s="168">
        <v>99</v>
      </c>
      <c r="C1856" s="226" t="str">
        <f t="shared" si="38"/>
        <v>31.99</v>
      </c>
      <c r="D1856" s="227" t="s">
        <v>1148</v>
      </c>
      <c r="E1856" s="64" t="str">
        <f>IF(ISBLANK(D1856)=TRUE,"",VLOOKUP(D1856,Krav!$C:$F,4,FALSE))</f>
        <v>10.a.2.1.1.46 - Hvis FordringsSlutDato ikke er valgt: Regel R0062 deaktiveres</v>
      </c>
      <c r="F1856" s="228" t="s">
        <v>226</v>
      </c>
      <c r="G1856" s="228" t="s">
        <v>313</v>
      </c>
      <c r="H1856" s="229" t="s">
        <v>1404</v>
      </c>
      <c r="I1856" s="237" t="s">
        <v>408</v>
      </c>
      <c r="J1856" s="230" t="s">
        <v>222</v>
      </c>
      <c r="K1856" s="123" t="s">
        <v>222</v>
      </c>
      <c r="L1856" s="231" t="s">
        <v>4</v>
      </c>
      <c r="M1856" s="232" t="s">
        <v>129</v>
      </c>
      <c r="N1856" s="232" t="s">
        <v>131</v>
      </c>
      <c r="O1856" s="232" t="s">
        <v>1403</v>
      </c>
      <c r="P1856" s="232" t="s">
        <v>1405</v>
      </c>
      <c r="Q1856" s="232" t="s">
        <v>131</v>
      </c>
      <c r="R1856" s="232" t="s">
        <v>131</v>
      </c>
      <c r="S1856" s="232" t="s">
        <v>131</v>
      </c>
      <c r="T1856" s="232"/>
      <c r="U1856" s="232" t="s">
        <v>1317</v>
      </c>
      <c r="V1856" s="232"/>
      <c r="W1856" s="232"/>
      <c r="X1856" s="232"/>
      <c r="Y1856" s="232"/>
      <c r="Z1856" s="232"/>
      <c r="AA1856" s="232"/>
      <c r="AB1856" s="232"/>
      <c r="AC1856" s="232"/>
      <c r="AD1856" s="233" t="s">
        <v>5</v>
      </c>
    </row>
    <row r="1857" spans="1:30" s="234" customFormat="1" ht="33" customHeight="1" x14ac:dyDescent="0.3">
      <c r="A1857" s="167">
        <v>31</v>
      </c>
      <c r="B1857" s="168">
        <v>100</v>
      </c>
      <c r="C1857" s="226" t="str">
        <f t="shared" si="38"/>
        <v>31.100</v>
      </c>
      <c r="D1857" s="227" t="s">
        <v>1156</v>
      </c>
      <c r="E1857" s="64" t="str">
        <f>IF(ISBLANK(D1857)=TRUE,"",VLOOKUP(D1857,Krav!$C:$F,4,FALSE))</f>
        <v>10.a.2.1.1.54 - Hvis FordringsSlutDato ikke er valgt: Regel R0070 deaktiveres</v>
      </c>
      <c r="F1857" s="228" t="s">
        <v>226</v>
      </c>
      <c r="G1857" s="228" t="s">
        <v>313</v>
      </c>
      <c r="H1857" s="229" t="s">
        <v>1404</v>
      </c>
      <c r="I1857" s="237" t="s">
        <v>408</v>
      </c>
      <c r="J1857" s="230" t="s">
        <v>222</v>
      </c>
      <c r="K1857" s="123" t="s">
        <v>222</v>
      </c>
      <c r="L1857" s="231" t="s">
        <v>4</v>
      </c>
      <c r="M1857" s="232" t="s">
        <v>129</v>
      </c>
      <c r="N1857" s="232" t="s">
        <v>131</v>
      </c>
      <c r="O1857" s="232" t="s">
        <v>1403</v>
      </c>
      <c r="P1857" s="232" t="s">
        <v>1405</v>
      </c>
      <c r="Q1857" s="232" t="s">
        <v>131</v>
      </c>
      <c r="R1857" s="232" t="s">
        <v>131</v>
      </c>
      <c r="S1857" s="232" t="s">
        <v>131</v>
      </c>
      <c r="T1857" s="232"/>
      <c r="U1857" s="232" t="s">
        <v>1313</v>
      </c>
      <c r="V1857" s="232"/>
      <c r="W1857" s="232"/>
      <c r="X1857" s="232"/>
      <c r="Y1857" s="232"/>
      <c r="Z1857" s="232"/>
      <c r="AA1857" s="232"/>
      <c r="AB1857" s="232"/>
      <c r="AC1857" s="232"/>
      <c r="AD1857" s="233" t="s">
        <v>5</v>
      </c>
    </row>
    <row r="1858" spans="1:30" s="234" customFormat="1" ht="33" customHeight="1" x14ac:dyDescent="0.3">
      <c r="A1858" s="167">
        <v>31</v>
      </c>
      <c r="B1858" s="168">
        <v>101</v>
      </c>
      <c r="C1858" s="226" t="str">
        <f t="shared" si="38"/>
        <v>31.101</v>
      </c>
      <c r="D1858" s="227" t="s">
        <v>1145</v>
      </c>
      <c r="E1858" s="64" t="str">
        <f>IF(ISBLANK(D1858)=TRUE,"",VLOOKUP(D1858,Krav!$C:$F,4,FALSE))</f>
        <v>10.a.2.1.1.43 - Hvis FordringsSlutDato ikke er valgt: Regel R0059 deaktiveres</v>
      </c>
      <c r="F1858" s="228" t="s">
        <v>226</v>
      </c>
      <c r="G1858" s="228" t="s">
        <v>313</v>
      </c>
      <c r="H1858" s="229" t="s">
        <v>1404</v>
      </c>
      <c r="I1858" s="230" t="s">
        <v>410</v>
      </c>
      <c r="J1858" s="237" t="s">
        <v>222</v>
      </c>
      <c r="K1858" s="123" t="s">
        <v>222</v>
      </c>
      <c r="L1858" s="231" t="s">
        <v>4</v>
      </c>
      <c r="M1858" s="232" t="s">
        <v>129</v>
      </c>
      <c r="N1858" s="232" t="s">
        <v>131</v>
      </c>
      <c r="O1858" s="232" t="s">
        <v>1405</v>
      </c>
      <c r="P1858" s="232" t="s">
        <v>1403</v>
      </c>
      <c r="Q1858" s="232" t="s">
        <v>131</v>
      </c>
      <c r="R1858" s="232" t="s">
        <v>131</v>
      </c>
      <c r="S1858" s="232" t="s">
        <v>131</v>
      </c>
      <c r="T1858" s="232"/>
      <c r="U1858" s="232" t="s">
        <v>1314</v>
      </c>
      <c r="V1858" s="232"/>
      <c r="W1858" s="232"/>
      <c r="X1858" s="232"/>
      <c r="Y1858" s="232"/>
      <c r="Z1858" s="232"/>
      <c r="AA1858" s="232"/>
      <c r="AB1858" s="232"/>
      <c r="AC1858" s="232"/>
      <c r="AD1858" s="233" t="s">
        <v>5</v>
      </c>
    </row>
    <row r="1859" spans="1:30" s="234" customFormat="1" ht="33" customHeight="1" x14ac:dyDescent="0.3">
      <c r="A1859" s="167">
        <v>31</v>
      </c>
      <c r="B1859" s="168">
        <v>102</v>
      </c>
      <c r="C1859" s="226" t="str">
        <f t="shared" si="38"/>
        <v>31.102</v>
      </c>
      <c r="D1859" s="227" t="s">
        <v>1146</v>
      </c>
      <c r="E1859" s="64" t="str">
        <f>IF(ISBLANK(D1859)=TRUE,"",VLOOKUP(D1859,Krav!$C:$F,4,FALSE))</f>
        <v>10.a.2.1.1.44 - Hvis FordringsSlutDato ikke er valgt: Regel R0060 deaktiveres</v>
      </c>
      <c r="F1859" s="228" t="s">
        <v>226</v>
      </c>
      <c r="G1859" s="228" t="s">
        <v>313</v>
      </c>
      <c r="H1859" s="229" t="s">
        <v>1404</v>
      </c>
      <c r="I1859" s="230" t="s">
        <v>410</v>
      </c>
      <c r="J1859" s="237" t="s">
        <v>222</v>
      </c>
      <c r="K1859" s="123" t="s">
        <v>222</v>
      </c>
      <c r="L1859" s="231" t="s">
        <v>4</v>
      </c>
      <c r="M1859" s="232" t="s">
        <v>129</v>
      </c>
      <c r="N1859" s="232" t="s">
        <v>131</v>
      </c>
      <c r="O1859" s="232" t="s">
        <v>1405</v>
      </c>
      <c r="P1859" s="232" t="s">
        <v>1403</v>
      </c>
      <c r="Q1859" s="232" t="s">
        <v>131</v>
      </c>
      <c r="R1859" s="232" t="s">
        <v>131</v>
      </c>
      <c r="S1859" s="232" t="s">
        <v>131</v>
      </c>
      <c r="T1859" s="232"/>
      <c r="U1859" s="232" t="s">
        <v>1315</v>
      </c>
      <c r="V1859" s="232"/>
      <c r="W1859" s="232"/>
      <c r="X1859" s="232"/>
      <c r="Y1859" s="232"/>
      <c r="Z1859" s="232"/>
      <c r="AA1859" s="232"/>
      <c r="AB1859" s="232"/>
      <c r="AC1859" s="232"/>
      <c r="AD1859" s="233" t="s">
        <v>5</v>
      </c>
    </row>
    <row r="1860" spans="1:30" s="234" customFormat="1" ht="33" customHeight="1" x14ac:dyDescent="0.3">
      <c r="A1860" s="167">
        <v>31</v>
      </c>
      <c r="B1860" s="168">
        <v>103</v>
      </c>
      <c r="C1860" s="226" t="str">
        <f t="shared" si="38"/>
        <v>31.103</v>
      </c>
      <c r="D1860" s="227" t="s">
        <v>1147</v>
      </c>
      <c r="E1860" s="64" t="str">
        <f>IF(ISBLANK(D1860)=TRUE,"",VLOOKUP(D1860,Krav!$C:$F,4,FALSE))</f>
        <v>10.a.2.1.1.45 - Hvis FordringsSlutDato ikke er valgt: Regel R0061 deaktiveres</v>
      </c>
      <c r="F1860" s="228" t="s">
        <v>226</v>
      </c>
      <c r="G1860" s="228" t="s">
        <v>313</v>
      </c>
      <c r="H1860" s="229" t="s">
        <v>1404</v>
      </c>
      <c r="I1860" s="230" t="s">
        <v>410</v>
      </c>
      <c r="J1860" s="230" t="s">
        <v>222</v>
      </c>
      <c r="K1860" s="123" t="s">
        <v>222</v>
      </c>
      <c r="L1860" s="231" t="s">
        <v>4</v>
      </c>
      <c r="M1860" s="232" t="s">
        <v>129</v>
      </c>
      <c r="N1860" s="232" t="s">
        <v>131</v>
      </c>
      <c r="O1860" s="232" t="s">
        <v>1405</v>
      </c>
      <c r="P1860" s="232" t="s">
        <v>1403</v>
      </c>
      <c r="Q1860" s="232" t="s">
        <v>131</v>
      </c>
      <c r="R1860" s="232" t="s">
        <v>131</v>
      </c>
      <c r="S1860" s="232" t="s">
        <v>131</v>
      </c>
      <c r="T1860" s="232"/>
      <c r="U1860" s="232" t="s">
        <v>1316</v>
      </c>
      <c r="V1860" s="232"/>
      <c r="W1860" s="232"/>
      <c r="X1860" s="232"/>
      <c r="Y1860" s="232"/>
      <c r="Z1860" s="232"/>
      <c r="AA1860" s="232"/>
      <c r="AB1860" s="232"/>
      <c r="AC1860" s="232"/>
      <c r="AD1860" s="233" t="s">
        <v>5</v>
      </c>
    </row>
    <row r="1861" spans="1:30" s="234" customFormat="1" ht="33" customHeight="1" x14ac:dyDescent="0.3">
      <c r="A1861" s="167">
        <v>31</v>
      </c>
      <c r="B1861" s="168">
        <v>104</v>
      </c>
      <c r="C1861" s="226" t="str">
        <f t="shared" si="38"/>
        <v>31.104</v>
      </c>
      <c r="D1861" s="227" t="s">
        <v>1148</v>
      </c>
      <c r="E1861" s="64" t="str">
        <f>IF(ISBLANK(D1861)=TRUE,"",VLOOKUP(D1861,Krav!$C:$F,4,FALSE))</f>
        <v>10.a.2.1.1.46 - Hvis FordringsSlutDato ikke er valgt: Regel R0062 deaktiveres</v>
      </c>
      <c r="F1861" s="228" t="s">
        <v>226</v>
      </c>
      <c r="G1861" s="228" t="s">
        <v>313</v>
      </c>
      <c r="H1861" s="229" t="s">
        <v>1404</v>
      </c>
      <c r="I1861" s="230" t="s">
        <v>410</v>
      </c>
      <c r="J1861" s="230" t="s">
        <v>222</v>
      </c>
      <c r="K1861" s="123" t="s">
        <v>222</v>
      </c>
      <c r="L1861" s="231" t="s">
        <v>4</v>
      </c>
      <c r="M1861" s="232" t="s">
        <v>129</v>
      </c>
      <c r="N1861" s="232" t="s">
        <v>131</v>
      </c>
      <c r="O1861" s="232" t="s">
        <v>1405</v>
      </c>
      <c r="P1861" s="232" t="s">
        <v>1403</v>
      </c>
      <c r="Q1861" s="232" t="s">
        <v>131</v>
      </c>
      <c r="R1861" s="232" t="s">
        <v>131</v>
      </c>
      <c r="S1861" s="232" t="s">
        <v>131</v>
      </c>
      <c r="T1861" s="232"/>
      <c r="U1861" s="232" t="s">
        <v>1317</v>
      </c>
      <c r="V1861" s="232"/>
      <c r="W1861" s="232"/>
      <c r="X1861" s="232"/>
      <c r="Y1861" s="232"/>
      <c r="Z1861" s="232"/>
      <c r="AA1861" s="232"/>
      <c r="AB1861" s="232"/>
      <c r="AC1861" s="232"/>
      <c r="AD1861" s="233" t="s">
        <v>5</v>
      </c>
    </row>
    <row r="1862" spans="1:30" s="234" customFormat="1" ht="33" customHeight="1" x14ac:dyDescent="0.3">
      <c r="A1862" s="167">
        <v>31</v>
      </c>
      <c r="B1862" s="168">
        <v>105</v>
      </c>
      <c r="C1862" s="226" t="str">
        <f t="shared" si="38"/>
        <v>31.105</v>
      </c>
      <c r="D1862" s="227" t="s">
        <v>1156</v>
      </c>
      <c r="E1862" s="64" t="str">
        <f>IF(ISBLANK(D1862)=TRUE,"",VLOOKUP(D1862,Krav!$C:$F,4,FALSE))</f>
        <v>10.a.2.1.1.54 - Hvis FordringsSlutDato ikke er valgt: Regel R0070 deaktiveres</v>
      </c>
      <c r="F1862" s="228" t="s">
        <v>226</v>
      </c>
      <c r="G1862" s="228" t="s">
        <v>313</v>
      </c>
      <c r="H1862" s="229" t="s">
        <v>1404</v>
      </c>
      <c r="I1862" s="230" t="s">
        <v>410</v>
      </c>
      <c r="J1862" s="230" t="s">
        <v>222</v>
      </c>
      <c r="K1862" s="123" t="s">
        <v>222</v>
      </c>
      <c r="L1862" s="231" t="s">
        <v>4</v>
      </c>
      <c r="M1862" s="232" t="s">
        <v>129</v>
      </c>
      <c r="N1862" s="232" t="s">
        <v>131</v>
      </c>
      <c r="O1862" s="232" t="s">
        <v>1405</v>
      </c>
      <c r="P1862" s="232" t="s">
        <v>1403</v>
      </c>
      <c r="Q1862" s="232" t="s">
        <v>131</v>
      </c>
      <c r="R1862" s="232" t="s">
        <v>131</v>
      </c>
      <c r="S1862" s="232" t="s">
        <v>131</v>
      </c>
      <c r="T1862" s="232"/>
      <c r="U1862" s="232" t="s">
        <v>1313</v>
      </c>
      <c r="V1862" s="232"/>
      <c r="W1862" s="232"/>
      <c r="X1862" s="232"/>
      <c r="Y1862" s="232"/>
      <c r="Z1862" s="232"/>
      <c r="AA1862" s="232"/>
      <c r="AB1862" s="232"/>
      <c r="AC1862" s="232"/>
      <c r="AD1862" s="233" t="s">
        <v>5</v>
      </c>
    </row>
    <row r="1863" spans="1:30" s="234" customFormat="1" ht="33" customHeight="1" x14ac:dyDescent="0.3">
      <c r="A1863" s="167">
        <v>31</v>
      </c>
      <c r="B1863" s="168">
        <v>106</v>
      </c>
      <c r="C1863" s="226" t="str">
        <f t="shared" si="38"/>
        <v>31.106</v>
      </c>
      <c r="D1863" s="227" t="s">
        <v>1236</v>
      </c>
      <c r="E1863" s="64" t="str">
        <f>IF(ISBLANK(D1863)=TRUE,"",VLOOKUP(D1863,Krav!$C:$F,4,FALSE))</f>
        <v>10.a.2.1.1.109 - Der angives et ”JA” i populationen under ”Vil RIM beregne en tidligst mulig forældelsesdato?”</v>
      </c>
      <c r="F1863" s="228" t="s">
        <v>221</v>
      </c>
      <c r="G1863" s="228"/>
      <c r="H1863" s="229" t="s">
        <v>1406</v>
      </c>
      <c r="I1863" s="230" t="s">
        <v>240</v>
      </c>
      <c r="J1863" s="230" t="s">
        <v>222</v>
      </c>
      <c r="K1863" s="125" t="s">
        <v>222</v>
      </c>
      <c r="L1863" s="238" t="s">
        <v>3</v>
      </c>
      <c r="M1863" s="232" t="s">
        <v>131</v>
      </c>
      <c r="N1863" s="232" t="s">
        <v>129</v>
      </c>
      <c r="O1863" s="232" t="s">
        <v>376</v>
      </c>
      <c r="P1863" s="232" t="s">
        <v>376</v>
      </c>
      <c r="Q1863" s="232" t="s">
        <v>131</v>
      </c>
      <c r="R1863" s="232" t="s">
        <v>131</v>
      </c>
      <c r="S1863" s="232" t="s">
        <v>131</v>
      </c>
      <c r="T1863" s="232"/>
      <c r="U1863" s="232"/>
      <c r="V1863" s="232"/>
      <c r="W1863" s="232"/>
      <c r="X1863" s="232"/>
      <c r="Y1863" s="232"/>
      <c r="Z1863" s="232"/>
      <c r="AA1863" s="232"/>
      <c r="AB1863" s="232"/>
      <c r="AC1863" s="232"/>
      <c r="AD1863" s="233" t="s">
        <v>5</v>
      </c>
    </row>
    <row r="1864" spans="1:30" s="234" customFormat="1" ht="33" customHeight="1" x14ac:dyDescent="0.3">
      <c r="A1864" s="167">
        <v>31</v>
      </c>
      <c r="B1864" s="168">
        <v>107</v>
      </c>
      <c r="C1864" s="226" t="str">
        <f t="shared" si="38"/>
        <v>31.107</v>
      </c>
      <c r="D1864" s="227"/>
      <c r="E1864" s="64" t="str">
        <f>IF(ISBLANK(D1864)=TRUE,"",VLOOKUP(D1864,Krav!$C:$F,4,FALSE))</f>
        <v/>
      </c>
      <c r="F1864" s="228" t="s">
        <v>225</v>
      </c>
      <c r="G1864" s="235" t="s">
        <v>231</v>
      </c>
      <c r="H1864" s="235" t="s">
        <v>158</v>
      </c>
      <c r="I1864" s="230" t="s">
        <v>1443</v>
      </c>
      <c r="J1864" s="230" t="s">
        <v>222</v>
      </c>
      <c r="K1864" s="123" t="s">
        <v>222</v>
      </c>
      <c r="L1864" s="238" t="s">
        <v>3</v>
      </c>
      <c r="M1864" s="232" t="s">
        <v>131</v>
      </c>
      <c r="N1864" s="232" t="s">
        <v>129</v>
      </c>
      <c r="O1864" s="232" t="s">
        <v>376</v>
      </c>
      <c r="P1864" s="232" t="s">
        <v>376</v>
      </c>
      <c r="Q1864" s="232" t="s">
        <v>131</v>
      </c>
      <c r="R1864" s="232" t="s">
        <v>131</v>
      </c>
      <c r="S1864" s="232" t="s">
        <v>131</v>
      </c>
      <c r="T1864" s="232"/>
      <c r="U1864" s="232"/>
      <c r="V1864" s="232"/>
      <c r="W1864" s="232"/>
      <c r="X1864" s="232"/>
      <c r="Y1864" s="232"/>
      <c r="Z1864" s="232"/>
      <c r="AA1864" s="232"/>
      <c r="AB1864" s="232"/>
      <c r="AC1864" s="232"/>
      <c r="AD1864" s="233" t="s">
        <v>5</v>
      </c>
    </row>
    <row r="1865" spans="1:30" s="234" customFormat="1" ht="33" customHeight="1" x14ac:dyDescent="0.3">
      <c r="A1865" s="167">
        <v>31</v>
      </c>
      <c r="B1865" s="168">
        <v>108</v>
      </c>
      <c r="C1865" s="226" t="str">
        <f t="shared" si="38"/>
        <v>31.108</v>
      </c>
      <c r="D1865" s="227"/>
      <c r="E1865" s="64" t="str">
        <f>IF(ISBLANK(D1865)=TRUE,"",VLOOKUP(D1865,Krav!$C:$F,4,FALSE))</f>
        <v/>
      </c>
      <c r="F1865" s="228" t="s">
        <v>225</v>
      </c>
      <c r="G1865" s="235" t="s">
        <v>1388</v>
      </c>
      <c r="H1865" s="235" t="s">
        <v>158</v>
      </c>
      <c r="I1865" s="230" t="s">
        <v>376</v>
      </c>
      <c r="J1865" s="230" t="s">
        <v>222</v>
      </c>
      <c r="K1865" s="123" t="s">
        <v>222</v>
      </c>
      <c r="L1865" s="238" t="s">
        <v>3</v>
      </c>
      <c r="M1865" s="232" t="s">
        <v>131</v>
      </c>
      <c r="N1865" s="232" t="s">
        <v>129</v>
      </c>
      <c r="O1865" s="232" t="s">
        <v>376</v>
      </c>
      <c r="P1865" s="232" t="s">
        <v>376</v>
      </c>
      <c r="Q1865" s="232" t="s">
        <v>131</v>
      </c>
      <c r="R1865" s="232" t="s">
        <v>131</v>
      </c>
      <c r="S1865" s="232" t="s">
        <v>131</v>
      </c>
      <c r="T1865" s="232"/>
      <c r="U1865" s="232"/>
      <c r="V1865" s="232"/>
      <c r="W1865" s="232"/>
      <c r="X1865" s="232"/>
      <c r="Y1865" s="232"/>
      <c r="Z1865" s="232"/>
      <c r="AA1865" s="232"/>
      <c r="AB1865" s="232"/>
      <c r="AC1865" s="232"/>
      <c r="AD1865" s="233" t="s">
        <v>5</v>
      </c>
    </row>
    <row r="1866" spans="1:30" s="234" customFormat="1" ht="33" customHeight="1" x14ac:dyDescent="0.3">
      <c r="A1866" s="167">
        <v>31</v>
      </c>
      <c r="B1866" s="168">
        <v>109</v>
      </c>
      <c r="C1866" s="226" t="str">
        <f t="shared" si="38"/>
        <v>31.109</v>
      </c>
      <c r="D1866" s="227"/>
      <c r="E1866" s="64" t="str">
        <f>IF(ISBLANK(D1866)=TRUE,"",VLOOKUP(D1866,Krav!$C:$F,4,FALSE))</f>
        <v/>
      </c>
      <c r="F1866" s="228" t="s">
        <v>225</v>
      </c>
      <c r="G1866" s="235" t="s">
        <v>1389</v>
      </c>
      <c r="H1866" s="235" t="s">
        <v>158</v>
      </c>
      <c r="I1866" s="230" t="s">
        <v>376</v>
      </c>
      <c r="J1866" s="230" t="s">
        <v>222</v>
      </c>
      <c r="K1866" s="123" t="s">
        <v>222</v>
      </c>
      <c r="L1866" s="238" t="s">
        <v>3</v>
      </c>
      <c r="M1866" s="232" t="s">
        <v>131</v>
      </c>
      <c r="N1866" s="232" t="s">
        <v>129</v>
      </c>
      <c r="O1866" s="232" t="s">
        <v>376</v>
      </c>
      <c r="P1866" s="232" t="s">
        <v>376</v>
      </c>
      <c r="Q1866" s="232" t="s">
        <v>131</v>
      </c>
      <c r="R1866" s="232" t="s">
        <v>131</v>
      </c>
      <c r="S1866" s="232" t="s">
        <v>131</v>
      </c>
      <c r="T1866" s="232"/>
      <c r="U1866" s="232"/>
      <c r="V1866" s="232"/>
      <c r="W1866" s="232"/>
      <c r="X1866" s="232"/>
      <c r="Y1866" s="232"/>
      <c r="Z1866" s="232"/>
      <c r="AA1866" s="232"/>
      <c r="AB1866" s="232"/>
      <c r="AC1866" s="232"/>
      <c r="AD1866" s="233" t="s">
        <v>5</v>
      </c>
    </row>
    <row r="1867" spans="1:30" s="234" customFormat="1" ht="33" customHeight="1" x14ac:dyDescent="0.3">
      <c r="A1867" s="167">
        <v>31</v>
      </c>
      <c r="B1867" s="168">
        <v>110</v>
      </c>
      <c r="C1867" s="226" t="str">
        <f t="shared" si="38"/>
        <v>31.110</v>
      </c>
      <c r="D1867" s="227" t="s">
        <v>1089</v>
      </c>
      <c r="E1867" s="64" t="str">
        <f>IF(ISBLANK(D1867)=TRUE,"",VLOOKUP(D1867,Krav!$C:$F,4,FALSE))</f>
        <v>10.a.2.18 - Såfremt brugeren angiver antal dage skal brugeren ledes til spørgsmål 10.a.2.1</v>
      </c>
      <c r="F1867" s="239" t="s">
        <v>174</v>
      </c>
      <c r="G1867" s="240"/>
      <c r="H1867" s="229" t="s">
        <v>1413</v>
      </c>
      <c r="I1867" s="230" t="s">
        <v>1414</v>
      </c>
      <c r="J1867" s="230" t="s">
        <v>222</v>
      </c>
      <c r="K1867" s="125" t="s">
        <v>222</v>
      </c>
      <c r="L1867" s="238" t="s">
        <v>4</v>
      </c>
      <c r="M1867" s="232" t="s">
        <v>131</v>
      </c>
      <c r="N1867" s="232" t="s">
        <v>129</v>
      </c>
      <c r="O1867" s="241" t="s">
        <v>96</v>
      </c>
      <c r="P1867" s="232" t="s">
        <v>376</v>
      </c>
      <c r="Q1867" s="232" t="s">
        <v>131</v>
      </c>
      <c r="R1867" s="232" t="s">
        <v>131</v>
      </c>
      <c r="S1867" s="232" t="s">
        <v>131</v>
      </c>
      <c r="T1867" s="232"/>
      <c r="U1867" s="232"/>
      <c r="V1867" s="232"/>
      <c r="W1867" s="232"/>
      <c r="X1867" s="232"/>
      <c r="Y1867" s="232"/>
      <c r="Z1867" s="232"/>
      <c r="AA1867" s="232"/>
      <c r="AB1867" s="232"/>
      <c r="AC1867" s="232"/>
      <c r="AD1867" s="233" t="s">
        <v>5</v>
      </c>
    </row>
    <row r="1868" spans="1:30" s="234" customFormat="1" ht="33" customHeight="1" x14ac:dyDescent="0.3">
      <c r="A1868" s="167">
        <v>31</v>
      </c>
      <c r="B1868" s="168">
        <v>111</v>
      </c>
      <c r="C1868" s="226" t="str">
        <f t="shared" si="38"/>
        <v>31.111</v>
      </c>
      <c r="D1868" s="227" t="s">
        <v>1089</v>
      </c>
      <c r="E1868" s="64" t="str">
        <f>IF(ISBLANK(D1868)=TRUE,"",VLOOKUP(D1868,Krav!$C:$F,4,FALSE))</f>
        <v>10.a.2.18 - Såfremt brugeren angiver antal dage skal brugeren ledes til spørgsmål 10.a.2.1</v>
      </c>
      <c r="F1868" s="239" t="s">
        <v>418</v>
      </c>
      <c r="G1868" s="239" t="s">
        <v>419</v>
      </c>
      <c r="H1868" s="229" t="s">
        <v>1415</v>
      </c>
      <c r="I1868" s="230" t="s">
        <v>129</v>
      </c>
      <c r="J1868" s="237" t="s">
        <v>222</v>
      </c>
      <c r="K1868" s="123" t="s">
        <v>222</v>
      </c>
      <c r="L1868" s="231" t="s">
        <v>3</v>
      </c>
      <c r="M1868" s="232" t="s">
        <v>131</v>
      </c>
      <c r="N1868" s="232" t="s">
        <v>129</v>
      </c>
      <c r="O1868" s="241" t="s">
        <v>96</v>
      </c>
      <c r="P1868" s="232" t="s">
        <v>376</v>
      </c>
      <c r="Q1868" s="232" t="s">
        <v>131</v>
      </c>
      <c r="R1868" s="232" t="s">
        <v>131</v>
      </c>
      <c r="S1868" s="232" t="s">
        <v>131</v>
      </c>
      <c r="T1868" s="232"/>
      <c r="U1868" s="232"/>
      <c r="V1868" s="232"/>
      <c r="W1868" s="232"/>
      <c r="X1868" s="232"/>
      <c r="Y1868" s="232"/>
      <c r="Z1868" s="232"/>
      <c r="AA1868" s="232"/>
      <c r="AB1868" s="232"/>
      <c r="AC1868" s="232"/>
      <c r="AD1868" s="233" t="s">
        <v>5</v>
      </c>
    </row>
    <row r="1869" spans="1:30" s="234" customFormat="1" ht="33" customHeight="1" x14ac:dyDescent="0.3">
      <c r="A1869" s="167">
        <v>31</v>
      </c>
      <c r="B1869" s="168">
        <v>112</v>
      </c>
      <c r="C1869" s="226" t="str">
        <f t="shared" si="38"/>
        <v>31.112</v>
      </c>
      <c r="D1869" s="227" t="s">
        <v>1099</v>
      </c>
      <c r="E1869" s="64" t="str">
        <f>IF(ISBLANK(D1869)=TRUE,"",VLOOKUP(D1869,Krav!$C:$F,4,FALSE))</f>
        <v>10.a.2.1.2 - Såfremt brugeren angiver en frist skal brugeren ledes til spørgsmål 10.a.2.1.1</v>
      </c>
      <c r="F1869" s="239" t="s">
        <v>174</v>
      </c>
      <c r="G1869" s="240"/>
      <c r="H1869" s="229" t="s">
        <v>1413</v>
      </c>
      <c r="I1869" s="230" t="s">
        <v>1414</v>
      </c>
      <c r="J1869" s="230" t="s">
        <v>222</v>
      </c>
      <c r="K1869" s="125" t="s">
        <v>222</v>
      </c>
      <c r="L1869" s="238" t="s">
        <v>4</v>
      </c>
      <c r="M1869" s="232" t="s">
        <v>131</v>
      </c>
      <c r="N1869" s="232" t="s">
        <v>129</v>
      </c>
      <c r="O1869" s="232" t="s">
        <v>376</v>
      </c>
      <c r="P1869" s="241" t="s">
        <v>96</v>
      </c>
      <c r="Q1869" s="232" t="s">
        <v>131</v>
      </c>
      <c r="R1869" s="232" t="s">
        <v>131</v>
      </c>
      <c r="S1869" s="232" t="s">
        <v>131</v>
      </c>
      <c r="T1869" s="232"/>
      <c r="U1869" s="232"/>
      <c r="V1869" s="232"/>
      <c r="W1869" s="232"/>
      <c r="X1869" s="232"/>
      <c r="Y1869" s="232"/>
      <c r="Z1869" s="232"/>
      <c r="AA1869" s="232"/>
      <c r="AB1869" s="232"/>
      <c r="AC1869" s="232"/>
      <c r="AD1869" s="233" t="s">
        <v>5</v>
      </c>
    </row>
    <row r="1870" spans="1:30" s="234" customFormat="1" ht="33" customHeight="1" x14ac:dyDescent="0.3">
      <c r="A1870" s="167">
        <v>31</v>
      </c>
      <c r="B1870" s="168">
        <v>113</v>
      </c>
      <c r="C1870" s="226" t="str">
        <f t="shared" si="38"/>
        <v>31.113</v>
      </c>
      <c r="D1870" s="227" t="s">
        <v>1099</v>
      </c>
      <c r="E1870" s="64" t="str">
        <f>IF(ISBLANK(D1870)=TRUE,"",VLOOKUP(D1870,Krav!$C:$F,4,FALSE))</f>
        <v>10.a.2.1.2 - Såfremt brugeren angiver en frist skal brugeren ledes til spørgsmål 10.a.2.1.1</v>
      </c>
      <c r="F1870" s="239" t="s">
        <v>418</v>
      </c>
      <c r="G1870" s="239" t="s">
        <v>419</v>
      </c>
      <c r="H1870" s="229" t="s">
        <v>1415</v>
      </c>
      <c r="I1870" s="230" t="s">
        <v>129</v>
      </c>
      <c r="J1870" s="230" t="s">
        <v>222</v>
      </c>
      <c r="K1870" s="123" t="s">
        <v>222</v>
      </c>
      <c r="L1870" s="238" t="s">
        <v>3</v>
      </c>
      <c r="M1870" s="232" t="s">
        <v>131</v>
      </c>
      <c r="N1870" s="232" t="s">
        <v>129</v>
      </c>
      <c r="O1870" s="232" t="s">
        <v>376</v>
      </c>
      <c r="P1870" s="241" t="s">
        <v>96</v>
      </c>
      <c r="Q1870" s="232" t="s">
        <v>131</v>
      </c>
      <c r="R1870" s="232" t="s">
        <v>131</v>
      </c>
      <c r="S1870" s="232" t="s">
        <v>131</v>
      </c>
      <c r="T1870" s="232"/>
      <c r="U1870" s="232"/>
      <c r="V1870" s="232"/>
      <c r="W1870" s="232"/>
      <c r="X1870" s="232"/>
      <c r="Y1870" s="232"/>
      <c r="Z1870" s="232"/>
      <c r="AA1870" s="232"/>
      <c r="AB1870" s="232"/>
      <c r="AC1870" s="232"/>
      <c r="AD1870" s="233" t="s">
        <v>5</v>
      </c>
    </row>
    <row r="1871" spans="1:30" s="234" customFormat="1" ht="33" customHeight="1" x14ac:dyDescent="0.3">
      <c r="A1871" s="167">
        <v>31</v>
      </c>
      <c r="B1871" s="168">
        <v>114</v>
      </c>
      <c r="C1871" s="226" t="str">
        <f t="shared" si="38"/>
        <v>31.114</v>
      </c>
      <c r="D1871" s="227" t="s">
        <v>1089</v>
      </c>
      <c r="E1871" s="64" t="str">
        <f>IF(ISBLANK(D1871)=TRUE,"",VLOOKUP(D1871,Krav!$C:$F,4,FALSE))</f>
        <v>10.a.2.18 - Såfremt brugeren angiver antal dage skal brugeren ledes til spørgsmål 10.a.2.1</v>
      </c>
      <c r="F1871" s="239" t="s">
        <v>174</v>
      </c>
      <c r="G1871" s="240"/>
      <c r="H1871" s="229" t="s">
        <v>1416</v>
      </c>
      <c r="I1871" s="230" t="s">
        <v>1414</v>
      </c>
      <c r="J1871" s="230" t="s">
        <v>222</v>
      </c>
      <c r="K1871" s="125" t="s">
        <v>222</v>
      </c>
      <c r="L1871" s="238" t="s">
        <v>3</v>
      </c>
      <c r="M1871" s="232" t="s">
        <v>131</v>
      </c>
      <c r="N1871" s="232" t="s">
        <v>129</v>
      </c>
      <c r="O1871" s="241" t="s">
        <v>97</v>
      </c>
      <c r="P1871" s="232" t="s">
        <v>376</v>
      </c>
      <c r="Q1871" s="232" t="s">
        <v>131</v>
      </c>
      <c r="R1871" s="232" t="s">
        <v>131</v>
      </c>
      <c r="S1871" s="232" t="s">
        <v>131</v>
      </c>
      <c r="T1871" s="232"/>
      <c r="U1871" s="232"/>
      <c r="V1871" s="232"/>
      <c r="W1871" s="232"/>
      <c r="X1871" s="232"/>
      <c r="Y1871" s="232"/>
      <c r="Z1871" s="232"/>
      <c r="AA1871" s="232"/>
      <c r="AB1871" s="232"/>
      <c r="AC1871" s="232"/>
      <c r="AD1871" s="233" t="s">
        <v>5</v>
      </c>
    </row>
    <row r="1872" spans="1:30" s="234" customFormat="1" ht="33" customHeight="1" x14ac:dyDescent="0.3">
      <c r="A1872" s="167">
        <v>31</v>
      </c>
      <c r="B1872" s="168">
        <v>115</v>
      </c>
      <c r="C1872" s="226" t="str">
        <f t="shared" si="38"/>
        <v>31.115</v>
      </c>
      <c r="D1872" s="227" t="s">
        <v>1089</v>
      </c>
      <c r="E1872" s="64" t="str">
        <f>IF(ISBLANK(D1872)=TRUE,"",VLOOKUP(D1872,Krav!$C:$F,4,FALSE))</f>
        <v>10.a.2.18 - Såfremt brugeren angiver antal dage skal brugeren ledes til spørgsmål 10.a.2.1</v>
      </c>
      <c r="F1872" s="239" t="s">
        <v>418</v>
      </c>
      <c r="G1872" s="239" t="s">
        <v>419</v>
      </c>
      <c r="H1872" s="229" t="s">
        <v>1417</v>
      </c>
      <c r="I1872" s="230" t="s">
        <v>129</v>
      </c>
      <c r="J1872" s="230" t="s">
        <v>222</v>
      </c>
      <c r="K1872" s="123" t="s">
        <v>222</v>
      </c>
      <c r="L1872" s="238" t="s">
        <v>3</v>
      </c>
      <c r="M1872" s="232" t="s">
        <v>131</v>
      </c>
      <c r="N1872" s="232" t="s">
        <v>129</v>
      </c>
      <c r="O1872" s="241" t="s">
        <v>97</v>
      </c>
      <c r="P1872" s="232" t="s">
        <v>376</v>
      </c>
      <c r="Q1872" s="232" t="s">
        <v>131</v>
      </c>
      <c r="R1872" s="232" t="s">
        <v>131</v>
      </c>
      <c r="S1872" s="232" t="s">
        <v>131</v>
      </c>
      <c r="T1872" s="232"/>
      <c r="U1872" s="232"/>
      <c r="V1872" s="232"/>
      <c r="W1872" s="232"/>
      <c r="X1872" s="232"/>
      <c r="Y1872" s="232"/>
      <c r="Z1872" s="232"/>
      <c r="AA1872" s="232"/>
      <c r="AB1872" s="232"/>
      <c r="AC1872" s="232"/>
      <c r="AD1872" s="233" t="s">
        <v>5</v>
      </c>
    </row>
    <row r="1873" spans="1:30" s="234" customFormat="1" ht="33" customHeight="1" x14ac:dyDescent="0.3">
      <c r="A1873" s="167">
        <v>31</v>
      </c>
      <c r="B1873" s="168">
        <v>116</v>
      </c>
      <c r="C1873" s="226" t="str">
        <f t="shared" si="38"/>
        <v>31.116</v>
      </c>
      <c r="D1873" s="227" t="s">
        <v>1099</v>
      </c>
      <c r="E1873" s="64" t="str">
        <f>IF(ISBLANK(D1873)=TRUE,"",VLOOKUP(D1873,Krav!$C:$F,4,FALSE))</f>
        <v>10.a.2.1.2 - Såfremt brugeren angiver en frist skal brugeren ledes til spørgsmål 10.a.2.1.1</v>
      </c>
      <c r="F1873" s="239" t="s">
        <v>174</v>
      </c>
      <c r="G1873" s="240"/>
      <c r="H1873" s="229" t="s">
        <v>1416</v>
      </c>
      <c r="I1873" s="230" t="s">
        <v>1414</v>
      </c>
      <c r="J1873" s="230" t="s">
        <v>222</v>
      </c>
      <c r="K1873" s="125" t="s">
        <v>222</v>
      </c>
      <c r="L1873" s="238" t="s">
        <v>4</v>
      </c>
      <c r="M1873" s="232" t="s">
        <v>131</v>
      </c>
      <c r="N1873" s="232" t="s">
        <v>129</v>
      </c>
      <c r="O1873" s="232" t="s">
        <v>376</v>
      </c>
      <c r="P1873" s="241" t="s">
        <v>97</v>
      </c>
      <c r="Q1873" s="232" t="s">
        <v>131</v>
      </c>
      <c r="R1873" s="232" t="s">
        <v>131</v>
      </c>
      <c r="S1873" s="232" t="s">
        <v>131</v>
      </c>
      <c r="T1873" s="232"/>
      <c r="U1873" s="232"/>
      <c r="V1873" s="232"/>
      <c r="W1873" s="232"/>
      <c r="X1873" s="232"/>
      <c r="Y1873" s="232"/>
      <c r="Z1873" s="232"/>
      <c r="AA1873" s="232"/>
      <c r="AB1873" s="232"/>
      <c r="AC1873" s="232"/>
      <c r="AD1873" s="233" t="s">
        <v>5</v>
      </c>
    </row>
    <row r="1874" spans="1:30" s="234" customFormat="1" ht="33" customHeight="1" x14ac:dyDescent="0.3">
      <c r="A1874" s="167">
        <v>31</v>
      </c>
      <c r="B1874" s="168">
        <v>117</v>
      </c>
      <c r="C1874" s="226" t="str">
        <f t="shared" si="38"/>
        <v>31.117</v>
      </c>
      <c r="D1874" s="227" t="s">
        <v>1099</v>
      </c>
      <c r="E1874" s="64" t="str">
        <f>IF(ISBLANK(D1874)=TRUE,"",VLOOKUP(D1874,Krav!$C:$F,4,FALSE))</f>
        <v>10.a.2.1.2 - Såfremt brugeren angiver en frist skal brugeren ledes til spørgsmål 10.a.2.1.1</v>
      </c>
      <c r="F1874" s="239" t="s">
        <v>418</v>
      </c>
      <c r="G1874" s="239" t="s">
        <v>419</v>
      </c>
      <c r="H1874" s="229" t="s">
        <v>1417</v>
      </c>
      <c r="I1874" s="230" t="s">
        <v>129</v>
      </c>
      <c r="J1874" s="237" t="s">
        <v>222</v>
      </c>
      <c r="K1874" s="123" t="s">
        <v>222</v>
      </c>
      <c r="L1874" s="231" t="s">
        <v>3</v>
      </c>
      <c r="M1874" s="232" t="s">
        <v>131</v>
      </c>
      <c r="N1874" s="232" t="s">
        <v>129</v>
      </c>
      <c r="O1874" s="232" t="s">
        <v>376</v>
      </c>
      <c r="P1874" s="241" t="s">
        <v>97</v>
      </c>
      <c r="Q1874" s="232" t="s">
        <v>131</v>
      </c>
      <c r="R1874" s="232" t="s">
        <v>131</v>
      </c>
      <c r="S1874" s="232" t="s">
        <v>131</v>
      </c>
      <c r="T1874" s="232"/>
      <c r="U1874" s="232"/>
      <c r="V1874" s="232"/>
      <c r="W1874" s="232"/>
      <c r="X1874" s="232"/>
      <c r="Y1874" s="232"/>
      <c r="Z1874" s="232"/>
      <c r="AA1874" s="232"/>
      <c r="AB1874" s="232"/>
      <c r="AC1874" s="232"/>
      <c r="AD1874" s="233" t="s">
        <v>5</v>
      </c>
    </row>
    <row r="1875" spans="1:30" s="234" customFormat="1" ht="33" customHeight="1" x14ac:dyDescent="0.3">
      <c r="A1875" s="167">
        <v>31</v>
      </c>
      <c r="B1875" s="168">
        <v>118</v>
      </c>
      <c r="C1875" s="226" t="str">
        <f t="shared" si="38"/>
        <v>31.118</v>
      </c>
      <c r="D1875" s="227"/>
      <c r="E1875" s="64" t="str">
        <f>IF(ISBLANK(D1875)=TRUE,"",VLOOKUP(D1875,Krav!$C:$F,4,FALSE))</f>
        <v/>
      </c>
      <c r="F1875" s="239" t="s">
        <v>174</v>
      </c>
      <c r="G1875" s="240"/>
      <c r="H1875" s="229" t="s">
        <v>1418</v>
      </c>
      <c r="I1875" s="230" t="s">
        <v>1414</v>
      </c>
      <c r="J1875" s="230" t="s">
        <v>222</v>
      </c>
      <c r="K1875" s="125" t="s">
        <v>222</v>
      </c>
      <c r="L1875" s="238" t="s">
        <v>4</v>
      </c>
      <c r="M1875" s="232" t="s">
        <v>131</v>
      </c>
      <c r="N1875" s="232" t="s">
        <v>129</v>
      </c>
      <c r="O1875" s="241" t="s">
        <v>404</v>
      </c>
      <c r="P1875" s="232" t="s">
        <v>376</v>
      </c>
      <c r="Q1875" s="232" t="s">
        <v>131</v>
      </c>
      <c r="R1875" s="232" t="s">
        <v>131</v>
      </c>
      <c r="S1875" s="232" t="s">
        <v>131</v>
      </c>
      <c r="T1875" s="232"/>
      <c r="U1875" s="232"/>
      <c r="V1875" s="232"/>
      <c r="W1875" s="232"/>
      <c r="X1875" s="232"/>
      <c r="Y1875" s="232"/>
      <c r="Z1875" s="232"/>
      <c r="AA1875" s="232"/>
      <c r="AB1875" s="232"/>
      <c r="AC1875" s="232"/>
      <c r="AD1875" s="233" t="s">
        <v>5</v>
      </c>
    </row>
    <row r="1876" spans="1:30" s="234" customFormat="1" ht="33" customHeight="1" x14ac:dyDescent="0.3">
      <c r="A1876" s="167">
        <v>31</v>
      </c>
      <c r="B1876" s="168">
        <v>119</v>
      </c>
      <c r="C1876" s="226" t="str">
        <f t="shared" si="38"/>
        <v>31.119</v>
      </c>
      <c r="D1876" s="227"/>
      <c r="E1876" s="64" t="str">
        <f>IF(ISBLANK(D1876)=TRUE,"",VLOOKUP(D1876,Krav!$C:$F,4,FALSE))</f>
        <v/>
      </c>
      <c r="F1876" s="239" t="s">
        <v>418</v>
      </c>
      <c r="G1876" s="239" t="s">
        <v>419</v>
      </c>
      <c r="H1876" s="229" t="s">
        <v>1419</v>
      </c>
      <c r="I1876" s="230" t="s">
        <v>129</v>
      </c>
      <c r="J1876" s="236" t="s">
        <v>222</v>
      </c>
      <c r="K1876" s="125" t="s">
        <v>222</v>
      </c>
      <c r="L1876" s="238" t="s">
        <v>4</v>
      </c>
      <c r="M1876" s="232" t="s">
        <v>131</v>
      </c>
      <c r="N1876" s="232" t="s">
        <v>129</v>
      </c>
      <c r="O1876" s="241" t="s">
        <v>404</v>
      </c>
      <c r="P1876" s="232" t="s">
        <v>376</v>
      </c>
      <c r="Q1876" s="232" t="s">
        <v>131</v>
      </c>
      <c r="R1876" s="232" t="s">
        <v>131</v>
      </c>
      <c r="S1876" s="232" t="s">
        <v>131</v>
      </c>
      <c r="T1876" s="232"/>
      <c r="U1876" s="232"/>
      <c r="V1876" s="232"/>
      <c r="W1876" s="232"/>
      <c r="X1876" s="232"/>
      <c r="Y1876" s="232"/>
      <c r="Z1876" s="232"/>
      <c r="AA1876" s="232"/>
      <c r="AB1876" s="232"/>
      <c r="AC1876" s="232"/>
      <c r="AD1876" s="233" t="s">
        <v>5</v>
      </c>
    </row>
    <row r="1877" spans="1:30" s="234" customFormat="1" ht="33" customHeight="1" x14ac:dyDescent="0.3">
      <c r="A1877" s="167">
        <v>31</v>
      </c>
      <c r="B1877" s="168">
        <v>120</v>
      </c>
      <c r="C1877" s="226" t="str">
        <f t="shared" si="38"/>
        <v>31.120</v>
      </c>
      <c r="D1877" s="227"/>
      <c r="E1877" s="64" t="str">
        <f>IF(ISBLANK(D1877)=TRUE,"",VLOOKUP(D1877,Krav!$C:$F,4,FALSE))</f>
        <v/>
      </c>
      <c r="F1877" s="239" t="s">
        <v>174</v>
      </c>
      <c r="G1877" s="240"/>
      <c r="H1877" s="229" t="s">
        <v>1420</v>
      </c>
      <c r="I1877" s="230" t="s">
        <v>1414</v>
      </c>
      <c r="J1877" s="230" t="s">
        <v>222</v>
      </c>
      <c r="K1877" s="125" t="s">
        <v>222</v>
      </c>
      <c r="L1877" s="238" t="s">
        <v>4</v>
      </c>
      <c r="M1877" s="232" t="s">
        <v>131</v>
      </c>
      <c r="N1877" s="232" t="s">
        <v>129</v>
      </c>
      <c r="O1877" s="232" t="s">
        <v>376</v>
      </c>
      <c r="P1877" s="241" t="s">
        <v>404</v>
      </c>
      <c r="Q1877" s="232" t="s">
        <v>131</v>
      </c>
      <c r="R1877" s="232" t="s">
        <v>131</v>
      </c>
      <c r="S1877" s="232" t="s">
        <v>131</v>
      </c>
      <c r="T1877" s="232"/>
      <c r="U1877" s="232"/>
      <c r="V1877" s="232"/>
      <c r="W1877" s="232"/>
      <c r="X1877" s="232"/>
      <c r="Y1877" s="232"/>
      <c r="Z1877" s="232"/>
      <c r="AA1877" s="232"/>
      <c r="AB1877" s="232"/>
      <c r="AC1877" s="232"/>
      <c r="AD1877" s="233" t="s">
        <v>5</v>
      </c>
    </row>
    <row r="1878" spans="1:30" s="234" customFormat="1" ht="33" customHeight="1" x14ac:dyDescent="0.3">
      <c r="A1878" s="167">
        <v>31</v>
      </c>
      <c r="B1878" s="168">
        <v>121</v>
      </c>
      <c r="C1878" s="226" t="str">
        <f t="shared" si="38"/>
        <v>31.121</v>
      </c>
      <c r="D1878" s="227"/>
      <c r="E1878" s="64" t="str">
        <f>IF(ISBLANK(D1878)=TRUE,"",VLOOKUP(D1878,Krav!$C:$F,4,FALSE))</f>
        <v/>
      </c>
      <c r="F1878" s="239" t="s">
        <v>418</v>
      </c>
      <c r="G1878" s="239" t="s">
        <v>419</v>
      </c>
      <c r="H1878" s="229" t="s">
        <v>1419</v>
      </c>
      <c r="I1878" s="230" t="s">
        <v>129</v>
      </c>
      <c r="J1878" s="242" t="s">
        <v>222</v>
      </c>
      <c r="K1878" s="125" t="s">
        <v>222</v>
      </c>
      <c r="L1878" s="238" t="s">
        <v>4</v>
      </c>
      <c r="M1878" s="232" t="s">
        <v>131</v>
      </c>
      <c r="N1878" s="232" t="s">
        <v>129</v>
      </c>
      <c r="O1878" s="232" t="s">
        <v>376</v>
      </c>
      <c r="P1878" s="241" t="s">
        <v>404</v>
      </c>
      <c r="Q1878" s="232" t="s">
        <v>131</v>
      </c>
      <c r="R1878" s="232" t="s">
        <v>131</v>
      </c>
      <c r="S1878" s="232" t="s">
        <v>131</v>
      </c>
      <c r="T1878" s="232"/>
      <c r="U1878" s="232"/>
      <c r="V1878" s="232"/>
      <c r="W1878" s="232"/>
      <c r="X1878" s="232"/>
      <c r="Y1878" s="232"/>
      <c r="Z1878" s="232"/>
      <c r="AA1878" s="232"/>
      <c r="AB1878" s="232"/>
      <c r="AC1878" s="232"/>
      <c r="AD1878" s="233" t="s">
        <v>5</v>
      </c>
    </row>
    <row r="1879" spans="1:30" s="234" customFormat="1" ht="33" customHeight="1" x14ac:dyDescent="0.3">
      <c r="A1879" s="167">
        <v>31</v>
      </c>
      <c r="B1879" s="168">
        <v>122</v>
      </c>
      <c r="C1879" s="226" t="str">
        <f t="shared" si="38"/>
        <v>31.122</v>
      </c>
      <c r="D1879" s="227" t="s">
        <v>1099</v>
      </c>
      <c r="E1879" s="64" t="str">
        <f>IF(ISBLANK(D1879)=TRUE,"",VLOOKUP(D1879,Krav!$C:$F,4,FALSE))</f>
        <v>10.a.2.1.2 - Såfremt brugeren angiver en frist skal brugeren ledes til spørgsmål 10.a.2.1.1</v>
      </c>
      <c r="F1879" s="239" t="s">
        <v>143</v>
      </c>
      <c r="G1879" s="239"/>
      <c r="H1879" s="229" t="s">
        <v>1444</v>
      </c>
      <c r="I1879" s="230" t="s">
        <v>468</v>
      </c>
      <c r="J1879" s="237" t="s">
        <v>222</v>
      </c>
      <c r="K1879" s="123" t="s">
        <v>222</v>
      </c>
      <c r="L1879" s="238" t="s">
        <v>3</v>
      </c>
      <c r="M1879" s="232" t="s">
        <v>131</v>
      </c>
      <c r="N1879" s="232" t="s">
        <v>129</v>
      </c>
      <c r="O1879" s="232" t="s">
        <v>376</v>
      </c>
      <c r="P1879" s="232" t="s">
        <v>376</v>
      </c>
      <c r="Q1879" s="232" t="s">
        <v>131</v>
      </c>
      <c r="R1879" s="232" t="s">
        <v>131</v>
      </c>
      <c r="S1879" s="232" t="s">
        <v>131</v>
      </c>
      <c r="T1879" s="232"/>
      <c r="U1879" s="232"/>
      <c r="V1879" s="232"/>
      <c r="W1879" s="232"/>
      <c r="X1879" s="232"/>
      <c r="Y1879" s="232"/>
      <c r="Z1879" s="232"/>
      <c r="AA1879" s="232"/>
      <c r="AB1879" s="232"/>
      <c r="AC1879" s="232"/>
      <c r="AD1879" s="233" t="s">
        <v>5</v>
      </c>
    </row>
    <row r="1880" spans="1:30" s="255" customFormat="1" ht="33" customHeight="1" x14ac:dyDescent="0.3">
      <c r="A1880" s="167">
        <v>31</v>
      </c>
      <c r="B1880" s="168">
        <v>123</v>
      </c>
      <c r="C1880" s="245" t="str">
        <f t="shared" si="38"/>
        <v>31.123</v>
      </c>
      <c r="D1880" s="246" t="s">
        <v>1239</v>
      </c>
      <c r="E1880" s="64" t="str">
        <f>IF(ISBLANK(D1880)=TRUE,"",VLOOKUP(D1880,Krav!$C:$F,4,FALSE))</f>
        <v>10.a.2.1.2.2 - Der angives et "NEJ" i i populationen under ”vil RIM beregne en tidligst mulig forældelsesdato?"</v>
      </c>
      <c r="F1880" s="247" t="s">
        <v>221</v>
      </c>
      <c r="G1880" s="248"/>
      <c r="H1880" s="249" t="s">
        <v>1421</v>
      </c>
      <c r="I1880" s="250" t="s">
        <v>241</v>
      </c>
      <c r="J1880" s="251" t="s">
        <v>222</v>
      </c>
      <c r="K1880" s="125" t="s">
        <v>222</v>
      </c>
      <c r="L1880" s="252" t="s">
        <v>3</v>
      </c>
      <c r="M1880" s="253" t="s">
        <v>131</v>
      </c>
      <c r="N1880" s="253" t="s">
        <v>129</v>
      </c>
      <c r="O1880" s="253" t="s">
        <v>376</v>
      </c>
      <c r="P1880" s="253" t="s">
        <v>96</v>
      </c>
      <c r="Q1880" s="253" t="s">
        <v>131</v>
      </c>
      <c r="R1880" s="253" t="s">
        <v>129</v>
      </c>
      <c r="S1880" s="253" t="s">
        <v>131</v>
      </c>
      <c r="T1880" s="253"/>
      <c r="U1880" s="253"/>
      <c r="V1880" s="253"/>
      <c r="W1880" s="253"/>
      <c r="X1880" s="253"/>
      <c r="Y1880" s="253"/>
      <c r="Z1880" s="253"/>
      <c r="AA1880" s="253"/>
      <c r="AB1880" s="253"/>
      <c r="AC1880" s="253"/>
      <c r="AD1880" s="254" t="s">
        <v>5</v>
      </c>
    </row>
    <row r="1881" spans="1:30" s="255" customFormat="1" ht="33" customHeight="1" x14ac:dyDescent="0.3">
      <c r="A1881" s="167">
        <v>31</v>
      </c>
      <c r="B1881" s="168">
        <v>124</v>
      </c>
      <c r="C1881" s="245" t="str">
        <f t="shared" si="38"/>
        <v>31.124</v>
      </c>
      <c r="D1881" s="246"/>
      <c r="E1881" s="64" t="str">
        <f>IF(ISBLANK(D1881)=TRUE,"",VLOOKUP(D1881,Krav!$C:$F,4,FALSE))</f>
        <v/>
      </c>
      <c r="F1881" s="247" t="s">
        <v>225</v>
      </c>
      <c r="G1881" s="256" t="s">
        <v>231</v>
      </c>
      <c r="H1881" s="256" t="s">
        <v>158</v>
      </c>
      <c r="I1881" s="250" t="s">
        <v>1407</v>
      </c>
      <c r="J1881" s="250" t="s">
        <v>222</v>
      </c>
      <c r="K1881" s="125" t="s">
        <v>222</v>
      </c>
      <c r="L1881" s="257" t="s">
        <v>3</v>
      </c>
      <c r="M1881" s="253" t="s">
        <v>131</v>
      </c>
      <c r="N1881" s="253" t="s">
        <v>129</v>
      </c>
      <c r="O1881" s="253" t="s">
        <v>376</v>
      </c>
      <c r="P1881" s="253" t="s">
        <v>96</v>
      </c>
      <c r="Q1881" s="253" t="s">
        <v>131</v>
      </c>
      <c r="R1881" s="253" t="s">
        <v>129</v>
      </c>
      <c r="S1881" s="253" t="s">
        <v>131</v>
      </c>
      <c r="T1881" s="253"/>
      <c r="U1881" s="253"/>
      <c r="V1881" s="253"/>
      <c r="W1881" s="253"/>
      <c r="X1881" s="253"/>
      <c r="Y1881" s="253"/>
      <c r="Z1881" s="253"/>
      <c r="AA1881" s="253"/>
      <c r="AB1881" s="253"/>
      <c r="AC1881" s="253"/>
      <c r="AD1881" s="254" t="s">
        <v>5</v>
      </c>
    </row>
    <row r="1882" spans="1:30" s="255" customFormat="1" ht="33" customHeight="1" x14ac:dyDescent="0.3">
      <c r="A1882" s="167">
        <v>31</v>
      </c>
      <c r="B1882" s="168">
        <v>125</v>
      </c>
      <c r="C1882" s="245" t="str">
        <f t="shared" si="38"/>
        <v>31.125</v>
      </c>
      <c r="D1882" s="246"/>
      <c r="E1882" s="64" t="str">
        <f>IF(ISBLANK(D1882)=TRUE,"",VLOOKUP(D1882,Krav!$C:$F,4,FALSE))</f>
        <v/>
      </c>
      <c r="F1882" s="247" t="s">
        <v>225</v>
      </c>
      <c r="G1882" s="256" t="s">
        <v>1388</v>
      </c>
      <c r="H1882" s="256" t="s">
        <v>158</v>
      </c>
      <c r="I1882" s="250" t="s">
        <v>376</v>
      </c>
      <c r="J1882" s="250" t="s">
        <v>222</v>
      </c>
      <c r="K1882" s="125" t="s">
        <v>222</v>
      </c>
      <c r="L1882" s="257" t="s">
        <v>3</v>
      </c>
      <c r="M1882" s="253" t="s">
        <v>131</v>
      </c>
      <c r="N1882" s="253" t="s">
        <v>129</v>
      </c>
      <c r="O1882" s="253" t="s">
        <v>376</v>
      </c>
      <c r="P1882" s="253" t="s">
        <v>96</v>
      </c>
      <c r="Q1882" s="253" t="s">
        <v>131</v>
      </c>
      <c r="R1882" s="253" t="s">
        <v>129</v>
      </c>
      <c r="S1882" s="253" t="s">
        <v>131</v>
      </c>
      <c r="T1882" s="253"/>
      <c r="U1882" s="253"/>
      <c r="V1882" s="253"/>
      <c r="W1882" s="253"/>
      <c r="X1882" s="253"/>
      <c r="Y1882" s="253"/>
      <c r="Z1882" s="253"/>
      <c r="AA1882" s="253"/>
      <c r="AB1882" s="253"/>
      <c r="AC1882" s="253"/>
      <c r="AD1882" s="254" t="s">
        <v>5</v>
      </c>
    </row>
    <row r="1883" spans="1:30" s="255" customFormat="1" ht="33" customHeight="1" x14ac:dyDescent="0.3">
      <c r="A1883" s="167">
        <v>31</v>
      </c>
      <c r="B1883" s="168">
        <v>126</v>
      </c>
      <c r="C1883" s="245" t="str">
        <f t="shared" si="38"/>
        <v>31.126</v>
      </c>
      <c r="D1883" s="246"/>
      <c r="E1883" s="64" t="str">
        <f>IF(ISBLANK(D1883)=TRUE,"",VLOOKUP(D1883,Krav!$C:$F,4,FALSE))</f>
        <v/>
      </c>
      <c r="F1883" s="247" t="s">
        <v>225</v>
      </c>
      <c r="G1883" s="256" t="s">
        <v>1391</v>
      </c>
      <c r="H1883" s="256" t="s">
        <v>158</v>
      </c>
      <c r="I1883" s="250" t="s">
        <v>376</v>
      </c>
      <c r="J1883" s="250" t="s">
        <v>222</v>
      </c>
      <c r="K1883" s="125" t="s">
        <v>222</v>
      </c>
      <c r="L1883" s="257" t="s">
        <v>3</v>
      </c>
      <c r="M1883" s="253" t="s">
        <v>131</v>
      </c>
      <c r="N1883" s="253" t="s">
        <v>129</v>
      </c>
      <c r="O1883" s="253" t="s">
        <v>376</v>
      </c>
      <c r="P1883" s="253" t="s">
        <v>96</v>
      </c>
      <c r="Q1883" s="253" t="s">
        <v>131</v>
      </c>
      <c r="R1883" s="253" t="s">
        <v>129</v>
      </c>
      <c r="S1883" s="253" t="s">
        <v>131</v>
      </c>
      <c r="T1883" s="253"/>
      <c r="U1883" s="253"/>
      <c r="V1883" s="253"/>
      <c r="W1883" s="253"/>
      <c r="X1883" s="253"/>
      <c r="Y1883" s="253"/>
      <c r="Z1883" s="253"/>
      <c r="AA1883" s="253"/>
      <c r="AB1883" s="253"/>
      <c r="AC1883" s="253"/>
      <c r="AD1883" s="254" t="s">
        <v>5</v>
      </c>
    </row>
    <row r="1884" spans="1:30" s="255" customFormat="1" ht="33" customHeight="1" x14ac:dyDescent="0.3">
      <c r="A1884" s="167">
        <v>31</v>
      </c>
      <c r="B1884" s="168">
        <v>127</v>
      </c>
      <c r="C1884" s="245" t="str">
        <f t="shared" si="38"/>
        <v>31.127</v>
      </c>
      <c r="D1884" s="246" t="s">
        <v>1240</v>
      </c>
      <c r="E1884" s="64" t="str">
        <f>IF(ISBLANK(D1884)=TRUE,"",VLOOKUP(D1884,Krav!$C:$F,4,FALSE))</f>
        <v>10.a.2.1.2.3 - Gruppe 1 deaktiveres</v>
      </c>
      <c r="F1884" s="247" t="s">
        <v>227</v>
      </c>
      <c r="G1884" s="248"/>
      <c r="H1884" s="249" t="s">
        <v>1423</v>
      </c>
      <c r="I1884" s="250" t="s">
        <v>241</v>
      </c>
      <c r="J1884" s="251" t="s">
        <v>222</v>
      </c>
      <c r="K1884" s="125" t="s">
        <v>222</v>
      </c>
      <c r="L1884" s="252" t="s">
        <v>3</v>
      </c>
      <c r="M1884" s="253" t="s">
        <v>131</v>
      </c>
      <c r="N1884" s="253" t="s">
        <v>129</v>
      </c>
      <c r="O1884" s="253" t="s">
        <v>376</v>
      </c>
      <c r="P1884" s="253" t="s">
        <v>96</v>
      </c>
      <c r="Q1884" s="253" t="s">
        <v>131</v>
      </c>
      <c r="R1884" s="253" t="s">
        <v>129</v>
      </c>
      <c r="S1884" s="253" t="s">
        <v>131</v>
      </c>
      <c r="T1884" s="253"/>
      <c r="U1884" s="253"/>
      <c r="V1884" s="253"/>
      <c r="W1884" s="253"/>
      <c r="X1884" s="253"/>
      <c r="Y1884" s="253"/>
      <c r="Z1884" s="253"/>
      <c r="AA1884" s="253"/>
      <c r="AB1884" s="253"/>
      <c r="AC1884" s="253"/>
      <c r="AD1884" s="254" t="s">
        <v>5</v>
      </c>
    </row>
    <row r="1885" spans="1:30" s="255" customFormat="1" ht="33" customHeight="1" x14ac:dyDescent="0.3">
      <c r="A1885" s="167">
        <v>31</v>
      </c>
      <c r="B1885" s="168">
        <v>128</v>
      </c>
      <c r="C1885" s="245" t="str">
        <f t="shared" si="38"/>
        <v>31.128</v>
      </c>
      <c r="D1885" s="246" t="s">
        <v>1038</v>
      </c>
      <c r="E1885" s="64" t="str">
        <f>IF(ISBLANK(D1885)=TRUE,"",VLOOKUP(D1885,Krav!$C:$F,4,FALSE))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85" s="258" t="s">
        <v>174</v>
      </c>
      <c r="G1885" s="248"/>
      <c r="H1885" s="256" t="s">
        <v>1424</v>
      </c>
      <c r="I1885" s="250" t="s">
        <v>1425</v>
      </c>
      <c r="J1885" s="251" t="s">
        <v>222</v>
      </c>
      <c r="K1885" s="125" t="s">
        <v>222</v>
      </c>
      <c r="L1885" s="252" t="s">
        <v>3</v>
      </c>
      <c r="M1885" s="253" t="s">
        <v>131</v>
      </c>
      <c r="N1885" s="253" t="s">
        <v>129</v>
      </c>
      <c r="O1885" s="253" t="s">
        <v>376</v>
      </c>
      <c r="P1885" s="253" t="s">
        <v>96</v>
      </c>
      <c r="Q1885" s="253" t="s">
        <v>131</v>
      </c>
      <c r="R1885" s="253" t="s">
        <v>129</v>
      </c>
      <c r="S1885" s="253" t="s">
        <v>131</v>
      </c>
      <c r="T1885" s="253"/>
      <c r="U1885" s="253"/>
      <c r="V1885" s="253" t="s">
        <v>294</v>
      </c>
      <c r="W1885" s="253"/>
      <c r="X1885" s="253"/>
      <c r="Y1885" s="253"/>
      <c r="Z1885" s="253"/>
      <c r="AA1885" s="253"/>
      <c r="AB1885" s="253"/>
      <c r="AC1885" s="253"/>
      <c r="AD1885" s="254" t="s">
        <v>5</v>
      </c>
    </row>
    <row r="1886" spans="1:30" s="255" customFormat="1" ht="33" customHeight="1" x14ac:dyDescent="0.3">
      <c r="A1886" s="167">
        <v>31</v>
      </c>
      <c r="B1886" s="168">
        <v>129</v>
      </c>
      <c r="C1886" s="245" t="str">
        <f t="shared" si="38"/>
        <v>31.129</v>
      </c>
      <c r="D1886" s="246" t="s">
        <v>1241</v>
      </c>
      <c r="E1886" s="64" t="str">
        <f>IF(ISBLANK(D1886)=TRUE,"",VLOOKUP(D1886,Krav!$C:$F,4,FALSE))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86" s="258" t="s">
        <v>174</v>
      </c>
      <c r="G1886" s="247"/>
      <c r="H1886" s="256" t="s">
        <v>1445</v>
      </c>
      <c r="I1886" s="250" t="s">
        <v>1425</v>
      </c>
      <c r="J1886" s="251" t="s">
        <v>222</v>
      </c>
      <c r="K1886" s="125" t="s">
        <v>222</v>
      </c>
      <c r="L1886" s="252" t="s">
        <v>3</v>
      </c>
      <c r="M1886" s="253" t="s">
        <v>131</v>
      </c>
      <c r="N1886" s="253" t="s">
        <v>129</v>
      </c>
      <c r="O1886" s="253" t="s">
        <v>376</v>
      </c>
      <c r="P1886" s="253" t="s">
        <v>96</v>
      </c>
      <c r="Q1886" s="253" t="s">
        <v>131</v>
      </c>
      <c r="R1886" s="253" t="s">
        <v>129</v>
      </c>
      <c r="S1886" s="253" t="s">
        <v>131</v>
      </c>
      <c r="T1886" s="253"/>
      <c r="U1886" s="253"/>
      <c r="V1886" s="254" t="s">
        <v>295</v>
      </c>
      <c r="W1886" s="253" t="s">
        <v>26</v>
      </c>
      <c r="X1886" s="253"/>
      <c r="Y1886" s="253"/>
      <c r="Z1886" s="253"/>
      <c r="AA1886" s="253"/>
      <c r="AB1886" s="253"/>
      <c r="AC1886" s="253"/>
      <c r="AD1886" s="254" t="s">
        <v>5</v>
      </c>
    </row>
    <row r="1887" spans="1:30" s="255" customFormat="1" ht="33" customHeight="1" x14ac:dyDescent="0.3">
      <c r="A1887" s="167">
        <v>31</v>
      </c>
      <c r="B1887" s="168">
        <v>130</v>
      </c>
      <c r="C1887" s="245" t="str">
        <f t="shared" si="38"/>
        <v>31.130</v>
      </c>
      <c r="D1887" s="246" t="s">
        <v>1241</v>
      </c>
      <c r="E1887" s="64" t="str">
        <f>IF(ISBLANK(D1887)=TRUE,"",VLOOKUP(D1887,Krav!$C:$F,4,FALSE))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87" s="258" t="s">
        <v>174</v>
      </c>
      <c r="G1887" s="248"/>
      <c r="H1887" s="256" t="s">
        <v>1445</v>
      </c>
      <c r="I1887" s="251" t="s">
        <v>1425</v>
      </c>
      <c r="J1887" s="251" t="s">
        <v>222</v>
      </c>
      <c r="K1887" s="125" t="s">
        <v>222</v>
      </c>
      <c r="L1887" s="252" t="s">
        <v>3</v>
      </c>
      <c r="M1887" s="253" t="s">
        <v>131</v>
      </c>
      <c r="N1887" s="253" t="s">
        <v>129</v>
      </c>
      <c r="O1887" s="253" t="s">
        <v>376</v>
      </c>
      <c r="P1887" s="253" t="s">
        <v>96</v>
      </c>
      <c r="Q1887" s="253" t="s">
        <v>131</v>
      </c>
      <c r="R1887" s="253" t="s">
        <v>129</v>
      </c>
      <c r="S1887" s="253" t="s">
        <v>131</v>
      </c>
      <c r="T1887" s="253"/>
      <c r="U1887" s="253"/>
      <c r="V1887" s="254" t="s">
        <v>295</v>
      </c>
      <c r="W1887" s="253" t="s">
        <v>166</v>
      </c>
      <c r="X1887" s="253" t="s">
        <v>26</v>
      </c>
      <c r="Y1887" s="253"/>
      <c r="Z1887" s="253"/>
      <c r="AA1887" s="253"/>
      <c r="AB1887" s="253"/>
      <c r="AC1887" s="253"/>
      <c r="AD1887" s="254" t="s">
        <v>5</v>
      </c>
    </row>
    <row r="1888" spans="1:30" s="255" customFormat="1" ht="33" customHeight="1" x14ac:dyDescent="0.3">
      <c r="A1888" s="167">
        <v>31</v>
      </c>
      <c r="B1888" s="168">
        <v>131</v>
      </c>
      <c r="C1888" s="245" t="str">
        <f t="shared" si="38"/>
        <v>31.131</v>
      </c>
      <c r="D1888" s="246" t="s">
        <v>1241</v>
      </c>
      <c r="E1888" s="64" t="str">
        <f>IF(ISBLANK(D1888)=TRUE,"",VLOOKUP(D1888,Krav!$C:$F,4,FALSE))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88" s="258" t="s">
        <v>174</v>
      </c>
      <c r="G1888" s="247"/>
      <c r="H1888" s="256" t="s">
        <v>1445</v>
      </c>
      <c r="I1888" s="250" t="s">
        <v>1425</v>
      </c>
      <c r="J1888" s="251" t="s">
        <v>222</v>
      </c>
      <c r="K1888" s="125" t="s">
        <v>222</v>
      </c>
      <c r="L1888" s="252" t="s">
        <v>3</v>
      </c>
      <c r="M1888" s="253" t="s">
        <v>131</v>
      </c>
      <c r="N1888" s="253" t="s">
        <v>129</v>
      </c>
      <c r="O1888" s="253" t="s">
        <v>376</v>
      </c>
      <c r="P1888" s="253" t="s">
        <v>96</v>
      </c>
      <c r="Q1888" s="253" t="s">
        <v>131</v>
      </c>
      <c r="R1888" s="253" t="s">
        <v>129</v>
      </c>
      <c r="S1888" s="253" t="s">
        <v>131</v>
      </c>
      <c r="T1888" s="253"/>
      <c r="U1888" s="253"/>
      <c r="V1888" s="254" t="s">
        <v>295</v>
      </c>
      <c r="W1888" s="253" t="s">
        <v>166</v>
      </c>
      <c r="X1888" s="253" t="s">
        <v>166</v>
      </c>
      <c r="Y1888" s="253" t="s">
        <v>580</v>
      </c>
      <c r="Z1888" s="253"/>
      <c r="AA1888" s="253"/>
      <c r="AB1888" s="253"/>
      <c r="AC1888" s="253"/>
      <c r="AD1888" s="254" t="s">
        <v>5</v>
      </c>
    </row>
    <row r="1889" spans="1:30" s="255" customFormat="1" ht="33" customHeight="1" x14ac:dyDescent="0.3">
      <c r="A1889" s="167">
        <v>31</v>
      </c>
      <c r="B1889" s="168">
        <v>132</v>
      </c>
      <c r="C1889" s="245" t="str">
        <f t="shared" si="38"/>
        <v>31.132</v>
      </c>
      <c r="D1889" s="246" t="s">
        <v>1243</v>
      </c>
      <c r="E1889" s="64" t="str">
        <f>IF(ISBLANK(D1889)=TRUE,"",VLOOKUP(D1889,Krav!$C:$F,4,FALSE))</f>
        <v xml:space="preserve">10.a.2.1.2.5 - Hvis fordringshaver har svaret ”aldrig” i spm. 9, kan der ikke opsættes en FLEX-filter konfiguration for populationen. </v>
      </c>
      <c r="F1889" s="258" t="s">
        <v>174</v>
      </c>
      <c r="G1889" s="248"/>
      <c r="H1889" s="256"/>
      <c r="I1889" s="250" t="s">
        <v>1414</v>
      </c>
      <c r="J1889" s="251" t="s">
        <v>222</v>
      </c>
      <c r="K1889" s="125" t="s">
        <v>222</v>
      </c>
      <c r="L1889" s="252" t="s">
        <v>4</v>
      </c>
      <c r="M1889" s="253" t="s">
        <v>131</v>
      </c>
      <c r="N1889" s="253" t="s">
        <v>129</v>
      </c>
      <c r="O1889" s="253" t="s">
        <v>376</v>
      </c>
      <c r="P1889" s="253" t="s">
        <v>96</v>
      </c>
      <c r="Q1889" s="253" t="s">
        <v>131</v>
      </c>
      <c r="R1889" s="253" t="s">
        <v>129</v>
      </c>
      <c r="S1889" s="253" t="s">
        <v>131</v>
      </c>
      <c r="T1889" s="253"/>
      <c r="U1889" s="253"/>
      <c r="V1889" s="254" t="s">
        <v>295</v>
      </c>
      <c r="W1889" s="253" t="s">
        <v>166</v>
      </c>
      <c r="X1889" s="253" t="s">
        <v>166</v>
      </c>
      <c r="Y1889" s="253" t="s">
        <v>369</v>
      </c>
      <c r="Z1889" s="253"/>
      <c r="AA1889" s="253"/>
      <c r="AB1889" s="253"/>
      <c r="AC1889" s="253"/>
      <c r="AD1889" s="254" t="s">
        <v>5</v>
      </c>
    </row>
    <row r="1890" spans="1:30" s="255" customFormat="1" ht="33" customHeight="1" x14ac:dyDescent="0.3">
      <c r="A1890" s="167">
        <v>31</v>
      </c>
      <c r="B1890" s="168">
        <v>133</v>
      </c>
      <c r="C1890" s="245" t="str">
        <f t="shared" si="38"/>
        <v>31.133</v>
      </c>
      <c r="D1890" s="246" t="s">
        <v>1243</v>
      </c>
      <c r="E1890" s="64" t="str">
        <f>IF(ISBLANK(D1890)=TRUE,"",VLOOKUP(D1890,Krav!$C:$F,4,FALSE))</f>
        <v xml:space="preserve">10.a.2.1.2.5 - Hvis fordringshaver har svaret ”aldrig” i spm. 9, kan der ikke opsættes en FLEX-filter konfiguration for populationen. </v>
      </c>
      <c r="F1890" s="258" t="s">
        <v>174</v>
      </c>
      <c r="G1890" s="248"/>
      <c r="H1890" s="256" t="s">
        <v>1426</v>
      </c>
      <c r="I1890" s="250" t="s">
        <v>1414</v>
      </c>
      <c r="J1890" s="250" t="s">
        <v>222</v>
      </c>
      <c r="K1890" s="125" t="s">
        <v>222</v>
      </c>
      <c r="L1890" s="252" t="s">
        <v>4</v>
      </c>
      <c r="M1890" s="253" t="s">
        <v>131</v>
      </c>
      <c r="N1890" s="253" t="s">
        <v>129</v>
      </c>
      <c r="O1890" s="253" t="s">
        <v>376</v>
      </c>
      <c r="P1890" s="253" t="s">
        <v>96</v>
      </c>
      <c r="Q1890" s="253" t="s">
        <v>131</v>
      </c>
      <c r="R1890" s="253" t="s">
        <v>129</v>
      </c>
      <c r="S1890" s="253" t="s">
        <v>131</v>
      </c>
      <c r="T1890" s="253"/>
      <c r="U1890" s="253"/>
      <c r="V1890" s="253" t="s">
        <v>303</v>
      </c>
      <c r="W1890" s="253"/>
      <c r="X1890" s="253"/>
      <c r="Y1890" s="253"/>
      <c r="Z1890" s="253"/>
      <c r="AA1890" s="253"/>
      <c r="AB1890" s="253"/>
      <c r="AC1890" s="253"/>
      <c r="AD1890" s="254" t="s">
        <v>5</v>
      </c>
    </row>
    <row r="1891" spans="1:30" s="255" customFormat="1" ht="33" customHeight="1" x14ac:dyDescent="0.3">
      <c r="A1891" s="167">
        <v>31</v>
      </c>
      <c r="B1891" s="168">
        <v>134</v>
      </c>
      <c r="C1891" s="245" t="str">
        <f t="shared" si="38"/>
        <v>31.134</v>
      </c>
      <c r="D1891" s="246" t="s">
        <v>1238</v>
      </c>
      <c r="E1891" s="64" t="str">
        <f>IF(ISBLANK(D1891)=TRUE,"",VLOOKUP(D1891,Krav!$C:$F,4,FALSE))</f>
        <v>10.a.2.1.2.1 - Hvis der er svaret "I visse tilfælde" i spørgsmål 9 og hvis der er svaret "Ja" i enten 9.b.1, 9.b.2.1 eller 9.b.2.2.1 skal brugeren ledes til spørgsmål 11</v>
      </c>
      <c r="F1891" s="247" t="s">
        <v>143</v>
      </c>
      <c r="G1891" s="247" t="s">
        <v>1427</v>
      </c>
      <c r="H1891" s="256" t="s">
        <v>1433</v>
      </c>
      <c r="I1891" s="250" t="s">
        <v>468</v>
      </c>
      <c r="J1891" s="250" t="s">
        <v>222</v>
      </c>
      <c r="K1891" s="125" t="s">
        <v>222</v>
      </c>
      <c r="L1891" s="252" t="s">
        <v>3</v>
      </c>
      <c r="M1891" s="253" t="s">
        <v>131</v>
      </c>
      <c r="N1891" s="253" t="s">
        <v>129</v>
      </c>
      <c r="O1891" s="253" t="s">
        <v>376</v>
      </c>
      <c r="P1891" s="253" t="s">
        <v>96</v>
      </c>
      <c r="Q1891" s="253" t="s">
        <v>131</v>
      </c>
      <c r="R1891" s="253" t="s">
        <v>129</v>
      </c>
      <c r="S1891" s="253" t="s">
        <v>131</v>
      </c>
      <c r="T1891" s="253"/>
      <c r="U1891" s="253"/>
      <c r="V1891" s="254" t="s">
        <v>295</v>
      </c>
      <c r="W1891" s="253" t="s">
        <v>26</v>
      </c>
      <c r="X1891" s="253"/>
      <c r="Y1891" s="253"/>
      <c r="Z1891" s="253"/>
      <c r="AA1891" s="253"/>
      <c r="AB1891" s="253"/>
      <c r="AC1891" s="253"/>
      <c r="AD1891" s="254" t="s">
        <v>5</v>
      </c>
    </row>
    <row r="1892" spans="1:30" s="255" customFormat="1" ht="33" customHeight="1" x14ac:dyDescent="0.3">
      <c r="A1892" s="167">
        <v>31</v>
      </c>
      <c r="B1892" s="168">
        <v>135</v>
      </c>
      <c r="C1892" s="245" t="str">
        <f t="shared" si="38"/>
        <v>31.135</v>
      </c>
      <c r="D1892" s="246" t="s">
        <v>1238</v>
      </c>
      <c r="E1892" s="64" t="str">
        <f>IF(ISBLANK(D1892)=TRUE,"",VLOOKUP(D1892,Krav!$C:$F,4,FALSE))</f>
        <v>10.a.2.1.2.1 - Hvis der er svaret "I visse tilfælde" i spørgsmål 9 og hvis der er svaret "Ja" i enten 9.b.1, 9.b.2.1 eller 9.b.2.2.1 skal brugeren ledes til spørgsmål 11</v>
      </c>
      <c r="F1892" s="247" t="s">
        <v>143</v>
      </c>
      <c r="G1892" s="247" t="s">
        <v>1427</v>
      </c>
      <c r="H1892" s="256" t="s">
        <v>1433</v>
      </c>
      <c r="I1892" s="250" t="s">
        <v>468</v>
      </c>
      <c r="J1892" s="250" t="s">
        <v>222</v>
      </c>
      <c r="K1892" s="125" t="s">
        <v>222</v>
      </c>
      <c r="L1892" s="252" t="s">
        <v>3</v>
      </c>
      <c r="M1892" s="253" t="s">
        <v>131</v>
      </c>
      <c r="N1892" s="253" t="s">
        <v>129</v>
      </c>
      <c r="O1892" s="253" t="s">
        <v>376</v>
      </c>
      <c r="P1892" s="253" t="s">
        <v>96</v>
      </c>
      <c r="Q1892" s="253" t="s">
        <v>131</v>
      </c>
      <c r="R1892" s="253" t="s">
        <v>129</v>
      </c>
      <c r="S1892" s="253" t="s">
        <v>131</v>
      </c>
      <c r="T1892" s="253"/>
      <c r="U1892" s="253"/>
      <c r="V1892" s="254" t="s">
        <v>295</v>
      </c>
      <c r="W1892" s="253" t="s">
        <v>166</v>
      </c>
      <c r="X1892" s="253" t="s">
        <v>26</v>
      </c>
      <c r="Y1892" s="253"/>
      <c r="Z1892" s="253"/>
      <c r="AA1892" s="253"/>
      <c r="AB1892" s="253"/>
      <c r="AC1892" s="253"/>
      <c r="AD1892" s="254" t="s">
        <v>5</v>
      </c>
    </row>
    <row r="1893" spans="1:30" s="255" customFormat="1" ht="33" customHeight="1" x14ac:dyDescent="0.3">
      <c r="A1893" s="167">
        <v>31</v>
      </c>
      <c r="B1893" s="168">
        <v>136</v>
      </c>
      <c r="C1893" s="245" t="str">
        <f t="shared" si="38"/>
        <v>31.136</v>
      </c>
      <c r="D1893" s="246" t="s">
        <v>1238</v>
      </c>
      <c r="E1893" s="64" t="str">
        <f>IF(ISBLANK(D1893)=TRUE,"",VLOOKUP(D1893,Krav!$C:$F,4,FALSE))</f>
        <v>10.a.2.1.2.1 - Hvis der er svaret "I visse tilfælde" i spørgsmål 9 og hvis der er svaret "Ja" i enten 9.b.1, 9.b.2.1 eller 9.b.2.2.1 skal brugeren ledes til spørgsmål 11</v>
      </c>
      <c r="F1893" s="247" t="s">
        <v>143</v>
      </c>
      <c r="G1893" s="247" t="s">
        <v>1427</v>
      </c>
      <c r="H1893" s="256" t="s">
        <v>1433</v>
      </c>
      <c r="I1893" s="250" t="s">
        <v>468</v>
      </c>
      <c r="J1893" s="250" t="s">
        <v>222</v>
      </c>
      <c r="K1893" s="125" t="s">
        <v>222</v>
      </c>
      <c r="L1893" s="257" t="s">
        <v>3</v>
      </c>
      <c r="M1893" s="253" t="s">
        <v>131</v>
      </c>
      <c r="N1893" s="253" t="s">
        <v>129</v>
      </c>
      <c r="O1893" s="253" t="s">
        <v>376</v>
      </c>
      <c r="P1893" s="253" t="s">
        <v>96</v>
      </c>
      <c r="Q1893" s="253" t="s">
        <v>131</v>
      </c>
      <c r="R1893" s="253" t="s">
        <v>129</v>
      </c>
      <c r="S1893" s="253" t="s">
        <v>131</v>
      </c>
      <c r="T1893" s="253"/>
      <c r="U1893" s="253"/>
      <c r="V1893" s="254" t="s">
        <v>295</v>
      </c>
      <c r="W1893" s="253" t="s">
        <v>166</v>
      </c>
      <c r="X1893" s="253" t="s">
        <v>166</v>
      </c>
      <c r="Y1893" s="253" t="s">
        <v>580</v>
      </c>
      <c r="Z1893" s="253"/>
      <c r="AA1893" s="253"/>
      <c r="AB1893" s="253"/>
      <c r="AC1893" s="253"/>
      <c r="AD1893" s="254" t="s">
        <v>5</v>
      </c>
    </row>
    <row r="1894" spans="1:30" s="255" customFormat="1" ht="30.75" customHeight="1" x14ac:dyDescent="0.3">
      <c r="A1894" s="167">
        <v>31</v>
      </c>
      <c r="B1894" s="168">
        <v>137</v>
      </c>
      <c r="C1894" s="245" t="str">
        <f t="shared" si="38"/>
        <v>31.137</v>
      </c>
      <c r="D1894" s="246"/>
      <c r="E1894" s="64" t="str">
        <f>IF(ISBLANK(D1894)=TRUE,"",VLOOKUP(D1894,Krav!$C:$F,4,FALSE))</f>
        <v/>
      </c>
      <c r="F1894" s="247" t="s">
        <v>143</v>
      </c>
      <c r="G1894" s="247" t="s">
        <v>1427</v>
      </c>
      <c r="H1894" s="256" t="s">
        <v>1446</v>
      </c>
      <c r="I1894" s="250" t="s">
        <v>468</v>
      </c>
      <c r="J1894" s="250" t="s">
        <v>222</v>
      </c>
      <c r="K1894" s="125" t="s">
        <v>222</v>
      </c>
      <c r="L1894" s="257" t="s">
        <v>3</v>
      </c>
      <c r="M1894" s="253" t="s">
        <v>131</v>
      </c>
      <c r="N1894" s="253" t="s">
        <v>129</v>
      </c>
      <c r="O1894" s="253" t="s">
        <v>376</v>
      </c>
      <c r="P1894" s="253" t="s">
        <v>96</v>
      </c>
      <c r="Q1894" s="253" t="s">
        <v>131</v>
      </c>
      <c r="R1894" s="253" t="s">
        <v>129</v>
      </c>
      <c r="S1894" s="253" t="s">
        <v>131</v>
      </c>
      <c r="T1894" s="253"/>
      <c r="U1894" s="253"/>
      <c r="V1894" s="253" t="s">
        <v>294</v>
      </c>
      <c r="W1894" s="253"/>
      <c r="X1894" s="253"/>
      <c r="Y1894" s="253"/>
      <c r="Z1894" s="253"/>
      <c r="AA1894" s="253"/>
      <c r="AB1894" s="253"/>
      <c r="AC1894" s="253"/>
      <c r="AD1894" s="254" t="s">
        <v>5</v>
      </c>
    </row>
    <row r="1895" spans="1:30" s="271" customFormat="1" ht="33" customHeight="1" x14ac:dyDescent="0.3">
      <c r="A1895" s="167">
        <v>31</v>
      </c>
      <c r="B1895" s="168">
        <v>138</v>
      </c>
      <c r="C1895" s="261" t="str">
        <f t="shared" si="38"/>
        <v>31.138</v>
      </c>
      <c r="D1895" s="262" t="s">
        <v>1260</v>
      </c>
      <c r="E1895" s="64" t="str">
        <f>IF(ISBLANK(D1895)=TRUE,"",VLOOKUP(D1895,Krav!$C:$F,4,FALSE))</f>
        <v>10.a.2.2.17 - Der angives et "NEJ" i i populationen under ”vil RIM beregne en tidligst mulig forældelsesdato?"</v>
      </c>
      <c r="F1895" s="263" t="s">
        <v>221</v>
      </c>
      <c r="G1895" s="264"/>
      <c r="H1895" s="265" t="s">
        <v>1430</v>
      </c>
      <c r="I1895" s="266" t="s">
        <v>241</v>
      </c>
      <c r="J1895" s="267" t="s">
        <v>222</v>
      </c>
      <c r="K1895" s="125" t="s">
        <v>222</v>
      </c>
      <c r="L1895" s="268" t="s">
        <v>3</v>
      </c>
      <c r="M1895" s="269" t="s">
        <v>131</v>
      </c>
      <c r="N1895" s="269" t="s">
        <v>129</v>
      </c>
      <c r="O1895" s="269" t="s">
        <v>96</v>
      </c>
      <c r="P1895" s="269" t="s">
        <v>376</v>
      </c>
      <c r="Q1895" s="269" t="s">
        <v>129</v>
      </c>
      <c r="R1895" s="269" t="s">
        <v>131</v>
      </c>
      <c r="S1895" s="269" t="s">
        <v>131</v>
      </c>
      <c r="T1895" s="269"/>
      <c r="U1895" s="269"/>
      <c r="V1895" s="269"/>
      <c r="W1895" s="269"/>
      <c r="X1895" s="269"/>
      <c r="Y1895" s="269"/>
      <c r="Z1895" s="269"/>
      <c r="AA1895" s="269"/>
      <c r="AB1895" s="269"/>
      <c r="AC1895" s="269"/>
      <c r="AD1895" s="270" t="s">
        <v>5</v>
      </c>
    </row>
    <row r="1896" spans="1:30" s="271" customFormat="1" ht="33" customHeight="1" x14ac:dyDescent="0.3">
      <c r="A1896" s="167">
        <v>31</v>
      </c>
      <c r="B1896" s="168">
        <v>139</v>
      </c>
      <c r="C1896" s="261" t="str">
        <f t="shared" si="38"/>
        <v>31.139</v>
      </c>
      <c r="D1896" s="262" t="s">
        <v>1261</v>
      </c>
      <c r="E1896" s="64" t="str">
        <f>IF(ISBLANK(D1896)=TRUE,"",VLOOKUP(D1896,Krav!$C:$F,4,FALSE))</f>
        <v>10.a.2.2.18 - Gruppe 1 deaktiveres</v>
      </c>
      <c r="F1896" s="263" t="s">
        <v>227</v>
      </c>
      <c r="G1896" s="264"/>
      <c r="H1896" s="272" t="s">
        <v>1423</v>
      </c>
      <c r="I1896" s="266" t="s">
        <v>241</v>
      </c>
      <c r="J1896" s="267" t="s">
        <v>222</v>
      </c>
      <c r="K1896" s="125" t="s">
        <v>222</v>
      </c>
      <c r="L1896" s="268" t="s">
        <v>3</v>
      </c>
      <c r="M1896" s="269" t="s">
        <v>131</v>
      </c>
      <c r="N1896" s="269" t="s">
        <v>129</v>
      </c>
      <c r="O1896" s="269" t="s">
        <v>96</v>
      </c>
      <c r="P1896" s="269" t="s">
        <v>376</v>
      </c>
      <c r="Q1896" s="269" t="s">
        <v>129</v>
      </c>
      <c r="R1896" s="269" t="s">
        <v>131</v>
      </c>
      <c r="S1896" s="269" t="s">
        <v>131</v>
      </c>
      <c r="T1896" s="269"/>
      <c r="U1896" s="269"/>
      <c r="V1896" s="269"/>
      <c r="W1896" s="269"/>
      <c r="X1896" s="269"/>
      <c r="Y1896" s="269"/>
      <c r="Z1896" s="269"/>
      <c r="AA1896" s="269"/>
      <c r="AB1896" s="269"/>
      <c r="AC1896" s="269"/>
      <c r="AD1896" s="270" t="s">
        <v>5</v>
      </c>
    </row>
    <row r="1897" spans="1:30" s="271" customFormat="1" ht="33" customHeight="1" x14ac:dyDescent="0.3">
      <c r="A1897" s="167">
        <v>31</v>
      </c>
      <c r="B1897" s="168">
        <v>140</v>
      </c>
      <c r="C1897" s="261" t="str">
        <f t="shared" si="38"/>
        <v>31.140</v>
      </c>
      <c r="D1897" s="262"/>
      <c r="E1897" s="64" t="str">
        <f>IF(ISBLANK(D1897)=TRUE,"",VLOOKUP(D1897,Krav!$C:$F,4,FALSE))</f>
        <v/>
      </c>
      <c r="F1897" s="263" t="s">
        <v>225</v>
      </c>
      <c r="G1897" s="264" t="s">
        <v>230</v>
      </c>
      <c r="H1897" s="265" t="s">
        <v>1431</v>
      </c>
      <c r="I1897" s="266" t="s">
        <v>1407</v>
      </c>
      <c r="J1897" s="267" t="s">
        <v>222</v>
      </c>
      <c r="K1897" s="125" t="s">
        <v>222</v>
      </c>
      <c r="L1897" s="268" t="s">
        <v>3</v>
      </c>
      <c r="M1897" s="269" t="s">
        <v>131</v>
      </c>
      <c r="N1897" s="269" t="s">
        <v>129</v>
      </c>
      <c r="O1897" s="269" t="s">
        <v>96</v>
      </c>
      <c r="P1897" s="269" t="s">
        <v>376</v>
      </c>
      <c r="Q1897" s="269" t="s">
        <v>129</v>
      </c>
      <c r="R1897" s="269" t="s">
        <v>131</v>
      </c>
      <c r="S1897" s="269" t="s">
        <v>131</v>
      </c>
      <c r="T1897" s="269"/>
      <c r="U1897" s="269"/>
      <c r="V1897" s="269"/>
      <c r="W1897" s="269"/>
      <c r="X1897" s="269"/>
      <c r="Y1897" s="269"/>
      <c r="Z1897" s="269"/>
      <c r="AA1897" s="269"/>
      <c r="AB1897" s="269"/>
      <c r="AC1897" s="269"/>
      <c r="AD1897" s="270" t="s">
        <v>5</v>
      </c>
    </row>
    <row r="1898" spans="1:30" s="271" customFormat="1" ht="33" customHeight="1" x14ac:dyDescent="0.3">
      <c r="A1898" s="167">
        <v>31</v>
      </c>
      <c r="B1898" s="168">
        <v>141</v>
      </c>
      <c r="C1898" s="261" t="str">
        <f t="shared" si="38"/>
        <v>31.141</v>
      </c>
      <c r="D1898" s="262"/>
      <c r="E1898" s="64" t="str">
        <f>IF(ISBLANK(D1898)=TRUE,"",VLOOKUP(D1898,Krav!$C:$F,4,FALSE))</f>
        <v/>
      </c>
      <c r="F1898" s="263" t="s">
        <v>225</v>
      </c>
      <c r="G1898" s="264" t="s">
        <v>1390</v>
      </c>
      <c r="H1898" s="265" t="s">
        <v>1431</v>
      </c>
      <c r="I1898" s="266" t="s">
        <v>369</v>
      </c>
      <c r="J1898" s="267" t="s">
        <v>222</v>
      </c>
      <c r="K1898" s="125" t="s">
        <v>222</v>
      </c>
      <c r="L1898" s="268" t="s">
        <v>3</v>
      </c>
      <c r="M1898" s="269" t="s">
        <v>131</v>
      </c>
      <c r="N1898" s="269" t="s">
        <v>129</v>
      </c>
      <c r="O1898" s="269" t="s">
        <v>96</v>
      </c>
      <c r="P1898" s="269" t="s">
        <v>376</v>
      </c>
      <c r="Q1898" s="269" t="s">
        <v>129</v>
      </c>
      <c r="R1898" s="269" t="s">
        <v>131</v>
      </c>
      <c r="S1898" s="269" t="s">
        <v>131</v>
      </c>
      <c r="T1898" s="269"/>
      <c r="U1898" s="269"/>
      <c r="V1898" s="269"/>
      <c r="W1898" s="269"/>
      <c r="X1898" s="269"/>
      <c r="Y1898" s="269"/>
      <c r="Z1898" s="269"/>
      <c r="AA1898" s="269"/>
      <c r="AB1898" s="269"/>
      <c r="AC1898" s="269"/>
      <c r="AD1898" s="270" t="s">
        <v>5</v>
      </c>
    </row>
    <row r="1899" spans="1:30" s="271" customFormat="1" ht="33" customHeight="1" x14ac:dyDescent="0.3">
      <c r="A1899" s="167">
        <v>31</v>
      </c>
      <c r="B1899" s="168">
        <v>142</v>
      </c>
      <c r="C1899" s="261" t="str">
        <f t="shared" si="38"/>
        <v>31.142</v>
      </c>
      <c r="D1899" s="262" t="s">
        <v>1262</v>
      </c>
      <c r="E1899" s="64" t="str">
        <f>IF(ISBLANK(D1899)=TRUE,"",VLOOKUP(D1899,Krav!$C:$F,4,FALSE))</f>
        <v>10.a.2.2.19 -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899" s="273" t="s">
        <v>174</v>
      </c>
      <c r="G1899" s="264"/>
      <c r="H1899" s="265" t="s">
        <v>1424</v>
      </c>
      <c r="I1899" s="266" t="s">
        <v>1425</v>
      </c>
      <c r="J1899" s="267" t="s">
        <v>222</v>
      </c>
      <c r="K1899" s="125" t="s">
        <v>222</v>
      </c>
      <c r="L1899" s="268" t="s">
        <v>3</v>
      </c>
      <c r="M1899" s="269" t="s">
        <v>131</v>
      </c>
      <c r="N1899" s="269" t="s">
        <v>129</v>
      </c>
      <c r="O1899" s="269" t="s">
        <v>96</v>
      </c>
      <c r="P1899" s="269" t="s">
        <v>376</v>
      </c>
      <c r="Q1899" s="269" t="s">
        <v>129</v>
      </c>
      <c r="R1899" s="269" t="s">
        <v>131</v>
      </c>
      <c r="S1899" s="269" t="s">
        <v>131</v>
      </c>
      <c r="T1899" s="269"/>
      <c r="U1899" s="269"/>
      <c r="V1899" s="269" t="s">
        <v>294</v>
      </c>
      <c r="W1899" s="269"/>
      <c r="X1899" s="269"/>
      <c r="Y1899" s="269"/>
      <c r="Z1899" s="269"/>
      <c r="AA1899" s="269"/>
      <c r="AB1899" s="269"/>
      <c r="AC1899" s="269"/>
      <c r="AD1899" s="270" t="s">
        <v>5</v>
      </c>
    </row>
    <row r="1900" spans="1:30" s="271" customFormat="1" ht="33" customHeight="1" x14ac:dyDescent="0.3">
      <c r="A1900" s="167">
        <v>31</v>
      </c>
      <c r="B1900" s="168">
        <v>143</v>
      </c>
      <c r="C1900" s="261" t="str">
        <f t="shared" si="38"/>
        <v>31.143</v>
      </c>
      <c r="D1900" s="262" t="s">
        <v>1262</v>
      </c>
      <c r="E1900" s="64" t="str">
        <f>IF(ISBLANK(D1900)=TRUE,"",VLOOKUP(D1900,Krav!$C:$F,4,FALSE))</f>
        <v>10.a.2.2.19 -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900" s="273" t="s">
        <v>174</v>
      </c>
      <c r="G1900" s="263"/>
      <c r="H1900" s="265" t="s">
        <v>1447</v>
      </c>
      <c r="I1900" s="266" t="s">
        <v>1425</v>
      </c>
      <c r="J1900" s="267" t="s">
        <v>222</v>
      </c>
      <c r="K1900" s="125" t="s">
        <v>222</v>
      </c>
      <c r="L1900" s="268" t="s">
        <v>3</v>
      </c>
      <c r="M1900" s="269" t="s">
        <v>131</v>
      </c>
      <c r="N1900" s="269" t="s">
        <v>129</v>
      </c>
      <c r="O1900" s="269" t="s">
        <v>96</v>
      </c>
      <c r="P1900" s="269" t="s">
        <v>376</v>
      </c>
      <c r="Q1900" s="269" t="s">
        <v>129</v>
      </c>
      <c r="R1900" s="269" t="s">
        <v>131</v>
      </c>
      <c r="S1900" s="269" t="s">
        <v>131</v>
      </c>
      <c r="T1900" s="269"/>
      <c r="U1900" s="269"/>
      <c r="V1900" s="270" t="s">
        <v>295</v>
      </c>
      <c r="W1900" s="269" t="s">
        <v>26</v>
      </c>
      <c r="X1900" s="269"/>
      <c r="Y1900" s="269"/>
      <c r="Z1900" s="269"/>
      <c r="AA1900" s="269"/>
      <c r="AB1900" s="269"/>
      <c r="AC1900" s="269"/>
      <c r="AD1900" s="270" t="s">
        <v>5</v>
      </c>
    </row>
    <row r="1901" spans="1:30" s="271" customFormat="1" ht="33" customHeight="1" x14ac:dyDescent="0.3">
      <c r="A1901" s="167">
        <v>31</v>
      </c>
      <c r="B1901" s="168">
        <v>144</v>
      </c>
      <c r="C1901" s="261" t="str">
        <f t="shared" si="38"/>
        <v>31.144</v>
      </c>
      <c r="D1901" s="262" t="s">
        <v>1262</v>
      </c>
      <c r="E1901" s="64" t="str">
        <f>IF(ISBLANK(D1901)=TRUE,"",VLOOKUP(D1901,Krav!$C:$F,4,FALSE))</f>
        <v>10.a.2.2.19 -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901" s="273" t="s">
        <v>174</v>
      </c>
      <c r="G1901" s="264"/>
      <c r="H1901" s="265" t="s">
        <v>1447</v>
      </c>
      <c r="I1901" s="267" t="s">
        <v>1425</v>
      </c>
      <c r="J1901" s="267" t="s">
        <v>222</v>
      </c>
      <c r="K1901" s="125" t="s">
        <v>222</v>
      </c>
      <c r="L1901" s="268" t="s">
        <v>3</v>
      </c>
      <c r="M1901" s="269" t="s">
        <v>131</v>
      </c>
      <c r="N1901" s="269" t="s">
        <v>129</v>
      </c>
      <c r="O1901" s="269" t="s">
        <v>96</v>
      </c>
      <c r="P1901" s="269" t="s">
        <v>376</v>
      </c>
      <c r="Q1901" s="269" t="s">
        <v>129</v>
      </c>
      <c r="R1901" s="269" t="s">
        <v>131</v>
      </c>
      <c r="S1901" s="269" t="s">
        <v>131</v>
      </c>
      <c r="T1901" s="269"/>
      <c r="U1901" s="269"/>
      <c r="V1901" s="270" t="s">
        <v>295</v>
      </c>
      <c r="W1901" s="269" t="s">
        <v>166</v>
      </c>
      <c r="X1901" s="269" t="s">
        <v>26</v>
      </c>
      <c r="Y1901" s="269"/>
      <c r="Z1901" s="269"/>
      <c r="AA1901" s="269"/>
      <c r="AB1901" s="269"/>
      <c r="AC1901" s="269"/>
      <c r="AD1901" s="270" t="s">
        <v>5</v>
      </c>
    </row>
    <row r="1902" spans="1:30" s="271" customFormat="1" ht="33" customHeight="1" x14ac:dyDescent="0.3">
      <c r="A1902" s="167">
        <v>31</v>
      </c>
      <c r="B1902" s="168">
        <v>145</v>
      </c>
      <c r="C1902" s="261" t="str">
        <f t="shared" si="38"/>
        <v>31.145</v>
      </c>
      <c r="D1902" s="262" t="s">
        <v>1262</v>
      </c>
      <c r="E1902" s="64" t="str">
        <f>IF(ISBLANK(D1902)=TRUE,"",VLOOKUP(D1902,Krav!$C:$F,4,FALSE))</f>
        <v>10.a.2.2.19 -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1902" s="273" t="s">
        <v>174</v>
      </c>
      <c r="G1902" s="263"/>
      <c r="H1902" s="265" t="s">
        <v>1447</v>
      </c>
      <c r="I1902" s="266" t="s">
        <v>1425</v>
      </c>
      <c r="J1902" s="267" t="s">
        <v>222</v>
      </c>
      <c r="K1902" s="125" t="s">
        <v>222</v>
      </c>
      <c r="L1902" s="268" t="s">
        <v>3</v>
      </c>
      <c r="M1902" s="269" t="s">
        <v>131</v>
      </c>
      <c r="N1902" s="269" t="s">
        <v>129</v>
      </c>
      <c r="O1902" s="269" t="s">
        <v>96</v>
      </c>
      <c r="P1902" s="269" t="s">
        <v>376</v>
      </c>
      <c r="Q1902" s="269" t="s">
        <v>129</v>
      </c>
      <c r="R1902" s="269" t="s">
        <v>131</v>
      </c>
      <c r="S1902" s="269" t="s">
        <v>131</v>
      </c>
      <c r="T1902" s="269"/>
      <c r="U1902" s="269"/>
      <c r="V1902" s="270" t="s">
        <v>295</v>
      </c>
      <c r="W1902" s="269" t="s">
        <v>166</v>
      </c>
      <c r="X1902" s="269" t="s">
        <v>166</v>
      </c>
      <c r="Y1902" s="269" t="s">
        <v>580</v>
      </c>
      <c r="Z1902" s="269"/>
      <c r="AA1902" s="269"/>
      <c r="AB1902" s="269"/>
      <c r="AC1902" s="269"/>
      <c r="AD1902" s="270" t="s">
        <v>5</v>
      </c>
    </row>
    <row r="1903" spans="1:30" s="271" customFormat="1" ht="33" customHeight="1" x14ac:dyDescent="0.3">
      <c r="A1903" s="167">
        <v>31</v>
      </c>
      <c r="B1903" s="168">
        <v>146</v>
      </c>
      <c r="C1903" s="261" t="str">
        <f t="shared" si="38"/>
        <v>31.146</v>
      </c>
      <c r="D1903" s="262" t="s">
        <v>1263</v>
      </c>
      <c r="E1903" s="64" t="str">
        <f>IF(ISBLANK(D1903)=TRUE,"",VLOOKUP(D1903,Krav!$C:$F,4,FALSE))</f>
        <v xml:space="preserve">10.a.2.2.20 - Hvis fordringshaver har svaret ”aldrig” i spm. 9, kan der ikke opsættes en FLEX-filter konfiguration for populationen. </v>
      </c>
      <c r="F1903" s="273" t="s">
        <v>174</v>
      </c>
      <c r="G1903" s="264"/>
      <c r="H1903" s="265"/>
      <c r="I1903" s="266" t="s">
        <v>1414</v>
      </c>
      <c r="J1903" s="267" t="s">
        <v>222</v>
      </c>
      <c r="K1903" s="125" t="s">
        <v>222</v>
      </c>
      <c r="L1903" s="268" t="s">
        <v>4</v>
      </c>
      <c r="M1903" s="269" t="s">
        <v>131</v>
      </c>
      <c r="N1903" s="269" t="s">
        <v>129</v>
      </c>
      <c r="O1903" s="269" t="s">
        <v>96</v>
      </c>
      <c r="P1903" s="269" t="s">
        <v>376</v>
      </c>
      <c r="Q1903" s="269" t="s">
        <v>129</v>
      </c>
      <c r="R1903" s="269" t="s">
        <v>131</v>
      </c>
      <c r="S1903" s="269" t="s">
        <v>131</v>
      </c>
      <c r="T1903" s="269"/>
      <c r="U1903" s="269"/>
      <c r="V1903" s="270" t="s">
        <v>295</v>
      </c>
      <c r="W1903" s="269" t="s">
        <v>166</v>
      </c>
      <c r="X1903" s="269" t="s">
        <v>166</v>
      </c>
      <c r="Y1903" s="269" t="s">
        <v>369</v>
      </c>
      <c r="Z1903" s="269"/>
      <c r="AA1903" s="269"/>
      <c r="AB1903" s="269"/>
      <c r="AC1903" s="269"/>
      <c r="AD1903" s="270" t="s">
        <v>5</v>
      </c>
    </row>
    <row r="1904" spans="1:30" s="271" customFormat="1" ht="33" customHeight="1" x14ac:dyDescent="0.3">
      <c r="A1904" s="167">
        <v>31</v>
      </c>
      <c r="B1904" s="168">
        <v>147</v>
      </c>
      <c r="C1904" s="261" t="str">
        <f t="shared" si="38"/>
        <v>31.147</v>
      </c>
      <c r="D1904" s="262" t="s">
        <v>1263</v>
      </c>
      <c r="E1904" s="64" t="str">
        <f>IF(ISBLANK(D1904)=TRUE,"",VLOOKUP(D1904,Krav!$C:$F,4,FALSE))</f>
        <v xml:space="preserve">10.a.2.2.20 - Hvis fordringshaver har svaret ”aldrig” i spm. 9, kan der ikke opsættes en FLEX-filter konfiguration for populationen. </v>
      </c>
      <c r="F1904" s="273" t="s">
        <v>174</v>
      </c>
      <c r="G1904" s="264"/>
      <c r="H1904" s="265" t="s">
        <v>1426</v>
      </c>
      <c r="I1904" s="266" t="s">
        <v>1414</v>
      </c>
      <c r="J1904" s="266" t="s">
        <v>222</v>
      </c>
      <c r="K1904" s="125" t="s">
        <v>222</v>
      </c>
      <c r="L1904" s="268" t="s">
        <v>4</v>
      </c>
      <c r="M1904" s="269" t="s">
        <v>131</v>
      </c>
      <c r="N1904" s="269" t="s">
        <v>129</v>
      </c>
      <c r="O1904" s="269" t="s">
        <v>96</v>
      </c>
      <c r="P1904" s="269" t="s">
        <v>376</v>
      </c>
      <c r="Q1904" s="269" t="s">
        <v>129</v>
      </c>
      <c r="R1904" s="269" t="s">
        <v>131</v>
      </c>
      <c r="S1904" s="269" t="s">
        <v>131</v>
      </c>
      <c r="T1904" s="269"/>
      <c r="U1904" s="269"/>
      <c r="V1904" s="269" t="s">
        <v>303</v>
      </c>
      <c r="W1904" s="269"/>
      <c r="X1904" s="269"/>
      <c r="Y1904" s="269"/>
      <c r="Z1904" s="269"/>
      <c r="AA1904" s="269"/>
      <c r="AB1904" s="269"/>
      <c r="AC1904" s="269"/>
      <c r="AD1904" s="270" t="s">
        <v>5</v>
      </c>
    </row>
    <row r="1905" spans="1:38" s="271" customFormat="1" ht="33" customHeight="1" x14ac:dyDescent="0.3">
      <c r="A1905" s="167">
        <v>31</v>
      </c>
      <c r="B1905" s="168">
        <v>148</v>
      </c>
      <c r="C1905" s="261" t="str">
        <f t="shared" si="38"/>
        <v>31.148</v>
      </c>
      <c r="D1905" s="262" t="s">
        <v>1259</v>
      </c>
      <c r="E1905" s="64" t="str">
        <f>IF(ISBLANK(D1905)=TRUE,"",VLOOKUP(D1905,Krav!$C:$F,4,FALSE))</f>
        <v>10.a.2.2.16 - Hvis der er svaret "I visse tilfælde" i spørgsmål 9 og hvis der er svaret "Ja" i enten 9.b.1, 9.b.2.1 eller 9.b.2.2.1 skal brugeren ledes til spørgsmål 11</v>
      </c>
      <c r="F1905" s="263" t="s">
        <v>143</v>
      </c>
      <c r="G1905" s="263" t="s">
        <v>1427</v>
      </c>
      <c r="H1905" s="265" t="s">
        <v>1433</v>
      </c>
      <c r="I1905" s="266" t="s">
        <v>468</v>
      </c>
      <c r="J1905" s="266" t="s">
        <v>222</v>
      </c>
      <c r="K1905" s="125" t="s">
        <v>222</v>
      </c>
      <c r="L1905" s="268" t="s">
        <v>3</v>
      </c>
      <c r="M1905" s="269" t="s">
        <v>131</v>
      </c>
      <c r="N1905" s="269" t="s">
        <v>129</v>
      </c>
      <c r="O1905" s="269" t="s">
        <v>96</v>
      </c>
      <c r="P1905" s="269" t="s">
        <v>376</v>
      </c>
      <c r="Q1905" s="269" t="s">
        <v>129</v>
      </c>
      <c r="R1905" s="269" t="s">
        <v>131</v>
      </c>
      <c r="S1905" s="269" t="s">
        <v>131</v>
      </c>
      <c r="T1905" s="269"/>
      <c r="U1905" s="269"/>
      <c r="V1905" s="270" t="s">
        <v>295</v>
      </c>
      <c r="W1905" s="269" t="s">
        <v>26</v>
      </c>
      <c r="X1905" s="269"/>
      <c r="Y1905" s="269"/>
      <c r="Z1905" s="269"/>
      <c r="AA1905" s="269"/>
      <c r="AB1905" s="269"/>
      <c r="AC1905" s="269"/>
      <c r="AD1905" s="270" t="s">
        <v>5</v>
      </c>
    </row>
    <row r="1906" spans="1:38" s="271" customFormat="1" ht="33" customHeight="1" x14ac:dyDescent="0.3">
      <c r="A1906" s="167">
        <v>31</v>
      </c>
      <c r="B1906" s="168">
        <v>149</v>
      </c>
      <c r="C1906" s="261" t="str">
        <f t="shared" si="38"/>
        <v>31.149</v>
      </c>
      <c r="D1906" s="262" t="s">
        <v>1259</v>
      </c>
      <c r="E1906" s="64" t="str">
        <f>IF(ISBLANK(D1906)=TRUE,"",VLOOKUP(D1906,Krav!$C:$F,4,FALSE))</f>
        <v>10.a.2.2.16 - Hvis der er svaret "I visse tilfælde" i spørgsmål 9 og hvis der er svaret "Ja" i enten 9.b.1, 9.b.2.1 eller 9.b.2.2.1 skal brugeren ledes til spørgsmål 11</v>
      </c>
      <c r="F1906" s="263" t="s">
        <v>143</v>
      </c>
      <c r="G1906" s="263" t="s">
        <v>1427</v>
      </c>
      <c r="H1906" s="265" t="s">
        <v>1433</v>
      </c>
      <c r="I1906" s="266" t="s">
        <v>468</v>
      </c>
      <c r="J1906" s="266" t="s">
        <v>222</v>
      </c>
      <c r="K1906" s="125" t="s">
        <v>222</v>
      </c>
      <c r="L1906" s="268" t="s">
        <v>3</v>
      </c>
      <c r="M1906" s="269" t="s">
        <v>131</v>
      </c>
      <c r="N1906" s="269" t="s">
        <v>129</v>
      </c>
      <c r="O1906" s="269" t="s">
        <v>96</v>
      </c>
      <c r="P1906" s="269" t="s">
        <v>376</v>
      </c>
      <c r="Q1906" s="269" t="s">
        <v>129</v>
      </c>
      <c r="R1906" s="269" t="s">
        <v>131</v>
      </c>
      <c r="S1906" s="269" t="s">
        <v>131</v>
      </c>
      <c r="T1906" s="269"/>
      <c r="U1906" s="269"/>
      <c r="V1906" s="270" t="s">
        <v>295</v>
      </c>
      <c r="W1906" s="269" t="s">
        <v>166</v>
      </c>
      <c r="X1906" s="269" t="s">
        <v>26</v>
      </c>
      <c r="Y1906" s="269"/>
      <c r="Z1906" s="269"/>
      <c r="AA1906" s="269"/>
      <c r="AB1906" s="269"/>
      <c r="AC1906" s="269"/>
      <c r="AD1906" s="270" t="s">
        <v>5</v>
      </c>
    </row>
    <row r="1907" spans="1:38" s="271" customFormat="1" ht="33" customHeight="1" x14ac:dyDescent="0.3">
      <c r="A1907" s="167">
        <v>31</v>
      </c>
      <c r="B1907" s="168">
        <v>150</v>
      </c>
      <c r="C1907" s="261" t="str">
        <f t="shared" si="38"/>
        <v>31.150</v>
      </c>
      <c r="D1907" s="262" t="s">
        <v>1259</v>
      </c>
      <c r="E1907" s="64" t="str">
        <f>IF(ISBLANK(D1907)=TRUE,"",VLOOKUP(D1907,Krav!$C:$F,4,FALSE))</f>
        <v>10.a.2.2.16 - Hvis der er svaret "I visse tilfælde" i spørgsmål 9 og hvis der er svaret "Ja" i enten 9.b.1, 9.b.2.1 eller 9.b.2.2.1 skal brugeren ledes til spørgsmål 11</v>
      </c>
      <c r="F1907" s="263" t="s">
        <v>143</v>
      </c>
      <c r="G1907" s="263" t="s">
        <v>1427</v>
      </c>
      <c r="H1907" s="265" t="s">
        <v>1433</v>
      </c>
      <c r="I1907" s="266" t="s">
        <v>468</v>
      </c>
      <c r="J1907" s="266" t="s">
        <v>222</v>
      </c>
      <c r="K1907" s="125" t="s">
        <v>222</v>
      </c>
      <c r="L1907" s="274" t="s">
        <v>3</v>
      </c>
      <c r="M1907" s="269" t="s">
        <v>131</v>
      </c>
      <c r="N1907" s="269" t="s">
        <v>129</v>
      </c>
      <c r="O1907" s="269" t="s">
        <v>96</v>
      </c>
      <c r="P1907" s="269" t="s">
        <v>376</v>
      </c>
      <c r="Q1907" s="269" t="s">
        <v>129</v>
      </c>
      <c r="R1907" s="269" t="s">
        <v>131</v>
      </c>
      <c r="S1907" s="269" t="s">
        <v>131</v>
      </c>
      <c r="T1907" s="269"/>
      <c r="U1907" s="269"/>
      <c r="V1907" s="270" t="s">
        <v>295</v>
      </c>
      <c r="W1907" s="269" t="s">
        <v>166</v>
      </c>
      <c r="X1907" s="269" t="s">
        <v>166</v>
      </c>
      <c r="Y1907" s="269" t="s">
        <v>580</v>
      </c>
      <c r="Z1907" s="269"/>
      <c r="AA1907" s="269"/>
      <c r="AB1907" s="269"/>
      <c r="AC1907" s="269"/>
      <c r="AD1907" s="270" t="s">
        <v>5</v>
      </c>
    </row>
    <row r="1908" spans="1:38" s="271" customFormat="1" ht="33" customHeight="1" x14ac:dyDescent="0.3">
      <c r="A1908" s="167">
        <v>31</v>
      </c>
      <c r="B1908" s="168">
        <v>151</v>
      </c>
      <c r="C1908" s="261" t="str">
        <f t="shared" si="38"/>
        <v>31.151</v>
      </c>
      <c r="D1908" s="262"/>
      <c r="E1908" s="64" t="str">
        <f>IF(ISBLANK(D1908)=TRUE,"",VLOOKUP(D1908,Krav!$C:$F,4,FALSE))</f>
        <v/>
      </c>
      <c r="F1908" s="263" t="s">
        <v>143</v>
      </c>
      <c r="G1908" s="263" t="s">
        <v>1427</v>
      </c>
      <c r="H1908" s="265" t="s">
        <v>1446</v>
      </c>
      <c r="I1908" s="266" t="s">
        <v>468</v>
      </c>
      <c r="J1908" s="266" t="s">
        <v>222</v>
      </c>
      <c r="K1908" s="125" t="s">
        <v>222</v>
      </c>
      <c r="L1908" s="274" t="s">
        <v>3</v>
      </c>
      <c r="M1908" s="269" t="s">
        <v>131</v>
      </c>
      <c r="N1908" s="269" t="s">
        <v>129</v>
      </c>
      <c r="O1908" s="269" t="s">
        <v>96</v>
      </c>
      <c r="P1908" s="269" t="s">
        <v>376</v>
      </c>
      <c r="Q1908" s="269" t="s">
        <v>129</v>
      </c>
      <c r="R1908" s="269" t="s">
        <v>131</v>
      </c>
      <c r="S1908" s="269" t="s">
        <v>131</v>
      </c>
      <c r="T1908" s="269"/>
      <c r="U1908" s="269"/>
      <c r="V1908" s="269" t="s">
        <v>294</v>
      </c>
      <c r="W1908" s="269"/>
      <c r="X1908" s="269"/>
      <c r="Y1908" s="269"/>
      <c r="Z1908" s="269"/>
      <c r="AA1908" s="269"/>
      <c r="AB1908" s="269"/>
      <c r="AC1908" s="269"/>
      <c r="AD1908" s="270" t="s">
        <v>5</v>
      </c>
    </row>
    <row r="1909" spans="1:38" s="182" customFormat="1" ht="33" customHeight="1" x14ac:dyDescent="0.3">
      <c r="A1909" s="167">
        <v>31</v>
      </c>
      <c r="B1909" s="168">
        <v>152</v>
      </c>
      <c r="C1909" s="278" t="str">
        <f t="shared" si="38"/>
        <v>31.152</v>
      </c>
      <c r="D1909" s="279"/>
      <c r="E1909" s="64" t="str">
        <f>IF(ISBLANK(D1909)=TRUE,"",VLOOKUP(D1909,Krav!$C:$F,4,FALSE))</f>
        <v/>
      </c>
      <c r="F1909" s="281" t="s">
        <v>224</v>
      </c>
      <c r="G1909" s="282" t="s">
        <v>230</v>
      </c>
      <c r="H1909" s="283" t="s">
        <v>1448</v>
      </c>
      <c r="I1909" s="284" t="s">
        <v>129</v>
      </c>
      <c r="J1909" s="285" t="s">
        <v>222</v>
      </c>
      <c r="K1909" s="123" t="s">
        <v>222</v>
      </c>
      <c r="L1909" s="287" t="s">
        <v>3</v>
      </c>
      <c r="M1909" s="288" t="s">
        <v>129</v>
      </c>
      <c r="N1909" s="288"/>
      <c r="O1909" s="288"/>
      <c r="P1909" s="288"/>
      <c r="Q1909" s="288"/>
      <c r="R1909" s="288"/>
      <c r="S1909" s="288"/>
      <c r="T1909" s="288"/>
      <c r="U1909" s="288"/>
      <c r="V1909" s="288"/>
      <c r="W1909" s="288"/>
      <c r="X1909" s="288"/>
      <c r="Y1909" s="288"/>
      <c r="Z1909" s="288"/>
      <c r="AA1909" s="288"/>
      <c r="AB1909" s="288"/>
      <c r="AC1909" s="288"/>
      <c r="AD1909" s="289" t="s">
        <v>5</v>
      </c>
    </row>
    <row r="1910" spans="1:38" s="182" customFormat="1" ht="33" customHeight="1" x14ac:dyDescent="0.3">
      <c r="A1910" s="167">
        <v>31</v>
      </c>
      <c r="B1910" s="168">
        <v>153</v>
      </c>
      <c r="C1910" s="278" t="str">
        <f t="shared" si="38"/>
        <v>31.153</v>
      </c>
      <c r="D1910" s="279"/>
      <c r="E1910" s="64" t="str">
        <f>IF(ISBLANK(D1910)=TRUE,"",VLOOKUP(D1910,Krav!$C:$F,4,FALSE))</f>
        <v/>
      </c>
      <c r="F1910" s="281" t="s">
        <v>224</v>
      </c>
      <c r="G1910" s="282" t="s">
        <v>230</v>
      </c>
      <c r="H1910" s="280" t="s">
        <v>1449</v>
      </c>
      <c r="I1910" s="290" t="s">
        <v>131</v>
      </c>
      <c r="J1910" s="286" t="s">
        <v>222</v>
      </c>
      <c r="K1910" s="123" t="s">
        <v>222</v>
      </c>
      <c r="L1910" s="287" t="s">
        <v>3</v>
      </c>
      <c r="M1910" s="288"/>
      <c r="N1910" s="288"/>
      <c r="O1910" s="288"/>
      <c r="P1910" s="288"/>
      <c r="Q1910" s="288"/>
      <c r="R1910" s="288"/>
      <c r="S1910" s="288"/>
      <c r="T1910" s="288"/>
      <c r="U1910" s="288"/>
      <c r="V1910" s="288"/>
      <c r="W1910" s="288"/>
      <c r="X1910" s="288"/>
      <c r="Y1910" s="288"/>
      <c r="Z1910" s="288"/>
      <c r="AA1910" s="288"/>
      <c r="AB1910" s="288"/>
      <c r="AC1910" s="288"/>
      <c r="AD1910" s="289" t="s">
        <v>5</v>
      </c>
    </row>
    <row r="1911" spans="1:38" s="182" customFormat="1" ht="33" customHeight="1" x14ac:dyDescent="0.3">
      <c r="A1911" s="167">
        <v>31</v>
      </c>
      <c r="B1911" s="168">
        <v>154</v>
      </c>
      <c r="C1911" s="278" t="str">
        <f t="shared" si="38"/>
        <v>31.154</v>
      </c>
      <c r="D1911" s="279"/>
      <c r="E1911" s="64" t="str">
        <f>IF(ISBLANK(D1911)=TRUE,"",VLOOKUP(D1911,Krav!$C:$F,4,FALSE))</f>
        <v/>
      </c>
      <c r="F1911" s="281" t="s">
        <v>224</v>
      </c>
      <c r="G1911" s="282" t="s">
        <v>231</v>
      </c>
      <c r="H1911" s="283" t="s">
        <v>1450</v>
      </c>
      <c r="I1911" s="284" t="s">
        <v>129</v>
      </c>
      <c r="J1911" s="285" t="s">
        <v>222</v>
      </c>
      <c r="K1911" s="123" t="s">
        <v>222</v>
      </c>
      <c r="L1911" s="291" t="s">
        <v>3</v>
      </c>
      <c r="M1911" s="288"/>
      <c r="N1911" s="288" t="s">
        <v>129</v>
      </c>
      <c r="O1911" s="288"/>
      <c r="P1911" s="288"/>
      <c r="Q1911" s="288"/>
      <c r="R1911" s="288"/>
      <c r="S1911" s="288"/>
      <c r="T1911" s="288"/>
      <c r="U1911" s="288"/>
      <c r="V1911" s="288"/>
      <c r="W1911" s="288"/>
      <c r="X1911" s="288"/>
      <c r="Y1911" s="288"/>
      <c r="Z1911" s="288"/>
      <c r="AA1911" s="288"/>
      <c r="AB1911" s="288"/>
      <c r="AC1911" s="288"/>
      <c r="AD1911" s="289" t="s">
        <v>5</v>
      </c>
    </row>
    <row r="1912" spans="1:38" s="182" customFormat="1" ht="33" customHeight="1" x14ac:dyDescent="0.3">
      <c r="A1912" s="167">
        <v>31</v>
      </c>
      <c r="B1912" s="168">
        <v>155</v>
      </c>
      <c r="C1912" s="278" t="str">
        <f t="shared" si="38"/>
        <v>31.155</v>
      </c>
      <c r="D1912" s="279"/>
      <c r="E1912" s="64" t="str">
        <f>IF(ISBLANK(D1912)=TRUE,"",VLOOKUP(D1912,Krav!$C:$F,4,FALSE))</f>
        <v/>
      </c>
      <c r="F1912" s="281" t="s">
        <v>224</v>
      </c>
      <c r="G1912" s="282" t="s">
        <v>231</v>
      </c>
      <c r="H1912" s="280" t="s">
        <v>350</v>
      </c>
      <c r="I1912" s="290" t="s">
        <v>131</v>
      </c>
      <c r="J1912" s="286" t="s">
        <v>222</v>
      </c>
      <c r="K1912" s="123" t="s">
        <v>222</v>
      </c>
      <c r="L1912" s="291" t="s">
        <v>3</v>
      </c>
      <c r="M1912" s="288"/>
      <c r="N1912" s="288"/>
      <c r="O1912" s="288"/>
      <c r="P1912" s="288"/>
      <c r="Q1912" s="288"/>
      <c r="R1912" s="288"/>
      <c r="S1912" s="288"/>
      <c r="T1912" s="288"/>
      <c r="U1912" s="288"/>
      <c r="V1912" s="288"/>
      <c r="W1912" s="288"/>
      <c r="X1912" s="288"/>
      <c r="Y1912" s="288"/>
      <c r="Z1912" s="288"/>
      <c r="AA1912" s="288"/>
      <c r="AB1912" s="288"/>
      <c r="AC1912" s="288"/>
      <c r="AD1912" s="289" t="s">
        <v>5</v>
      </c>
    </row>
    <row r="1913" spans="1:38" s="182" customFormat="1" ht="33" customHeight="1" x14ac:dyDescent="0.3">
      <c r="A1913" s="167">
        <v>31</v>
      </c>
      <c r="B1913" s="168">
        <v>156</v>
      </c>
      <c r="C1913" s="278" t="str">
        <f t="shared" ref="C1913:C1938" si="39">IF(B1913&lt;10,_xlfn.CONCAT(A1913,".0",B1913),_xlfn.CONCAT(A1913,".",B1913))</f>
        <v>31.156</v>
      </c>
      <c r="D1913" s="279"/>
      <c r="E1913" s="64" t="str">
        <f>IF(ISBLANK(D1913)=TRUE,"",VLOOKUP(D1913,Krav!$C:$F,4,FALSE))</f>
        <v/>
      </c>
      <c r="F1913" s="281" t="s">
        <v>224</v>
      </c>
      <c r="G1913" s="282" t="s">
        <v>1388</v>
      </c>
      <c r="H1913" s="283" t="s">
        <v>1451</v>
      </c>
      <c r="I1913" s="284" t="s">
        <v>376</v>
      </c>
      <c r="J1913" s="285" t="s">
        <v>222</v>
      </c>
      <c r="K1913" s="123" t="s">
        <v>222</v>
      </c>
      <c r="L1913" s="287" t="s">
        <v>3</v>
      </c>
      <c r="M1913" s="288"/>
      <c r="N1913" s="288"/>
      <c r="O1913" s="288" t="s">
        <v>376</v>
      </c>
      <c r="P1913" s="288"/>
      <c r="Q1913" s="288"/>
      <c r="R1913" s="288"/>
      <c r="S1913" s="288"/>
      <c r="T1913" s="288"/>
      <c r="U1913" s="288"/>
      <c r="V1913" s="288"/>
      <c r="W1913" s="288"/>
      <c r="X1913" s="288"/>
      <c r="Y1913" s="288"/>
      <c r="Z1913" s="288"/>
      <c r="AA1913" s="288"/>
      <c r="AB1913" s="288"/>
      <c r="AC1913" s="288"/>
      <c r="AD1913" s="289" t="s">
        <v>5</v>
      </c>
    </row>
    <row r="1914" spans="1:38" s="182" customFormat="1" ht="33" customHeight="1" x14ac:dyDescent="0.3">
      <c r="A1914" s="167">
        <v>31</v>
      </c>
      <c r="B1914" s="168">
        <v>157</v>
      </c>
      <c r="C1914" s="278" t="str">
        <f t="shared" si="39"/>
        <v>31.157</v>
      </c>
      <c r="D1914" s="279"/>
      <c r="E1914" s="64" t="str">
        <f>IF(ISBLANK(D1914)=TRUE,"",VLOOKUP(D1914,Krav!$C:$F,4,FALSE))</f>
        <v/>
      </c>
      <c r="F1914" s="281" t="s">
        <v>224</v>
      </c>
      <c r="G1914" s="282" t="s">
        <v>1388</v>
      </c>
      <c r="H1914" s="292" t="s">
        <v>1449</v>
      </c>
      <c r="I1914" s="286" t="s">
        <v>469</v>
      </c>
      <c r="J1914" s="286" t="s">
        <v>222</v>
      </c>
      <c r="K1914" s="125" t="s">
        <v>222</v>
      </c>
      <c r="L1914" s="287" t="s">
        <v>3</v>
      </c>
      <c r="M1914" s="288"/>
      <c r="N1914" s="288"/>
      <c r="O1914" s="288"/>
      <c r="P1914" s="288"/>
      <c r="Q1914" s="288"/>
      <c r="R1914" s="288"/>
      <c r="S1914" s="288"/>
      <c r="T1914" s="288"/>
      <c r="U1914" s="288"/>
      <c r="V1914" s="288"/>
      <c r="W1914" s="288"/>
      <c r="X1914" s="288"/>
      <c r="Y1914" s="288"/>
      <c r="Z1914" s="288"/>
      <c r="AA1914" s="288"/>
      <c r="AB1914" s="288"/>
      <c r="AC1914" s="288"/>
      <c r="AD1914" s="289" t="s">
        <v>5</v>
      </c>
    </row>
    <row r="1915" spans="1:38" s="295" customFormat="1" ht="33" customHeight="1" x14ac:dyDescent="0.3">
      <c r="A1915" s="167">
        <v>31</v>
      </c>
      <c r="B1915" s="168">
        <v>158</v>
      </c>
      <c r="C1915" s="278" t="str">
        <f t="shared" si="39"/>
        <v>31.158</v>
      </c>
      <c r="D1915" s="279"/>
      <c r="E1915" s="64" t="str">
        <f>IF(ISBLANK(D1915)=TRUE,"",VLOOKUP(D1915,Krav!$C:$F,4,FALSE))</f>
        <v/>
      </c>
      <c r="F1915" s="281" t="s">
        <v>224</v>
      </c>
      <c r="G1915" s="282" t="s">
        <v>1389</v>
      </c>
      <c r="H1915" s="283" t="s">
        <v>1452</v>
      </c>
      <c r="I1915" s="284" t="s">
        <v>376</v>
      </c>
      <c r="J1915" s="293" t="s">
        <v>222</v>
      </c>
      <c r="K1915" s="128" t="s">
        <v>222</v>
      </c>
      <c r="L1915" s="291" t="s">
        <v>3</v>
      </c>
      <c r="M1915" s="288"/>
      <c r="N1915" s="288"/>
      <c r="O1915" s="288"/>
      <c r="P1915" s="288" t="s">
        <v>376</v>
      </c>
      <c r="Q1915" s="288"/>
      <c r="R1915" s="288"/>
      <c r="S1915" s="288"/>
      <c r="T1915" s="288"/>
      <c r="U1915" s="288"/>
      <c r="V1915" s="288"/>
      <c r="W1915" s="288"/>
      <c r="X1915" s="288"/>
      <c r="Y1915" s="288"/>
      <c r="Z1915" s="288"/>
      <c r="AA1915" s="288"/>
      <c r="AB1915" s="288"/>
      <c r="AC1915" s="288"/>
      <c r="AD1915" s="289" t="s">
        <v>5</v>
      </c>
      <c r="AE1915" s="182"/>
      <c r="AF1915" s="182"/>
      <c r="AG1915" s="182"/>
      <c r="AH1915" s="182"/>
      <c r="AI1915" s="182"/>
      <c r="AJ1915" s="182"/>
      <c r="AK1915" s="182"/>
      <c r="AL1915" s="182"/>
    </row>
    <row r="1916" spans="1:38" s="295" customFormat="1" ht="33" customHeight="1" x14ac:dyDescent="0.3">
      <c r="A1916" s="167">
        <v>31</v>
      </c>
      <c r="B1916" s="168">
        <v>159</v>
      </c>
      <c r="C1916" s="278" t="str">
        <f t="shared" si="39"/>
        <v>31.159</v>
      </c>
      <c r="D1916" s="279"/>
      <c r="E1916" s="64" t="str">
        <f>IF(ISBLANK(D1916)=TRUE,"",VLOOKUP(D1916,Krav!$C:$F,4,FALSE))</f>
        <v/>
      </c>
      <c r="F1916" s="281" t="s">
        <v>224</v>
      </c>
      <c r="G1916" s="282" t="s">
        <v>1389</v>
      </c>
      <c r="H1916" s="292" t="s">
        <v>1449</v>
      </c>
      <c r="I1916" s="286" t="s">
        <v>469</v>
      </c>
      <c r="J1916" s="293" t="s">
        <v>222</v>
      </c>
      <c r="K1916" s="127" t="s">
        <v>222</v>
      </c>
      <c r="L1916" s="291" t="s">
        <v>3</v>
      </c>
      <c r="M1916" s="288"/>
      <c r="N1916" s="288"/>
      <c r="O1916" s="288"/>
      <c r="P1916" s="288"/>
      <c r="Q1916" s="288"/>
      <c r="R1916" s="288"/>
      <c r="S1916" s="288"/>
      <c r="T1916" s="288"/>
      <c r="U1916" s="288"/>
      <c r="V1916" s="288"/>
      <c r="W1916" s="288"/>
      <c r="X1916" s="288"/>
      <c r="Y1916" s="288"/>
      <c r="Z1916" s="288"/>
      <c r="AA1916" s="288"/>
      <c r="AB1916" s="288"/>
      <c r="AC1916" s="288"/>
      <c r="AD1916" s="289" t="s">
        <v>5</v>
      </c>
      <c r="AE1916" s="182"/>
      <c r="AF1916" s="182"/>
      <c r="AG1916" s="182"/>
      <c r="AH1916" s="182"/>
      <c r="AI1916" s="182"/>
      <c r="AJ1916" s="182"/>
      <c r="AK1916" s="182"/>
      <c r="AL1916" s="182"/>
    </row>
    <row r="1917" spans="1:38" s="182" customFormat="1" ht="33" customHeight="1" x14ac:dyDescent="0.3">
      <c r="A1917" s="167">
        <v>31</v>
      </c>
      <c r="B1917" s="168">
        <v>160</v>
      </c>
      <c r="C1917" s="278" t="str">
        <f t="shared" si="39"/>
        <v>31.160</v>
      </c>
      <c r="D1917" s="279"/>
      <c r="E1917" s="64" t="str">
        <f>IF(ISBLANK(D1917)=TRUE,"",VLOOKUP(D1917,Krav!$C:$F,4,FALSE))</f>
        <v/>
      </c>
      <c r="F1917" s="281" t="s">
        <v>418</v>
      </c>
      <c r="G1917" s="282" t="s">
        <v>445</v>
      </c>
      <c r="H1917" s="296" t="s">
        <v>451</v>
      </c>
      <c r="I1917" s="286" t="s">
        <v>129</v>
      </c>
      <c r="J1917" s="285" t="s">
        <v>222</v>
      </c>
      <c r="K1917" s="125" t="s">
        <v>222</v>
      </c>
      <c r="L1917" s="291" t="s">
        <v>3</v>
      </c>
      <c r="M1917" s="288" t="s">
        <v>129</v>
      </c>
      <c r="N1917" s="288" t="s">
        <v>131</v>
      </c>
      <c r="O1917" s="288" t="s">
        <v>376</v>
      </c>
      <c r="P1917" s="288" t="s">
        <v>376</v>
      </c>
      <c r="Q1917" s="288" t="s">
        <v>131</v>
      </c>
      <c r="R1917" s="288" t="s">
        <v>131</v>
      </c>
      <c r="S1917" s="288" t="s">
        <v>131</v>
      </c>
      <c r="T1917" s="288"/>
      <c r="U1917" s="288"/>
      <c r="V1917" s="288"/>
      <c r="W1917" s="288"/>
      <c r="X1917" s="288"/>
      <c r="Y1917" s="288"/>
      <c r="Z1917" s="288"/>
      <c r="AA1917" s="288"/>
      <c r="AB1917" s="288"/>
      <c r="AC1917" s="288"/>
      <c r="AD1917" s="289" t="s">
        <v>5</v>
      </c>
    </row>
    <row r="1918" spans="1:38" s="182" customFormat="1" ht="33" customHeight="1" x14ac:dyDescent="0.3">
      <c r="A1918" s="167">
        <v>31</v>
      </c>
      <c r="B1918" s="168">
        <v>161</v>
      </c>
      <c r="C1918" s="278" t="str">
        <f t="shared" si="39"/>
        <v>31.161</v>
      </c>
      <c r="D1918" s="279"/>
      <c r="E1918" s="64" t="str">
        <f>IF(ISBLANK(D1918)=TRUE,"",VLOOKUP(D1918,Krav!$C:$F,4,FALSE))</f>
        <v/>
      </c>
      <c r="F1918" s="281" t="s">
        <v>418</v>
      </c>
      <c r="G1918" s="282" t="s">
        <v>445</v>
      </c>
      <c r="H1918" s="296" t="s">
        <v>451</v>
      </c>
      <c r="I1918" s="286" t="s">
        <v>129</v>
      </c>
      <c r="J1918" s="285" t="s">
        <v>222</v>
      </c>
      <c r="K1918" s="125" t="s">
        <v>222</v>
      </c>
      <c r="L1918" s="291" t="s">
        <v>3</v>
      </c>
      <c r="M1918" s="288" t="s">
        <v>129</v>
      </c>
      <c r="N1918" s="288" t="s">
        <v>131</v>
      </c>
      <c r="O1918" s="288" t="s">
        <v>376</v>
      </c>
      <c r="P1918" s="288" t="s">
        <v>376</v>
      </c>
      <c r="Q1918" s="288" t="s">
        <v>131</v>
      </c>
      <c r="R1918" s="288" t="s">
        <v>131</v>
      </c>
      <c r="S1918" s="288" t="s">
        <v>131</v>
      </c>
      <c r="T1918" s="288"/>
      <c r="U1918" s="288"/>
      <c r="V1918" s="288"/>
      <c r="W1918" s="288"/>
      <c r="X1918" s="288"/>
      <c r="Y1918" s="288"/>
      <c r="Z1918" s="288"/>
      <c r="AA1918" s="288"/>
      <c r="AB1918" s="288"/>
      <c r="AC1918" s="288"/>
      <c r="AD1918" s="289" t="s">
        <v>5</v>
      </c>
    </row>
    <row r="1919" spans="1:38" s="182" customFormat="1" ht="33" customHeight="1" x14ac:dyDescent="0.3">
      <c r="A1919" s="167">
        <v>31</v>
      </c>
      <c r="B1919" s="168">
        <v>162</v>
      </c>
      <c r="C1919" s="278" t="str">
        <f t="shared" si="39"/>
        <v>31.162</v>
      </c>
      <c r="D1919" s="279"/>
      <c r="E1919" s="64" t="str">
        <f>IF(ISBLANK(D1919)=TRUE,"",VLOOKUP(D1919,Krav!$C:$F,4,FALSE))</f>
        <v/>
      </c>
      <c r="F1919" s="281" t="s">
        <v>418</v>
      </c>
      <c r="G1919" s="282" t="s">
        <v>445</v>
      </c>
      <c r="H1919" s="296" t="s">
        <v>451</v>
      </c>
      <c r="I1919" s="286" t="s">
        <v>129</v>
      </c>
      <c r="J1919" s="285" t="s">
        <v>222</v>
      </c>
      <c r="K1919" s="125" t="s">
        <v>222</v>
      </c>
      <c r="L1919" s="291" t="s">
        <v>3</v>
      </c>
      <c r="M1919" s="288" t="s">
        <v>129</v>
      </c>
      <c r="N1919" s="288" t="s">
        <v>131</v>
      </c>
      <c r="O1919" s="288" t="s">
        <v>376</v>
      </c>
      <c r="P1919" s="288" t="s">
        <v>96</v>
      </c>
      <c r="Q1919" s="288" t="s">
        <v>131</v>
      </c>
      <c r="R1919" s="288" t="s">
        <v>131</v>
      </c>
      <c r="S1919" s="288" t="s">
        <v>129</v>
      </c>
      <c r="T1919" s="288"/>
      <c r="U1919" s="288"/>
      <c r="V1919" s="288"/>
      <c r="W1919" s="288"/>
      <c r="X1919" s="288"/>
      <c r="Y1919" s="288"/>
      <c r="Z1919" s="288"/>
      <c r="AA1919" s="288"/>
      <c r="AB1919" s="288"/>
      <c r="AC1919" s="288"/>
      <c r="AD1919" s="289" t="s">
        <v>5</v>
      </c>
    </row>
    <row r="1920" spans="1:38" s="182" customFormat="1" ht="33" customHeight="1" x14ac:dyDescent="0.3">
      <c r="A1920" s="167">
        <v>31</v>
      </c>
      <c r="B1920" s="168">
        <v>163</v>
      </c>
      <c r="C1920" s="278" t="str">
        <f t="shared" si="39"/>
        <v>31.163</v>
      </c>
      <c r="D1920" s="279"/>
      <c r="E1920" s="64" t="str">
        <f>IF(ISBLANK(D1920)=TRUE,"",VLOOKUP(D1920,Krav!$C:$F,4,FALSE))</f>
        <v/>
      </c>
      <c r="F1920" s="281" t="s">
        <v>418</v>
      </c>
      <c r="G1920" s="297" t="s">
        <v>446</v>
      </c>
      <c r="H1920" s="296" t="s">
        <v>451</v>
      </c>
      <c r="I1920" s="286" t="s">
        <v>129</v>
      </c>
      <c r="J1920" s="388" t="s">
        <v>222</v>
      </c>
      <c r="K1920" s="123" t="s">
        <v>222</v>
      </c>
      <c r="L1920" s="291" t="s">
        <v>3</v>
      </c>
      <c r="M1920" s="288" t="s">
        <v>129</v>
      </c>
      <c r="N1920" s="288" t="s">
        <v>131</v>
      </c>
      <c r="O1920" s="288" t="s">
        <v>376</v>
      </c>
      <c r="P1920" s="288" t="s">
        <v>96</v>
      </c>
      <c r="Q1920" s="288" t="s">
        <v>131</v>
      </c>
      <c r="R1920" s="288" t="s">
        <v>129</v>
      </c>
      <c r="S1920" s="288" t="s">
        <v>131</v>
      </c>
      <c r="T1920" s="288"/>
      <c r="U1920" s="288"/>
      <c r="V1920" s="288" t="s">
        <v>294</v>
      </c>
      <c r="W1920" s="288"/>
      <c r="X1920" s="288"/>
      <c r="Y1920" s="288"/>
      <c r="Z1920" s="288"/>
      <c r="AA1920" s="288"/>
      <c r="AB1920" s="288"/>
      <c r="AC1920" s="288"/>
      <c r="AD1920" s="289" t="s">
        <v>5</v>
      </c>
    </row>
    <row r="1921" spans="1:38" s="182" customFormat="1" ht="33" customHeight="1" x14ac:dyDescent="0.3">
      <c r="A1921" s="167">
        <v>31</v>
      </c>
      <c r="B1921" s="168">
        <v>164</v>
      </c>
      <c r="C1921" s="278" t="str">
        <f t="shared" si="39"/>
        <v>31.164</v>
      </c>
      <c r="D1921" s="279"/>
      <c r="E1921" s="64" t="str">
        <f>IF(ISBLANK(D1921)=TRUE,"",VLOOKUP(D1921,Krav!$C:$F,4,FALSE))</f>
        <v/>
      </c>
      <c r="F1921" s="281" t="s">
        <v>418</v>
      </c>
      <c r="G1921" s="282" t="s">
        <v>446</v>
      </c>
      <c r="H1921" s="296" t="s">
        <v>451</v>
      </c>
      <c r="I1921" s="286" t="s">
        <v>129</v>
      </c>
      <c r="J1921" s="285" t="s">
        <v>222</v>
      </c>
      <c r="K1921" s="123" t="s">
        <v>222</v>
      </c>
      <c r="L1921" s="291" t="s">
        <v>3</v>
      </c>
      <c r="M1921" s="288" t="s">
        <v>129</v>
      </c>
      <c r="N1921" s="288" t="s">
        <v>131</v>
      </c>
      <c r="O1921" s="288" t="s">
        <v>376</v>
      </c>
      <c r="P1921" s="288" t="s">
        <v>96</v>
      </c>
      <c r="Q1921" s="288" t="s">
        <v>131</v>
      </c>
      <c r="R1921" s="288" t="s">
        <v>129</v>
      </c>
      <c r="S1921" s="288" t="s">
        <v>131</v>
      </c>
      <c r="T1921" s="288"/>
      <c r="U1921" s="288"/>
      <c r="V1921" s="289" t="s">
        <v>295</v>
      </c>
      <c r="W1921" s="288" t="s">
        <v>26</v>
      </c>
      <c r="X1921" s="288"/>
      <c r="Y1921" s="288"/>
      <c r="Z1921" s="288"/>
      <c r="AA1921" s="288"/>
      <c r="AB1921" s="288"/>
      <c r="AC1921" s="288"/>
      <c r="AD1921" s="289" t="s">
        <v>5</v>
      </c>
    </row>
    <row r="1922" spans="1:38" s="182" customFormat="1" ht="33" customHeight="1" x14ac:dyDescent="0.3">
      <c r="A1922" s="167">
        <v>31</v>
      </c>
      <c r="B1922" s="168">
        <v>165</v>
      </c>
      <c r="C1922" s="278" t="str">
        <f t="shared" si="39"/>
        <v>31.165</v>
      </c>
      <c r="D1922" s="279"/>
      <c r="E1922" s="64" t="str">
        <f>IF(ISBLANK(D1922)=TRUE,"",VLOOKUP(D1922,Krav!$C:$F,4,FALSE))</f>
        <v/>
      </c>
      <c r="F1922" s="281" t="s">
        <v>418</v>
      </c>
      <c r="G1922" s="297" t="s">
        <v>446</v>
      </c>
      <c r="H1922" s="296" t="s">
        <v>451</v>
      </c>
      <c r="I1922" s="286" t="s">
        <v>129</v>
      </c>
      <c r="J1922" s="285" t="s">
        <v>222</v>
      </c>
      <c r="K1922" s="123" t="s">
        <v>222</v>
      </c>
      <c r="L1922" s="291" t="s">
        <v>3</v>
      </c>
      <c r="M1922" s="288" t="s">
        <v>129</v>
      </c>
      <c r="N1922" s="288" t="s">
        <v>131</v>
      </c>
      <c r="O1922" s="288" t="s">
        <v>376</v>
      </c>
      <c r="P1922" s="288" t="s">
        <v>96</v>
      </c>
      <c r="Q1922" s="288" t="s">
        <v>131</v>
      </c>
      <c r="R1922" s="288" t="s">
        <v>129</v>
      </c>
      <c r="S1922" s="288" t="s">
        <v>131</v>
      </c>
      <c r="T1922" s="288"/>
      <c r="U1922" s="288"/>
      <c r="V1922" s="289" t="s">
        <v>295</v>
      </c>
      <c r="W1922" s="288" t="s">
        <v>166</v>
      </c>
      <c r="X1922" s="288" t="s">
        <v>26</v>
      </c>
      <c r="Y1922" s="288"/>
      <c r="Z1922" s="288"/>
      <c r="AA1922" s="288"/>
      <c r="AB1922" s="288"/>
      <c r="AC1922" s="288"/>
      <c r="AD1922" s="289" t="s">
        <v>5</v>
      </c>
    </row>
    <row r="1923" spans="1:38" s="182" customFormat="1" ht="33" customHeight="1" x14ac:dyDescent="0.3">
      <c r="A1923" s="167">
        <v>31</v>
      </c>
      <c r="B1923" s="168">
        <v>166</v>
      </c>
      <c r="C1923" s="278" t="str">
        <f t="shared" si="39"/>
        <v>31.166</v>
      </c>
      <c r="D1923" s="279"/>
      <c r="E1923" s="64" t="str">
        <f>IF(ISBLANK(D1923)=TRUE,"",VLOOKUP(D1923,Krav!$C:$F,4,FALSE))</f>
        <v/>
      </c>
      <c r="F1923" s="281" t="s">
        <v>418</v>
      </c>
      <c r="G1923" s="282" t="s">
        <v>446</v>
      </c>
      <c r="H1923" s="296" t="s">
        <v>451</v>
      </c>
      <c r="I1923" s="286" t="s">
        <v>129</v>
      </c>
      <c r="J1923" s="285" t="s">
        <v>222</v>
      </c>
      <c r="K1923" s="123" t="s">
        <v>222</v>
      </c>
      <c r="L1923" s="291" t="s">
        <v>3</v>
      </c>
      <c r="M1923" s="288" t="s">
        <v>129</v>
      </c>
      <c r="N1923" s="288" t="s">
        <v>131</v>
      </c>
      <c r="O1923" s="288" t="s">
        <v>376</v>
      </c>
      <c r="P1923" s="288" t="s">
        <v>96</v>
      </c>
      <c r="Q1923" s="288" t="s">
        <v>131</v>
      </c>
      <c r="R1923" s="288" t="s">
        <v>129</v>
      </c>
      <c r="S1923" s="288" t="s">
        <v>131</v>
      </c>
      <c r="T1923" s="288"/>
      <c r="U1923" s="288"/>
      <c r="V1923" s="289" t="s">
        <v>295</v>
      </c>
      <c r="W1923" s="288" t="s">
        <v>166</v>
      </c>
      <c r="X1923" s="288" t="s">
        <v>166</v>
      </c>
      <c r="Y1923" s="288" t="s">
        <v>580</v>
      </c>
      <c r="Z1923" s="288"/>
      <c r="AA1923" s="288"/>
      <c r="AB1923" s="288"/>
      <c r="AC1923" s="288"/>
      <c r="AD1923" s="289" t="s">
        <v>5</v>
      </c>
    </row>
    <row r="1924" spans="1:38" s="182" customFormat="1" ht="33" customHeight="1" x14ac:dyDescent="0.3">
      <c r="A1924" s="167">
        <v>31</v>
      </c>
      <c r="B1924" s="168">
        <v>167</v>
      </c>
      <c r="C1924" s="278" t="str">
        <f t="shared" si="39"/>
        <v>31.167</v>
      </c>
      <c r="D1924" s="279"/>
      <c r="E1924" s="64" t="str">
        <f>IF(ISBLANK(D1924)=TRUE,"",VLOOKUP(D1924,Krav!$C:$F,4,FALSE))</f>
        <v/>
      </c>
      <c r="F1924" s="281" t="s">
        <v>418</v>
      </c>
      <c r="G1924" s="297" t="s">
        <v>446</v>
      </c>
      <c r="H1924" s="296" t="s">
        <v>451</v>
      </c>
      <c r="I1924" s="286" t="s">
        <v>129</v>
      </c>
      <c r="J1924" s="285" t="s">
        <v>222</v>
      </c>
      <c r="K1924" s="123" t="s">
        <v>222</v>
      </c>
      <c r="L1924" s="291" t="s">
        <v>3</v>
      </c>
      <c r="M1924" s="288" t="s">
        <v>129</v>
      </c>
      <c r="N1924" s="288" t="s">
        <v>131</v>
      </c>
      <c r="O1924" s="288" t="s">
        <v>96</v>
      </c>
      <c r="P1924" s="288" t="s">
        <v>96</v>
      </c>
      <c r="Q1924" s="288" t="s">
        <v>129</v>
      </c>
      <c r="R1924" s="288" t="s">
        <v>131</v>
      </c>
      <c r="S1924" s="288" t="s">
        <v>131</v>
      </c>
      <c r="T1924" s="288"/>
      <c r="U1924" s="288"/>
      <c r="V1924" s="289" t="s">
        <v>295</v>
      </c>
      <c r="W1924" s="288" t="s">
        <v>26</v>
      </c>
      <c r="X1924" s="288"/>
      <c r="Y1924" s="288"/>
      <c r="Z1924" s="288"/>
      <c r="AA1924" s="288"/>
      <c r="AB1924" s="288"/>
      <c r="AC1924" s="288"/>
      <c r="AD1924" s="289" t="s">
        <v>5</v>
      </c>
    </row>
    <row r="1925" spans="1:38" s="182" customFormat="1" ht="33" customHeight="1" x14ac:dyDescent="0.3">
      <c r="A1925" s="167">
        <v>31</v>
      </c>
      <c r="B1925" s="168">
        <v>168</v>
      </c>
      <c r="C1925" s="278" t="str">
        <f t="shared" si="39"/>
        <v>31.168</v>
      </c>
      <c r="D1925" s="279"/>
      <c r="E1925" s="64" t="str">
        <f>IF(ISBLANK(D1925)=TRUE,"",VLOOKUP(D1925,Krav!$C:$F,4,FALSE))</f>
        <v/>
      </c>
      <c r="F1925" s="281" t="s">
        <v>418</v>
      </c>
      <c r="G1925" s="282" t="s">
        <v>446</v>
      </c>
      <c r="H1925" s="296" t="s">
        <v>451</v>
      </c>
      <c r="I1925" s="286" t="s">
        <v>129</v>
      </c>
      <c r="J1925" s="286" t="s">
        <v>222</v>
      </c>
      <c r="K1925" s="123" t="s">
        <v>222</v>
      </c>
      <c r="L1925" s="291" t="s">
        <v>3</v>
      </c>
      <c r="M1925" s="288" t="s">
        <v>129</v>
      </c>
      <c r="N1925" s="288" t="s">
        <v>131</v>
      </c>
      <c r="O1925" s="288" t="s">
        <v>96</v>
      </c>
      <c r="P1925" s="288" t="s">
        <v>96</v>
      </c>
      <c r="Q1925" s="288" t="s">
        <v>129</v>
      </c>
      <c r="R1925" s="288" t="s">
        <v>131</v>
      </c>
      <c r="S1925" s="288" t="s">
        <v>131</v>
      </c>
      <c r="T1925" s="288"/>
      <c r="U1925" s="288"/>
      <c r="V1925" s="289" t="s">
        <v>295</v>
      </c>
      <c r="W1925" s="288" t="s">
        <v>166</v>
      </c>
      <c r="X1925" s="288" t="s">
        <v>26</v>
      </c>
      <c r="Y1925" s="288"/>
      <c r="Z1925" s="288"/>
      <c r="AA1925" s="288"/>
      <c r="AB1925" s="288"/>
      <c r="AC1925" s="288"/>
      <c r="AD1925" s="289" t="s">
        <v>5</v>
      </c>
    </row>
    <row r="1926" spans="1:38" s="182" customFormat="1" ht="33" customHeight="1" x14ac:dyDescent="0.3">
      <c r="A1926" s="167">
        <v>31</v>
      </c>
      <c r="B1926" s="168">
        <v>169</v>
      </c>
      <c r="C1926" s="278" t="str">
        <f t="shared" si="39"/>
        <v>31.169</v>
      </c>
      <c r="D1926" s="279"/>
      <c r="E1926" s="64" t="str">
        <f>IF(ISBLANK(D1926)=TRUE,"",VLOOKUP(D1926,Krav!$C:$F,4,FALSE))</f>
        <v/>
      </c>
      <c r="F1926" s="281" t="s">
        <v>418</v>
      </c>
      <c r="G1926" s="297" t="s">
        <v>446</v>
      </c>
      <c r="H1926" s="296" t="s">
        <v>451</v>
      </c>
      <c r="I1926" s="286" t="s">
        <v>129</v>
      </c>
      <c r="J1926" s="285" t="s">
        <v>222</v>
      </c>
      <c r="K1926" s="123" t="s">
        <v>222</v>
      </c>
      <c r="L1926" s="291" t="s">
        <v>3</v>
      </c>
      <c r="M1926" s="288" t="s">
        <v>129</v>
      </c>
      <c r="N1926" s="288" t="s">
        <v>131</v>
      </c>
      <c r="O1926" s="288" t="s">
        <v>96</v>
      </c>
      <c r="P1926" s="288" t="s">
        <v>96</v>
      </c>
      <c r="Q1926" s="288" t="s">
        <v>129</v>
      </c>
      <c r="R1926" s="288" t="s">
        <v>131</v>
      </c>
      <c r="S1926" s="288" t="s">
        <v>131</v>
      </c>
      <c r="T1926" s="288"/>
      <c r="U1926" s="288"/>
      <c r="V1926" s="289" t="s">
        <v>295</v>
      </c>
      <c r="W1926" s="288" t="s">
        <v>166</v>
      </c>
      <c r="X1926" s="288" t="s">
        <v>166</v>
      </c>
      <c r="Y1926" s="288" t="s">
        <v>580</v>
      </c>
      <c r="Z1926" s="288"/>
      <c r="AA1926" s="288"/>
      <c r="AB1926" s="288"/>
      <c r="AC1926" s="288"/>
      <c r="AD1926" s="289" t="s">
        <v>5</v>
      </c>
    </row>
    <row r="1927" spans="1:38" s="182" customFormat="1" ht="33" customHeight="1" x14ac:dyDescent="0.3">
      <c r="A1927" s="167">
        <v>31</v>
      </c>
      <c r="B1927" s="168">
        <v>170</v>
      </c>
      <c r="C1927" s="278" t="str">
        <f t="shared" si="39"/>
        <v>31.170</v>
      </c>
      <c r="D1927" s="279"/>
      <c r="E1927" s="64" t="str">
        <f>IF(ISBLANK(D1927)=TRUE,"",VLOOKUP(D1927,Krav!$C:$F,4,FALSE))</f>
        <v/>
      </c>
      <c r="F1927" s="281" t="s">
        <v>418</v>
      </c>
      <c r="G1927" s="282" t="s">
        <v>446</v>
      </c>
      <c r="H1927" s="296" t="s">
        <v>451</v>
      </c>
      <c r="I1927" s="286" t="s">
        <v>129</v>
      </c>
      <c r="J1927" s="286" t="s">
        <v>222</v>
      </c>
      <c r="K1927" s="123" t="s">
        <v>222</v>
      </c>
      <c r="L1927" s="287" t="s">
        <v>3</v>
      </c>
      <c r="M1927" s="288" t="s">
        <v>129</v>
      </c>
      <c r="N1927" s="288" t="s">
        <v>131</v>
      </c>
      <c r="O1927" s="288" t="s">
        <v>96</v>
      </c>
      <c r="P1927" s="288" t="s">
        <v>96</v>
      </c>
      <c r="Q1927" s="288" t="s">
        <v>129</v>
      </c>
      <c r="R1927" s="288" t="s">
        <v>131</v>
      </c>
      <c r="S1927" s="288" t="s">
        <v>131</v>
      </c>
      <c r="T1927" s="288"/>
      <c r="U1927" s="288"/>
      <c r="V1927" s="288" t="s">
        <v>294</v>
      </c>
      <c r="W1927" s="288"/>
      <c r="X1927" s="288"/>
      <c r="Y1927" s="288"/>
      <c r="Z1927" s="288"/>
      <c r="AA1927" s="288"/>
      <c r="AB1927" s="288"/>
      <c r="AC1927" s="288"/>
      <c r="AD1927" s="289" t="s">
        <v>5</v>
      </c>
    </row>
    <row r="1928" spans="1:38" s="182" customFormat="1" ht="33" customHeight="1" x14ac:dyDescent="0.3">
      <c r="A1928" s="167">
        <v>31</v>
      </c>
      <c r="B1928" s="168">
        <v>171</v>
      </c>
      <c r="C1928" s="278" t="str">
        <f t="shared" si="39"/>
        <v>31.171</v>
      </c>
      <c r="D1928" s="279"/>
      <c r="E1928" s="64" t="str">
        <f>IF(ISBLANK(D1928)=TRUE,"",VLOOKUP(D1928,Krav!$C:$F,4,FALSE))</f>
        <v/>
      </c>
      <c r="F1928" s="281" t="s">
        <v>418</v>
      </c>
      <c r="G1928" s="282" t="s">
        <v>445</v>
      </c>
      <c r="H1928" s="296" t="s">
        <v>451</v>
      </c>
      <c r="I1928" s="286" t="s">
        <v>129</v>
      </c>
      <c r="J1928" s="285" t="s">
        <v>222</v>
      </c>
      <c r="K1928" s="125" t="s">
        <v>222</v>
      </c>
      <c r="L1928" s="291" t="s">
        <v>3</v>
      </c>
      <c r="M1928" s="288" t="s">
        <v>131</v>
      </c>
      <c r="N1928" s="288" t="s">
        <v>129</v>
      </c>
      <c r="O1928" s="288" t="s">
        <v>376</v>
      </c>
      <c r="P1928" s="288" t="s">
        <v>376</v>
      </c>
      <c r="Q1928" s="288" t="s">
        <v>131</v>
      </c>
      <c r="R1928" s="288" t="s">
        <v>131</v>
      </c>
      <c r="S1928" s="288" t="s">
        <v>131</v>
      </c>
      <c r="T1928" s="288"/>
      <c r="U1928" s="288"/>
      <c r="V1928" s="288"/>
      <c r="W1928" s="288"/>
      <c r="X1928" s="288"/>
      <c r="Y1928" s="288"/>
      <c r="Z1928" s="288"/>
      <c r="AA1928" s="288"/>
      <c r="AB1928" s="288"/>
      <c r="AC1928" s="288"/>
      <c r="AD1928" s="289" t="s">
        <v>5</v>
      </c>
    </row>
    <row r="1929" spans="1:38" s="182" customFormat="1" ht="33" customHeight="1" x14ac:dyDescent="0.3">
      <c r="A1929" s="167">
        <v>31</v>
      </c>
      <c r="B1929" s="168">
        <v>172</v>
      </c>
      <c r="C1929" s="278" t="str">
        <f t="shared" si="39"/>
        <v>31.172</v>
      </c>
      <c r="D1929" s="279"/>
      <c r="E1929" s="64" t="str">
        <f>IF(ISBLANK(D1929)=TRUE,"",VLOOKUP(D1929,Krav!$C:$F,4,FALSE))</f>
        <v/>
      </c>
      <c r="F1929" s="281" t="s">
        <v>418</v>
      </c>
      <c r="G1929" s="282" t="s">
        <v>445</v>
      </c>
      <c r="H1929" s="296" t="s">
        <v>451</v>
      </c>
      <c r="I1929" s="286" t="s">
        <v>129</v>
      </c>
      <c r="J1929" s="285" t="s">
        <v>222</v>
      </c>
      <c r="K1929" s="125" t="s">
        <v>222</v>
      </c>
      <c r="L1929" s="291" t="s">
        <v>3</v>
      </c>
      <c r="M1929" s="288" t="s">
        <v>131</v>
      </c>
      <c r="N1929" s="288" t="s">
        <v>129</v>
      </c>
      <c r="O1929" s="288" t="s">
        <v>376</v>
      </c>
      <c r="P1929" s="288" t="s">
        <v>376</v>
      </c>
      <c r="Q1929" s="288" t="s">
        <v>131</v>
      </c>
      <c r="R1929" s="288" t="s">
        <v>131</v>
      </c>
      <c r="S1929" s="288" t="s">
        <v>131</v>
      </c>
      <c r="T1929" s="288"/>
      <c r="U1929" s="288"/>
      <c r="V1929" s="288"/>
      <c r="W1929" s="288"/>
      <c r="X1929" s="288"/>
      <c r="Y1929" s="288"/>
      <c r="Z1929" s="288"/>
      <c r="AA1929" s="288"/>
      <c r="AB1929" s="288"/>
      <c r="AC1929" s="288"/>
      <c r="AD1929" s="289" t="s">
        <v>5</v>
      </c>
      <c r="AE1929" s="298"/>
      <c r="AF1929" s="298"/>
      <c r="AG1929" s="298"/>
      <c r="AH1929" s="298"/>
      <c r="AI1929" s="298"/>
      <c r="AJ1929" s="298"/>
      <c r="AK1929" s="298"/>
      <c r="AL1929" s="298"/>
    </row>
    <row r="1930" spans="1:38" s="182" customFormat="1" ht="33" customHeight="1" x14ac:dyDescent="0.3">
      <c r="A1930" s="167">
        <v>31</v>
      </c>
      <c r="B1930" s="168">
        <v>173</v>
      </c>
      <c r="C1930" s="278" t="str">
        <f t="shared" si="39"/>
        <v>31.173</v>
      </c>
      <c r="D1930" s="279"/>
      <c r="E1930" s="64" t="str">
        <f>IF(ISBLANK(D1930)=TRUE,"",VLOOKUP(D1930,Krav!$C:$F,4,FALSE))</f>
        <v/>
      </c>
      <c r="F1930" s="281" t="s">
        <v>418</v>
      </c>
      <c r="G1930" s="282" t="s">
        <v>445</v>
      </c>
      <c r="H1930" s="296" t="s">
        <v>451</v>
      </c>
      <c r="I1930" s="286" t="s">
        <v>129</v>
      </c>
      <c r="J1930" s="285" t="s">
        <v>222</v>
      </c>
      <c r="K1930" s="125" t="s">
        <v>222</v>
      </c>
      <c r="L1930" s="291" t="s">
        <v>3</v>
      </c>
      <c r="M1930" s="288" t="s">
        <v>131</v>
      </c>
      <c r="N1930" s="288" t="s">
        <v>129</v>
      </c>
      <c r="O1930" s="288" t="s">
        <v>376</v>
      </c>
      <c r="P1930" s="288" t="s">
        <v>96</v>
      </c>
      <c r="Q1930" s="288" t="s">
        <v>131</v>
      </c>
      <c r="R1930" s="288" t="s">
        <v>131</v>
      </c>
      <c r="S1930" s="288" t="s">
        <v>129</v>
      </c>
      <c r="T1930" s="288"/>
      <c r="U1930" s="288"/>
      <c r="V1930" s="288"/>
      <c r="W1930" s="288"/>
      <c r="X1930" s="288"/>
      <c r="Y1930" s="288"/>
      <c r="Z1930" s="288"/>
      <c r="AA1930" s="288"/>
      <c r="AB1930" s="288"/>
      <c r="AC1930" s="288"/>
      <c r="AD1930" s="289" t="s">
        <v>5</v>
      </c>
      <c r="AE1930" s="298"/>
      <c r="AF1930" s="298"/>
      <c r="AG1930" s="298"/>
      <c r="AH1930" s="298"/>
      <c r="AI1930" s="298"/>
      <c r="AJ1930" s="298"/>
      <c r="AK1930" s="298"/>
      <c r="AL1930" s="298"/>
    </row>
    <row r="1931" spans="1:38" s="182" customFormat="1" ht="33" customHeight="1" x14ac:dyDescent="0.3">
      <c r="A1931" s="167">
        <v>31</v>
      </c>
      <c r="B1931" s="168">
        <v>174</v>
      </c>
      <c r="C1931" s="278" t="str">
        <f t="shared" si="39"/>
        <v>31.174</v>
      </c>
      <c r="D1931" s="279"/>
      <c r="E1931" s="64" t="str">
        <f>IF(ISBLANK(D1931)=TRUE,"",VLOOKUP(D1931,Krav!$C:$F,4,FALSE))</f>
        <v/>
      </c>
      <c r="F1931" s="281" t="s">
        <v>418</v>
      </c>
      <c r="G1931" s="282" t="s">
        <v>446</v>
      </c>
      <c r="H1931" s="296" t="s">
        <v>451</v>
      </c>
      <c r="I1931" s="286" t="s">
        <v>129</v>
      </c>
      <c r="J1931" s="388" t="s">
        <v>222</v>
      </c>
      <c r="K1931" s="123" t="s">
        <v>222</v>
      </c>
      <c r="L1931" s="291" t="s">
        <v>3</v>
      </c>
      <c r="M1931" s="288" t="s">
        <v>131</v>
      </c>
      <c r="N1931" s="288" t="s">
        <v>129</v>
      </c>
      <c r="O1931" s="288" t="s">
        <v>376</v>
      </c>
      <c r="P1931" s="288" t="s">
        <v>96</v>
      </c>
      <c r="Q1931" s="288" t="s">
        <v>131</v>
      </c>
      <c r="R1931" s="288" t="s">
        <v>129</v>
      </c>
      <c r="S1931" s="288" t="s">
        <v>131</v>
      </c>
      <c r="T1931" s="288"/>
      <c r="U1931" s="288"/>
      <c r="V1931" s="288" t="s">
        <v>294</v>
      </c>
      <c r="W1931" s="288"/>
      <c r="X1931" s="288"/>
      <c r="Y1931" s="288"/>
      <c r="Z1931" s="288"/>
      <c r="AA1931" s="288"/>
      <c r="AB1931" s="288"/>
      <c r="AC1931" s="288"/>
      <c r="AD1931" s="289" t="s">
        <v>5</v>
      </c>
      <c r="AE1931" s="298"/>
      <c r="AF1931" s="298"/>
      <c r="AG1931" s="298"/>
      <c r="AH1931" s="298"/>
      <c r="AI1931" s="298"/>
      <c r="AJ1931" s="298"/>
      <c r="AK1931" s="298"/>
      <c r="AL1931" s="298"/>
    </row>
    <row r="1932" spans="1:38" s="182" customFormat="1" ht="33" customHeight="1" x14ac:dyDescent="0.3">
      <c r="A1932" s="167">
        <v>31</v>
      </c>
      <c r="B1932" s="168">
        <v>175</v>
      </c>
      <c r="C1932" s="278" t="str">
        <f t="shared" si="39"/>
        <v>31.175</v>
      </c>
      <c r="D1932" s="279"/>
      <c r="E1932" s="64" t="str">
        <f>IF(ISBLANK(D1932)=TRUE,"",VLOOKUP(D1932,Krav!$C:$F,4,FALSE))</f>
        <v/>
      </c>
      <c r="F1932" s="281" t="s">
        <v>418</v>
      </c>
      <c r="G1932" s="282" t="s">
        <v>446</v>
      </c>
      <c r="H1932" s="296" t="s">
        <v>451</v>
      </c>
      <c r="I1932" s="286" t="s">
        <v>129</v>
      </c>
      <c r="J1932" s="285" t="s">
        <v>222</v>
      </c>
      <c r="K1932" s="123" t="s">
        <v>222</v>
      </c>
      <c r="L1932" s="291" t="s">
        <v>3</v>
      </c>
      <c r="M1932" s="288" t="s">
        <v>131</v>
      </c>
      <c r="N1932" s="288" t="s">
        <v>129</v>
      </c>
      <c r="O1932" s="288" t="s">
        <v>376</v>
      </c>
      <c r="P1932" s="288" t="s">
        <v>96</v>
      </c>
      <c r="Q1932" s="288" t="s">
        <v>131</v>
      </c>
      <c r="R1932" s="288" t="s">
        <v>129</v>
      </c>
      <c r="S1932" s="288" t="s">
        <v>131</v>
      </c>
      <c r="T1932" s="288"/>
      <c r="U1932" s="288"/>
      <c r="V1932" s="289" t="s">
        <v>295</v>
      </c>
      <c r="W1932" s="288" t="s">
        <v>26</v>
      </c>
      <c r="X1932" s="288"/>
      <c r="Y1932" s="288"/>
      <c r="Z1932" s="288"/>
      <c r="AA1932" s="288"/>
      <c r="AB1932" s="288"/>
      <c r="AC1932" s="288"/>
      <c r="AD1932" s="289" t="s">
        <v>5</v>
      </c>
      <c r="AE1932" s="298"/>
      <c r="AF1932" s="298"/>
      <c r="AG1932" s="298"/>
      <c r="AH1932" s="298"/>
      <c r="AI1932" s="298"/>
      <c r="AJ1932" s="298"/>
      <c r="AK1932" s="298"/>
      <c r="AL1932" s="298"/>
    </row>
    <row r="1933" spans="1:38" s="182" customFormat="1" ht="33" customHeight="1" x14ac:dyDescent="0.3">
      <c r="A1933" s="167">
        <v>31</v>
      </c>
      <c r="B1933" s="168">
        <v>176</v>
      </c>
      <c r="C1933" s="278" t="str">
        <f t="shared" si="39"/>
        <v>31.176</v>
      </c>
      <c r="D1933" s="279"/>
      <c r="E1933" s="64" t="str">
        <f>IF(ISBLANK(D1933)=TRUE,"",VLOOKUP(D1933,Krav!$C:$F,4,FALSE))</f>
        <v/>
      </c>
      <c r="F1933" s="281" t="s">
        <v>418</v>
      </c>
      <c r="G1933" s="282" t="s">
        <v>446</v>
      </c>
      <c r="H1933" s="296" t="s">
        <v>451</v>
      </c>
      <c r="I1933" s="286" t="s">
        <v>129</v>
      </c>
      <c r="J1933" s="285" t="s">
        <v>222</v>
      </c>
      <c r="K1933" s="123" t="s">
        <v>222</v>
      </c>
      <c r="L1933" s="291" t="s">
        <v>3</v>
      </c>
      <c r="M1933" s="288" t="s">
        <v>131</v>
      </c>
      <c r="N1933" s="288" t="s">
        <v>129</v>
      </c>
      <c r="O1933" s="288" t="s">
        <v>376</v>
      </c>
      <c r="P1933" s="288" t="s">
        <v>96</v>
      </c>
      <c r="Q1933" s="288" t="s">
        <v>131</v>
      </c>
      <c r="R1933" s="288" t="s">
        <v>129</v>
      </c>
      <c r="S1933" s="288" t="s">
        <v>131</v>
      </c>
      <c r="T1933" s="288"/>
      <c r="U1933" s="288"/>
      <c r="V1933" s="289" t="s">
        <v>295</v>
      </c>
      <c r="W1933" s="288" t="s">
        <v>166</v>
      </c>
      <c r="X1933" s="288" t="s">
        <v>26</v>
      </c>
      <c r="Y1933" s="288"/>
      <c r="Z1933" s="288"/>
      <c r="AA1933" s="288"/>
      <c r="AB1933" s="288"/>
      <c r="AC1933" s="288"/>
      <c r="AD1933" s="289" t="s">
        <v>5</v>
      </c>
      <c r="AE1933" s="298"/>
      <c r="AF1933" s="298"/>
      <c r="AG1933" s="298"/>
      <c r="AH1933" s="298"/>
      <c r="AI1933" s="298"/>
      <c r="AJ1933" s="298"/>
      <c r="AK1933" s="298"/>
      <c r="AL1933" s="298"/>
    </row>
    <row r="1934" spans="1:38" s="182" customFormat="1" ht="33" customHeight="1" x14ac:dyDescent="0.3">
      <c r="A1934" s="167">
        <v>31</v>
      </c>
      <c r="B1934" s="168">
        <v>177</v>
      </c>
      <c r="C1934" s="278" t="str">
        <f t="shared" si="39"/>
        <v>31.177</v>
      </c>
      <c r="D1934" s="279"/>
      <c r="E1934" s="64" t="str">
        <f>IF(ISBLANK(D1934)=TRUE,"",VLOOKUP(D1934,Krav!$C:$F,4,FALSE))</f>
        <v/>
      </c>
      <c r="F1934" s="281" t="s">
        <v>418</v>
      </c>
      <c r="G1934" s="282" t="s">
        <v>446</v>
      </c>
      <c r="H1934" s="296" t="s">
        <v>451</v>
      </c>
      <c r="I1934" s="286" t="s">
        <v>129</v>
      </c>
      <c r="J1934" s="285" t="s">
        <v>222</v>
      </c>
      <c r="K1934" s="123" t="s">
        <v>222</v>
      </c>
      <c r="L1934" s="291" t="s">
        <v>3</v>
      </c>
      <c r="M1934" s="288" t="s">
        <v>131</v>
      </c>
      <c r="N1934" s="288" t="s">
        <v>129</v>
      </c>
      <c r="O1934" s="288" t="s">
        <v>376</v>
      </c>
      <c r="P1934" s="288" t="s">
        <v>96</v>
      </c>
      <c r="Q1934" s="288" t="s">
        <v>131</v>
      </c>
      <c r="R1934" s="288" t="s">
        <v>129</v>
      </c>
      <c r="S1934" s="288" t="s">
        <v>131</v>
      </c>
      <c r="T1934" s="288"/>
      <c r="U1934" s="288"/>
      <c r="V1934" s="289" t="s">
        <v>295</v>
      </c>
      <c r="W1934" s="288" t="s">
        <v>166</v>
      </c>
      <c r="X1934" s="288" t="s">
        <v>166</v>
      </c>
      <c r="Y1934" s="288" t="s">
        <v>580</v>
      </c>
      <c r="Z1934" s="288"/>
      <c r="AA1934" s="288"/>
      <c r="AB1934" s="288"/>
      <c r="AC1934" s="288"/>
      <c r="AD1934" s="289" t="s">
        <v>5</v>
      </c>
      <c r="AE1934" s="298"/>
      <c r="AF1934" s="298"/>
      <c r="AG1934" s="298"/>
      <c r="AH1934" s="298"/>
      <c r="AI1934" s="298"/>
      <c r="AJ1934" s="298"/>
      <c r="AK1934" s="298"/>
      <c r="AL1934" s="298"/>
    </row>
    <row r="1935" spans="1:38" s="182" customFormat="1" ht="33" customHeight="1" x14ac:dyDescent="0.3">
      <c r="A1935" s="167">
        <v>31</v>
      </c>
      <c r="B1935" s="168">
        <v>178</v>
      </c>
      <c r="C1935" s="278" t="str">
        <f t="shared" si="39"/>
        <v>31.178</v>
      </c>
      <c r="D1935" s="279"/>
      <c r="E1935" s="64" t="str">
        <f>IF(ISBLANK(D1935)=TRUE,"",VLOOKUP(D1935,Krav!$C:$F,4,FALSE))</f>
        <v/>
      </c>
      <c r="F1935" s="281" t="s">
        <v>418</v>
      </c>
      <c r="G1935" s="282" t="s">
        <v>446</v>
      </c>
      <c r="H1935" s="296" t="s">
        <v>451</v>
      </c>
      <c r="I1935" s="286" t="s">
        <v>129</v>
      </c>
      <c r="J1935" s="285" t="s">
        <v>222</v>
      </c>
      <c r="K1935" s="123" t="s">
        <v>222</v>
      </c>
      <c r="L1935" s="291" t="s">
        <v>3</v>
      </c>
      <c r="M1935" s="288" t="s">
        <v>131</v>
      </c>
      <c r="N1935" s="288" t="s">
        <v>129</v>
      </c>
      <c r="O1935" s="288" t="s">
        <v>96</v>
      </c>
      <c r="P1935" s="288" t="s">
        <v>376</v>
      </c>
      <c r="Q1935" s="288" t="s">
        <v>129</v>
      </c>
      <c r="R1935" s="288" t="s">
        <v>131</v>
      </c>
      <c r="S1935" s="288" t="s">
        <v>131</v>
      </c>
      <c r="T1935" s="288"/>
      <c r="U1935" s="288"/>
      <c r="V1935" s="289" t="s">
        <v>295</v>
      </c>
      <c r="W1935" s="288" t="s">
        <v>26</v>
      </c>
      <c r="X1935" s="288"/>
      <c r="Y1935" s="288"/>
      <c r="Z1935" s="288"/>
      <c r="AA1935" s="288"/>
      <c r="AB1935" s="288"/>
      <c r="AC1935" s="288"/>
      <c r="AD1935" s="289" t="s">
        <v>5</v>
      </c>
      <c r="AE1935" s="298"/>
      <c r="AF1935" s="298"/>
      <c r="AG1935" s="298"/>
      <c r="AH1935" s="298"/>
      <c r="AI1935" s="298"/>
      <c r="AJ1935" s="298"/>
      <c r="AK1935" s="298"/>
      <c r="AL1935" s="298"/>
    </row>
    <row r="1936" spans="1:38" s="182" customFormat="1" ht="33" customHeight="1" x14ac:dyDescent="0.3">
      <c r="A1936" s="167">
        <v>31</v>
      </c>
      <c r="B1936" s="168">
        <v>179</v>
      </c>
      <c r="C1936" s="278" t="str">
        <f t="shared" si="39"/>
        <v>31.179</v>
      </c>
      <c r="D1936" s="279"/>
      <c r="E1936" s="64" t="str">
        <f>IF(ISBLANK(D1936)=TRUE,"",VLOOKUP(D1936,Krav!$C:$F,4,FALSE))</f>
        <v/>
      </c>
      <c r="F1936" s="281" t="s">
        <v>418</v>
      </c>
      <c r="G1936" s="282" t="s">
        <v>446</v>
      </c>
      <c r="H1936" s="296" t="s">
        <v>451</v>
      </c>
      <c r="I1936" s="286" t="s">
        <v>129</v>
      </c>
      <c r="J1936" s="285" t="s">
        <v>222</v>
      </c>
      <c r="K1936" s="123" t="s">
        <v>222</v>
      </c>
      <c r="L1936" s="291" t="s">
        <v>3</v>
      </c>
      <c r="M1936" s="288" t="s">
        <v>131</v>
      </c>
      <c r="N1936" s="288" t="s">
        <v>129</v>
      </c>
      <c r="O1936" s="288" t="s">
        <v>96</v>
      </c>
      <c r="P1936" s="288" t="s">
        <v>376</v>
      </c>
      <c r="Q1936" s="288" t="s">
        <v>129</v>
      </c>
      <c r="R1936" s="288" t="s">
        <v>131</v>
      </c>
      <c r="S1936" s="288" t="s">
        <v>131</v>
      </c>
      <c r="T1936" s="288"/>
      <c r="U1936" s="288"/>
      <c r="V1936" s="289" t="s">
        <v>295</v>
      </c>
      <c r="W1936" s="288" t="s">
        <v>166</v>
      </c>
      <c r="X1936" s="288" t="s">
        <v>26</v>
      </c>
      <c r="Y1936" s="288"/>
      <c r="Z1936" s="288"/>
      <c r="AA1936" s="288"/>
      <c r="AB1936" s="288"/>
      <c r="AC1936" s="288"/>
      <c r="AD1936" s="289" t="s">
        <v>5</v>
      </c>
      <c r="AE1936" s="298"/>
      <c r="AF1936" s="298"/>
      <c r="AG1936" s="298"/>
      <c r="AH1936" s="298"/>
      <c r="AI1936" s="298"/>
      <c r="AJ1936" s="298"/>
      <c r="AK1936" s="298"/>
      <c r="AL1936" s="298"/>
    </row>
    <row r="1937" spans="1:38" s="182" customFormat="1" ht="33" customHeight="1" x14ac:dyDescent="0.3">
      <c r="A1937" s="167">
        <v>31</v>
      </c>
      <c r="B1937" s="168">
        <v>180</v>
      </c>
      <c r="C1937" s="278" t="str">
        <f t="shared" si="39"/>
        <v>31.180</v>
      </c>
      <c r="D1937" s="279"/>
      <c r="E1937" s="64" t="str">
        <f>IF(ISBLANK(D1937)=TRUE,"",VLOOKUP(D1937,Krav!$C:$F,4,FALSE))</f>
        <v/>
      </c>
      <c r="F1937" s="281" t="s">
        <v>418</v>
      </c>
      <c r="G1937" s="282" t="s">
        <v>446</v>
      </c>
      <c r="H1937" s="296" t="s">
        <v>451</v>
      </c>
      <c r="I1937" s="286" t="s">
        <v>129</v>
      </c>
      <c r="J1937" s="285" t="s">
        <v>222</v>
      </c>
      <c r="K1937" s="123" t="s">
        <v>222</v>
      </c>
      <c r="L1937" s="291" t="s">
        <v>3</v>
      </c>
      <c r="M1937" s="288" t="s">
        <v>131</v>
      </c>
      <c r="N1937" s="288" t="s">
        <v>129</v>
      </c>
      <c r="O1937" s="288" t="s">
        <v>96</v>
      </c>
      <c r="P1937" s="288" t="s">
        <v>376</v>
      </c>
      <c r="Q1937" s="288" t="s">
        <v>129</v>
      </c>
      <c r="R1937" s="288" t="s">
        <v>131</v>
      </c>
      <c r="S1937" s="288" t="s">
        <v>131</v>
      </c>
      <c r="T1937" s="288"/>
      <c r="U1937" s="288"/>
      <c r="V1937" s="289" t="s">
        <v>295</v>
      </c>
      <c r="W1937" s="288" t="s">
        <v>166</v>
      </c>
      <c r="X1937" s="288" t="s">
        <v>166</v>
      </c>
      <c r="Y1937" s="288" t="s">
        <v>580</v>
      </c>
      <c r="Z1937" s="288"/>
      <c r="AA1937" s="288"/>
      <c r="AB1937" s="288"/>
      <c r="AC1937" s="288"/>
      <c r="AD1937" s="289" t="s">
        <v>5</v>
      </c>
      <c r="AE1937" s="298"/>
      <c r="AF1937" s="298"/>
      <c r="AG1937" s="298"/>
      <c r="AH1937" s="298"/>
      <c r="AI1937" s="298"/>
      <c r="AJ1937" s="298"/>
      <c r="AK1937" s="298"/>
      <c r="AL1937" s="298"/>
    </row>
    <row r="1938" spans="1:38" s="182" customFormat="1" ht="33" customHeight="1" x14ac:dyDescent="0.3">
      <c r="A1938" s="167">
        <v>31</v>
      </c>
      <c r="B1938" s="168">
        <v>181</v>
      </c>
      <c r="C1938" s="278" t="str">
        <f t="shared" si="39"/>
        <v>31.181</v>
      </c>
      <c r="D1938" s="279"/>
      <c r="E1938" s="64" t="str">
        <f>IF(ISBLANK(D1938)=TRUE,"",VLOOKUP(D1938,Krav!$C:$F,4,FALSE))</f>
        <v/>
      </c>
      <c r="F1938" s="281" t="s">
        <v>418</v>
      </c>
      <c r="G1938" s="282" t="s">
        <v>446</v>
      </c>
      <c r="H1938" s="296" t="s">
        <v>451</v>
      </c>
      <c r="I1938" s="286" t="s">
        <v>129</v>
      </c>
      <c r="J1938" s="285" t="s">
        <v>222</v>
      </c>
      <c r="K1938" s="123" t="s">
        <v>222</v>
      </c>
      <c r="L1938" s="287" t="s">
        <v>3</v>
      </c>
      <c r="M1938" s="288" t="s">
        <v>131</v>
      </c>
      <c r="N1938" s="288" t="s">
        <v>129</v>
      </c>
      <c r="O1938" s="288" t="s">
        <v>96</v>
      </c>
      <c r="P1938" s="288" t="s">
        <v>376</v>
      </c>
      <c r="Q1938" s="288" t="s">
        <v>129</v>
      </c>
      <c r="R1938" s="288" t="s">
        <v>131</v>
      </c>
      <c r="S1938" s="288" t="s">
        <v>131</v>
      </c>
      <c r="T1938" s="288"/>
      <c r="U1938" s="288"/>
      <c r="V1938" s="288" t="s">
        <v>294</v>
      </c>
      <c r="W1938" s="288"/>
      <c r="X1938" s="288"/>
      <c r="Y1938" s="288"/>
      <c r="Z1938" s="288"/>
      <c r="AA1938" s="288"/>
      <c r="AB1938" s="288"/>
      <c r="AC1938" s="288"/>
      <c r="AD1938" s="289" t="s">
        <v>5</v>
      </c>
      <c r="AE1938" s="298"/>
      <c r="AF1938" s="298"/>
      <c r="AG1938" s="298"/>
      <c r="AH1938" s="298"/>
      <c r="AI1938" s="298"/>
      <c r="AJ1938" s="298"/>
      <c r="AK1938" s="298"/>
      <c r="AL1938" s="298"/>
    </row>
    <row r="1939" spans="1:38" s="387" customFormat="1" ht="33" customHeight="1" x14ac:dyDescent="0.3">
      <c r="A1939" s="374">
        <v>31</v>
      </c>
      <c r="B1939" s="375">
        <v>182</v>
      </c>
      <c r="C1939" s="376" t="str">
        <f t="shared" ref="C1939:C1958" si="40">IF(B1939&lt;10,_xlfn.CONCAT(A1939,".0",B1939),_xlfn.CONCAT(A1939,".",B1939))</f>
        <v>31.182</v>
      </c>
      <c r="D1939" s="380"/>
      <c r="E1939" s="381" t="str">
        <f>IF(ISBLANK(D1939)=TRUE,"",VLOOKUP(D1939,Krav!$C:$F,4,FALSE))</f>
        <v/>
      </c>
      <c r="F1939" s="382" t="s">
        <v>226</v>
      </c>
      <c r="G1939" s="383" t="s">
        <v>308</v>
      </c>
      <c r="H1939" s="379" t="s">
        <v>2387</v>
      </c>
      <c r="I1939" s="384" t="s">
        <v>241</v>
      </c>
      <c r="J1939" s="384" t="s">
        <v>222</v>
      </c>
      <c r="K1939" s="384" t="s">
        <v>222</v>
      </c>
      <c r="L1939" s="385" t="s">
        <v>3</v>
      </c>
      <c r="M1939" s="377" t="s">
        <v>129</v>
      </c>
      <c r="N1939" s="377" t="s">
        <v>131</v>
      </c>
      <c r="O1939" s="377" t="s">
        <v>96</v>
      </c>
      <c r="P1939" s="377" t="s">
        <v>376</v>
      </c>
      <c r="Q1939" s="377" t="s">
        <v>129</v>
      </c>
      <c r="R1939" s="377" t="s">
        <v>131</v>
      </c>
      <c r="S1939" s="377" t="s">
        <v>131</v>
      </c>
      <c r="T1939" s="377"/>
      <c r="U1939" s="379" t="s">
        <v>1314</v>
      </c>
      <c r="V1939" s="377"/>
      <c r="W1939" s="377"/>
      <c r="X1939" s="377"/>
      <c r="Y1939" s="377"/>
      <c r="Z1939" s="377"/>
      <c r="AA1939" s="377"/>
      <c r="AB1939" s="377"/>
      <c r="AC1939" s="377"/>
      <c r="AD1939" s="378" t="s">
        <v>5</v>
      </c>
      <c r="AE1939" s="386"/>
      <c r="AF1939" s="386"/>
      <c r="AG1939" s="386"/>
      <c r="AH1939" s="386"/>
      <c r="AI1939" s="386"/>
      <c r="AJ1939" s="386"/>
      <c r="AK1939" s="386"/>
      <c r="AL1939" s="386"/>
    </row>
    <row r="1940" spans="1:38" s="387" customFormat="1" ht="33" customHeight="1" x14ac:dyDescent="0.3">
      <c r="A1940" s="374">
        <v>31</v>
      </c>
      <c r="B1940" s="375">
        <v>183</v>
      </c>
      <c r="C1940" s="376" t="str">
        <f t="shared" si="40"/>
        <v>31.183</v>
      </c>
      <c r="D1940" s="380"/>
      <c r="E1940" s="381" t="str">
        <f>IF(ISBLANK(D1940)=TRUE,"",VLOOKUP(D1940,Krav!$C:$F,4,FALSE))</f>
        <v/>
      </c>
      <c r="F1940" s="382" t="s">
        <v>226</v>
      </c>
      <c r="G1940" s="383" t="s">
        <v>308</v>
      </c>
      <c r="H1940" s="379" t="s">
        <v>2388</v>
      </c>
      <c r="I1940" s="384" t="s">
        <v>241</v>
      </c>
      <c r="J1940" s="384" t="s">
        <v>222</v>
      </c>
      <c r="K1940" s="384" t="s">
        <v>222</v>
      </c>
      <c r="L1940" s="385" t="s">
        <v>3</v>
      </c>
      <c r="M1940" s="377" t="s">
        <v>129</v>
      </c>
      <c r="N1940" s="377" t="s">
        <v>131</v>
      </c>
      <c r="O1940" s="377" t="s">
        <v>96</v>
      </c>
      <c r="P1940" s="377" t="s">
        <v>376</v>
      </c>
      <c r="Q1940" s="377" t="s">
        <v>129</v>
      </c>
      <c r="R1940" s="377" t="s">
        <v>131</v>
      </c>
      <c r="S1940" s="377" t="s">
        <v>131</v>
      </c>
      <c r="T1940" s="377"/>
      <c r="U1940" s="379" t="s">
        <v>1315</v>
      </c>
      <c r="V1940" s="377"/>
      <c r="W1940" s="377"/>
      <c r="X1940" s="377"/>
      <c r="Y1940" s="377"/>
      <c r="Z1940" s="377"/>
      <c r="AA1940" s="377"/>
      <c r="AB1940" s="377"/>
      <c r="AC1940" s="377"/>
      <c r="AD1940" s="378" t="s">
        <v>5</v>
      </c>
      <c r="AE1940" s="386"/>
      <c r="AF1940" s="386"/>
      <c r="AG1940" s="386"/>
      <c r="AH1940" s="386"/>
      <c r="AI1940" s="386"/>
      <c r="AJ1940" s="386"/>
      <c r="AK1940" s="386"/>
      <c r="AL1940" s="386"/>
    </row>
    <row r="1941" spans="1:38" s="387" customFormat="1" ht="33" customHeight="1" x14ac:dyDescent="0.3">
      <c r="A1941" s="374">
        <v>31</v>
      </c>
      <c r="B1941" s="375">
        <v>184</v>
      </c>
      <c r="C1941" s="376" t="str">
        <f t="shared" si="40"/>
        <v>31.184</v>
      </c>
      <c r="D1941" s="380"/>
      <c r="E1941" s="381" t="str">
        <f>IF(ISBLANK(D1941)=TRUE,"",VLOOKUP(D1941,Krav!$C:$F,4,FALSE))</f>
        <v/>
      </c>
      <c r="F1941" s="382" t="s">
        <v>226</v>
      </c>
      <c r="G1941" s="383" t="s">
        <v>308</v>
      </c>
      <c r="H1941" s="379" t="s">
        <v>2389</v>
      </c>
      <c r="I1941" s="384" t="s">
        <v>241</v>
      </c>
      <c r="J1941" s="384" t="s">
        <v>222</v>
      </c>
      <c r="K1941" s="384" t="s">
        <v>222</v>
      </c>
      <c r="L1941" s="385" t="s">
        <v>3</v>
      </c>
      <c r="M1941" s="377" t="s">
        <v>129</v>
      </c>
      <c r="N1941" s="377" t="s">
        <v>131</v>
      </c>
      <c r="O1941" s="377" t="s">
        <v>96</v>
      </c>
      <c r="P1941" s="377" t="s">
        <v>376</v>
      </c>
      <c r="Q1941" s="377" t="s">
        <v>129</v>
      </c>
      <c r="R1941" s="377" t="s">
        <v>131</v>
      </c>
      <c r="S1941" s="377" t="s">
        <v>131</v>
      </c>
      <c r="T1941" s="377"/>
      <c r="U1941" s="379" t="s">
        <v>1316</v>
      </c>
      <c r="V1941" s="377"/>
      <c r="W1941" s="377"/>
      <c r="X1941" s="377"/>
      <c r="Y1941" s="377"/>
      <c r="Z1941" s="377"/>
      <c r="AA1941" s="377"/>
      <c r="AB1941" s="377"/>
      <c r="AC1941" s="377"/>
      <c r="AD1941" s="378" t="s">
        <v>5</v>
      </c>
      <c r="AE1941" s="386"/>
      <c r="AF1941" s="386"/>
      <c r="AG1941" s="386"/>
      <c r="AH1941" s="386"/>
      <c r="AI1941" s="386"/>
      <c r="AJ1941" s="386"/>
      <c r="AK1941" s="386"/>
      <c r="AL1941" s="386"/>
    </row>
    <row r="1942" spans="1:38" s="387" customFormat="1" ht="33" customHeight="1" x14ac:dyDescent="0.3">
      <c r="A1942" s="374">
        <v>31</v>
      </c>
      <c r="B1942" s="375">
        <v>185</v>
      </c>
      <c r="C1942" s="376" t="str">
        <f t="shared" si="40"/>
        <v>31.185</v>
      </c>
      <c r="D1942" s="380"/>
      <c r="E1942" s="381" t="str">
        <f>IF(ISBLANK(D1942)=TRUE,"",VLOOKUP(D1942,Krav!$C:$F,4,FALSE))</f>
        <v/>
      </c>
      <c r="F1942" s="382" t="s">
        <v>226</v>
      </c>
      <c r="G1942" s="383" t="s">
        <v>308</v>
      </c>
      <c r="H1942" s="379" t="s">
        <v>2390</v>
      </c>
      <c r="I1942" s="384" t="s">
        <v>241</v>
      </c>
      <c r="J1942" s="384" t="s">
        <v>222</v>
      </c>
      <c r="K1942" s="384" t="s">
        <v>222</v>
      </c>
      <c r="L1942" s="385" t="s">
        <v>3</v>
      </c>
      <c r="M1942" s="377" t="s">
        <v>129</v>
      </c>
      <c r="N1942" s="377" t="s">
        <v>131</v>
      </c>
      <c r="O1942" s="377" t="s">
        <v>96</v>
      </c>
      <c r="P1942" s="377" t="s">
        <v>376</v>
      </c>
      <c r="Q1942" s="377" t="s">
        <v>129</v>
      </c>
      <c r="R1942" s="377" t="s">
        <v>131</v>
      </c>
      <c r="S1942" s="377" t="s">
        <v>131</v>
      </c>
      <c r="T1942" s="377"/>
      <c r="U1942" s="379" t="s">
        <v>1317</v>
      </c>
      <c r="V1942" s="377"/>
      <c r="W1942" s="377"/>
      <c r="X1942" s="377"/>
      <c r="Y1942" s="377"/>
      <c r="Z1942" s="377"/>
      <c r="AA1942" s="377"/>
      <c r="AB1942" s="377"/>
      <c r="AC1942" s="377"/>
      <c r="AD1942" s="378" t="s">
        <v>5</v>
      </c>
      <c r="AE1942" s="386"/>
      <c r="AF1942" s="386"/>
      <c r="AG1942" s="386"/>
      <c r="AH1942" s="386"/>
      <c r="AI1942" s="386"/>
      <c r="AJ1942" s="386"/>
      <c r="AK1942" s="386"/>
      <c r="AL1942" s="386"/>
    </row>
    <row r="1943" spans="1:38" s="387" customFormat="1" ht="33" customHeight="1" x14ac:dyDescent="0.3">
      <c r="A1943" s="374">
        <v>31</v>
      </c>
      <c r="B1943" s="375">
        <v>186</v>
      </c>
      <c r="C1943" s="376" t="str">
        <f t="shared" si="40"/>
        <v>31.186</v>
      </c>
      <c r="D1943" s="380"/>
      <c r="E1943" s="381" t="str">
        <f>IF(ISBLANK(D1943)=TRUE,"",VLOOKUP(D1943,Krav!$C:$F,4,FALSE))</f>
        <v/>
      </c>
      <c r="F1943" s="382" t="s">
        <v>226</v>
      </c>
      <c r="G1943" s="383" t="s">
        <v>308</v>
      </c>
      <c r="H1943" s="379" t="s">
        <v>2391</v>
      </c>
      <c r="I1943" s="384" t="s">
        <v>241</v>
      </c>
      <c r="J1943" s="384" t="s">
        <v>222</v>
      </c>
      <c r="K1943" s="384" t="s">
        <v>222</v>
      </c>
      <c r="L1943" s="385" t="s">
        <v>3</v>
      </c>
      <c r="M1943" s="377" t="s">
        <v>129</v>
      </c>
      <c r="N1943" s="377" t="s">
        <v>131</v>
      </c>
      <c r="O1943" s="377" t="s">
        <v>96</v>
      </c>
      <c r="P1943" s="377" t="s">
        <v>376</v>
      </c>
      <c r="Q1943" s="377" t="s">
        <v>129</v>
      </c>
      <c r="R1943" s="377" t="s">
        <v>131</v>
      </c>
      <c r="S1943" s="377" t="s">
        <v>131</v>
      </c>
      <c r="T1943" s="377"/>
      <c r="U1943" s="379" t="s">
        <v>1313</v>
      </c>
      <c r="V1943" s="377"/>
      <c r="W1943" s="377"/>
      <c r="X1943" s="377"/>
      <c r="Y1943" s="377"/>
      <c r="Z1943" s="377"/>
      <c r="AA1943" s="377"/>
      <c r="AB1943" s="377"/>
      <c r="AC1943" s="377"/>
      <c r="AD1943" s="378" t="s">
        <v>5</v>
      </c>
      <c r="AE1943" s="386"/>
      <c r="AF1943" s="386"/>
      <c r="AG1943" s="386"/>
      <c r="AH1943" s="386"/>
      <c r="AI1943" s="386"/>
      <c r="AJ1943" s="386"/>
      <c r="AK1943" s="386"/>
      <c r="AL1943" s="386"/>
    </row>
    <row r="1944" spans="1:38" s="387" customFormat="1" ht="33" customHeight="1" x14ac:dyDescent="0.3">
      <c r="A1944" s="374">
        <v>31</v>
      </c>
      <c r="B1944" s="375">
        <v>187</v>
      </c>
      <c r="C1944" s="376" t="str">
        <f t="shared" si="40"/>
        <v>31.187</v>
      </c>
      <c r="D1944" s="380"/>
      <c r="E1944" s="381" t="str">
        <f>IF(ISBLANK(D1944)=TRUE,"",VLOOKUP(D1944,Krav!$C:$F,4,FALSE))</f>
        <v/>
      </c>
      <c r="F1944" s="382" t="s">
        <v>226</v>
      </c>
      <c r="G1944" s="383" t="s">
        <v>308</v>
      </c>
      <c r="H1944" s="379" t="s">
        <v>2387</v>
      </c>
      <c r="I1944" s="384" t="s">
        <v>241</v>
      </c>
      <c r="J1944" s="384" t="s">
        <v>222</v>
      </c>
      <c r="K1944" s="384" t="s">
        <v>222</v>
      </c>
      <c r="L1944" s="385" t="s">
        <v>3</v>
      </c>
      <c r="M1944" s="377" t="s">
        <v>129</v>
      </c>
      <c r="N1944" s="377" t="s">
        <v>131</v>
      </c>
      <c r="O1944" s="377" t="s">
        <v>376</v>
      </c>
      <c r="P1944" s="377" t="s">
        <v>96</v>
      </c>
      <c r="Q1944" s="377" t="s">
        <v>131</v>
      </c>
      <c r="R1944" s="377" t="s">
        <v>129</v>
      </c>
      <c r="S1944" s="377" t="s">
        <v>131</v>
      </c>
      <c r="T1944" s="377"/>
      <c r="U1944" s="379" t="s">
        <v>1314</v>
      </c>
      <c r="V1944" s="377"/>
      <c r="W1944" s="377"/>
      <c r="X1944" s="377"/>
      <c r="Y1944" s="377"/>
      <c r="Z1944" s="377"/>
      <c r="AA1944" s="377"/>
      <c r="AB1944" s="377"/>
      <c r="AC1944" s="377"/>
      <c r="AD1944" s="378" t="s">
        <v>5</v>
      </c>
      <c r="AE1944" s="386"/>
      <c r="AF1944" s="386"/>
      <c r="AG1944" s="386"/>
      <c r="AH1944" s="386"/>
      <c r="AI1944" s="386"/>
      <c r="AJ1944" s="386"/>
      <c r="AK1944" s="386"/>
      <c r="AL1944" s="386"/>
    </row>
    <row r="1945" spans="1:38" s="387" customFormat="1" ht="33" customHeight="1" x14ac:dyDescent="0.3">
      <c r="A1945" s="374">
        <v>31</v>
      </c>
      <c r="B1945" s="375">
        <v>188</v>
      </c>
      <c r="C1945" s="376" t="str">
        <f t="shared" si="40"/>
        <v>31.188</v>
      </c>
      <c r="D1945" s="380"/>
      <c r="E1945" s="381" t="str">
        <f>IF(ISBLANK(D1945)=TRUE,"",VLOOKUP(D1945,Krav!$C:$F,4,FALSE))</f>
        <v/>
      </c>
      <c r="F1945" s="382" t="s">
        <v>226</v>
      </c>
      <c r="G1945" s="383" t="s">
        <v>308</v>
      </c>
      <c r="H1945" s="379" t="s">
        <v>2388</v>
      </c>
      <c r="I1945" s="384" t="s">
        <v>241</v>
      </c>
      <c r="J1945" s="384" t="s">
        <v>222</v>
      </c>
      <c r="K1945" s="384" t="s">
        <v>222</v>
      </c>
      <c r="L1945" s="385" t="s">
        <v>3</v>
      </c>
      <c r="M1945" s="377" t="s">
        <v>129</v>
      </c>
      <c r="N1945" s="377" t="s">
        <v>131</v>
      </c>
      <c r="O1945" s="377" t="s">
        <v>376</v>
      </c>
      <c r="P1945" s="377" t="s">
        <v>96</v>
      </c>
      <c r="Q1945" s="377" t="s">
        <v>131</v>
      </c>
      <c r="R1945" s="377" t="s">
        <v>129</v>
      </c>
      <c r="S1945" s="377" t="s">
        <v>131</v>
      </c>
      <c r="T1945" s="377"/>
      <c r="U1945" s="379" t="s">
        <v>1315</v>
      </c>
      <c r="V1945" s="377"/>
      <c r="W1945" s="377"/>
      <c r="X1945" s="377"/>
      <c r="Y1945" s="377"/>
      <c r="Z1945" s="377"/>
      <c r="AA1945" s="377"/>
      <c r="AB1945" s="377"/>
      <c r="AC1945" s="377"/>
      <c r="AD1945" s="378" t="s">
        <v>5</v>
      </c>
      <c r="AE1945" s="386"/>
      <c r="AF1945" s="386"/>
      <c r="AG1945" s="386"/>
      <c r="AH1945" s="386"/>
      <c r="AI1945" s="386"/>
      <c r="AJ1945" s="386"/>
      <c r="AK1945" s="386"/>
      <c r="AL1945" s="386"/>
    </row>
    <row r="1946" spans="1:38" s="387" customFormat="1" ht="33" customHeight="1" x14ac:dyDescent="0.3">
      <c r="A1946" s="374">
        <v>31</v>
      </c>
      <c r="B1946" s="375">
        <v>189</v>
      </c>
      <c r="C1946" s="376" t="str">
        <f t="shared" si="40"/>
        <v>31.189</v>
      </c>
      <c r="D1946" s="380"/>
      <c r="E1946" s="381" t="str">
        <f>IF(ISBLANK(D1946)=TRUE,"",VLOOKUP(D1946,Krav!$C:$F,4,FALSE))</f>
        <v/>
      </c>
      <c r="F1946" s="382" t="s">
        <v>226</v>
      </c>
      <c r="G1946" s="383" t="s">
        <v>308</v>
      </c>
      <c r="H1946" s="379" t="s">
        <v>2389</v>
      </c>
      <c r="I1946" s="384" t="s">
        <v>241</v>
      </c>
      <c r="J1946" s="384" t="s">
        <v>222</v>
      </c>
      <c r="K1946" s="384" t="s">
        <v>222</v>
      </c>
      <c r="L1946" s="385" t="s">
        <v>3</v>
      </c>
      <c r="M1946" s="377" t="s">
        <v>129</v>
      </c>
      <c r="N1946" s="377" t="s">
        <v>131</v>
      </c>
      <c r="O1946" s="377" t="s">
        <v>376</v>
      </c>
      <c r="P1946" s="377" t="s">
        <v>96</v>
      </c>
      <c r="Q1946" s="377" t="s">
        <v>131</v>
      </c>
      <c r="R1946" s="377" t="s">
        <v>129</v>
      </c>
      <c r="S1946" s="377" t="s">
        <v>131</v>
      </c>
      <c r="T1946" s="377"/>
      <c r="U1946" s="379" t="s">
        <v>1316</v>
      </c>
      <c r="V1946" s="377"/>
      <c r="W1946" s="377"/>
      <c r="X1946" s="377"/>
      <c r="Y1946" s="377"/>
      <c r="Z1946" s="377"/>
      <c r="AA1946" s="377"/>
      <c r="AB1946" s="377"/>
      <c r="AC1946" s="377"/>
      <c r="AD1946" s="378" t="s">
        <v>5</v>
      </c>
      <c r="AE1946" s="386"/>
      <c r="AF1946" s="386"/>
      <c r="AG1946" s="386"/>
      <c r="AH1946" s="386"/>
      <c r="AI1946" s="386"/>
      <c r="AJ1946" s="386"/>
      <c r="AK1946" s="386"/>
      <c r="AL1946" s="386"/>
    </row>
    <row r="1947" spans="1:38" s="387" customFormat="1" ht="33" customHeight="1" x14ac:dyDescent="0.3">
      <c r="A1947" s="374">
        <v>31</v>
      </c>
      <c r="B1947" s="375">
        <v>190</v>
      </c>
      <c r="C1947" s="376" t="str">
        <f t="shared" si="40"/>
        <v>31.190</v>
      </c>
      <c r="D1947" s="380"/>
      <c r="E1947" s="381" t="str">
        <f>IF(ISBLANK(D1947)=TRUE,"",VLOOKUP(D1947,Krav!$C:$F,4,FALSE))</f>
        <v/>
      </c>
      <c r="F1947" s="382" t="s">
        <v>226</v>
      </c>
      <c r="G1947" s="383" t="s">
        <v>308</v>
      </c>
      <c r="H1947" s="379" t="s">
        <v>2390</v>
      </c>
      <c r="I1947" s="384" t="s">
        <v>241</v>
      </c>
      <c r="J1947" s="384" t="s">
        <v>222</v>
      </c>
      <c r="K1947" s="384" t="s">
        <v>222</v>
      </c>
      <c r="L1947" s="385" t="s">
        <v>3</v>
      </c>
      <c r="M1947" s="377" t="s">
        <v>129</v>
      </c>
      <c r="N1947" s="377" t="s">
        <v>131</v>
      </c>
      <c r="O1947" s="377" t="s">
        <v>376</v>
      </c>
      <c r="P1947" s="377" t="s">
        <v>96</v>
      </c>
      <c r="Q1947" s="377" t="s">
        <v>131</v>
      </c>
      <c r="R1947" s="377" t="s">
        <v>129</v>
      </c>
      <c r="S1947" s="377" t="s">
        <v>131</v>
      </c>
      <c r="T1947" s="377"/>
      <c r="U1947" s="379" t="s">
        <v>1317</v>
      </c>
      <c r="V1947" s="377"/>
      <c r="W1947" s="377"/>
      <c r="X1947" s="377"/>
      <c r="Y1947" s="377"/>
      <c r="Z1947" s="377"/>
      <c r="AA1947" s="377"/>
      <c r="AB1947" s="377"/>
      <c r="AC1947" s="377"/>
      <c r="AD1947" s="378" t="s">
        <v>5</v>
      </c>
      <c r="AE1947" s="386"/>
      <c r="AF1947" s="386"/>
      <c r="AG1947" s="386"/>
      <c r="AH1947" s="386"/>
      <c r="AI1947" s="386"/>
      <c r="AJ1947" s="386"/>
      <c r="AK1947" s="386"/>
      <c r="AL1947" s="386"/>
    </row>
    <row r="1948" spans="1:38" s="387" customFormat="1" ht="33" customHeight="1" x14ac:dyDescent="0.3">
      <c r="A1948" s="374">
        <v>31</v>
      </c>
      <c r="B1948" s="375">
        <v>191</v>
      </c>
      <c r="C1948" s="376" t="str">
        <f t="shared" si="40"/>
        <v>31.191</v>
      </c>
      <c r="D1948" s="380"/>
      <c r="E1948" s="381" t="str">
        <f>IF(ISBLANK(D1948)=TRUE,"",VLOOKUP(D1948,Krav!$C:$F,4,FALSE))</f>
        <v/>
      </c>
      <c r="F1948" s="382" t="s">
        <v>226</v>
      </c>
      <c r="G1948" s="383" t="s">
        <v>308</v>
      </c>
      <c r="H1948" s="379" t="s">
        <v>2391</v>
      </c>
      <c r="I1948" s="384" t="s">
        <v>241</v>
      </c>
      <c r="J1948" s="384" t="s">
        <v>222</v>
      </c>
      <c r="K1948" s="384" t="s">
        <v>222</v>
      </c>
      <c r="L1948" s="385" t="s">
        <v>3</v>
      </c>
      <c r="M1948" s="377" t="s">
        <v>129</v>
      </c>
      <c r="N1948" s="377" t="s">
        <v>131</v>
      </c>
      <c r="O1948" s="377" t="s">
        <v>376</v>
      </c>
      <c r="P1948" s="377" t="s">
        <v>96</v>
      </c>
      <c r="Q1948" s="377" t="s">
        <v>131</v>
      </c>
      <c r="R1948" s="377" t="s">
        <v>129</v>
      </c>
      <c r="S1948" s="377" t="s">
        <v>131</v>
      </c>
      <c r="T1948" s="377"/>
      <c r="U1948" s="379" t="s">
        <v>1313</v>
      </c>
      <c r="V1948" s="377"/>
      <c r="W1948" s="377"/>
      <c r="X1948" s="377"/>
      <c r="Y1948" s="377"/>
      <c r="Z1948" s="377"/>
      <c r="AA1948" s="377"/>
      <c r="AB1948" s="377"/>
      <c r="AC1948" s="377"/>
      <c r="AD1948" s="378" t="s">
        <v>5</v>
      </c>
      <c r="AE1948" s="386"/>
      <c r="AF1948" s="386"/>
      <c r="AG1948" s="386"/>
      <c r="AH1948" s="386"/>
      <c r="AI1948" s="386"/>
      <c r="AJ1948" s="386"/>
      <c r="AK1948" s="386"/>
      <c r="AL1948" s="386"/>
    </row>
    <row r="1949" spans="1:38" s="387" customFormat="1" ht="33" customHeight="1" x14ac:dyDescent="0.3">
      <c r="A1949" s="374">
        <v>31</v>
      </c>
      <c r="B1949" s="375">
        <v>192</v>
      </c>
      <c r="C1949" s="376" t="str">
        <f t="shared" si="40"/>
        <v>31.192</v>
      </c>
      <c r="D1949" s="380"/>
      <c r="E1949" s="381" t="str">
        <f>IF(ISBLANK(D1949)=TRUE,"",VLOOKUP(D1949,Krav!$C:$F,4,FALSE))</f>
        <v/>
      </c>
      <c r="F1949" s="382" t="s">
        <v>226</v>
      </c>
      <c r="G1949" s="383" t="s">
        <v>308</v>
      </c>
      <c r="H1949" s="379" t="s">
        <v>2387</v>
      </c>
      <c r="I1949" s="384" t="s">
        <v>241</v>
      </c>
      <c r="J1949" s="384" t="s">
        <v>222</v>
      </c>
      <c r="K1949" s="384" t="s">
        <v>222</v>
      </c>
      <c r="L1949" s="385" t="s">
        <v>3</v>
      </c>
      <c r="M1949" s="377" t="s">
        <v>131</v>
      </c>
      <c r="N1949" s="377" t="s">
        <v>129</v>
      </c>
      <c r="O1949" s="377" t="s">
        <v>96</v>
      </c>
      <c r="P1949" s="377" t="s">
        <v>376</v>
      </c>
      <c r="Q1949" s="377" t="s">
        <v>129</v>
      </c>
      <c r="R1949" s="377" t="s">
        <v>131</v>
      </c>
      <c r="S1949" s="377" t="s">
        <v>131</v>
      </c>
      <c r="T1949" s="377"/>
      <c r="U1949" s="379" t="s">
        <v>1314</v>
      </c>
      <c r="V1949" s="377"/>
      <c r="W1949" s="377"/>
      <c r="X1949" s="377"/>
      <c r="Y1949" s="377"/>
      <c r="Z1949" s="377"/>
      <c r="AA1949" s="377"/>
      <c r="AB1949" s="377"/>
      <c r="AC1949" s="377"/>
      <c r="AD1949" s="378" t="s">
        <v>5</v>
      </c>
      <c r="AE1949" s="386"/>
      <c r="AF1949" s="386"/>
      <c r="AG1949" s="386"/>
      <c r="AH1949" s="386"/>
      <c r="AI1949" s="386"/>
      <c r="AJ1949" s="386"/>
      <c r="AK1949" s="386"/>
      <c r="AL1949" s="386"/>
    </row>
    <row r="1950" spans="1:38" s="387" customFormat="1" ht="33" customHeight="1" x14ac:dyDescent="0.3">
      <c r="A1950" s="374">
        <v>31</v>
      </c>
      <c r="B1950" s="375">
        <v>193</v>
      </c>
      <c r="C1950" s="376" t="str">
        <f t="shared" si="40"/>
        <v>31.193</v>
      </c>
      <c r="D1950" s="380"/>
      <c r="E1950" s="381" t="str">
        <f>IF(ISBLANK(D1950)=TRUE,"",VLOOKUP(D1950,Krav!$C:$F,4,FALSE))</f>
        <v/>
      </c>
      <c r="F1950" s="382" t="s">
        <v>226</v>
      </c>
      <c r="G1950" s="383" t="s">
        <v>308</v>
      </c>
      <c r="H1950" s="379" t="s">
        <v>2388</v>
      </c>
      <c r="I1950" s="384" t="s">
        <v>241</v>
      </c>
      <c r="J1950" s="384" t="s">
        <v>222</v>
      </c>
      <c r="K1950" s="384" t="s">
        <v>222</v>
      </c>
      <c r="L1950" s="385" t="s">
        <v>3</v>
      </c>
      <c r="M1950" s="377" t="s">
        <v>131</v>
      </c>
      <c r="N1950" s="377" t="s">
        <v>129</v>
      </c>
      <c r="O1950" s="377" t="s">
        <v>96</v>
      </c>
      <c r="P1950" s="377" t="s">
        <v>376</v>
      </c>
      <c r="Q1950" s="377" t="s">
        <v>129</v>
      </c>
      <c r="R1950" s="377" t="s">
        <v>131</v>
      </c>
      <c r="S1950" s="377" t="s">
        <v>131</v>
      </c>
      <c r="T1950" s="377"/>
      <c r="U1950" s="379" t="s">
        <v>1315</v>
      </c>
      <c r="V1950" s="377"/>
      <c r="W1950" s="377"/>
      <c r="X1950" s="377"/>
      <c r="Y1950" s="377"/>
      <c r="Z1950" s="377"/>
      <c r="AA1950" s="377"/>
      <c r="AB1950" s="377"/>
      <c r="AC1950" s="377"/>
      <c r="AD1950" s="378" t="s">
        <v>5</v>
      </c>
      <c r="AE1950" s="386"/>
      <c r="AF1950" s="386"/>
      <c r="AG1950" s="386"/>
      <c r="AH1950" s="386"/>
      <c r="AI1950" s="386"/>
      <c r="AJ1950" s="386"/>
      <c r="AK1950" s="386"/>
      <c r="AL1950" s="386"/>
    </row>
    <row r="1951" spans="1:38" s="387" customFormat="1" ht="33" customHeight="1" x14ac:dyDescent="0.3">
      <c r="A1951" s="374">
        <v>31</v>
      </c>
      <c r="B1951" s="375">
        <v>194</v>
      </c>
      <c r="C1951" s="376" t="str">
        <f t="shared" si="40"/>
        <v>31.194</v>
      </c>
      <c r="D1951" s="380"/>
      <c r="E1951" s="381" t="str">
        <f>IF(ISBLANK(D1951)=TRUE,"",VLOOKUP(D1951,Krav!$C:$F,4,FALSE))</f>
        <v/>
      </c>
      <c r="F1951" s="382" t="s">
        <v>226</v>
      </c>
      <c r="G1951" s="383" t="s">
        <v>308</v>
      </c>
      <c r="H1951" s="379" t="s">
        <v>2389</v>
      </c>
      <c r="I1951" s="384" t="s">
        <v>241</v>
      </c>
      <c r="J1951" s="384" t="s">
        <v>222</v>
      </c>
      <c r="K1951" s="384" t="s">
        <v>222</v>
      </c>
      <c r="L1951" s="385" t="s">
        <v>3</v>
      </c>
      <c r="M1951" s="377" t="s">
        <v>131</v>
      </c>
      <c r="N1951" s="377" t="s">
        <v>129</v>
      </c>
      <c r="O1951" s="377" t="s">
        <v>96</v>
      </c>
      <c r="P1951" s="377" t="s">
        <v>376</v>
      </c>
      <c r="Q1951" s="377" t="s">
        <v>129</v>
      </c>
      <c r="R1951" s="377" t="s">
        <v>131</v>
      </c>
      <c r="S1951" s="377" t="s">
        <v>131</v>
      </c>
      <c r="T1951" s="377"/>
      <c r="U1951" s="379" t="s">
        <v>1316</v>
      </c>
      <c r="V1951" s="377"/>
      <c r="W1951" s="377"/>
      <c r="X1951" s="377"/>
      <c r="Y1951" s="377"/>
      <c r="Z1951" s="377"/>
      <c r="AA1951" s="377"/>
      <c r="AB1951" s="377"/>
      <c r="AC1951" s="377"/>
      <c r="AD1951" s="378" t="s">
        <v>5</v>
      </c>
      <c r="AE1951" s="386"/>
      <c r="AF1951" s="386"/>
      <c r="AG1951" s="386"/>
      <c r="AH1951" s="386"/>
      <c r="AI1951" s="386"/>
      <c r="AJ1951" s="386"/>
      <c r="AK1951" s="386"/>
      <c r="AL1951" s="386"/>
    </row>
    <row r="1952" spans="1:38" s="387" customFormat="1" ht="33" customHeight="1" x14ac:dyDescent="0.3">
      <c r="A1952" s="374">
        <v>31</v>
      </c>
      <c r="B1952" s="375">
        <v>195</v>
      </c>
      <c r="C1952" s="376" t="str">
        <f t="shared" si="40"/>
        <v>31.195</v>
      </c>
      <c r="D1952" s="380"/>
      <c r="E1952" s="381" t="str">
        <f>IF(ISBLANK(D1952)=TRUE,"",VLOOKUP(D1952,Krav!$C:$F,4,FALSE))</f>
        <v/>
      </c>
      <c r="F1952" s="382" t="s">
        <v>226</v>
      </c>
      <c r="G1952" s="383" t="s">
        <v>308</v>
      </c>
      <c r="H1952" s="379" t="s">
        <v>2390</v>
      </c>
      <c r="I1952" s="384" t="s">
        <v>241</v>
      </c>
      <c r="J1952" s="384" t="s">
        <v>222</v>
      </c>
      <c r="K1952" s="384" t="s">
        <v>222</v>
      </c>
      <c r="L1952" s="385" t="s">
        <v>3</v>
      </c>
      <c r="M1952" s="377" t="s">
        <v>131</v>
      </c>
      <c r="N1952" s="377" t="s">
        <v>129</v>
      </c>
      <c r="O1952" s="377" t="s">
        <v>96</v>
      </c>
      <c r="P1952" s="377" t="s">
        <v>376</v>
      </c>
      <c r="Q1952" s="377" t="s">
        <v>129</v>
      </c>
      <c r="R1952" s="377" t="s">
        <v>131</v>
      </c>
      <c r="S1952" s="377" t="s">
        <v>131</v>
      </c>
      <c r="T1952" s="377"/>
      <c r="U1952" s="379" t="s">
        <v>1317</v>
      </c>
      <c r="V1952" s="377"/>
      <c r="W1952" s="377"/>
      <c r="X1952" s="377"/>
      <c r="Y1952" s="377"/>
      <c r="Z1952" s="377"/>
      <c r="AA1952" s="377"/>
      <c r="AB1952" s="377"/>
      <c r="AC1952" s="377"/>
      <c r="AD1952" s="378" t="s">
        <v>5</v>
      </c>
      <c r="AE1952" s="386"/>
      <c r="AF1952" s="386"/>
      <c r="AG1952" s="386"/>
      <c r="AH1952" s="386"/>
      <c r="AI1952" s="386"/>
      <c r="AJ1952" s="386"/>
      <c r="AK1952" s="386"/>
      <c r="AL1952" s="386"/>
    </row>
    <row r="1953" spans="1:38" s="387" customFormat="1" ht="33" customHeight="1" x14ac:dyDescent="0.3">
      <c r="A1953" s="374">
        <v>31</v>
      </c>
      <c r="B1953" s="375">
        <v>196</v>
      </c>
      <c r="C1953" s="376" t="str">
        <f t="shared" si="40"/>
        <v>31.196</v>
      </c>
      <c r="D1953" s="380"/>
      <c r="E1953" s="381" t="str">
        <f>IF(ISBLANK(D1953)=TRUE,"",VLOOKUP(D1953,Krav!$C:$F,4,FALSE))</f>
        <v/>
      </c>
      <c r="F1953" s="382" t="s">
        <v>226</v>
      </c>
      <c r="G1953" s="383" t="s">
        <v>308</v>
      </c>
      <c r="H1953" s="379" t="s">
        <v>2391</v>
      </c>
      <c r="I1953" s="384" t="s">
        <v>241</v>
      </c>
      <c r="J1953" s="384" t="s">
        <v>222</v>
      </c>
      <c r="K1953" s="384" t="s">
        <v>222</v>
      </c>
      <c r="L1953" s="385" t="s">
        <v>3</v>
      </c>
      <c r="M1953" s="377" t="s">
        <v>131</v>
      </c>
      <c r="N1953" s="377" t="s">
        <v>129</v>
      </c>
      <c r="O1953" s="377" t="s">
        <v>96</v>
      </c>
      <c r="P1953" s="377" t="s">
        <v>376</v>
      </c>
      <c r="Q1953" s="377" t="s">
        <v>129</v>
      </c>
      <c r="R1953" s="377" t="s">
        <v>131</v>
      </c>
      <c r="S1953" s="377" t="s">
        <v>131</v>
      </c>
      <c r="T1953" s="377"/>
      <c r="U1953" s="379" t="s">
        <v>1313</v>
      </c>
      <c r="V1953" s="377"/>
      <c r="W1953" s="377"/>
      <c r="X1953" s="377"/>
      <c r="Y1953" s="377"/>
      <c r="Z1953" s="377"/>
      <c r="AA1953" s="377"/>
      <c r="AB1953" s="377"/>
      <c r="AC1953" s="377"/>
      <c r="AD1953" s="378" t="s">
        <v>5</v>
      </c>
      <c r="AE1953" s="386"/>
      <c r="AF1953" s="386"/>
      <c r="AG1953" s="386"/>
      <c r="AH1953" s="386"/>
      <c r="AI1953" s="386"/>
      <c r="AJ1953" s="386"/>
      <c r="AK1953" s="386"/>
      <c r="AL1953" s="386"/>
    </row>
    <row r="1954" spans="1:38" s="387" customFormat="1" ht="33" customHeight="1" x14ac:dyDescent="0.3">
      <c r="A1954" s="374">
        <v>31</v>
      </c>
      <c r="B1954" s="375">
        <v>197</v>
      </c>
      <c r="C1954" s="376" t="str">
        <f t="shared" si="40"/>
        <v>31.197</v>
      </c>
      <c r="D1954" s="380"/>
      <c r="E1954" s="381" t="str">
        <f>IF(ISBLANK(D1954)=TRUE,"",VLOOKUP(D1954,Krav!$C:$F,4,FALSE))</f>
        <v/>
      </c>
      <c r="F1954" s="382" t="s">
        <v>226</v>
      </c>
      <c r="G1954" s="383" t="s">
        <v>308</v>
      </c>
      <c r="H1954" s="379" t="s">
        <v>2387</v>
      </c>
      <c r="I1954" s="384" t="s">
        <v>241</v>
      </c>
      <c r="J1954" s="384" t="s">
        <v>222</v>
      </c>
      <c r="K1954" s="384" t="s">
        <v>222</v>
      </c>
      <c r="L1954" s="385" t="s">
        <v>3</v>
      </c>
      <c r="M1954" s="377" t="s">
        <v>131</v>
      </c>
      <c r="N1954" s="377" t="s">
        <v>129</v>
      </c>
      <c r="O1954" s="377" t="s">
        <v>376</v>
      </c>
      <c r="P1954" s="377" t="s">
        <v>96</v>
      </c>
      <c r="Q1954" s="377" t="s">
        <v>131</v>
      </c>
      <c r="R1954" s="377" t="s">
        <v>129</v>
      </c>
      <c r="S1954" s="377" t="s">
        <v>131</v>
      </c>
      <c r="T1954" s="377"/>
      <c r="U1954" s="379" t="s">
        <v>1314</v>
      </c>
      <c r="V1954" s="377"/>
      <c r="W1954" s="377"/>
      <c r="X1954" s="377"/>
      <c r="Y1954" s="377"/>
      <c r="Z1954" s="377"/>
      <c r="AA1954" s="377"/>
      <c r="AB1954" s="377"/>
      <c r="AC1954" s="377"/>
      <c r="AD1954" s="378" t="s">
        <v>5</v>
      </c>
      <c r="AE1954" s="386"/>
      <c r="AF1954" s="386"/>
      <c r="AG1954" s="386"/>
      <c r="AH1954" s="386"/>
      <c r="AI1954" s="386"/>
      <c r="AJ1954" s="386"/>
      <c r="AK1954" s="386"/>
      <c r="AL1954" s="386"/>
    </row>
    <row r="1955" spans="1:38" s="387" customFormat="1" ht="33" customHeight="1" x14ac:dyDescent="0.3">
      <c r="A1955" s="374">
        <v>31</v>
      </c>
      <c r="B1955" s="375">
        <v>198</v>
      </c>
      <c r="C1955" s="376" t="str">
        <f t="shared" si="40"/>
        <v>31.198</v>
      </c>
      <c r="D1955" s="380"/>
      <c r="E1955" s="381" t="str">
        <f>IF(ISBLANK(D1955)=TRUE,"",VLOOKUP(D1955,Krav!$C:$F,4,FALSE))</f>
        <v/>
      </c>
      <c r="F1955" s="382" t="s">
        <v>226</v>
      </c>
      <c r="G1955" s="383" t="s">
        <v>308</v>
      </c>
      <c r="H1955" s="379" t="s">
        <v>2388</v>
      </c>
      <c r="I1955" s="384" t="s">
        <v>241</v>
      </c>
      <c r="J1955" s="384" t="s">
        <v>222</v>
      </c>
      <c r="K1955" s="384" t="s">
        <v>222</v>
      </c>
      <c r="L1955" s="385" t="s">
        <v>3</v>
      </c>
      <c r="M1955" s="377" t="s">
        <v>131</v>
      </c>
      <c r="N1955" s="377" t="s">
        <v>129</v>
      </c>
      <c r="O1955" s="377" t="s">
        <v>376</v>
      </c>
      <c r="P1955" s="377" t="s">
        <v>96</v>
      </c>
      <c r="Q1955" s="377" t="s">
        <v>131</v>
      </c>
      <c r="R1955" s="377" t="s">
        <v>129</v>
      </c>
      <c r="S1955" s="377" t="s">
        <v>131</v>
      </c>
      <c r="T1955" s="377"/>
      <c r="U1955" s="379" t="s">
        <v>1315</v>
      </c>
      <c r="V1955" s="377"/>
      <c r="W1955" s="377"/>
      <c r="X1955" s="377"/>
      <c r="Y1955" s="377"/>
      <c r="Z1955" s="377"/>
      <c r="AA1955" s="377"/>
      <c r="AB1955" s="377"/>
      <c r="AC1955" s="377"/>
      <c r="AD1955" s="378" t="s">
        <v>5</v>
      </c>
      <c r="AE1955" s="386"/>
      <c r="AF1955" s="386"/>
      <c r="AG1955" s="386"/>
      <c r="AH1955" s="386"/>
      <c r="AI1955" s="386"/>
      <c r="AJ1955" s="386"/>
      <c r="AK1955" s="386"/>
      <c r="AL1955" s="386"/>
    </row>
    <row r="1956" spans="1:38" s="387" customFormat="1" ht="33" customHeight="1" x14ac:dyDescent="0.3">
      <c r="A1956" s="374">
        <v>31</v>
      </c>
      <c r="B1956" s="375">
        <v>199</v>
      </c>
      <c r="C1956" s="376" t="str">
        <f t="shared" si="40"/>
        <v>31.199</v>
      </c>
      <c r="D1956" s="380"/>
      <c r="E1956" s="381" t="str">
        <f>IF(ISBLANK(D1956)=TRUE,"",VLOOKUP(D1956,Krav!$C:$F,4,FALSE))</f>
        <v/>
      </c>
      <c r="F1956" s="382" t="s">
        <v>226</v>
      </c>
      <c r="G1956" s="383" t="s">
        <v>308</v>
      </c>
      <c r="H1956" s="379" t="s">
        <v>2389</v>
      </c>
      <c r="I1956" s="384" t="s">
        <v>241</v>
      </c>
      <c r="J1956" s="384" t="s">
        <v>222</v>
      </c>
      <c r="K1956" s="384" t="s">
        <v>222</v>
      </c>
      <c r="L1956" s="385" t="s">
        <v>3</v>
      </c>
      <c r="M1956" s="377" t="s">
        <v>131</v>
      </c>
      <c r="N1956" s="377" t="s">
        <v>129</v>
      </c>
      <c r="O1956" s="377" t="s">
        <v>376</v>
      </c>
      <c r="P1956" s="377" t="s">
        <v>96</v>
      </c>
      <c r="Q1956" s="377" t="s">
        <v>131</v>
      </c>
      <c r="R1956" s="377" t="s">
        <v>129</v>
      </c>
      <c r="S1956" s="377" t="s">
        <v>131</v>
      </c>
      <c r="T1956" s="377"/>
      <c r="U1956" s="379" t="s">
        <v>1316</v>
      </c>
      <c r="V1956" s="377"/>
      <c r="W1956" s="377"/>
      <c r="X1956" s="377"/>
      <c r="Y1956" s="377"/>
      <c r="Z1956" s="377"/>
      <c r="AA1956" s="377"/>
      <c r="AB1956" s="377"/>
      <c r="AC1956" s="377"/>
      <c r="AD1956" s="378" t="s">
        <v>5</v>
      </c>
      <c r="AE1956" s="386"/>
      <c r="AF1956" s="386"/>
      <c r="AG1956" s="386"/>
      <c r="AH1956" s="386"/>
      <c r="AI1956" s="386"/>
      <c r="AJ1956" s="386"/>
      <c r="AK1956" s="386"/>
      <c r="AL1956" s="386"/>
    </row>
    <row r="1957" spans="1:38" s="387" customFormat="1" ht="33" customHeight="1" x14ac:dyDescent="0.3">
      <c r="A1957" s="374">
        <v>31</v>
      </c>
      <c r="B1957" s="375">
        <v>200</v>
      </c>
      <c r="C1957" s="376" t="str">
        <f t="shared" si="40"/>
        <v>31.200</v>
      </c>
      <c r="D1957" s="380"/>
      <c r="E1957" s="381" t="str">
        <f>IF(ISBLANK(D1957)=TRUE,"",VLOOKUP(D1957,Krav!$C:$F,4,FALSE))</f>
        <v/>
      </c>
      <c r="F1957" s="382" t="s">
        <v>226</v>
      </c>
      <c r="G1957" s="383" t="s">
        <v>308</v>
      </c>
      <c r="H1957" s="379" t="s">
        <v>2390</v>
      </c>
      <c r="I1957" s="384" t="s">
        <v>241</v>
      </c>
      <c r="J1957" s="384" t="s">
        <v>222</v>
      </c>
      <c r="K1957" s="384" t="s">
        <v>222</v>
      </c>
      <c r="L1957" s="385" t="s">
        <v>3</v>
      </c>
      <c r="M1957" s="377" t="s">
        <v>131</v>
      </c>
      <c r="N1957" s="377" t="s">
        <v>129</v>
      </c>
      <c r="O1957" s="377" t="s">
        <v>376</v>
      </c>
      <c r="P1957" s="377" t="s">
        <v>96</v>
      </c>
      <c r="Q1957" s="377" t="s">
        <v>131</v>
      </c>
      <c r="R1957" s="377" t="s">
        <v>129</v>
      </c>
      <c r="S1957" s="377" t="s">
        <v>131</v>
      </c>
      <c r="T1957" s="377"/>
      <c r="U1957" s="379" t="s">
        <v>1317</v>
      </c>
      <c r="V1957" s="377"/>
      <c r="W1957" s="377"/>
      <c r="X1957" s="377"/>
      <c r="Y1957" s="377"/>
      <c r="Z1957" s="377"/>
      <c r="AA1957" s="377"/>
      <c r="AB1957" s="377"/>
      <c r="AC1957" s="377"/>
      <c r="AD1957" s="378" t="s">
        <v>5</v>
      </c>
      <c r="AE1957" s="386"/>
      <c r="AF1957" s="386"/>
      <c r="AG1957" s="386"/>
      <c r="AH1957" s="386"/>
      <c r="AI1957" s="386"/>
      <c r="AJ1957" s="386"/>
      <c r="AK1957" s="386"/>
      <c r="AL1957" s="386"/>
    </row>
    <row r="1958" spans="1:38" s="387" customFormat="1" ht="33" customHeight="1" x14ac:dyDescent="0.3">
      <c r="A1958" s="374">
        <v>31</v>
      </c>
      <c r="B1958" s="375">
        <v>201</v>
      </c>
      <c r="C1958" s="376" t="str">
        <f t="shared" si="40"/>
        <v>31.201</v>
      </c>
      <c r="D1958" s="380"/>
      <c r="E1958" s="381" t="str">
        <f>IF(ISBLANK(D1958)=TRUE,"",VLOOKUP(D1958,Krav!$C:$F,4,FALSE))</f>
        <v/>
      </c>
      <c r="F1958" s="382" t="s">
        <v>226</v>
      </c>
      <c r="G1958" s="383" t="s">
        <v>308</v>
      </c>
      <c r="H1958" s="379" t="s">
        <v>2391</v>
      </c>
      <c r="I1958" s="384" t="s">
        <v>241</v>
      </c>
      <c r="J1958" s="384" t="s">
        <v>222</v>
      </c>
      <c r="K1958" s="384" t="s">
        <v>222</v>
      </c>
      <c r="L1958" s="385" t="s">
        <v>3</v>
      </c>
      <c r="M1958" s="377" t="s">
        <v>131</v>
      </c>
      <c r="N1958" s="377" t="s">
        <v>129</v>
      </c>
      <c r="O1958" s="377" t="s">
        <v>376</v>
      </c>
      <c r="P1958" s="377" t="s">
        <v>96</v>
      </c>
      <c r="Q1958" s="377" t="s">
        <v>131</v>
      </c>
      <c r="R1958" s="377" t="s">
        <v>129</v>
      </c>
      <c r="S1958" s="377" t="s">
        <v>131</v>
      </c>
      <c r="T1958" s="377"/>
      <c r="U1958" s="379" t="s">
        <v>1313</v>
      </c>
      <c r="V1958" s="377"/>
      <c r="W1958" s="377"/>
      <c r="X1958" s="377"/>
      <c r="Y1958" s="377"/>
      <c r="Z1958" s="377"/>
      <c r="AA1958" s="377"/>
      <c r="AB1958" s="377"/>
      <c r="AC1958" s="377"/>
      <c r="AD1958" s="378" t="s">
        <v>5</v>
      </c>
      <c r="AE1958" s="386"/>
      <c r="AF1958" s="386"/>
      <c r="AG1958" s="386"/>
      <c r="AH1958" s="386"/>
      <c r="AI1958" s="386"/>
      <c r="AJ1958" s="386"/>
      <c r="AK1958" s="386"/>
      <c r="AL1958" s="386"/>
    </row>
    <row r="1959" spans="1:38" s="57" customFormat="1" ht="14.4" x14ac:dyDescent="0.3"/>
    <row r="1960" spans="1:38" s="57" customFormat="1" ht="14.4" x14ac:dyDescent="0.3"/>
    <row r="1961" spans="1:38" s="57" customFormat="1" ht="14.4" x14ac:dyDescent="0.3"/>
    <row r="1962" spans="1:38" s="57" customFormat="1" ht="14.4" x14ac:dyDescent="0.3"/>
    <row r="1963" spans="1:38" s="57" customFormat="1" ht="14.4" x14ac:dyDescent="0.3"/>
    <row r="1964" spans="1:38" s="57" customFormat="1" ht="14.4" x14ac:dyDescent="0.3"/>
    <row r="1965" spans="1:38" s="57" customFormat="1" ht="16.5" customHeight="1" x14ac:dyDescent="0.3">
      <c r="E1965" s="5"/>
      <c r="F1965" s="5"/>
      <c r="H1965" s="5"/>
      <c r="M1965" s="62" t="s">
        <v>1374</v>
      </c>
      <c r="N1965" s="62" t="s">
        <v>1375</v>
      </c>
      <c r="O1965" s="62" t="s">
        <v>1376</v>
      </c>
      <c r="P1965" s="62" t="s">
        <v>1377</v>
      </c>
      <c r="Q1965" s="62" t="s">
        <v>1378</v>
      </c>
      <c r="R1965" s="62" t="s">
        <v>1379</v>
      </c>
      <c r="S1965" s="62" t="s">
        <v>1380</v>
      </c>
      <c r="T1965" s="62" t="s">
        <v>334</v>
      </c>
      <c r="U1965" s="62" t="s">
        <v>371</v>
      </c>
      <c r="V1965" s="62" t="s">
        <v>1381</v>
      </c>
      <c r="W1965" s="62" t="s">
        <v>1382</v>
      </c>
      <c r="X1965" s="62" t="s">
        <v>1383</v>
      </c>
      <c r="Y1965" s="62" t="s">
        <v>1384</v>
      </c>
      <c r="Z1965" s="62"/>
      <c r="AA1965" s="62"/>
      <c r="AB1965" s="62"/>
      <c r="AC1965" s="62" t="s">
        <v>1385</v>
      </c>
      <c r="AD1965" s="62" t="s">
        <v>335</v>
      </c>
      <c r="AE1965" s="62" t="s">
        <v>1386</v>
      </c>
    </row>
    <row r="1966" spans="1:38" s="57" customFormat="1" ht="16.5" customHeight="1" x14ac:dyDescent="0.3">
      <c r="E1966" s="5"/>
      <c r="F1966" s="5"/>
      <c r="H1966" s="5"/>
      <c r="M1966" s="62" t="s">
        <v>1387</v>
      </c>
      <c r="N1966" s="62" t="s">
        <v>1387</v>
      </c>
      <c r="O1966" s="62" t="s">
        <v>12</v>
      </c>
      <c r="P1966" s="62" t="s">
        <v>12</v>
      </c>
      <c r="Q1966" s="62" t="s">
        <v>1387</v>
      </c>
      <c r="R1966" s="62" t="s">
        <v>1387</v>
      </c>
      <c r="S1966" s="62" t="s">
        <v>1387</v>
      </c>
      <c r="T1966" s="62" t="s">
        <v>12</v>
      </c>
      <c r="U1966" s="62" t="s">
        <v>12</v>
      </c>
      <c r="V1966" s="62" t="s">
        <v>12</v>
      </c>
      <c r="W1966" s="62" t="s">
        <v>12</v>
      </c>
      <c r="X1966" s="62" t="s">
        <v>12</v>
      </c>
      <c r="Y1966" s="62" t="s">
        <v>12</v>
      </c>
      <c r="Z1966" s="62" t="s">
        <v>12</v>
      </c>
      <c r="AA1966" s="62" t="s">
        <v>12</v>
      </c>
      <c r="AB1966" s="62" t="s">
        <v>12</v>
      </c>
      <c r="AC1966" s="62" t="s">
        <v>12</v>
      </c>
      <c r="AD1966" s="62" t="s">
        <v>1387</v>
      </c>
    </row>
    <row r="1967" spans="1:38" s="1" customFormat="1" ht="15" customHeight="1" x14ac:dyDescent="0.3">
      <c r="A1967" s="50" t="s">
        <v>6</v>
      </c>
      <c r="B1967" s="51" t="s">
        <v>7</v>
      </c>
      <c r="C1967" s="31" t="s">
        <v>0</v>
      </c>
      <c r="D1967" s="31" t="s">
        <v>22</v>
      </c>
      <c r="E1967" s="52" t="s">
        <v>99</v>
      </c>
      <c r="F1967" s="52" t="s">
        <v>216</v>
      </c>
      <c r="G1967" s="31" t="s">
        <v>217</v>
      </c>
      <c r="H1967" s="52" t="s">
        <v>28</v>
      </c>
      <c r="I1967" s="31" t="s">
        <v>218</v>
      </c>
      <c r="J1967" s="31" t="s">
        <v>219</v>
      </c>
      <c r="K1967" s="31" t="s">
        <v>220</v>
      </c>
      <c r="L1967" s="31" t="s">
        <v>1</v>
      </c>
      <c r="M1967" s="62" t="s">
        <v>230</v>
      </c>
      <c r="N1967" s="62" t="s">
        <v>231</v>
      </c>
      <c r="O1967" s="62" t="s">
        <v>1388</v>
      </c>
      <c r="P1967" s="62" t="s">
        <v>1389</v>
      </c>
      <c r="Q1967" s="62" t="s">
        <v>1390</v>
      </c>
      <c r="R1967" s="62" t="s">
        <v>1391</v>
      </c>
      <c r="S1967" s="62" t="s">
        <v>1392</v>
      </c>
      <c r="T1967" s="62" t="s">
        <v>361</v>
      </c>
      <c r="U1967" s="62" t="s">
        <v>234</v>
      </c>
      <c r="V1967" s="62" t="s">
        <v>1393</v>
      </c>
      <c r="W1967" s="62" t="s">
        <v>1394</v>
      </c>
      <c r="X1967" s="62" t="s">
        <v>1395</v>
      </c>
      <c r="Y1967" s="62" t="s">
        <v>1396</v>
      </c>
      <c r="Z1967" s="166" t="s">
        <v>523</v>
      </c>
      <c r="AA1967" s="166" t="s">
        <v>1397</v>
      </c>
      <c r="AB1967" s="166" t="s">
        <v>1398</v>
      </c>
      <c r="AC1967" s="166" t="s">
        <v>522</v>
      </c>
      <c r="AD1967" s="62" t="s">
        <v>233</v>
      </c>
    </row>
    <row r="1968" spans="1:38" s="178" customFormat="1" ht="20.25" customHeight="1" x14ac:dyDescent="0.3">
      <c r="A1968" s="167">
        <v>32</v>
      </c>
      <c r="B1968" s="168">
        <v>1</v>
      </c>
      <c r="C1968" s="169" t="str">
        <f t="shared" ref="C1968:C2087" si="41">IF(B1968&lt;10,_xlfn.CONCAT(A1968,".0",B1968),_xlfn.CONCAT(A1968,".",B1968))</f>
        <v>32.01</v>
      </c>
      <c r="D1968" s="170" t="s">
        <v>826</v>
      </c>
      <c r="E1968" s="64" t="str">
        <f>IF(ISBLANK(D1968)=TRUE,"",VLOOKUP(D1968,Krav!$C:$F,4,FALSE))</f>
        <v>10.a.1.1.1.5 - Gruppe 1 aktiveres</v>
      </c>
      <c r="F1968" s="171" t="s">
        <v>227</v>
      </c>
      <c r="G1968" s="171"/>
      <c r="H1968" s="172" t="s">
        <v>1399</v>
      </c>
      <c r="I1968" s="173" t="s">
        <v>240</v>
      </c>
      <c r="J1968" s="174" t="s">
        <v>222</v>
      </c>
      <c r="K1968" s="125" t="s">
        <v>222</v>
      </c>
      <c r="L1968" s="175" t="s">
        <v>3</v>
      </c>
      <c r="M1968" s="176" t="s">
        <v>129</v>
      </c>
      <c r="N1968" s="176" t="s">
        <v>131</v>
      </c>
      <c r="O1968" s="176" t="s">
        <v>376</v>
      </c>
      <c r="P1968" s="176" t="s">
        <v>376</v>
      </c>
      <c r="Q1968" s="176" t="s">
        <v>131</v>
      </c>
      <c r="R1968" s="176" t="s">
        <v>131</v>
      </c>
      <c r="S1968" s="176" t="s">
        <v>131</v>
      </c>
      <c r="T1968" s="176" t="s">
        <v>412</v>
      </c>
      <c r="U1968" s="176"/>
      <c r="V1968" s="176"/>
      <c r="W1968" s="176"/>
      <c r="X1968" s="176"/>
      <c r="Y1968" s="176"/>
      <c r="Z1968" s="176"/>
      <c r="AA1968" s="176"/>
      <c r="AB1968" s="176"/>
      <c r="AC1968" s="176"/>
      <c r="AD1968" s="177" t="s">
        <v>5</v>
      </c>
    </row>
    <row r="1969" spans="1:30" s="182" customFormat="1" ht="33" customHeight="1" x14ac:dyDescent="0.3">
      <c r="A1969" s="167">
        <v>32</v>
      </c>
      <c r="B1969" s="168">
        <v>2</v>
      </c>
      <c r="C1969" s="169" t="str">
        <f t="shared" si="41"/>
        <v>32.02</v>
      </c>
      <c r="D1969" s="170"/>
      <c r="E1969" s="64" t="str">
        <f>IF(ISBLANK(D1969)=TRUE,"",VLOOKUP(D1969,Krav!$C:$F,4,FALSE))</f>
        <v/>
      </c>
      <c r="F1969" s="171" t="s">
        <v>225</v>
      </c>
      <c r="G1969" s="179" t="s">
        <v>1389</v>
      </c>
      <c r="H1969" s="179" t="s">
        <v>158</v>
      </c>
      <c r="I1969" s="174" t="s">
        <v>1400</v>
      </c>
      <c r="J1969" s="180" t="s">
        <v>222</v>
      </c>
      <c r="K1969" s="125" t="s">
        <v>222</v>
      </c>
      <c r="L1969" s="181" t="s">
        <v>3</v>
      </c>
      <c r="M1969" s="176" t="s">
        <v>129</v>
      </c>
      <c r="N1969" s="176" t="s">
        <v>131</v>
      </c>
      <c r="O1969" s="176" t="s">
        <v>376</v>
      </c>
      <c r="P1969" s="176" t="s">
        <v>96</v>
      </c>
      <c r="Q1969" s="176" t="s">
        <v>131</v>
      </c>
      <c r="R1969" s="176" t="s">
        <v>131</v>
      </c>
      <c r="S1969" s="176" t="s">
        <v>129</v>
      </c>
      <c r="T1969" s="176"/>
      <c r="U1969" s="176"/>
      <c r="V1969" s="176"/>
      <c r="W1969" s="176"/>
      <c r="X1969" s="176"/>
      <c r="Y1969" s="176"/>
      <c r="Z1969" s="176"/>
      <c r="AA1969" s="176"/>
      <c r="AB1969" s="176"/>
      <c r="AC1969" s="176"/>
      <c r="AD1969" s="177" t="s">
        <v>5</v>
      </c>
    </row>
    <row r="1970" spans="1:30" s="178" customFormat="1" ht="16.5" customHeight="1" x14ac:dyDescent="0.3">
      <c r="A1970" s="167">
        <v>32</v>
      </c>
      <c r="B1970" s="168">
        <v>3</v>
      </c>
      <c r="C1970" s="169" t="str">
        <f t="shared" si="41"/>
        <v>32.03</v>
      </c>
      <c r="D1970" s="170" t="s">
        <v>909</v>
      </c>
      <c r="E1970" s="64" t="str">
        <f>IF(ISBLANK(D1970)=TRUE,"",VLOOKUP(D1970,Krav!$C:$F,4,FALSE))</f>
        <v>10.a.1.1.1.47 - Hvis SRBDato ikke er valgt: Regel R0063 deaktiveres</v>
      </c>
      <c r="F1970" s="171" t="s">
        <v>226</v>
      </c>
      <c r="G1970" s="171" t="s">
        <v>313</v>
      </c>
      <c r="H1970" s="172" t="s">
        <v>1401</v>
      </c>
      <c r="I1970" s="174" t="s">
        <v>1402</v>
      </c>
      <c r="J1970" s="173" t="s">
        <v>222</v>
      </c>
      <c r="K1970" s="123" t="s">
        <v>222</v>
      </c>
      <c r="L1970" s="181" t="s">
        <v>3</v>
      </c>
      <c r="M1970" s="176" t="s">
        <v>129</v>
      </c>
      <c r="N1970" s="176" t="s">
        <v>131</v>
      </c>
      <c r="O1970" s="176" t="s">
        <v>376</v>
      </c>
      <c r="P1970" s="176" t="s">
        <v>96</v>
      </c>
      <c r="Q1970" s="176" t="s">
        <v>131</v>
      </c>
      <c r="R1970" s="176" t="s">
        <v>131</v>
      </c>
      <c r="S1970" s="176" t="s">
        <v>129</v>
      </c>
      <c r="T1970" s="176"/>
      <c r="U1970" s="176" t="s">
        <v>1294</v>
      </c>
      <c r="V1970" s="176"/>
      <c r="W1970" s="176"/>
      <c r="X1970" s="176"/>
      <c r="Y1970" s="176"/>
      <c r="Z1970" s="176"/>
      <c r="AA1970" s="176"/>
      <c r="AB1970" s="176"/>
      <c r="AC1970" s="176"/>
      <c r="AD1970" s="177" t="s">
        <v>5</v>
      </c>
    </row>
    <row r="1971" spans="1:30" s="178" customFormat="1" ht="33" customHeight="1" x14ac:dyDescent="0.3">
      <c r="A1971" s="167">
        <v>32</v>
      </c>
      <c r="B1971" s="168">
        <v>4</v>
      </c>
      <c r="C1971" s="169" t="str">
        <f t="shared" si="41"/>
        <v>32.04</v>
      </c>
      <c r="D1971" s="170" t="s">
        <v>911</v>
      </c>
      <c r="E1971" s="64" t="str">
        <f>IF(ISBLANK(D1971)=TRUE,"",VLOOKUP(D1971,Krav!$C:$F,4,FALSE))</f>
        <v>10.a.1.1.1.48 - Hvis SRBDato ikke er valgt: Regel R0064 deaktiveres</v>
      </c>
      <c r="F1971" s="171" t="s">
        <v>226</v>
      </c>
      <c r="G1971" s="171" t="s">
        <v>313</v>
      </c>
      <c r="H1971" s="172" t="s">
        <v>1401</v>
      </c>
      <c r="I1971" s="174" t="s">
        <v>1402</v>
      </c>
      <c r="J1971" s="173" t="s">
        <v>222</v>
      </c>
      <c r="K1971" s="123" t="s">
        <v>222</v>
      </c>
      <c r="L1971" s="181" t="s">
        <v>3</v>
      </c>
      <c r="M1971" s="176" t="s">
        <v>129</v>
      </c>
      <c r="N1971" s="176" t="s">
        <v>131</v>
      </c>
      <c r="O1971" s="176" t="s">
        <v>376</v>
      </c>
      <c r="P1971" s="176" t="s">
        <v>96</v>
      </c>
      <c r="Q1971" s="176" t="s">
        <v>131</v>
      </c>
      <c r="R1971" s="176" t="s">
        <v>131</v>
      </c>
      <c r="S1971" s="176" t="s">
        <v>129</v>
      </c>
      <c r="T1971" s="176"/>
      <c r="U1971" s="176" t="s">
        <v>1295</v>
      </c>
      <c r="V1971" s="176"/>
      <c r="W1971" s="176"/>
      <c r="X1971" s="176"/>
      <c r="Y1971" s="176"/>
      <c r="Z1971" s="176"/>
      <c r="AA1971" s="176"/>
      <c r="AB1971" s="176"/>
      <c r="AC1971" s="176"/>
      <c r="AD1971" s="177" t="s">
        <v>5</v>
      </c>
    </row>
    <row r="1972" spans="1:30" s="178" customFormat="1" ht="33" customHeight="1" x14ac:dyDescent="0.3">
      <c r="A1972" s="167">
        <v>32</v>
      </c>
      <c r="B1972" s="168">
        <v>5</v>
      </c>
      <c r="C1972" s="169" t="str">
        <f t="shared" si="41"/>
        <v>32.05</v>
      </c>
      <c r="D1972" s="170" t="s">
        <v>913</v>
      </c>
      <c r="E1972" s="64" t="str">
        <f>IF(ISBLANK(D1972)=TRUE,"",VLOOKUP(D1972,Krav!$C:$F,4,FALSE))</f>
        <v>10.a.1.1.1.49 - Hvis SRBDato ikke er valgt: Regel R0065 deaktiveres</v>
      </c>
      <c r="F1972" s="171" t="s">
        <v>226</v>
      </c>
      <c r="G1972" s="171" t="s">
        <v>313</v>
      </c>
      <c r="H1972" s="172" t="s">
        <v>1401</v>
      </c>
      <c r="I1972" s="174" t="s">
        <v>1402</v>
      </c>
      <c r="J1972" s="174" t="s">
        <v>222</v>
      </c>
      <c r="K1972" s="123" t="s">
        <v>222</v>
      </c>
      <c r="L1972" s="175" t="s">
        <v>3</v>
      </c>
      <c r="M1972" s="176" t="s">
        <v>129</v>
      </c>
      <c r="N1972" s="176" t="s">
        <v>131</v>
      </c>
      <c r="O1972" s="176" t="s">
        <v>376</v>
      </c>
      <c r="P1972" s="176" t="s">
        <v>96</v>
      </c>
      <c r="Q1972" s="176" t="s">
        <v>131</v>
      </c>
      <c r="R1972" s="176" t="s">
        <v>131</v>
      </c>
      <c r="S1972" s="176" t="s">
        <v>129</v>
      </c>
      <c r="T1972" s="176"/>
      <c r="U1972" s="176" t="s">
        <v>1296</v>
      </c>
      <c r="V1972" s="176"/>
      <c r="W1972" s="176"/>
      <c r="X1972" s="176"/>
      <c r="Y1972" s="176"/>
      <c r="Z1972" s="176"/>
      <c r="AA1972" s="176"/>
      <c r="AB1972" s="176"/>
      <c r="AC1972" s="176"/>
      <c r="AD1972" s="177" t="s">
        <v>5</v>
      </c>
    </row>
    <row r="1973" spans="1:30" s="178" customFormat="1" ht="33" customHeight="1" x14ac:dyDescent="0.3">
      <c r="A1973" s="167">
        <v>32</v>
      </c>
      <c r="B1973" s="168">
        <v>6</v>
      </c>
      <c r="C1973" s="169" t="str">
        <f t="shared" si="41"/>
        <v>32.06</v>
      </c>
      <c r="D1973" s="170" t="s">
        <v>915</v>
      </c>
      <c r="E1973" s="64" t="str">
        <f>IF(ISBLANK(D1973)=TRUE,"",VLOOKUP(D1973,Krav!$C:$F,4,FALSE))</f>
        <v>10.a.1.1.1.50 - Hvis SRBDato ikke er valgt: Regel R0066 deaktiveres</v>
      </c>
      <c r="F1973" s="171" t="s">
        <v>226</v>
      </c>
      <c r="G1973" s="171" t="s">
        <v>313</v>
      </c>
      <c r="H1973" s="172" t="s">
        <v>1401</v>
      </c>
      <c r="I1973" s="174" t="s">
        <v>1402</v>
      </c>
      <c r="J1973" s="174" t="s">
        <v>222</v>
      </c>
      <c r="K1973" s="123" t="s">
        <v>222</v>
      </c>
      <c r="L1973" s="175" t="s">
        <v>3</v>
      </c>
      <c r="M1973" s="176" t="s">
        <v>129</v>
      </c>
      <c r="N1973" s="176" t="s">
        <v>131</v>
      </c>
      <c r="O1973" s="176" t="s">
        <v>376</v>
      </c>
      <c r="P1973" s="176" t="s">
        <v>96</v>
      </c>
      <c r="Q1973" s="176" t="s">
        <v>131</v>
      </c>
      <c r="R1973" s="176" t="s">
        <v>131</v>
      </c>
      <c r="S1973" s="176" t="s">
        <v>129</v>
      </c>
      <c r="T1973" s="176"/>
      <c r="U1973" s="176" t="s">
        <v>1297</v>
      </c>
      <c r="V1973" s="176"/>
      <c r="W1973" s="176"/>
      <c r="X1973" s="176"/>
      <c r="Y1973" s="176"/>
      <c r="Z1973" s="176"/>
      <c r="AA1973" s="176"/>
      <c r="AB1973" s="176"/>
      <c r="AC1973" s="176"/>
      <c r="AD1973" s="177" t="s">
        <v>5</v>
      </c>
    </row>
    <row r="1974" spans="1:30" s="178" customFormat="1" ht="33" customHeight="1" x14ac:dyDescent="0.3">
      <c r="A1974" s="167">
        <v>32</v>
      </c>
      <c r="B1974" s="168">
        <v>7</v>
      </c>
      <c r="C1974" s="169" t="str">
        <f t="shared" si="41"/>
        <v>32.07</v>
      </c>
      <c r="D1974" s="170" t="s">
        <v>925</v>
      </c>
      <c r="E1974" s="64" t="str">
        <f>IF(ISBLANK(D1974)=TRUE,"",VLOOKUP(D1974,Krav!$C:$F,4,FALSE))</f>
        <v>10.a.1.1.1.55 - Hvis SRBDato ikke er valgt: Regel R0071 deaktiveres</v>
      </c>
      <c r="F1974" s="171" t="s">
        <v>226</v>
      </c>
      <c r="G1974" s="171" t="s">
        <v>313</v>
      </c>
      <c r="H1974" s="172" t="s">
        <v>1401</v>
      </c>
      <c r="I1974" s="174" t="s">
        <v>1402</v>
      </c>
      <c r="J1974" s="174" t="s">
        <v>222</v>
      </c>
      <c r="K1974" s="123" t="s">
        <v>222</v>
      </c>
      <c r="L1974" s="175" t="s">
        <v>3</v>
      </c>
      <c r="M1974" s="176" t="s">
        <v>129</v>
      </c>
      <c r="N1974" s="176" t="s">
        <v>131</v>
      </c>
      <c r="O1974" s="176" t="s">
        <v>376</v>
      </c>
      <c r="P1974" s="176" t="s">
        <v>96</v>
      </c>
      <c r="Q1974" s="176" t="s">
        <v>131</v>
      </c>
      <c r="R1974" s="176" t="s">
        <v>131</v>
      </c>
      <c r="S1974" s="176" t="s">
        <v>129</v>
      </c>
      <c r="T1974" s="176"/>
      <c r="U1974" s="176" t="s">
        <v>1298</v>
      </c>
      <c r="V1974" s="176"/>
      <c r="W1974" s="176"/>
      <c r="X1974" s="176"/>
      <c r="Y1974" s="176"/>
      <c r="Z1974" s="176"/>
      <c r="AA1974" s="176"/>
      <c r="AB1974" s="176"/>
      <c r="AC1974" s="176"/>
      <c r="AD1974" s="177" t="s">
        <v>5</v>
      </c>
    </row>
    <row r="1975" spans="1:30" s="178" customFormat="1" ht="16.5" customHeight="1" x14ac:dyDescent="0.3">
      <c r="A1975" s="167">
        <v>32</v>
      </c>
      <c r="B1975" s="168">
        <v>8</v>
      </c>
      <c r="C1975" s="169" t="str">
        <f t="shared" si="41"/>
        <v>32.08</v>
      </c>
      <c r="D1975" s="170" t="s">
        <v>909</v>
      </c>
      <c r="E1975" s="64" t="str">
        <f>IF(ISBLANK(D1975)=TRUE,"",VLOOKUP(D1975,Krav!$C:$F,4,FALSE))</f>
        <v>10.a.1.1.1.47 - Hvis SRBDato ikke er valgt: Regel R0063 deaktiveres</v>
      </c>
      <c r="F1975" s="171" t="s">
        <v>226</v>
      </c>
      <c r="G1975" s="171" t="s">
        <v>313</v>
      </c>
      <c r="H1975" s="172" t="s">
        <v>1401</v>
      </c>
      <c r="I1975" s="174" t="s">
        <v>33</v>
      </c>
      <c r="J1975" s="173" t="s">
        <v>222</v>
      </c>
      <c r="K1975" s="123" t="s">
        <v>222</v>
      </c>
      <c r="L1975" s="181" t="s">
        <v>3</v>
      </c>
      <c r="M1975" s="176" t="s">
        <v>129</v>
      </c>
      <c r="N1975" s="176" t="s">
        <v>131</v>
      </c>
      <c r="O1975" s="176" t="s">
        <v>376</v>
      </c>
      <c r="P1975" s="176" t="s">
        <v>376</v>
      </c>
      <c r="Q1975" s="176" t="s">
        <v>131</v>
      </c>
      <c r="R1975" s="176" t="s">
        <v>131</v>
      </c>
      <c r="S1975" s="176" t="s">
        <v>131</v>
      </c>
      <c r="T1975" s="176"/>
      <c r="U1975" s="176" t="s">
        <v>1294</v>
      </c>
      <c r="V1975" s="176"/>
      <c r="W1975" s="176"/>
      <c r="X1975" s="176"/>
      <c r="Y1975" s="176"/>
      <c r="Z1975" s="176"/>
      <c r="AA1975" s="176"/>
      <c r="AB1975" s="176"/>
      <c r="AC1975" s="176"/>
      <c r="AD1975" s="177" t="s">
        <v>5</v>
      </c>
    </row>
    <row r="1976" spans="1:30" s="178" customFormat="1" ht="33" customHeight="1" x14ac:dyDescent="0.3">
      <c r="A1976" s="167">
        <v>32</v>
      </c>
      <c r="B1976" s="168">
        <v>9</v>
      </c>
      <c r="C1976" s="169" t="str">
        <f t="shared" si="41"/>
        <v>32.09</v>
      </c>
      <c r="D1976" s="170" t="s">
        <v>911</v>
      </c>
      <c r="E1976" s="64" t="str">
        <f>IF(ISBLANK(D1976)=TRUE,"",VLOOKUP(D1976,Krav!$C:$F,4,FALSE))</f>
        <v>10.a.1.1.1.48 - Hvis SRBDato ikke er valgt: Regel R0064 deaktiveres</v>
      </c>
      <c r="F1976" s="171" t="s">
        <v>226</v>
      </c>
      <c r="G1976" s="171" t="s">
        <v>313</v>
      </c>
      <c r="H1976" s="172" t="s">
        <v>1401</v>
      </c>
      <c r="I1976" s="174" t="s">
        <v>33</v>
      </c>
      <c r="J1976" s="173" t="s">
        <v>222</v>
      </c>
      <c r="K1976" s="123" t="s">
        <v>222</v>
      </c>
      <c r="L1976" s="181" t="s">
        <v>3</v>
      </c>
      <c r="M1976" s="176" t="s">
        <v>129</v>
      </c>
      <c r="N1976" s="176" t="s">
        <v>131</v>
      </c>
      <c r="O1976" s="176" t="s">
        <v>376</v>
      </c>
      <c r="P1976" s="176" t="s">
        <v>376</v>
      </c>
      <c r="Q1976" s="176" t="s">
        <v>131</v>
      </c>
      <c r="R1976" s="176" t="s">
        <v>131</v>
      </c>
      <c r="S1976" s="176" t="s">
        <v>131</v>
      </c>
      <c r="T1976" s="176"/>
      <c r="U1976" s="176" t="s">
        <v>1295</v>
      </c>
      <c r="V1976" s="176"/>
      <c r="W1976" s="176"/>
      <c r="X1976" s="176"/>
      <c r="Y1976" s="176"/>
      <c r="Z1976" s="176"/>
      <c r="AA1976" s="176"/>
      <c r="AB1976" s="176"/>
      <c r="AC1976" s="176"/>
      <c r="AD1976" s="177" t="s">
        <v>5</v>
      </c>
    </row>
    <row r="1977" spans="1:30" s="178" customFormat="1" ht="33" customHeight="1" x14ac:dyDescent="0.3">
      <c r="A1977" s="167">
        <v>32</v>
      </c>
      <c r="B1977" s="168">
        <v>10</v>
      </c>
      <c r="C1977" s="169" t="str">
        <f t="shared" si="41"/>
        <v>32.10</v>
      </c>
      <c r="D1977" s="170" t="s">
        <v>913</v>
      </c>
      <c r="E1977" s="64" t="str">
        <f>IF(ISBLANK(D1977)=TRUE,"",VLOOKUP(D1977,Krav!$C:$F,4,FALSE))</f>
        <v>10.a.1.1.1.49 - Hvis SRBDato ikke er valgt: Regel R0065 deaktiveres</v>
      </c>
      <c r="F1977" s="171" t="s">
        <v>226</v>
      </c>
      <c r="G1977" s="171" t="s">
        <v>313</v>
      </c>
      <c r="H1977" s="172" t="s">
        <v>1401</v>
      </c>
      <c r="I1977" s="174" t="s">
        <v>33</v>
      </c>
      <c r="J1977" s="174" t="s">
        <v>222</v>
      </c>
      <c r="K1977" s="123" t="s">
        <v>222</v>
      </c>
      <c r="L1977" s="175" t="s">
        <v>3</v>
      </c>
      <c r="M1977" s="176" t="s">
        <v>129</v>
      </c>
      <c r="N1977" s="176" t="s">
        <v>131</v>
      </c>
      <c r="O1977" s="176" t="s">
        <v>376</v>
      </c>
      <c r="P1977" s="176" t="s">
        <v>376</v>
      </c>
      <c r="Q1977" s="176" t="s">
        <v>131</v>
      </c>
      <c r="R1977" s="176" t="s">
        <v>131</v>
      </c>
      <c r="S1977" s="176" t="s">
        <v>131</v>
      </c>
      <c r="T1977" s="176"/>
      <c r="U1977" s="176" t="s">
        <v>1296</v>
      </c>
      <c r="V1977" s="176"/>
      <c r="W1977" s="176"/>
      <c r="X1977" s="176"/>
      <c r="Y1977" s="176"/>
      <c r="Z1977" s="176"/>
      <c r="AA1977" s="176"/>
      <c r="AB1977" s="176"/>
      <c r="AC1977" s="176"/>
      <c r="AD1977" s="177" t="s">
        <v>5</v>
      </c>
    </row>
    <row r="1978" spans="1:30" s="178" customFormat="1" ht="33" customHeight="1" x14ac:dyDescent="0.3">
      <c r="A1978" s="167">
        <v>32</v>
      </c>
      <c r="B1978" s="168">
        <v>11</v>
      </c>
      <c r="C1978" s="169" t="str">
        <f t="shared" si="41"/>
        <v>32.11</v>
      </c>
      <c r="D1978" s="170" t="s">
        <v>915</v>
      </c>
      <c r="E1978" s="64" t="str">
        <f>IF(ISBLANK(D1978)=TRUE,"",VLOOKUP(D1978,Krav!$C:$F,4,FALSE))</f>
        <v>10.a.1.1.1.50 - Hvis SRBDato ikke er valgt: Regel R0066 deaktiveres</v>
      </c>
      <c r="F1978" s="171" t="s">
        <v>226</v>
      </c>
      <c r="G1978" s="171" t="s">
        <v>313</v>
      </c>
      <c r="H1978" s="172" t="s">
        <v>1401</v>
      </c>
      <c r="I1978" s="174" t="s">
        <v>33</v>
      </c>
      <c r="J1978" s="174" t="s">
        <v>222</v>
      </c>
      <c r="K1978" s="123" t="s">
        <v>222</v>
      </c>
      <c r="L1978" s="175" t="s">
        <v>3</v>
      </c>
      <c r="M1978" s="176" t="s">
        <v>129</v>
      </c>
      <c r="N1978" s="176" t="s">
        <v>131</v>
      </c>
      <c r="O1978" s="176" t="s">
        <v>376</v>
      </c>
      <c r="P1978" s="176" t="s">
        <v>376</v>
      </c>
      <c r="Q1978" s="176" t="s">
        <v>131</v>
      </c>
      <c r="R1978" s="176" t="s">
        <v>131</v>
      </c>
      <c r="S1978" s="176" t="s">
        <v>131</v>
      </c>
      <c r="T1978" s="176"/>
      <c r="U1978" s="176" t="s">
        <v>1297</v>
      </c>
      <c r="V1978" s="176"/>
      <c r="W1978" s="176"/>
      <c r="X1978" s="176"/>
      <c r="Y1978" s="176"/>
      <c r="Z1978" s="176"/>
      <c r="AA1978" s="176"/>
      <c r="AB1978" s="176"/>
      <c r="AC1978" s="176"/>
      <c r="AD1978" s="177" t="s">
        <v>5</v>
      </c>
    </row>
    <row r="1979" spans="1:30" s="178" customFormat="1" ht="33" customHeight="1" x14ac:dyDescent="0.3">
      <c r="A1979" s="167">
        <v>32</v>
      </c>
      <c r="B1979" s="168">
        <v>12</v>
      </c>
      <c r="C1979" s="169" t="str">
        <f t="shared" si="41"/>
        <v>32.12</v>
      </c>
      <c r="D1979" s="170" t="s">
        <v>925</v>
      </c>
      <c r="E1979" s="64" t="str">
        <f>IF(ISBLANK(D1979)=TRUE,"",VLOOKUP(D1979,Krav!$C:$F,4,FALSE))</f>
        <v>10.a.1.1.1.55 - Hvis SRBDato ikke er valgt: Regel R0071 deaktiveres</v>
      </c>
      <c r="F1979" s="171" t="s">
        <v>226</v>
      </c>
      <c r="G1979" s="171" t="s">
        <v>313</v>
      </c>
      <c r="H1979" s="172" t="s">
        <v>1401</v>
      </c>
      <c r="I1979" s="174" t="s">
        <v>33</v>
      </c>
      <c r="J1979" s="174" t="s">
        <v>222</v>
      </c>
      <c r="K1979" s="123" t="s">
        <v>222</v>
      </c>
      <c r="L1979" s="175" t="s">
        <v>3</v>
      </c>
      <c r="M1979" s="176" t="s">
        <v>129</v>
      </c>
      <c r="N1979" s="176" t="s">
        <v>131</v>
      </c>
      <c r="O1979" s="176" t="s">
        <v>376</v>
      </c>
      <c r="P1979" s="176" t="s">
        <v>376</v>
      </c>
      <c r="Q1979" s="176" t="s">
        <v>131</v>
      </c>
      <c r="R1979" s="176" t="s">
        <v>131</v>
      </c>
      <c r="S1979" s="176" t="s">
        <v>131</v>
      </c>
      <c r="T1979" s="176"/>
      <c r="U1979" s="176" t="s">
        <v>1298</v>
      </c>
      <c r="V1979" s="176"/>
      <c r="W1979" s="176"/>
      <c r="X1979" s="176"/>
      <c r="Y1979" s="176"/>
      <c r="Z1979" s="176"/>
      <c r="AA1979" s="176"/>
      <c r="AB1979" s="176"/>
      <c r="AC1979" s="176"/>
      <c r="AD1979" s="177" t="s">
        <v>5</v>
      </c>
    </row>
    <row r="1980" spans="1:30" s="178" customFormat="1" ht="33" customHeight="1" x14ac:dyDescent="0.3">
      <c r="A1980" s="167">
        <v>32</v>
      </c>
      <c r="B1980" s="168">
        <v>13</v>
      </c>
      <c r="C1980" s="169" t="str">
        <f t="shared" si="41"/>
        <v>32.13</v>
      </c>
      <c r="D1980" s="170" t="s">
        <v>909</v>
      </c>
      <c r="E1980" s="64" t="str">
        <f>IF(ISBLANK(D1980)=TRUE,"",VLOOKUP(D1980,Krav!$C:$F,4,FALSE))</f>
        <v>10.a.1.1.1.47 - Hvis SRBDato ikke er valgt: Regel R0063 deaktiveres</v>
      </c>
      <c r="F1980" s="171" t="s">
        <v>226</v>
      </c>
      <c r="G1980" s="171" t="s">
        <v>313</v>
      </c>
      <c r="H1980" s="172" t="s">
        <v>1401</v>
      </c>
      <c r="I1980" s="174" t="s">
        <v>404</v>
      </c>
      <c r="J1980" s="173" t="s">
        <v>222</v>
      </c>
      <c r="K1980" s="123" t="s">
        <v>222</v>
      </c>
      <c r="L1980" s="181" t="s">
        <v>3</v>
      </c>
      <c r="M1980" s="176" t="s">
        <v>129</v>
      </c>
      <c r="N1980" s="176" t="s">
        <v>131</v>
      </c>
      <c r="O1980" s="176" t="s">
        <v>1403</v>
      </c>
      <c r="P1980" s="176" t="s">
        <v>376</v>
      </c>
      <c r="Q1980" s="176" t="s">
        <v>131</v>
      </c>
      <c r="R1980" s="176" t="s">
        <v>131</v>
      </c>
      <c r="S1980" s="176" t="s">
        <v>131</v>
      </c>
      <c r="T1980" s="176"/>
      <c r="U1980" s="176" t="s">
        <v>1294</v>
      </c>
      <c r="V1980" s="176"/>
      <c r="W1980" s="176"/>
      <c r="X1980" s="176"/>
      <c r="Y1980" s="176"/>
      <c r="Z1980" s="176"/>
      <c r="AA1980" s="176"/>
      <c r="AB1980" s="176"/>
      <c r="AC1980" s="176"/>
      <c r="AD1980" s="177" t="s">
        <v>5</v>
      </c>
    </row>
    <row r="1981" spans="1:30" s="178" customFormat="1" ht="33" customHeight="1" x14ac:dyDescent="0.3">
      <c r="A1981" s="167">
        <v>32</v>
      </c>
      <c r="B1981" s="168">
        <v>14</v>
      </c>
      <c r="C1981" s="169" t="str">
        <f t="shared" si="41"/>
        <v>32.14</v>
      </c>
      <c r="D1981" s="170" t="s">
        <v>911</v>
      </c>
      <c r="E1981" s="64" t="str">
        <f>IF(ISBLANK(D1981)=TRUE,"",VLOOKUP(D1981,Krav!$C:$F,4,FALSE))</f>
        <v>10.a.1.1.1.48 - Hvis SRBDato ikke er valgt: Regel R0064 deaktiveres</v>
      </c>
      <c r="F1981" s="171" t="s">
        <v>226</v>
      </c>
      <c r="G1981" s="171" t="s">
        <v>313</v>
      </c>
      <c r="H1981" s="172" t="s">
        <v>1401</v>
      </c>
      <c r="I1981" s="174" t="s">
        <v>404</v>
      </c>
      <c r="J1981" s="173" t="s">
        <v>222</v>
      </c>
      <c r="K1981" s="123" t="s">
        <v>222</v>
      </c>
      <c r="L1981" s="181" t="s">
        <v>3</v>
      </c>
      <c r="M1981" s="176" t="s">
        <v>129</v>
      </c>
      <c r="N1981" s="176" t="s">
        <v>131</v>
      </c>
      <c r="O1981" s="176" t="s">
        <v>1403</v>
      </c>
      <c r="P1981" s="176" t="s">
        <v>376</v>
      </c>
      <c r="Q1981" s="176" t="s">
        <v>131</v>
      </c>
      <c r="R1981" s="176" t="s">
        <v>131</v>
      </c>
      <c r="S1981" s="176" t="s">
        <v>131</v>
      </c>
      <c r="T1981" s="176"/>
      <c r="U1981" s="176" t="s">
        <v>1295</v>
      </c>
      <c r="V1981" s="176"/>
      <c r="W1981" s="176"/>
      <c r="X1981" s="176"/>
      <c r="Y1981" s="176"/>
      <c r="Z1981" s="176"/>
      <c r="AA1981" s="176"/>
      <c r="AB1981" s="176"/>
      <c r="AC1981" s="176"/>
      <c r="AD1981" s="177" t="s">
        <v>5</v>
      </c>
    </row>
    <row r="1982" spans="1:30" s="178" customFormat="1" ht="33" customHeight="1" x14ac:dyDescent="0.3">
      <c r="A1982" s="167">
        <v>32</v>
      </c>
      <c r="B1982" s="168">
        <v>15</v>
      </c>
      <c r="C1982" s="169" t="str">
        <f t="shared" si="41"/>
        <v>32.15</v>
      </c>
      <c r="D1982" s="170" t="s">
        <v>913</v>
      </c>
      <c r="E1982" s="64" t="str">
        <f>IF(ISBLANK(D1982)=TRUE,"",VLOOKUP(D1982,Krav!$C:$F,4,FALSE))</f>
        <v>10.a.1.1.1.49 - Hvis SRBDato ikke er valgt: Regel R0065 deaktiveres</v>
      </c>
      <c r="F1982" s="171" t="s">
        <v>226</v>
      </c>
      <c r="G1982" s="171" t="s">
        <v>313</v>
      </c>
      <c r="H1982" s="172" t="s">
        <v>1401</v>
      </c>
      <c r="I1982" s="174" t="s">
        <v>404</v>
      </c>
      <c r="J1982" s="174" t="s">
        <v>222</v>
      </c>
      <c r="K1982" s="123" t="s">
        <v>222</v>
      </c>
      <c r="L1982" s="175" t="s">
        <v>3</v>
      </c>
      <c r="M1982" s="176" t="s">
        <v>129</v>
      </c>
      <c r="N1982" s="176" t="s">
        <v>131</v>
      </c>
      <c r="O1982" s="176" t="s">
        <v>1403</v>
      </c>
      <c r="P1982" s="176" t="s">
        <v>376</v>
      </c>
      <c r="Q1982" s="176" t="s">
        <v>131</v>
      </c>
      <c r="R1982" s="176" t="s">
        <v>131</v>
      </c>
      <c r="S1982" s="176" t="s">
        <v>131</v>
      </c>
      <c r="T1982" s="176"/>
      <c r="U1982" s="176" t="s">
        <v>1296</v>
      </c>
      <c r="V1982" s="176"/>
      <c r="W1982" s="176"/>
      <c r="X1982" s="176"/>
      <c r="Y1982" s="176"/>
      <c r="Z1982" s="176"/>
      <c r="AA1982" s="176"/>
      <c r="AB1982" s="176"/>
      <c r="AC1982" s="176"/>
      <c r="AD1982" s="177" t="s">
        <v>5</v>
      </c>
    </row>
    <row r="1983" spans="1:30" s="178" customFormat="1" ht="33" customHeight="1" x14ac:dyDescent="0.3">
      <c r="A1983" s="167">
        <v>32</v>
      </c>
      <c r="B1983" s="168">
        <v>16</v>
      </c>
      <c r="C1983" s="169" t="str">
        <f t="shared" si="41"/>
        <v>32.16</v>
      </c>
      <c r="D1983" s="170" t="s">
        <v>915</v>
      </c>
      <c r="E1983" s="64" t="str">
        <f>IF(ISBLANK(D1983)=TRUE,"",VLOOKUP(D1983,Krav!$C:$F,4,FALSE))</f>
        <v>10.a.1.1.1.50 - Hvis SRBDato ikke er valgt: Regel R0066 deaktiveres</v>
      </c>
      <c r="F1983" s="171" t="s">
        <v>226</v>
      </c>
      <c r="G1983" s="171" t="s">
        <v>313</v>
      </c>
      <c r="H1983" s="172" t="s">
        <v>1401</v>
      </c>
      <c r="I1983" s="174" t="s">
        <v>404</v>
      </c>
      <c r="J1983" s="174" t="s">
        <v>222</v>
      </c>
      <c r="K1983" s="123" t="s">
        <v>222</v>
      </c>
      <c r="L1983" s="175" t="s">
        <v>3</v>
      </c>
      <c r="M1983" s="176" t="s">
        <v>129</v>
      </c>
      <c r="N1983" s="176" t="s">
        <v>131</v>
      </c>
      <c r="O1983" s="176" t="s">
        <v>1403</v>
      </c>
      <c r="P1983" s="176" t="s">
        <v>376</v>
      </c>
      <c r="Q1983" s="176" t="s">
        <v>131</v>
      </c>
      <c r="R1983" s="176" t="s">
        <v>131</v>
      </c>
      <c r="S1983" s="176" t="s">
        <v>131</v>
      </c>
      <c r="T1983" s="176"/>
      <c r="U1983" s="176" t="s">
        <v>1297</v>
      </c>
      <c r="V1983" s="176"/>
      <c r="W1983" s="176"/>
      <c r="X1983" s="176"/>
      <c r="Y1983" s="176"/>
      <c r="Z1983" s="176"/>
      <c r="AA1983" s="176"/>
      <c r="AB1983" s="176"/>
      <c r="AC1983" s="176"/>
      <c r="AD1983" s="177" t="s">
        <v>5</v>
      </c>
    </row>
    <row r="1984" spans="1:30" s="178" customFormat="1" ht="33" customHeight="1" x14ac:dyDescent="0.3">
      <c r="A1984" s="167">
        <v>32</v>
      </c>
      <c r="B1984" s="168">
        <v>17</v>
      </c>
      <c r="C1984" s="169" t="str">
        <f t="shared" si="41"/>
        <v>32.17</v>
      </c>
      <c r="D1984" s="170" t="s">
        <v>925</v>
      </c>
      <c r="E1984" s="64" t="str">
        <f>IF(ISBLANK(D1984)=TRUE,"",VLOOKUP(D1984,Krav!$C:$F,4,FALSE))</f>
        <v>10.a.1.1.1.55 - Hvis SRBDato ikke er valgt: Regel R0071 deaktiveres</v>
      </c>
      <c r="F1984" s="171" t="s">
        <v>226</v>
      </c>
      <c r="G1984" s="171" t="s">
        <v>313</v>
      </c>
      <c r="H1984" s="172" t="s">
        <v>1401</v>
      </c>
      <c r="I1984" s="174" t="s">
        <v>404</v>
      </c>
      <c r="J1984" s="174" t="s">
        <v>222</v>
      </c>
      <c r="K1984" s="123" t="s">
        <v>222</v>
      </c>
      <c r="L1984" s="175" t="s">
        <v>3</v>
      </c>
      <c r="M1984" s="176" t="s">
        <v>129</v>
      </c>
      <c r="N1984" s="176" t="s">
        <v>131</v>
      </c>
      <c r="O1984" s="176" t="s">
        <v>1403</v>
      </c>
      <c r="P1984" s="176" t="s">
        <v>376</v>
      </c>
      <c r="Q1984" s="176" t="s">
        <v>131</v>
      </c>
      <c r="R1984" s="176" t="s">
        <v>131</v>
      </c>
      <c r="S1984" s="176" t="s">
        <v>131</v>
      </c>
      <c r="T1984" s="176"/>
      <c r="U1984" s="176" t="s">
        <v>1298</v>
      </c>
      <c r="V1984" s="176"/>
      <c r="W1984" s="176"/>
      <c r="X1984" s="176"/>
      <c r="Y1984" s="176"/>
      <c r="Z1984" s="176"/>
      <c r="AA1984" s="176"/>
      <c r="AB1984" s="176"/>
      <c r="AC1984" s="176"/>
      <c r="AD1984" s="177" t="s">
        <v>5</v>
      </c>
    </row>
    <row r="1985" spans="1:30" s="178" customFormat="1" ht="33" customHeight="1" x14ac:dyDescent="0.3">
      <c r="A1985" s="167">
        <v>32</v>
      </c>
      <c r="B1985" s="168">
        <v>18</v>
      </c>
      <c r="C1985" s="169" t="str">
        <f t="shared" si="41"/>
        <v>32.18</v>
      </c>
      <c r="D1985" s="170" t="s">
        <v>909</v>
      </c>
      <c r="E1985" s="64" t="str">
        <f>IF(ISBLANK(D1985)=TRUE,"",VLOOKUP(D1985,Krav!$C:$F,4,FALSE))</f>
        <v>10.a.1.1.1.47 - Hvis SRBDato ikke er valgt: Regel R0063 deaktiveres</v>
      </c>
      <c r="F1985" s="171" t="s">
        <v>226</v>
      </c>
      <c r="G1985" s="171" t="s">
        <v>313</v>
      </c>
      <c r="H1985" s="172" t="s">
        <v>1401</v>
      </c>
      <c r="I1985" s="173" t="s">
        <v>376</v>
      </c>
      <c r="J1985" s="173" t="s">
        <v>222</v>
      </c>
      <c r="K1985" s="123" t="s">
        <v>222</v>
      </c>
      <c r="L1985" s="181" t="s">
        <v>3</v>
      </c>
      <c r="M1985" s="176" t="s">
        <v>129</v>
      </c>
      <c r="N1985" s="176" t="s">
        <v>131</v>
      </c>
      <c r="O1985" s="176" t="s">
        <v>376</v>
      </c>
      <c r="P1985" s="176" t="s">
        <v>1403</v>
      </c>
      <c r="Q1985" s="176" t="s">
        <v>131</v>
      </c>
      <c r="R1985" s="176" t="s">
        <v>131</v>
      </c>
      <c r="S1985" s="176" t="s">
        <v>131</v>
      </c>
      <c r="T1985" s="176"/>
      <c r="U1985" s="176" t="s">
        <v>1294</v>
      </c>
      <c r="V1985" s="176"/>
      <c r="W1985" s="176"/>
      <c r="X1985" s="176"/>
      <c r="Y1985" s="176"/>
      <c r="Z1985" s="176"/>
      <c r="AA1985" s="176"/>
      <c r="AB1985" s="176"/>
      <c r="AC1985" s="176"/>
      <c r="AD1985" s="177" t="s">
        <v>5</v>
      </c>
    </row>
    <row r="1986" spans="1:30" s="178" customFormat="1" ht="33" customHeight="1" x14ac:dyDescent="0.3">
      <c r="A1986" s="167">
        <v>32</v>
      </c>
      <c r="B1986" s="168">
        <v>19</v>
      </c>
      <c r="C1986" s="169" t="str">
        <f t="shared" si="41"/>
        <v>32.19</v>
      </c>
      <c r="D1986" s="170" t="s">
        <v>911</v>
      </c>
      <c r="E1986" s="64" t="str">
        <f>IF(ISBLANK(D1986)=TRUE,"",VLOOKUP(D1986,Krav!$C:$F,4,FALSE))</f>
        <v>10.a.1.1.1.48 - Hvis SRBDato ikke er valgt: Regel R0064 deaktiveres</v>
      </c>
      <c r="F1986" s="171" t="s">
        <v>226</v>
      </c>
      <c r="G1986" s="171" t="s">
        <v>313</v>
      </c>
      <c r="H1986" s="172" t="s">
        <v>1401</v>
      </c>
      <c r="I1986" s="173" t="s">
        <v>376</v>
      </c>
      <c r="J1986" s="173" t="s">
        <v>222</v>
      </c>
      <c r="K1986" s="123" t="s">
        <v>222</v>
      </c>
      <c r="L1986" s="181" t="s">
        <v>3</v>
      </c>
      <c r="M1986" s="176" t="s">
        <v>129</v>
      </c>
      <c r="N1986" s="176" t="s">
        <v>131</v>
      </c>
      <c r="O1986" s="176" t="s">
        <v>376</v>
      </c>
      <c r="P1986" s="176" t="s">
        <v>1403</v>
      </c>
      <c r="Q1986" s="176" t="s">
        <v>131</v>
      </c>
      <c r="R1986" s="176" t="s">
        <v>131</v>
      </c>
      <c r="S1986" s="176" t="s">
        <v>131</v>
      </c>
      <c r="T1986" s="176"/>
      <c r="U1986" s="176" t="s">
        <v>1295</v>
      </c>
      <c r="V1986" s="176"/>
      <c r="W1986" s="176"/>
      <c r="X1986" s="176"/>
      <c r="Y1986" s="176"/>
      <c r="Z1986" s="176"/>
      <c r="AA1986" s="176"/>
      <c r="AB1986" s="176"/>
      <c r="AC1986" s="176"/>
      <c r="AD1986" s="177" t="s">
        <v>5</v>
      </c>
    </row>
    <row r="1987" spans="1:30" s="178" customFormat="1" ht="33" customHeight="1" x14ac:dyDescent="0.3">
      <c r="A1987" s="167">
        <v>32</v>
      </c>
      <c r="B1987" s="168">
        <v>20</v>
      </c>
      <c r="C1987" s="169" t="str">
        <f t="shared" si="41"/>
        <v>32.20</v>
      </c>
      <c r="D1987" s="170" t="s">
        <v>913</v>
      </c>
      <c r="E1987" s="64" t="str">
        <f>IF(ISBLANK(D1987)=TRUE,"",VLOOKUP(D1987,Krav!$C:$F,4,FALSE))</f>
        <v>10.a.1.1.1.49 - Hvis SRBDato ikke er valgt: Regel R0065 deaktiveres</v>
      </c>
      <c r="F1987" s="171" t="s">
        <v>226</v>
      </c>
      <c r="G1987" s="171" t="s">
        <v>313</v>
      </c>
      <c r="H1987" s="172" t="s">
        <v>1401</v>
      </c>
      <c r="I1987" s="174" t="s">
        <v>376</v>
      </c>
      <c r="J1987" s="174" t="s">
        <v>222</v>
      </c>
      <c r="K1987" s="123" t="s">
        <v>222</v>
      </c>
      <c r="L1987" s="175" t="s">
        <v>3</v>
      </c>
      <c r="M1987" s="176" t="s">
        <v>129</v>
      </c>
      <c r="N1987" s="176" t="s">
        <v>131</v>
      </c>
      <c r="O1987" s="176" t="s">
        <v>376</v>
      </c>
      <c r="P1987" s="176" t="s">
        <v>1403</v>
      </c>
      <c r="Q1987" s="176" t="s">
        <v>131</v>
      </c>
      <c r="R1987" s="176" t="s">
        <v>131</v>
      </c>
      <c r="S1987" s="176" t="s">
        <v>131</v>
      </c>
      <c r="T1987" s="176"/>
      <c r="U1987" s="176" t="s">
        <v>1296</v>
      </c>
      <c r="V1987" s="176"/>
      <c r="W1987" s="176"/>
      <c r="X1987" s="176"/>
      <c r="Y1987" s="176"/>
      <c r="Z1987" s="176"/>
      <c r="AA1987" s="176"/>
      <c r="AB1987" s="176"/>
      <c r="AC1987" s="176"/>
      <c r="AD1987" s="177" t="s">
        <v>5</v>
      </c>
    </row>
    <row r="1988" spans="1:30" s="178" customFormat="1" ht="33" customHeight="1" x14ac:dyDescent="0.3">
      <c r="A1988" s="167">
        <v>32</v>
      </c>
      <c r="B1988" s="168">
        <v>21</v>
      </c>
      <c r="C1988" s="169" t="str">
        <f t="shared" si="41"/>
        <v>32.21</v>
      </c>
      <c r="D1988" s="170" t="s">
        <v>915</v>
      </c>
      <c r="E1988" s="64" t="str">
        <f>IF(ISBLANK(D1988)=TRUE,"",VLOOKUP(D1988,Krav!$C:$F,4,FALSE))</f>
        <v>10.a.1.1.1.50 - Hvis SRBDato ikke er valgt: Regel R0066 deaktiveres</v>
      </c>
      <c r="F1988" s="171" t="s">
        <v>226</v>
      </c>
      <c r="G1988" s="171" t="s">
        <v>313</v>
      </c>
      <c r="H1988" s="172" t="s">
        <v>1401</v>
      </c>
      <c r="I1988" s="174" t="s">
        <v>376</v>
      </c>
      <c r="J1988" s="174" t="s">
        <v>222</v>
      </c>
      <c r="K1988" s="123" t="s">
        <v>222</v>
      </c>
      <c r="L1988" s="175" t="s">
        <v>3</v>
      </c>
      <c r="M1988" s="176" t="s">
        <v>129</v>
      </c>
      <c r="N1988" s="176" t="s">
        <v>131</v>
      </c>
      <c r="O1988" s="176" t="s">
        <v>376</v>
      </c>
      <c r="P1988" s="176" t="s">
        <v>1403</v>
      </c>
      <c r="Q1988" s="176" t="s">
        <v>131</v>
      </c>
      <c r="R1988" s="176" t="s">
        <v>131</v>
      </c>
      <c r="S1988" s="176" t="s">
        <v>131</v>
      </c>
      <c r="T1988" s="176"/>
      <c r="U1988" s="176" t="s">
        <v>1297</v>
      </c>
      <c r="V1988" s="176"/>
      <c r="W1988" s="176"/>
      <c r="X1988" s="176"/>
      <c r="Y1988" s="176"/>
      <c r="Z1988" s="176"/>
      <c r="AA1988" s="176"/>
      <c r="AB1988" s="176"/>
      <c r="AC1988" s="176"/>
      <c r="AD1988" s="177" t="s">
        <v>5</v>
      </c>
    </row>
    <row r="1989" spans="1:30" s="178" customFormat="1" ht="33" customHeight="1" x14ac:dyDescent="0.3">
      <c r="A1989" s="167">
        <v>32</v>
      </c>
      <c r="B1989" s="168">
        <v>22</v>
      </c>
      <c r="C1989" s="169" t="str">
        <f t="shared" si="41"/>
        <v>32.22</v>
      </c>
      <c r="D1989" s="170" t="s">
        <v>925</v>
      </c>
      <c r="E1989" s="64" t="str">
        <f>IF(ISBLANK(D1989)=TRUE,"",VLOOKUP(D1989,Krav!$C:$F,4,FALSE))</f>
        <v>10.a.1.1.1.55 - Hvis SRBDato ikke er valgt: Regel R0071 deaktiveres</v>
      </c>
      <c r="F1989" s="171" t="s">
        <v>226</v>
      </c>
      <c r="G1989" s="171" t="s">
        <v>313</v>
      </c>
      <c r="H1989" s="172" t="s">
        <v>1401</v>
      </c>
      <c r="I1989" s="174" t="s">
        <v>376</v>
      </c>
      <c r="J1989" s="174" t="s">
        <v>222</v>
      </c>
      <c r="K1989" s="123" t="s">
        <v>222</v>
      </c>
      <c r="L1989" s="175" t="s">
        <v>3</v>
      </c>
      <c r="M1989" s="176" t="s">
        <v>129</v>
      </c>
      <c r="N1989" s="176" t="s">
        <v>131</v>
      </c>
      <c r="O1989" s="176" t="s">
        <v>376</v>
      </c>
      <c r="P1989" s="176" t="s">
        <v>1403</v>
      </c>
      <c r="Q1989" s="176" t="s">
        <v>131</v>
      </c>
      <c r="R1989" s="176" t="s">
        <v>131</v>
      </c>
      <c r="S1989" s="176" t="s">
        <v>131</v>
      </c>
      <c r="T1989" s="176"/>
      <c r="U1989" s="176" t="s">
        <v>1298</v>
      </c>
      <c r="V1989" s="176"/>
      <c r="W1989" s="176"/>
      <c r="X1989" s="176"/>
      <c r="Y1989" s="176"/>
      <c r="Z1989" s="176"/>
      <c r="AA1989" s="176"/>
      <c r="AB1989" s="176"/>
      <c r="AC1989" s="176"/>
      <c r="AD1989" s="177" t="s">
        <v>5</v>
      </c>
    </row>
    <row r="1990" spans="1:30" s="178" customFormat="1" ht="33" customHeight="1" x14ac:dyDescent="0.3">
      <c r="A1990" s="167">
        <v>32</v>
      </c>
      <c r="B1990" s="168">
        <v>23</v>
      </c>
      <c r="C1990" s="169" t="str">
        <f t="shared" si="41"/>
        <v>32.23</v>
      </c>
      <c r="D1990" s="170" t="s">
        <v>909</v>
      </c>
      <c r="E1990" s="64" t="str">
        <f>IF(ISBLANK(D1990)=TRUE,"",VLOOKUP(D1990,Krav!$C:$F,4,FALSE))</f>
        <v>10.a.1.1.1.47 - Hvis SRBDato ikke er valgt: Regel R0063 deaktiveres</v>
      </c>
      <c r="F1990" s="171" t="s">
        <v>226</v>
      </c>
      <c r="G1990" s="171" t="s">
        <v>313</v>
      </c>
      <c r="H1990" s="172" t="s">
        <v>1404</v>
      </c>
      <c r="I1990" s="173" t="s">
        <v>408</v>
      </c>
      <c r="J1990" s="173" t="s">
        <v>222</v>
      </c>
      <c r="K1990" s="123" t="s">
        <v>222</v>
      </c>
      <c r="L1990" s="181" t="s">
        <v>4</v>
      </c>
      <c r="M1990" s="176" t="s">
        <v>129</v>
      </c>
      <c r="N1990" s="176" t="s">
        <v>131</v>
      </c>
      <c r="O1990" s="176" t="s">
        <v>1403</v>
      </c>
      <c r="P1990" s="176" t="s">
        <v>1405</v>
      </c>
      <c r="Q1990" s="176" t="s">
        <v>131</v>
      </c>
      <c r="R1990" s="176" t="s">
        <v>131</v>
      </c>
      <c r="S1990" s="176" t="s">
        <v>131</v>
      </c>
      <c r="T1990" s="176"/>
      <c r="U1990" s="176" t="s">
        <v>1294</v>
      </c>
      <c r="V1990" s="176"/>
      <c r="W1990" s="176"/>
      <c r="X1990" s="176"/>
      <c r="Y1990" s="176"/>
      <c r="Z1990" s="176"/>
      <c r="AA1990" s="176"/>
      <c r="AB1990" s="176"/>
      <c r="AC1990" s="176"/>
      <c r="AD1990" s="177" t="s">
        <v>5</v>
      </c>
    </row>
    <row r="1991" spans="1:30" s="178" customFormat="1" ht="33" customHeight="1" x14ac:dyDescent="0.3">
      <c r="A1991" s="167">
        <v>32</v>
      </c>
      <c r="B1991" s="168">
        <v>24</v>
      </c>
      <c r="C1991" s="169" t="str">
        <f t="shared" si="41"/>
        <v>32.24</v>
      </c>
      <c r="D1991" s="170" t="s">
        <v>911</v>
      </c>
      <c r="E1991" s="64" t="str">
        <f>IF(ISBLANK(D1991)=TRUE,"",VLOOKUP(D1991,Krav!$C:$F,4,FALSE))</f>
        <v>10.a.1.1.1.48 - Hvis SRBDato ikke er valgt: Regel R0064 deaktiveres</v>
      </c>
      <c r="F1991" s="171" t="s">
        <v>226</v>
      </c>
      <c r="G1991" s="171" t="s">
        <v>313</v>
      </c>
      <c r="H1991" s="172" t="s">
        <v>1404</v>
      </c>
      <c r="I1991" s="173" t="s">
        <v>408</v>
      </c>
      <c r="J1991" s="173" t="s">
        <v>222</v>
      </c>
      <c r="K1991" s="123" t="s">
        <v>222</v>
      </c>
      <c r="L1991" s="181" t="s">
        <v>4</v>
      </c>
      <c r="M1991" s="176" t="s">
        <v>129</v>
      </c>
      <c r="N1991" s="176" t="s">
        <v>131</v>
      </c>
      <c r="O1991" s="176" t="s">
        <v>1403</v>
      </c>
      <c r="P1991" s="176" t="s">
        <v>1405</v>
      </c>
      <c r="Q1991" s="176" t="s">
        <v>131</v>
      </c>
      <c r="R1991" s="176" t="s">
        <v>131</v>
      </c>
      <c r="S1991" s="176" t="s">
        <v>131</v>
      </c>
      <c r="T1991" s="176"/>
      <c r="U1991" s="176" t="s">
        <v>1295</v>
      </c>
      <c r="V1991" s="176"/>
      <c r="W1991" s="176"/>
      <c r="X1991" s="176"/>
      <c r="Y1991" s="176"/>
      <c r="Z1991" s="176"/>
      <c r="AA1991" s="176"/>
      <c r="AB1991" s="176"/>
      <c r="AC1991" s="176"/>
      <c r="AD1991" s="177" t="s">
        <v>5</v>
      </c>
    </row>
    <row r="1992" spans="1:30" s="178" customFormat="1" ht="33" customHeight="1" x14ac:dyDescent="0.3">
      <c r="A1992" s="167">
        <v>32</v>
      </c>
      <c r="B1992" s="168">
        <v>25</v>
      </c>
      <c r="C1992" s="169" t="str">
        <f t="shared" si="41"/>
        <v>32.25</v>
      </c>
      <c r="D1992" s="170" t="s">
        <v>913</v>
      </c>
      <c r="E1992" s="64" t="str">
        <f>IF(ISBLANK(D1992)=TRUE,"",VLOOKUP(D1992,Krav!$C:$F,4,FALSE))</f>
        <v>10.a.1.1.1.49 - Hvis SRBDato ikke er valgt: Regel R0065 deaktiveres</v>
      </c>
      <c r="F1992" s="171" t="s">
        <v>226</v>
      </c>
      <c r="G1992" s="171" t="s">
        <v>313</v>
      </c>
      <c r="H1992" s="172" t="s">
        <v>1404</v>
      </c>
      <c r="I1992" s="173" t="s">
        <v>408</v>
      </c>
      <c r="J1992" s="174" t="s">
        <v>222</v>
      </c>
      <c r="K1992" s="123" t="s">
        <v>222</v>
      </c>
      <c r="L1992" s="181" t="s">
        <v>4</v>
      </c>
      <c r="M1992" s="176" t="s">
        <v>129</v>
      </c>
      <c r="N1992" s="176" t="s">
        <v>131</v>
      </c>
      <c r="O1992" s="176" t="s">
        <v>1403</v>
      </c>
      <c r="P1992" s="176" t="s">
        <v>1405</v>
      </c>
      <c r="Q1992" s="176" t="s">
        <v>131</v>
      </c>
      <c r="R1992" s="176" t="s">
        <v>131</v>
      </c>
      <c r="S1992" s="176" t="s">
        <v>131</v>
      </c>
      <c r="T1992" s="176"/>
      <c r="U1992" s="176" t="s">
        <v>1296</v>
      </c>
      <c r="V1992" s="176"/>
      <c r="W1992" s="176"/>
      <c r="X1992" s="176"/>
      <c r="Y1992" s="176"/>
      <c r="Z1992" s="176"/>
      <c r="AA1992" s="176"/>
      <c r="AB1992" s="176"/>
      <c r="AC1992" s="176"/>
      <c r="AD1992" s="177" t="s">
        <v>5</v>
      </c>
    </row>
    <row r="1993" spans="1:30" s="178" customFormat="1" ht="33" customHeight="1" x14ac:dyDescent="0.3">
      <c r="A1993" s="167">
        <v>32</v>
      </c>
      <c r="B1993" s="168">
        <v>26</v>
      </c>
      <c r="C1993" s="169" t="str">
        <f t="shared" si="41"/>
        <v>32.26</v>
      </c>
      <c r="D1993" s="170" t="s">
        <v>915</v>
      </c>
      <c r="E1993" s="64" t="str">
        <f>IF(ISBLANK(D1993)=TRUE,"",VLOOKUP(D1993,Krav!$C:$F,4,FALSE))</f>
        <v>10.a.1.1.1.50 - Hvis SRBDato ikke er valgt: Regel R0066 deaktiveres</v>
      </c>
      <c r="F1993" s="171" t="s">
        <v>226</v>
      </c>
      <c r="G1993" s="171" t="s">
        <v>313</v>
      </c>
      <c r="H1993" s="172" t="s">
        <v>1404</v>
      </c>
      <c r="I1993" s="173" t="s">
        <v>408</v>
      </c>
      <c r="J1993" s="174" t="s">
        <v>222</v>
      </c>
      <c r="K1993" s="123" t="s">
        <v>222</v>
      </c>
      <c r="L1993" s="181" t="s">
        <v>4</v>
      </c>
      <c r="M1993" s="176" t="s">
        <v>129</v>
      </c>
      <c r="N1993" s="176" t="s">
        <v>131</v>
      </c>
      <c r="O1993" s="176" t="s">
        <v>1403</v>
      </c>
      <c r="P1993" s="176" t="s">
        <v>1405</v>
      </c>
      <c r="Q1993" s="176" t="s">
        <v>131</v>
      </c>
      <c r="R1993" s="176" t="s">
        <v>131</v>
      </c>
      <c r="S1993" s="176" t="s">
        <v>131</v>
      </c>
      <c r="T1993" s="176"/>
      <c r="U1993" s="176" t="s">
        <v>1297</v>
      </c>
      <c r="V1993" s="176"/>
      <c r="W1993" s="176"/>
      <c r="X1993" s="176"/>
      <c r="Y1993" s="176"/>
      <c r="Z1993" s="176"/>
      <c r="AA1993" s="176"/>
      <c r="AB1993" s="176"/>
      <c r="AC1993" s="176"/>
      <c r="AD1993" s="177" t="s">
        <v>5</v>
      </c>
    </row>
    <row r="1994" spans="1:30" s="178" customFormat="1" ht="33" customHeight="1" x14ac:dyDescent="0.3">
      <c r="A1994" s="167">
        <v>32</v>
      </c>
      <c r="B1994" s="168">
        <v>27</v>
      </c>
      <c r="C1994" s="169" t="str">
        <f t="shared" si="41"/>
        <v>32.27</v>
      </c>
      <c r="D1994" s="170" t="s">
        <v>925</v>
      </c>
      <c r="E1994" s="64" t="str">
        <f>IF(ISBLANK(D1994)=TRUE,"",VLOOKUP(D1994,Krav!$C:$F,4,FALSE))</f>
        <v>10.a.1.1.1.55 - Hvis SRBDato ikke er valgt: Regel R0071 deaktiveres</v>
      </c>
      <c r="F1994" s="171" t="s">
        <v>226</v>
      </c>
      <c r="G1994" s="171" t="s">
        <v>313</v>
      </c>
      <c r="H1994" s="172" t="s">
        <v>1404</v>
      </c>
      <c r="I1994" s="173" t="s">
        <v>408</v>
      </c>
      <c r="J1994" s="174" t="s">
        <v>222</v>
      </c>
      <c r="K1994" s="123" t="s">
        <v>222</v>
      </c>
      <c r="L1994" s="181" t="s">
        <v>4</v>
      </c>
      <c r="M1994" s="176" t="s">
        <v>129</v>
      </c>
      <c r="N1994" s="176" t="s">
        <v>131</v>
      </c>
      <c r="O1994" s="176" t="s">
        <v>1403</v>
      </c>
      <c r="P1994" s="176" t="s">
        <v>1405</v>
      </c>
      <c r="Q1994" s="176" t="s">
        <v>131</v>
      </c>
      <c r="R1994" s="176" t="s">
        <v>131</v>
      </c>
      <c r="S1994" s="176" t="s">
        <v>131</v>
      </c>
      <c r="T1994" s="176"/>
      <c r="U1994" s="176" t="s">
        <v>1298</v>
      </c>
      <c r="V1994" s="176"/>
      <c r="W1994" s="176"/>
      <c r="X1994" s="176"/>
      <c r="Y1994" s="176"/>
      <c r="Z1994" s="176"/>
      <c r="AA1994" s="176"/>
      <c r="AB1994" s="176"/>
      <c r="AC1994" s="176"/>
      <c r="AD1994" s="177" t="s">
        <v>5</v>
      </c>
    </row>
    <row r="1995" spans="1:30" s="178" customFormat="1" ht="33" customHeight="1" x14ac:dyDescent="0.3">
      <c r="A1995" s="167">
        <v>32</v>
      </c>
      <c r="B1995" s="168">
        <v>28</v>
      </c>
      <c r="C1995" s="169" t="str">
        <f t="shared" si="41"/>
        <v>32.28</v>
      </c>
      <c r="D1995" s="170" t="s">
        <v>909</v>
      </c>
      <c r="E1995" s="64" t="str">
        <f>IF(ISBLANK(D1995)=TRUE,"",VLOOKUP(D1995,Krav!$C:$F,4,FALSE))</f>
        <v>10.a.1.1.1.47 - Hvis SRBDato ikke er valgt: Regel R0063 deaktiveres</v>
      </c>
      <c r="F1995" s="171" t="s">
        <v>226</v>
      </c>
      <c r="G1995" s="171" t="s">
        <v>313</v>
      </c>
      <c r="H1995" s="172" t="s">
        <v>1404</v>
      </c>
      <c r="I1995" s="174" t="s">
        <v>410</v>
      </c>
      <c r="J1995" s="173" t="s">
        <v>222</v>
      </c>
      <c r="K1995" s="123" t="s">
        <v>222</v>
      </c>
      <c r="L1995" s="181" t="s">
        <v>4</v>
      </c>
      <c r="M1995" s="176" t="s">
        <v>129</v>
      </c>
      <c r="N1995" s="176" t="s">
        <v>131</v>
      </c>
      <c r="O1995" s="176" t="s">
        <v>1405</v>
      </c>
      <c r="P1995" s="176" t="s">
        <v>1403</v>
      </c>
      <c r="Q1995" s="176" t="s">
        <v>131</v>
      </c>
      <c r="R1995" s="176" t="s">
        <v>131</v>
      </c>
      <c r="S1995" s="176" t="s">
        <v>131</v>
      </c>
      <c r="T1995" s="176"/>
      <c r="U1995" s="176" t="s">
        <v>1294</v>
      </c>
      <c r="V1995" s="176"/>
      <c r="W1995" s="176"/>
      <c r="X1995" s="176"/>
      <c r="Y1995" s="176"/>
      <c r="Z1995" s="176"/>
      <c r="AA1995" s="176"/>
      <c r="AB1995" s="176"/>
      <c r="AC1995" s="176"/>
      <c r="AD1995" s="177" t="s">
        <v>5</v>
      </c>
    </row>
    <row r="1996" spans="1:30" s="178" customFormat="1" ht="33" customHeight="1" x14ac:dyDescent="0.3">
      <c r="A1996" s="167">
        <v>32</v>
      </c>
      <c r="B1996" s="168">
        <v>29</v>
      </c>
      <c r="C1996" s="169" t="str">
        <f t="shared" si="41"/>
        <v>32.29</v>
      </c>
      <c r="D1996" s="170" t="s">
        <v>911</v>
      </c>
      <c r="E1996" s="64" t="str">
        <f>IF(ISBLANK(D1996)=TRUE,"",VLOOKUP(D1996,Krav!$C:$F,4,FALSE))</f>
        <v>10.a.1.1.1.48 - Hvis SRBDato ikke er valgt: Regel R0064 deaktiveres</v>
      </c>
      <c r="F1996" s="171" t="s">
        <v>226</v>
      </c>
      <c r="G1996" s="171" t="s">
        <v>313</v>
      </c>
      <c r="H1996" s="172" t="s">
        <v>1404</v>
      </c>
      <c r="I1996" s="174" t="s">
        <v>410</v>
      </c>
      <c r="J1996" s="173" t="s">
        <v>222</v>
      </c>
      <c r="K1996" s="123" t="s">
        <v>222</v>
      </c>
      <c r="L1996" s="181" t="s">
        <v>4</v>
      </c>
      <c r="M1996" s="176" t="s">
        <v>129</v>
      </c>
      <c r="N1996" s="176" t="s">
        <v>131</v>
      </c>
      <c r="O1996" s="176" t="s">
        <v>1405</v>
      </c>
      <c r="P1996" s="176" t="s">
        <v>1403</v>
      </c>
      <c r="Q1996" s="176" t="s">
        <v>131</v>
      </c>
      <c r="R1996" s="176" t="s">
        <v>131</v>
      </c>
      <c r="S1996" s="176" t="s">
        <v>131</v>
      </c>
      <c r="T1996" s="176"/>
      <c r="U1996" s="176" t="s">
        <v>1295</v>
      </c>
      <c r="V1996" s="176"/>
      <c r="W1996" s="176"/>
      <c r="X1996" s="176"/>
      <c r="Y1996" s="176"/>
      <c r="Z1996" s="176"/>
      <c r="AA1996" s="176"/>
      <c r="AB1996" s="176"/>
      <c r="AC1996" s="176"/>
      <c r="AD1996" s="177" t="s">
        <v>5</v>
      </c>
    </row>
    <row r="1997" spans="1:30" s="178" customFormat="1" ht="33" customHeight="1" x14ac:dyDescent="0.3">
      <c r="A1997" s="167">
        <v>32</v>
      </c>
      <c r="B1997" s="168">
        <v>30</v>
      </c>
      <c r="C1997" s="169" t="str">
        <f t="shared" si="41"/>
        <v>32.30</v>
      </c>
      <c r="D1997" s="170" t="s">
        <v>913</v>
      </c>
      <c r="E1997" s="64" t="str">
        <f>IF(ISBLANK(D1997)=TRUE,"",VLOOKUP(D1997,Krav!$C:$F,4,FALSE))</f>
        <v>10.a.1.1.1.49 - Hvis SRBDato ikke er valgt: Regel R0065 deaktiveres</v>
      </c>
      <c r="F1997" s="171" t="s">
        <v>226</v>
      </c>
      <c r="G1997" s="171" t="s">
        <v>313</v>
      </c>
      <c r="H1997" s="172" t="s">
        <v>1404</v>
      </c>
      <c r="I1997" s="174" t="s">
        <v>410</v>
      </c>
      <c r="J1997" s="174" t="s">
        <v>222</v>
      </c>
      <c r="K1997" s="123" t="s">
        <v>222</v>
      </c>
      <c r="L1997" s="181" t="s">
        <v>4</v>
      </c>
      <c r="M1997" s="176" t="s">
        <v>129</v>
      </c>
      <c r="N1997" s="176" t="s">
        <v>131</v>
      </c>
      <c r="O1997" s="176" t="s">
        <v>1405</v>
      </c>
      <c r="P1997" s="176" t="s">
        <v>1403</v>
      </c>
      <c r="Q1997" s="176" t="s">
        <v>131</v>
      </c>
      <c r="R1997" s="176" t="s">
        <v>131</v>
      </c>
      <c r="S1997" s="176" t="s">
        <v>131</v>
      </c>
      <c r="T1997" s="176"/>
      <c r="U1997" s="176" t="s">
        <v>1296</v>
      </c>
      <c r="V1997" s="176"/>
      <c r="W1997" s="176"/>
      <c r="X1997" s="176"/>
      <c r="Y1997" s="176"/>
      <c r="Z1997" s="176"/>
      <c r="AA1997" s="176"/>
      <c r="AB1997" s="176"/>
      <c r="AC1997" s="176"/>
      <c r="AD1997" s="177" t="s">
        <v>5</v>
      </c>
    </row>
    <row r="1998" spans="1:30" s="178" customFormat="1" ht="33" customHeight="1" x14ac:dyDescent="0.3">
      <c r="A1998" s="167">
        <v>32</v>
      </c>
      <c r="B1998" s="168">
        <v>31</v>
      </c>
      <c r="C1998" s="169" t="str">
        <f t="shared" si="41"/>
        <v>32.31</v>
      </c>
      <c r="D1998" s="170" t="s">
        <v>915</v>
      </c>
      <c r="E1998" s="64" t="str">
        <f>IF(ISBLANK(D1998)=TRUE,"",VLOOKUP(D1998,Krav!$C:$F,4,FALSE))</f>
        <v>10.a.1.1.1.50 - Hvis SRBDato ikke er valgt: Regel R0066 deaktiveres</v>
      </c>
      <c r="F1998" s="171" t="s">
        <v>226</v>
      </c>
      <c r="G1998" s="171" t="s">
        <v>313</v>
      </c>
      <c r="H1998" s="172" t="s">
        <v>1404</v>
      </c>
      <c r="I1998" s="174" t="s">
        <v>410</v>
      </c>
      <c r="J1998" s="174" t="s">
        <v>222</v>
      </c>
      <c r="K1998" s="123" t="s">
        <v>222</v>
      </c>
      <c r="L1998" s="181" t="s">
        <v>4</v>
      </c>
      <c r="M1998" s="176" t="s">
        <v>129</v>
      </c>
      <c r="N1998" s="176" t="s">
        <v>131</v>
      </c>
      <c r="O1998" s="176" t="s">
        <v>1405</v>
      </c>
      <c r="P1998" s="176" t="s">
        <v>1403</v>
      </c>
      <c r="Q1998" s="176" t="s">
        <v>131</v>
      </c>
      <c r="R1998" s="176" t="s">
        <v>131</v>
      </c>
      <c r="S1998" s="176" t="s">
        <v>131</v>
      </c>
      <c r="T1998" s="176"/>
      <c r="U1998" s="176" t="s">
        <v>1297</v>
      </c>
      <c r="V1998" s="176"/>
      <c r="W1998" s="176"/>
      <c r="X1998" s="176"/>
      <c r="Y1998" s="176"/>
      <c r="Z1998" s="176"/>
      <c r="AA1998" s="176"/>
      <c r="AB1998" s="176"/>
      <c r="AC1998" s="176"/>
      <c r="AD1998" s="177" t="s">
        <v>5</v>
      </c>
    </row>
    <row r="1999" spans="1:30" s="178" customFormat="1" ht="33" customHeight="1" x14ac:dyDescent="0.3">
      <c r="A1999" s="167">
        <v>32</v>
      </c>
      <c r="B1999" s="168">
        <v>32</v>
      </c>
      <c r="C1999" s="169" t="str">
        <f t="shared" si="41"/>
        <v>32.32</v>
      </c>
      <c r="D1999" s="170" t="s">
        <v>925</v>
      </c>
      <c r="E1999" s="64" t="str">
        <f>IF(ISBLANK(D1999)=TRUE,"",VLOOKUP(D1999,Krav!$C:$F,4,FALSE))</f>
        <v>10.a.1.1.1.55 - Hvis SRBDato ikke er valgt: Regel R0071 deaktiveres</v>
      </c>
      <c r="F1999" s="171" t="s">
        <v>226</v>
      </c>
      <c r="G1999" s="171" t="s">
        <v>313</v>
      </c>
      <c r="H1999" s="172" t="s">
        <v>1404</v>
      </c>
      <c r="I1999" s="174" t="s">
        <v>410</v>
      </c>
      <c r="J1999" s="174" t="s">
        <v>222</v>
      </c>
      <c r="K1999" s="123" t="s">
        <v>222</v>
      </c>
      <c r="L1999" s="181" t="s">
        <v>4</v>
      </c>
      <c r="M1999" s="176" t="s">
        <v>129</v>
      </c>
      <c r="N1999" s="176" t="s">
        <v>131</v>
      </c>
      <c r="O1999" s="176" t="s">
        <v>1405</v>
      </c>
      <c r="P1999" s="176" t="s">
        <v>1403</v>
      </c>
      <c r="Q1999" s="176" t="s">
        <v>131</v>
      </c>
      <c r="R1999" s="176" t="s">
        <v>131</v>
      </c>
      <c r="S1999" s="176" t="s">
        <v>131</v>
      </c>
      <c r="T1999" s="176"/>
      <c r="U1999" s="176" t="s">
        <v>1298</v>
      </c>
      <c r="V1999" s="176"/>
      <c r="W1999" s="176"/>
      <c r="X1999" s="176"/>
      <c r="Y1999" s="176"/>
      <c r="Z1999" s="176"/>
      <c r="AA1999" s="176"/>
      <c r="AB1999" s="176"/>
      <c r="AC1999" s="176"/>
      <c r="AD1999" s="177" t="s">
        <v>5</v>
      </c>
    </row>
    <row r="2000" spans="1:30" s="178" customFormat="1" ht="33" customHeight="1" x14ac:dyDescent="0.3">
      <c r="A2000" s="167">
        <v>32</v>
      </c>
      <c r="B2000" s="168">
        <v>33</v>
      </c>
      <c r="C2000" s="169" t="str">
        <f t="shared" si="41"/>
        <v>32.33</v>
      </c>
      <c r="D2000" s="170" t="s">
        <v>1032</v>
      </c>
      <c r="E2000" s="64" t="str">
        <f>IF(ISBLANK(D2000)=TRUE,"",VLOOKUP(D2000,Krav!$C:$F,4,FALSE))</f>
        <v>10.a.1.1.1.110 - Der angives et ”JA” i populationen under ”Vil RIM beregne en tidligst mulig forældelsesdato?”</v>
      </c>
      <c r="F2000" s="171" t="s">
        <v>221</v>
      </c>
      <c r="G2000" s="171"/>
      <c r="H2000" s="172" t="s">
        <v>1406</v>
      </c>
      <c r="I2000" s="174" t="s">
        <v>240</v>
      </c>
      <c r="J2000" s="174" t="s">
        <v>222</v>
      </c>
      <c r="K2000" s="125" t="s">
        <v>222</v>
      </c>
      <c r="L2000" s="175" t="s">
        <v>3</v>
      </c>
      <c r="M2000" s="176" t="s">
        <v>129</v>
      </c>
      <c r="N2000" s="176" t="s">
        <v>131</v>
      </c>
      <c r="O2000" s="176" t="s">
        <v>376</v>
      </c>
      <c r="P2000" s="176" t="s">
        <v>376</v>
      </c>
      <c r="Q2000" s="176" t="s">
        <v>131</v>
      </c>
      <c r="R2000" s="176" t="s">
        <v>131</v>
      </c>
      <c r="S2000" s="176" t="s">
        <v>131</v>
      </c>
      <c r="T2000" s="176"/>
      <c r="U2000" s="176"/>
      <c r="V2000" s="176"/>
      <c r="W2000" s="176"/>
      <c r="X2000" s="176"/>
      <c r="Y2000" s="176"/>
      <c r="Z2000" s="176"/>
      <c r="AA2000" s="176"/>
      <c r="AB2000" s="176"/>
      <c r="AC2000" s="176"/>
      <c r="AD2000" s="177" t="s">
        <v>5</v>
      </c>
    </row>
    <row r="2001" spans="1:38" s="178" customFormat="1" ht="33" customHeight="1" x14ac:dyDescent="0.3">
      <c r="A2001" s="167">
        <v>32</v>
      </c>
      <c r="B2001" s="168">
        <v>34</v>
      </c>
      <c r="C2001" s="169" t="str">
        <f t="shared" si="41"/>
        <v>32.34</v>
      </c>
      <c r="D2001" s="170"/>
      <c r="E2001" s="64" t="str">
        <f>IF(ISBLANK(D2001)=TRUE,"",VLOOKUP(D2001,Krav!$C:$F,4,FALSE))</f>
        <v/>
      </c>
      <c r="F2001" s="171" t="s">
        <v>225</v>
      </c>
      <c r="G2001" s="179" t="s">
        <v>230</v>
      </c>
      <c r="H2001" s="179" t="s">
        <v>158</v>
      </c>
      <c r="I2001" s="174" t="s">
        <v>1407</v>
      </c>
      <c r="J2001" s="174" t="s">
        <v>222</v>
      </c>
      <c r="K2001" s="123" t="s">
        <v>222</v>
      </c>
      <c r="L2001" s="175" t="s">
        <v>3</v>
      </c>
      <c r="M2001" s="176" t="s">
        <v>129</v>
      </c>
      <c r="N2001" s="176" t="s">
        <v>131</v>
      </c>
      <c r="O2001" s="176" t="s">
        <v>376</v>
      </c>
      <c r="P2001" s="176" t="s">
        <v>376</v>
      </c>
      <c r="Q2001" s="176" t="s">
        <v>131</v>
      </c>
      <c r="R2001" s="176" t="s">
        <v>131</v>
      </c>
      <c r="S2001" s="176" t="s">
        <v>131</v>
      </c>
      <c r="T2001" s="176"/>
      <c r="U2001" s="176"/>
      <c r="V2001" s="176"/>
      <c r="W2001" s="176"/>
      <c r="X2001" s="176"/>
      <c r="Y2001" s="176"/>
      <c r="Z2001" s="176"/>
      <c r="AA2001" s="176"/>
      <c r="AB2001" s="176"/>
      <c r="AC2001" s="176"/>
      <c r="AD2001" s="177" t="s">
        <v>5</v>
      </c>
    </row>
    <row r="2002" spans="1:38" s="178" customFormat="1" ht="33" customHeight="1" x14ac:dyDescent="0.3">
      <c r="A2002" s="167">
        <v>32</v>
      </c>
      <c r="B2002" s="168">
        <v>35</v>
      </c>
      <c r="C2002" s="169" t="str">
        <f t="shared" si="41"/>
        <v>32.35</v>
      </c>
      <c r="D2002" s="170"/>
      <c r="E2002" s="64" t="str">
        <f>IF(ISBLANK(D2002)=TRUE,"",VLOOKUP(D2002,Krav!$C:$F,4,FALSE))</f>
        <v/>
      </c>
      <c r="F2002" s="171" t="s">
        <v>225</v>
      </c>
      <c r="G2002" s="179" t="s">
        <v>1388</v>
      </c>
      <c r="H2002" s="179" t="s">
        <v>158</v>
      </c>
      <c r="I2002" s="174" t="s">
        <v>376</v>
      </c>
      <c r="J2002" s="174" t="s">
        <v>222</v>
      </c>
      <c r="K2002" s="123" t="s">
        <v>222</v>
      </c>
      <c r="L2002" s="175" t="s">
        <v>3</v>
      </c>
      <c r="M2002" s="176" t="s">
        <v>129</v>
      </c>
      <c r="N2002" s="176" t="s">
        <v>131</v>
      </c>
      <c r="O2002" s="176" t="s">
        <v>376</v>
      </c>
      <c r="P2002" s="176" t="s">
        <v>376</v>
      </c>
      <c r="Q2002" s="176" t="s">
        <v>131</v>
      </c>
      <c r="R2002" s="176" t="s">
        <v>131</v>
      </c>
      <c r="S2002" s="176" t="s">
        <v>131</v>
      </c>
      <c r="T2002" s="176"/>
      <c r="U2002" s="176"/>
      <c r="V2002" s="176"/>
      <c r="W2002" s="176"/>
      <c r="X2002" s="176"/>
      <c r="Y2002" s="176"/>
      <c r="Z2002" s="176"/>
      <c r="AA2002" s="176"/>
      <c r="AB2002" s="176"/>
      <c r="AC2002" s="176"/>
      <c r="AD2002" s="177" t="s">
        <v>5</v>
      </c>
    </row>
    <row r="2003" spans="1:38" s="178" customFormat="1" ht="33" customHeight="1" x14ac:dyDescent="0.3">
      <c r="A2003" s="167">
        <v>32</v>
      </c>
      <c r="B2003" s="168">
        <v>36</v>
      </c>
      <c r="C2003" s="169" t="str">
        <f t="shared" si="41"/>
        <v>32.36</v>
      </c>
      <c r="D2003" s="170"/>
      <c r="E2003" s="64" t="str">
        <f>IF(ISBLANK(D2003)=TRUE,"",VLOOKUP(D2003,Krav!$C:$F,4,FALSE))</f>
        <v/>
      </c>
      <c r="F2003" s="171" t="s">
        <v>225</v>
      </c>
      <c r="G2003" s="179" t="s">
        <v>1389</v>
      </c>
      <c r="H2003" s="179" t="s">
        <v>158</v>
      </c>
      <c r="I2003" s="174" t="s">
        <v>376</v>
      </c>
      <c r="J2003" s="174" t="s">
        <v>222</v>
      </c>
      <c r="K2003" s="123" t="s">
        <v>222</v>
      </c>
      <c r="L2003" s="175" t="s">
        <v>3</v>
      </c>
      <c r="M2003" s="176" t="s">
        <v>129</v>
      </c>
      <c r="N2003" s="176" t="s">
        <v>131</v>
      </c>
      <c r="O2003" s="176" t="s">
        <v>376</v>
      </c>
      <c r="P2003" s="176" t="s">
        <v>376</v>
      </c>
      <c r="Q2003" s="176" t="s">
        <v>131</v>
      </c>
      <c r="R2003" s="176" t="s">
        <v>131</v>
      </c>
      <c r="S2003" s="176" t="s">
        <v>131</v>
      </c>
      <c r="T2003" s="176"/>
      <c r="U2003" s="176"/>
      <c r="V2003" s="176"/>
      <c r="W2003" s="176"/>
      <c r="X2003" s="176"/>
      <c r="Y2003" s="176"/>
      <c r="Z2003" s="176"/>
      <c r="AA2003" s="176"/>
      <c r="AB2003" s="176"/>
      <c r="AC2003" s="176"/>
      <c r="AD2003" s="177" t="s">
        <v>5</v>
      </c>
    </row>
    <row r="2004" spans="1:38" s="178" customFormat="1" ht="33" customHeight="1" x14ac:dyDescent="0.3">
      <c r="A2004" s="167">
        <v>32</v>
      </c>
      <c r="B2004" s="168">
        <v>37</v>
      </c>
      <c r="C2004" s="169" t="str">
        <f t="shared" si="41"/>
        <v>32.37</v>
      </c>
      <c r="D2004" s="170" t="s">
        <v>819</v>
      </c>
      <c r="E2004" s="64" t="str">
        <f>IF(ISBLANK(D2004)=TRUE,"",VLOOKUP(D2004,Krav!$C:$F,4,FALSE))</f>
        <v>10.a.1.1.29 - Såfremt brugeren angiver en frist skal brugeren ledes til spørgsmål 10.a.1.1.1</v>
      </c>
      <c r="F2004" s="171" t="s">
        <v>143</v>
      </c>
      <c r="G2004" s="171"/>
      <c r="H2004" s="183" t="s">
        <v>1408</v>
      </c>
      <c r="I2004" s="174" t="s">
        <v>468</v>
      </c>
      <c r="J2004" s="174" t="s">
        <v>222</v>
      </c>
      <c r="K2004" s="123" t="s">
        <v>222</v>
      </c>
      <c r="L2004" s="175" t="s">
        <v>3</v>
      </c>
      <c r="M2004" s="176" t="s">
        <v>129</v>
      </c>
      <c r="N2004" s="176" t="s">
        <v>131</v>
      </c>
      <c r="O2004" s="176" t="s">
        <v>376</v>
      </c>
      <c r="P2004" s="176" t="s">
        <v>376</v>
      </c>
      <c r="Q2004" s="176" t="s">
        <v>131</v>
      </c>
      <c r="R2004" s="176" t="s">
        <v>131</v>
      </c>
      <c r="S2004" s="176" t="s">
        <v>131</v>
      </c>
      <c r="T2004" s="176"/>
      <c r="U2004" s="176"/>
      <c r="V2004" s="176"/>
      <c r="W2004" s="176"/>
      <c r="X2004" s="176"/>
      <c r="Y2004" s="176"/>
      <c r="Z2004" s="176"/>
      <c r="AA2004" s="176"/>
      <c r="AB2004" s="176"/>
      <c r="AC2004" s="176"/>
      <c r="AD2004" s="177" t="s">
        <v>5</v>
      </c>
    </row>
    <row r="2005" spans="1:38" s="178" customFormat="1" ht="33" customHeight="1" x14ac:dyDescent="0.3">
      <c r="A2005" s="167">
        <v>32</v>
      </c>
      <c r="B2005" s="168">
        <v>38</v>
      </c>
      <c r="C2005" s="169" t="str">
        <f t="shared" si="41"/>
        <v>32.38</v>
      </c>
      <c r="D2005" s="170" t="s">
        <v>1033</v>
      </c>
      <c r="E2005" s="64" t="str">
        <f>IF(ISBLANK(D2005)=TRUE,"",VLOOKUP(D2005,Krav!$C:$F,4,FALSE))</f>
        <v>10.a.1.1.2.1 - Hvis der er svaret "I visse tilfælde" i spørgsmål 9 og hvis der er svaret "Ja" i enten 9.b.1, 9.b.2.1 eller 9.b.2.2.1 skal brugeren ledes til spørgsmål 11</v>
      </c>
      <c r="F2005" s="171" t="s">
        <v>143</v>
      </c>
      <c r="G2005" s="184"/>
      <c r="H2005" s="179" t="s">
        <v>1409</v>
      </c>
      <c r="I2005" s="174" t="s">
        <v>555</v>
      </c>
      <c r="J2005" s="174" t="s">
        <v>222</v>
      </c>
      <c r="K2005" s="125" t="s">
        <v>222</v>
      </c>
      <c r="L2005" s="181" t="s">
        <v>3</v>
      </c>
      <c r="M2005" s="176" t="s">
        <v>129</v>
      </c>
      <c r="N2005" s="176" t="s">
        <v>131</v>
      </c>
      <c r="O2005" s="176" t="s">
        <v>376</v>
      </c>
      <c r="P2005" s="176" t="s">
        <v>376</v>
      </c>
      <c r="Q2005" s="176" t="s">
        <v>131</v>
      </c>
      <c r="R2005" s="176" t="s">
        <v>131</v>
      </c>
      <c r="S2005" s="176" t="s">
        <v>131</v>
      </c>
      <c r="T2005" s="185"/>
      <c r="U2005" s="176"/>
      <c r="V2005" s="176"/>
      <c r="W2005" s="176"/>
      <c r="X2005" s="176"/>
      <c r="Y2005" s="176"/>
      <c r="Z2005" s="176" t="s">
        <v>129</v>
      </c>
      <c r="AA2005" s="176"/>
      <c r="AB2005" s="176"/>
      <c r="AC2005" s="176"/>
      <c r="AD2005" s="177" t="s">
        <v>5</v>
      </c>
    </row>
    <row r="2006" spans="1:38" s="178" customFormat="1" ht="33" customHeight="1" x14ac:dyDescent="0.3">
      <c r="A2006" s="167">
        <v>32</v>
      </c>
      <c r="B2006" s="168">
        <v>39</v>
      </c>
      <c r="C2006" s="169" t="str">
        <f t="shared" si="41"/>
        <v>32.39</v>
      </c>
      <c r="D2006" s="170" t="s">
        <v>1033</v>
      </c>
      <c r="E2006" s="64" t="str">
        <f>IF(ISBLANK(D2006)=TRUE,"",VLOOKUP(D2006,Krav!$C:$F,4,FALSE))</f>
        <v>10.a.1.1.2.1 - Hvis der er svaret "I visse tilfælde" i spørgsmål 9 og hvis der er svaret "Ja" i enten 9.b.1, 9.b.2.1 eller 9.b.2.2.1 skal brugeren ledes til spørgsmål 11</v>
      </c>
      <c r="F2006" s="171" t="s">
        <v>143</v>
      </c>
      <c r="G2006" s="171"/>
      <c r="H2006" s="179" t="s">
        <v>1410</v>
      </c>
      <c r="I2006" s="174" t="s">
        <v>560</v>
      </c>
      <c r="J2006" s="180" t="s">
        <v>222</v>
      </c>
      <c r="K2006" s="125" t="s">
        <v>222</v>
      </c>
      <c r="L2006" s="175" t="s">
        <v>3</v>
      </c>
      <c r="M2006" s="176" t="s">
        <v>129</v>
      </c>
      <c r="N2006" s="176" t="s">
        <v>131</v>
      </c>
      <c r="O2006" s="176" t="s">
        <v>376</v>
      </c>
      <c r="P2006" s="176" t="s">
        <v>376</v>
      </c>
      <c r="Q2006" s="176" t="s">
        <v>131</v>
      </c>
      <c r="R2006" s="176" t="s">
        <v>131</v>
      </c>
      <c r="S2006" s="176" t="s">
        <v>131</v>
      </c>
      <c r="T2006" s="185"/>
      <c r="U2006" s="176"/>
      <c r="V2006" s="176"/>
      <c r="W2006" s="176"/>
      <c r="X2006" s="176"/>
      <c r="Y2006" s="176"/>
      <c r="Z2006" s="176"/>
      <c r="AA2006" s="176" t="s">
        <v>129</v>
      </c>
      <c r="AB2006" s="176"/>
      <c r="AC2006" s="176"/>
      <c r="AD2006" s="177" t="s">
        <v>5</v>
      </c>
    </row>
    <row r="2007" spans="1:38" s="178" customFormat="1" ht="33" customHeight="1" x14ac:dyDescent="0.3">
      <c r="A2007" s="167">
        <v>32</v>
      </c>
      <c r="B2007" s="168">
        <v>40</v>
      </c>
      <c r="C2007" s="169" t="str">
        <f t="shared" si="41"/>
        <v>32.40</v>
      </c>
      <c r="D2007" s="170" t="s">
        <v>1033</v>
      </c>
      <c r="E2007" s="64" t="str">
        <f>IF(ISBLANK(D2007)=TRUE,"",VLOOKUP(D2007,Krav!$C:$F,4,FALSE))</f>
        <v>10.a.1.1.2.1 - Hvis der er svaret "I visse tilfælde" i spørgsmål 9 og hvis der er svaret "Ja" i enten 9.b.1, 9.b.2.1 eller 9.b.2.2.1 skal brugeren ledes til spørgsmål 11</v>
      </c>
      <c r="F2007" s="171" t="s">
        <v>143</v>
      </c>
      <c r="G2007" s="171"/>
      <c r="H2007" s="179" t="s">
        <v>1411</v>
      </c>
      <c r="I2007" s="174" t="s">
        <v>565</v>
      </c>
      <c r="J2007" s="174" t="s">
        <v>222</v>
      </c>
      <c r="K2007" s="125" t="s">
        <v>222</v>
      </c>
      <c r="L2007" s="175" t="s">
        <v>3</v>
      </c>
      <c r="M2007" s="176" t="s">
        <v>129</v>
      </c>
      <c r="N2007" s="176" t="s">
        <v>131</v>
      </c>
      <c r="O2007" s="176" t="s">
        <v>376</v>
      </c>
      <c r="P2007" s="176" t="s">
        <v>376</v>
      </c>
      <c r="Q2007" s="176" t="s">
        <v>131</v>
      </c>
      <c r="R2007" s="176" t="s">
        <v>131</v>
      </c>
      <c r="S2007" s="176" t="s">
        <v>131</v>
      </c>
      <c r="T2007" s="176"/>
      <c r="U2007" s="176"/>
      <c r="V2007" s="176"/>
      <c r="W2007" s="176"/>
      <c r="X2007" s="176"/>
      <c r="Y2007" s="176"/>
      <c r="Z2007" s="176"/>
      <c r="AA2007" s="176"/>
      <c r="AB2007" s="176" t="s">
        <v>129</v>
      </c>
      <c r="AC2007" s="176"/>
      <c r="AD2007" s="177" t="s">
        <v>5</v>
      </c>
    </row>
    <row r="2008" spans="1:38" s="178" customFormat="1" ht="33" customHeight="1" x14ac:dyDescent="0.3">
      <c r="A2008" s="167">
        <v>32</v>
      </c>
      <c r="B2008" s="168">
        <v>41</v>
      </c>
      <c r="C2008" s="169" t="str">
        <f t="shared" si="41"/>
        <v>32.41</v>
      </c>
      <c r="D2008" s="170"/>
      <c r="E2008" s="64" t="str">
        <f>IF(ISBLANK(D2008)=TRUE,"",VLOOKUP(D2008,Krav!$C:$F,4,FALSE))</f>
        <v/>
      </c>
      <c r="F2008" s="171" t="s">
        <v>143</v>
      </c>
      <c r="G2008" s="171"/>
      <c r="H2008" s="172" t="s">
        <v>1355</v>
      </c>
      <c r="I2008" s="174" t="s">
        <v>555</v>
      </c>
      <c r="J2008" s="180" t="s">
        <v>222</v>
      </c>
      <c r="K2008" s="125" t="s">
        <v>222</v>
      </c>
      <c r="L2008" s="181" t="s">
        <v>3</v>
      </c>
      <c r="M2008" s="176" t="s">
        <v>129</v>
      </c>
      <c r="N2008" s="176" t="s">
        <v>131</v>
      </c>
      <c r="O2008" s="176" t="s">
        <v>376</v>
      </c>
      <c r="P2008" s="176" t="s">
        <v>376</v>
      </c>
      <c r="Q2008" s="176" t="s">
        <v>131</v>
      </c>
      <c r="R2008" s="176" t="s">
        <v>131</v>
      </c>
      <c r="S2008" s="176" t="s">
        <v>131</v>
      </c>
      <c r="T2008" s="176"/>
      <c r="U2008" s="176"/>
      <c r="V2008" s="176"/>
      <c r="W2008" s="176"/>
      <c r="X2008" s="176"/>
      <c r="Y2008" s="176"/>
      <c r="Z2008" s="176" t="s">
        <v>129</v>
      </c>
      <c r="AA2008" s="176" t="s">
        <v>129</v>
      </c>
      <c r="AB2008" s="176" t="s">
        <v>129</v>
      </c>
      <c r="AC2008" s="176"/>
      <c r="AD2008" s="177" t="s">
        <v>5</v>
      </c>
    </row>
    <row r="2009" spans="1:38" s="178" customFormat="1" ht="33" customHeight="1" x14ac:dyDescent="0.3">
      <c r="A2009" s="167">
        <v>32</v>
      </c>
      <c r="B2009" s="168">
        <v>42</v>
      </c>
      <c r="C2009" s="169" t="str">
        <f t="shared" si="41"/>
        <v>32.42</v>
      </c>
      <c r="D2009" s="170"/>
      <c r="E2009" s="64" t="str">
        <f>IF(ISBLANK(D2009)=TRUE,"",VLOOKUP(D2009,Krav!$C:$F,4,FALSE))</f>
        <v/>
      </c>
      <c r="F2009" s="171" t="s">
        <v>143</v>
      </c>
      <c r="G2009" s="171"/>
      <c r="H2009" s="179" t="s">
        <v>1356</v>
      </c>
      <c r="I2009" s="174" t="s">
        <v>560</v>
      </c>
      <c r="J2009" s="180" t="s">
        <v>222</v>
      </c>
      <c r="K2009" s="125" t="s">
        <v>222</v>
      </c>
      <c r="L2009" s="181" t="s">
        <v>3</v>
      </c>
      <c r="M2009" s="176" t="s">
        <v>129</v>
      </c>
      <c r="N2009" s="176" t="s">
        <v>131</v>
      </c>
      <c r="O2009" s="176" t="s">
        <v>376</v>
      </c>
      <c r="P2009" s="176" t="s">
        <v>376</v>
      </c>
      <c r="Q2009" s="176" t="s">
        <v>131</v>
      </c>
      <c r="R2009" s="176" t="s">
        <v>131</v>
      </c>
      <c r="S2009" s="176" t="s">
        <v>131</v>
      </c>
      <c r="T2009" s="176"/>
      <c r="U2009" s="176"/>
      <c r="V2009" s="176"/>
      <c r="W2009" s="176"/>
      <c r="X2009" s="176"/>
      <c r="Y2009" s="176"/>
      <c r="Z2009" s="176"/>
      <c r="AA2009" s="176" t="s">
        <v>129</v>
      </c>
      <c r="AB2009" s="176" t="s">
        <v>129</v>
      </c>
      <c r="AC2009" s="176"/>
      <c r="AD2009" s="177" t="s">
        <v>5</v>
      </c>
    </row>
    <row r="2010" spans="1:38" s="178" customFormat="1" ht="33" customHeight="1" x14ac:dyDescent="0.3">
      <c r="A2010" s="167">
        <v>32</v>
      </c>
      <c r="B2010" s="168">
        <v>43</v>
      </c>
      <c r="C2010" s="169" t="str">
        <f t="shared" si="41"/>
        <v>32.43</v>
      </c>
      <c r="D2010" s="170"/>
      <c r="E2010" s="64" t="str">
        <f>IF(ISBLANK(D2010)=TRUE,"",VLOOKUP(D2010,Krav!$C:$F,4,FALSE))</f>
        <v/>
      </c>
      <c r="F2010" s="186" t="s">
        <v>185</v>
      </c>
      <c r="G2010" s="186"/>
      <c r="H2010" s="172" t="s">
        <v>351</v>
      </c>
      <c r="I2010" s="174" t="s">
        <v>305</v>
      </c>
      <c r="J2010" s="173" t="s">
        <v>222</v>
      </c>
      <c r="K2010" s="123" t="s">
        <v>222</v>
      </c>
      <c r="L2010" s="175" t="s">
        <v>3</v>
      </c>
      <c r="M2010" s="176" t="s">
        <v>129</v>
      </c>
      <c r="N2010" s="176" t="s">
        <v>131</v>
      </c>
      <c r="O2010" s="176" t="s">
        <v>376</v>
      </c>
      <c r="P2010" s="176" t="s">
        <v>376</v>
      </c>
      <c r="Q2010" s="176" t="s">
        <v>131</v>
      </c>
      <c r="R2010" s="176" t="s">
        <v>131</v>
      </c>
      <c r="S2010" s="176" t="s">
        <v>131</v>
      </c>
      <c r="T2010" s="176"/>
      <c r="U2010" s="176"/>
      <c r="V2010" s="176"/>
      <c r="W2010" s="176"/>
      <c r="X2010" s="176"/>
      <c r="Y2010" s="176"/>
      <c r="Z2010" s="176"/>
      <c r="AA2010" s="176"/>
      <c r="AB2010" s="176"/>
      <c r="AC2010" s="176"/>
      <c r="AD2010" s="177" t="s">
        <v>5</v>
      </c>
    </row>
    <row r="2011" spans="1:38" s="178" customFormat="1" ht="33" customHeight="1" x14ac:dyDescent="0.3">
      <c r="A2011" s="167">
        <v>32</v>
      </c>
      <c r="B2011" s="168">
        <v>44</v>
      </c>
      <c r="C2011" s="169" t="str">
        <f t="shared" si="41"/>
        <v>32.44</v>
      </c>
      <c r="D2011" s="170" t="s">
        <v>783</v>
      </c>
      <c r="E2011" s="64" t="str">
        <f>IF(ISBLANK(D2011)=TRUE,"",VLOOKUP(D2011,Krav!$C:$F,4,FALSE))</f>
        <v>10.a.1.19 - Såfremt brugeren angiver antal dage skal brugeren ledes til spørgsmål 10.a.1.1</v>
      </c>
      <c r="F2011" s="186" t="s">
        <v>174</v>
      </c>
      <c r="G2011" s="184"/>
      <c r="H2011" s="172" t="s">
        <v>1413</v>
      </c>
      <c r="I2011" s="174" t="s">
        <v>1414</v>
      </c>
      <c r="J2011" s="174" t="s">
        <v>222</v>
      </c>
      <c r="K2011" s="125" t="s">
        <v>222</v>
      </c>
      <c r="L2011" s="175" t="s">
        <v>4</v>
      </c>
      <c r="M2011" s="176" t="s">
        <v>129</v>
      </c>
      <c r="N2011" s="176" t="s">
        <v>131</v>
      </c>
      <c r="O2011" s="187" t="s">
        <v>96</v>
      </c>
      <c r="P2011" s="176" t="s">
        <v>376</v>
      </c>
      <c r="Q2011" s="176" t="s">
        <v>131</v>
      </c>
      <c r="R2011" s="176" t="s">
        <v>131</v>
      </c>
      <c r="S2011" s="176" t="s">
        <v>131</v>
      </c>
      <c r="T2011" s="176"/>
      <c r="U2011" s="176"/>
      <c r="V2011" s="176"/>
      <c r="W2011" s="176"/>
      <c r="X2011" s="176"/>
      <c r="Y2011" s="176"/>
      <c r="Z2011" s="176"/>
      <c r="AA2011" s="176"/>
      <c r="AB2011" s="176"/>
      <c r="AC2011" s="176"/>
      <c r="AD2011" s="177" t="s">
        <v>5</v>
      </c>
    </row>
    <row r="2012" spans="1:38" s="178" customFormat="1" ht="33" customHeight="1" x14ac:dyDescent="0.3">
      <c r="A2012" s="167">
        <v>32</v>
      </c>
      <c r="B2012" s="168">
        <v>45</v>
      </c>
      <c r="C2012" s="169" t="str">
        <f t="shared" si="41"/>
        <v>32.45</v>
      </c>
      <c r="D2012" s="170" t="s">
        <v>783</v>
      </c>
      <c r="E2012" s="64" t="str">
        <f>IF(ISBLANK(D2012)=TRUE,"",VLOOKUP(D2012,Krav!$C:$F,4,FALSE))</f>
        <v>10.a.1.19 - Såfremt brugeren angiver antal dage skal brugeren ledes til spørgsmål 10.a.1.1</v>
      </c>
      <c r="F2012" s="186" t="s">
        <v>418</v>
      </c>
      <c r="G2012" s="186" t="s">
        <v>419</v>
      </c>
      <c r="H2012" s="172" t="s">
        <v>1415</v>
      </c>
      <c r="I2012" s="174" t="s">
        <v>129</v>
      </c>
      <c r="J2012" s="173" t="s">
        <v>222</v>
      </c>
      <c r="K2012" s="123" t="s">
        <v>222</v>
      </c>
      <c r="L2012" s="175" t="s">
        <v>4</v>
      </c>
      <c r="M2012" s="176" t="s">
        <v>129</v>
      </c>
      <c r="N2012" s="176" t="s">
        <v>131</v>
      </c>
      <c r="O2012" s="187" t="s">
        <v>96</v>
      </c>
      <c r="P2012" s="176" t="s">
        <v>376</v>
      </c>
      <c r="Q2012" s="176" t="s">
        <v>131</v>
      </c>
      <c r="R2012" s="176" t="s">
        <v>131</v>
      </c>
      <c r="S2012" s="176" t="s">
        <v>131</v>
      </c>
      <c r="T2012" s="176"/>
      <c r="U2012" s="176"/>
      <c r="V2012" s="176"/>
      <c r="W2012" s="176"/>
      <c r="X2012" s="176"/>
      <c r="Y2012" s="176"/>
      <c r="Z2012" s="176"/>
      <c r="AA2012" s="176"/>
      <c r="AB2012" s="176"/>
      <c r="AC2012" s="176"/>
      <c r="AD2012" s="177" t="s">
        <v>5</v>
      </c>
    </row>
    <row r="2013" spans="1:38" s="178" customFormat="1" ht="33" customHeight="1" x14ac:dyDescent="0.3">
      <c r="A2013" s="167">
        <v>32</v>
      </c>
      <c r="B2013" s="168">
        <v>46</v>
      </c>
      <c r="C2013" s="169" t="str">
        <f t="shared" si="41"/>
        <v>32.46</v>
      </c>
      <c r="D2013" s="170" t="s">
        <v>819</v>
      </c>
      <c r="E2013" s="64" t="str">
        <f>IF(ISBLANK(D2013)=TRUE,"",VLOOKUP(D2013,Krav!$C:$F,4,FALSE))</f>
        <v>10.a.1.1.29 - Såfremt brugeren angiver en frist skal brugeren ledes til spørgsmål 10.a.1.1.1</v>
      </c>
      <c r="F2013" s="186" t="s">
        <v>174</v>
      </c>
      <c r="G2013" s="184"/>
      <c r="H2013" s="172" t="s">
        <v>1413</v>
      </c>
      <c r="I2013" s="174" t="s">
        <v>1414</v>
      </c>
      <c r="J2013" s="174" t="s">
        <v>222</v>
      </c>
      <c r="K2013" s="125" t="s">
        <v>222</v>
      </c>
      <c r="L2013" s="175" t="s">
        <v>4</v>
      </c>
      <c r="M2013" s="176" t="s">
        <v>129</v>
      </c>
      <c r="N2013" s="176" t="s">
        <v>131</v>
      </c>
      <c r="O2013" s="176" t="s">
        <v>376</v>
      </c>
      <c r="P2013" s="187" t="s">
        <v>96</v>
      </c>
      <c r="Q2013" s="176" t="s">
        <v>131</v>
      </c>
      <c r="R2013" s="176" t="s">
        <v>131</v>
      </c>
      <c r="S2013" s="176" t="s">
        <v>131</v>
      </c>
      <c r="T2013" s="176"/>
      <c r="U2013" s="176"/>
      <c r="V2013" s="176"/>
      <c r="W2013" s="176"/>
      <c r="X2013" s="176"/>
      <c r="Y2013" s="176"/>
      <c r="Z2013" s="176"/>
      <c r="AA2013" s="176"/>
      <c r="AB2013" s="176"/>
      <c r="AC2013" s="176"/>
      <c r="AD2013" s="177" t="s">
        <v>5</v>
      </c>
      <c r="AE2013" s="188"/>
      <c r="AF2013" s="188"/>
      <c r="AG2013" s="188"/>
      <c r="AH2013" s="188"/>
      <c r="AI2013" s="188"/>
      <c r="AJ2013" s="188"/>
      <c r="AK2013" s="188"/>
      <c r="AL2013" s="188"/>
    </row>
    <row r="2014" spans="1:38" s="178" customFormat="1" ht="33" customHeight="1" x14ac:dyDescent="0.3">
      <c r="A2014" s="167">
        <v>32</v>
      </c>
      <c r="B2014" s="168">
        <v>47</v>
      </c>
      <c r="C2014" s="169" t="str">
        <f t="shared" si="41"/>
        <v>32.47</v>
      </c>
      <c r="D2014" s="170" t="s">
        <v>819</v>
      </c>
      <c r="E2014" s="64" t="str">
        <f>IF(ISBLANK(D2014)=TRUE,"",VLOOKUP(D2014,Krav!$C:$F,4,FALSE))</f>
        <v>10.a.1.1.29 - Såfremt brugeren angiver en frist skal brugeren ledes til spørgsmål 10.a.1.1.1</v>
      </c>
      <c r="F2014" s="186" t="s">
        <v>418</v>
      </c>
      <c r="G2014" s="186" t="s">
        <v>419</v>
      </c>
      <c r="H2014" s="172" t="s">
        <v>1415</v>
      </c>
      <c r="I2014" s="174" t="s">
        <v>129</v>
      </c>
      <c r="J2014" s="174" t="s">
        <v>222</v>
      </c>
      <c r="K2014" s="123" t="s">
        <v>222</v>
      </c>
      <c r="L2014" s="175" t="s">
        <v>4</v>
      </c>
      <c r="M2014" s="176" t="s">
        <v>129</v>
      </c>
      <c r="N2014" s="176" t="s">
        <v>131</v>
      </c>
      <c r="O2014" s="176" t="s">
        <v>376</v>
      </c>
      <c r="P2014" s="187" t="s">
        <v>96</v>
      </c>
      <c r="Q2014" s="176" t="s">
        <v>131</v>
      </c>
      <c r="R2014" s="176" t="s">
        <v>131</v>
      </c>
      <c r="S2014" s="176" t="s">
        <v>131</v>
      </c>
      <c r="T2014" s="176"/>
      <c r="U2014" s="176"/>
      <c r="V2014" s="176"/>
      <c r="W2014" s="176"/>
      <c r="X2014" s="176"/>
      <c r="Y2014" s="176"/>
      <c r="Z2014" s="176"/>
      <c r="AA2014" s="176"/>
      <c r="AB2014" s="176"/>
      <c r="AC2014" s="176"/>
      <c r="AD2014" s="177" t="s">
        <v>5</v>
      </c>
      <c r="AE2014" s="188"/>
      <c r="AF2014" s="188"/>
      <c r="AG2014" s="188"/>
      <c r="AH2014" s="188"/>
      <c r="AI2014" s="188"/>
      <c r="AJ2014" s="188"/>
      <c r="AK2014" s="188"/>
      <c r="AL2014" s="188"/>
    </row>
    <row r="2015" spans="1:38" s="178" customFormat="1" ht="33" customHeight="1" x14ac:dyDescent="0.3">
      <c r="A2015" s="167">
        <v>32</v>
      </c>
      <c r="B2015" s="168">
        <v>48</v>
      </c>
      <c r="C2015" s="169" t="str">
        <f t="shared" si="41"/>
        <v>32.48</v>
      </c>
      <c r="D2015" s="170" t="s">
        <v>783</v>
      </c>
      <c r="E2015" s="64" t="str">
        <f>IF(ISBLANK(D2015)=TRUE,"",VLOOKUP(D2015,Krav!$C:$F,4,FALSE))</f>
        <v>10.a.1.19 - Såfremt brugeren angiver antal dage skal brugeren ledes til spørgsmål 10.a.1.1</v>
      </c>
      <c r="F2015" s="186" t="s">
        <v>174</v>
      </c>
      <c r="G2015" s="184"/>
      <c r="H2015" s="172" t="s">
        <v>1416</v>
      </c>
      <c r="I2015" s="174" t="s">
        <v>1414</v>
      </c>
      <c r="J2015" s="174" t="s">
        <v>222</v>
      </c>
      <c r="K2015" s="125" t="s">
        <v>222</v>
      </c>
      <c r="L2015" s="175" t="s">
        <v>4</v>
      </c>
      <c r="M2015" s="176" t="s">
        <v>129</v>
      </c>
      <c r="N2015" s="176" t="s">
        <v>131</v>
      </c>
      <c r="O2015" s="187" t="s">
        <v>97</v>
      </c>
      <c r="P2015" s="176" t="s">
        <v>376</v>
      </c>
      <c r="Q2015" s="176" t="s">
        <v>131</v>
      </c>
      <c r="R2015" s="176" t="s">
        <v>131</v>
      </c>
      <c r="S2015" s="176" t="s">
        <v>131</v>
      </c>
      <c r="T2015" s="176"/>
      <c r="U2015" s="176"/>
      <c r="V2015" s="176"/>
      <c r="W2015" s="176"/>
      <c r="X2015" s="176"/>
      <c r="Y2015" s="176"/>
      <c r="Z2015" s="176"/>
      <c r="AA2015" s="176"/>
      <c r="AB2015" s="176"/>
      <c r="AC2015" s="176"/>
      <c r="AD2015" s="177" t="s">
        <v>5</v>
      </c>
      <c r="AE2015" s="188"/>
      <c r="AF2015" s="188"/>
      <c r="AG2015" s="188"/>
      <c r="AH2015" s="188"/>
      <c r="AI2015" s="188"/>
      <c r="AJ2015" s="188"/>
      <c r="AK2015" s="188"/>
      <c r="AL2015" s="188"/>
    </row>
    <row r="2016" spans="1:38" s="178" customFormat="1" ht="33" customHeight="1" x14ac:dyDescent="0.3">
      <c r="A2016" s="167">
        <v>32</v>
      </c>
      <c r="B2016" s="168">
        <v>49</v>
      </c>
      <c r="C2016" s="169" t="str">
        <f t="shared" si="41"/>
        <v>32.49</v>
      </c>
      <c r="D2016" s="170" t="s">
        <v>783</v>
      </c>
      <c r="E2016" s="64" t="str">
        <f>IF(ISBLANK(D2016)=TRUE,"",VLOOKUP(D2016,Krav!$C:$F,4,FALSE))</f>
        <v>10.a.1.19 - Såfremt brugeren angiver antal dage skal brugeren ledes til spørgsmål 10.a.1.1</v>
      </c>
      <c r="F2016" s="186" t="s">
        <v>418</v>
      </c>
      <c r="G2016" s="186" t="s">
        <v>419</v>
      </c>
      <c r="H2016" s="172" t="s">
        <v>1417</v>
      </c>
      <c r="I2016" s="174" t="s">
        <v>129</v>
      </c>
      <c r="J2016" s="174" t="s">
        <v>222</v>
      </c>
      <c r="K2016" s="123" t="s">
        <v>222</v>
      </c>
      <c r="L2016" s="175" t="s">
        <v>4</v>
      </c>
      <c r="M2016" s="176" t="s">
        <v>129</v>
      </c>
      <c r="N2016" s="176" t="s">
        <v>131</v>
      </c>
      <c r="O2016" s="187" t="s">
        <v>97</v>
      </c>
      <c r="P2016" s="176" t="s">
        <v>376</v>
      </c>
      <c r="Q2016" s="176" t="s">
        <v>131</v>
      </c>
      <c r="R2016" s="176" t="s">
        <v>131</v>
      </c>
      <c r="S2016" s="176" t="s">
        <v>131</v>
      </c>
      <c r="T2016" s="176"/>
      <c r="U2016" s="176"/>
      <c r="V2016" s="176"/>
      <c r="W2016" s="176"/>
      <c r="X2016" s="176"/>
      <c r="Y2016" s="176"/>
      <c r="Z2016" s="176"/>
      <c r="AA2016" s="176"/>
      <c r="AB2016" s="176"/>
      <c r="AC2016" s="176"/>
      <c r="AD2016" s="177" t="s">
        <v>5</v>
      </c>
      <c r="AE2016" s="188"/>
      <c r="AF2016" s="188"/>
      <c r="AG2016" s="188"/>
      <c r="AH2016" s="188"/>
      <c r="AI2016" s="188"/>
      <c r="AJ2016" s="188"/>
      <c r="AK2016" s="188"/>
      <c r="AL2016" s="188"/>
    </row>
    <row r="2017" spans="1:38" s="178" customFormat="1" ht="33" customHeight="1" x14ac:dyDescent="0.3">
      <c r="A2017" s="167">
        <v>32</v>
      </c>
      <c r="B2017" s="168">
        <v>50</v>
      </c>
      <c r="C2017" s="169" t="str">
        <f t="shared" si="41"/>
        <v>32.50</v>
      </c>
      <c r="D2017" s="170" t="s">
        <v>819</v>
      </c>
      <c r="E2017" s="64" t="str">
        <f>IF(ISBLANK(D2017)=TRUE,"",VLOOKUP(D2017,Krav!$C:$F,4,FALSE))</f>
        <v>10.a.1.1.29 - Såfremt brugeren angiver en frist skal brugeren ledes til spørgsmål 10.a.1.1.1</v>
      </c>
      <c r="F2017" s="186" t="s">
        <v>174</v>
      </c>
      <c r="G2017" s="184"/>
      <c r="H2017" s="172" t="s">
        <v>1416</v>
      </c>
      <c r="I2017" s="174" t="s">
        <v>1414</v>
      </c>
      <c r="J2017" s="174" t="s">
        <v>222</v>
      </c>
      <c r="K2017" s="125" t="s">
        <v>222</v>
      </c>
      <c r="L2017" s="175" t="s">
        <v>4</v>
      </c>
      <c r="M2017" s="176" t="s">
        <v>129</v>
      </c>
      <c r="N2017" s="176" t="s">
        <v>131</v>
      </c>
      <c r="O2017" s="176" t="s">
        <v>376</v>
      </c>
      <c r="P2017" s="187" t="s">
        <v>97</v>
      </c>
      <c r="Q2017" s="176" t="s">
        <v>131</v>
      </c>
      <c r="R2017" s="176" t="s">
        <v>131</v>
      </c>
      <c r="S2017" s="176" t="s">
        <v>131</v>
      </c>
      <c r="T2017" s="176"/>
      <c r="U2017" s="176"/>
      <c r="V2017" s="176"/>
      <c r="W2017" s="176"/>
      <c r="X2017" s="176"/>
      <c r="Y2017" s="176"/>
      <c r="Z2017" s="176"/>
      <c r="AA2017" s="176"/>
      <c r="AB2017" s="176"/>
      <c r="AC2017" s="176"/>
      <c r="AD2017" s="177" t="s">
        <v>5</v>
      </c>
      <c r="AE2017" s="188"/>
      <c r="AF2017" s="188"/>
      <c r="AG2017" s="188"/>
      <c r="AH2017" s="188"/>
      <c r="AI2017" s="188"/>
      <c r="AJ2017" s="188"/>
      <c r="AK2017" s="188"/>
      <c r="AL2017" s="188"/>
    </row>
    <row r="2018" spans="1:38" s="178" customFormat="1" ht="33" customHeight="1" x14ac:dyDescent="0.3">
      <c r="A2018" s="167">
        <v>32</v>
      </c>
      <c r="B2018" s="168">
        <v>51</v>
      </c>
      <c r="C2018" s="169" t="str">
        <f t="shared" si="41"/>
        <v>32.51</v>
      </c>
      <c r="D2018" s="170" t="s">
        <v>819</v>
      </c>
      <c r="E2018" s="64" t="str">
        <f>IF(ISBLANK(D2018)=TRUE,"",VLOOKUP(D2018,Krav!$C:$F,4,FALSE))</f>
        <v>10.a.1.1.29 - Såfremt brugeren angiver en frist skal brugeren ledes til spørgsmål 10.a.1.1.1</v>
      </c>
      <c r="F2018" s="186" t="s">
        <v>418</v>
      </c>
      <c r="G2018" s="186" t="s">
        <v>419</v>
      </c>
      <c r="H2018" s="172" t="s">
        <v>1417</v>
      </c>
      <c r="I2018" s="174" t="s">
        <v>129</v>
      </c>
      <c r="J2018" s="173" t="s">
        <v>222</v>
      </c>
      <c r="K2018" s="123" t="s">
        <v>222</v>
      </c>
      <c r="L2018" s="175" t="s">
        <v>4</v>
      </c>
      <c r="M2018" s="176" t="s">
        <v>129</v>
      </c>
      <c r="N2018" s="176" t="s">
        <v>131</v>
      </c>
      <c r="O2018" s="176" t="s">
        <v>376</v>
      </c>
      <c r="P2018" s="187" t="s">
        <v>97</v>
      </c>
      <c r="Q2018" s="176" t="s">
        <v>131</v>
      </c>
      <c r="R2018" s="176" t="s">
        <v>131</v>
      </c>
      <c r="S2018" s="176" t="s">
        <v>131</v>
      </c>
      <c r="T2018" s="176"/>
      <c r="U2018" s="176"/>
      <c r="V2018" s="176"/>
      <c r="W2018" s="176"/>
      <c r="X2018" s="176"/>
      <c r="Y2018" s="176"/>
      <c r="Z2018" s="176"/>
      <c r="AA2018" s="176"/>
      <c r="AB2018" s="176"/>
      <c r="AC2018" s="176"/>
      <c r="AD2018" s="177" t="s">
        <v>5</v>
      </c>
      <c r="AE2018" s="188"/>
      <c r="AF2018" s="188"/>
      <c r="AG2018" s="188"/>
      <c r="AH2018" s="188"/>
      <c r="AI2018" s="188"/>
      <c r="AJ2018" s="188"/>
      <c r="AK2018" s="188"/>
      <c r="AL2018" s="188"/>
    </row>
    <row r="2019" spans="1:38" s="178" customFormat="1" ht="33" customHeight="1" x14ac:dyDescent="0.3">
      <c r="A2019" s="167">
        <v>32</v>
      </c>
      <c r="B2019" s="168">
        <v>52</v>
      </c>
      <c r="C2019" s="169" t="str">
        <f t="shared" si="41"/>
        <v>32.52</v>
      </c>
      <c r="D2019" s="170"/>
      <c r="E2019" s="64" t="str">
        <f>IF(ISBLANK(D2019)=TRUE,"",VLOOKUP(D2019,Krav!$C:$F,4,FALSE))</f>
        <v/>
      </c>
      <c r="F2019" s="186" t="s">
        <v>174</v>
      </c>
      <c r="G2019" s="184"/>
      <c r="H2019" s="172" t="s">
        <v>1418</v>
      </c>
      <c r="I2019" s="174" t="s">
        <v>1414</v>
      </c>
      <c r="J2019" s="174" t="s">
        <v>222</v>
      </c>
      <c r="K2019" s="125" t="s">
        <v>222</v>
      </c>
      <c r="L2019" s="175" t="s">
        <v>4</v>
      </c>
      <c r="M2019" s="176" t="s">
        <v>129</v>
      </c>
      <c r="N2019" s="176" t="s">
        <v>131</v>
      </c>
      <c r="O2019" s="187" t="s">
        <v>404</v>
      </c>
      <c r="P2019" s="176" t="s">
        <v>376</v>
      </c>
      <c r="Q2019" s="176" t="s">
        <v>131</v>
      </c>
      <c r="R2019" s="176" t="s">
        <v>131</v>
      </c>
      <c r="S2019" s="176" t="s">
        <v>131</v>
      </c>
      <c r="T2019" s="176"/>
      <c r="U2019" s="176"/>
      <c r="V2019" s="176"/>
      <c r="W2019" s="176"/>
      <c r="X2019" s="176"/>
      <c r="Y2019" s="176"/>
      <c r="Z2019" s="176"/>
      <c r="AA2019" s="176"/>
      <c r="AB2019" s="176"/>
      <c r="AC2019" s="176"/>
      <c r="AD2019" s="177" t="s">
        <v>5</v>
      </c>
      <c r="AE2019" s="188"/>
      <c r="AF2019" s="188"/>
      <c r="AG2019" s="188"/>
      <c r="AH2019" s="188"/>
      <c r="AI2019" s="188"/>
      <c r="AJ2019" s="188"/>
      <c r="AK2019" s="188"/>
      <c r="AL2019" s="188"/>
    </row>
    <row r="2020" spans="1:38" s="178" customFormat="1" ht="33" customHeight="1" x14ac:dyDescent="0.3">
      <c r="A2020" s="167">
        <v>32</v>
      </c>
      <c r="B2020" s="168">
        <v>53</v>
      </c>
      <c r="C2020" s="169" t="str">
        <f t="shared" si="41"/>
        <v>32.53</v>
      </c>
      <c r="D2020" s="170"/>
      <c r="E2020" s="64" t="str">
        <f>IF(ISBLANK(D2020)=TRUE,"",VLOOKUP(D2020,Krav!$C:$F,4,FALSE))</f>
        <v/>
      </c>
      <c r="F2020" s="186" t="s">
        <v>418</v>
      </c>
      <c r="G2020" s="186" t="s">
        <v>419</v>
      </c>
      <c r="H2020" s="172" t="s">
        <v>1419</v>
      </c>
      <c r="I2020" s="174" t="s">
        <v>129</v>
      </c>
      <c r="J2020" s="180" t="s">
        <v>222</v>
      </c>
      <c r="K2020" s="125" t="s">
        <v>222</v>
      </c>
      <c r="L2020" s="175" t="s">
        <v>4</v>
      </c>
      <c r="M2020" s="176" t="s">
        <v>129</v>
      </c>
      <c r="N2020" s="176" t="s">
        <v>131</v>
      </c>
      <c r="O2020" s="187" t="s">
        <v>404</v>
      </c>
      <c r="P2020" s="176" t="s">
        <v>376</v>
      </c>
      <c r="Q2020" s="176" t="s">
        <v>131</v>
      </c>
      <c r="R2020" s="176" t="s">
        <v>131</v>
      </c>
      <c r="S2020" s="176" t="s">
        <v>131</v>
      </c>
      <c r="T2020" s="176"/>
      <c r="U2020" s="176"/>
      <c r="V2020" s="176"/>
      <c r="W2020" s="176"/>
      <c r="X2020" s="176"/>
      <c r="Y2020" s="176"/>
      <c r="Z2020" s="176"/>
      <c r="AA2020" s="176"/>
      <c r="AB2020" s="176"/>
      <c r="AC2020" s="176"/>
      <c r="AD2020" s="177" t="s">
        <v>5</v>
      </c>
      <c r="AE2020" s="188"/>
      <c r="AF2020" s="188"/>
      <c r="AG2020" s="188"/>
      <c r="AH2020" s="188"/>
      <c r="AI2020" s="188"/>
      <c r="AJ2020" s="188"/>
      <c r="AK2020" s="188"/>
      <c r="AL2020" s="188"/>
    </row>
    <row r="2021" spans="1:38" s="178" customFormat="1" ht="33" customHeight="1" x14ac:dyDescent="0.3">
      <c r="A2021" s="167">
        <v>32</v>
      </c>
      <c r="B2021" s="168">
        <v>54</v>
      </c>
      <c r="C2021" s="169" t="str">
        <f t="shared" si="41"/>
        <v>32.54</v>
      </c>
      <c r="D2021" s="170"/>
      <c r="E2021" s="64" t="str">
        <f>IF(ISBLANK(D2021)=TRUE,"",VLOOKUP(D2021,Krav!$C:$F,4,FALSE))</f>
        <v/>
      </c>
      <c r="F2021" s="186" t="s">
        <v>174</v>
      </c>
      <c r="G2021" s="184"/>
      <c r="H2021" s="172" t="s">
        <v>1420</v>
      </c>
      <c r="I2021" s="174" t="s">
        <v>1414</v>
      </c>
      <c r="J2021" s="174" t="s">
        <v>222</v>
      </c>
      <c r="K2021" s="125" t="s">
        <v>222</v>
      </c>
      <c r="L2021" s="175" t="s">
        <v>4</v>
      </c>
      <c r="M2021" s="176" t="s">
        <v>129</v>
      </c>
      <c r="N2021" s="176" t="s">
        <v>131</v>
      </c>
      <c r="O2021" s="176" t="s">
        <v>376</v>
      </c>
      <c r="P2021" s="187" t="s">
        <v>404</v>
      </c>
      <c r="Q2021" s="176" t="s">
        <v>131</v>
      </c>
      <c r="R2021" s="176" t="s">
        <v>131</v>
      </c>
      <c r="S2021" s="176" t="s">
        <v>131</v>
      </c>
      <c r="T2021" s="176"/>
      <c r="U2021" s="176"/>
      <c r="V2021" s="176"/>
      <c r="W2021" s="176"/>
      <c r="X2021" s="176"/>
      <c r="Y2021" s="176"/>
      <c r="Z2021" s="176"/>
      <c r="AA2021" s="176"/>
      <c r="AB2021" s="176"/>
      <c r="AC2021" s="176"/>
      <c r="AD2021" s="177" t="s">
        <v>5</v>
      </c>
      <c r="AE2021" s="188"/>
      <c r="AF2021" s="188"/>
      <c r="AG2021" s="188"/>
      <c r="AH2021" s="188"/>
      <c r="AI2021" s="188"/>
      <c r="AJ2021" s="188"/>
      <c r="AK2021" s="188"/>
      <c r="AL2021" s="188"/>
    </row>
    <row r="2022" spans="1:38" s="178" customFormat="1" ht="33" customHeight="1" x14ac:dyDescent="0.3">
      <c r="A2022" s="167">
        <v>32</v>
      </c>
      <c r="B2022" s="168">
        <v>55</v>
      </c>
      <c r="C2022" s="169" t="str">
        <f t="shared" si="41"/>
        <v>32.55</v>
      </c>
      <c r="D2022" s="170"/>
      <c r="E2022" s="64" t="str">
        <f>IF(ISBLANK(D2022)=TRUE,"",VLOOKUP(D2022,Krav!$C:$F,4,FALSE))</f>
        <v/>
      </c>
      <c r="F2022" s="186" t="s">
        <v>418</v>
      </c>
      <c r="G2022" s="186" t="s">
        <v>419</v>
      </c>
      <c r="H2022" s="172" t="s">
        <v>1419</v>
      </c>
      <c r="I2022" s="174" t="s">
        <v>129</v>
      </c>
      <c r="J2022" s="189" t="s">
        <v>222</v>
      </c>
      <c r="K2022" s="125" t="s">
        <v>222</v>
      </c>
      <c r="L2022" s="175" t="s">
        <v>4</v>
      </c>
      <c r="M2022" s="176" t="s">
        <v>129</v>
      </c>
      <c r="N2022" s="176" t="s">
        <v>131</v>
      </c>
      <c r="O2022" s="176" t="s">
        <v>376</v>
      </c>
      <c r="P2022" s="187" t="s">
        <v>404</v>
      </c>
      <c r="Q2022" s="176" t="s">
        <v>131</v>
      </c>
      <c r="R2022" s="176" t="s">
        <v>131</v>
      </c>
      <c r="S2022" s="176" t="s">
        <v>131</v>
      </c>
      <c r="T2022" s="176"/>
      <c r="U2022" s="176"/>
      <c r="V2022" s="176"/>
      <c r="W2022" s="176"/>
      <c r="X2022" s="176"/>
      <c r="Y2022" s="176"/>
      <c r="Z2022" s="176"/>
      <c r="AA2022" s="176"/>
      <c r="AB2022" s="176"/>
      <c r="AC2022" s="176"/>
      <c r="AD2022" s="177" t="s">
        <v>5</v>
      </c>
      <c r="AE2022" s="188"/>
      <c r="AF2022" s="188"/>
      <c r="AG2022" s="188"/>
      <c r="AH2022" s="188"/>
      <c r="AI2022" s="188"/>
      <c r="AJ2022" s="188"/>
      <c r="AK2022" s="188"/>
      <c r="AL2022" s="188"/>
    </row>
    <row r="2023" spans="1:38" s="188" customFormat="1" ht="33" customHeight="1" x14ac:dyDescent="0.3">
      <c r="A2023" s="167">
        <v>32</v>
      </c>
      <c r="B2023" s="168">
        <v>56</v>
      </c>
      <c r="C2023" s="192" t="str">
        <f t="shared" si="41"/>
        <v>32.56</v>
      </c>
      <c r="D2023" s="193" t="s">
        <v>1035</v>
      </c>
      <c r="E2023" s="64" t="str">
        <f>IF(ISBLANK(D2023)=TRUE,"",VLOOKUP(D2023,Krav!$C:$F,4,FALSE))</f>
        <v>10.a.1.1.2.2 - Der angives et "NEJ" i i populationen under ”vil RIM beregne en tidligst mulig forældelsesdato?"</v>
      </c>
      <c r="F2023" s="77" t="s">
        <v>221</v>
      </c>
      <c r="G2023" s="194"/>
      <c r="H2023" s="81" t="s">
        <v>1421</v>
      </c>
      <c r="I2023" s="83" t="s">
        <v>241</v>
      </c>
      <c r="J2023" s="195" t="s">
        <v>222</v>
      </c>
      <c r="K2023" s="125" t="s">
        <v>222</v>
      </c>
      <c r="L2023" s="196" t="s">
        <v>3</v>
      </c>
      <c r="M2023" s="197" t="s">
        <v>129</v>
      </c>
      <c r="N2023" s="197" t="s">
        <v>131</v>
      </c>
      <c r="O2023" s="197" t="s">
        <v>376</v>
      </c>
      <c r="P2023" s="197" t="s">
        <v>96</v>
      </c>
      <c r="Q2023" s="197" t="s">
        <v>131</v>
      </c>
      <c r="R2023" s="197" t="s">
        <v>129</v>
      </c>
      <c r="S2023" s="197" t="s">
        <v>131</v>
      </c>
      <c r="T2023" s="197"/>
      <c r="U2023" s="197"/>
      <c r="V2023" s="198"/>
      <c r="W2023" s="197"/>
      <c r="X2023" s="197"/>
      <c r="Y2023" s="197"/>
      <c r="Z2023" s="197"/>
      <c r="AA2023" s="197"/>
      <c r="AB2023" s="197"/>
      <c r="AC2023" s="197"/>
      <c r="AD2023" s="198" t="s">
        <v>5</v>
      </c>
    </row>
    <row r="2024" spans="1:38" s="188" customFormat="1" ht="33" customHeight="1" x14ac:dyDescent="0.3">
      <c r="A2024" s="167">
        <v>32</v>
      </c>
      <c r="B2024" s="168">
        <v>57</v>
      </c>
      <c r="C2024" s="192" t="str">
        <f t="shared" si="41"/>
        <v>32.57</v>
      </c>
      <c r="D2024" s="193"/>
      <c r="E2024" s="64" t="str">
        <f>IF(ISBLANK(D2024)=TRUE,"",VLOOKUP(D2024,Krav!$C:$F,4,FALSE))</f>
        <v/>
      </c>
      <c r="F2024" s="77" t="s">
        <v>225</v>
      </c>
      <c r="G2024" s="145" t="s">
        <v>230</v>
      </c>
      <c r="H2024" s="81" t="s">
        <v>1422</v>
      </c>
      <c r="I2024" s="83" t="s">
        <v>1407</v>
      </c>
      <c r="J2024" s="195" t="s">
        <v>222</v>
      </c>
      <c r="K2024" s="125" t="s">
        <v>222</v>
      </c>
      <c r="L2024" s="196"/>
      <c r="M2024" s="197" t="s">
        <v>129</v>
      </c>
      <c r="N2024" s="197" t="s">
        <v>131</v>
      </c>
      <c r="O2024" s="197" t="s">
        <v>376</v>
      </c>
      <c r="P2024" s="197" t="s">
        <v>96</v>
      </c>
      <c r="Q2024" s="197" t="s">
        <v>131</v>
      </c>
      <c r="R2024" s="197" t="s">
        <v>129</v>
      </c>
      <c r="S2024" s="197" t="s">
        <v>131</v>
      </c>
      <c r="T2024" s="197"/>
      <c r="U2024" s="197"/>
      <c r="V2024" s="198"/>
      <c r="W2024" s="197"/>
      <c r="X2024" s="197"/>
      <c r="Y2024" s="197"/>
      <c r="Z2024" s="197"/>
      <c r="AA2024" s="197"/>
      <c r="AB2024" s="197"/>
      <c r="AC2024" s="197"/>
      <c r="AD2024" s="198" t="s">
        <v>5</v>
      </c>
    </row>
    <row r="2025" spans="1:38" s="188" customFormat="1" ht="33" customHeight="1" x14ac:dyDescent="0.3">
      <c r="A2025" s="167">
        <v>32</v>
      </c>
      <c r="B2025" s="168">
        <v>58</v>
      </c>
      <c r="C2025" s="192" t="str">
        <f t="shared" si="41"/>
        <v>32.58</v>
      </c>
      <c r="D2025" s="193"/>
      <c r="E2025" s="64" t="str">
        <f>IF(ISBLANK(D2025)=TRUE,"",VLOOKUP(D2025,Krav!$C:$F,4,FALSE))</f>
        <v/>
      </c>
      <c r="F2025" s="77" t="s">
        <v>225</v>
      </c>
      <c r="G2025" s="145" t="s">
        <v>1388</v>
      </c>
      <c r="H2025" s="81" t="s">
        <v>1422</v>
      </c>
      <c r="I2025" s="83" t="s">
        <v>376</v>
      </c>
      <c r="J2025" s="195" t="s">
        <v>222</v>
      </c>
      <c r="K2025" s="125" t="s">
        <v>222</v>
      </c>
      <c r="L2025" s="196"/>
      <c r="M2025" s="197" t="s">
        <v>129</v>
      </c>
      <c r="N2025" s="197" t="s">
        <v>131</v>
      </c>
      <c r="O2025" s="197" t="s">
        <v>376</v>
      </c>
      <c r="P2025" s="197" t="s">
        <v>96</v>
      </c>
      <c r="Q2025" s="197" t="s">
        <v>131</v>
      </c>
      <c r="R2025" s="197" t="s">
        <v>129</v>
      </c>
      <c r="S2025" s="197" t="s">
        <v>131</v>
      </c>
      <c r="T2025" s="197"/>
      <c r="U2025" s="197"/>
      <c r="V2025" s="198"/>
      <c r="W2025" s="197"/>
      <c r="X2025" s="197"/>
      <c r="Y2025" s="197"/>
      <c r="Z2025" s="197"/>
      <c r="AA2025" s="197"/>
      <c r="AB2025" s="197"/>
      <c r="AC2025" s="197"/>
      <c r="AD2025" s="198" t="s">
        <v>5</v>
      </c>
    </row>
    <row r="2026" spans="1:38" s="188" customFormat="1" ht="33" customHeight="1" x14ac:dyDescent="0.3">
      <c r="A2026" s="167">
        <v>32</v>
      </c>
      <c r="B2026" s="168">
        <v>59</v>
      </c>
      <c r="C2026" s="192" t="str">
        <f t="shared" si="41"/>
        <v>32.59</v>
      </c>
      <c r="D2026" s="193"/>
      <c r="E2026" s="64" t="str">
        <f>IF(ISBLANK(D2026)=TRUE,"",VLOOKUP(D2026,Krav!$C:$F,4,FALSE))</f>
        <v/>
      </c>
      <c r="F2026" s="77" t="s">
        <v>225</v>
      </c>
      <c r="G2026" s="145" t="s">
        <v>1391</v>
      </c>
      <c r="H2026" s="81" t="s">
        <v>1422</v>
      </c>
      <c r="I2026" s="83" t="s">
        <v>369</v>
      </c>
      <c r="J2026" s="195" t="s">
        <v>222</v>
      </c>
      <c r="K2026" s="123" t="s">
        <v>222</v>
      </c>
      <c r="L2026" s="196"/>
      <c r="M2026" s="197" t="s">
        <v>129</v>
      </c>
      <c r="N2026" s="197" t="s">
        <v>131</v>
      </c>
      <c r="O2026" s="197" t="s">
        <v>376</v>
      </c>
      <c r="P2026" s="197" t="s">
        <v>96</v>
      </c>
      <c r="Q2026" s="197" t="s">
        <v>131</v>
      </c>
      <c r="R2026" s="197" t="s">
        <v>129</v>
      </c>
      <c r="S2026" s="197" t="s">
        <v>131</v>
      </c>
      <c r="T2026" s="197"/>
      <c r="U2026" s="197"/>
      <c r="V2026" s="198"/>
      <c r="W2026" s="197"/>
      <c r="X2026" s="197"/>
      <c r="Y2026" s="197"/>
      <c r="Z2026" s="197"/>
      <c r="AA2026" s="197"/>
      <c r="AB2026" s="197"/>
      <c r="AC2026" s="197"/>
      <c r="AD2026" s="198" t="s">
        <v>33</v>
      </c>
    </row>
    <row r="2027" spans="1:38" s="188" customFormat="1" ht="33" customHeight="1" x14ac:dyDescent="0.3">
      <c r="A2027" s="167">
        <v>32</v>
      </c>
      <c r="B2027" s="168">
        <v>60</v>
      </c>
      <c r="C2027" s="192" t="str">
        <f t="shared" si="41"/>
        <v>32.60</v>
      </c>
      <c r="D2027" s="193" t="s">
        <v>1037</v>
      </c>
      <c r="E2027" s="64" t="str">
        <f>IF(ISBLANK(D2027)=TRUE,"",VLOOKUP(D2027,Krav!$C:$F,4,FALSE))</f>
        <v>10.a.1.1.2.3 - Gruppe 1 deaktiveres</v>
      </c>
      <c r="F2027" s="77" t="s">
        <v>227</v>
      </c>
      <c r="G2027" s="194"/>
      <c r="H2027" s="81" t="s">
        <v>1423</v>
      </c>
      <c r="I2027" s="83" t="s">
        <v>241</v>
      </c>
      <c r="J2027" s="195" t="s">
        <v>222</v>
      </c>
      <c r="K2027" s="125" t="s">
        <v>222</v>
      </c>
      <c r="L2027" s="196" t="s">
        <v>3</v>
      </c>
      <c r="M2027" s="197" t="s">
        <v>129</v>
      </c>
      <c r="N2027" s="197" t="s">
        <v>131</v>
      </c>
      <c r="O2027" s="197" t="s">
        <v>376</v>
      </c>
      <c r="P2027" s="197" t="s">
        <v>96</v>
      </c>
      <c r="Q2027" s="197" t="s">
        <v>131</v>
      </c>
      <c r="R2027" s="197" t="s">
        <v>129</v>
      </c>
      <c r="S2027" s="197" t="s">
        <v>131</v>
      </c>
      <c r="T2027" s="197"/>
      <c r="U2027" s="197"/>
      <c r="V2027" s="197"/>
      <c r="W2027" s="197"/>
      <c r="X2027" s="197"/>
      <c r="Y2027" s="197"/>
      <c r="Z2027" s="197"/>
      <c r="AA2027" s="197"/>
      <c r="AB2027" s="197"/>
      <c r="AC2027" s="197"/>
      <c r="AD2027" s="198" t="s">
        <v>5</v>
      </c>
    </row>
    <row r="2028" spans="1:38" s="188" customFormat="1" ht="33" customHeight="1" x14ac:dyDescent="0.3">
      <c r="A2028" s="167">
        <v>32</v>
      </c>
      <c r="B2028" s="168">
        <v>61</v>
      </c>
      <c r="C2028" s="192" t="str">
        <f t="shared" si="41"/>
        <v>32.61</v>
      </c>
      <c r="D2028" s="193" t="s">
        <v>1038</v>
      </c>
      <c r="E2028" s="64" t="str">
        <f>IF(ISBLANK(D2028)=TRUE,"",VLOOKUP(D2028,Krav!$C:$F,4,FALSE))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028" s="78" t="s">
        <v>174</v>
      </c>
      <c r="G2028" s="194"/>
      <c r="H2028" s="145" t="s">
        <v>1424</v>
      </c>
      <c r="I2028" s="83" t="s">
        <v>1425</v>
      </c>
      <c r="J2028" s="195" t="s">
        <v>222</v>
      </c>
      <c r="K2028" s="125" t="s">
        <v>222</v>
      </c>
      <c r="L2028" s="196" t="s">
        <v>3</v>
      </c>
      <c r="M2028" s="197" t="s">
        <v>129</v>
      </c>
      <c r="N2028" s="197" t="s">
        <v>131</v>
      </c>
      <c r="O2028" s="197" t="s">
        <v>376</v>
      </c>
      <c r="P2028" s="197" t="s">
        <v>96</v>
      </c>
      <c r="Q2028" s="197" t="s">
        <v>131</v>
      </c>
      <c r="R2028" s="197" t="s">
        <v>129</v>
      </c>
      <c r="S2028" s="197" t="s">
        <v>131</v>
      </c>
      <c r="T2028" s="197"/>
      <c r="U2028" s="197"/>
      <c r="V2028" s="197" t="s">
        <v>294</v>
      </c>
      <c r="W2028" s="197"/>
      <c r="X2028" s="197"/>
      <c r="Y2028" s="197"/>
      <c r="Z2028" s="197"/>
      <c r="AA2028" s="197"/>
      <c r="AB2028" s="197"/>
      <c r="AC2028" s="197"/>
      <c r="AD2028" s="198" t="s">
        <v>5</v>
      </c>
    </row>
    <row r="2029" spans="1:38" s="188" customFormat="1" ht="33" customHeight="1" x14ac:dyDescent="0.3">
      <c r="A2029" s="167">
        <v>32</v>
      </c>
      <c r="B2029" s="168">
        <v>62</v>
      </c>
      <c r="C2029" s="192" t="str">
        <f t="shared" si="41"/>
        <v>32.62</v>
      </c>
      <c r="D2029" s="193" t="s">
        <v>1038</v>
      </c>
      <c r="E2029" s="64" t="str">
        <f>IF(ISBLANK(D2029)=TRUE,"",VLOOKUP(D2029,Krav!$C:$F,4,FALSE))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029" s="78" t="s">
        <v>174</v>
      </c>
      <c r="G2029" s="77"/>
      <c r="H2029" s="145" t="s">
        <v>1424</v>
      </c>
      <c r="I2029" s="83" t="s">
        <v>1425</v>
      </c>
      <c r="J2029" s="195" t="s">
        <v>222</v>
      </c>
      <c r="K2029" s="125" t="s">
        <v>222</v>
      </c>
      <c r="L2029" s="196" t="s">
        <v>3</v>
      </c>
      <c r="M2029" s="197" t="s">
        <v>129</v>
      </c>
      <c r="N2029" s="197" t="s">
        <v>131</v>
      </c>
      <c r="O2029" s="197" t="s">
        <v>376</v>
      </c>
      <c r="P2029" s="197" t="s">
        <v>96</v>
      </c>
      <c r="Q2029" s="197" t="s">
        <v>131</v>
      </c>
      <c r="R2029" s="197" t="s">
        <v>129</v>
      </c>
      <c r="S2029" s="197" t="s">
        <v>131</v>
      </c>
      <c r="T2029" s="197"/>
      <c r="U2029" s="197"/>
      <c r="V2029" s="198" t="s">
        <v>295</v>
      </c>
      <c r="W2029" s="197" t="s">
        <v>26</v>
      </c>
      <c r="X2029" s="197"/>
      <c r="Y2029" s="197"/>
      <c r="Z2029" s="197"/>
      <c r="AA2029" s="197"/>
      <c r="AB2029" s="197"/>
      <c r="AC2029" s="197"/>
      <c r="AD2029" s="198" t="s">
        <v>5</v>
      </c>
    </row>
    <row r="2030" spans="1:38" s="188" customFormat="1" ht="33" customHeight="1" x14ac:dyDescent="0.3">
      <c r="A2030" s="167">
        <v>32</v>
      </c>
      <c r="B2030" s="168">
        <v>63</v>
      </c>
      <c r="C2030" s="192" t="str">
        <f t="shared" si="41"/>
        <v>32.63</v>
      </c>
      <c r="D2030" s="193" t="s">
        <v>1038</v>
      </c>
      <c r="E2030" s="64" t="str">
        <f>IF(ISBLANK(D2030)=TRUE,"",VLOOKUP(D2030,Krav!$C:$F,4,FALSE))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030" s="78" t="s">
        <v>174</v>
      </c>
      <c r="G2030" s="194"/>
      <c r="H2030" s="145" t="s">
        <v>1424</v>
      </c>
      <c r="I2030" s="195" t="s">
        <v>1425</v>
      </c>
      <c r="J2030" s="195" t="s">
        <v>222</v>
      </c>
      <c r="K2030" s="125" t="s">
        <v>222</v>
      </c>
      <c r="L2030" s="196" t="s">
        <v>3</v>
      </c>
      <c r="M2030" s="197" t="s">
        <v>129</v>
      </c>
      <c r="N2030" s="197" t="s">
        <v>131</v>
      </c>
      <c r="O2030" s="197" t="s">
        <v>376</v>
      </c>
      <c r="P2030" s="197" t="s">
        <v>96</v>
      </c>
      <c r="Q2030" s="197" t="s">
        <v>131</v>
      </c>
      <c r="R2030" s="197" t="s">
        <v>129</v>
      </c>
      <c r="S2030" s="197" t="s">
        <v>131</v>
      </c>
      <c r="T2030" s="197"/>
      <c r="U2030" s="197"/>
      <c r="V2030" s="198" t="s">
        <v>295</v>
      </c>
      <c r="W2030" s="197" t="s">
        <v>166</v>
      </c>
      <c r="X2030" s="197" t="s">
        <v>26</v>
      </c>
      <c r="Y2030" s="197"/>
      <c r="Z2030" s="197"/>
      <c r="AA2030" s="197"/>
      <c r="AB2030" s="197"/>
      <c r="AC2030" s="197"/>
      <c r="AD2030" s="198" t="s">
        <v>5</v>
      </c>
    </row>
    <row r="2031" spans="1:38" s="188" customFormat="1" ht="33" customHeight="1" x14ac:dyDescent="0.3">
      <c r="A2031" s="167">
        <v>32</v>
      </c>
      <c r="B2031" s="168">
        <v>64</v>
      </c>
      <c r="C2031" s="192" t="str">
        <f t="shared" si="41"/>
        <v>32.64</v>
      </c>
      <c r="D2031" s="193" t="s">
        <v>1038</v>
      </c>
      <c r="E2031" s="64" t="str">
        <f>IF(ISBLANK(D2031)=TRUE,"",VLOOKUP(D2031,Krav!$C:$F,4,FALSE))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031" s="78" t="s">
        <v>174</v>
      </c>
      <c r="G2031" s="77"/>
      <c r="H2031" s="145" t="s">
        <v>1424</v>
      </c>
      <c r="I2031" s="83" t="s">
        <v>1425</v>
      </c>
      <c r="J2031" s="195" t="s">
        <v>222</v>
      </c>
      <c r="K2031" s="125" t="s">
        <v>222</v>
      </c>
      <c r="L2031" s="196" t="s">
        <v>3</v>
      </c>
      <c r="M2031" s="197" t="s">
        <v>129</v>
      </c>
      <c r="N2031" s="197" t="s">
        <v>131</v>
      </c>
      <c r="O2031" s="197" t="s">
        <v>376</v>
      </c>
      <c r="P2031" s="197" t="s">
        <v>96</v>
      </c>
      <c r="Q2031" s="197" t="s">
        <v>131</v>
      </c>
      <c r="R2031" s="197" t="s">
        <v>129</v>
      </c>
      <c r="S2031" s="197" t="s">
        <v>131</v>
      </c>
      <c r="T2031" s="197"/>
      <c r="U2031" s="197"/>
      <c r="V2031" s="198" t="s">
        <v>295</v>
      </c>
      <c r="W2031" s="197" t="s">
        <v>166</v>
      </c>
      <c r="X2031" s="197" t="s">
        <v>166</v>
      </c>
      <c r="Y2031" s="197" t="s">
        <v>580</v>
      </c>
      <c r="Z2031" s="197"/>
      <c r="AA2031" s="197"/>
      <c r="AB2031" s="197"/>
      <c r="AC2031" s="197"/>
      <c r="AD2031" s="198" t="s">
        <v>5</v>
      </c>
    </row>
    <row r="2032" spans="1:38" s="188" customFormat="1" ht="33" customHeight="1" x14ac:dyDescent="0.3">
      <c r="A2032" s="167">
        <v>32</v>
      </c>
      <c r="B2032" s="168">
        <v>65</v>
      </c>
      <c r="C2032" s="192" t="str">
        <f t="shared" si="41"/>
        <v>32.65</v>
      </c>
      <c r="D2032" s="193"/>
      <c r="E2032" s="64" t="str">
        <f>IF(ISBLANK(D2032)=TRUE,"",VLOOKUP(D2032,Krav!$C:$F,4,FALSE))</f>
        <v/>
      </c>
      <c r="F2032" s="78" t="s">
        <v>174</v>
      </c>
      <c r="G2032" s="194"/>
      <c r="H2032" s="145"/>
      <c r="I2032" s="83" t="s">
        <v>1414</v>
      </c>
      <c r="J2032" s="195" t="s">
        <v>222</v>
      </c>
      <c r="K2032" s="125" t="s">
        <v>222</v>
      </c>
      <c r="L2032" s="196" t="s">
        <v>4</v>
      </c>
      <c r="M2032" s="197" t="s">
        <v>129</v>
      </c>
      <c r="N2032" s="197" t="s">
        <v>131</v>
      </c>
      <c r="O2032" s="197" t="s">
        <v>376</v>
      </c>
      <c r="P2032" s="197" t="s">
        <v>96</v>
      </c>
      <c r="Q2032" s="197" t="s">
        <v>131</v>
      </c>
      <c r="R2032" s="197" t="s">
        <v>129</v>
      </c>
      <c r="S2032" s="197" t="s">
        <v>131</v>
      </c>
      <c r="T2032" s="197"/>
      <c r="U2032" s="197"/>
      <c r="V2032" s="198" t="s">
        <v>295</v>
      </c>
      <c r="W2032" s="197" t="s">
        <v>166</v>
      </c>
      <c r="X2032" s="197" t="s">
        <v>166</v>
      </c>
      <c r="Y2032" s="197" t="s">
        <v>369</v>
      </c>
      <c r="Z2032" s="197"/>
      <c r="AA2032" s="197"/>
      <c r="AB2032" s="197"/>
      <c r="AC2032" s="197"/>
      <c r="AD2032" s="198" t="s">
        <v>5</v>
      </c>
    </row>
    <row r="2033" spans="1:38" s="188" customFormat="1" ht="33" customHeight="1" x14ac:dyDescent="0.3">
      <c r="A2033" s="167">
        <v>32</v>
      </c>
      <c r="B2033" s="168">
        <v>66</v>
      </c>
      <c r="C2033" s="192" t="str">
        <f t="shared" si="41"/>
        <v>32.66</v>
      </c>
      <c r="D2033" s="193" t="s">
        <v>1040</v>
      </c>
      <c r="E2033" s="64" t="str">
        <f>IF(ISBLANK(D2033)=TRUE,"",VLOOKUP(D2033,Krav!$C:$F,4,FALSE))</f>
        <v xml:space="preserve">10.a.1.1.2.5 - Hvis fordringshaver har svaret ”aldrig” i spm. 9, kan der ikke opsættes en FLEX-filter konfiguration for populationen. </v>
      </c>
      <c r="F2033" s="78" t="s">
        <v>174</v>
      </c>
      <c r="G2033" s="194"/>
      <c r="H2033" s="145" t="s">
        <v>1426</v>
      </c>
      <c r="I2033" s="83" t="s">
        <v>1414</v>
      </c>
      <c r="J2033" s="83" t="s">
        <v>222</v>
      </c>
      <c r="K2033" s="125" t="s">
        <v>222</v>
      </c>
      <c r="L2033" s="196" t="s">
        <v>4</v>
      </c>
      <c r="M2033" s="197" t="s">
        <v>129</v>
      </c>
      <c r="N2033" s="197" t="s">
        <v>131</v>
      </c>
      <c r="O2033" s="197" t="s">
        <v>376</v>
      </c>
      <c r="P2033" s="197" t="s">
        <v>96</v>
      </c>
      <c r="Q2033" s="197" t="s">
        <v>131</v>
      </c>
      <c r="R2033" s="197" t="s">
        <v>129</v>
      </c>
      <c r="S2033" s="197" t="s">
        <v>131</v>
      </c>
      <c r="T2033" s="197"/>
      <c r="U2033" s="197"/>
      <c r="V2033" s="197" t="s">
        <v>303</v>
      </c>
      <c r="W2033" s="197"/>
      <c r="X2033" s="197"/>
      <c r="Y2033" s="197"/>
      <c r="Z2033" s="197"/>
      <c r="AA2033" s="197"/>
      <c r="AB2033" s="197"/>
      <c r="AC2033" s="197"/>
      <c r="AD2033" s="198" t="s">
        <v>5</v>
      </c>
    </row>
    <row r="2034" spans="1:38" s="188" customFormat="1" ht="33" customHeight="1" x14ac:dyDescent="0.3">
      <c r="A2034" s="167">
        <v>32</v>
      </c>
      <c r="B2034" s="168">
        <v>67</v>
      </c>
      <c r="C2034" s="192" t="str">
        <f t="shared" si="41"/>
        <v>32.67</v>
      </c>
      <c r="D2034" s="193" t="s">
        <v>1033</v>
      </c>
      <c r="E2034" s="64" t="str">
        <f>IF(ISBLANK(D2034)=TRUE,"",VLOOKUP(D2034,Krav!$C:$F,4,FALSE))</f>
        <v>10.a.1.1.2.1 - Hvis der er svaret "I visse tilfælde" i spørgsmål 9 og hvis der er svaret "Ja" i enten 9.b.1, 9.b.2.1 eller 9.b.2.2.1 skal brugeren ledes til spørgsmål 11</v>
      </c>
      <c r="F2034" s="77" t="s">
        <v>143</v>
      </c>
      <c r="G2034" s="77" t="s">
        <v>1427</v>
      </c>
      <c r="H2034" s="145" t="s">
        <v>1428</v>
      </c>
      <c r="I2034" s="83" t="s">
        <v>468</v>
      </c>
      <c r="J2034" s="83" t="s">
        <v>222</v>
      </c>
      <c r="K2034" s="125" t="s">
        <v>222</v>
      </c>
      <c r="L2034" s="196" t="s">
        <v>3</v>
      </c>
      <c r="M2034" s="197" t="s">
        <v>129</v>
      </c>
      <c r="N2034" s="197" t="s">
        <v>131</v>
      </c>
      <c r="O2034" s="197" t="s">
        <v>376</v>
      </c>
      <c r="P2034" s="197" t="s">
        <v>96</v>
      </c>
      <c r="Q2034" s="197" t="s">
        <v>131</v>
      </c>
      <c r="R2034" s="197" t="s">
        <v>129</v>
      </c>
      <c r="S2034" s="197" t="s">
        <v>131</v>
      </c>
      <c r="T2034" s="197"/>
      <c r="U2034" s="197"/>
      <c r="V2034" s="198" t="s">
        <v>295</v>
      </c>
      <c r="W2034" s="197" t="s">
        <v>26</v>
      </c>
      <c r="X2034" s="197"/>
      <c r="Y2034" s="197"/>
      <c r="Z2034" s="197"/>
      <c r="AA2034" s="197"/>
      <c r="AB2034" s="197"/>
      <c r="AC2034" s="197"/>
      <c r="AD2034" s="198" t="s">
        <v>5</v>
      </c>
    </row>
    <row r="2035" spans="1:38" s="188" customFormat="1" ht="33" customHeight="1" x14ac:dyDescent="0.3">
      <c r="A2035" s="167">
        <v>32</v>
      </c>
      <c r="B2035" s="168">
        <v>68</v>
      </c>
      <c r="C2035" s="192" t="str">
        <f t="shared" si="41"/>
        <v>32.68</v>
      </c>
      <c r="D2035" s="193" t="s">
        <v>1033</v>
      </c>
      <c r="E2035" s="64" t="str">
        <f>IF(ISBLANK(D2035)=TRUE,"",VLOOKUP(D2035,Krav!$C:$F,4,FALSE))</f>
        <v>10.a.1.1.2.1 - Hvis der er svaret "I visse tilfælde" i spørgsmål 9 og hvis der er svaret "Ja" i enten 9.b.1, 9.b.2.1 eller 9.b.2.2.1 skal brugeren ledes til spørgsmål 11</v>
      </c>
      <c r="F2035" s="77" t="s">
        <v>143</v>
      </c>
      <c r="G2035" s="77" t="s">
        <v>1427</v>
      </c>
      <c r="H2035" s="145" t="s">
        <v>1428</v>
      </c>
      <c r="I2035" s="83" t="s">
        <v>468</v>
      </c>
      <c r="J2035" s="83" t="s">
        <v>222</v>
      </c>
      <c r="K2035" s="125" t="s">
        <v>222</v>
      </c>
      <c r="L2035" s="196" t="s">
        <v>3</v>
      </c>
      <c r="M2035" s="197" t="s">
        <v>129</v>
      </c>
      <c r="N2035" s="197" t="s">
        <v>131</v>
      </c>
      <c r="O2035" s="197" t="s">
        <v>376</v>
      </c>
      <c r="P2035" s="197" t="s">
        <v>96</v>
      </c>
      <c r="Q2035" s="197" t="s">
        <v>131</v>
      </c>
      <c r="R2035" s="197" t="s">
        <v>129</v>
      </c>
      <c r="S2035" s="197" t="s">
        <v>131</v>
      </c>
      <c r="T2035" s="197"/>
      <c r="U2035" s="197"/>
      <c r="V2035" s="198" t="s">
        <v>295</v>
      </c>
      <c r="W2035" s="197" t="s">
        <v>166</v>
      </c>
      <c r="X2035" s="197" t="s">
        <v>26</v>
      </c>
      <c r="Y2035" s="197"/>
      <c r="Z2035" s="197"/>
      <c r="AA2035" s="197"/>
      <c r="AB2035" s="197"/>
      <c r="AC2035" s="197"/>
      <c r="AD2035" s="198" t="s">
        <v>5</v>
      </c>
    </row>
    <row r="2036" spans="1:38" s="188" customFormat="1" ht="33" customHeight="1" x14ac:dyDescent="0.3">
      <c r="A2036" s="167">
        <v>32</v>
      </c>
      <c r="B2036" s="168">
        <v>69</v>
      </c>
      <c r="C2036" s="192" t="str">
        <f t="shared" si="41"/>
        <v>32.69</v>
      </c>
      <c r="D2036" s="193" t="s">
        <v>1033</v>
      </c>
      <c r="E2036" s="64" t="str">
        <f>IF(ISBLANK(D2036)=TRUE,"",VLOOKUP(D2036,Krav!$C:$F,4,FALSE))</f>
        <v>10.a.1.1.2.1 - Hvis der er svaret "I visse tilfælde" i spørgsmål 9 og hvis der er svaret "Ja" i enten 9.b.1, 9.b.2.1 eller 9.b.2.2.1 skal brugeren ledes til spørgsmål 11</v>
      </c>
      <c r="F2036" s="77" t="s">
        <v>143</v>
      </c>
      <c r="G2036" s="77" t="s">
        <v>1427</v>
      </c>
      <c r="H2036" s="145" t="s">
        <v>1428</v>
      </c>
      <c r="I2036" s="83" t="s">
        <v>468</v>
      </c>
      <c r="J2036" s="83" t="s">
        <v>222</v>
      </c>
      <c r="K2036" s="125" t="s">
        <v>222</v>
      </c>
      <c r="L2036" s="199" t="s">
        <v>3</v>
      </c>
      <c r="M2036" s="197" t="s">
        <v>129</v>
      </c>
      <c r="N2036" s="197" t="s">
        <v>131</v>
      </c>
      <c r="O2036" s="197" t="s">
        <v>376</v>
      </c>
      <c r="P2036" s="197" t="s">
        <v>96</v>
      </c>
      <c r="Q2036" s="197" t="s">
        <v>131</v>
      </c>
      <c r="R2036" s="197" t="s">
        <v>129</v>
      </c>
      <c r="S2036" s="197" t="s">
        <v>131</v>
      </c>
      <c r="T2036" s="197"/>
      <c r="U2036" s="197"/>
      <c r="V2036" s="198" t="s">
        <v>295</v>
      </c>
      <c r="W2036" s="197" t="s">
        <v>166</v>
      </c>
      <c r="X2036" s="197" t="s">
        <v>166</v>
      </c>
      <c r="Y2036" s="197" t="s">
        <v>580</v>
      </c>
      <c r="Z2036" s="197"/>
      <c r="AA2036" s="197"/>
      <c r="AB2036" s="197"/>
      <c r="AC2036" s="197"/>
      <c r="AD2036" s="198" t="s">
        <v>5</v>
      </c>
    </row>
    <row r="2037" spans="1:38" s="188" customFormat="1" ht="33" customHeight="1" x14ac:dyDescent="0.3">
      <c r="A2037" s="167">
        <v>32</v>
      </c>
      <c r="B2037" s="168">
        <v>70</v>
      </c>
      <c r="C2037" s="192" t="str">
        <f t="shared" si="41"/>
        <v>32.70</v>
      </c>
      <c r="D2037" s="193"/>
      <c r="E2037" s="64" t="str">
        <f>IF(ISBLANK(D2037)=TRUE,"",VLOOKUP(D2037,Krav!$C:$F,4,FALSE))</f>
        <v/>
      </c>
      <c r="F2037" s="77" t="s">
        <v>143</v>
      </c>
      <c r="G2037" s="77" t="s">
        <v>1427</v>
      </c>
      <c r="H2037" s="145" t="s">
        <v>1429</v>
      </c>
      <c r="I2037" s="83" t="s">
        <v>468</v>
      </c>
      <c r="J2037" s="83" t="s">
        <v>222</v>
      </c>
      <c r="K2037" s="125" t="s">
        <v>222</v>
      </c>
      <c r="L2037" s="199" t="s">
        <v>3</v>
      </c>
      <c r="M2037" s="197" t="s">
        <v>129</v>
      </c>
      <c r="N2037" s="197" t="s">
        <v>131</v>
      </c>
      <c r="O2037" s="197" t="s">
        <v>376</v>
      </c>
      <c r="P2037" s="197" t="s">
        <v>96</v>
      </c>
      <c r="Q2037" s="197" t="s">
        <v>131</v>
      </c>
      <c r="R2037" s="197" t="s">
        <v>129</v>
      </c>
      <c r="S2037" s="197" t="s">
        <v>131</v>
      </c>
      <c r="T2037" s="197"/>
      <c r="U2037" s="197"/>
      <c r="V2037" s="197" t="s">
        <v>294</v>
      </c>
      <c r="W2037" s="197"/>
      <c r="X2037" s="197"/>
      <c r="Y2037" s="197"/>
      <c r="Z2037" s="197"/>
      <c r="AA2037" s="197"/>
      <c r="AB2037" s="197"/>
      <c r="AC2037" s="197"/>
      <c r="AD2037" s="198" t="s">
        <v>5</v>
      </c>
    </row>
    <row r="2038" spans="1:38" s="188" customFormat="1" ht="33" customHeight="1" x14ac:dyDescent="0.3">
      <c r="A2038" s="167">
        <v>32</v>
      </c>
      <c r="B2038" s="168">
        <v>71</v>
      </c>
      <c r="C2038" s="192" t="str">
        <f t="shared" si="41"/>
        <v>32.71</v>
      </c>
      <c r="D2038" s="193"/>
      <c r="E2038" s="64" t="str">
        <f>IF(ISBLANK(D2038)=TRUE,"",VLOOKUP(D2038,Krav!$C:$F,4,FALSE))</f>
        <v/>
      </c>
      <c r="F2038" s="77" t="s">
        <v>143</v>
      </c>
      <c r="G2038" s="77" t="s">
        <v>1427</v>
      </c>
      <c r="H2038" s="145" t="s">
        <v>1429</v>
      </c>
      <c r="I2038" s="83" t="s">
        <v>555</v>
      </c>
      <c r="J2038" s="83" t="s">
        <v>222</v>
      </c>
      <c r="K2038" s="125" t="s">
        <v>222</v>
      </c>
      <c r="L2038" s="199" t="s">
        <v>3</v>
      </c>
      <c r="M2038" s="197" t="s">
        <v>129</v>
      </c>
      <c r="N2038" s="197" t="s">
        <v>131</v>
      </c>
      <c r="O2038" s="197" t="s">
        <v>376</v>
      </c>
      <c r="P2038" s="197" t="s">
        <v>96</v>
      </c>
      <c r="Q2038" s="197" t="s">
        <v>131</v>
      </c>
      <c r="R2038" s="197" t="s">
        <v>129</v>
      </c>
      <c r="S2038" s="197" t="s">
        <v>131</v>
      </c>
      <c r="T2038" s="197"/>
      <c r="U2038" s="197"/>
      <c r="V2038" s="197" t="s">
        <v>294</v>
      </c>
      <c r="W2038" s="197"/>
      <c r="X2038" s="197"/>
      <c r="Y2038" s="197"/>
      <c r="Z2038" s="197" t="s">
        <v>129</v>
      </c>
      <c r="AA2038" s="197"/>
      <c r="AB2038" s="197"/>
      <c r="AC2038" s="197"/>
      <c r="AD2038" s="198" t="s">
        <v>5</v>
      </c>
    </row>
    <row r="2039" spans="1:38" s="188" customFormat="1" ht="33" customHeight="1" x14ac:dyDescent="0.3">
      <c r="A2039" s="167">
        <v>32</v>
      </c>
      <c r="B2039" s="168">
        <v>72</v>
      </c>
      <c r="C2039" s="192" t="str">
        <f t="shared" si="41"/>
        <v>32.72</v>
      </c>
      <c r="D2039" s="193" t="s">
        <v>1033</v>
      </c>
      <c r="E2039" s="64" t="str">
        <f>IF(ISBLANK(D2039)=TRUE,"",VLOOKUP(D2039,Krav!$C:$F,4,FALSE))</f>
        <v>10.a.1.1.2.1 - Hvis der er svaret "I visse tilfælde" i spørgsmål 9 og hvis der er svaret "Ja" i enten 9.b.1, 9.b.2.1 eller 9.b.2.2.1 skal brugeren ledes til spørgsmål 11</v>
      </c>
      <c r="F2039" s="77" t="s">
        <v>143</v>
      </c>
      <c r="G2039" s="77" t="s">
        <v>1427</v>
      </c>
      <c r="H2039" s="145" t="s">
        <v>1428</v>
      </c>
      <c r="I2039" s="83" t="s">
        <v>555</v>
      </c>
      <c r="J2039" s="83" t="s">
        <v>222</v>
      </c>
      <c r="K2039" s="125" t="s">
        <v>222</v>
      </c>
      <c r="L2039" s="196" t="s">
        <v>3</v>
      </c>
      <c r="M2039" s="197" t="s">
        <v>129</v>
      </c>
      <c r="N2039" s="197" t="s">
        <v>131</v>
      </c>
      <c r="O2039" s="197" t="s">
        <v>376</v>
      </c>
      <c r="P2039" s="197" t="s">
        <v>96</v>
      </c>
      <c r="Q2039" s="197" t="s">
        <v>131</v>
      </c>
      <c r="R2039" s="197" t="s">
        <v>129</v>
      </c>
      <c r="S2039" s="197" t="s">
        <v>131</v>
      </c>
      <c r="T2039" s="197"/>
      <c r="U2039" s="197"/>
      <c r="V2039" s="198" t="s">
        <v>295</v>
      </c>
      <c r="W2039" s="197" t="s">
        <v>26</v>
      </c>
      <c r="X2039" s="197"/>
      <c r="Y2039" s="197"/>
      <c r="Z2039" s="197" t="s">
        <v>129</v>
      </c>
      <c r="AA2039" s="197"/>
      <c r="AB2039" s="197"/>
      <c r="AC2039" s="197"/>
      <c r="AD2039" s="198" t="s">
        <v>5</v>
      </c>
    </row>
    <row r="2040" spans="1:38" s="188" customFormat="1" ht="33" customHeight="1" x14ac:dyDescent="0.3">
      <c r="A2040" s="167">
        <v>32</v>
      </c>
      <c r="B2040" s="168">
        <v>73</v>
      </c>
      <c r="C2040" s="192" t="str">
        <f t="shared" si="41"/>
        <v>32.73</v>
      </c>
      <c r="D2040" s="193" t="s">
        <v>1033</v>
      </c>
      <c r="E2040" s="64" t="str">
        <f>IF(ISBLANK(D2040)=TRUE,"",VLOOKUP(D2040,Krav!$C:$F,4,FALSE))</f>
        <v>10.a.1.1.2.1 - Hvis der er svaret "I visse tilfælde" i spørgsmål 9 og hvis der er svaret "Ja" i enten 9.b.1, 9.b.2.1 eller 9.b.2.2.1 skal brugeren ledes til spørgsmål 11</v>
      </c>
      <c r="F2040" s="77" t="s">
        <v>143</v>
      </c>
      <c r="G2040" s="77" t="s">
        <v>1427</v>
      </c>
      <c r="H2040" s="145" t="s">
        <v>1428</v>
      </c>
      <c r="I2040" s="83" t="s">
        <v>555</v>
      </c>
      <c r="J2040" s="83" t="s">
        <v>222</v>
      </c>
      <c r="K2040" s="125" t="s">
        <v>222</v>
      </c>
      <c r="L2040" s="196" t="s">
        <v>3</v>
      </c>
      <c r="M2040" s="197" t="s">
        <v>129</v>
      </c>
      <c r="N2040" s="197" t="s">
        <v>131</v>
      </c>
      <c r="O2040" s="197" t="s">
        <v>376</v>
      </c>
      <c r="P2040" s="197" t="s">
        <v>96</v>
      </c>
      <c r="Q2040" s="197" t="s">
        <v>131</v>
      </c>
      <c r="R2040" s="197" t="s">
        <v>129</v>
      </c>
      <c r="S2040" s="197" t="s">
        <v>131</v>
      </c>
      <c r="T2040" s="197"/>
      <c r="U2040" s="197"/>
      <c r="V2040" s="198" t="s">
        <v>295</v>
      </c>
      <c r="W2040" s="197" t="s">
        <v>166</v>
      </c>
      <c r="X2040" s="197" t="s">
        <v>26</v>
      </c>
      <c r="Y2040" s="197"/>
      <c r="Z2040" s="197" t="s">
        <v>129</v>
      </c>
      <c r="AA2040" s="197"/>
      <c r="AB2040" s="197"/>
      <c r="AC2040" s="197"/>
      <c r="AD2040" s="198" t="s">
        <v>5</v>
      </c>
    </row>
    <row r="2041" spans="1:38" s="188" customFormat="1" ht="33" customHeight="1" x14ac:dyDescent="0.3">
      <c r="A2041" s="167">
        <v>32</v>
      </c>
      <c r="B2041" s="168">
        <v>74</v>
      </c>
      <c r="C2041" s="192" t="str">
        <f t="shared" si="41"/>
        <v>32.74</v>
      </c>
      <c r="D2041" s="193" t="s">
        <v>1033</v>
      </c>
      <c r="E2041" s="64" t="str">
        <f>IF(ISBLANK(D2041)=TRUE,"",VLOOKUP(D2041,Krav!$C:$F,4,FALSE))</f>
        <v>10.a.1.1.2.1 - Hvis der er svaret "I visse tilfælde" i spørgsmål 9 og hvis der er svaret "Ja" i enten 9.b.1, 9.b.2.1 eller 9.b.2.2.1 skal brugeren ledes til spørgsmål 11</v>
      </c>
      <c r="F2041" s="77" t="s">
        <v>143</v>
      </c>
      <c r="G2041" s="77" t="s">
        <v>1427</v>
      </c>
      <c r="H2041" s="145" t="s">
        <v>1428</v>
      </c>
      <c r="I2041" s="83" t="s">
        <v>555</v>
      </c>
      <c r="J2041" s="83" t="s">
        <v>222</v>
      </c>
      <c r="K2041" s="125" t="s">
        <v>222</v>
      </c>
      <c r="L2041" s="199" t="s">
        <v>3</v>
      </c>
      <c r="M2041" s="197" t="s">
        <v>129</v>
      </c>
      <c r="N2041" s="197" t="s">
        <v>131</v>
      </c>
      <c r="O2041" s="197" t="s">
        <v>376</v>
      </c>
      <c r="P2041" s="197" t="s">
        <v>96</v>
      </c>
      <c r="Q2041" s="197" t="s">
        <v>131</v>
      </c>
      <c r="R2041" s="197" t="s">
        <v>129</v>
      </c>
      <c r="S2041" s="197" t="s">
        <v>131</v>
      </c>
      <c r="T2041" s="197"/>
      <c r="U2041" s="197"/>
      <c r="V2041" s="198" t="s">
        <v>295</v>
      </c>
      <c r="W2041" s="197" t="s">
        <v>166</v>
      </c>
      <c r="X2041" s="197" t="s">
        <v>166</v>
      </c>
      <c r="Y2041" s="197" t="s">
        <v>580</v>
      </c>
      <c r="Z2041" s="197" t="s">
        <v>129</v>
      </c>
      <c r="AA2041" s="197"/>
      <c r="AB2041" s="197"/>
      <c r="AC2041" s="197"/>
      <c r="AD2041" s="198" t="s">
        <v>5</v>
      </c>
    </row>
    <row r="2042" spans="1:38" s="188" customFormat="1" ht="33" customHeight="1" x14ac:dyDescent="0.3">
      <c r="A2042" s="167">
        <v>32</v>
      </c>
      <c r="B2042" s="168">
        <v>75</v>
      </c>
      <c r="C2042" s="192" t="str">
        <f t="shared" si="41"/>
        <v>32.75</v>
      </c>
      <c r="D2042" s="193"/>
      <c r="E2042" s="64" t="str">
        <f>IF(ISBLANK(D2042)=TRUE,"",VLOOKUP(D2042,Krav!$C:$F,4,FALSE))</f>
        <v/>
      </c>
      <c r="F2042" s="77" t="s">
        <v>143</v>
      </c>
      <c r="G2042" s="77" t="s">
        <v>1427</v>
      </c>
      <c r="H2042" s="145" t="s">
        <v>1429</v>
      </c>
      <c r="I2042" s="83" t="s">
        <v>560</v>
      </c>
      <c r="J2042" s="83" t="s">
        <v>222</v>
      </c>
      <c r="K2042" s="125" t="s">
        <v>222</v>
      </c>
      <c r="L2042" s="199" t="s">
        <v>3</v>
      </c>
      <c r="M2042" s="197" t="s">
        <v>129</v>
      </c>
      <c r="N2042" s="197" t="s">
        <v>131</v>
      </c>
      <c r="O2042" s="197" t="s">
        <v>376</v>
      </c>
      <c r="P2042" s="197" t="s">
        <v>96</v>
      </c>
      <c r="Q2042" s="197" t="s">
        <v>131</v>
      </c>
      <c r="R2042" s="197" t="s">
        <v>129</v>
      </c>
      <c r="S2042" s="197" t="s">
        <v>131</v>
      </c>
      <c r="T2042" s="197"/>
      <c r="U2042" s="197"/>
      <c r="V2042" s="197" t="s">
        <v>294</v>
      </c>
      <c r="W2042" s="197"/>
      <c r="X2042" s="197"/>
      <c r="Y2042" s="197"/>
      <c r="Z2042" s="197"/>
      <c r="AA2042" s="197" t="s">
        <v>129</v>
      </c>
      <c r="AB2042" s="197"/>
      <c r="AC2042" s="197"/>
      <c r="AD2042" s="198" t="s">
        <v>5</v>
      </c>
    </row>
    <row r="2043" spans="1:38" s="188" customFormat="1" ht="33" customHeight="1" x14ac:dyDescent="0.3">
      <c r="A2043" s="167">
        <v>32</v>
      </c>
      <c r="B2043" s="168">
        <v>76</v>
      </c>
      <c r="C2043" s="192" t="str">
        <f t="shared" si="41"/>
        <v>32.76</v>
      </c>
      <c r="D2043" s="193" t="s">
        <v>1033</v>
      </c>
      <c r="E2043" s="64" t="str">
        <f>IF(ISBLANK(D2043)=TRUE,"",VLOOKUP(D2043,Krav!$C:$F,4,FALSE))</f>
        <v>10.a.1.1.2.1 - Hvis der er svaret "I visse tilfælde" i spørgsmål 9 og hvis der er svaret "Ja" i enten 9.b.1, 9.b.2.1 eller 9.b.2.2.1 skal brugeren ledes til spørgsmål 11</v>
      </c>
      <c r="F2043" s="77" t="s">
        <v>143</v>
      </c>
      <c r="G2043" s="77" t="s">
        <v>1427</v>
      </c>
      <c r="H2043" s="145" t="s">
        <v>1428</v>
      </c>
      <c r="I2043" s="83" t="s">
        <v>560</v>
      </c>
      <c r="J2043" s="83" t="s">
        <v>222</v>
      </c>
      <c r="K2043" s="125" t="s">
        <v>222</v>
      </c>
      <c r="L2043" s="196" t="s">
        <v>3</v>
      </c>
      <c r="M2043" s="197" t="s">
        <v>129</v>
      </c>
      <c r="N2043" s="197" t="s">
        <v>131</v>
      </c>
      <c r="O2043" s="197" t="s">
        <v>376</v>
      </c>
      <c r="P2043" s="197" t="s">
        <v>96</v>
      </c>
      <c r="Q2043" s="197" t="s">
        <v>131</v>
      </c>
      <c r="R2043" s="197" t="s">
        <v>129</v>
      </c>
      <c r="S2043" s="197" t="s">
        <v>131</v>
      </c>
      <c r="T2043" s="197"/>
      <c r="U2043" s="197"/>
      <c r="V2043" s="198" t="s">
        <v>295</v>
      </c>
      <c r="W2043" s="197" t="s">
        <v>26</v>
      </c>
      <c r="X2043" s="197"/>
      <c r="Y2043" s="197"/>
      <c r="Z2043" s="197"/>
      <c r="AA2043" s="197" t="s">
        <v>129</v>
      </c>
      <c r="AB2043" s="197"/>
      <c r="AC2043" s="197"/>
      <c r="AD2043" s="198" t="s">
        <v>5</v>
      </c>
    </row>
    <row r="2044" spans="1:38" s="188" customFormat="1" ht="33" customHeight="1" x14ac:dyDescent="0.3">
      <c r="A2044" s="167">
        <v>32</v>
      </c>
      <c r="B2044" s="168">
        <v>77</v>
      </c>
      <c r="C2044" s="192" t="str">
        <f t="shared" si="41"/>
        <v>32.77</v>
      </c>
      <c r="D2044" s="193" t="s">
        <v>1033</v>
      </c>
      <c r="E2044" s="64" t="str">
        <f>IF(ISBLANK(D2044)=TRUE,"",VLOOKUP(D2044,Krav!$C:$F,4,FALSE))</f>
        <v>10.a.1.1.2.1 - Hvis der er svaret "I visse tilfælde" i spørgsmål 9 og hvis der er svaret "Ja" i enten 9.b.1, 9.b.2.1 eller 9.b.2.2.1 skal brugeren ledes til spørgsmål 11</v>
      </c>
      <c r="F2044" s="77" t="s">
        <v>143</v>
      </c>
      <c r="G2044" s="77" t="s">
        <v>1427</v>
      </c>
      <c r="H2044" s="145" t="s">
        <v>1428</v>
      </c>
      <c r="I2044" s="83" t="s">
        <v>560</v>
      </c>
      <c r="J2044" s="83" t="s">
        <v>222</v>
      </c>
      <c r="K2044" s="125" t="s">
        <v>222</v>
      </c>
      <c r="L2044" s="196" t="s">
        <v>3</v>
      </c>
      <c r="M2044" s="197" t="s">
        <v>129</v>
      </c>
      <c r="N2044" s="197" t="s">
        <v>131</v>
      </c>
      <c r="O2044" s="197" t="s">
        <v>376</v>
      </c>
      <c r="P2044" s="197" t="s">
        <v>96</v>
      </c>
      <c r="Q2044" s="197" t="s">
        <v>131</v>
      </c>
      <c r="R2044" s="197" t="s">
        <v>129</v>
      </c>
      <c r="S2044" s="197" t="s">
        <v>131</v>
      </c>
      <c r="T2044" s="197"/>
      <c r="U2044" s="197"/>
      <c r="V2044" s="198" t="s">
        <v>295</v>
      </c>
      <c r="W2044" s="197" t="s">
        <v>166</v>
      </c>
      <c r="X2044" s="197" t="s">
        <v>26</v>
      </c>
      <c r="Y2044" s="197"/>
      <c r="Z2044" s="197"/>
      <c r="AA2044" s="197" t="s">
        <v>129</v>
      </c>
      <c r="AB2044" s="197"/>
      <c r="AC2044" s="197"/>
      <c r="AD2044" s="198" t="s">
        <v>5</v>
      </c>
      <c r="AE2044" s="200"/>
      <c r="AF2044" s="200"/>
      <c r="AG2044" s="200"/>
      <c r="AH2044" s="200"/>
      <c r="AI2044" s="200"/>
      <c r="AJ2044" s="200"/>
      <c r="AK2044" s="200"/>
      <c r="AL2044" s="200"/>
    </row>
    <row r="2045" spans="1:38" s="188" customFormat="1" ht="33" customHeight="1" x14ac:dyDescent="0.3">
      <c r="A2045" s="167">
        <v>32</v>
      </c>
      <c r="B2045" s="168">
        <v>78</v>
      </c>
      <c r="C2045" s="192" t="str">
        <f t="shared" si="41"/>
        <v>32.78</v>
      </c>
      <c r="D2045" s="193" t="s">
        <v>1033</v>
      </c>
      <c r="E2045" s="64" t="str">
        <f>IF(ISBLANK(D2045)=TRUE,"",VLOOKUP(D2045,Krav!$C:$F,4,FALSE))</f>
        <v>10.a.1.1.2.1 - Hvis der er svaret "I visse tilfælde" i spørgsmål 9 og hvis der er svaret "Ja" i enten 9.b.1, 9.b.2.1 eller 9.b.2.2.1 skal brugeren ledes til spørgsmål 11</v>
      </c>
      <c r="F2045" s="77" t="s">
        <v>143</v>
      </c>
      <c r="G2045" s="77" t="s">
        <v>1427</v>
      </c>
      <c r="H2045" s="145" t="s">
        <v>1428</v>
      </c>
      <c r="I2045" s="83" t="s">
        <v>560</v>
      </c>
      <c r="J2045" s="83" t="s">
        <v>222</v>
      </c>
      <c r="K2045" s="125" t="s">
        <v>222</v>
      </c>
      <c r="L2045" s="199" t="s">
        <v>3</v>
      </c>
      <c r="M2045" s="197" t="s">
        <v>129</v>
      </c>
      <c r="N2045" s="197" t="s">
        <v>131</v>
      </c>
      <c r="O2045" s="197" t="s">
        <v>376</v>
      </c>
      <c r="P2045" s="197" t="s">
        <v>96</v>
      </c>
      <c r="Q2045" s="197" t="s">
        <v>131</v>
      </c>
      <c r="R2045" s="197" t="s">
        <v>129</v>
      </c>
      <c r="S2045" s="197" t="s">
        <v>131</v>
      </c>
      <c r="T2045" s="197"/>
      <c r="U2045" s="197"/>
      <c r="V2045" s="198" t="s">
        <v>295</v>
      </c>
      <c r="W2045" s="197" t="s">
        <v>166</v>
      </c>
      <c r="X2045" s="197" t="s">
        <v>166</v>
      </c>
      <c r="Y2045" s="197" t="s">
        <v>580</v>
      </c>
      <c r="Z2045" s="197"/>
      <c r="AA2045" s="197" t="s">
        <v>129</v>
      </c>
      <c r="AB2045" s="197"/>
      <c r="AC2045" s="197"/>
      <c r="AD2045" s="198" t="s">
        <v>5</v>
      </c>
      <c r="AE2045" s="200"/>
      <c r="AF2045" s="200"/>
      <c r="AG2045" s="200"/>
      <c r="AH2045" s="200"/>
      <c r="AI2045" s="200"/>
      <c r="AJ2045" s="200"/>
      <c r="AK2045" s="200"/>
      <c r="AL2045" s="200"/>
    </row>
    <row r="2046" spans="1:38" s="188" customFormat="1" ht="33" customHeight="1" x14ac:dyDescent="0.3">
      <c r="A2046" s="167">
        <v>32</v>
      </c>
      <c r="B2046" s="168">
        <v>79</v>
      </c>
      <c r="C2046" s="192" t="str">
        <f t="shared" si="41"/>
        <v>32.79</v>
      </c>
      <c r="D2046" s="193"/>
      <c r="E2046" s="64" t="str">
        <f>IF(ISBLANK(D2046)=TRUE,"",VLOOKUP(D2046,Krav!$C:$F,4,FALSE))</f>
        <v/>
      </c>
      <c r="F2046" s="77" t="s">
        <v>143</v>
      </c>
      <c r="G2046" s="77" t="s">
        <v>1427</v>
      </c>
      <c r="H2046" s="145" t="s">
        <v>1429</v>
      </c>
      <c r="I2046" s="83" t="s">
        <v>565</v>
      </c>
      <c r="J2046" s="83" t="s">
        <v>222</v>
      </c>
      <c r="K2046" s="125" t="s">
        <v>222</v>
      </c>
      <c r="L2046" s="199" t="s">
        <v>3</v>
      </c>
      <c r="M2046" s="197" t="s">
        <v>129</v>
      </c>
      <c r="N2046" s="197" t="s">
        <v>131</v>
      </c>
      <c r="O2046" s="197" t="s">
        <v>376</v>
      </c>
      <c r="P2046" s="197" t="s">
        <v>96</v>
      </c>
      <c r="Q2046" s="197" t="s">
        <v>131</v>
      </c>
      <c r="R2046" s="197" t="s">
        <v>129</v>
      </c>
      <c r="S2046" s="197" t="s">
        <v>131</v>
      </c>
      <c r="T2046" s="197"/>
      <c r="U2046" s="197"/>
      <c r="V2046" s="197" t="s">
        <v>294</v>
      </c>
      <c r="W2046" s="197"/>
      <c r="X2046" s="197"/>
      <c r="Y2046" s="197"/>
      <c r="Z2046" s="197"/>
      <c r="AA2046" s="197"/>
      <c r="AB2046" s="197" t="s">
        <v>129</v>
      </c>
      <c r="AC2046" s="197"/>
      <c r="AD2046" s="198" t="s">
        <v>5</v>
      </c>
      <c r="AE2046" s="200"/>
      <c r="AF2046" s="200"/>
      <c r="AG2046" s="200"/>
      <c r="AH2046" s="200"/>
      <c r="AI2046" s="200"/>
      <c r="AJ2046" s="200"/>
      <c r="AK2046" s="200"/>
      <c r="AL2046" s="200"/>
    </row>
    <row r="2047" spans="1:38" s="188" customFormat="1" ht="33" customHeight="1" x14ac:dyDescent="0.3">
      <c r="A2047" s="167">
        <v>32</v>
      </c>
      <c r="B2047" s="168">
        <v>80</v>
      </c>
      <c r="C2047" s="192" t="str">
        <f t="shared" si="41"/>
        <v>32.80</v>
      </c>
      <c r="D2047" s="193" t="s">
        <v>1033</v>
      </c>
      <c r="E2047" s="64" t="str">
        <f>IF(ISBLANK(D2047)=TRUE,"",VLOOKUP(D2047,Krav!$C:$F,4,FALSE))</f>
        <v>10.a.1.1.2.1 - Hvis der er svaret "I visse tilfælde" i spørgsmål 9 og hvis der er svaret "Ja" i enten 9.b.1, 9.b.2.1 eller 9.b.2.2.1 skal brugeren ledes til spørgsmål 11</v>
      </c>
      <c r="F2047" s="77" t="s">
        <v>143</v>
      </c>
      <c r="G2047" s="77" t="s">
        <v>1427</v>
      </c>
      <c r="H2047" s="145" t="s">
        <v>1428</v>
      </c>
      <c r="I2047" s="83" t="s">
        <v>565</v>
      </c>
      <c r="J2047" s="83" t="s">
        <v>222</v>
      </c>
      <c r="K2047" s="125" t="s">
        <v>222</v>
      </c>
      <c r="L2047" s="196" t="s">
        <v>3</v>
      </c>
      <c r="M2047" s="197" t="s">
        <v>129</v>
      </c>
      <c r="N2047" s="197" t="s">
        <v>131</v>
      </c>
      <c r="O2047" s="197" t="s">
        <v>376</v>
      </c>
      <c r="P2047" s="197" t="s">
        <v>96</v>
      </c>
      <c r="Q2047" s="197" t="s">
        <v>131</v>
      </c>
      <c r="R2047" s="197" t="s">
        <v>129</v>
      </c>
      <c r="S2047" s="197" t="s">
        <v>131</v>
      </c>
      <c r="T2047" s="197"/>
      <c r="U2047" s="197"/>
      <c r="V2047" s="198" t="s">
        <v>295</v>
      </c>
      <c r="W2047" s="197" t="s">
        <v>26</v>
      </c>
      <c r="X2047" s="197"/>
      <c r="Y2047" s="197"/>
      <c r="Z2047" s="197"/>
      <c r="AA2047" s="197"/>
      <c r="AB2047" s="197" t="s">
        <v>129</v>
      </c>
      <c r="AC2047" s="197"/>
      <c r="AD2047" s="198" t="s">
        <v>5</v>
      </c>
      <c r="AE2047" s="200"/>
      <c r="AF2047" s="200"/>
      <c r="AG2047" s="200"/>
      <c r="AH2047" s="200"/>
      <c r="AI2047" s="200"/>
      <c r="AJ2047" s="200"/>
      <c r="AK2047" s="200"/>
      <c r="AL2047" s="200"/>
    </row>
    <row r="2048" spans="1:38" s="188" customFormat="1" ht="33" customHeight="1" x14ac:dyDescent="0.3">
      <c r="A2048" s="167">
        <v>32</v>
      </c>
      <c r="B2048" s="168">
        <v>81</v>
      </c>
      <c r="C2048" s="192" t="str">
        <f t="shared" si="41"/>
        <v>32.81</v>
      </c>
      <c r="D2048" s="193" t="s">
        <v>1033</v>
      </c>
      <c r="E2048" s="64" t="str">
        <f>IF(ISBLANK(D2048)=TRUE,"",VLOOKUP(D2048,Krav!$C:$F,4,FALSE))</f>
        <v>10.a.1.1.2.1 - Hvis der er svaret "I visse tilfælde" i spørgsmål 9 og hvis der er svaret "Ja" i enten 9.b.1, 9.b.2.1 eller 9.b.2.2.1 skal brugeren ledes til spørgsmål 11</v>
      </c>
      <c r="F2048" s="77" t="s">
        <v>143</v>
      </c>
      <c r="G2048" s="77" t="s">
        <v>1427</v>
      </c>
      <c r="H2048" s="145" t="s">
        <v>1428</v>
      </c>
      <c r="I2048" s="83" t="s">
        <v>565</v>
      </c>
      <c r="J2048" s="83" t="s">
        <v>222</v>
      </c>
      <c r="K2048" s="125" t="s">
        <v>222</v>
      </c>
      <c r="L2048" s="196" t="s">
        <v>3</v>
      </c>
      <c r="M2048" s="197" t="s">
        <v>129</v>
      </c>
      <c r="N2048" s="197" t="s">
        <v>131</v>
      </c>
      <c r="O2048" s="197" t="s">
        <v>376</v>
      </c>
      <c r="P2048" s="197" t="s">
        <v>96</v>
      </c>
      <c r="Q2048" s="197" t="s">
        <v>131</v>
      </c>
      <c r="R2048" s="197" t="s">
        <v>129</v>
      </c>
      <c r="S2048" s="197" t="s">
        <v>131</v>
      </c>
      <c r="T2048" s="197"/>
      <c r="U2048" s="197"/>
      <c r="V2048" s="198" t="s">
        <v>295</v>
      </c>
      <c r="W2048" s="197" t="s">
        <v>166</v>
      </c>
      <c r="X2048" s="197" t="s">
        <v>26</v>
      </c>
      <c r="Y2048" s="197"/>
      <c r="Z2048" s="197"/>
      <c r="AA2048" s="197"/>
      <c r="AB2048" s="197" t="s">
        <v>129</v>
      </c>
      <c r="AC2048" s="197"/>
      <c r="AD2048" s="198" t="s">
        <v>5</v>
      </c>
      <c r="AE2048" s="200"/>
      <c r="AF2048" s="200"/>
      <c r="AG2048" s="200"/>
      <c r="AH2048" s="200"/>
      <c r="AI2048" s="200"/>
      <c r="AJ2048" s="200"/>
      <c r="AK2048" s="200"/>
      <c r="AL2048" s="200"/>
    </row>
    <row r="2049" spans="1:38" s="188" customFormat="1" ht="33" customHeight="1" x14ac:dyDescent="0.3">
      <c r="A2049" s="167">
        <v>32</v>
      </c>
      <c r="B2049" s="168">
        <v>82</v>
      </c>
      <c r="C2049" s="192" t="str">
        <f t="shared" si="41"/>
        <v>32.82</v>
      </c>
      <c r="D2049" s="193" t="s">
        <v>1033</v>
      </c>
      <c r="E2049" s="64" t="str">
        <f>IF(ISBLANK(D2049)=TRUE,"",VLOOKUP(D2049,Krav!$C:$F,4,FALSE))</f>
        <v>10.a.1.1.2.1 - Hvis der er svaret "I visse tilfælde" i spørgsmål 9 og hvis der er svaret "Ja" i enten 9.b.1, 9.b.2.1 eller 9.b.2.2.1 skal brugeren ledes til spørgsmål 11</v>
      </c>
      <c r="F2049" s="77" t="s">
        <v>143</v>
      </c>
      <c r="G2049" s="77" t="s">
        <v>1427</v>
      </c>
      <c r="H2049" s="145" t="s">
        <v>1428</v>
      </c>
      <c r="I2049" s="83" t="s">
        <v>565</v>
      </c>
      <c r="J2049" s="83" t="s">
        <v>222</v>
      </c>
      <c r="K2049" s="125" t="s">
        <v>222</v>
      </c>
      <c r="L2049" s="199" t="s">
        <v>3</v>
      </c>
      <c r="M2049" s="197" t="s">
        <v>129</v>
      </c>
      <c r="N2049" s="197" t="s">
        <v>131</v>
      </c>
      <c r="O2049" s="197" t="s">
        <v>376</v>
      </c>
      <c r="P2049" s="197" t="s">
        <v>96</v>
      </c>
      <c r="Q2049" s="197" t="s">
        <v>131</v>
      </c>
      <c r="R2049" s="197" t="s">
        <v>129</v>
      </c>
      <c r="S2049" s="197" t="s">
        <v>131</v>
      </c>
      <c r="T2049" s="197"/>
      <c r="U2049" s="197"/>
      <c r="V2049" s="198" t="s">
        <v>295</v>
      </c>
      <c r="W2049" s="197" t="s">
        <v>166</v>
      </c>
      <c r="X2049" s="197" t="s">
        <v>166</v>
      </c>
      <c r="Y2049" s="197" t="s">
        <v>580</v>
      </c>
      <c r="Z2049" s="197"/>
      <c r="AA2049" s="197"/>
      <c r="AB2049" s="197" t="s">
        <v>129</v>
      </c>
      <c r="AC2049" s="197"/>
      <c r="AD2049" s="198" t="s">
        <v>5</v>
      </c>
      <c r="AE2049" s="200"/>
      <c r="AF2049" s="200"/>
      <c r="AG2049" s="200"/>
      <c r="AH2049" s="200"/>
      <c r="AI2049" s="200"/>
      <c r="AJ2049" s="200"/>
      <c r="AK2049" s="200"/>
      <c r="AL2049" s="200"/>
    </row>
    <row r="2050" spans="1:38" s="200" customFormat="1" ht="33" customHeight="1" x14ac:dyDescent="0.3">
      <c r="A2050" s="167">
        <v>32</v>
      </c>
      <c r="B2050" s="168">
        <v>83</v>
      </c>
      <c r="C2050" s="203" t="str">
        <f t="shared" si="41"/>
        <v>32.83</v>
      </c>
      <c r="D2050" s="18" t="s">
        <v>1063</v>
      </c>
      <c r="E2050" s="64" t="str">
        <f>IF(ISBLANK(D2050)=TRUE,"",VLOOKUP(D2050,Krav!$C:$F,4,FALSE))</f>
        <v>10.a.1.2.22 - Der angives et "NEJ" i i populationen under ”vil RIM beregne en tidligst mulig forældelsesdato?"</v>
      </c>
      <c r="F2050" s="53" t="s">
        <v>221</v>
      </c>
      <c r="G2050" s="19"/>
      <c r="H2050" s="76" t="s">
        <v>1430</v>
      </c>
      <c r="I2050" s="67" t="s">
        <v>241</v>
      </c>
      <c r="J2050" s="68" t="s">
        <v>222</v>
      </c>
      <c r="K2050" s="125" t="s">
        <v>222</v>
      </c>
      <c r="L2050" s="204" t="s">
        <v>3</v>
      </c>
      <c r="M2050" s="61" t="s">
        <v>129</v>
      </c>
      <c r="N2050" s="61" t="s">
        <v>131</v>
      </c>
      <c r="O2050" s="61" t="s">
        <v>96</v>
      </c>
      <c r="P2050" s="61" t="s">
        <v>376</v>
      </c>
      <c r="Q2050" s="61" t="s">
        <v>129</v>
      </c>
      <c r="R2050" s="61" t="s">
        <v>131</v>
      </c>
      <c r="S2050" s="61" t="s">
        <v>131</v>
      </c>
      <c r="T2050" s="61"/>
      <c r="U2050" s="61"/>
      <c r="V2050" s="61"/>
      <c r="W2050" s="61"/>
      <c r="X2050" s="61"/>
      <c r="Y2050" s="61"/>
      <c r="Z2050" s="61"/>
      <c r="AA2050" s="61"/>
      <c r="AB2050" s="61"/>
      <c r="AC2050" s="61"/>
      <c r="AD2050" s="59" t="s">
        <v>5</v>
      </c>
    </row>
    <row r="2051" spans="1:38" s="200" customFormat="1" ht="33" customHeight="1" x14ac:dyDescent="0.3">
      <c r="A2051" s="167">
        <v>32</v>
      </c>
      <c r="B2051" s="168">
        <v>84</v>
      </c>
      <c r="C2051" s="203" t="str">
        <f t="shared" si="41"/>
        <v>32.84</v>
      </c>
      <c r="D2051" s="18" t="s">
        <v>1064</v>
      </c>
      <c r="E2051" s="64" t="str">
        <f>IF(ISBLANK(D2051)=TRUE,"",VLOOKUP(D2051,Krav!$C:$F,4,FALSE))</f>
        <v>10.a.1.2.23 - Gruppe 1 deaktiveres</v>
      </c>
      <c r="F2051" s="53" t="s">
        <v>227</v>
      </c>
      <c r="G2051" s="19"/>
      <c r="H2051" s="25" t="s">
        <v>1423</v>
      </c>
      <c r="I2051" s="67" t="s">
        <v>241</v>
      </c>
      <c r="J2051" s="68" t="s">
        <v>222</v>
      </c>
      <c r="K2051" s="125" t="s">
        <v>222</v>
      </c>
      <c r="L2051" s="204" t="s">
        <v>3</v>
      </c>
      <c r="M2051" s="61" t="s">
        <v>129</v>
      </c>
      <c r="N2051" s="61" t="s">
        <v>131</v>
      </c>
      <c r="O2051" s="61" t="s">
        <v>96</v>
      </c>
      <c r="P2051" s="61" t="s">
        <v>376</v>
      </c>
      <c r="Q2051" s="61" t="s">
        <v>129</v>
      </c>
      <c r="R2051" s="61" t="s">
        <v>131</v>
      </c>
      <c r="S2051" s="61" t="s">
        <v>131</v>
      </c>
      <c r="T2051" s="61"/>
      <c r="U2051" s="61"/>
      <c r="V2051" s="61"/>
      <c r="W2051" s="61"/>
      <c r="X2051" s="61"/>
      <c r="Y2051" s="61"/>
      <c r="Z2051" s="61"/>
      <c r="AA2051" s="61"/>
      <c r="AB2051" s="61"/>
      <c r="AC2051" s="61"/>
      <c r="AD2051" s="59" t="s">
        <v>5</v>
      </c>
    </row>
    <row r="2052" spans="1:38" s="200" customFormat="1" ht="33" customHeight="1" x14ac:dyDescent="0.3">
      <c r="A2052" s="167">
        <v>32</v>
      </c>
      <c r="B2052" s="168">
        <v>85</v>
      </c>
      <c r="C2052" s="203" t="str">
        <f t="shared" si="41"/>
        <v>32.85</v>
      </c>
      <c r="D2052" s="18"/>
      <c r="E2052" s="64" t="str">
        <f>IF(ISBLANK(D2052)=TRUE,"",VLOOKUP(D2052,Krav!$C:$F,4,FALSE))</f>
        <v/>
      </c>
      <c r="F2052" s="53" t="s">
        <v>225</v>
      </c>
      <c r="G2052" s="19" t="s">
        <v>230</v>
      </c>
      <c r="H2052" s="76" t="s">
        <v>1431</v>
      </c>
      <c r="I2052" s="67" t="s">
        <v>1407</v>
      </c>
      <c r="J2052" s="68" t="s">
        <v>222</v>
      </c>
      <c r="K2052" s="125" t="s">
        <v>222</v>
      </c>
      <c r="L2052" s="204" t="s">
        <v>3</v>
      </c>
      <c r="M2052" s="61" t="s">
        <v>129</v>
      </c>
      <c r="N2052" s="61" t="s">
        <v>131</v>
      </c>
      <c r="O2052" s="61" t="s">
        <v>96</v>
      </c>
      <c r="P2052" s="61" t="s">
        <v>376</v>
      </c>
      <c r="Q2052" s="61" t="s">
        <v>129</v>
      </c>
      <c r="R2052" s="61" t="s">
        <v>131</v>
      </c>
      <c r="S2052" s="61" t="s">
        <v>131</v>
      </c>
      <c r="T2052" s="61"/>
      <c r="U2052" s="61"/>
      <c r="V2052" s="61"/>
      <c r="W2052" s="61"/>
      <c r="X2052" s="61"/>
      <c r="Y2052" s="61"/>
      <c r="Z2052" s="61"/>
      <c r="AA2052" s="61"/>
      <c r="AB2052" s="61"/>
      <c r="AC2052" s="61"/>
      <c r="AD2052" s="59" t="s">
        <v>5</v>
      </c>
    </row>
    <row r="2053" spans="1:38" s="200" customFormat="1" ht="33" customHeight="1" x14ac:dyDescent="0.3">
      <c r="A2053" s="167">
        <v>32</v>
      </c>
      <c r="B2053" s="168">
        <v>86</v>
      </c>
      <c r="C2053" s="203" t="str">
        <f t="shared" si="41"/>
        <v>32.86</v>
      </c>
      <c r="D2053" s="18"/>
      <c r="E2053" s="64" t="str">
        <f>IF(ISBLANK(D2053)=TRUE,"",VLOOKUP(D2053,Krav!$C:$F,4,FALSE))</f>
        <v/>
      </c>
      <c r="F2053" s="53" t="s">
        <v>225</v>
      </c>
      <c r="G2053" s="19" t="s">
        <v>1390</v>
      </c>
      <c r="H2053" s="76" t="s">
        <v>1431</v>
      </c>
      <c r="I2053" s="67" t="s">
        <v>369</v>
      </c>
      <c r="J2053" s="68" t="s">
        <v>222</v>
      </c>
      <c r="K2053" s="125" t="s">
        <v>222</v>
      </c>
      <c r="L2053" s="204" t="s">
        <v>3</v>
      </c>
      <c r="M2053" s="61" t="s">
        <v>129</v>
      </c>
      <c r="N2053" s="61" t="s">
        <v>131</v>
      </c>
      <c r="O2053" s="61" t="s">
        <v>96</v>
      </c>
      <c r="P2053" s="61" t="s">
        <v>376</v>
      </c>
      <c r="Q2053" s="61" t="s">
        <v>129</v>
      </c>
      <c r="R2053" s="61" t="s">
        <v>131</v>
      </c>
      <c r="S2053" s="61" t="s">
        <v>131</v>
      </c>
      <c r="T2053" s="61"/>
      <c r="U2053" s="61"/>
      <c r="V2053" s="61"/>
      <c r="W2053" s="61"/>
      <c r="X2053" s="61"/>
      <c r="Y2053" s="61"/>
      <c r="Z2053" s="61"/>
      <c r="AA2053" s="61"/>
      <c r="AB2053" s="61"/>
      <c r="AC2053" s="61"/>
      <c r="AD2053" s="59" t="s">
        <v>5</v>
      </c>
    </row>
    <row r="2054" spans="1:38" s="200" customFormat="1" ht="33" customHeight="1" x14ac:dyDescent="0.3">
      <c r="A2054" s="167">
        <v>32</v>
      </c>
      <c r="B2054" s="168">
        <v>87</v>
      </c>
      <c r="C2054" s="203" t="str">
        <f t="shared" si="41"/>
        <v>32.87</v>
      </c>
      <c r="D2054" s="18" t="s">
        <v>1038</v>
      </c>
      <c r="E2054" s="64" t="str">
        <f>IF(ISBLANK(D2054)=TRUE,"",VLOOKUP(D2054,Krav!$C:$F,4,FALSE))</f>
        <v>10.a.1.1.2.4 -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054" s="29" t="s">
        <v>174</v>
      </c>
      <c r="G2054" s="19"/>
      <c r="H2054" s="76" t="s">
        <v>1424</v>
      </c>
      <c r="I2054" s="67" t="s">
        <v>1425</v>
      </c>
      <c r="J2054" s="68" t="s">
        <v>222</v>
      </c>
      <c r="K2054" s="125" t="s">
        <v>222</v>
      </c>
      <c r="L2054" s="204" t="s">
        <v>3</v>
      </c>
      <c r="M2054" s="61" t="s">
        <v>129</v>
      </c>
      <c r="N2054" s="61" t="s">
        <v>131</v>
      </c>
      <c r="O2054" s="61" t="s">
        <v>96</v>
      </c>
      <c r="P2054" s="61" t="s">
        <v>376</v>
      </c>
      <c r="Q2054" s="61" t="s">
        <v>129</v>
      </c>
      <c r="R2054" s="61" t="s">
        <v>131</v>
      </c>
      <c r="S2054" s="61" t="s">
        <v>131</v>
      </c>
      <c r="T2054" s="61"/>
      <c r="U2054" s="61"/>
      <c r="V2054" s="61" t="s">
        <v>294</v>
      </c>
      <c r="W2054" s="61"/>
      <c r="X2054" s="61"/>
      <c r="Y2054" s="61"/>
      <c r="Z2054" s="61"/>
      <c r="AA2054" s="61"/>
      <c r="AB2054" s="61"/>
      <c r="AC2054" s="61"/>
      <c r="AD2054" s="59" t="s">
        <v>5</v>
      </c>
    </row>
    <row r="2055" spans="1:38" s="200" customFormat="1" ht="33" customHeight="1" x14ac:dyDescent="0.3">
      <c r="A2055" s="167">
        <v>32</v>
      </c>
      <c r="B2055" s="168">
        <v>88</v>
      </c>
      <c r="C2055" s="203" t="str">
        <f t="shared" si="41"/>
        <v>32.88</v>
      </c>
      <c r="D2055" s="18" t="s">
        <v>1065</v>
      </c>
      <c r="E2055" s="64" t="str">
        <f>IF(ISBLANK(D2055)=TRUE,"",VLOOKUP(D2055,Krav!$C:$F,4,FALSE))</f>
        <v>10.a.1.2.24 -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055" s="29" t="s">
        <v>174</v>
      </c>
      <c r="G2055" s="53"/>
      <c r="H2055" s="76" t="s">
        <v>1432</v>
      </c>
      <c r="I2055" s="67" t="s">
        <v>1425</v>
      </c>
      <c r="J2055" s="68" t="s">
        <v>222</v>
      </c>
      <c r="K2055" s="125" t="s">
        <v>222</v>
      </c>
      <c r="L2055" s="204" t="s">
        <v>3</v>
      </c>
      <c r="M2055" s="61" t="s">
        <v>129</v>
      </c>
      <c r="N2055" s="61" t="s">
        <v>131</v>
      </c>
      <c r="O2055" s="61" t="s">
        <v>96</v>
      </c>
      <c r="P2055" s="61" t="s">
        <v>376</v>
      </c>
      <c r="Q2055" s="61" t="s">
        <v>129</v>
      </c>
      <c r="R2055" s="61" t="s">
        <v>131</v>
      </c>
      <c r="S2055" s="61" t="s">
        <v>131</v>
      </c>
      <c r="T2055" s="61"/>
      <c r="U2055" s="61"/>
      <c r="V2055" s="59" t="s">
        <v>295</v>
      </c>
      <c r="W2055" s="61" t="s">
        <v>26</v>
      </c>
      <c r="X2055" s="61"/>
      <c r="Y2055" s="61"/>
      <c r="Z2055" s="61"/>
      <c r="AA2055" s="61"/>
      <c r="AB2055" s="61"/>
      <c r="AC2055" s="61"/>
      <c r="AD2055" s="59" t="s">
        <v>5</v>
      </c>
    </row>
    <row r="2056" spans="1:38" s="200" customFormat="1" ht="33" customHeight="1" x14ac:dyDescent="0.3">
      <c r="A2056" s="167">
        <v>32</v>
      </c>
      <c r="B2056" s="168">
        <v>89</v>
      </c>
      <c r="C2056" s="203" t="str">
        <f t="shared" si="41"/>
        <v>32.89</v>
      </c>
      <c r="D2056" s="18" t="s">
        <v>1065</v>
      </c>
      <c r="E2056" s="64" t="str">
        <f>IF(ISBLANK(D2056)=TRUE,"",VLOOKUP(D2056,Krav!$C:$F,4,FALSE))</f>
        <v>10.a.1.2.24 -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056" s="29" t="s">
        <v>174</v>
      </c>
      <c r="G2056" s="19"/>
      <c r="H2056" s="76" t="s">
        <v>1432</v>
      </c>
      <c r="I2056" s="68" t="s">
        <v>1425</v>
      </c>
      <c r="J2056" s="68" t="s">
        <v>222</v>
      </c>
      <c r="K2056" s="125" t="s">
        <v>222</v>
      </c>
      <c r="L2056" s="204" t="s">
        <v>3</v>
      </c>
      <c r="M2056" s="61" t="s">
        <v>129</v>
      </c>
      <c r="N2056" s="61" t="s">
        <v>131</v>
      </c>
      <c r="O2056" s="61" t="s">
        <v>96</v>
      </c>
      <c r="P2056" s="61" t="s">
        <v>376</v>
      </c>
      <c r="Q2056" s="61" t="s">
        <v>129</v>
      </c>
      <c r="R2056" s="61" t="s">
        <v>131</v>
      </c>
      <c r="S2056" s="61" t="s">
        <v>131</v>
      </c>
      <c r="T2056" s="61"/>
      <c r="U2056" s="61"/>
      <c r="V2056" s="59" t="s">
        <v>295</v>
      </c>
      <c r="W2056" s="61" t="s">
        <v>166</v>
      </c>
      <c r="X2056" s="61" t="s">
        <v>26</v>
      </c>
      <c r="Y2056" s="61"/>
      <c r="Z2056" s="61"/>
      <c r="AA2056" s="61"/>
      <c r="AB2056" s="61"/>
      <c r="AC2056" s="61"/>
      <c r="AD2056" s="59" t="s">
        <v>5</v>
      </c>
    </row>
    <row r="2057" spans="1:38" s="200" customFormat="1" ht="33" customHeight="1" x14ac:dyDescent="0.3">
      <c r="A2057" s="167">
        <v>32</v>
      </c>
      <c r="B2057" s="168">
        <v>90</v>
      </c>
      <c r="C2057" s="203" t="str">
        <f t="shared" si="41"/>
        <v>32.90</v>
      </c>
      <c r="D2057" s="18" t="s">
        <v>1065</v>
      </c>
      <c r="E2057" s="64" t="str">
        <f>IF(ISBLANK(D2057)=TRUE,"",VLOOKUP(D2057,Krav!$C:$F,4,FALSE))</f>
        <v>10.a.1.2.24 - Inden spørgeskema-logikken går videre fra spørgsmål 10.a.1.1.2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057" s="29" t="s">
        <v>174</v>
      </c>
      <c r="G2057" s="53"/>
      <c r="H2057" s="76" t="s">
        <v>1432</v>
      </c>
      <c r="I2057" s="67" t="s">
        <v>1425</v>
      </c>
      <c r="J2057" s="68" t="s">
        <v>222</v>
      </c>
      <c r="K2057" s="125" t="s">
        <v>222</v>
      </c>
      <c r="L2057" s="204" t="s">
        <v>3</v>
      </c>
      <c r="M2057" s="61" t="s">
        <v>129</v>
      </c>
      <c r="N2057" s="61" t="s">
        <v>131</v>
      </c>
      <c r="O2057" s="61" t="s">
        <v>96</v>
      </c>
      <c r="P2057" s="61" t="s">
        <v>376</v>
      </c>
      <c r="Q2057" s="61" t="s">
        <v>129</v>
      </c>
      <c r="R2057" s="61" t="s">
        <v>131</v>
      </c>
      <c r="S2057" s="61" t="s">
        <v>131</v>
      </c>
      <c r="T2057" s="61"/>
      <c r="U2057" s="61"/>
      <c r="V2057" s="59" t="s">
        <v>295</v>
      </c>
      <c r="W2057" s="61" t="s">
        <v>166</v>
      </c>
      <c r="X2057" s="61" t="s">
        <v>166</v>
      </c>
      <c r="Y2057" s="61" t="s">
        <v>580</v>
      </c>
      <c r="Z2057" s="61"/>
      <c r="AA2057" s="61"/>
      <c r="AB2057" s="61"/>
      <c r="AC2057" s="61"/>
      <c r="AD2057" s="59" t="s">
        <v>5</v>
      </c>
    </row>
    <row r="2058" spans="1:38" s="200" customFormat="1" ht="33" customHeight="1" x14ac:dyDescent="0.3">
      <c r="A2058" s="167">
        <v>32</v>
      </c>
      <c r="B2058" s="168">
        <v>91</v>
      </c>
      <c r="C2058" s="203" t="str">
        <f t="shared" si="41"/>
        <v>32.91</v>
      </c>
      <c r="D2058" s="18" t="s">
        <v>1066</v>
      </c>
      <c r="E2058" s="64" t="str">
        <f>IF(ISBLANK(D2058)=TRUE,"",VLOOKUP(D2058,Krav!$C:$F,4,FALSE))</f>
        <v xml:space="preserve">10.a.1.2.25 - Hvis fordringshaver har svaret ”aldrig” i spm. 9, kan der ikke opsættes en FLEX-filter konfiguration for populationen. </v>
      </c>
      <c r="F2058" s="29" t="s">
        <v>174</v>
      </c>
      <c r="G2058" s="19"/>
      <c r="H2058" s="76"/>
      <c r="I2058" s="67" t="s">
        <v>1414</v>
      </c>
      <c r="J2058" s="68" t="s">
        <v>222</v>
      </c>
      <c r="K2058" s="125" t="s">
        <v>222</v>
      </c>
      <c r="L2058" s="204" t="s">
        <v>4</v>
      </c>
      <c r="M2058" s="61" t="s">
        <v>129</v>
      </c>
      <c r="N2058" s="61" t="s">
        <v>131</v>
      </c>
      <c r="O2058" s="61" t="s">
        <v>96</v>
      </c>
      <c r="P2058" s="61" t="s">
        <v>376</v>
      </c>
      <c r="Q2058" s="61" t="s">
        <v>129</v>
      </c>
      <c r="R2058" s="61" t="s">
        <v>131</v>
      </c>
      <c r="S2058" s="61" t="s">
        <v>131</v>
      </c>
      <c r="T2058" s="61"/>
      <c r="U2058" s="61"/>
      <c r="V2058" s="59" t="s">
        <v>295</v>
      </c>
      <c r="W2058" s="61" t="s">
        <v>166</v>
      </c>
      <c r="X2058" s="61" t="s">
        <v>166</v>
      </c>
      <c r="Y2058" s="61" t="s">
        <v>369</v>
      </c>
      <c r="Z2058" s="61"/>
      <c r="AA2058" s="61"/>
      <c r="AB2058" s="61"/>
      <c r="AC2058" s="61"/>
      <c r="AD2058" s="59" t="s">
        <v>5</v>
      </c>
    </row>
    <row r="2059" spans="1:38" s="200" customFormat="1" ht="33" customHeight="1" x14ac:dyDescent="0.3">
      <c r="A2059" s="167">
        <v>32</v>
      </c>
      <c r="B2059" s="168">
        <v>92</v>
      </c>
      <c r="C2059" s="203" t="str">
        <f t="shared" si="41"/>
        <v>32.92</v>
      </c>
      <c r="D2059" s="18" t="s">
        <v>1066</v>
      </c>
      <c r="E2059" s="64" t="str">
        <f>IF(ISBLANK(D2059)=TRUE,"",VLOOKUP(D2059,Krav!$C:$F,4,FALSE))</f>
        <v xml:space="preserve">10.a.1.2.25 - Hvis fordringshaver har svaret ”aldrig” i spm. 9, kan der ikke opsættes en FLEX-filter konfiguration for populationen. </v>
      </c>
      <c r="F2059" s="29" t="s">
        <v>174</v>
      </c>
      <c r="G2059" s="19"/>
      <c r="H2059" s="76" t="s">
        <v>1426</v>
      </c>
      <c r="I2059" s="67" t="s">
        <v>1414</v>
      </c>
      <c r="J2059" s="67" t="s">
        <v>222</v>
      </c>
      <c r="K2059" s="125" t="s">
        <v>222</v>
      </c>
      <c r="L2059" s="204" t="s">
        <v>4</v>
      </c>
      <c r="M2059" s="61" t="s">
        <v>129</v>
      </c>
      <c r="N2059" s="61" t="s">
        <v>131</v>
      </c>
      <c r="O2059" s="61" t="s">
        <v>96</v>
      </c>
      <c r="P2059" s="61" t="s">
        <v>376</v>
      </c>
      <c r="Q2059" s="61" t="s">
        <v>129</v>
      </c>
      <c r="R2059" s="61" t="s">
        <v>131</v>
      </c>
      <c r="S2059" s="61" t="s">
        <v>131</v>
      </c>
      <c r="T2059" s="61"/>
      <c r="U2059" s="61"/>
      <c r="V2059" s="61" t="s">
        <v>303</v>
      </c>
      <c r="W2059" s="61"/>
      <c r="X2059" s="61"/>
      <c r="Y2059" s="61"/>
      <c r="Z2059" s="61"/>
      <c r="AA2059" s="61"/>
      <c r="AB2059" s="61"/>
      <c r="AC2059" s="61"/>
      <c r="AD2059" s="59" t="s">
        <v>5</v>
      </c>
    </row>
    <row r="2060" spans="1:38" s="200" customFormat="1" ht="33" customHeight="1" x14ac:dyDescent="0.3">
      <c r="A2060" s="167">
        <v>32</v>
      </c>
      <c r="B2060" s="168">
        <v>93</v>
      </c>
      <c r="C2060" s="203" t="str">
        <f t="shared" si="41"/>
        <v>32.93</v>
      </c>
      <c r="D2060" s="18" t="s">
        <v>1062</v>
      </c>
      <c r="E2060" s="64" t="str">
        <f>IF(ISBLANK(D2060)=TRUE,"",VLOOKUP(D2060,Krav!$C:$F,4,FALSE))</f>
        <v>10.a.1.2.21 - Hvis der er svaret "I visse tilfælde" i spørgsmål 9 og hvis der er svaret "Ja" i enten 9.b.1, 9.b.2.1 eller 9.b.2.2.1 skal brugeren ledes til spørgsmål 11</v>
      </c>
      <c r="F2060" s="53" t="s">
        <v>143</v>
      </c>
      <c r="G2060" s="53" t="s">
        <v>1427</v>
      </c>
      <c r="H2060" s="76" t="s">
        <v>1433</v>
      </c>
      <c r="I2060" s="67" t="s">
        <v>468</v>
      </c>
      <c r="J2060" s="67" t="s">
        <v>222</v>
      </c>
      <c r="K2060" s="125" t="s">
        <v>222</v>
      </c>
      <c r="L2060" s="204" t="s">
        <v>3</v>
      </c>
      <c r="M2060" s="61" t="s">
        <v>129</v>
      </c>
      <c r="N2060" s="61" t="s">
        <v>131</v>
      </c>
      <c r="O2060" s="61" t="s">
        <v>96</v>
      </c>
      <c r="P2060" s="61" t="s">
        <v>376</v>
      </c>
      <c r="Q2060" s="61" t="s">
        <v>129</v>
      </c>
      <c r="R2060" s="61" t="s">
        <v>131</v>
      </c>
      <c r="S2060" s="61" t="s">
        <v>131</v>
      </c>
      <c r="T2060" s="61"/>
      <c r="U2060" s="61"/>
      <c r="V2060" s="59" t="s">
        <v>295</v>
      </c>
      <c r="W2060" s="61" t="s">
        <v>26</v>
      </c>
      <c r="X2060" s="61"/>
      <c r="Y2060" s="61"/>
      <c r="Z2060" s="61"/>
      <c r="AA2060" s="61"/>
      <c r="AB2060" s="61"/>
      <c r="AC2060" s="61"/>
      <c r="AD2060" s="59" t="s">
        <v>5</v>
      </c>
    </row>
    <row r="2061" spans="1:38" s="200" customFormat="1" ht="33" customHeight="1" x14ac:dyDescent="0.3">
      <c r="A2061" s="167">
        <v>32</v>
      </c>
      <c r="B2061" s="168">
        <v>94</v>
      </c>
      <c r="C2061" s="203" t="str">
        <f t="shared" si="41"/>
        <v>32.94</v>
      </c>
      <c r="D2061" s="18" t="s">
        <v>1062</v>
      </c>
      <c r="E2061" s="64" t="str">
        <f>IF(ISBLANK(D2061)=TRUE,"",VLOOKUP(D2061,Krav!$C:$F,4,FALSE))</f>
        <v>10.a.1.2.21 - Hvis der er svaret "I visse tilfælde" i spørgsmål 9 og hvis der er svaret "Ja" i enten 9.b.1, 9.b.2.1 eller 9.b.2.2.1 skal brugeren ledes til spørgsmål 11</v>
      </c>
      <c r="F2061" s="53" t="s">
        <v>143</v>
      </c>
      <c r="G2061" s="53" t="s">
        <v>1427</v>
      </c>
      <c r="H2061" s="76" t="s">
        <v>1433</v>
      </c>
      <c r="I2061" s="67" t="s">
        <v>468</v>
      </c>
      <c r="J2061" s="67" t="s">
        <v>222</v>
      </c>
      <c r="K2061" s="125" t="s">
        <v>222</v>
      </c>
      <c r="L2061" s="204" t="s">
        <v>3</v>
      </c>
      <c r="M2061" s="61" t="s">
        <v>129</v>
      </c>
      <c r="N2061" s="61" t="s">
        <v>131</v>
      </c>
      <c r="O2061" s="61" t="s">
        <v>96</v>
      </c>
      <c r="P2061" s="61" t="s">
        <v>376</v>
      </c>
      <c r="Q2061" s="61" t="s">
        <v>129</v>
      </c>
      <c r="R2061" s="61" t="s">
        <v>131</v>
      </c>
      <c r="S2061" s="61" t="s">
        <v>131</v>
      </c>
      <c r="T2061" s="61"/>
      <c r="U2061" s="61"/>
      <c r="V2061" s="59" t="s">
        <v>295</v>
      </c>
      <c r="W2061" s="61" t="s">
        <v>166</v>
      </c>
      <c r="X2061" s="61" t="s">
        <v>26</v>
      </c>
      <c r="Y2061" s="61"/>
      <c r="Z2061" s="61"/>
      <c r="AA2061" s="61"/>
      <c r="AB2061" s="61"/>
      <c r="AC2061" s="61"/>
      <c r="AD2061" s="59" t="s">
        <v>5</v>
      </c>
    </row>
    <row r="2062" spans="1:38" s="200" customFormat="1" ht="33" customHeight="1" x14ac:dyDescent="0.3">
      <c r="A2062" s="167">
        <v>32</v>
      </c>
      <c r="B2062" s="168">
        <v>95</v>
      </c>
      <c r="C2062" s="203" t="str">
        <f t="shared" si="41"/>
        <v>32.95</v>
      </c>
      <c r="D2062" s="18" t="s">
        <v>1062</v>
      </c>
      <c r="E2062" s="64" t="str">
        <f>IF(ISBLANK(D2062)=TRUE,"",VLOOKUP(D2062,Krav!$C:$F,4,FALSE))</f>
        <v>10.a.1.2.21 - Hvis der er svaret "I visse tilfælde" i spørgsmål 9 og hvis der er svaret "Ja" i enten 9.b.1, 9.b.2.1 eller 9.b.2.2.1 skal brugeren ledes til spørgsmål 11</v>
      </c>
      <c r="F2062" s="53" t="s">
        <v>143</v>
      </c>
      <c r="G2062" s="53" t="s">
        <v>1427</v>
      </c>
      <c r="H2062" s="76" t="s">
        <v>1433</v>
      </c>
      <c r="I2062" s="67" t="s">
        <v>468</v>
      </c>
      <c r="J2062" s="67" t="s">
        <v>222</v>
      </c>
      <c r="K2062" s="125" t="s">
        <v>222</v>
      </c>
      <c r="L2062" s="206" t="s">
        <v>3</v>
      </c>
      <c r="M2062" s="61" t="s">
        <v>129</v>
      </c>
      <c r="N2062" s="61" t="s">
        <v>131</v>
      </c>
      <c r="O2062" s="61" t="s">
        <v>96</v>
      </c>
      <c r="P2062" s="61" t="s">
        <v>376</v>
      </c>
      <c r="Q2062" s="61" t="s">
        <v>129</v>
      </c>
      <c r="R2062" s="61" t="s">
        <v>131</v>
      </c>
      <c r="S2062" s="61" t="s">
        <v>131</v>
      </c>
      <c r="T2062" s="61"/>
      <c r="U2062" s="61"/>
      <c r="V2062" s="59" t="s">
        <v>295</v>
      </c>
      <c r="W2062" s="61" t="s">
        <v>166</v>
      </c>
      <c r="X2062" s="61" t="s">
        <v>166</v>
      </c>
      <c r="Y2062" s="61" t="s">
        <v>580</v>
      </c>
      <c r="Z2062" s="61"/>
      <c r="AA2062" s="61"/>
      <c r="AB2062" s="61"/>
      <c r="AC2062" s="61"/>
      <c r="AD2062" s="59" t="s">
        <v>5</v>
      </c>
    </row>
    <row r="2063" spans="1:38" s="200" customFormat="1" ht="33" customHeight="1" x14ac:dyDescent="0.3">
      <c r="A2063" s="167">
        <v>32</v>
      </c>
      <c r="B2063" s="168">
        <v>96</v>
      </c>
      <c r="C2063" s="203" t="str">
        <f t="shared" si="41"/>
        <v>32.96</v>
      </c>
      <c r="D2063" s="18"/>
      <c r="E2063" s="64" t="str">
        <f>IF(ISBLANK(D2063)=TRUE,"",VLOOKUP(D2063,Krav!$C:$F,4,FALSE))</f>
        <v/>
      </c>
      <c r="F2063" s="53" t="s">
        <v>143</v>
      </c>
      <c r="G2063" s="53" t="s">
        <v>1427</v>
      </c>
      <c r="H2063" s="76" t="s">
        <v>1429</v>
      </c>
      <c r="I2063" s="67" t="s">
        <v>468</v>
      </c>
      <c r="J2063" s="67" t="s">
        <v>222</v>
      </c>
      <c r="K2063" s="125" t="s">
        <v>222</v>
      </c>
      <c r="L2063" s="206" t="s">
        <v>3</v>
      </c>
      <c r="M2063" s="61" t="s">
        <v>129</v>
      </c>
      <c r="N2063" s="61" t="s">
        <v>131</v>
      </c>
      <c r="O2063" s="61" t="s">
        <v>96</v>
      </c>
      <c r="P2063" s="61" t="s">
        <v>376</v>
      </c>
      <c r="Q2063" s="61" t="s">
        <v>129</v>
      </c>
      <c r="R2063" s="61" t="s">
        <v>131</v>
      </c>
      <c r="S2063" s="61" t="s">
        <v>131</v>
      </c>
      <c r="T2063" s="61"/>
      <c r="U2063" s="61"/>
      <c r="V2063" s="61" t="s">
        <v>294</v>
      </c>
      <c r="W2063" s="61"/>
      <c r="X2063" s="61"/>
      <c r="Y2063" s="61"/>
      <c r="Z2063" s="61"/>
      <c r="AA2063" s="61"/>
      <c r="AB2063" s="61"/>
      <c r="AC2063" s="61"/>
      <c r="AD2063" s="59" t="s">
        <v>5</v>
      </c>
    </row>
    <row r="2064" spans="1:38" s="200" customFormat="1" ht="33" customHeight="1" x14ac:dyDescent="0.3">
      <c r="A2064" s="167">
        <v>32</v>
      </c>
      <c r="B2064" s="168">
        <v>97</v>
      </c>
      <c r="C2064" s="203" t="str">
        <f t="shared" si="41"/>
        <v>32.97</v>
      </c>
      <c r="D2064" s="18" t="s">
        <v>1062</v>
      </c>
      <c r="E2064" s="64" t="str">
        <f>IF(ISBLANK(D2064)=TRUE,"",VLOOKUP(D2064,Krav!$C:$F,4,FALSE))</f>
        <v>10.a.1.2.21 - Hvis der er svaret "I visse tilfælde" i spørgsmål 9 og hvis der er svaret "Ja" i enten 9.b.1, 9.b.2.1 eller 9.b.2.2.1 skal brugeren ledes til spørgsmål 11</v>
      </c>
      <c r="F2064" s="53" t="s">
        <v>143</v>
      </c>
      <c r="G2064" s="53" t="s">
        <v>1427</v>
      </c>
      <c r="H2064" s="76" t="s">
        <v>1433</v>
      </c>
      <c r="I2064" s="67" t="s">
        <v>555</v>
      </c>
      <c r="J2064" s="67" t="s">
        <v>222</v>
      </c>
      <c r="K2064" s="125" t="s">
        <v>222</v>
      </c>
      <c r="L2064" s="204" t="s">
        <v>3</v>
      </c>
      <c r="M2064" s="61" t="s">
        <v>129</v>
      </c>
      <c r="N2064" s="61" t="s">
        <v>131</v>
      </c>
      <c r="O2064" s="61" t="s">
        <v>96</v>
      </c>
      <c r="P2064" s="61" t="s">
        <v>376</v>
      </c>
      <c r="Q2064" s="61" t="s">
        <v>129</v>
      </c>
      <c r="R2064" s="61" t="s">
        <v>131</v>
      </c>
      <c r="S2064" s="61" t="s">
        <v>131</v>
      </c>
      <c r="T2064" s="61"/>
      <c r="U2064" s="61"/>
      <c r="V2064" s="59" t="s">
        <v>295</v>
      </c>
      <c r="W2064" s="61" t="s">
        <v>26</v>
      </c>
      <c r="X2064" s="61"/>
      <c r="Y2064" s="61"/>
      <c r="Z2064" s="61" t="s">
        <v>129</v>
      </c>
      <c r="AA2064" s="61"/>
      <c r="AB2064" s="61"/>
      <c r="AC2064" s="61"/>
      <c r="AD2064" s="59" t="s">
        <v>5</v>
      </c>
    </row>
    <row r="2065" spans="1:30" s="200" customFormat="1" ht="33" customHeight="1" x14ac:dyDescent="0.3">
      <c r="A2065" s="167">
        <v>32</v>
      </c>
      <c r="B2065" s="168">
        <v>98</v>
      </c>
      <c r="C2065" s="203" t="str">
        <f t="shared" si="41"/>
        <v>32.98</v>
      </c>
      <c r="D2065" s="18" t="s">
        <v>1062</v>
      </c>
      <c r="E2065" s="64" t="str">
        <f>IF(ISBLANK(D2065)=TRUE,"",VLOOKUP(D2065,Krav!$C:$F,4,FALSE))</f>
        <v>10.a.1.2.21 - Hvis der er svaret "I visse tilfælde" i spørgsmål 9 og hvis der er svaret "Ja" i enten 9.b.1, 9.b.2.1 eller 9.b.2.2.1 skal brugeren ledes til spørgsmål 11</v>
      </c>
      <c r="F2065" s="53" t="s">
        <v>143</v>
      </c>
      <c r="G2065" s="53" t="s">
        <v>1427</v>
      </c>
      <c r="H2065" s="76" t="s">
        <v>1433</v>
      </c>
      <c r="I2065" s="67" t="s">
        <v>555</v>
      </c>
      <c r="J2065" s="67" t="s">
        <v>222</v>
      </c>
      <c r="K2065" s="125" t="s">
        <v>222</v>
      </c>
      <c r="L2065" s="204" t="s">
        <v>3</v>
      </c>
      <c r="M2065" s="61" t="s">
        <v>129</v>
      </c>
      <c r="N2065" s="61" t="s">
        <v>131</v>
      </c>
      <c r="O2065" s="61" t="s">
        <v>96</v>
      </c>
      <c r="P2065" s="61" t="s">
        <v>376</v>
      </c>
      <c r="Q2065" s="61" t="s">
        <v>129</v>
      </c>
      <c r="R2065" s="61" t="s">
        <v>131</v>
      </c>
      <c r="S2065" s="61" t="s">
        <v>131</v>
      </c>
      <c r="T2065" s="61"/>
      <c r="U2065" s="61"/>
      <c r="V2065" s="59" t="s">
        <v>295</v>
      </c>
      <c r="W2065" s="61" t="s">
        <v>166</v>
      </c>
      <c r="X2065" s="61" t="s">
        <v>26</v>
      </c>
      <c r="Y2065" s="61"/>
      <c r="Z2065" s="61" t="s">
        <v>129</v>
      </c>
      <c r="AA2065" s="61"/>
      <c r="AB2065" s="61"/>
      <c r="AC2065" s="61"/>
      <c r="AD2065" s="59" t="s">
        <v>5</v>
      </c>
    </row>
    <row r="2066" spans="1:30" s="200" customFormat="1" ht="33" customHeight="1" x14ac:dyDescent="0.3">
      <c r="A2066" s="167">
        <v>32</v>
      </c>
      <c r="B2066" s="168">
        <v>99</v>
      </c>
      <c r="C2066" s="203" t="str">
        <f t="shared" si="41"/>
        <v>32.99</v>
      </c>
      <c r="D2066" s="18" t="s">
        <v>1062</v>
      </c>
      <c r="E2066" s="64" t="str">
        <f>IF(ISBLANK(D2066)=TRUE,"",VLOOKUP(D2066,Krav!$C:$F,4,FALSE))</f>
        <v>10.a.1.2.21 - Hvis der er svaret "I visse tilfælde" i spørgsmål 9 og hvis der er svaret "Ja" i enten 9.b.1, 9.b.2.1 eller 9.b.2.2.1 skal brugeren ledes til spørgsmål 11</v>
      </c>
      <c r="F2066" s="53" t="s">
        <v>143</v>
      </c>
      <c r="G2066" s="53" t="s">
        <v>1427</v>
      </c>
      <c r="H2066" s="76" t="s">
        <v>1433</v>
      </c>
      <c r="I2066" s="67" t="s">
        <v>555</v>
      </c>
      <c r="J2066" s="67" t="s">
        <v>222</v>
      </c>
      <c r="K2066" s="125" t="s">
        <v>222</v>
      </c>
      <c r="L2066" s="206" t="s">
        <v>3</v>
      </c>
      <c r="M2066" s="61" t="s">
        <v>129</v>
      </c>
      <c r="N2066" s="61" t="s">
        <v>131</v>
      </c>
      <c r="O2066" s="61" t="s">
        <v>96</v>
      </c>
      <c r="P2066" s="61" t="s">
        <v>376</v>
      </c>
      <c r="Q2066" s="61" t="s">
        <v>129</v>
      </c>
      <c r="R2066" s="61" t="s">
        <v>131</v>
      </c>
      <c r="S2066" s="61" t="s">
        <v>131</v>
      </c>
      <c r="T2066" s="61"/>
      <c r="U2066" s="61"/>
      <c r="V2066" s="59" t="s">
        <v>295</v>
      </c>
      <c r="W2066" s="61" t="s">
        <v>166</v>
      </c>
      <c r="X2066" s="61" t="s">
        <v>166</v>
      </c>
      <c r="Y2066" s="61" t="s">
        <v>580</v>
      </c>
      <c r="Z2066" s="61" t="s">
        <v>129</v>
      </c>
      <c r="AA2066" s="61"/>
      <c r="AB2066" s="61"/>
      <c r="AC2066" s="61"/>
      <c r="AD2066" s="59" t="s">
        <v>5</v>
      </c>
    </row>
    <row r="2067" spans="1:30" s="200" customFormat="1" ht="33" customHeight="1" x14ac:dyDescent="0.3">
      <c r="A2067" s="167">
        <v>32</v>
      </c>
      <c r="B2067" s="168">
        <v>100</v>
      </c>
      <c r="C2067" s="203" t="str">
        <f t="shared" si="41"/>
        <v>32.100</v>
      </c>
      <c r="D2067" s="18"/>
      <c r="E2067" s="64" t="str">
        <f>IF(ISBLANK(D2067)=TRUE,"",VLOOKUP(D2067,Krav!$C:$F,4,FALSE))</f>
        <v/>
      </c>
      <c r="F2067" s="53" t="s">
        <v>143</v>
      </c>
      <c r="G2067" s="53" t="s">
        <v>1427</v>
      </c>
      <c r="H2067" s="76" t="s">
        <v>1429</v>
      </c>
      <c r="I2067" s="67" t="s">
        <v>555</v>
      </c>
      <c r="J2067" s="67" t="s">
        <v>222</v>
      </c>
      <c r="K2067" s="125" t="s">
        <v>222</v>
      </c>
      <c r="L2067" s="206" t="s">
        <v>3</v>
      </c>
      <c r="M2067" s="61" t="s">
        <v>129</v>
      </c>
      <c r="N2067" s="61" t="s">
        <v>131</v>
      </c>
      <c r="O2067" s="61" t="s">
        <v>96</v>
      </c>
      <c r="P2067" s="61" t="s">
        <v>376</v>
      </c>
      <c r="Q2067" s="61" t="s">
        <v>129</v>
      </c>
      <c r="R2067" s="61" t="s">
        <v>131</v>
      </c>
      <c r="S2067" s="61" t="s">
        <v>131</v>
      </c>
      <c r="T2067" s="61"/>
      <c r="U2067" s="61"/>
      <c r="V2067" s="61" t="s">
        <v>294</v>
      </c>
      <c r="W2067" s="61"/>
      <c r="X2067" s="61"/>
      <c r="Y2067" s="61"/>
      <c r="Z2067" s="61" t="s">
        <v>129</v>
      </c>
      <c r="AA2067" s="61"/>
      <c r="AB2067" s="61"/>
      <c r="AC2067" s="61"/>
      <c r="AD2067" s="59" t="s">
        <v>5</v>
      </c>
    </row>
    <row r="2068" spans="1:30" s="200" customFormat="1" ht="33" customHeight="1" x14ac:dyDescent="0.3">
      <c r="A2068" s="167">
        <v>32</v>
      </c>
      <c r="B2068" s="168">
        <v>101</v>
      </c>
      <c r="C2068" s="203" t="str">
        <f t="shared" si="41"/>
        <v>32.101</v>
      </c>
      <c r="D2068" s="18" t="s">
        <v>1062</v>
      </c>
      <c r="E2068" s="64" t="str">
        <f>IF(ISBLANK(D2068)=TRUE,"",VLOOKUP(D2068,Krav!$C:$F,4,FALSE))</f>
        <v>10.a.1.2.21 - Hvis der er svaret "I visse tilfælde" i spørgsmål 9 og hvis der er svaret "Ja" i enten 9.b.1, 9.b.2.1 eller 9.b.2.2.1 skal brugeren ledes til spørgsmål 11</v>
      </c>
      <c r="F2068" s="53" t="s">
        <v>143</v>
      </c>
      <c r="G2068" s="53" t="s">
        <v>1427</v>
      </c>
      <c r="H2068" s="76" t="s">
        <v>1433</v>
      </c>
      <c r="I2068" s="67" t="s">
        <v>560</v>
      </c>
      <c r="J2068" s="67" t="s">
        <v>222</v>
      </c>
      <c r="K2068" s="125" t="s">
        <v>222</v>
      </c>
      <c r="L2068" s="204" t="s">
        <v>3</v>
      </c>
      <c r="M2068" s="61" t="s">
        <v>129</v>
      </c>
      <c r="N2068" s="61" t="s">
        <v>131</v>
      </c>
      <c r="O2068" s="61" t="s">
        <v>96</v>
      </c>
      <c r="P2068" s="61" t="s">
        <v>376</v>
      </c>
      <c r="Q2068" s="61" t="s">
        <v>129</v>
      </c>
      <c r="R2068" s="61" t="s">
        <v>131</v>
      </c>
      <c r="S2068" s="61" t="s">
        <v>131</v>
      </c>
      <c r="T2068" s="61"/>
      <c r="U2068" s="61"/>
      <c r="V2068" s="59" t="s">
        <v>295</v>
      </c>
      <c r="W2068" s="61" t="s">
        <v>26</v>
      </c>
      <c r="X2068" s="61"/>
      <c r="Y2068" s="61"/>
      <c r="Z2068" s="61"/>
      <c r="AA2068" s="61" t="s">
        <v>129</v>
      </c>
      <c r="AB2068" s="61"/>
      <c r="AC2068" s="61"/>
      <c r="AD2068" s="59" t="s">
        <v>5</v>
      </c>
    </row>
    <row r="2069" spans="1:30" s="200" customFormat="1" ht="33" customHeight="1" x14ac:dyDescent="0.3">
      <c r="A2069" s="167">
        <v>32</v>
      </c>
      <c r="B2069" s="168">
        <v>102</v>
      </c>
      <c r="C2069" s="203" t="str">
        <f t="shared" si="41"/>
        <v>32.102</v>
      </c>
      <c r="D2069" s="18" t="s">
        <v>1062</v>
      </c>
      <c r="E2069" s="64" t="str">
        <f>IF(ISBLANK(D2069)=TRUE,"",VLOOKUP(D2069,Krav!$C:$F,4,FALSE))</f>
        <v>10.a.1.2.21 - Hvis der er svaret "I visse tilfælde" i spørgsmål 9 og hvis der er svaret "Ja" i enten 9.b.1, 9.b.2.1 eller 9.b.2.2.1 skal brugeren ledes til spørgsmål 11</v>
      </c>
      <c r="F2069" s="53" t="s">
        <v>143</v>
      </c>
      <c r="G2069" s="53" t="s">
        <v>1427</v>
      </c>
      <c r="H2069" s="76" t="s">
        <v>1433</v>
      </c>
      <c r="I2069" s="67" t="s">
        <v>560</v>
      </c>
      <c r="J2069" s="67" t="s">
        <v>222</v>
      </c>
      <c r="K2069" s="125" t="s">
        <v>222</v>
      </c>
      <c r="L2069" s="204" t="s">
        <v>3</v>
      </c>
      <c r="M2069" s="61" t="s">
        <v>129</v>
      </c>
      <c r="N2069" s="61" t="s">
        <v>131</v>
      </c>
      <c r="O2069" s="61" t="s">
        <v>96</v>
      </c>
      <c r="P2069" s="61" t="s">
        <v>376</v>
      </c>
      <c r="Q2069" s="61" t="s">
        <v>129</v>
      </c>
      <c r="R2069" s="61" t="s">
        <v>131</v>
      </c>
      <c r="S2069" s="61" t="s">
        <v>131</v>
      </c>
      <c r="T2069" s="61"/>
      <c r="U2069" s="61"/>
      <c r="V2069" s="59" t="s">
        <v>295</v>
      </c>
      <c r="W2069" s="61" t="s">
        <v>166</v>
      </c>
      <c r="X2069" s="61" t="s">
        <v>26</v>
      </c>
      <c r="Y2069" s="61"/>
      <c r="Z2069" s="61"/>
      <c r="AA2069" s="61" t="s">
        <v>129</v>
      </c>
      <c r="AB2069" s="61"/>
      <c r="AC2069" s="61"/>
      <c r="AD2069" s="59" t="s">
        <v>5</v>
      </c>
    </row>
    <row r="2070" spans="1:30" s="200" customFormat="1" ht="33" customHeight="1" x14ac:dyDescent="0.3">
      <c r="A2070" s="167">
        <v>32</v>
      </c>
      <c r="B2070" s="168">
        <v>103</v>
      </c>
      <c r="C2070" s="203" t="str">
        <f t="shared" si="41"/>
        <v>32.103</v>
      </c>
      <c r="D2070" s="18" t="s">
        <v>1062</v>
      </c>
      <c r="E2070" s="64" t="str">
        <f>IF(ISBLANK(D2070)=TRUE,"",VLOOKUP(D2070,Krav!$C:$F,4,FALSE))</f>
        <v>10.a.1.2.21 - Hvis der er svaret "I visse tilfælde" i spørgsmål 9 og hvis der er svaret "Ja" i enten 9.b.1, 9.b.2.1 eller 9.b.2.2.1 skal brugeren ledes til spørgsmål 11</v>
      </c>
      <c r="F2070" s="53" t="s">
        <v>143</v>
      </c>
      <c r="G2070" s="53" t="s">
        <v>1427</v>
      </c>
      <c r="H2070" s="76" t="s">
        <v>1433</v>
      </c>
      <c r="I2070" s="67" t="s">
        <v>560</v>
      </c>
      <c r="J2070" s="67" t="s">
        <v>222</v>
      </c>
      <c r="K2070" s="125" t="s">
        <v>222</v>
      </c>
      <c r="L2070" s="206" t="s">
        <v>3</v>
      </c>
      <c r="M2070" s="61" t="s">
        <v>129</v>
      </c>
      <c r="N2070" s="61" t="s">
        <v>131</v>
      </c>
      <c r="O2070" s="61" t="s">
        <v>96</v>
      </c>
      <c r="P2070" s="61" t="s">
        <v>376</v>
      </c>
      <c r="Q2070" s="61" t="s">
        <v>129</v>
      </c>
      <c r="R2070" s="61" t="s">
        <v>131</v>
      </c>
      <c r="S2070" s="61" t="s">
        <v>131</v>
      </c>
      <c r="T2070" s="61"/>
      <c r="U2070" s="61"/>
      <c r="V2070" s="59" t="s">
        <v>295</v>
      </c>
      <c r="W2070" s="61" t="s">
        <v>166</v>
      </c>
      <c r="X2070" s="61" t="s">
        <v>166</v>
      </c>
      <c r="Y2070" s="61" t="s">
        <v>580</v>
      </c>
      <c r="Z2070" s="61"/>
      <c r="AA2070" s="61" t="s">
        <v>129</v>
      </c>
      <c r="AB2070" s="61"/>
      <c r="AC2070" s="61"/>
      <c r="AD2070" s="59" t="s">
        <v>5</v>
      </c>
    </row>
    <row r="2071" spans="1:30" s="200" customFormat="1" ht="33" customHeight="1" x14ac:dyDescent="0.3">
      <c r="A2071" s="167">
        <v>32</v>
      </c>
      <c r="B2071" s="168">
        <v>104</v>
      </c>
      <c r="C2071" s="203" t="str">
        <f t="shared" si="41"/>
        <v>32.104</v>
      </c>
      <c r="D2071" s="18"/>
      <c r="E2071" s="64" t="str">
        <f>IF(ISBLANK(D2071)=TRUE,"",VLOOKUP(D2071,Krav!$C:$F,4,FALSE))</f>
        <v/>
      </c>
      <c r="F2071" s="53" t="s">
        <v>143</v>
      </c>
      <c r="G2071" s="53" t="s">
        <v>1427</v>
      </c>
      <c r="H2071" s="76" t="s">
        <v>1429</v>
      </c>
      <c r="I2071" s="67" t="s">
        <v>560</v>
      </c>
      <c r="J2071" s="67" t="s">
        <v>222</v>
      </c>
      <c r="K2071" s="125" t="s">
        <v>222</v>
      </c>
      <c r="L2071" s="206" t="s">
        <v>3</v>
      </c>
      <c r="M2071" s="61" t="s">
        <v>129</v>
      </c>
      <c r="N2071" s="61" t="s">
        <v>131</v>
      </c>
      <c r="O2071" s="61" t="s">
        <v>96</v>
      </c>
      <c r="P2071" s="61" t="s">
        <v>376</v>
      </c>
      <c r="Q2071" s="61" t="s">
        <v>129</v>
      </c>
      <c r="R2071" s="61" t="s">
        <v>131</v>
      </c>
      <c r="S2071" s="61" t="s">
        <v>131</v>
      </c>
      <c r="T2071" s="61"/>
      <c r="U2071" s="61"/>
      <c r="V2071" s="61" t="s">
        <v>294</v>
      </c>
      <c r="W2071" s="61"/>
      <c r="X2071" s="61"/>
      <c r="Y2071" s="61"/>
      <c r="Z2071" s="61"/>
      <c r="AA2071" s="61" t="s">
        <v>129</v>
      </c>
      <c r="AB2071" s="61"/>
      <c r="AC2071" s="61"/>
      <c r="AD2071" s="59" t="s">
        <v>5</v>
      </c>
    </row>
    <row r="2072" spans="1:30" s="200" customFormat="1" ht="33" customHeight="1" x14ac:dyDescent="0.3">
      <c r="A2072" s="167">
        <v>32</v>
      </c>
      <c r="B2072" s="168">
        <v>105</v>
      </c>
      <c r="C2072" s="203" t="str">
        <f t="shared" si="41"/>
        <v>32.105</v>
      </c>
      <c r="D2072" s="18" t="s">
        <v>1062</v>
      </c>
      <c r="E2072" s="64" t="str">
        <f>IF(ISBLANK(D2072)=TRUE,"",VLOOKUP(D2072,Krav!$C:$F,4,FALSE))</f>
        <v>10.a.1.2.21 - Hvis der er svaret "I visse tilfælde" i spørgsmål 9 og hvis der er svaret "Ja" i enten 9.b.1, 9.b.2.1 eller 9.b.2.2.1 skal brugeren ledes til spørgsmål 11</v>
      </c>
      <c r="F2072" s="53" t="s">
        <v>143</v>
      </c>
      <c r="G2072" s="53" t="s">
        <v>1427</v>
      </c>
      <c r="H2072" s="76" t="s">
        <v>1433</v>
      </c>
      <c r="I2072" s="67" t="s">
        <v>565</v>
      </c>
      <c r="J2072" s="67" t="s">
        <v>222</v>
      </c>
      <c r="K2072" s="125" t="s">
        <v>222</v>
      </c>
      <c r="L2072" s="204" t="s">
        <v>3</v>
      </c>
      <c r="M2072" s="61" t="s">
        <v>129</v>
      </c>
      <c r="N2072" s="61" t="s">
        <v>131</v>
      </c>
      <c r="O2072" s="61" t="s">
        <v>96</v>
      </c>
      <c r="P2072" s="61" t="s">
        <v>376</v>
      </c>
      <c r="Q2072" s="61" t="s">
        <v>129</v>
      </c>
      <c r="R2072" s="61" t="s">
        <v>131</v>
      </c>
      <c r="S2072" s="61" t="s">
        <v>131</v>
      </c>
      <c r="T2072" s="61"/>
      <c r="U2072" s="61"/>
      <c r="V2072" s="59" t="s">
        <v>295</v>
      </c>
      <c r="W2072" s="61" t="s">
        <v>26</v>
      </c>
      <c r="X2072" s="61"/>
      <c r="Y2072" s="61"/>
      <c r="Z2072" s="61"/>
      <c r="AA2072" s="61"/>
      <c r="AB2072" s="61" t="s">
        <v>129</v>
      </c>
      <c r="AC2072" s="61"/>
      <c r="AD2072" s="59" t="s">
        <v>5</v>
      </c>
    </row>
    <row r="2073" spans="1:30" s="200" customFormat="1" ht="33" customHeight="1" x14ac:dyDescent="0.3">
      <c r="A2073" s="167">
        <v>32</v>
      </c>
      <c r="B2073" s="168">
        <v>106</v>
      </c>
      <c r="C2073" s="203" t="str">
        <f t="shared" si="41"/>
        <v>32.106</v>
      </c>
      <c r="D2073" s="18" t="s">
        <v>1062</v>
      </c>
      <c r="E2073" s="64" t="str">
        <f>IF(ISBLANK(D2073)=TRUE,"",VLOOKUP(D2073,Krav!$C:$F,4,FALSE))</f>
        <v>10.a.1.2.21 - Hvis der er svaret "I visse tilfælde" i spørgsmål 9 og hvis der er svaret "Ja" i enten 9.b.1, 9.b.2.1 eller 9.b.2.2.1 skal brugeren ledes til spørgsmål 11</v>
      </c>
      <c r="F2073" s="53" t="s">
        <v>143</v>
      </c>
      <c r="G2073" s="53" t="s">
        <v>1427</v>
      </c>
      <c r="H2073" s="76" t="s">
        <v>1433</v>
      </c>
      <c r="I2073" s="67" t="s">
        <v>565</v>
      </c>
      <c r="J2073" s="67" t="s">
        <v>222</v>
      </c>
      <c r="K2073" s="125" t="s">
        <v>222</v>
      </c>
      <c r="L2073" s="204" t="s">
        <v>3</v>
      </c>
      <c r="M2073" s="61" t="s">
        <v>129</v>
      </c>
      <c r="N2073" s="61" t="s">
        <v>131</v>
      </c>
      <c r="O2073" s="61" t="s">
        <v>96</v>
      </c>
      <c r="P2073" s="61" t="s">
        <v>376</v>
      </c>
      <c r="Q2073" s="61" t="s">
        <v>129</v>
      </c>
      <c r="R2073" s="61" t="s">
        <v>131</v>
      </c>
      <c r="S2073" s="61" t="s">
        <v>131</v>
      </c>
      <c r="T2073" s="61"/>
      <c r="U2073" s="61"/>
      <c r="V2073" s="59" t="s">
        <v>295</v>
      </c>
      <c r="W2073" s="61" t="s">
        <v>166</v>
      </c>
      <c r="X2073" s="61" t="s">
        <v>26</v>
      </c>
      <c r="Y2073" s="61"/>
      <c r="Z2073" s="61"/>
      <c r="AA2073" s="61"/>
      <c r="AB2073" s="61" t="s">
        <v>129</v>
      </c>
      <c r="AC2073" s="61"/>
      <c r="AD2073" s="59" t="s">
        <v>5</v>
      </c>
    </row>
    <row r="2074" spans="1:30" s="200" customFormat="1" ht="33" customHeight="1" x14ac:dyDescent="0.3">
      <c r="A2074" s="167">
        <v>32</v>
      </c>
      <c r="B2074" s="168">
        <v>107</v>
      </c>
      <c r="C2074" s="203" t="str">
        <f t="shared" si="41"/>
        <v>32.107</v>
      </c>
      <c r="D2074" s="18" t="s">
        <v>1062</v>
      </c>
      <c r="E2074" s="64" t="str">
        <f>IF(ISBLANK(D2074)=TRUE,"",VLOOKUP(D2074,Krav!$C:$F,4,FALSE))</f>
        <v>10.a.1.2.21 - Hvis der er svaret "I visse tilfælde" i spørgsmål 9 og hvis der er svaret "Ja" i enten 9.b.1, 9.b.2.1 eller 9.b.2.2.1 skal brugeren ledes til spørgsmål 11</v>
      </c>
      <c r="F2074" s="53" t="s">
        <v>143</v>
      </c>
      <c r="G2074" s="53" t="s">
        <v>1427</v>
      </c>
      <c r="H2074" s="76" t="s">
        <v>1433</v>
      </c>
      <c r="I2074" s="67" t="s">
        <v>565</v>
      </c>
      <c r="J2074" s="67" t="s">
        <v>222</v>
      </c>
      <c r="K2074" s="125" t="s">
        <v>222</v>
      </c>
      <c r="L2074" s="206" t="s">
        <v>3</v>
      </c>
      <c r="M2074" s="61" t="s">
        <v>129</v>
      </c>
      <c r="N2074" s="61" t="s">
        <v>131</v>
      </c>
      <c r="O2074" s="61" t="s">
        <v>96</v>
      </c>
      <c r="P2074" s="61" t="s">
        <v>376</v>
      </c>
      <c r="Q2074" s="61" t="s">
        <v>129</v>
      </c>
      <c r="R2074" s="61" t="s">
        <v>131</v>
      </c>
      <c r="S2074" s="61" t="s">
        <v>131</v>
      </c>
      <c r="T2074" s="61"/>
      <c r="U2074" s="61"/>
      <c r="V2074" s="59" t="s">
        <v>295</v>
      </c>
      <c r="W2074" s="61" t="s">
        <v>166</v>
      </c>
      <c r="X2074" s="61" t="s">
        <v>166</v>
      </c>
      <c r="Y2074" s="61" t="s">
        <v>580</v>
      </c>
      <c r="Z2074" s="61"/>
      <c r="AA2074" s="61"/>
      <c r="AB2074" s="61" t="s">
        <v>129</v>
      </c>
      <c r="AC2074" s="61"/>
      <c r="AD2074" s="59" t="s">
        <v>5</v>
      </c>
    </row>
    <row r="2075" spans="1:30" s="200" customFormat="1" ht="33" customHeight="1" x14ac:dyDescent="0.3">
      <c r="A2075" s="167">
        <v>32</v>
      </c>
      <c r="B2075" s="168">
        <v>108</v>
      </c>
      <c r="C2075" s="203" t="str">
        <f t="shared" si="41"/>
        <v>32.108</v>
      </c>
      <c r="D2075" s="18"/>
      <c r="E2075" s="64" t="str">
        <f>IF(ISBLANK(D2075)=TRUE,"",VLOOKUP(D2075,Krav!$C:$F,4,FALSE))</f>
        <v/>
      </c>
      <c r="F2075" s="53" t="s">
        <v>143</v>
      </c>
      <c r="G2075" s="53" t="s">
        <v>1427</v>
      </c>
      <c r="H2075" s="76" t="s">
        <v>1429</v>
      </c>
      <c r="I2075" s="67" t="s">
        <v>565</v>
      </c>
      <c r="J2075" s="67" t="s">
        <v>222</v>
      </c>
      <c r="K2075" s="125" t="s">
        <v>222</v>
      </c>
      <c r="L2075" s="206" t="s">
        <v>3</v>
      </c>
      <c r="M2075" s="61" t="s">
        <v>129</v>
      </c>
      <c r="N2075" s="61" t="s">
        <v>131</v>
      </c>
      <c r="O2075" s="61" t="s">
        <v>96</v>
      </c>
      <c r="P2075" s="61" t="s">
        <v>376</v>
      </c>
      <c r="Q2075" s="61" t="s">
        <v>129</v>
      </c>
      <c r="R2075" s="61" t="s">
        <v>131</v>
      </c>
      <c r="S2075" s="61" t="s">
        <v>131</v>
      </c>
      <c r="T2075" s="61"/>
      <c r="U2075" s="61"/>
      <c r="V2075" s="61" t="s">
        <v>294</v>
      </c>
      <c r="W2075" s="61"/>
      <c r="X2075" s="61"/>
      <c r="Y2075" s="61"/>
      <c r="Z2075" s="61"/>
      <c r="AA2075" s="61"/>
      <c r="AB2075" s="61" t="s">
        <v>129</v>
      </c>
      <c r="AC2075" s="61"/>
      <c r="AD2075" s="59" t="s">
        <v>5</v>
      </c>
    </row>
    <row r="2076" spans="1:30" s="221" customFormat="1" ht="33" customHeight="1" x14ac:dyDescent="0.3">
      <c r="A2076" s="167">
        <v>32</v>
      </c>
      <c r="B2076" s="168">
        <v>109</v>
      </c>
      <c r="C2076" s="210" t="str">
        <f t="shared" si="41"/>
        <v>32.109</v>
      </c>
      <c r="D2076" s="211" t="s">
        <v>1453</v>
      </c>
      <c r="E2076" s="64" t="e">
        <f>IF(ISBLANK(D2076)=TRUE,"",VLOOKUP(D2076,Krav!$C:$F,4,FALSE))</f>
        <v>#N/A</v>
      </c>
      <c r="F2076" s="213" t="s">
        <v>174</v>
      </c>
      <c r="G2076" s="214"/>
      <c r="H2076" s="215" t="s">
        <v>1434</v>
      </c>
      <c r="I2076" s="216" t="s">
        <v>1414</v>
      </c>
      <c r="J2076" s="217" t="s">
        <v>222</v>
      </c>
      <c r="K2076" s="125" t="s">
        <v>222</v>
      </c>
      <c r="L2076" s="218" t="s">
        <v>4</v>
      </c>
      <c r="M2076" s="219" t="s">
        <v>131</v>
      </c>
      <c r="N2076" s="219" t="s">
        <v>131</v>
      </c>
      <c r="O2076" s="219"/>
      <c r="P2076" s="219"/>
      <c r="Q2076" s="219"/>
      <c r="R2076" s="219"/>
      <c r="S2076" s="219"/>
      <c r="T2076" s="219"/>
      <c r="U2076" s="219"/>
      <c r="V2076" s="219"/>
      <c r="W2076" s="219"/>
      <c r="X2076" s="219"/>
      <c r="Y2076" s="219"/>
      <c r="Z2076" s="219"/>
      <c r="AA2076" s="219"/>
      <c r="AB2076" s="219"/>
      <c r="AC2076" s="219"/>
      <c r="AD2076" s="220" t="s">
        <v>5</v>
      </c>
    </row>
    <row r="2077" spans="1:30" s="221" customFormat="1" ht="33" customHeight="1" x14ac:dyDescent="0.3">
      <c r="A2077" s="167">
        <v>32</v>
      </c>
      <c r="B2077" s="168">
        <v>110</v>
      </c>
      <c r="C2077" s="210" t="str">
        <f t="shared" si="41"/>
        <v>32.110</v>
      </c>
      <c r="D2077" s="211" t="s">
        <v>1453</v>
      </c>
      <c r="E2077" s="64" t="e">
        <f>IF(ISBLANK(D2077)=TRUE,"",VLOOKUP(D2077,Krav!$C:$F,4,FALSE))</f>
        <v>#N/A</v>
      </c>
      <c r="F2077" s="213" t="s">
        <v>418</v>
      </c>
      <c r="G2077" s="213" t="s">
        <v>419</v>
      </c>
      <c r="H2077" s="215" t="s">
        <v>1435</v>
      </c>
      <c r="I2077" s="216" t="s">
        <v>129</v>
      </c>
      <c r="J2077" s="217" t="s">
        <v>222</v>
      </c>
      <c r="K2077" s="123" t="s">
        <v>222</v>
      </c>
      <c r="L2077" s="222" t="s">
        <v>3</v>
      </c>
      <c r="M2077" s="219" t="s">
        <v>131</v>
      </c>
      <c r="N2077" s="219" t="s">
        <v>131</v>
      </c>
      <c r="O2077" s="219"/>
      <c r="P2077" s="219"/>
      <c r="Q2077" s="219"/>
      <c r="R2077" s="219"/>
      <c r="S2077" s="219"/>
      <c r="T2077" s="219"/>
      <c r="U2077" s="219"/>
      <c r="V2077" s="219"/>
      <c r="W2077" s="219"/>
      <c r="X2077" s="219"/>
      <c r="Y2077" s="219"/>
      <c r="Z2077" s="219"/>
      <c r="AA2077" s="219"/>
      <c r="AB2077" s="219"/>
      <c r="AC2077" s="219"/>
      <c r="AD2077" s="220" t="s">
        <v>5</v>
      </c>
    </row>
    <row r="2078" spans="1:30" s="221" customFormat="1" ht="33" customHeight="1" x14ac:dyDescent="0.3">
      <c r="A2078" s="167">
        <v>32</v>
      </c>
      <c r="B2078" s="168">
        <v>111</v>
      </c>
      <c r="C2078" s="210" t="str">
        <f t="shared" si="41"/>
        <v>32.111</v>
      </c>
      <c r="D2078" s="211" t="s">
        <v>815</v>
      </c>
      <c r="E2078" s="64" t="str">
        <f>IF(ISBLANK(D2078)=TRUE,"",VLOOKUP(D2078,Krav!$C:$F,4,FALSE))</f>
        <v>10.a.1.1.25 - Der skal fremgå en infoboks med teksten: ”Normalt” er fordringer undergivet en 3 års forældelsesfrist”.</v>
      </c>
      <c r="F2078" s="213" t="s">
        <v>228</v>
      </c>
      <c r="G2078" s="223" t="s">
        <v>230</v>
      </c>
      <c r="H2078" s="215" t="s">
        <v>1436</v>
      </c>
      <c r="I2078" s="216" t="s">
        <v>1437</v>
      </c>
      <c r="J2078" s="217" t="s">
        <v>222</v>
      </c>
      <c r="K2078" s="123" t="s">
        <v>222</v>
      </c>
      <c r="L2078" s="222" t="s">
        <v>3</v>
      </c>
      <c r="M2078" s="219"/>
      <c r="N2078" s="219"/>
      <c r="O2078" s="219"/>
      <c r="P2078" s="219"/>
      <c r="Q2078" s="219"/>
      <c r="R2078" s="219"/>
      <c r="S2078" s="219"/>
      <c r="T2078" s="219"/>
      <c r="U2078" s="219"/>
      <c r="V2078" s="219"/>
      <c r="W2078" s="219"/>
      <c r="X2078" s="219"/>
      <c r="Y2078" s="219"/>
      <c r="Z2078" s="219"/>
      <c r="AA2078" s="219"/>
      <c r="AB2078" s="219"/>
      <c r="AC2078" s="219"/>
      <c r="AD2078" s="220" t="s">
        <v>5</v>
      </c>
    </row>
    <row r="2079" spans="1:30" s="221" customFormat="1" ht="33" customHeight="1" x14ac:dyDescent="0.3">
      <c r="A2079" s="167">
        <v>32</v>
      </c>
      <c r="B2079" s="168">
        <v>112</v>
      </c>
      <c r="C2079" s="210" t="str">
        <f t="shared" si="41"/>
        <v>32.112</v>
      </c>
      <c r="D2079" s="211" t="s">
        <v>1096</v>
      </c>
      <c r="E2079" s="64" t="str">
        <f>IF(ISBLANK(D2079)=TRUE,"",VLOOKUP(D2079,Krav!$C:$F,4,FALSE))</f>
        <v>10.a.2.25 - Der skal være en infoboks med teksten: "Hvis begyndelsestidspunktet kan ligge samme dag som indholdet af stamdatafeltet svares 0 dage."</v>
      </c>
      <c r="F2079" s="213" t="s">
        <v>228</v>
      </c>
      <c r="G2079" s="223" t="s">
        <v>231</v>
      </c>
      <c r="H2079" s="215" t="s">
        <v>1438</v>
      </c>
      <c r="I2079" s="216" t="s">
        <v>1439</v>
      </c>
      <c r="J2079" s="217" t="s">
        <v>222</v>
      </c>
      <c r="K2079" s="123" t="s">
        <v>222</v>
      </c>
      <c r="L2079" s="222" t="s">
        <v>3</v>
      </c>
      <c r="M2079" s="219"/>
      <c r="N2079" s="219"/>
      <c r="O2079" s="219"/>
      <c r="P2079" s="219"/>
      <c r="Q2079" s="219"/>
      <c r="R2079" s="219"/>
      <c r="S2079" s="219"/>
      <c r="T2079" s="219"/>
      <c r="U2079" s="219"/>
      <c r="V2079" s="219"/>
      <c r="W2079" s="219"/>
      <c r="X2079" s="219"/>
      <c r="Y2079" s="219"/>
      <c r="Z2079" s="219"/>
      <c r="AA2079" s="219"/>
      <c r="AB2079" s="219"/>
      <c r="AC2079" s="219"/>
      <c r="AD2079" s="220" t="s">
        <v>5</v>
      </c>
    </row>
    <row r="2080" spans="1:30" s="234" customFormat="1" ht="33" customHeight="1" x14ac:dyDescent="0.3">
      <c r="A2080" s="167">
        <v>32</v>
      </c>
      <c r="B2080" s="168">
        <v>113</v>
      </c>
      <c r="C2080" s="226" t="str">
        <f t="shared" si="41"/>
        <v>32.113</v>
      </c>
      <c r="D2080" s="227" t="s">
        <v>1107</v>
      </c>
      <c r="E2080" s="64" t="str">
        <f>IF(ISBLANK(D2080)=TRUE,"",VLOOKUP(D2080,Krav!$C:$F,4,FALSE))</f>
        <v>10.a.2.1.1.5 - Gruppe 1 aktiveres</v>
      </c>
      <c r="F2080" s="228" t="s">
        <v>227</v>
      </c>
      <c r="G2080" s="228"/>
      <c r="H2080" s="229" t="s">
        <v>1440</v>
      </c>
      <c r="I2080" s="230" t="s">
        <v>240</v>
      </c>
      <c r="J2080" s="230" t="s">
        <v>222</v>
      </c>
      <c r="K2080" s="125" t="s">
        <v>222</v>
      </c>
      <c r="L2080" s="231" t="s">
        <v>3</v>
      </c>
      <c r="M2080" s="232" t="s">
        <v>131</v>
      </c>
      <c r="N2080" s="232" t="s">
        <v>129</v>
      </c>
      <c r="O2080" s="232" t="s">
        <v>376</v>
      </c>
      <c r="P2080" s="232" t="s">
        <v>376</v>
      </c>
      <c r="Q2080" s="232" t="s">
        <v>131</v>
      </c>
      <c r="R2080" s="232" t="s">
        <v>131</v>
      </c>
      <c r="S2080" s="232" t="s">
        <v>131</v>
      </c>
      <c r="T2080" s="232" t="s">
        <v>412</v>
      </c>
      <c r="U2080" s="232"/>
      <c r="V2080" s="232"/>
      <c r="W2080" s="232"/>
      <c r="X2080" s="232"/>
      <c r="Y2080" s="232"/>
      <c r="Z2080" s="232"/>
      <c r="AA2080" s="232"/>
      <c r="AB2080" s="232"/>
      <c r="AC2080" s="232"/>
      <c r="AD2080" s="233" t="s">
        <v>5</v>
      </c>
    </row>
    <row r="2081" spans="1:30" s="234" customFormat="1" ht="33" customHeight="1" x14ac:dyDescent="0.3">
      <c r="A2081" s="167">
        <v>32</v>
      </c>
      <c r="B2081" s="168">
        <v>114</v>
      </c>
      <c r="C2081" s="226" t="str">
        <f t="shared" si="41"/>
        <v>32.114</v>
      </c>
      <c r="D2081" s="227"/>
      <c r="E2081" s="64" t="str">
        <f>IF(ISBLANK(D2081)=TRUE,"",VLOOKUP(D2081,Krav!$C:$F,4,FALSE))</f>
        <v/>
      </c>
      <c r="F2081" s="228" t="s">
        <v>225</v>
      </c>
      <c r="G2081" s="235" t="s">
        <v>1389</v>
      </c>
      <c r="H2081" s="235" t="s">
        <v>158</v>
      </c>
      <c r="I2081" s="230" t="s">
        <v>1400</v>
      </c>
      <c r="J2081" s="236" t="s">
        <v>222</v>
      </c>
      <c r="K2081" s="230" t="s">
        <v>222</v>
      </c>
      <c r="L2081" s="231" t="s">
        <v>3</v>
      </c>
      <c r="M2081" s="232" t="s">
        <v>131</v>
      </c>
      <c r="N2081" s="232" t="s">
        <v>129</v>
      </c>
      <c r="O2081" s="232" t="s">
        <v>376</v>
      </c>
      <c r="P2081" s="232" t="s">
        <v>96</v>
      </c>
      <c r="Q2081" s="232" t="s">
        <v>131</v>
      </c>
      <c r="R2081" s="232" t="s">
        <v>131</v>
      </c>
      <c r="S2081" s="232" t="s">
        <v>129</v>
      </c>
      <c r="T2081" s="232"/>
      <c r="U2081" s="232"/>
      <c r="V2081" s="232"/>
      <c r="W2081" s="232"/>
      <c r="X2081" s="232"/>
      <c r="Y2081" s="232"/>
      <c r="Z2081" s="232"/>
      <c r="AA2081" s="232"/>
      <c r="AB2081" s="232"/>
      <c r="AC2081" s="232"/>
      <c r="AD2081" s="233" t="s">
        <v>5</v>
      </c>
    </row>
    <row r="2082" spans="1:30" s="234" customFormat="1" ht="16.5" customHeight="1" x14ac:dyDescent="0.3">
      <c r="A2082" s="167">
        <v>32</v>
      </c>
      <c r="B2082" s="168">
        <v>115</v>
      </c>
      <c r="C2082" s="226" t="str">
        <f t="shared" si="41"/>
        <v>32.115</v>
      </c>
      <c r="D2082" s="227" t="s">
        <v>1149</v>
      </c>
      <c r="E2082" s="64" t="str">
        <f>IF(ISBLANK(D2082)=TRUE,"",VLOOKUP(D2082,Krav!$C:$F,4,FALSE))</f>
        <v>10.a.2.1.1.47 - Hvis SRBDato ikke er valgt: Regel R0063 deaktiveres</v>
      </c>
      <c r="F2082" s="228" t="s">
        <v>226</v>
      </c>
      <c r="G2082" s="228" t="s">
        <v>313</v>
      </c>
      <c r="H2082" s="229" t="s">
        <v>1441</v>
      </c>
      <c r="I2082" s="230" t="s">
        <v>1402</v>
      </c>
      <c r="J2082" s="237" t="s">
        <v>222</v>
      </c>
      <c r="K2082" s="230" t="s">
        <v>222</v>
      </c>
      <c r="L2082" s="231" t="s">
        <v>3</v>
      </c>
      <c r="M2082" s="232" t="s">
        <v>131</v>
      </c>
      <c r="N2082" s="232" t="s">
        <v>129</v>
      </c>
      <c r="O2082" s="232" t="s">
        <v>376</v>
      </c>
      <c r="P2082" s="232" t="s">
        <v>96</v>
      </c>
      <c r="Q2082" s="232" t="s">
        <v>131</v>
      </c>
      <c r="R2082" s="232" t="s">
        <v>131</v>
      </c>
      <c r="S2082" s="232" t="s">
        <v>129</v>
      </c>
      <c r="T2082" s="232"/>
      <c r="U2082" s="232" t="s">
        <v>1294</v>
      </c>
      <c r="V2082" s="232"/>
      <c r="W2082" s="232"/>
      <c r="X2082" s="232"/>
      <c r="Y2082" s="232"/>
      <c r="Z2082" s="232"/>
      <c r="AA2082" s="232"/>
      <c r="AB2082" s="232"/>
      <c r="AC2082" s="232"/>
      <c r="AD2082" s="233" t="s">
        <v>5</v>
      </c>
    </row>
    <row r="2083" spans="1:30" s="234" customFormat="1" ht="33" customHeight="1" x14ac:dyDescent="0.3">
      <c r="A2083" s="167">
        <v>32</v>
      </c>
      <c r="B2083" s="168">
        <v>116</v>
      </c>
      <c r="C2083" s="226" t="str">
        <f t="shared" si="41"/>
        <v>32.116</v>
      </c>
      <c r="D2083" s="227" t="s">
        <v>1150</v>
      </c>
      <c r="E2083" s="64" t="str">
        <f>IF(ISBLANK(D2083)=TRUE,"",VLOOKUP(D2083,Krav!$C:$F,4,FALSE))</f>
        <v>10.a.2.1.1.48 - Hvis SRBDato ikke er valgt: Regel R0064 deaktiveres</v>
      </c>
      <c r="F2083" s="228" t="s">
        <v>226</v>
      </c>
      <c r="G2083" s="228" t="s">
        <v>313</v>
      </c>
      <c r="H2083" s="229" t="s">
        <v>1442</v>
      </c>
      <c r="I2083" s="230" t="s">
        <v>1402</v>
      </c>
      <c r="J2083" s="237" t="s">
        <v>222</v>
      </c>
      <c r="K2083" s="230" t="s">
        <v>222</v>
      </c>
      <c r="L2083" s="231" t="s">
        <v>3</v>
      </c>
      <c r="M2083" s="232" t="s">
        <v>131</v>
      </c>
      <c r="N2083" s="232" t="s">
        <v>129</v>
      </c>
      <c r="O2083" s="232" t="s">
        <v>376</v>
      </c>
      <c r="P2083" s="232" t="s">
        <v>96</v>
      </c>
      <c r="Q2083" s="232" t="s">
        <v>131</v>
      </c>
      <c r="R2083" s="232" t="s">
        <v>131</v>
      </c>
      <c r="S2083" s="232" t="s">
        <v>129</v>
      </c>
      <c r="T2083" s="232"/>
      <c r="U2083" s="232" t="s">
        <v>1295</v>
      </c>
      <c r="V2083" s="232"/>
      <c r="W2083" s="232"/>
      <c r="X2083" s="232"/>
      <c r="Y2083" s="232"/>
      <c r="Z2083" s="232"/>
      <c r="AA2083" s="232"/>
      <c r="AB2083" s="232"/>
      <c r="AC2083" s="232"/>
      <c r="AD2083" s="233" t="s">
        <v>5</v>
      </c>
    </row>
    <row r="2084" spans="1:30" s="234" customFormat="1" ht="33" customHeight="1" x14ac:dyDescent="0.3">
      <c r="A2084" s="167">
        <v>32</v>
      </c>
      <c r="B2084" s="168">
        <v>117</v>
      </c>
      <c r="C2084" s="226" t="str">
        <f t="shared" si="41"/>
        <v>32.117</v>
      </c>
      <c r="D2084" s="227" t="s">
        <v>1151</v>
      </c>
      <c r="E2084" s="64" t="str">
        <f>IF(ISBLANK(D2084)=TRUE,"",VLOOKUP(D2084,Krav!$C:$F,4,FALSE))</f>
        <v>10.a.2.1.1.49 - Hvis SRBDato ikke er valgt: Regel R0065 deaktiveres</v>
      </c>
      <c r="F2084" s="228" t="s">
        <v>226</v>
      </c>
      <c r="G2084" s="228" t="s">
        <v>313</v>
      </c>
      <c r="H2084" s="229" t="s">
        <v>1441</v>
      </c>
      <c r="I2084" s="230" t="s">
        <v>1402</v>
      </c>
      <c r="J2084" s="230" t="s">
        <v>222</v>
      </c>
      <c r="K2084" s="230" t="s">
        <v>222</v>
      </c>
      <c r="L2084" s="238" t="s">
        <v>3</v>
      </c>
      <c r="M2084" s="232" t="s">
        <v>131</v>
      </c>
      <c r="N2084" s="232" t="s">
        <v>129</v>
      </c>
      <c r="O2084" s="232" t="s">
        <v>376</v>
      </c>
      <c r="P2084" s="232" t="s">
        <v>96</v>
      </c>
      <c r="Q2084" s="232" t="s">
        <v>131</v>
      </c>
      <c r="R2084" s="232" t="s">
        <v>131</v>
      </c>
      <c r="S2084" s="232" t="s">
        <v>129</v>
      </c>
      <c r="T2084" s="232"/>
      <c r="U2084" s="232" t="s">
        <v>1296</v>
      </c>
      <c r="V2084" s="232"/>
      <c r="W2084" s="232"/>
      <c r="X2084" s="232"/>
      <c r="Y2084" s="232"/>
      <c r="Z2084" s="232"/>
      <c r="AA2084" s="232"/>
      <c r="AB2084" s="232"/>
      <c r="AC2084" s="232"/>
      <c r="AD2084" s="233" t="s">
        <v>5</v>
      </c>
    </row>
    <row r="2085" spans="1:30" s="234" customFormat="1" ht="33" customHeight="1" x14ac:dyDescent="0.3">
      <c r="A2085" s="167">
        <v>32</v>
      </c>
      <c r="B2085" s="168">
        <v>118</v>
      </c>
      <c r="C2085" s="226" t="str">
        <f t="shared" si="41"/>
        <v>32.118</v>
      </c>
      <c r="D2085" s="227" t="s">
        <v>1152</v>
      </c>
      <c r="E2085" s="64" t="str">
        <f>IF(ISBLANK(D2085)=TRUE,"",VLOOKUP(D2085,Krav!$C:$F,4,FALSE))</f>
        <v>10.a.2.1.1.50 - Hvis SRBDato ikke er valgt: Regel R0066 deaktiveres</v>
      </c>
      <c r="F2085" s="228" t="s">
        <v>226</v>
      </c>
      <c r="G2085" s="228" t="s">
        <v>313</v>
      </c>
      <c r="H2085" s="229" t="s">
        <v>1441</v>
      </c>
      <c r="I2085" s="230" t="s">
        <v>1402</v>
      </c>
      <c r="J2085" s="230" t="s">
        <v>222</v>
      </c>
      <c r="K2085" s="230" t="s">
        <v>222</v>
      </c>
      <c r="L2085" s="238" t="s">
        <v>3</v>
      </c>
      <c r="M2085" s="232" t="s">
        <v>131</v>
      </c>
      <c r="N2085" s="232" t="s">
        <v>129</v>
      </c>
      <c r="O2085" s="232" t="s">
        <v>376</v>
      </c>
      <c r="P2085" s="232" t="s">
        <v>96</v>
      </c>
      <c r="Q2085" s="232" t="s">
        <v>131</v>
      </c>
      <c r="R2085" s="232" t="s">
        <v>131</v>
      </c>
      <c r="S2085" s="232" t="s">
        <v>129</v>
      </c>
      <c r="T2085" s="232"/>
      <c r="U2085" s="232" t="s">
        <v>1297</v>
      </c>
      <c r="V2085" s="232"/>
      <c r="W2085" s="232"/>
      <c r="X2085" s="232"/>
      <c r="Y2085" s="232"/>
      <c r="Z2085" s="232"/>
      <c r="AA2085" s="232"/>
      <c r="AB2085" s="232"/>
      <c r="AC2085" s="232"/>
      <c r="AD2085" s="233" t="s">
        <v>5</v>
      </c>
    </row>
    <row r="2086" spans="1:30" s="234" customFormat="1" ht="33" customHeight="1" x14ac:dyDescent="0.3">
      <c r="A2086" s="167">
        <v>32</v>
      </c>
      <c r="B2086" s="168">
        <v>119</v>
      </c>
      <c r="C2086" s="226" t="str">
        <f t="shared" si="41"/>
        <v>32.119</v>
      </c>
      <c r="D2086" s="227" t="s">
        <v>1157</v>
      </c>
      <c r="E2086" s="64" t="str">
        <f>IF(ISBLANK(D2086)=TRUE,"",VLOOKUP(D2086,Krav!$C:$F,4,FALSE))</f>
        <v>10.a.2.1.1.55 - Hvis SRBDato ikke er valgt: Regel R0071 deaktiveres</v>
      </c>
      <c r="F2086" s="228" t="s">
        <v>226</v>
      </c>
      <c r="G2086" s="228" t="s">
        <v>313</v>
      </c>
      <c r="H2086" s="229" t="s">
        <v>1441</v>
      </c>
      <c r="I2086" s="230" t="s">
        <v>1402</v>
      </c>
      <c r="J2086" s="230" t="s">
        <v>222</v>
      </c>
      <c r="K2086" s="230" t="s">
        <v>222</v>
      </c>
      <c r="L2086" s="238" t="s">
        <v>3</v>
      </c>
      <c r="M2086" s="232" t="s">
        <v>131</v>
      </c>
      <c r="N2086" s="232" t="s">
        <v>129</v>
      </c>
      <c r="O2086" s="232" t="s">
        <v>376</v>
      </c>
      <c r="P2086" s="232" t="s">
        <v>96</v>
      </c>
      <c r="Q2086" s="232" t="s">
        <v>131</v>
      </c>
      <c r="R2086" s="232" t="s">
        <v>131</v>
      </c>
      <c r="S2086" s="232" t="s">
        <v>129</v>
      </c>
      <c r="T2086" s="232"/>
      <c r="U2086" s="232" t="s">
        <v>1298</v>
      </c>
      <c r="V2086" s="232"/>
      <c r="W2086" s="232"/>
      <c r="X2086" s="232"/>
      <c r="Y2086" s="232"/>
      <c r="Z2086" s="232"/>
      <c r="AA2086" s="232"/>
      <c r="AB2086" s="232"/>
      <c r="AC2086" s="232"/>
      <c r="AD2086" s="233" t="s">
        <v>5</v>
      </c>
    </row>
    <row r="2087" spans="1:30" s="234" customFormat="1" ht="33" customHeight="1" x14ac:dyDescent="0.3">
      <c r="A2087" s="167">
        <v>32</v>
      </c>
      <c r="B2087" s="168">
        <v>120</v>
      </c>
      <c r="C2087" s="226" t="str">
        <f t="shared" si="41"/>
        <v>32.120</v>
      </c>
      <c r="D2087" s="227" t="s">
        <v>1149</v>
      </c>
      <c r="E2087" s="64" t="str">
        <f>IF(ISBLANK(D2087)=TRUE,"",VLOOKUP(D2087,Krav!$C:$F,4,FALSE))</f>
        <v>10.a.2.1.1.47 - Hvis SRBDato ikke er valgt: Regel R0063 deaktiveres</v>
      </c>
      <c r="F2087" s="228" t="s">
        <v>226</v>
      </c>
      <c r="G2087" s="228" t="s">
        <v>313</v>
      </c>
      <c r="H2087" s="229" t="s">
        <v>1441</v>
      </c>
      <c r="I2087" s="230" t="s">
        <v>1403</v>
      </c>
      <c r="J2087" s="237" t="s">
        <v>222</v>
      </c>
      <c r="K2087" s="230" t="s">
        <v>222</v>
      </c>
      <c r="L2087" s="231" t="s">
        <v>3</v>
      </c>
      <c r="M2087" s="232" t="s">
        <v>131</v>
      </c>
      <c r="N2087" s="232" t="s">
        <v>129</v>
      </c>
      <c r="O2087" s="232" t="s">
        <v>376</v>
      </c>
      <c r="P2087" s="232" t="s">
        <v>376</v>
      </c>
      <c r="Q2087" s="232" t="s">
        <v>131</v>
      </c>
      <c r="R2087" s="232" t="s">
        <v>131</v>
      </c>
      <c r="S2087" s="232" t="s">
        <v>131</v>
      </c>
      <c r="T2087" s="232"/>
      <c r="U2087" s="232" t="s">
        <v>1294</v>
      </c>
      <c r="V2087" s="232"/>
      <c r="W2087" s="232"/>
      <c r="X2087" s="232"/>
      <c r="Y2087" s="232"/>
      <c r="Z2087" s="232"/>
      <c r="AA2087" s="232"/>
      <c r="AB2087" s="232"/>
      <c r="AC2087" s="232"/>
      <c r="AD2087" s="233" t="s">
        <v>5</v>
      </c>
    </row>
    <row r="2088" spans="1:30" s="234" customFormat="1" ht="33" customHeight="1" x14ac:dyDescent="0.3">
      <c r="A2088" s="167">
        <v>32</v>
      </c>
      <c r="B2088" s="168">
        <v>121</v>
      </c>
      <c r="C2088" s="226" t="str">
        <f t="shared" ref="C2088:C2151" si="42">IF(B2088&lt;10,_xlfn.CONCAT(A2088,".0",B2088),_xlfn.CONCAT(A2088,".",B2088))</f>
        <v>32.121</v>
      </c>
      <c r="D2088" s="227" t="s">
        <v>1150</v>
      </c>
      <c r="E2088" s="64" t="str">
        <f>IF(ISBLANK(D2088)=TRUE,"",VLOOKUP(D2088,Krav!$C:$F,4,FALSE))</f>
        <v>10.a.2.1.1.48 - Hvis SRBDato ikke er valgt: Regel R0064 deaktiveres</v>
      </c>
      <c r="F2088" s="228" t="s">
        <v>226</v>
      </c>
      <c r="G2088" s="228" t="s">
        <v>313</v>
      </c>
      <c r="H2088" s="229" t="s">
        <v>1442</v>
      </c>
      <c r="I2088" s="230" t="s">
        <v>1403</v>
      </c>
      <c r="J2088" s="237" t="s">
        <v>222</v>
      </c>
      <c r="K2088" s="230" t="s">
        <v>222</v>
      </c>
      <c r="L2088" s="231" t="s">
        <v>3</v>
      </c>
      <c r="M2088" s="232" t="s">
        <v>131</v>
      </c>
      <c r="N2088" s="232" t="s">
        <v>129</v>
      </c>
      <c r="O2088" s="232" t="s">
        <v>376</v>
      </c>
      <c r="P2088" s="232" t="s">
        <v>376</v>
      </c>
      <c r="Q2088" s="232" t="s">
        <v>131</v>
      </c>
      <c r="R2088" s="232" t="s">
        <v>131</v>
      </c>
      <c r="S2088" s="232" t="s">
        <v>131</v>
      </c>
      <c r="T2088" s="232"/>
      <c r="U2088" s="232" t="s">
        <v>1295</v>
      </c>
      <c r="V2088" s="232"/>
      <c r="W2088" s="232"/>
      <c r="X2088" s="232"/>
      <c r="Y2088" s="232"/>
      <c r="Z2088" s="232"/>
      <c r="AA2088" s="232"/>
      <c r="AB2088" s="232"/>
      <c r="AC2088" s="232"/>
      <c r="AD2088" s="233" t="s">
        <v>5</v>
      </c>
    </row>
    <row r="2089" spans="1:30" s="234" customFormat="1" ht="33" customHeight="1" x14ac:dyDescent="0.3">
      <c r="A2089" s="167">
        <v>32</v>
      </c>
      <c r="B2089" s="168">
        <v>122</v>
      </c>
      <c r="C2089" s="226" t="str">
        <f t="shared" si="42"/>
        <v>32.122</v>
      </c>
      <c r="D2089" s="227" t="s">
        <v>1151</v>
      </c>
      <c r="E2089" s="64" t="str">
        <f>IF(ISBLANK(D2089)=TRUE,"",VLOOKUP(D2089,Krav!$C:$F,4,FALSE))</f>
        <v>10.a.2.1.1.49 - Hvis SRBDato ikke er valgt: Regel R0065 deaktiveres</v>
      </c>
      <c r="F2089" s="228" t="s">
        <v>226</v>
      </c>
      <c r="G2089" s="228" t="s">
        <v>313</v>
      </c>
      <c r="H2089" s="229" t="s">
        <v>1441</v>
      </c>
      <c r="I2089" s="230" t="s">
        <v>1403</v>
      </c>
      <c r="J2089" s="230" t="s">
        <v>222</v>
      </c>
      <c r="K2089" s="230" t="s">
        <v>222</v>
      </c>
      <c r="L2089" s="238" t="s">
        <v>3</v>
      </c>
      <c r="M2089" s="232" t="s">
        <v>131</v>
      </c>
      <c r="N2089" s="232" t="s">
        <v>129</v>
      </c>
      <c r="O2089" s="232" t="s">
        <v>376</v>
      </c>
      <c r="P2089" s="232" t="s">
        <v>376</v>
      </c>
      <c r="Q2089" s="232" t="s">
        <v>131</v>
      </c>
      <c r="R2089" s="232" t="s">
        <v>131</v>
      </c>
      <c r="S2089" s="232" t="s">
        <v>131</v>
      </c>
      <c r="T2089" s="232"/>
      <c r="U2089" s="232" t="s">
        <v>1296</v>
      </c>
      <c r="V2089" s="232"/>
      <c r="W2089" s="232"/>
      <c r="X2089" s="232"/>
      <c r="Y2089" s="232"/>
      <c r="Z2089" s="232"/>
      <c r="AA2089" s="232"/>
      <c r="AB2089" s="232"/>
      <c r="AC2089" s="232"/>
      <c r="AD2089" s="233" t="s">
        <v>5</v>
      </c>
    </row>
    <row r="2090" spans="1:30" s="234" customFormat="1" ht="33" customHeight="1" x14ac:dyDescent="0.3">
      <c r="A2090" s="167">
        <v>32</v>
      </c>
      <c r="B2090" s="168">
        <v>123</v>
      </c>
      <c r="C2090" s="226" t="str">
        <f t="shared" si="42"/>
        <v>32.123</v>
      </c>
      <c r="D2090" s="227" t="s">
        <v>1152</v>
      </c>
      <c r="E2090" s="64" t="str">
        <f>IF(ISBLANK(D2090)=TRUE,"",VLOOKUP(D2090,Krav!$C:$F,4,FALSE))</f>
        <v>10.a.2.1.1.50 - Hvis SRBDato ikke er valgt: Regel R0066 deaktiveres</v>
      </c>
      <c r="F2090" s="228" t="s">
        <v>226</v>
      </c>
      <c r="G2090" s="228" t="s">
        <v>313</v>
      </c>
      <c r="H2090" s="229" t="s">
        <v>1441</v>
      </c>
      <c r="I2090" s="230" t="s">
        <v>1403</v>
      </c>
      <c r="J2090" s="230" t="s">
        <v>222</v>
      </c>
      <c r="K2090" s="230" t="s">
        <v>222</v>
      </c>
      <c r="L2090" s="238" t="s">
        <v>3</v>
      </c>
      <c r="M2090" s="232" t="s">
        <v>131</v>
      </c>
      <c r="N2090" s="232" t="s">
        <v>129</v>
      </c>
      <c r="O2090" s="232" t="s">
        <v>376</v>
      </c>
      <c r="P2090" s="232" t="s">
        <v>376</v>
      </c>
      <c r="Q2090" s="232" t="s">
        <v>131</v>
      </c>
      <c r="R2090" s="232" t="s">
        <v>131</v>
      </c>
      <c r="S2090" s="232" t="s">
        <v>131</v>
      </c>
      <c r="T2090" s="232"/>
      <c r="U2090" s="232" t="s">
        <v>1297</v>
      </c>
      <c r="V2090" s="232"/>
      <c r="W2090" s="232"/>
      <c r="X2090" s="232"/>
      <c r="Y2090" s="232"/>
      <c r="Z2090" s="232"/>
      <c r="AA2090" s="232"/>
      <c r="AB2090" s="232"/>
      <c r="AC2090" s="232"/>
      <c r="AD2090" s="233" t="s">
        <v>5</v>
      </c>
    </row>
    <row r="2091" spans="1:30" s="234" customFormat="1" ht="33" customHeight="1" x14ac:dyDescent="0.3">
      <c r="A2091" s="167">
        <v>32</v>
      </c>
      <c r="B2091" s="168">
        <v>124</v>
      </c>
      <c r="C2091" s="226" t="str">
        <f t="shared" si="42"/>
        <v>32.124</v>
      </c>
      <c r="D2091" s="227" t="s">
        <v>1157</v>
      </c>
      <c r="E2091" s="64" t="str">
        <f>IF(ISBLANK(D2091)=TRUE,"",VLOOKUP(D2091,Krav!$C:$F,4,FALSE))</f>
        <v>10.a.2.1.1.55 - Hvis SRBDato ikke er valgt: Regel R0071 deaktiveres</v>
      </c>
      <c r="F2091" s="228" t="s">
        <v>226</v>
      </c>
      <c r="G2091" s="228" t="s">
        <v>313</v>
      </c>
      <c r="H2091" s="229" t="s">
        <v>1441</v>
      </c>
      <c r="I2091" s="230" t="s">
        <v>1403</v>
      </c>
      <c r="J2091" s="230" t="s">
        <v>222</v>
      </c>
      <c r="K2091" s="230" t="s">
        <v>222</v>
      </c>
      <c r="L2091" s="238" t="s">
        <v>3</v>
      </c>
      <c r="M2091" s="232" t="s">
        <v>131</v>
      </c>
      <c r="N2091" s="232" t="s">
        <v>129</v>
      </c>
      <c r="O2091" s="232" t="s">
        <v>376</v>
      </c>
      <c r="P2091" s="232" t="s">
        <v>376</v>
      </c>
      <c r="Q2091" s="232" t="s">
        <v>131</v>
      </c>
      <c r="R2091" s="232" t="s">
        <v>131</v>
      </c>
      <c r="S2091" s="232" t="s">
        <v>131</v>
      </c>
      <c r="T2091" s="232"/>
      <c r="U2091" s="232" t="s">
        <v>1298</v>
      </c>
      <c r="V2091" s="232"/>
      <c r="W2091" s="232"/>
      <c r="X2091" s="232"/>
      <c r="Y2091" s="232"/>
      <c r="Z2091" s="232"/>
      <c r="AA2091" s="232"/>
      <c r="AB2091" s="232"/>
      <c r="AC2091" s="232"/>
      <c r="AD2091" s="233" t="s">
        <v>5</v>
      </c>
    </row>
    <row r="2092" spans="1:30" s="234" customFormat="1" ht="33" customHeight="1" x14ac:dyDescent="0.3">
      <c r="A2092" s="167">
        <v>32</v>
      </c>
      <c r="B2092" s="168">
        <v>125</v>
      </c>
      <c r="C2092" s="226" t="str">
        <f t="shared" si="42"/>
        <v>32.125</v>
      </c>
      <c r="D2092" s="227" t="s">
        <v>1149</v>
      </c>
      <c r="E2092" s="64" t="str">
        <f>IF(ISBLANK(D2092)=TRUE,"",VLOOKUP(D2092,Krav!$C:$F,4,FALSE))</f>
        <v>10.a.2.1.1.47 - Hvis SRBDato ikke er valgt: Regel R0063 deaktiveres</v>
      </c>
      <c r="F2092" s="228" t="s">
        <v>226</v>
      </c>
      <c r="G2092" s="228" t="s">
        <v>313</v>
      </c>
      <c r="H2092" s="229" t="s">
        <v>1404</v>
      </c>
      <c r="I2092" s="237" t="s">
        <v>408</v>
      </c>
      <c r="J2092" s="237" t="s">
        <v>222</v>
      </c>
      <c r="K2092" s="230" t="s">
        <v>222</v>
      </c>
      <c r="L2092" s="231" t="s">
        <v>4</v>
      </c>
      <c r="M2092" s="232" t="s">
        <v>129</v>
      </c>
      <c r="N2092" s="232" t="s">
        <v>131</v>
      </c>
      <c r="O2092" s="232" t="s">
        <v>1403</v>
      </c>
      <c r="P2092" s="232" t="s">
        <v>1405</v>
      </c>
      <c r="Q2092" s="232" t="s">
        <v>131</v>
      </c>
      <c r="R2092" s="232" t="s">
        <v>131</v>
      </c>
      <c r="S2092" s="232" t="s">
        <v>131</v>
      </c>
      <c r="T2092" s="232"/>
      <c r="U2092" s="232" t="s">
        <v>1294</v>
      </c>
      <c r="V2092" s="232"/>
      <c r="W2092" s="232"/>
      <c r="X2092" s="232"/>
      <c r="Y2092" s="232"/>
      <c r="Z2092" s="232"/>
      <c r="AA2092" s="232"/>
      <c r="AB2092" s="232"/>
      <c r="AC2092" s="232"/>
      <c r="AD2092" s="233" t="s">
        <v>5</v>
      </c>
    </row>
    <row r="2093" spans="1:30" s="234" customFormat="1" ht="33" customHeight="1" x14ac:dyDescent="0.3">
      <c r="A2093" s="167">
        <v>32</v>
      </c>
      <c r="B2093" s="168">
        <v>126</v>
      </c>
      <c r="C2093" s="226" t="str">
        <f t="shared" si="42"/>
        <v>32.126</v>
      </c>
      <c r="D2093" s="227" t="s">
        <v>1150</v>
      </c>
      <c r="E2093" s="64" t="str">
        <f>IF(ISBLANK(D2093)=TRUE,"",VLOOKUP(D2093,Krav!$C:$F,4,FALSE))</f>
        <v>10.a.2.1.1.48 - Hvis SRBDato ikke er valgt: Regel R0064 deaktiveres</v>
      </c>
      <c r="F2093" s="228" t="s">
        <v>226</v>
      </c>
      <c r="G2093" s="228" t="s">
        <v>313</v>
      </c>
      <c r="H2093" s="229" t="s">
        <v>1404</v>
      </c>
      <c r="I2093" s="237" t="s">
        <v>408</v>
      </c>
      <c r="J2093" s="237" t="s">
        <v>222</v>
      </c>
      <c r="K2093" s="230" t="s">
        <v>222</v>
      </c>
      <c r="L2093" s="231" t="s">
        <v>4</v>
      </c>
      <c r="M2093" s="232" t="s">
        <v>129</v>
      </c>
      <c r="N2093" s="232" t="s">
        <v>131</v>
      </c>
      <c r="O2093" s="232" t="s">
        <v>1403</v>
      </c>
      <c r="P2093" s="232" t="s">
        <v>1405</v>
      </c>
      <c r="Q2093" s="232" t="s">
        <v>131</v>
      </c>
      <c r="R2093" s="232" t="s">
        <v>131</v>
      </c>
      <c r="S2093" s="232" t="s">
        <v>131</v>
      </c>
      <c r="T2093" s="232"/>
      <c r="U2093" s="232" t="s">
        <v>1295</v>
      </c>
      <c r="V2093" s="232"/>
      <c r="W2093" s="232"/>
      <c r="X2093" s="232"/>
      <c r="Y2093" s="232"/>
      <c r="Z2093" s="232"/>
      <c r="AA2093" s="232"/>
      <c r="AB2093" s="232"/>
      <c r="AC2093" s="232"/>
      <c r="AD2093" s="233" t="s">
        <v>5</v>
      </c>
    </row>
    <row r="2094" spans="1:30" s="234" customFormat="1" ht="33" customHeight="1" x14ac:dyDescent="0.3">
      <c r="A2094" s="167">
        <v>32</v>
      </c>
      <c r="B2094" s="168">
        <v>127</v>
      </c>
      <c r="C2094" s="226" t="str">
        <f t="shared" si="42"/>
        <v>32.127</v>
      </c>
      <c r="D2094" s="227" t="s">
        <v>1151</v>
      </c>
      <c r="E2094" s="64" t="str">
        <f>IF(ISBLANK(D2094)=TRUE,"",VLOOKUP(D2094,Krav!$C:$F,4,FALSE))</f>
        <v>10.a.2.1.1.49 - Hvis SRBDato ikke er valgt: Regel R0065 deaktiveres</v>
      </c>
      <c r="F2094" s="228" t="s">
        <v>226</v>
      </c>
      <c r="G2094" s="228" t="s">
        <v>313</v>
      </c>
      <c r="H2094" s="229" t="s">
        <v>1404</v>
      </c>
      <c r="I2094" s="237" t="s">
        <v>408</v>
      </c>
      <c r="J2094" s="230" t="s">
        <v>222</v>
      </c>
      <c r="K2094" s="230" t="s">
        <v>222</v>
      </c>
      <c r="L2094" s="231" t="s">
        <v>4</v>
      </c>
      <c r="M2094" s="232" t="s">
        <v>129</v>
      </c>
      <c r="N2094" s="232" t="s">
        <v>131</v>
      </c>
      <c r="O2094" s="232" t="s">
        <v>1403</v>
      </c>
      <c r="P2094" s="232" t="s">
        <v>1405</v>
      </c>
      <c r="Q2094" s="232" t="s">
        <v>131</v>
      </c>
      <c r="R2094" s="232" t="s">
        <v>131</v>
      </c>
      <c r="S2094" s="232" t="s">
        <v>131</v>
      </c>
      <c r="T2094" s="232"/>
      <c r="U2094" s="232" t="s">
        <v>1296</v>
      </c>
      <c r="V2094" s="232"/>
      <c r="W2094" s="232"/>
      <c r="X2094" s="232"/>
      <c r="Y2094" s="232"/>
      <c r="Z2094" s="232"/>
      <c r="AA2094" s="232"/>
      <c r="AB2094" s="232"/>
      <c r="AC2094" s="232"/>
      <c r="AD2094" s="233" t="s">
        <v>5</v>
      </c>
    </row>
    <row r="2095" spans="1:30" s="234" customFormat="1" ht="33" customHeight="1" x14ac:dyDescent="0.3">
      <c r="A2095" s="167">
        <v>32</v>
      </c>
      <c r="B2095" s="168">
        <v>128</v>
      </c>
      <c r="C2095" s="226" t="str">
        <f t="shared" si="42"/>
        <v>32.128</v>
      </c>
      <c r="D2095" s="227" t="s">
        <v>1152</v>
      </c>
      <c r="E2095" s="64" t="str">
        <f>IF(ISBLANK(D2095)=TRUE,"",VLOOKUP(D2095,Krav!$C:$F,4,FALSE))</f>
        <v>10.a.2.1.1.50 - Hvis SRBDato ikke er valgt: Regel R0066 deaktiveres</v>
      </c>
      <c r="F2095" s="228" t="s">
        <v>226</v>
      </c>
      <c r="G2095" s="228" t="s">
        <v>313</v>
      </c>
      <c r="H2095" s="229" t="s">
        <v>1404</v>
      </c>
      <c r="I2095" s="237" t="s">
        <v>408</v>
      </c>
      <c r="J2095" s="230" t="s">
        <v>222</v>
      </c>
      <c r="K2095" s="230" t="s">
        <v>222</v>
      </c>
      <c r="L2095" s="231" t="s">
        <v>4</v>
      </c>
      <c r="M2095" s="232" t="s">
        <v>129</v>
      </c>
      <c r="N2095" s="232" t="s">
        <v>131</v>
      </c>
      <c r="O2095" s="232" t="s">
        <v>1403</v>
      </c>
      <c r="P2095" s="232" t="s">
        <v>1405</v>
      </c>
      <c r="Q2095" s="232" t="s">
        <v>131</v>
      </c>
      <c r="R2095" s="232" t="s">
        <v>131</v>
      </c>
      <c r="S2095" s="232" t="s">
        <v>131</v>
      </c>
      <c r="T2095" s="232"/>
      <c r="U2095" s="232" t="s">
        <v>1297</v>
      </c>
      <c r="V2095" s="232"/>
      <c r="W2095" s="232"/>
      <c r="X2095" s="232"/>
      <c r="Y2095" s="232"/>
      <c r="Z2095" s="232"/>
      <c r="AA2095" s="232"/>
      <c r="AB2095" s="232"/>
      <c r="AC2095" s="232"/>
      <c r="AD2095" s="233" t="s">
        <v>5</v>
      </c>
    </row>
    <row r="2096" spans="1:30" s="234" customFormat="1" ht="33" customHeight="1" x14ac:dyDescent="0.3">
      <c r="A2096" s="167">
        <v>32</v>
      </c>
      <c r="B2096" s="168">
        <v>129</v>
      </c>
      <c r="C2096" s="226" t="str">
        <f t="shared" si="42"/>
        <v>32.129</v>
      </c>
      <c r="D2096" s="227" t="s">
        <v>1157</v>
      </c>
      <c r="E2096" s="64" t="str">
        <f>IF(ISBLANK(D2096)=TRUE,"",VLOOKUP(D2096,Krav!$C:$F,4,FALSE))</f>
        <v>10.a.2.1.1.55 - Hvis SRBDato ikke er valgt: Regel R0071 deaktiveres</v>
      </c>
      <c r="F2096" s="228" t="s">
        <v>226</v>
      </c>
      <c r="G2096" s="228" t="s">
        <v>313</v>
      </c>
      <c r="H2096" s="229" t="s">
        <v>1404</v>
      </c>
      <c r="I2096" s="237" t="s">
        <v>408</v>
      </c>
      <c r="J2096" s="230" t="s">
        <v>222</v>
      </c>
      <c r="K2096" s="230" t="s">
        <v>222</v>
      </c>
      <c r="L2096" s="231" t="s">
        <v>4</v>
      </c>
      <c r="M2096" s="232" t="s">
        <v>129</v>
      </c>
      <c r="N2096" s="232" t="s">
        <v>131</v>
      </c>
      <c r="O2096" s="232" t="s">
        <v>1403</v>
      </c>
      <c r="P2096" s="232" t="s">
        <v>1405</v>
      </c>
      <c r="Q2096" s="232" t="s">
        <v>131</v>
      </c>
      <c r="R2096" s="232" t="s">
        <v>131</v>
      </c>
      <c r="S2096" s="232" t="s">
        <v>131</v>
      </c>
      <c r="T2096" s="232"/>
      <c r="U2096" s="232" t="s">
        <v>1298</v>
      </c>
      <c r="V2096" s="232"/>
      <c r="W2096" s="232"/>
      <c r="X2096" s="232"/>
      <c r="Y2096" s="232"/>
      <c r="Z2096" s="232"/>
      <c r="AA2096" s="232"/>
      <c r="AB2096" s="232"/>
      <c r="AC2096" s="232"/>
      <c r="AD2096" s="233" t="s">
        <v>5</v>
      </c>
    </row>
    <row r="2097" spans="1:30" s="234" customFormat="1" ht="33" customHeight="1" x14ac:dyDescent="0.3">
      <c r="A2097" s="167">
        <v>32</v>
      </c>
      <c r="B2097" s="168">
        <v>130</v>
      </c>
      <c r="C2097" s="226" t="str">
        <f t="shared" si="42"/>
        <v>32.130</v>
      </c>
      <c r="D2097" s="227" t="s">
        <v>1149</v>
      </c>
      <c r="E2097" s="64" t="str">
        <f>IF(ISBLANK(D2097)=TRUE,"",VLOOKUP(D2097,Krav!$C:$F,4,FALSE))</f>
        <v>10.a.2.1.1.47 - Hvis SRBDato ikke er valgt: Regel R0063 deaktiveres</v>
      </c>
      <c r="F2097" s="228" t="s">
        <v>226</v>
      </c>
      <c r="G2097" s="228" t="s">
        <v>313</v>
      </c>
      <c r="H2097" s="229" t="s">
        <v>1404</v>
      </c>
      <c r="I2097" s="230" t="s">
        <v>410</v>
      </c>
      <c r="J2097" s="237" t="s">
        <v>222</v>
      </c>
      <c r="K2097" s="230" t="s">
        <v>222</v>
      </c>
      <c r="L2097" s="231" t="s">
        <v>4</v>
      </c>
      <c r="M2097" s="232" t="s">
        <v>129</v>
      </c>
      <c r="N2097" s="232" t="s">
        <v>131</v>
      </c>
      <c r="O2097" s="232" t="s">
        <v>1405</v>
      </c>
      <c r="P2097" s="232" t="s">
        <v>1403</v>
      </c>
      <c r="Q2097" s="232" t="s">
        <v>131</v>
      </c>
      <c r="R2097" s="232" t="s">
        <v>131</v>
      </c>
      <c r="S2097" s="232" t="s">
        <v>131</v>
      </c>
      <c r="T2097" s="232"/>
      <c r="U2097" s="232" t="s">
        <v>1294</v>
      </c>
      <c r="V2097" s="232"/>
      <c r="W2097" s="232"/>
      <c r="X2097" s="232"/>
      <c r="Y2097" s="232"/>
      <c r="Z2097" s="232"/>
      <c r="AA2097" s="232"/>
      <c r="AB2097" s="232"/>
      <c r="AC2097" s="232"/>
      <c r="AD2097" s="233" t="s">
        <v>5</v>
      </c>
    </row>
    <row r="2098" spans="1:30" s="234" customFormat="1" ht="33" customHeight="1" x14ac:dyDescent="0.3">
      <c r="A2098" s="167">
        <v>32</v>
      </c>
      <c r="B2098" s="168">
        <v>131</v>
      </c>
      <c r="C2098" s="226" t="str">
        <f t="shared" si="42"/>
        <v>32.131</v>
      </c>
      <c r="D2098" s="227" t="s">
        <v>1150</v>
      </c>
      <c r="E2098" s="64" t="str">
        <f>IF(ISBLANK(D2098)=TRUE,"",VLOOKUP(D2098,Krav!$C:$F,4,FALSE))</f>
        <v>10.a.2.1.1.48 - Hvis SRBDato ikke er valgt: Regel R0064 deaktiveres</v>
      </c>
      <c r="F2098" s="228" t="s">
        <v>226</v>
      </c>
      <c r="G2098" s="228" t="s">
        <v>313</v>
      </c>
      <c r="H2098" s="229" t="s">
        <v>1404</v>
      </c>
      <c r="I2098" s="230" t="s">
        <v>410</v>
      </c>
      <c r="J2098" s="237" t="s">
        <v>222</v>
      </c>
      <c r="K2098" s="230" t="s">
        <v>222</v>
      </c>
      <c r="L2098" s="231" t="s">
        <v>4</v>
      </c>
      <c r="M2098" s="232" t="s">
        <v>129</v>
      </c>
      <c r="N2098" s="232" t="s">
        <v>131</v>
      </c>
      <c r="O2098" s="232" t="s">
        <v>1405</v>
      </c>
      <c r="P2098" s="232" t="s">
        <v>1403</v>
      </c>
      <c r="Q2098" s="232" t="s">
        <v>131</v>
      </c>
      <c r="R2098" s="232" t="s">
        <v>131</v>
      </c>
      <c r="S2098" s="232" t="s">
        <v>131</v>
      </c>
      <c r="T2098" s="232"/>
      <c r="U2098" s="232" t="s">
        <v>1295</v>
      </c>
      <c r="V2098" s="232"/>
      <c r="W2098" s="232"/>
      <c r="X2098" s="232"/>
      <c r="Y2098" s="232"/>
      <c r="Z2098" s="232"/>
      <c r="AA2098" s="232"/>
      <c r="AB2098" s="232"/>
      <c r="AC2098" s="232"/>
      <c r="AD2098" s="233" t="s">
        <v>5</v>
      </c>
    </row>
    <row r="2099" spans="1:30" s="234" customFormat="1" ht="33" customHeight="1" x14ac:dyDescent="0.3">
      <c r="A2099" s="167">
        <v>32</v>
      </c>
      <c r="B2099" s="168">
        <v>132</v>
      </c>
      <c r="C2099" s="226" t="str">
        <f t="shared" si="42"/>
        <v>32.132</v>
      </c>
      <c r="D2099" s="227" t="s">
        <v>1151</v>
      </c>
      <c r="E2099" s="64" t="str">
        <f>IF(ISBLANK(D2099)=TRUE,"",VLOOKUP(D2099,Krav!$C:$F,4,FALSE))</f>
        <v>10.a.2.1.1.49 - Hvis SRBDato ikke er valgt: Regel R0065 deaktiveres</v>
      </c>
      <c r="F2099" s="228" t="s">
        <v>226</v>
      </c>
      <c r="G2099" s="228" t="s">
        <v>313</v>
      </c>
      <c r="H2099" s="229" t="s">
        <v>1404</v>
      </c>
      <c r="I2099" s="230" t="s">
        <v>410</v>
      </c>
      <c r="J2099" s="230" t="s">
        <v>222</v>
      </c>
      <c r="K2099" s="230" t="s">
        <v>222</v>
      </c>
      <c r="L2099" s="231" t="s">
        <v>4</v>
      </c>
      <c r="M2099" s="232" t="s">
        <v>129</v>
      </c>
      <c r="N2099" s="232" t="s">
        <v>131</v>
      </c>
      <c r="O2099" s="232" t="s">
        <v>1405</v>
      </c>
      <c r="P2099" s="232" t="s">
        <v>1403</v>
      </c>
      <c r="Q2099" s="232" t="s">
        <v>131</v>
      </c>
      <c r="R2099" s="232" t="s">
        <v>131</v>
      </c>
      <c r="S2099" s="232" t="s">
        <v>131</v>
      </c>
      <c r="T2099" s="232"/>
      <c r="U2099" s="232" t="s">
        <v>1296</v>
      </c>
      <c r="V2099" s="232"/>
      <c r="W2099" s="232"/>
      <c r="X2099" s="232"/>
      <c r="Y2099" s="232"/>
      <c r="Z2099" s="232"/>
      <c r="AA2099" s="232"/>
      <c r="AB2099" s="232"/>
      <c r="AC2099" s="232"/>
      <c r="AD2099" s="233" t="s">
        <v>5</v>
      </c>
    </row>
    <row r="2100" spans="1:30" s="234" customFormat="1" ht="33" customHeight="1" x14ac:dyDescent="0.3">
      <c r="A2100" s="167">
        <v>32</v>
      </c>
      <c r="B2100" s="168">
        <v>133</v>
      </c>
      <c r="C2100" s="226" t="str">
        <f t="shared" si="42"/>
        <v>32.133</v>
      </c>
      <c r="D2100" s="227" t="s">
        <v>1152</v>
      </c>
      <c r="E2100" s="64" t="str">
        <f>IF(ISBLANK(D2100)=TRUE,"",VLOOKUP(D2100,Krav!$C:$F,4,FALSE))</f>
        <v>10.a.2.1.1.50 - Hvis SRBDato ikke er valgt: Regel R0066 deaktiveres</v>
      </c>
      <c r="F2100" s="228" t="s">
        <v>226</v>
      </c>
      <c r="G2100" s="228" t="s">
        <v>313</v>
      </c>
      <c r="H2100" s="229" t="s">
        <v>1404</v>
      </c>
      <c r="I2100" s="230" t="s">
        <v>410</v>
      </c>
      <c r="J2100" s="230" t="s">
        <v>222</v>
      </c>
      <c r="K2100" s="230" t="s">
        <v>222</v>
      </c>
      <c r="L2100" s="231" t="s">
        <v>4</v>
      </c>
      <c r="M2100" s="232" t="s">
        <v>129</v>
      </c>
      <c r="N2100" s="232" t="s">
        <v>131</v>
      </c>
      <c r="O2100" s="232" t="s">
        <v>1405</v>
      </c>
      <c r="P2100" s="232" t="s">
        <v>1403</v>
      </c>
      <c r="Q2100" s="232" t="s">
        <v>131</v>
      </c>
      <c r="R2100" s="232" t="s">
        <v>131</v>
      </c>
      <c r="S2100" s="232" t="s">
        <v>131</v>
      </c>
      <c r="T2100" s="232"/>
      <c r="U2100" s="232" t="s">
        <v>1297</v>
      </c>
      <c r="V2100" s="232"/>
      <c r="W2100" s="232"/>
      <c r="X2100" s="232"/>
      <c r="Y2100" s="232"/>
      <c r="Z2100" s="232"/>
      <c r="AA2100" s="232"/>
      <c r="AB2100" s="232"/>
      <c r="AC2100" s="232"/>
      <c r="AD2100" s="233" t="s">
        <v>5</v>
      </c>
    </row>
    <row r="2101" spans="1:30" s="234" customFormat="1" ht="33" customHeight="1" x14ac:dyDescent="0.3">
      <c r="A2101" s="167">
        <v>32</v>
      </c>
      <c r="B2101" s="168">
        <v>134</v>
      </c>
      <c r="C2101" s="226" t="str">
        <f t="shared" si="42"/>
        <v>32.134</v>
      </c>
      <c r="D2101" s="227" t="s">
        <v>1157</v>
      </c>
      <c r="E2101" s="64" t="str">
        <f>IF(ISBLANK(D2101)=TRUE,"",VLOOKUP(D2101,Krav!$C:$F,4,FALSE))</f>
        <v>10.a.2.1.1.55 - Hvis SRBDato ikke er valgt: Regel R0071 deaktiveres</v>
      </c>
      <c r="F2101" s="228" t="s">
        <v>226</v>
      </c>
      <c r="G2101" s="228" t="s">
        <v>313</v>
      </c>
      <c r="H2101" s="229" t="s">
        <v>1404</v>
      </c>
      <c r="I2101" s="230" t="s">
        <v>410</v>
      </c>
      <c r="J2101" s="230" t="s">
        <v>222</v>
      </c>
      <c r="K2101" s="230" t="s">
        <v>222</v>
      </c>
      <c r="L2101" s="231" t="s">
        <v>4</v>
      </c>
      <c r="M2101" s="232" t="s">
        <v>129</v>
      </c>
      <c r="N2101" s="232" t="s">
        <v>131</v>
      </c>
      <c r="O2101" s="232" t="s">
        <v>1405</v>
      </c>
      <c r="P2101" s="232" t="s">
        <v>1403</v>
      </c>
      <c r="Q2101" s="232" t="s">
        <v>131</v>
      </c>
      <c r="R2101" s="232" t="s">
        <v>131</v>
      </c>
      <c r="S2101" s="232" t="s">
        <v>131</v>
      </c>
      <c r="T2101" s="232"/>
      <c r="U2101" s="232" t="s">
        <v>1298</v>
      </c>
      <c r="V2101" s="232"/>
      <c r="W2101" s="232"/>
      <c r="X2101" s="232"/>
      <c r="Y2101" s="232"/>
      <c r="Z2101" s="232"/>
      <c r="AA2101" s="232"/>
      <c r="AB2101" s="232"/>
      <c r="AC2101" s="232"/>
      <c r="AD2101" s="233" t="s">
        <v>5</v>
      </c>
    </row>
    <row r="2102" spans="1:30" s="234" customFormat="1" ht="33" customHeight="1" x14ac:dyDescent="0.3">
      <c r="A2102" s="167">
        <v>32</v>
      </c>
      <c r="B2102" s="168">
        <v>135</v>
      </c>
      <c r="C2102" s="226" t="str">
        <f t="shared" si="42"/>
        <v>32.135</v>
      </c>
      <c r="D2102" s="227" t="s">
        <v>1237</v>
      </c>
      <c r="E2102" s="64" t="str">
        <f>IF(ISBLANK(D2102)=TRUE,"",VLOOKUP(D2102,Krav!$C:$F,4,FALSE))</f>
        <v>10.a.2.1.1.110 - Der angives et ”JA” i populationen under ”Vil RIM beregne en tidligst mulig forældelsesdato?”</v>
      </c>
      <c r="F2102" s="228" t="s">
        <v>221</v>
      </c>
      <c r="G2102" s="228"/>
      <c r="H2102" s="229" t="s">
        <v>1406</v>
      </c>
      <c r="I2102" s="230" t="s">
        <v>240</v>
      </c>
      <c r="J2102" s="230" t="s">
        <v>222</v>
      </c>
      <c r="K2102" s="230" t="s">
        <v>222</v>
      </c>
      <c r="L2102" s="238" t="s">
        <v>3</v>
      </c>
      <c r="M2102" s="232" t="s">
        <v>131</v>
      </c>
      <c r="N2102" s="232" t="s">
        <v>129</v>
      </c>
      <c r="O2102" s="232" t="s">
        <v>376</v>
      </c>
      <c r="P2102" s="232" t="s">
        <v>376</v>
      </c>
      <c r="Q2102" s="232" t="s">
        <v>131</v>
      </c>
      <c r="R2102" s="232" t="s">
        <v>131</v>
      </c>
      <c r="S2102" s="232" t="s">
        <v>131</v>
      </c>
      <c r="T2102" s="232"/>
      <c r="U2102" s="232"/>
      <c r="V2102" s="232"/>
      <c r="W2102" s="232"/>
      <c r="X2102" s="232"/>
      <c r="Y2102" s="232"/>
      <c r="Z2102" s="232"/>
      <c r="AA2102" s="232"/>
      <c r="AB2102" s="232"/>
      <c r="AC2102" s="232"/>
      <c r="AD2102" s="233" t="s">
        <v>5</v>
      </c>
    </row>
    <row r="2103" spans="1:30" s="234" customFormat="1" ht="33" customHeight="1" x14ac:dyDescent="0.3">
      <c r="A2103" s="167">
        <v>32</v>
      </c>
      <c r="B2103" s="168">
        <v>136</v>
      </c>
      <c r="C2103" s="226" t="str">
        <f t="shared" si="42"/>
        <v>32.136</v>
      </c>
      <c r="D2103" s="227"/>
      <c r="E2103" s="64" t="str">
        <f>IF(ISBLANK(D2103)=TRUE,"",VLOOKUP(D2103,Krav!$C:$F,4,FALSE))</f>
        <v/>
      </c>
      <c r="F2103" s="228" t="s">
        <v>225</v>
      </c>
      <c r="G2103" s="235" t="s">
        <v>231</v>
      </c>
      <c r="H2103" s="235" t="s">
        <v>158</v>
      </c>
      <c r="I2103" s="230" t="s">
        <v>1443</v>
      </c>
      <c r="J2103" s="230" t="s">
        <v>222</v>
      </c>
      <c r="K2103" s="230" t="s">
        <v>222</v>
      </c>
      <c r="L2103" s="238" t="s">
        <v>3</v>
      </c>
      <c r="M2103" s="232" t="s">
        <v>131</v>
      </c>
      <c r="N2103" s="232" t="s">
        <v>129</v>
      </c>
      <c r="O2103" s="232" t="s">
        <v>376</v>
      </c>
      <c r="P2103" s="232" t="s">
        <v>376</v>
      </c>
      <c r="Q2103" s="232" t="s">
        <v>131</v>
      </c>
      <c r="R2103" s="232" t="s">
        <v>131</v>
      </c>
      <c r="S2103" s="232" t="s">
        <v>131</v>
      </c>
      <c r="T2103" s="232"/>
      <c r="U2103" s="232"/>
      <c r="V2103" s="232"/>
      <c r="W2103" s="232"/>
      <c r="X2103" s="232"/>
      <c r="Y2103" s="232"/>
      <c r="Z2103" s="232"/>
      <c r="AA2103" s="232"/>
      <c r="AB2103" s="232"/>
      <c r="AC2103" s="232"/>
      <c r="AD2103" s="233" t="s">
        <v>5</v>
      </c>
    </row>
    <row r="2104" spans="1:30" s="234" customFormat="1" ht="33" customHeight="1" x14ac:dyDescent="0.3">
      <c r="A2104" s="167">
        <v>32</v>
      </c>
      <c r="B2104" s="168">
        <v>137</v>
      </c>
      <c r="C2104" s="226" t="str">
        <f t="shared" si="42"/>
        <v>32.137</v>
      </c>
      <c r="D2104" s="227"/>
      <c r="E2104" s="64" t="str">
        <f>IF(ISBLANK(D2104)=TRUE,"",VLOOKUP(D2104,Krav!$C:$F,4,FALSE))</f>
        <v/>
      </c>
      <c r="F2104" s="228" t="s">
        <v>225</v>
      </c>
      <c r="G2104" s="235" t="s">
        <v>1388</v>
      </c>
      <c r="H2104" s="235" t="s">
        <v>158</v>
      </c>
      <c r="I2104" s="230" t="s">
        <v>376</v>
      </c>
      <c r="J2104" s="230" t="s">
        <v>222</v>
      </c>
      <c r="K2104" s="230" t="s">
        <v>222</v>
      </c>
      <c r="L2104" s="238" t="s">
        <v>3</v>
      </c>
      <c r="M2104" s="232" t="s">
        <v>131</v>
      </c>
      <c r="N2104" s="232" t="s">
        <v>129</v>
      </c>
      <c r="O2104" s="232" t="s">
        <v>376</v>
      </c>
      <c r="P2104" s="232" t="s">
        <v>376</v>
      </c>
      <c r="Q2104" s="232" t="s">
        <v>131</v>
      </c>
      <c r="R2104" s="232" t="s">
        <v>131</v>
      </c>
      <c r="S2104" s="232" t="s">
        <v>131</v>
      </c>
      <c r="T2104" s="232"/>
      <c r="U2104" s="232"/>
      <c r="V2104" s="232"/>
      <c r="W2104" s="232"/>
      <c r="X2104" s="232"/>
      <c r="Y2104" s="232"/>
      <c r="Z2104" s="232"/>
      <c r="AA2104" s="232"/>
      <c r="AB2104" s="232"/>
      <c r="AC2104" s="232"/>
      <c r="AD2104" s="233" t="s">
        <v>5</v>
      </c>
    </row>
    <row r="2105" spans="1:30" s="234" customFormat="1" ht="33" customHeight="1" x14ac:dyDescent="0.3">
      <c r="A2105" s="167">
        <v>32</v>
      </c>
      <c r="B2105" s="168">
        <v>138</v>
      </c>
      <c r="C2105" s="226" t="str">
        <f t="shared" si="42"/>
        <v>32.138</v>
      </c>
      <c r="D2105" s="227"/>
      <c r="E2105" s="64" t="str">
        <f>IF(ISBLANK(D2105)=TRUE,"",VLOOKUP(D2105,Krav!$C:$F,4,FALSE))</f>
        <v/>
      </c>
      <c r="F2105" s="228" t="s">
        <v>225</v>
      </c>
      <c r="G2105" s="235" t="s">
        <v>1389</v>
      </c>
      <c r="H2105" s="235" t="s">
        <v>158</v>
      </c>
      <c r="I2105" s="230" t="s">
        <v>376</v>
      </c>
      <c r="J2105" s="230" t="s">
        <v>222</v>
      </c>
      <c r="K2105" s="230" t="s">
        <v>222</v>
      </c>
      <c r="L2105" s="238" t="s">
        <v>3</v>
      </c>
      <c r="M2105" s="232" t="s">
        <v>131</v>
      </c>
      <c r="N2105" s="232" t="s">
        <v>129</v>
      </c>
      <c r="O2105" s="232" t="s">
        <v>376</v>
      </c>
      <c r="P2105" s="232" t="s">
        <v>376</v>
      </c>
      <c r="Q2105" s="232" t="s">
        <v>131</v>
      </c>
      <c r="R2105" s="232" t="s">
        <v>131</v>
      </c>
      <c r="S2105" s="232" t="s">
        <v>131</v>
      </c>
      <c r="T2105" s="232"/>
      <c r="U2105" s="232"/>
      <c r="V2105" s="232"/>
      <c r="W2105" s="232"/>
      <c r="X2105" s="232"/>
      <c r="Y2105" s="232"/>
      <c r="Z2105" s="232"/>
      <c r="AA2105" s="232"/>
      <c r="AB2105" s="232"/>
      <c r="AC2105" s="232"/>
      <c r="AD2105" s="233" t="s">
        <v>5</v>
      </c>
    </row>
    <row r="2106" spans="1:30" s="234" customFormat="1" ht="33" customHeight="1" x14ac:dyDescent="0.3">
      <c r="A2106" s="167">
        <v>32</v>
      </c>
      <c r="B2106" s="168">
        <v>139</v>
      </c>
      <c r="C2106" s="226" t="str">
        <f t="shared" si="42"/>
        <v>32.139</v>
      </c>
      <c r="D2106" s="227" t="s">
        <v>1094</v>
      </c>
      <c r="E2106" s="64" t="str">
        <f>IF(ISBLANK(D2106)=TRUE,"",VLOOKUP(D2106,Krav!$C:$F,4,FALSE))</f>
        <v>10.a.2.23 - Såfremt brugeren angiver antal dage skal brugeren ledes til spørgsmål 10.a.2.1</v>
      </c>
      <c r="F2106" s="239" t="s">
        <v>174</v>
      </c>
      <c r="G2106" s="240"/>
      <c r="H2106" s="229" t="s">
        <v>1413</v>
      </c>
      <c r="I2106" s="230" t="s">
        <v>1414</v>
      </c>
      <c r="J2106" s="230" t="s">
        <v>222</v>
      </c>
      <c r="K2106" s="230" t="s">
        <v>222</v>
      </c>
      <c r="L2106" s="238" t="s">
        <v>4</v>
      </c>
      <c r="M2106" s="232" t="s">
        <v>131</v>
      </c>
      <c r="N2106" s="232" t="s">
        <v>129</v>
      </c>
      <c r="O2106" s="241" t="s">
        <v>96</v>
      </c>
      <c r="P2106" s="232" t="s">
        <v>376</v>
      </c>
      <c r="Q2106" s="232" t="s">
        <v>131</v>
      </c>
      <c r="R2106" s="232" t="s">
        <v>131</v>
      </c>
      <c r="S2106" s="232" t="s">
        <v>131</v>
      </c>
      <c r="T2106" s="232"/>
      <c r="U2106" s="232"/>
      <c r="V2106" s="232"/>
      <c r="W2106" s="232"/>
      <c r="X2106" s="232"/>
      <c r="Y2106" s="232"/>
      <c r="Z2106" s="232"/>
      <c r="AA2106" s="232"/>
      <c r="AB2106" s="232"/>
      <c r="AC2106" s="232"/>
      <c r="AD2106" s="233" t="s">
        <v>5</v>
      </c>
    </row>
    <row r="2107" spans="1:30" s="234" customFormat="1" ht="33" customHeight="1" x14ac:dyDescent="0.3">
      <c r="A2107" s="167">
        <v>32</v>
      </c>
      <c r="B2107" s="168">
        <v>140</v>
      </c>
      <c r="C2107" s="226" t="str">
        <f t="shared" si="42"/>
        <v>32.140</v>
      </c>
      <c r="D2107" s="227" t="s">
        <v>1094</v>
      </c>
      <c r="E2107" s="64" t="str">
        <f>IF(ISBLANK(D2107)=TRUE,"",VLOOKUP(D2107,Krav!$C:$F,4,FALSE))</f>
        <v>10.a.2.23 - Såfremt brugeren angiver antal dage skal brugeren ledes til spørgsmål 10.a.2.1</v>
      </c>
      <c r="F2107" s="239" t="s">
        <v>418</v>
      </c>
      <c r="G2107" s="239" t="s">
        <v>419</v>
      </c>
      <c r="H2107" s="229" t="s">
        <v>1415</v>
      </c>
      <c r="I2107" s="230" t="s">
        <v>129</v>
      </c>
      <c r="J2107" s="237" t="s">
        <v>222</v>
      </c>
      <c r="K2107" s="230" t="s">
        <v>222</v>
      </c>
      <c r="L2107" s="231" t="s">
        <v>3</v>
      </c>
      <c r="M2107" s="232" t="s">
        <v>131</v>
      </c>
      <c r="N2107" s="232" t="s">
        <v>129</v>
      </c>
      <c r="O2107" s="241" t="s">
        <v>96</v>
      </c>
      <c r="P2107" s="232" t="s">
        <v>376</v>
      </c>
      <c r="Q2107" s="232" t="s">
        <v>131</v>
      </c>
      <c r="R2107" s="232" t="s">
        <v>131</v>
      </c>
      <c r="S2107" s="232" t="s">
        <v>131</v>
      </c>
      <c r="T2107" s="232"/>
      <c r="U2107" s="232"/>
      <c r="V2107" s="232"/>
      <c r="W2107" s="232"/>
      <c r="X2107" s="232"/>
      <c r="Y2107" s="232"/>
      <c r="Z2107" s="232"/>
      <c r="AA2107" s="232"/>
      <c r="AB2107" s="232"/>
      <c r="AC2107" s="232"/>
      <c r="AD2107" s="233" t="s">
        <v>5</v>
      </c>
    </row>
    <row r="2108" spans="1:30" s="234" customFormat="1" ht="33" customHeight="1" x14ac:dyDescent="0.3">
      <c r="A2108" s="167">
        <v>32</v>
      </c>
      <c r="B2108" s="168">
        <v>141</v>
      </c>
      <c r="C2108" s="226" t="str">
        <f t="shared" si="42"/>
        <v>32.141</v>
      </c>
      <c r="D2108" s="227" t="s">
        <v>1099</v>
      </c>
      <c r="E2108" s="64" t="str">
        <f>IF(ISBLANK(D2108)=TRUE,"",VLOOKUP(D2108,Krav!$C:$F,4,FALSE))</f>
        <v>10.a.2.1.2 - Såfremt brugeren angiver en frist skal brugeren ledes til spørgsmål 10.a.2.1.1</v>
      </c>
      <c r="F2108" s="239" t="s">
        <v>174</v>
      </c>
      <c r="G2108" s="240"/>
      <c r="H2108" s="229" t="s">
        <v>1413</v>
      </c>
      <c r="I2108" s="230" t="s">
        <v>1414</v>
      </c>
      <c r="J2108" s="230" t="s">
        <v>222</v>
      </c>
      <c r="K2108" s="230" t="s">
        <v>222</v>
      </c>
      <c r="L2108" s="238" t="s">
        <v>4</v>
      </c>
      <c r="M2108" s="232" t="s">
        <v>131</v>
      </c>
      <c r="N2108" s="232" t="s">
        <v>129</v>
      </c>
      <c r="O2108" s="232" t="s">
        <v>376</v>
      </c>
      <c r="P2108" s="241" t="s">
        <v>96</v>
      </c>
      <c r="Q2108" s="232" t="s">
        <v>131</v>
      </c>
      <c r="R2108" s="232" t="s">
        <v>131</v>
      </c>
      <c r="S2108" s="232" t="s">
        <v>131</v>
      </c>
      <c r="T2108" s="232"/>
      <c r="U2108" s="232"/>
      <c r="V2108" s="232"/>
      <c r="W2108" s="232"/>
      <c r="X2108" s="232"/>
      <c r="Y2108" s="232"/>
      <c r="Z2108" s="232"/>
      <c r="AA2108" s="232"/>
      <c r="AB2108" s="232"/>
      <c r="AC2108" s="232"/>
      <c r="AD2108" s="233" t="s">
        <v>5</v>
      </c>
    </row>
    <row r="2109" spans="1:30" s="234" customFormat="1" ht="33" customHeight="1" x14ac:dyDescent="0.3">
      <c r="A2109" s="167">
        <v>32</v>
      </c>
      <c r="B2109" s="168">
        <v>142</v>
      </c>
      <c r="C2109" s="226" t="str">
        <f t="shared" si="42"/>
        <v>32.142</v>
      </c>
      <c r="D2109" s="227" t="s">
        <v>1099</v>
      </c>
      <c r="E2109" s="64" t="str">
        <f>IF(ISBLANK(D2109)=TRUE,"",VLOOKUP(D2109,Krav!$C:$F,4,FALSE))</f>
        <v>10.a.2.1.2 - Såfremt brugeren angiver en frist skal brugeren ledes til spørgsmål 10.a.2.1.1</v>
      </c>
      <c r="F2109" s="239" t="s">
        <v>418</v>
      </c>
      <c r="G2109" s="239" t="s">
        <v>419</v>
      </c>
      <c r="H2109" s="229" t="s">
        <v>1415</v>
      </c>
      <c r="I2109" s="230" t="s">
        <v>129</v>
      </c>
      <c r="J2109" s="230" t="s">
        <v>222</v>
      </c>
      <c r="K2109" s="230" t="s">
        <v>222</v>
      </c>
      <c r="L2109" s="238" t="s">
        <v>3</v>
      </c>
      <c r="M2109" s="232" t="s">
        <v>131</v>
      </c>
      <c r="N2109" s="232" t="s">
        <v>129</v>
      </c>
      <c r="O2109" s="232" t="s">
        <v>376</v>
      </c>
      <c r="P2109" s="241" t="s">
        <v>96</v>
      </c>
      <c r="Q2109" s="232" t="s">
        <v>131</v>
      </c>
      <c r="R2109" s="232" t="s">
        <v>131</v>
      </c>
      <c r="S2109" s="232" t="s">
        <v>131</v>
      </c>
      <c r="T2109" s="232"/>
      <c r="U2109" s="232"/>
      <c r="V2109" s="232"/>
      <c r="W2109" s="232"/>
      <c r="X2109" s="232"/>
      <c r="Y2109" s="232"/>
      <c r="Z2109" s="232"/>
      <c r="AA2109" s="232"/>
      <c r="AB2109" s="232"/>
      <c r="AC2109" s="232"/>
      <c r="AD2109" s="233" t="s">
        <v>5</v>
      </c>
    </row>
    <row r="2110" spans="1:30" s="234" customFormat="1" ht="33" customHeight="1" x14ac:dyDescent="0.3">
      <c r="A2110" s="167">
        <v>32</v>
      </c>
      <c r="B2110" s="168">
        <v>143</v>
      </c>
      <c r="C2110" s="226" t="str">
        <f t="shared" si="42"/>
        <v>32.143</v>
      </c>
      <c r="D2110" s="227" t="s">
        <v>1094</v>
      </c>
      <c r="E2110" s="64" t="str">
        <f>IF(ISBLANK(D2110)=TRUE,"",VLOOKUP(D2110,Krav!$C:$F,4,FALSE))</f>
        <v>10.a.2.23 - Såfremt brugeren angiver antal dage skal brugeren ledes til spørgsmål 10.a.2.1</v>
      </c>
      <c r="F2110" s="239" t="s">
        <v>174</v>
      </c>
      <c r="G2110" s="240"/>
      <c r="H2110" s="229" t="s">
        <v>1416</v>
      </c>
      <c r="I2110" s="230" t="s">
        <v>1414</v>
      </c>
      <c r="J2110" s="230" t="s">
        <v>222</v>
      </c>
      <c r="K2110" s="230" t="s">
        <v>222</v>
      </c>
      <c r="L2110" s="238" t="s">
        <v>3</v>
      </c>
      <c r="M2110" s="232" t="s">
        <v>131</v>
      </c>
      <c r="N2110" s="232" t="s">
        <v>129</v>
      </c>
      <c r="O2110" s="241" t="s">
        <v>97</v>
      </c>
      <c r="P2110" s="232" t="s">
        <v>376</v>
      </c>
      <c r="Q2110" s="232" t="s">
        <v>131</v>
      </c>
      <c r="R2110" s="232" t="s">
        <v>131</v>
      </c>
      <c r="S2110" s="232" t="s">
        <v>131</v>
      </c>
      <c r="T2110" s="232"/>
      <c r="U2110" s="232"/>
      <c r="V2110" s="232"/>
      <c r="W2110" s="232"/>
      <c r="X2110" s="232"/>
      <c r="Y2110" s="232"/>
      <c r="Z2110" s="232"/>
      <c r="AA2110" s="232"/>
      <c r="AB2110" s="232"/>
      <c r="AC2110" s="232"/>
      <c r="AD2110" s="233" t="s">
        <v>5</v>
      </c>
    </row>
    <row r="2111" spans="1:30" s="234" customFormat="1" ht="33" customHeight="1" x14ac:dyDescent="0.3">
      <c r="A2111" s="167">
        <v>32</v>
      </c>
      <c r="B2111" s="168">
        <v>144</v>
      </c>
      <c r="C2111" s="226" t="str">
        <f t="shared" si="42"/>
        <v>32.144</v>
      </c>
      <c r="D2111" s="227" t="s">
        <v>1094</v>
      </c>
      <c r="E2111" s="64" t="str">
        <f>IF(ISBLANK(D2111)=TRUE,"",VLOOKUP(D2111,Krav!$C:$F,4,FALSE))</f>
        <v>10.a.2.23 - Såfremt brugeren angiver antal dage skal brugeren ledes til spørgsmål 10.a.2.1</v>
      </c>
      <c r="F2111" s="239" t="s">
        <v>418</v>
      </c>
      <c r="G2111" s="239" t="s">
        <v>419</v>
      </c>
      <c r="H2111" s="229" t="s">
        <v>1417</v>
      </c>
      <c r="I2111" s="230" t="s">
        <v>129</v>
      </c>
      <c r="J2111" s="230" t="s">
        <v>222</v>
      </c>
      <c r="K2111" s="230" t="s">
        <v>222</v>
      </c>
      <c r="L2111" s="238" t="s">
        <v>3</v>
      </c>
      <c r="M2111" s="232" t="s">
        <v>131</v>
      </c>
      <c r="N2111" s="232" t="s">
        <v>129</v>
      </c>
      <c r="O2111" s="241" t="s">
        <v>97</v>
      </c>
      <c r="P2111" s="232" t="s">
        <v>376</v>
      </c>
      <c r="Q2111" s="232" t="s">
        <v>131</v>
      </c>
      <c r="R2111" s="232" t="s">
        <v>131</v>
      </c>
      <c r="S2111" s="232" t="s">
        <v>131</v>
      </c>
      <c r="T2111" s="232"/>
      <c r="U2111" s="232"/>
      <c r="V2111" s="232"/>
      <c r="W2111" s="232"/>
      <c r="X2111" s="232"/>
      <c r="Y2111" s="232"/>
      <c r="Z2111" s="232"/>
      <c r="AA2111" s="232"/>
      <c r="AB2111" s="232"/>
      <c r="AC2111" s="232"/>
      <c r="AD2111" s="233" t="s">
        <v>5</v>
      </c>
    </row>
    <row r="2112" spans="1:30" s="234" customFormat="1" ht="33" customHeight="1" x14ac:dyDescent="0.3">
      <c r="A2112" s="167">
        <v>32</v>
      </c>
      <c r="B2112" s="168">
        <v>145</v>
      </c>
      <c r="C2112" s="226" t="str">
        <f t="shared" si="42"/>
        <v>32.145</v>
      </c>
      <c r="D2112" s="227" t="s">
        <v>1099</v>
      </c>
      <c r="E2112" s="64" t="str">
        <f>IF(ISBLANK(D2112)=TRUE,"",VLOOKUP(D2112,Krav!$C:$F,4,FALSE))</f>
        <v>10.a.2.1.2 - Såfremt brugeren angiver en frist skal brugeren ledes til spørgsmål 10.a.2.1.1</v>
      </c>
      <c r="F2112" s="239" t="s">
        <v>174</v>
      </c>
      <c r="G2112" s="240"/>
      <c r="H2112" s="229" t="s">
        <v>1416</v>
      </c>
      <c r="I2112" s="230" t="s">
        <v>1414</v>
      </c>
      <c r="J2112" s="230" t="s">
        <v>222</v>
      </c>
      <c r="K2112" s="230" t="s">
        <v>222</v>
      </c>
      <c r="L2112" s="238" t="s">
        <v>4</v>
      </c>
      <c r="M2112" s="232" t="s">
        <v>131</v>
      </c>
      <c r="N2112" s="232" t="s">
        <v>129</v>
      </c>
      <c r="O2112" s="232" t="s">
        <v>376</v>
      </c>
      <c r="P2112" s="241" t="s">
        <v>97</v>
      </c>
      <c r="Q2112" s="232" t="s">
        <v>131</v>
      </c>
      <c r="R2112" s="232" t="s">
        <v>131</v>
      </c>
      <c r="S2112" s="232" t="s">
        <v>131</v>
      </c>
      <c r="T2112" s="232"/>
      <c r="U2112" s="232"/>
      <c r="V2112" s="232"/>
      <c r="W2112" s="232"/>
      <c r="X2112" s="232"/>
      <c r="Y2112" s="232"/>
      <c r="Z2112" s="232"/>
      <c r="AA2112" s="232"/>
      <c r="AB2112" s="232"/>
      <c r="AC2112" s="232"/>
      <c r="AD2112" s="233" t="s">
        <v>5</v>
      </c>
    </row>
    <row r="2113" spans="1:30" s="234" customFormat="1" ht="33" customHeight="1" x14ac:dyDescent="0.3">
      <c r="A2113" s="167">
        <v>32</v>
      </c>
      <c r="B2113" s="168">
        <v>146</v>
      </c>
      <c r="C2113" s="226" t="str">
        <f t="shared" si="42"/>
        <v>32.146</v>
      </c>
      <c r="D2113" s="227" t="s">
        <v>1099</v>
      </c>
      <c r="E2113" s="64" t="str">
        <f>IF(ISBLANK(D2113)=TRUE,"",VLOOKUP(D2113,Krav!$C:$F,4,FALSE))</f>
        <v>10.a.2.1.2 - Såfremt brugeren angiver en frist skal brugeren ledes til spørgsmål 10.a.2.1.1</v>
      </c>
      <c r="F2113" s="239" t="s">
        <v>418</v>
      </c>
      <c r="G2113" s="239" t="s">
        <v>419</v>
      </c>
      <c r="H2113" s="229" t="s">
        <v>1417</v>
      </c>
      <c r="I2113" s="230" t="s">
        <v>129</v>
      </c>
      <c r="J2113" s="237" t="s">
        <v>222</v>
      </c>
      <c r="K2113" s="230" t="s">
        <v>222</v>
      </c>
      <c r="L2113" s="231" t="s">
        <v>3</v>
      </c>
      <c r="M2113" s="232" t="s">
        <v>131</v>
      </c>
      <c r="N2113" s="232" t="s">
        <v>129</v>
      </c>
      <c r="O2113" s="232" t="s">
        <v>376</v>
      </c>
      <c r="P2113" s="241" t="s">
        <v>97</v>
      </c>
      <c r="Q2113" s="232" t="s">
        <v>131</v>
      </c>
      <c r="R2113" s="232" t="s">
        <v>131</v>
      </c>
      <c r="S2113" s="232" t="s">
        <v>131</v>
      </c>
      <c r="T2113" s="232"/>
      <c r="U2113" s="232"/>
      <c r="V2113" s="232"/>
      <c r="W2113" s="232"/>
      <c r="X2113" s="232"/>
      <c r="Y2113" s="232"/>
      <c r="Z2113" s="232"/>
      <c r="AA2113" s="232"/>
      <c r="AB2113" s="232"/>
      <c r="AC2113" s="232"/>
      <c r="AD2113" s="233" t="s">
        <v>5</v>
      </c>
    </row>
    <row r="2114" spans="1:30" s="234" customFormat="1" ht="33" customHeight="1" x14ac:dyDescent="0.3">
      <c r="A2114" s="167">
        <v>32</v>
      </c>
      <c r="B2114" s="168">
        <v>147</v>
      </c>
      <c r="C2114" s="226" t="str">
        <f t="shared" si="42"/>
        <v>32.147</v>
      </c>
      <c r="D2114" s="227"/>
      <c r="E2114" s="64" t="str">
        <f>IF(ISBLANK(D2114)=TRUE,"",VLOOKUP(D2114,Krav!$C:$F,4,FALSE))</f>
        <v/>
      </c>
      <c r="F2114" s="239" t="s">
        <v>174</v>
      </c>
      <c r="G2114" s="240"/>
      <c r="H2114" s="229" t="s">
        <v>1418</v>
      </c>
      <c r="I2114" s="230" t="s">
        <v>1414</v>
      </c>
      <c r="J2114" s="230" t="s">
        <v>222</v>
      </c>
      <c r="K2114" s="230" t="s">
        <v>222</v>
      </c>
      <c r="L2114" s="238" t="s">
        <v>4</v>
      </c>
      <c r="M2114" s="232" t="s">
        <v>131</v>
      </c>
      <c r="N2114" s="232" t="s">
        <v>129</v>
      </c>
      <c r="O2114" s="241" t="s">
        <v>404</v>
      </c>
      <c r="P2114" s="232" t="s">
        <v>376</v>
      </c>
      <c r="Q2114" s="232" t="s">
        <v>131</v>
      </c>
      <c r="R2114" s="232" t="s">
        <v>131</v>
      </c>
      <c r="S2114" s="232" t="s">
        <v>131</v>
      </c>
      <c r="T2114" s="232"/>
      <c r="U2114" s="232"/>
      <c r="V2114" s="232"/>
      <c r="W2114" s="232"/>
      <c r="X2114" s="232"/>
      <c r="Y2114" s="232"/>
      <c r="Z2114" s="232"/>
      <c r="AA2114" s="232"/>
      <c r="AB2114" s="232"/>
      <c r="AC2114" s="232"/>
      <c r="AD2114" s="233" t="s">
        <v>5</v>
      </c>
    </row>
    <row r="2115" spans="1:30" s="234" customFormat="1" ht="33" customHeight="1" x14ac:dyDescent="0.3">
      <c r="A2115" s="167">
        <v>32</v>
      </c>
      <c r="B2115" s="168">
        <v>148</v>
      </c>
      <c r="C2115" s="226" t="str">
        <f t="shared" si="42"/>
        <v>32.148</v>
      </c>
      <c r="D2115" s="227"/>
      <c r="E2115" s="64" t="str">
        <f>IF(ISBLANK(D2115)=TRUE,"",VLOOKUP(D2115,Krav!$C:$F,4,FALSE))</f>
        <v/>
      </c>
      <c r="F2115" s="239" t="s">
        <v>418</v>
      </c>
      <c r="G2115" s="239" t="s">
        <v>419</v>
      </c>
      <c r="H2115" s="229" t="s">
        <v>1419</v>
      </c>
      <c r="I2115" s="230" t="s">
        <v>129</v>
      </c>
      <c r="J2115" s="236" t="s">
        <v>222</v>
      </c>
      <c r="K2115" s="230" t="s">
        <v>222</v>
      </c>
      <c r="L2115" s="238" t="s">
        <v>4</v>
      </c>
      <c r="M2115" s="232" t="s">
        <v>131</v>
      </c>
      <c r="N2115" s="232" t="s">
        <v>129</v>
      </c>
      <c r="O2115" s="241" t="s">
        <v>404</v>
      </c>
      <c r="P2115" s="232" t="s">
        <v>376</v>
      </c>
      <c r="Q2115" s="232" t="s">
        <v>131</v>
      </c>
      <c r="R2115" s="232" t="s">
        <v>131</v>
      </c>
      <c r="S2115" s="232" t="s">
        <v>131</v>
      </c>
      <c r="T2115" s="232"/>
      <c r="U2115" s="232"/>
      <c r="V2115" s="232"/>
      <c r="W2115" s="232"/>
      <c r="X2115" s="232"/>
      <c r="Y2115" s="232"/>
      <c r="Z2115" s="232"/>
      <c r="AA2115" s="232"/>
      <c r="AB2115" s="232"/>
      <c r="AC2115" s="232"/>
      <c r="AD2115" s="233" t="s">
        <v>5</v>
      </c>
    </row>
    <row r="2116" spans="1:30" s="234" customFormat="1" ht="33" customHeight="1" x14ac:dyDescent="0.3">
      <c r="A2116" s="167">
        <v>32</v>
      </c>
      <c r="B2116" s="168">
        <v>149</v>
      </c>
      <c r="C2116" s="226" t="str">
        <f t="shared" si="42"/>
        <v>32.149</v>
      </c>
      <c r="D2116" s="227"/>
      <c r="E2116" s="64" t="str">
        <f>IF(ISBLANK(D2116)=TRUE,"",VLOOKUP(D2116,Krav!$C:$F,4,FALSE))</f>
        <v/>
      </c>
      <c r="F2116" s="239" t="s">
        <v>174</v>
      </c>
      <c r="G2116" s="240"/>
      <c r="H2116" s="229" t="s">
        <v>1420</v>
      </c>
      <c r="I2116" s="230" t="s">
        <v>1414</v>
      </c>
      <c r="J2116" s="230" t="s">
        <v>222</v>
      </c>
      <c r="K2116" s="230" t="s">
        <v>222</v>
      </c>
      <c r="L2116" s="238" t="s">
        <v>4</v>
      </c>
      <c r="M2116" s="232" t="s">
        <v>131</v>
      </c>
      <c r="N2116" s="232" t="s">
        <v>129</v>
      </c>
      <c r="O2116" s="232" t="s">
        <v>376</v>
      </c>
      <c r="P2116" s="241" t="s">
        <v>404</v>
      </c>
      <c r="Q2116" s="232" t="s">
        <v>131</v>
      </c>
      <c r="R2116" s="232" t="s">
        <v>131</v>
      </c>
      <c r="S2116" s="232" t="s">
        <v>131</v>
      </c>
      <c r="T2116" s="232"/>
      <c r="U2116" s="232"/>
      <c r="V2116" s="232"/>
      <c r="W2116" s="232"/>
      <c r="X2116" s="232"/>
      <c r="Y2116" s="232"/>
      <c r="Z2116" s="232"/>
      <c r="AA2116" s="232"/>
      <c r="AB2116" s="232"/>
      <c r="AC2116" s="232"/>
      <c r="AD2116" s="233" t="s">
        <v>5</v>
      </c>
    </row>
    <row r="2117" spans="1:30" s="234" customFormat="1" ht="33" customHeight="1" x14ac:dyDescent="0.3">
      <c r="A2117" s="167">
        <v>32</v>
      </c>
      <c r="B2117" s="168">
        <v>150</v>
      </c>
      <c r="C2117" s="226" t="str">
        <f t="shared" si="42"/>
        <v>32.150</v>
      </c>
      <c r="D2117" s="227"/>
      <c r="E2117" s="64" t="str">
        <f>IF(ISBLANK(D2117)=TRUE,"",VLOOKUP(D2117,Krav!$C:$F,4,FALSE))</f>
        <v/>
      </c>
      <c r="F2117" s="239" t="s">
        <v>418</v>
      </c>
      <c r="G2117" s="239" t="s">
        <v>419</v>
      </c>
      <c r="H2117" s="229" t="s">
        <v>1419</v>
      </c>
      <c r="I2117" s="230" t="s">
        <v>129</v>
      </c>
      <c r="J2117" s="242" t="s">
        <v>222</v>
      </c>
      <c r="K2117" s="230" t="s">
        <v>222</v>
      </c>
      <c r="L2117" s="238" t="s">
        <v>4</v>
      </c>
      <c r="M2117" s="232" t="s">
        <v>131</v>
      </c>
      <c r="N2117" s="232" t="s">
        <v>129</v>
      </c>
      <c r="O2117" s="232" t="s">
        <v>376</v>
      </c>
      <c r="P2117" s="241" t="s">
        <v>404</v>
      </c>
      <c r="Q2117" s="232" t="s">
        <v>131</v>
      </c>
      <c r="R2117" s="232" t="s">
        <v>131</v>
      </c>
      <c r="S2117" s="232" t="s">
        <v>131</v>
      </c>
      <c r="T2117" s="232"/>
      <c r="U2117" s="232"/>
      <c r="V2117" s="232"/>
      <c r="W2117" s="232"/>
      <c r="X2117" s="232"/>
      <c r="Y2117" s="232"/>
      <c r="Z2117" s="232"/>
      <c r="AA2117" s="232"/>
      <c r="AB2117" s="232"/>
      <c r="AC2117" s="232"/>
      <c r="AD2117" s="233" t="s">
        <v>5</v>
      </c>
    </row>
    <row r="2118" spans="1:30" s="234" customFormat="1" ht="33" customHeight="1" x14ac:dyDescent="0.3">
      <c r="A2118" s="167">
        <v>32</v>
      </c>
      <c r="B2118" s="168">
        <v>151</v>
      </c>
      <c r="C2118" s="226" t="str">
        <f t="shared" si="42"/>
        <v>32.151</v>
      </c>
      <c r="D2118" s="227" t="s">
        <v>1099</v>
      </c>
      <c r="E2118" s="64" t="str">
        <f>IF(ISBLANK(D2118)=TRUE,"",VLOOKUP(D2118,Krav!$C:$F,4,FALSE))</f>
        <v>10.a.2.1.2 - Såfremt brugeren angiver en frist skal brugeren ledes til spørgsmål 10.a.2.1.1</v>
      </c>
      <c r="F2118" s="239" t="s">
        <v>143</v>
      </c>
      <c r="G2118" s="239"/>
      <c r="H2118" s="229" t="s">
        <v>1444</v>
      </c>
      <c r="I2118" s="230" t="s">
        <v>468</v>
      </c>
      <c r="J2118" s="237" t="s">
        <v>222</v>
      </c>
      <c r="K2118" s="230" t="s">
        <v>222</v>
      </c>
      <c r="L2118" s="238" t="s">
        <v>3</v>
      </c>
      <c r="M2118" s="232" t="s">
        <v>131</v>
      </c>
      <c r="N2118" s="232" t="s">
        <v>129</v>
      </c>
      <c r="O2118" s="232" t="s">
        <v>376</v>
      </c>
      <c r="P2118" s="232" t="s">
        <v>376</v>
      </c>
      <c r="Q2118" s="232" t="s">
        <v>131</v>
      </c>
      <c r="R2118" s="232" t="s">
        <v>131</v>
      </c>
      <c r="S2118" s="232" t="s">
        <v>131</v>
      </c>
      <c r="T2118" s="232"/>
      <c r="U2118" s="232"/>
      <c r="V2118" s="232"/>
      <c r="W2118" s="232"/>
      <c r="X2118" s="232"/>
      <c r="Y2118" s="232"/>
      <c r="Z2118" s="232"/>
      <c r="AA2118" s="232"/>
      <c r="AB2118" s="232"/>
      <c r="AC2118" s="232"/>
      <c r="AD2118" s="233" t="s">
        <v>5</v>
      </c>
    </row>
    <row r="2119" spans="1:30" s="234" customFormat="1" ht="33" customHeight="1" x14ac:dyDescent="0.3">
      <c r="A2119" s="167">
        <v>32</v>
      </c>
      <c r="B2119" s="168">
        <v>152</v>
      </c>
      <c r="C2119" s="226" t="str">
        <f t="shared" si="42"/>
        <v>32.152</v>
      </c>
      <c r="D2119" s="227"/>
      <c r="E2119" s="64" t="str">
        <f>IF(ISBLANK(D2119)=TRUE,"",VLOOKUP(D2119,Krav!$C:$F,4,FALSE))</f>
        <v/>
      </c>
      <c r="F2119" s="239" t="s">
        <v>143</v>
      </c>
      <c r="G2119" s="239"/>
      <c r="H2119" s="229" t="s">
        <v>1409</v>
      </c>
      <c r="I2119" s="230" t="s">
        <v>555</v>
      </c>
      <c r="J2119" s="237" t="s">
        <v>222</v>
      </c>
      <c r="K2119" s="230" t="s">
        <v>222</v>
      </c>
      <c r="L2119" s="238" t="s">
        <v>3</v>
      </c>
      <c r="M2119" s="232" t="s">
        <v>131</v>
      </c>
      <c r="N2119" s="232" t="s">
        <v>129</v>
      </c>
      <c r="O2119" s="232" t="s">
        <v>376</v>
      </c>
      <c r="P2119" s="232" t="s">
        <v>376</v>
      </c>
      <c r="Q2119" s="232" t="s">
        <v>131</v>
      </c>
      <c r="R2119" s="232" t="s">
        <v>131</v>
      </c>
      <c r="S2119" s="232" t="s">
        <v>131</v>
      </c>
      <c r="T2119" s="232"/>
      <c r="U2119" s="232"/>
      <c r="V2119" s="232"/>
      <c r="W2119" s="232"/>
      <c r="X2119" s="232"/>
      <c r="Y2119" s="232"/>
      <c r="Z2119" s="232" t="s">
        <v>129</v>
      </c>
      <c r="AA2119" s="232"/>
      <c r="AB2119" s="232"/>
      <c r="AC2119" s="232"/>
      <c r="AD2119" s="233" t="s">
        <v>5</v>
      </c>
    </row>
    <row r="2120" spans="1:30" s="234" customFormat="1" ht="33" customHeight="1" x14ac:dyDescent="0.3">
      <c r="A2120" s="167">
        <v>32</v>
      </c>
      <c r="B2120" s="168">
        <v>153</v>
      </c>
      <c r="C2120" s="226" t="str">
        <f t="shared" si="42"/>
        <v>32.153</v>
      </c>
      <c r="D2120" s="227"/>
      <c r="E2120" s="64" t="str">
        <f>IF(ISBLANK(D2120)=TRUE,"",VLOOKUP(D2120,Krav!$C:$F,4,FALSE))</f>
        <v/>
      </c>
      <c r="F2120" s="239" t="s">
        <v>143</v>
      </c>
      <c r="G2120" s="239"/>
      <c r="H2120" s="229" t="s">
        <v>1410</v>
      </c>
      <c r="I2120" s="230" t="s">
        <v>560</v>
      </c>
      <c r="J2120" s="237" t="s">
        <v>222</v>
      </c>
      <c r="K2120" s="230" t="s">
        <v>222</v>
      </c>
      <c r="L2120" s="238" t="s">
        <v>3</v>
      </c>
      <c r="M2120" s="232" t="s">
        <v>131</v>
      </c>
      <c r="N2120" s="232" t="s">
        <v>129</v>
      </c>
      <c r="O2120" s="232" t="s">
        <v>376</v>
      </c>
      <c r="P2120" s="232" t="s">
        <v>376</v>
      </c>
      <c r="Q2120" s="232" t="s">
        <v>131</v>
      </c>
      <c r="R2120" s="232" t="s">
        <v>131</v>
      </c>
      <c r="S2120" s="232" t="s">
        <v>131</v>
      </c>
      <c r="T2120" s="232"/>
      <c r="U2120" s="232"/>
      <c r="V2120" s="232"/>
      <c r="W2120" s="232"/>
      <c r="X2120" s="232"/>
      <c r="Y2120" s="232"/>
      <c r="Z2120" s="232"/>
      <c r="AA2120" s="232" t="s">
        <v>129</v>
      </c>
      <c r="AB2120" s="232"/>
      <c r="AC2120" s="232"/>
      <c r="AD2120" s="233" t="s">
        <v>5</v>
      </c>
    </row>
    <row r="2121" spans="1:30" s="234" customFormat="1" ht="33" customHeight="1" x14ac:dyDescent="0.3">
      <c r="A2121" s="167">
        <v>32</v>
      </c>
      <c r="B2121" s="168">
        <v>154</v>
      </c>
      <c r="C2121" s="226" t="str">
        <f t="shared" si="42"/>
        <v>32.154</v>
      </c>
      <c r="D2121" s="227"/>
      <c r="E2121" s="64" t="str">
        <f>IF(ISBLANK(D2121)=TRUE,"",VLOOKUP(D2121,Krav!$C:$F,4,FALSE))</f>
        <v/>
      </c>
      <c r="F2121" s="239" t="s">
        <v>143</v>
      </c>
      <c r="G2121" s="239"/>
      <c r="H2121" s="229" t="s">
        <v>1411</v>
      </c>
      <c r="I2121" s="230" t="s">
        <v>565</v>
      </c>
      <c r="J2121" s="237" t="s">
        <v>222</v>
      </c>
      <c r="K2121" s="230" t="s">
        <v>222</v>
      </c>
      <c r="L2121" s="238" t="s">
        <v>3</v>
      </c>
      <c r="M2121" s="232" t="s">
        <v>131</v>
      </c>
      <c r="N2121" s="232" t="s">
        <v>129</v>
      </c>
      <c r="O2121" s="232" t="s">
        <v>376</v>
      </c>
      <c r="P2121" s="232" t="s">
        <v>376</v>
      </c>
      <c r="Q2121" s="232" t="s">
        <v>131</v>
      </c>
      <c r="R2121" s="232" t="s">
        <v>131</v>
      </c>
      <c r="S2121" s="232" t="s">
        <v>131</v>
      </c>
      <c r="T2121" s="232"/>
      <c r="U2121" s="232"/>
      <c r="V2121" s="232"/>
      <c r="W2121" s="232"/>
      <c r="X2121" s="232"/>
      <c r="Y2121" s="232"/>
      <c r="Z2121" s="232"/>
      <c r="AA2121" s="232"/>
      <c r="AB2121" s="232" t="s">
        <v>129</v>
      </c>
      <c r="AC2121" s="232"/>
      <c r="AD2121" s="233" t="s">
        <v>5</v>
      </c>
    </row>
    <row r="2122" spans="1:30" s="234" customFormat="1" ht="33" customHeight="1" x14ac:dyDescent="0.3">
      <c r="A2122" s="167">
        <v>32</v>
      </c>
      <c r="B2122" s="168">
        <v>155</v>
      </c>
      <c r="C2122" s="226" t="str">
        <f t="shared" si="42"/>
        <v>32.155</v>
      </c>
      <c r="D2122" s="227"/>
      <c r="E2122" s="64" t="str">
        <f>IF(ISBLANK(D2122)=TRUE,"",VLOOKUP(D2122,Krav!$C:$F,4,FALSE))</f>
        <v/>
      </c>
      <c r="F2122" s="228" t="s">
        <v>143</v>
      </c>
      <c r="G2122" s="228"/>
      <c r="H2122" s="229" t="s">
        <v>1355</v>
      </c>
      <c r="I2122" s="230" t="s">
        <v>555</v>
      </c>
      <c r="J2122" s="236" t="s">
        <v>222</v>
      </c>
      <c r="K2122" s="230" t="s">
        <v>222</v>
      </c>
      <c r="L2122" s="231" t="s">
        <v>3</v>
      </c>
      <c r="M2122" s="232" t="s">
        <v>129</v>
      </c>
      <c r="N2122" s="232" t="s">
        <v>131</v>
      </c>
      <c r="O2122" s="232" t="s">
        <v>376</v>
      </c>
      <c r="P2122" s="232" t="s">
        <v>376</v>
      </c>
      <c r="Q2122" s="232" t="s">
        <v>131</v>
      </c>
      <c r="R2122" s="232" t="s">
        <v>131</v>
      </c>
      <c r="S2122" s="232" t="s">
        <v>131</v>
      </c>
      <c r="T2122" s="232"/>
      <c r="U2122" s="232"/>
      <c r="V2122" s="232"/>
      <c r="W2122" s="232"/>
      <c r="X2122" s="232"/>
      <c r="Y2122" s="232"/>
      <c r="Z2122" s="232" t="s">
        <v>129</v>
      </c>
      <c r="AA2122" s="232" t="s">
        <v>129</v>
      </c>
      <c r="AB2122" s="232" t="s">
        <v>129</v>
      </c>
      <c r="AC2122" s="232"/>
      <c r="AD2122" s="233"/>
    </row>
    <row r="2123" spans="1:30" s="234" customFormat="1" ht="33" customHeight="1" x14ac:dyDescent="0.3">
      <c r="A2123" s="167">
        <v>32</v>
      </c>
      <c r="B2123" s="168">
        <v>156</v>
      </c>
      <c r="C2123" s="226" t="str">
        <f t="shared" si="42"/>
        <v>32.156</v>
      </c>
      <c r="D2123" s="227"/>
      <c r="E2123" s="64" t="str">
        <f>IF(ISBLANK(D2123)=TRUE,"",VLOOKUP(D2123,Krav!$C:$F,4,FALSE))</f>
        <v/>
      </c>
      <c r="F2123" s="228" t="s">
        <v>143</v>
      </c>
      <c r="G2123" s="228"/>
      <c r="H2123" s="235" t="s">
        <v>1356</v>
      </c>
      <c r="I2123" s="230" t="s">
        <v>560</v>
      </c>
      <c r="J2123" s="236" t="s">
        <v>222</v>
      </c>
      <c r="K2123" s="230" t="s">
        <v>222</v>
      </c>
      <c r="L2123" s="231" t="s">
        <v>3</v>
      </c>
      <c r="M2123" s="232" t="s">
        <v>129</v>
      </c>
      <c r="N2123" s="232" t="s">
        <v>131</v>
      </c>
      <c r="O2123" s="232" t="s">
        <v>376</v>
      </c>
      <c r="P2123" s="232" t="s">
        <v>376</v>
      </c>
      <c r="Q2123" s="232" t="s">
        <v>131</v>
      </c>
      <c r="R2123" s="232" t="s">
        <v>131</v>
      </c>
      <c r="S2123" s="232" t="s">
        <v>131</v>
      </c>
      <c r="T2123" s="232"/>
      <c r="U2123" s="232"/>
      <c r="V2123" s="232"/>
      <c r="W2123" s="232"/>
      <c r="X2123" s="232"/>
      <c r="Y2123" s="232"/>
      <c r="Z2123" s="232"/>
      <c r="AA2123" s="232" t="s">
        <v>129</v>
      </c>
      <c r="AB2123" s="232" t="s">
        <v>129</v>
      </c>
      <c r="AC2123" s="232"/>
      <c r="AD2123" s="233"/>
    </row>
    <row r="2124" spans="1:30" s="255" customFormat="1" ht="33" customHeight="1" x14ac:dyDescent="0.3">
      <c r="A2124" s="167">
        <v>32</v>
      </c>
      <c r="B2124" s="168">
        <v>157</v>
      </c>
      <c r="C2124" s="245" t="str">
        <f t="shared" si="42"/>
        <v>32.157</v>
      </c>
      <c r="D2124" s="246" t="s">
        <v>1239</v>
      </c>
      <c r="E2124" s="64" t="str">
        <f>IF(ISBLANK(D2124)=TRUE,"",VLOOKUP(D2124,Krav!$C:$F,4,FALSE))</f>
        <v>10.a.2.1.2.2 - Der angives et "NEJ" i i populationen under ”vil RIM beregne en tidligst mulig forældelsesdato?"</v>
      </c>
      <c r="F2124" s="247" t="s">
        <v>221</v>
      </c>
      <c r="G2124" s="248"/>
      <c r="H2124" s="249" t="s">
        <v>1421</v>
      </c>
      <c r="I2124" s="250" t="s">
        <v>241</v>
      </c>
      <c r="J2124" s="251" t="s">
        <v>222</v>
      </c>
      <c r="K2124" s="250" t="s">
        <v>222</v>
      </c>
      <c r="L2124" s="252" t="s">
        <v>3</v>
      </c>
      <c r="M2124" s="253" t="s">
        <v>131</v>
      </c>
      <c r="N2124" s="253" t="s">
        <v>129</v>
      </c>
      <c r="O2124" s="253" t="s">
        <v>376</v>
      </c>
      <c r="P2124" s="253" t="s">
        <v>96</v>
      </c>
      <c r="Q2124" s="253" t="s">
        <v>131</v>
      </c>
      <c r="R2124" s="253" t="s">
        <v>129</v>
      </c>
      <c r="S2124" s="253" t="s">
        <v>131</v>
      </c>
      <c r="T2124" s="253"/>
      <c r="U2124" s="253"/>
      <c r="V2124" s="253"/>
      <c r="W2124" s="253"/>
      <c r="X2124" s="253"/>
      <c r="Y2124" s="253"/>
      <c r="Z2124" s="253"/>
      <c r="AA2124" s="253"/>
      <c r="AB2124" s="253"/>
      <c r="AC2124" s="253"/>
      <c r="AD2124" s="254" t="s">
        <v>5</v>
      </c>
    </row>
    <row r="2125" spans="1:30" s="255" customFormat="1" ht="33" customHeight="1" x14ac:dyDescent="0.3">
      <c r="A2125" s="167">
        <v>32</v>
      </c>
      <c r="B2125" s="168">
        <v>158</v>
      </c>
      <c r="C2125" s="245" t="str">
        <f t="shared" si="42"/>
        <v>32.158</v>
      </c>
      <c r="D2125" s="246"/>
      <c r="E2125" s="64" t="str">
        <f>IF(ISBLANK(D2125)=TRUE,"",VLOOKUP(D2125,Krav!$C:$F,4,FALSE))</f>
        <v/>
      </c>
      <c r="F2125" s="247" t="s">
        <v>225</v>
      </c>
      <c r="G2125" s="256" t="s">
        <v>231</v>
      </c>
      <c r="H2125" s="256" t="s">
        <v>158</v>
      </c>
      <c r="I2125" s="250" t="s">
        <v>1407</v>
      </c>
      <c r="J2125" s="250" t="s">
        <v>222</v>
      </c>
      <c r="K2125" s="250" t="s">
        <v>222</v>
      </c>
      <c r="L2125" s="257" t="s">
        <v>3</v>
      </c>
      <c r="M2125" s="253" t="s">
        <v>131</v>
      </c>
      <c r="N2125" s="253" t="s">
        <v>129</v>
      </c>
      <c r="O2125" s="253" t="s">
        <v>376</v>
      </c>
      <c r="P2125" s="253" t="s">
        <v>96</v>
      </c>
      <c r="Q2125" s="253" t="s">
        <v>131</v>
      </c>
      <c r="R2125" s="253" t="s">
        <v>129</v>
      </c>
      <c r="S2125" s="253" t="s">
        <v>131</v>
      </c>
      <c r="T2125" s="253"/>
      <c r="U2125" s="253"/>
      <c r="V2125" s="253"/>
      <c r="W2125" s="253"/>
      <c r="X2125" s="253"/>
      <c r="Y2125" s="253"/>
      <c r="Z2125" s="253"/>
      <c r="AA2125" s="253"/>
      <c r="AB2125" s="253"/>
      <c r="AC2125" s="253"/>
      <c r="AD2125" s="254" t="s">
        <v>5</v>
      </c>
    </row>
    <row r="2126" spans="1:30" s="255" customFormat="1" ht="33" customHeight="1" x14ac:dyDescent="0.3">
      <c r="A2126" s="167">
        <v>32</v>
      </c>
      <c r="B2126" s="168">
        <v>159</v>
      </c>
      <c r="C2126" s="245" t="str">
        <f t="shared" si="42"/>
        <v>32.159</v>
      </c>
      <c r="D2126" s="246"/>
      <c r="E2126" s="64" t="str">
        <f>IF(ISBLANK(D2126)=TRUE,"",VLOOKUP(D2126,Krav!$C:$F,4,FALSE))</f>
        <v/>
      </c>
      <c r="F2126" s="247" t="s">
        <v>225</v>
      </c>
      <c r="G2126" s="256" t="s">
        <v>1388</v>
      </c>
      <c r="H2126" s="256" t="s">
        <v>158</v>
      </c>
      <c r="I2126" s="250" t="s">
        <v>376</v>
      </c>
      <c r="J2126" s="250" t="s">
        <v>222</v>
      </c>
      <c r="K2126" s="250" t="s">
        <v>222</v>
      </c>
      <c r="L2126" s="257" t="s">
        <v>3</v>
      </c>
      <c r="M2126" s="253" t="s">
        <v>131</v>
      </c>
      <c r="N2126" s="253" t="s">
        <v>129</v>
      </c>
      <c r="O2126" s="253" t="s">
        <v>376</v>
      </c>
      <c r="P2126" s="253" t="s">
        <v>96</v>
      </c>
      <c r="Q2126" s="253" t="s">
        <v>131</v>
      </c>
      <c r="R2126" s="253" t="s">
        <v>129</v>
      </c>
      <c r="S2126" s="253" t="s">
        <v>131</v>
      </c>
      <c r="T2126" s="253"/>
      <c r="U2126" s="253"/>
      <c r="V2126" s="253"/>
      <c r="W2126" s="253"/>
      <c r="X2126" s="253"/>
      <c r="Y2126" s="253"/>
      <c r="Z2126" s="253"/>
      <c r="AA2126" s="253"/>
      <c r="AB2126" s="253"/>
      <c r="AC2126" s="253"/>
      <c r="AD2126" s="254" t="s">
        <v>5</v>
      </c>
    </row>
    <row r="2127" spans="1:30" s="255" customFormat="1" ht="33" customHeight="1" x14ac:dyDescent="0.3">
      <c r="A2127" s="167">
        <v>32</v>
      </c>
      <c r="B2127" s="168">
        <v>160</v>
      </c>
      <c r="C2127" s="245" t="str">
        <f t="shared" si="42"/>
        <v>32.160</v>
      </c>
      <c r="D2127" s="246"/>
      <c r="E2127" s="64" t="str">
        <f>IF(ISBLANK(D2127)=TRUE,"",VLOOKUP(D2127,Krav!$C:$F,4,FALSE))</f>
        <v/>
      </c>
      <c r="F2127" s="247" t="s">
        <v>225</v>
      </c>
      <c r="G2127" s="256" t="s">
        <v>1391</v>
      </c>
      <c r="H2127" s="256" t="s">
        <v>158</v>
      </c>
      <c r="I2127" s="250" t="s">
        <v>376</v>
      </c>
      <c r="J2127" s="250" t="s">
        <v>222</v>
      </c>
      <c r="K2127" s="250" t="s">
        <v>222</v>
      </c>
      <c r="L2127" s="257" t="s">
        <v>3</v>
      </c>
      <c r="M2127" s="253" t="s">
        <v>131</v>
      </c>
      <c r="N2127" s="253" t="s">
        <v>129</v>
      </c>
      <c r="O2127" s="253" t="s">
        <v>376</v>
      </c>
      <c r="P2127" s="253" t="s">
        <v>96</v>
      </c>
      <c r="Q2127" s="253" t="s">
        <v>131</v>
      </c>
      <c r="R2127" s="253" t="s">
        <v>129</v>
      </c>
      <c r="S2127" s="253" t="s">
        <v>131</v>
      </c>
      <c r="T2127" s="253"/>
      <c r="U2127" s="253"/>
      <c r="V2127" s="253"/>
      <c r="W2127" s="253"/>
      <c r="X2127" s="253"/>
      <c r="Y2127" s="253"/>
      <c r="Z2127" s="253"/>
      <c r="AA2127" s="253"/>
      <c r="AB2127" s="253"/>
      <c r="AC2127" s="253"/>
      <c r="AD2127" s="254" t="s">
        <v>5</v>
      </c>
    </row>
    <row r="2128" spans="1:30" s="255" customFormat="1" ht="33" customHeight="1" x14ac:dyDescent="0.3">
      <c r="A2128" s="167">
        <v>32</v>
      </c>
      <c r="B2128" s="168">
        <v>161</v>
      </c>
      <c r="C2128" s="245" t="str">
        <f t="shared" si="42"/>
        <v>32.161</v>
      </c>
      <c r="D2128" s="246" t="s">
        <v>1240</v>
      </c>
      <c r="E2128" s="64" t="str">
        <f>IF(ISBLANK(D2128)=TRUE,"",VLOOKUP(D2128,Krav!$C:$F,4,FALSE))</f>
        <v>10.a.2.1.2.3 - Gruppe 1 deaktiveres</v>
      </c>
      <c r="F2128" s="247" t="s">
        <v>227</v>
      </c>
      <c r="G2128" s="248"/>
      <c r="H2128" s="249" t="s">
        <v>1423</v>
      </c>
      <c r="I2128" s="250" t="s">
        <v>241</v>
      </c>
      <c r="J2128" s="251" t="s">
        <v>222</v>
      </c>
      <c r="K2128" s="250" t="s">
        <v>222</v>
      </c>
      <c r="L2128" s="252" t="s">
        <v>3</v>
      </c>
      <c r="M2128" s="253" t="s">
        <v>131</v>
      </c>
      <c r="N2128" s="253" t="s">
        <v>129</v>
      </c>
      <c r="O2128" s="253" t="s">
        <v>376</v>
      </c>
      <c r="P2128" s="253" t="s">
        <v>96</v>
      </c>
      <c r="Q2128" s="253" t="s">
        <v>131</v>
      </c>
      <c r="R2128" s="253" t="s">
        <v>129</v>
      </c>
      <c r="S2128" s="253" t="s">
        <v>131</v>
      </c>
      <c r="T2128" s="253"/>
      <c r="U2128" s="253"/>
      <c r="V2128" s="253"/>
      <c r="W2128" s="253"/>
      <c r="X2128" s="253"/>
      <c r="Y2128" s="253"/>
      <c r="Z2128" s="253"/>
      <c r="AA2128" s="253"/>
      <c r="AB2128" s="253"/>
      <c r="AC2128" s="253"/>
      <c r="AD2128" s="254" t="s">
        <v>5</v>
      </c>
    </row>
    <row r="2129" spans="1:30" s="255" customFormat="1" ht="33" customHeight="1" x14ac:dyDescent="0.3">
      <c r="A2129" s="167">
        <v>32</v>
      </c>
      <c r="B2129" s="168">
        <v>162</v>
      </c>
      <c r="C2129" s="245" t="str">
        <f t="shared" si="42"/>
        <v>32.162</v>
      </c>
      <c r="D2129" s="246" t="s">
        <v>1241</v>
      </c>
      <c r="E2129" s="64" t="str">
        <f>IF(ISBLANK(D2129)=TRUE,"",VLOOKUP(D2129,Krav!$C:$F,4,FALSE))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129" s="258" t="s">
        <v>174</v>
      </c>
      <c r="G2129" s="248"/>
      <c r="H2129" s="256" t="s">
        <v>1424</v>
      </c>
      <c r="I2129" s="250" t="s">
        <v>1425</v>
      </c>
      <c r="J2129" s="251" t="s">
        <v>222</v>
      </c>
      <c r="K2129" s="250" t="s">
        <v>222</v>
      </c>
      <c r="L2129" s="252" t="s">
        <v>3</v>
      </c>
      <c r="M2129" s="253" t="s">
        <v>131</v>
      </c>
      <c r="N2129" s="253" t="s">
        <v>129</v>
      </c>
      <c r="O2129" s="253" t="s">
        <v>376</v>
      </c>
      <c r="P2129" s="253" t="s">
        <v>96</v>
      </c>
      <c r="Q2129" s="253" t="s">
        <v>131</v>
      </c>
      <c r="R2129" s="253" t="s">
        <v>129</v>
      </c>
      <c r="S2129" s="253" t="s">
        <v>131</v>
      </c>
      <c r="T2129" s="253"/>
      <c r="U2129" s="253"/>
      <c r="V2129" s="253" t="s">
        <v>294</v>
      </c>
      <c r="W2129" s="253"/>
      <c r="X2129" s="253"/>
      <c r="Y2129" s="253"/>
      <c r="Z2129" s="253"/>
      <c r="AA2129" s="253"/>
      <c r="AB2129" s="253"/>
      <c r="AC2129" s="253"/>
      <c r="AD2129" s="254" t="s">
        <v>5</v>
      </c>
    </row>
    <row r="2130" spans="1:30" s="255" customFormat="1" ht="33" customHeight="1" x14ac:dyDescent="0.3">
      <c r="A2130" s="167">
        <v>32</v>
      </c>
      <c r="B2130" s="168">
        <v>163</v>
      </c>
      <c r="C2130" s="245" t="str">
        <f t="shared" si="42"/>
        <v>32.163</v>
      </c>
      <c r="D2130" s="246" t="s">
        <v>1241</v>
      </c>
      <c r="E2130" s="64" t="str">
        <f>IF(ISBLANK(D2130)=TRUE,"",VLOOKUP(D2130,Krav!$C:$F,4,FALSE))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130" s="258" t="s">
        <v>174</v>
      </c>
      <c r="G2130" s="247"/>
      <c r="H2130" s="256" t="s">
        <v>1445</v>
      </c>
      <c r="I2130" s="250" t="s">
        <v>1425</v>
      </c>
      <c r="J2130" s="251" t="s">
        <v>222</v>
      </c>
      <c r="K2130" s="250" t="s">
        <v>222</v>
      </c>
      <c r="L2130" s="252" t="s">
        <v>3</v>
      </c>
      <c r="M2130" s="253" t="s">
        <v>131</v>
      </c>
      <c r="N2130" s="253" t="s">
        <v>129</v>
      </c>
      <c r="O2130" s="253" t="s">
        <v>376</v>
      </c>
      <c r="P2130" s="253" t="s">
        <v>96</v>
      </c>
      <c r="Q2130" s="253" t="s">
        <v>131</v>
      </c>
      <c r="R2130" s="253" t="s">
        <v>129</v>
      </c>
      <c r="S2130" s="253" t="s">
        <v>131</v>
      </c>
      <c r="T2130" s="253"/>
      <c r="U2130" s="253"/>
      <c r="V2130" s="254" t="s">
        <v>295</v>
      </c>
      <c r="W2130" s="253" t="s">
        <v>26</v>
      </c>
      <c r="X2130" s="253"/>
      <c r="Y2130" s="253"/>
      <c r="Z2130" s="253"/>
      <c r="AA2130" s="253"/>
      <c r="AB2130" s="253"/>
      <c r="AC2130" s="253"/>
      <c r="AD2130" s="254" t="s">
        <v>5</v>
      </c>
    </row>
    <row r="2131" spans="1:30" s="255" customFormat="1" ht="33" customHeight="1" x14ac:dyDescent="0.3">
      <c r="A2131" s="167">
        <v>32</v>
      </c>
      <c r="B2131" s="168">
        <v>164</v>
      </c>
      <c r="C2131" s="245" t="str">
        <f t="shared" si="42"/>
        <v>32.164</v>
      </c>
      <c r="D2131" s="246" t="s">
        <v>1241</v>
      </c>
      <c r="E2131" s="64" t="str">
        <f>IF(ISBLANK(D2131)=TRUE,"",VLOOKUP(D2131,Krav!$C:$F,4,FALSE))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131" s="258" t="s">
        <v>174</v>
      </c>
      <c r="G2131" s="248"/>
      <c r="H2131" s="256" t="s">
        <v>1445</v>
      </c>
      <c r="I2131" s="251" t="s">
        <v>1425</v>
      </c>
      <c r="J2131" s="251" t="s">
        <v>222</v>
      </c>
      <c r="K2131" s="250" t="s">
        <v>222</v>
      </c>
      <c r="L2131" s="252" t="s">
        <v>3</v>
      </c>
      <c r="M2131" s="253" t="s">
        <v>131</v>
      </c>
      <c r="N2131" s="253" t="s">
        <v>129</v>
      </c>
      <c r="O2131" s="253" t="s">
        <v>376</v>
      </c>
      <c r="P2131" s="253" t="s">
        <v>96</v>
      </c>
      <c r="Q2131" s="253" t="s">
        <v>131</v>
      </c>
      <c r="R2131" s="253" t="s">
        <v>129</v>
      </c>
      <c r="S2131" s="253" t="s">
        <v>131</v>
      </c>
      <c r="T2131" s="253"/>
      <c r="U2131" s="253"/>
      <c r="V2131" s="254" t="s">
        <v>295</v>
      </c>
      <c r="W2131" s="253" t="s">
        <v>166</v>
      </c>
      <c r="X2131" s="253" t="s">
        <v>26</v>
      </c>
      <c r="Y2131" s="253"/>
      <c r="Z2131" s="253"/>
      <c r="AA2131" s="253"/>
      <c r="AB2131" s="253"/>
      <c r="AC2131" s="253"/>
      <c r="AD2131" s="254" t="s">
        <v>5</v>
      </c>
    </row>
    <row r="2132" spans="1:30" s="255" customFormat="1" ht="33" customHeight="1" x14ac:dyDescent="0.3">
      <c r="A2132" s="167">
        <v>32</v>
      </c>
      <c r="B2132" s="168">
        <v>165</v>
      </c>
      <c r="C2132" s="245" t="str">
        <f t="shared" si="42"/>
        <v>32.165</v>
      </c>
      <c r="D2132" s="246" t="s">
        <v>1241</v>
      </c>
      <c r="E2132" s="64" t="str">
        <f>IF(ISBLANK(D2132)=TRUE,"",VLOOKUP(D2132,Krav!$C:$F,4,FALSE))</f>
        <v>10.a.2.1.2.4 -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132" s="258" t="s">
        <v>174</v>
      </c>
      <c r="G2132" s="247"/>
      <c r="H2132" s="256" t="s">
        <v>1445</v>
      </c>
      <c r="I2132" s="250" t="s">
        <v>1425</v>
      </c>
      <c r="J2132" s="251" t="s">
        <v>222</v>
      </c>
      <c r="K2132" s="250" t="s">
        <v>222</v>
      </c>
      <c r="L2132" s="252" t="s">
        <v>3</v>
      </c>
      <c r="M2132" s="253" t="s">
        <v>131</v>
      </c>
      <c r="N2132" s="253" t="s">
        <v>129</v>
      </c>
      <c r="O2132" s="253" t="s">
        <v>376</v>
      </c>
      <c r="P2132" s="253" t="s">
        <v>96</v>
      </c>
      <c r="Q2132" s="253" t="s">
        <v>131</v>
      </c>
      <c r="R2132" s="253" t="s">
        <v>129</v>
      </c>
      <c r="S2132" s="253" t="s">
        <v>131</v>
      </c>
      <c r="T2132" s="253"/>
      <c r="U2132" s="253"/>
      <c r="V2132" s="254" t="s">
        <v>295</v>
      </c>
      <c r="W2132" s="253" t="s">
        <v>166</v>
      </c>
      <c r="X2132" s="253" t="s">
        <v>166</v>
      </c>
      <c r="Y2132" s="253" t="s">
        <v>580</v>
      </c>
      <c r="Z2132" s="253"/>
      <c r="AA2132" s="253"/>
      <c r="AB2132" s="253"/>
      <c r="AC2132" s="253"/>
      <c r="AD2132" s="254" t="s">
        <v>5</v>
      </c>
    </row>
    <row r="2133" spans="1:30" s="255" customFormat="1" ht="33" customHeight="1" x14ac:dyDescent="0.3">
      <c r="A2133" s="167">
        <v>32</v>
      </c>
      <c r="B2133" s="168">
        <v>166</v>
      </c>
      <c r="C2133" s="245" t="str">
        <f t="shared" si="42"/>
        <v>32.166</v>
      </c>
      <c r="D2133" s="246" t="s">
        <v>1243</v>
      </c>
      <c r="E2133" s="64" t="str">
        <f>IF(ISBLANK(D2133)=TRUE,"",VLOOKUP(D2133,Krav!$C:$F,4,FALSE))</f>
        <v xml:space="preserve">10.a.2.1.2.5 - Hvis fordringshaver har svaret ”aldrig” i spm. 9, kan der ikke opsættes en FLEX-filter konfiguration for populationen. </v>
      </c>
      <c r="F2133" s="258" t="s">
        <v>174</v>
      </c>
      <c r="G2133" s="248"/>
      <c r="H2133" s="256"/>
      <c r="I2133" s="250" t="s">
        <v>1414</v>
      </c>
      <c r="J2133" s="251" t="s">
        <v>222</v>
      </c>
      <c r="K2133" s="250" t="s">
        <v>222</v>
      </c>
      <c r="L2133" s="252" t="s">
        <v>4</v>
      </c>
      <c r="M2133" s="253" t="s">
        <v>131</v>
      </c>
      <c r="N2133" s="253" t="s">
        <v>129</v>
      </c>
      <c r="O2133" s="253" t="s">
        <v>376</v>
      </c>
      <c r="P2133" s="253" t="s">
        <v>96</v>
      </c>
      <c r="Q2133" s="253" t="s">
        <v>131</v>
      </c>
      <c r="R2133" s="253" t="s">
        <v>129</v>
      </c>
      <c r="S2133" s="253" t="s">
        <v>131</v>
      </c>
      <c r="T2133" s="253"/>
      <c r="U2133" s="253"/>
      <c r="V2133" s="254" t="s">
        <v>295</v>
      </c>
      <c r="W2133" s="253" t="s">
        <v>166</v>
      </c>
      <c r="X2133" s="253" t="s">
        <v>166</v>
      </c>
      <c r="Y2133" s="253" t="s">
        <v>369</v>
      </c>
      <c r="Z2133" s="253"/>
      <c r="AA2133" s="253"/>
      <c r="AB2133" s="253"/>
      <c r="AC2133" s="253"/>
      <c r="AD2133" s="254" t="s">
        <v>5</v>
      </c>
    </row>
    <row r="2134" spans="1:30" s="255" customFormat="1" ht="33" customHeight="1" x14ac:dyDescent="0.3">
      <c r="A2134" s="167">
        <v>32</v>
      </c>
      <c r="B2134" s="168">
        <v>167</v>
      </c>
      <c r="C2134" s="245" t="str">
        <f t="shared" si="42"/>
        <v>32.167</v>
      </c>
      <c r="D2134" s="246" t="s">
        <v>1243</v>
      </c>
      <c r="E2134" s="64" t="str">
        <f>IF(ISBLANK(D2134)=TRUE,"",VLOOKUP(D2134,Krav!$C:$F,4,FALSE))</f>
        <v xml:space="preserve">10.a.2.1.2.5 - Hvis fordringshaver har svaret ”aldrig” i spm. 9, kan der ikke opsættes en FLEX-filter konfiguration for populationen. </v>
      </c>
      <c r="F2134" s="258" t="s">
        <v>174</v>
      </c>
      <c r="G2134" s="248"/>
      <c r="H2134" s="256" t="s">
        <v>1426</v>
      </c>
      <c r="I2134" s="250" t="s">
        <v>1414</v>
      </c>
      <c r="J2134" s="250" t="s">
        <v>222</v>
      </c>
      <c r="K2134" s="250" t="s">
        <v>222</v>
      </c>
      <c r="L2134" s="252" t="s">
        <v>4</v>
      </c>
      <c r="M2134" s="253" t="s">
        <v>131</v>
      </c>
      <c r="N2134" s="253" t="s">
        <v>129</v>
      </c>
      <c r="O2134" s="253" t="s">
        <v>376</v>
      </c>
      <c r="P2134" s="253" t="s">
        <v>96</v>
      </c>
      <c r="Q2134" s="253" t="s">
        <v>131</v>
      </c>
      <c r="R2134" s="253" t="s">
        <v>129</v>
      </c>
      <c r="S2134" s="253" t="s">
        <v>131</v>
      </c>
      <c r="T2134" s="253"/>
      <c r="U2134" s="253"/>
      <c r="V2134" s="253" t="s">
        <v>303</v>
      </c>
      <c r="W2134" s="253"/>
      <c r="X2134" s="253"/>
      <c r="Y2134" s="253"/>
      <c r="Z2134" s="253"/>
      <c r="AA2134" s="253"/>
      <c r="AB2134" s="253"/>
      <c r="AC2134" s="253"/>
      <c r="AD2134" s="254" t="s">
        <v>5</v>
      </c>
    </row>
    <row r="2135" spans="1:30" s="255" customFormat="1" ht="33" customHeight="1" x14ac:dyDescent="0.3">
      <c r="A2135" s="167">
        <v>32</v>
      </c>
      <c r="B2135" s="168">
        <v>168</v>
      </c>
      <c r="C2135" s="245" t="str">
        <f t="shared" si="42"/>
        <v>32.168</v>
      </c>
      <c r="D2135" s="246" t="s">
        <v>1238</v>
      </c>
      <c r="E2135" s="64" t="str">
        <f>IF(ISBLANK(D2135)=TRUE,"",VLOOKUP(D2135,Krav!$C:$F,4,FALSE))</f>
        <v>10.a.2.1.2.1 - Hvis der er svaret "I visse tilfælde" i spørgsmål 9 og hvis der er svaret "Ja" i enten 9.b.1, 9.b.2.1 eller 9.b.2.2.1 skal brugeren ledes til spørgsmål 11</v>
      </c>
      <c r="F2135" s="247" t="s">
        <v>143</v>
      </c>
      <c r="G2135" s="247" t="s">
        <v>1427</v>
      </c>
      <c r="H2135" s="256" t="s">
        <v>1433</v>
      </c>
      <c r="I2135" s="250" t="s">
        <v>468</v>
      </c>
      <c r="J2135" s="250" t="s">
        <v>222</v>
      </c>
      <c r="K2135" s="250" t="s">
        <v>222</v>
      </c>
      <c r="L2135" s="252" t="s">
        <v>3</v>
      </c>
      <c r="M2135" s="253" t="s">
        <v>131</v>
      </c>
      <c r="N2135" s="253" t="s">
        <v>129</v>
      </c>
      <c r="O2135" s="253" t="s">
        <v>376</v>
      </c>
      <c r="P2135" s="253" t="s">
        <v>96</v>
      </c>
      <c r="Q2135" s="253" t="s">
        <v>131</v>
      </c>
      <c r="R2135" s="253" t="s">
        <v>129</v>
      </c>
      <c r="S2135" s="253" t="s">
        <v>131</v>
      </c>
      <c r="T2135" s="253"/>
      <c r="U2135" s="253"/>
      <c r="V2135" s="254" t="s">
        <v>295</v>
      </c>
      <c r="W2135" s="253" t="s">
        <v>26</v>
      </c>
      <c r="X2135" s="253"/>
      <c r="Y2135" s="253"/>
      <c r="Z2135" s="253"/>
      <c r="AA2135" s="253"/>
      <c r="AB2135" s="253"/>
      <c r="AC2135" s="253"/>
      <c r="AD2135" s="254" t="s">
        <v>5</v>
      </c>
    </row>
    <row r="2136" spans="1:30" s="255" customFormat="1" ht="33" customHeight="1" x14ac:dyDescent="0.3">
      <c r="A2136" s="167">
        <v>32</v>
      </c>
      <c r="B2136" s="168">
        <v>169</v>
      </c>
      <c r="C2136" s="245" t="str">
        <f t="shared" si="42"/>
        <v>32.169</v>
      </c>
      <c r="D2136" s="246" t="s">
        <v>1238</v>
      </c>
      <c r="E2136" s="64" t="str">
        <f>IF(ISBLANK(D2136)=TRUE,"",VLOOKUP(D2136,Krav!$C:$F,4,FALSE))</f>
        <v>10.a.2.1.2.1 - Hvis der er svaret "I visse tilfælde" i spørgsmål 9 og hvis der er svaret "Ja" i enten 9.b.1, 9.b.2.1 eller 9.b.2.2.1 skal brugeren ledes til spørgsmål 11</v>
      </c>
      <c r="F2136" s="247" t="s">
        <v>143</v>
      </c>
      <c r="G2136" s="247" t="s">
        <v>1427</v>
      </c>
      <c r="H2136" s="256" t="s">
        <v>1433</v>
      </c>
      <c r="I2136" s="250" t="s">
        <v>468</v>
      </c>
      <c r="J2136" s="250" t="s">
        <v>222</v>
      </c>
      <c r="K2136" s="250" t="s">
        <v>222</v>
      </c>
      <c r="L2136" s="252" t="s">
        <v>3</v>
      </c>
      <c r="M2136" s="253" t="s">
        <v>131</v>
      </c>
      <c r="N2136" s="253" t="s">
        <v>129</v>
      </c>
      <c r="O2136" s="253" t="s">
        <v>376</v>
      </c>
      <c r="P2136" s="253" t="s">
        <v>96</v>
      </c>
      <c r="Q2136" s="253" t="s">
        <v>131</v>
      </c>
      <c r="R2136" s="253" t="s">
        <v>129</v>
      </c>
      <c r="S2136" s="253" t="s">
        <v>131</v>
      </c>
      <c r="T2136" s="253"/>
      <c r="U2136" s="253"/>
      <c r="V2136" s="254" t="s">
        <v>295</v>
      </c>
      <c r="W2136" s="253" t="s">
        <v>166</v>
      </c>
      <c r="X2136" s="253" t="s">
        <v>26</v>
      </c>
      <c r="Y2136" s="253"/>
      <c r="Z2136" s="253"/>
      <c r="AA2136" s="253"/>
      <c r="AB2136" s="253"/>
      <c r="AC2136" s="253"/>
      <c r="AD2136" s="254" t="s">
        <v>5</v>
      </c>
    </row>
    <row r="2137" spans="1:30" s="255" customFormat="1" ht="33" customHeight="1" x14ac:dyDescent="0.3">
      <c r="A2137" s="167">
        <v>32</v>
      </c>
      <c r="B2137" s="168">
        <v>170</v>
      </c>
      <c r="C2137" s="245" t="str">
        <f t="shared" si="42"/>
        <v>32.170</v>
      </c>
      <c r="D2137" s="246" t="s">
        <v>1238</v>
      </c>
      <c r="E2137" s="64" t="str">
        <f>IF(ISBLANK(D2137)=TRUE,"",VLOOKUP(D2137,Krav!$C:$F,4,FALSE))</f>
        <v>10.a.2.1.2.1 - Hvis der er svaret "I visse tilfælde" i spørgsmål 9 og hvis der er svaret "Ja" i enten 9.b.1, 9.b.2.1 eller 9.b.2.2.1 skal brugeren ledes til spørgsmål 11</v>
      </c>
      <c r="F2137" s="247" t="s">
        <v>143</v>
      </c>
      <c r="G2137" s="247" t="s">
        <v>1427</v>
      </c>
      <c r="H2137" s="256" t="s">
        <v>1433</v>
      </c>
      <c r="I2137" s="250" t="s">
        <v>468</v>
      </c>
      <c r="J2137" s="250" t="s">
        <v>222</v>
      </c>
      <c r="K2137" s="250" t="s">
        <v>222</v>
      </c>
      <c r="L2137" s="257" t="s">
        <v>3</v>
      </c>
      <c r="M2137" s="253" t="s">
        <v>131</v>
      </c>
      <c r="N2137" s="253" t="s">
        <v>129</v>
      </c>
      <c r="O2137" s="253" t="s">
        <v>376</v>
      </c>
      <c r="P2137" s="253" t="s">
        <v>96</v>
      </c>
      <c r="Q2137" s="253" t="s">
        <v>131</v>
      </c>
      <c r="R2137" s="253" t="s">
        <v>129</v>
      </c>
      <c r="S2137" s="253" t="s">
        <v>131</v>
      </c>
      <c r="T2137" s="253"/>
      <c r="U2137" s="253"/>
      <c r="V2137" s="254" t="s">
        <v>295</v>
      </c>
      <c r="W2137" s="253" t="s">
        <v>166</v>
      </c>
      <c r="X2137" s="253" t="s">
        <v>166</v>
      </c>
      <c r="Y2137" s="253" t="s">
        <v>580</v>
      </c>
      <c r="Z2137" s="253"/>
      <c r="AA2137" s="253"/>
      <c r="AB2137" s="253"/>
      <c r="AC2137" s="253"/>
      <c r="AD2137" s="254" t="s">
        <v>5</v>
      </c>
    </row>
    <row r="2138" spans="1:30" s="255" customFormat="1" ht="33" customHeight="1" x14ac:dyDescent="0.3">
      <c r="A2138" s="167">
        <v>32</v>
      </c>
      <c r="B2138" s="168">
        <v>171</v>
      </c>
      <c r="C2138" s="245" t="str">
        <f t="shared" si="42"/>
        <v>32.171</v>
      </c>
      <c r="D2138" s="246"/>
      <c r="E2138" s="64" t="str">
        <f>IF(ISBLANK(D2138)=TRUE,"",VLOOKUP(D2138,Krav!$C:$F,4,FALSE))</f>
        <v/>
      </c>
      <c r="F2138" s="247" t="s">
        <v>143</v>
      </c>
      <c r="G2138" s="247" t="s">
        <v>1427</v>
      </c>
      <c r="H2138" s="256" t="s">
        <v>1446</v>
      </c>
      <c r="I2138" s="250" t="s">
        <v>468</v>
      </c>
      <c r="J2138" s="250" t="s">
        <v>222</v>
      </c>
      <c r="K2138" s="250" t="s">
        <v>222</v>
      </c>
      <c r="L2138" s="257" t="s">
        <v>3</v>
      </c>
      <c r="M2138" s="253" t="s">
        <v>131</v>
      </c>
      <c r="N2138" s="253" t="s">
        <v>129</v>
      </c>
      <c r="O2138" s="253" t="s">
        <v>376</v>
      </c>
      <c r="P2138" s="253" t="s">
        <v>96</v>
      </c>
      <c r="Q2138" s="253" t="s">
        <v>131</v>
      </c>
      <c r="R2138" s="253" t="s">
        <v>129</v>
      </c>
      <c r="S2138" s="253" t="s">
        <v>131</v>
      </c>
      <c r="T2138" s="253"/>
      <c r="U2138" s="253"/>
      <c r="V2138" s="253" t="s">
        <v>294</v>
      </c>
      <c r="W2138" s="253"/>
      <c r="X2138" s="253"/>
      <c r="Y2138" s="253"/>
      <c r="Z2138" s="253"/>
      <c r="AA2138" s="253"/>
      <c r="AB2138" s="253"/>
      <c r="AC2138" s="253"/>
      <c r="AD2138" s="254" t="s">
        <v>5</v>
      </c>
    </row>
    <row r="2139" spans="1:30" s="255" customFormat="1" ht="33" customHeight="1" x14ac:dyDescent="0.3">
      <c r="A2139" s="167">
        <v>32</v>
      </c>
      <c r="B2139" s="168">
        <v>172</v>
      </c>
      <c r="C2139" s="245" t="str">
        <f t="shared" si="42"/>
        <v>32.172</v>
      </c>
      <c r="D2139" s="246" t="s">
        <v>1238</v>
      </c>
      <c r="E2139" s="64" t="str">
        <f>IF(ISBLANK(D2139)=TRUE,"",VLOOKUP(D2139,Krav!$C:$F,4,FALSE))</f>
        <v>10.a.2.1.2.1 - Hvis der er svaret "I visse tilfælde" i spørgsmål 9 og hvis der er svaret "Ja" i enten 9.b.1, 9.b.2.1 eller 9.b.2.2.1 skal brugeren ledes til spørgsmål 11</v>
      </c>
      <c r="F2139" s="247" t="s">
        <v>143</v>
      </c>
      <c r="G2139" s="247" t="s">
        <v>1427</v>
      </c>
      <c r="H2139" s="256" t="s">
        <v>1433</v>
      </c>
      <c r="I2139" s="250" t="s">
        <v>555</v>
      </c>
      <c r="J2139" s="250" t="s">
        <v>222</v>
      </c>
      <c r="K2139" s="250" t="s">
        <v>222</v>
      </c>
      <c r="L2139" s="252" t="s">
        <v>3</v>
      </c>
      <c r="M2139" s="253" t="s">
        <v>131</v>
      </c>
      <c r="N2139" s="253" t="s">
        <v>129</v>
      </c>
      <c r="O2139" s="253" t="s">
        <v>376</v>
      </c>
      <c r="P2139" s="253" t="s">
        <v>96</v>
      </c>
      <c r="Q2139" s="253" t="s">
        <v>131</v>
      </c>
      <c r="R2139" s="253" t="s">
        <v>129</v>
      </c>
      <c r="S2139" s="253" t="s">
        <v>131</v>
      </c>
      <c r="T2139" s="253"/>
      <c r="U2139" s="253"/>
      <c r="V2139" s="254" t="s">
        <v>295</v>
      </c>
      <c r="W2139" s="253" t="s">
        <v>26</v>
      </c>
      <c r="X2139" s="253"/>
      <c r="Y2139" s="253"/>
      <c r="Z2139" s="253" t="s">
        <v>129</v>
      </c>
      <c r="AA2139" s="253"/>
      <c r="AB2139" s="253"/>
      <c r="AC2139" s="253"/>
      <c r="AD2139" s="254" t="s">
        <v>5</v>
      </c>
    </row>
    <row r="2140" spans="1:30" s="255" customFormat="1" ht="33" customHeight="1" x14ac:dyDescent="0.3">
      <c r="A2140" s="167">
        <v>32</v>
      </c>
      <c r="B2140" s="168">
        <v>173</v>
      </c>
      <c r="C2140" s="245" t="str">
        <f t="shared" si="42"/>
        <v>32.173</v>
      </c>
      <c r="D2140" s="246" t="s">
        <v>1238</v>
      </c>
      <c r="E2140" s="64" t="str">
        <f>IF(ISBLANK(D2140)=TRUE,"",VLOOKUP(D2140,Krav!$C:$F,4,FALSE))</f>
        <v>10.a.2.1.2.1 - Hvis der er svaret "I visse tilfælde" i spørgsmål 9 og hvis der er svaret "Ja" i enten 9.b.1, 9.b.2.1 eller 9.b.2.2.1 skal brugeren ledes til spørgsmål 11</v>
      </c>
      <c r="F2140" s="247" t="s">
        <v>143</v>
      </c>
      <c r="G2140" s="247" t="s">
        <v>1427</v>
      </c>
      <c r="H2140" s="256" t="s">
        <v>1433</v>
      </c>
      <c r="I2140" s="250" t="s">
        <v>555</v>
      </c>
      <c r="J2140" s="250" t="s">
        <v>222</v>
      </c>
      <c r="K2140" s="250" t="s">
        <v>222</v>
      </c>
      <c r="L2140" s="252" t="s">
        <v>3</v>
      </c>
      <c r="M2140" s="253" t="s">
        <v>131</v>
      </c>
      <c r="N2140" s="253" t="s">
        <v>129</v>
      </c>
      <c r="O2140" s="253" t="s">
        <v>376</v>
      </c>
      <c r="P2140" s="253" t="s">
        <v>96</v>
      </c>
      <c r="Q2140" s="253" t="s">
        <v>131</v>
      </c>
      <c r="R2140" s="253" t="s">
        <v>129</v>
      </c>
      <c r="S2140" s="253" t="s">
        <v>131</v>
      </c>
      <c r="T2140" s="253"/>
      <c r="U2140" s="253"/>
      <c r="V2140" s="254" t="s">
        <v>295</v>
      </c>
      <c r="W2140" s="253" t="s">
        <v>166</v>
      </c>
      <c r="X2140" s="253" t="s">
        <v>26</v>
      </c>
      <c r="Y2140" s="253"/>
      <c r="Z2140" s="253" t="s">
        <v>129</v>
      </c>
      <c r="AA2140" s="253"/>
      <c r="AB2140" s="253"/>
      <c r="AC2140" s="253"/>
      <c r="AD2140" s="254" t="s">
        <v>5</v>
      </c>
    </row>
    <row r="2141" spans="1:30" s="255" customFormat="1" ht="33" customHeight="1" x14ac:dyDescent="0.3">
      <c r="A2141" s="167">
        <v>32</v>
      </c>
      <c r="B2141" s="168">
        <v>174</v>
      </c>
      <c r="C2141" s="245" t="str">
        <f t="shared" si="42"/>
        <v>32.174</v>
      </c>
      <c r="D2141" s="246" t="s">
        <v>1238</v>
      </c>
      <c r="E2141" s="64" t="str">
        <f>IF(ISBLANK(D2141)=TRUE,"",VLOOKUP(D2141,Krav!$C:$F,4,FALSE))</f>
        <v>10.a.2.1.2.1 - Hvis der er svaret "I visse tilfælde" i spørgsmål 9 og hvis der er svaret "Ja" i enten 9.b.1, 9.b.2.1 eller 9.b.2.2.1 skal brugeren ledes til spørgsmål 11</v>
      </c>
      <c r="F2141" s="247" t="s">
        <v>143</v>
      </c>
      <c r="G2141" s="247" t="s">
        <v>1427</v>
      </c>
      <c r="H2141" s="256" t="s">
        <v>1433</v>
      </c>
      <c r="I2141" s="250" t="s">
        <v>555</v>
      </c>
      <c r="J2141" s="250" t="s">
        <v>222</v>
      </c>
      <c r="K2141" s="250" t="s">
        <v>222</v>
      </c>
      <c r="L2141" s="257" t="s">
        <v>3</v>
      </c>
      <c r="M2141" s="253" t="s">
        <v>131</v>
      </c>
      <c r="N2141" s="253" t="s">
        <v>129</v>
      </c>
      <c r="O2141" s="253" t="s">
        <v>376</v>
      </c>
      <c r="P2141" s="253" t="s">
        <v>96</v>
      </c>
      <c r="Q2141" s="253" t="s">
        <v>131</v>
      </c>
      <c r="R2141" s="253" t="s">
        <v>129</v>
      </c>
      <c r="S2141" s="253" t="s">
        <v>131</v>
      </c>
      <c r="T2141" s="253"/>
      <c r="U2141" s="253"/>
      <c r="V2141" s="254" t="s">
        <v>295</v>
      </c>
      <c r="W2141" s="253" t="s">
        <v>166</v>
      </c>
      <c r="X2141" s="253" t="s">
        <v>166</v>
      </c>
      <c r="Y2141" s="253" t="s">
        <v>580</v>
      </c>
      <c r="Z2141" s="253" t="s">
        <v>129</v>
      </c>
      <c r="AA2141" s="253"/>
      <c r="AB2141" s="253"/>
      <c r="AC2141" s="253"/>
      <c r="AD2141" s="254" t="s">
        <v>5</v>
      </c>
    </row>
    <row r="2142" spans="1:30" s="255" customFormat="1" ht="33" customHeight="1" x14ac:dyDescent="0.3">
      <c r="A2142" s="167">
        <v>32</v>
      </c>
      <c r="B2142" s="168">
        <v>175</v>
      </c>
      <c r="C2142" s="245" t="str">
        <f t="shared" si="42"/>
        <v>32.175</v>
      </c>
      <c r="D2142" s="246"/>
      <c r="E2142" s="64" t="str">
        <f>IF(ISBLANK(D2142)=TRUE,"",VLOOKUP(D2142,Krav!$C:$F,4,FALSE))</f>
        <v/>
      </c>
      <c r="F2142" s="247" t="s">
        <v>143</v>
      </c>
      <c r="G2142" s="247" t="s">
        <v>1427</v>
      </c>
      <c r="H2142" s="256" t="s">
        <v>1446</v>
      </c>
      <c r="I2142" s="250" t="s">
        <v>555</v>
      </c>
      <c r="J2142" s="250" t="s">
        <v>222</v>
      </c>
      <c r="K2142" s="250" t="s">
        <v>222</v>
      </c>
      <c r="L2142" s="257" t="s">
        <v>3</v>
      </c>
      <c r="M2142" s="253" t="s">
        <v>131</v>
      </c>
      <c r="N2142" s="253" t="s">
        <v>129</v>
      </c>
      <c r="O2142" s="253" t="s">
        <v>376</v>
      </c>
      <c r="P2142" s="253" t="s">
        <v>96</v>
      </c>
      <c r="Q2142" s="253" t="s">
        <v>131</v>
      </c>
      <c r="R2142" s="253" t="s">
        <v>129</v>
      </c>
      <c r="S2142" s="253" t="s">
        <v>131</v>
      </c>
      <c r="T2142" s="253"/>
      <c r="U2142" s="253"/>
      <c r="V2142" s="253" t="s">
        <v>294</v>
      </c>
      <c r="W2142" s="253"/>
      <c r="X2142" s="253"/>
      <c r="Y2142" s="253"/>
      <c r="Z2142" s="253" t="s">
        <v>129</v>
      </c>
      <c r="AA2142" s="253"/>
      <c r="AB2142" s="253"/>
      <c r="AC2142" s="253"/>
      <c r="AD2142" s="254" t="s">
        <v>5</v>
      </c>
    </row>
    <row r="2143" spans="1:30" s="255" customFormat="1" ht="33" customHeight="1" x14ac:dyDescent="0.3">
      <c r="A2143" s="167">
        <v>32</v>
      </c>
      <c r="B2143" s="168">
        <v>176</v>
      </c>
      <c r="C2143" s="245" t="str">
        <f t="shared" si="42"/>
        <v>32.176</v>
      </c>
      <c r="D2143" s="246" t="s">
        <v>1238</v>
      </c>
      <c r="E2143" s="64" t="str">
        <f>IF(ISBLANK(D2143)=TRUE,"",VLOOKUP(D2143,Krav!$C:$F,4,FALSE))</f>
        <v>10.a.2.1.2.1 - Hvis der er svaret "I visse tilfælde" i spørgsmål 9 og hvis der er svaret "Ja" i enten 9.b.1, 9.b.2.1 eller 9.b.2.2.1 skal brugeren ledes til spørgsmål 11</v>
      </c>
      <c r="F2143" s="247" t="s">
        <v>143</v>
      </c>
      <c r="G2143" s="247" t="s">
        <v>1427</v>
      </c>
      <c r="H2143" s="256" t="s">
        <v>1433</v>
      </c>
      <c r="I2143" s="250" t="s">
        <v>560</v>
      </c>
      <c r="J2143" s="250" t="s">
        <v>222</v>
      </c>
      <c r="K2143" s="250" t="s">
        <v>222</v>
      </c>
      <c r="L2143" s="252" t="s">
        <v>3</v>
      </c>
      <c r="M2143" s="253" t="s">
        <v>131</v>
      </c>
      <c r="N2143" s="253" t="s">
        <v>129</v>
      </c>
      <c r="O2143" s="253" t="s">
        <v>376</v>
      </c>
      <c r="P2143" s="253" t="s">
        <v>96</v>
      </c>
      <c r="Q2143" s="253" t="s">
        <v>131</v>
      </c>
      <c r="R2143" s="253" t="s">
        <v>129</v>
      </c>
      <c r="S2143" s="253" t="s">
        <v>131</v>
      </c>
      <c r="T2143" s="253"/>
      <c r="U2143" s="253"/>
      <c r="V2143" s="254" t="s">
        <v>295</v>
      </c>
      <c r="W2143" s="253" t="s">
        <v>26</v>
      </c>
      <c r="X2143" s="253"/>
      <c r="Y2143" s="253"/>
      <c r="Z2143" s="253"/>
      <c r="AA2143" s="253" t="s">
        <v>129</v>
      </c>
      <c r="AB2143" s="253"/>
      <c r="AC2143" s="253"/>
      <c r="AD2143" s="254" t="s">
        <v>5</v>
      </c>
    </row>
    <row r="2144" spans="1:30" s="255" customFormat="1" ht="33" customHeight="1" x14ac:dyDescent="0.3">
      <c r="A2144" s="167">
        <v>32</v>
      </c>
      <c r="B2144" s="168">
        <v>177</v>
      </c>
      <c r="C2144" s="245" t="str">
        <f t="shared" si="42"/>
        <v>32.177</v>
      </c>
      <c r="D2144" s="246" t="s">
        <v>1238</v>
      </c>
      <c r="E2144" s="64" t="str">
        <f>IF(ISBLANK(D2144)=TRUE,"",VLOOKUP(D2144,Krav!$C:$F,4,FALSE))</f>
        <v>10.a.2.1.2.1 - Hvis der er svaret "I visse tilfælde" i spørgsmål 9 og hvis der er svaret "Ja" i enten 9.b.1, 9.b.2.1 eller 9.b.2.2.1 skal brugeren ledes til spørgsmål 11</v>
      </c>
      <c r="F2144" s="247" t="s">
        <v>143</v>
      </c>
      <c r="G2144" s="247" t="s">
        <v>1427</v>
      </c>
      <c r="H2144" s="256" t="s">
        <v>1433</v>
      </c>
      <c r="I2144" s="250" t="s">
        <v>560</v>
      </c>
      <c r="J2144" s="250" t="s">
        <v>222</v>
      </c>
      <c r="K2144" s="250" t="s">
        <v>222</v>
      </c>
      <c r="L2144" s="252" t="s">
        <v>3</v>
      </c>
      <c r="M2144" s="253" t="s">
        <v>131</v>
      </c>
      <c r="N2144" s="253" t="s">
        <v>129</v>
      </c>
      <c r="O2144" s="253" t="s">
        <v>376</v>
      </c>
      <c r="P2144" s="253" t="s">
        <v>96</v>
      </c>
      <c r="Q2144" s="253" t="s">
        <v>131</v>
      </c>
      <c r="R2144" s="253" t="s">
        <v>129</v>
      </c>
      <c r="S2144" s="253" t="s">
        <v>131</v>
      </c>
      <c r="T2144" s="253"/>
      <c r="U2144" s="253"/>
      <c r="V2144" s="254" t="s">
        <v>295</v>
      </c>
      <c r="W2144" s="253" t="s">
        <v>166</v>
      </c>
      <c r="X2144" s="253" t="s">
        <v>26</v>
      </c>
      <c r="Y2144" s="253"/>
      <c r="Z2144" s="253"/>
      <c r="AA2144" s="253" t="s">
        <v>129</v>
      </c>
      <c r="AB2144" s="253"/>
      <c r="AC2144" s="253"/>
      <c r="AD2144" s="254" t="s">
        <v>5</v>
      </c>
    </row>
    <row r="2145" spans="1:30" s="255" customFormat="1" ht="33" customHeight="1" x14ac:dyDescent="0.3">
      <c r="A2145" s="167">
        <v>32</v>
      </c>
      <c r="B2145" s="168">
        <v>178</v>
      </c>
      <c r="C2145" s="245" t="str">
        <f t="shared" si="42"/>
        <v>32.178</v>
      </c>
      <c r="D2145" s="246" t="s">
        <v>1238</v>
      </c>
      <c r="E2145" s="64" t="str">
        <f>IF(ISBLANK(D2145)=TRUE,"",VLOOKUP(D2145,Krav!$C:$F,4,FALSE))</f>
        <v>10.a.2.1.2.1 - Hvis der er svaret "I visse tilfælde" i spørgsmål 9 og hvis der er svaret "Ja" i enten 9.b.1, 9.b.2.1 eller 9.b.2.2.1 skal brugeren ledes til spørgsmål 11</v>
      </c>
      <c r="F2145" s="247" t="s">
        <v>143</v>
      </c>
      <c r="G2145" s="247" t="s">
        <v>1427</v>
      </c>
      <c r="H2145" s="256" t="s">
        <v>1433</v>
      </c>
      <c r="I2145" s="250" t="s">
        <v>560</v>
      </c>
      <c r="J2145" s="250" t="s">
        <v>222</v>
      </c>
      <c r="K2145" s="250" t="s">
        <v>222</v>
      </c>
      <c r="L2145" s="257" t="s">
        <v>3</v>
      </c>
      <c r="M2145" s="253" t="s">
        <v>131</v>
      </c>
      <c r="N2145" s="253" t="s">
        <v>129</v>
      </c>
      <c r="O2145" s="253" t="s">
        <v>376</v>
      </c>
      <c r="P2145" s="253" t="s">
        <v>96</v>
      </c>
      <c r="Q2145" s="253" t="s">
        <v>131</v>
      </c>
      <c r="R2145" s="253" t="s">
        <v>129</v>
      </c>
      <c r="S2145" s="253" t="s">
        <v>131</v>
      </c>
      <c r="T2145" s="253"/>
      <c r="U2145" s="253"/>
      <c r="V2145" s="254" t="s">
        <v>295</v>
      </c>
      <c r="W2145" s="253" t="s">
        <v>166</v>
      </c>
      <c r="X2145" s="253" t="s">
        <v>166</v>
      </c>
      <c r="Y2145" s="253" t="s">
        <v>580</v>
      </c>
      <c r="Z2145" s="253"/>
      <c r="AA2145" s="253" t="s">
        <v>129</v>
      </c>
      <c r="AB2145" s="253"/>
      <c r="AC2145" s="253"/>
      <c r="AD2145" s="254" t="s">
        <v>5</v>
      </c>
    </row>
    <row r="2146" spans="1:30" s="255" customFormat="1" ht="33" customHeight="1" x14ac:dyDescent="0.3">
      <c r="A2146" s="167">
        <v>32</v>
      </c>
      <c r="B2146" s="168">
        <v>179</v>
      </c>
      <c r="C2146" s="245" t="str">
        <f t="shared" si="42"/>
        <v>32.179</v>
      </c>
      <c r="D2146" s="246"/>
      <c r="E2146" s="64" t="str">
        <f>IF(ISBLANK(D2146)=TRUE,"",VLOOKUP(D2146,Krav!$C:$F,4,FALSE))</f>
        <v/>
      </c>
      <c r="F2146" s="247" t="s">
        <v>143</v>
      </c>
      <c r="G2146" s="247" t="s">
        <v>1427</v>
      </c>
      <c r="H2146" s="256" t="s">
        <v>1446</v>
      </c>
      <c r="I2146" s="250" t="s">
        <v>560</v>
      </c>
      <c r="J2146" s="250" t="s">
        <v>222</v>
      </c>
      <c r="K2146" s="250" t="s">
        <v>222</v>
      </c>
      <c r="L2146" s="257" t="s">
        <v>3</v>
      </c>
      <c r="M2146" s="253" t="s">
        <v>131</v>
      </c>
      <c r="N2146" s="253" t="s">
        <v>129</v>
      </c>
      <c r="O2146" s="253" t="s">
        <v>376</v>
      </c>
      <c r="P2146" s="253" t="s">
        <v>96</v>
      </c>
      <c r="Q2146" s="253" t="s">
        <v>131</v>
      </c>
      <c r="R2146" s="253" t="s">
        <v>129</v>
      </c>
      <c r="S2146" s="253" t="s">
        <v>131</v>
      </c>
      <c r="T2146" s="253"/>
      <c r="U2146" s="253"/>
      <c r="V2146" s="253" t="s">
        <v>294</v>
      </c>
      <c r="W2146" s="253"/>
      <c r="X2146" s="253"/>
      <c r="Y2146" s="253"/>
      <c r="Z2146" s="253"/>
      <c r="AA2146" s="253" t="s">
        <v>129</v>
      </c>
      <c r="AB2146" s="253"/>
      <c r="AC2146" s="253"/>
      <c r="AD2146" s="254" t="s">
        <v>5</v>
      </c>
    </row>
    <row r="2147" spans="1:30" s="255" customFormat="1" ht="33" customHeight="1" x14ac:dyDescent="0.3">
      <c r="A2147" s="167">
        <v>32</v>
      </c>
      <c r="B2147" s="168">
        <v>180</v>
      </c>
      <c r="C2147" s="245" t="str">
        <f t="shared" si="42"/>
        <v>32.180</v>
      </c>
      <c r="D2147" s="246" t="s">
        <v>1238</v>
      </c>
      <c r="E2147" s="64" t="str">
        <f>IF(ISBLANK(D2147)=TRUE,"",VLOOKUP(D2147,Krav!$C:$F,4,FALSE))</f>
        <v>10.a.2.1.2.1 - Hvis der er svaret "I visse tilfælde" i spørgsmål 9 og hvis der er svaret "Ja" i enten 9.b.1, 9.b.2.1 eller 9.b.2.2.1 skal brugeren ledes til spørgsmål 11</v>
      </c>
      <c r="F2147" s="247" t="s">
        <v>143</v>
      </c>
      <c r="G2147" s="247" t="s">
        <v>1427</v>
      </c>
      <c r="H2147" s="256" t="s">
        <v>1433</v>
      </c>
      <c r="I2147" s="250" t="s">
        <v>565</v>
      </c>
      <c r="J2147" s="250" t="s">
        <v>222</v>
      </c>
      <c r="K2147" s="250" t="s">
        <v>222</v>
      </c>
      <c r="L2147" s="252" t="s">
        <v>3</v>
      </c>
      <c r="M2147" s="253" t="s">
        <v>131</v>
      </c>
      <c r="N2147" s="253" t="s">
        <v>129</v>
      </c>
      <c r="O2147" s="253" t="s">
        <v>376</v>
      </c>
      <c r="P2147" s="253" t="s">
        <v>96</v>
      </c>
      <c r="Q2147" s="253" t="s">
        <v>131</v>
      </c>
      <c r="R2147" s="253" t="s">
        <v>129</v>
      </c>
      <c r="S2147" s="253" t="s">
        <v>131</v>
      </c>
      <c r="T2147" s="253"/>
      <c r="U2147" s="253"/>
      <c r="V2147" s="254" t="s">
        <v>295</v>
      </c>
      <c r="W2147" s="253" t="s">
        <v>26</v>
      </c>
      <c r="X2147" s="253"/>
      <c r="Y2147" s="253"/>
      <c r="Z2147" s="253"/>
      <c r="AA2147" s="253"/>
      <c r="AB2147" s="253" t="s">
        <v>129</v>
      </c>
      <c r="AC2147" s="253"/>
      <c r="AD2147" s="254" t="s">
        <v>5</v>
      </c>
    </row>
    <row r="2148" spans="1:30" s="255" customFormat="1" ht="33" customHeight="1" x14ac:dyDescent="0.3">
      <c r="A2148" s="167">
        <v>32</v>
      </c>
      <c r="B2148" s="168">
        <v>181</v>
      </c>
      <c r="C2148" s="245" t="str">
        <f t="shared" si="42"/>
        <v>32.181</v>
      </c>
      <c r="D2148" s="246" t="s">
        <v>1238</v>
      </c>
      <c r="E2148" s="64" t="str">
        <f>IF(ISBLANK(D2148)=TRUE,"",VLOOKUP(D2148,Krav!$C:$F,4,FALSE))</f>
        <v>10.a.2.1.2.1 - Hvis der er svaret "I visse tilfælde" i spørgsmål 9 og hvis der er svaret "Ja" i enten 9.b.1, 9.b.2.1 eller 9.b.2.2.1 skal brugeren ledes til spørgsmål 11</v>
      </c>
      <c r="F2148" s="247" t="s">
        <v>143</v>
      </c>
      <c r="G2148" s="247" t="s">
        <v>1427</v>
      </c>
      <c r="H2148" s="256" t="s">
        <v>1433</v>
      </c>
      <c r="I2148" s="250" t="s">
        <v>565</v>
      </c>
      <c r="J2148" s="250" t="s">
        <v>222</v>
      </c>
      <c r="K2148" s="250" t="s">
        <v>222</v>
      </c>
      <c r="L2148" s="252" t="s">
        <v>3</v>
      </c>
      <c r="M2148" s="253" t="s">
        <v>131</v>
      </c>
      <c r="N2148" s="253" t="s">
        <v>129</v>
      </c>
      <c r="O2148" s="253" t="s">
        <v>376</v>
      </c>
      <c r="P2148" s="253" t="s">
        <v>96</v>
      </c>
      <c r="Q2148" s="253" t="s">
        <v>131</v>
      </c>
      <c r="R2148" s="253" t="s">
        <v>129</v>
      </c>
      <c r="S2148" s="253" t="s">
        <v>131</v>
      </c>
      <c r="T2148" s="253"/>
      <c r="U2148" s="253"/>
      <c r="V2148" s="254" t="s">
        <v>295</v>
      </c>
      <c r="W2148" s="253" t="s">
        <v>166</v>
      </c>
      <c r="X2148" s="253" t="s">
        <v>26</v>
      </c>
      <c r="Y2148" s="253"/>
      <c r="Z2148" s="253"/>
      <c r="AA2148" s="253"/>
      <c r="AB2148" s="253" t="s">
        <v>129</v>
      </c>
      <c r="AC2148" s="253"/>
      <c r="AD2148" s="254" t="s">
        <v>5</v>
      </c>
    </row>
    <row r="2149" spans="1:30" s="255" customFormat="1" ht="33" customHeight="1" x14ac:dyDescent="0.3">
      <c r="A2149" s="167">
        <v>32</v>
      </c>
      <c r="B2149" s="168">
        <v>182</v>
      </c>
      <c r="C2149" s="245" t="str">
        <f t="shared" si="42"/>
        <v>32.182</v>
      </c>
      <c r="D2149" s="246" t="s">
        <v>1238</v>
      </c>
      <c r="E2149" s="64" t="str">
        <f>IF(ISBLANK(D2149)=TRUE,"",VLOOKUP(D2149,Krav!$C:$F,4,FALSE))</f>
        <v>10.a.2.1.2.1 - Hvis der er svaret "I visse tilfælde" i spørgsmål 9 og hvis der er svaret "Ja" i enten 9.b.1, 9.b.2.1 eller 9.b.2.2.1 skal brugeren ledes til spørgsmål 11</v>
      </c>
      <c r="F2149" s="247" t="s">
        <v>143</v>
      </c>
      <c r="G2149" s="247" t="s">
        <v>1427</v>
      </c>
      <c r="H2149" s="256" t="s">
        <v>1433</v>
      </c>
      <c r="I2149" s="250" t="s">
        <v>565</v>
      </c>
      <c r="J2149" s="250" t="s">
        <v>222</v>
      </c>
      <c r="K2149" s="250" t="s">
        <v>222</v>
      </c>
      <c r="L2149" s="257" t="s">
        <v>3</v>
      </c>
      <c r="M2149" s="253" t="s">
        <v>131</v>
      </c>
      <c r="N2149" s="253" t="s">
        <v>129</v>
      </c>
      <c r="O2149" s="253" t="s">
        <v>376</v>
      </c>
      <c r="P2149" s="253" t="s">
        <v>96</v>
      </c>
      <c r="Q2149" s="253" t="s">
        <v>131</v>
      </c>
      <c r="R2149" s="253" t="s">
        <v>129</v>
      </c>
      <c r="S2149" s="253" t="s">
        <v>131</v>
      </c>
      <c r="T2149" s="253"/>
      <c r="U2149" s="253"/>
      <c r="V2149" s="254" t="s">
        <v>295</v>
      </c>
      <c r="W2149" s="253" t="s">
        <v>166</v>
      </c>
      <c r="X2149" s="253" t="s">
        <v>166</v>
      </c>
      <c r="Y2149" s="253" t="s">
        <v>580</v>
      </c>
      <c r="Z2149" s="253"/>
      <c r="AA2149" s="253"/>
      <c r="AB2149" s="253" t="s">
        <v>129</v>
      </c>
      <c r="AC2149" s="253"/>
      <c r="AD2149" s="254" t="s">
        <v>5</v>
      </c>
    </row>
    <row r="2150" spans="1:30" s="255" customFormat="1" ht="33" customHeight="1" x14ac:dyDescent="0.3">
      <c r="A2150" s="167">
        <v>32</v>
      </c>
      <c r="B2150" s="168">
        <v>183</v>
      </c>
      <c r="C2150" s="245" t="str">
        <f t="shared" si="42"/>
        <v>32.183</v>
      </c>
      <c r="D2150" s="246"/>
      <c r="E2150" s="64" t="str">
        <f>IF(ISBLANK(D2150)=TRUE,"",VLOOKUP(D2150,Krav!$C:$F,4,FALSE))</f>
        <v/>
      </c>
      <c r="F2150" s="247" t="s">
        <v>143</v>
      </c>
      <c r="G2150" s="247" t="s">
        <v>1427</v>
      </c>
      <c r="H2150" s="256" t="s">
        <v>1446</v>
      </c>
      <c r="I2150" s="250" t="s">
        <v>565</v>
      </c>
      <c r="J2150" s="250" t="s">
        <v>222</v>
      </c>
      <c r="K2150" s="250" t="s">
        <v>222</v>
      </c>
      <c r="L2150" s="257" t="s">
        <v>3</v>
      </c>
      <c r="M2150" s="253" t="s">
        <v>131</v>
      </c>
      <c r="N2150" s="253" t="s">
        <v>129</v>
      </c>
      <c r="O2150" s="253" t="s">
        <v>376</v>
      </c>
      <c r="P2150" s="253" t="s">
        <v>96</v>
      </c>
      <c r="Q2150" s="253" t="s">
        <v>131</v>
      </c>
      <c r="R2150" s="253" t="s">
        <v>129</v>
      </c>
      <c r="S2150" s="253" t="s">
        <v>131</v>
      </c>
      <c r="T2150" s="253"/>
      <c r="U2150" s="253"/>
      <c r="V2150" s="253" t="s">
        <v>294</v>
      </c>
      <c r="W2150" s="253"/>
      <c r="X2150" s="253"/>
      <c r="Y2150" s="253"/>
      <c r="Z2150" s="253"/>
      <c r="AA2150" s="253"/>
      <c r="AB2150" s="253" t="s">
        <v>129</v>
      </c>
      <c r="AC2150" s="253"/>
      <c r="AD2150" s="254" t="s">
        <v>5</v>
      </c>
    </row>
    <row r="2151" spans="1:30" s="271" customFormat="1" ht="33" customHeight="1" x14ac:dyDescent="0.3">
      <c r="A2151" s="167">
        <v>32</v>
      </c>
      <c r="B2151" s="168">
        <v>184</v>
      </c>
      <c r="C2151" s="261" t="str">
        <f t="shared" si="42"/>
        <v>32.184</v>
      </c>
      <c r="D2151" s="262" t="s">
        <v>1265</v>
      </c>
      <c r="E2151" s="64" t="str">
        <f>IF(ISBLANK(D2151)=TRUE,"",VLOOKUP(D2151,Krav!$C:$F,4,FALSE))</f>
        <v>10.a.2.2.22 - Der angives et "NEJ" i i populationen under ”vil RIM beregne en tidligst mulig forældelsesdato?"</v>
      </c>
      <c r="F2151" s="263" t="s">
        <v>221</v>
      </c>
      <c r="G2151" s="264"/>
      <c r="H2151" s="265" t="s">
        <v>1430</v>
      </c>
      <c r="I2151" s="266" t="s">
        <v>241</v>
      </c>
      <c r="J2151" s="267" t="s">
        <v>222</v>
      </c>
      <c r="K2151" s="266" t="s">
        <v>222</v>
      </c>
      <c r="L2151" s="268" t="s">
        <v>3</v>
      </c>
      <c r="M2151" s="269" t="s">
        <v>131</v>
      </c>
      <c r="N2151" s="269" t="s">
        <v>129</v>
      </c>
      <c r="O2151" s="269" t="s">
        <v>96</v>
      </c>
      <c r="P2151" s="269" t="s">
        <v>376</v>
      </c>
      <c r="Q2151" s="269" t="s">
        <v>129</v>
      </c>
      <c r="R2151" s="269" t="s">
        <v>131</v>
      </c>
      <c r="S2151" s="269" t="s">
        <v>131</v>
      </c>
      <c r="T2151" s="269"/>
      <c r="U2151" s="269"/>
      <c r="V2151" s="269"/>
      <c r="W2151" s="269"/>
      <c r="X2151" s="269"/>
      <c r="Y2151" s="269"/>
      <c r="Z2151" s="269"/>
      <c r="AA2151" s="269"/>
      <c r="AB2151" s="269"/>
      <c r="AC2151" s="269"/>
      <c r="AD2151" s="270" t="s">
        <v>5</v>
      </c>
    </row>
    <row r="2152" spans="1:30" s="271" customFormat="1" ht="33" customHeight="1" x14ac:dyDescent="0.3">
      <c r="A2152" s="167">
        <v>32</v>
      </c>
      <c r="B2152" s="168">
        <v>185</v>
      </c>
      <c r="C2152" s="261" t="str">
        <f t="shared" ref="C2152:C2206" si="43">IF(B2152&lt;10,_xlfn.CONCAT(A2152,".0",B2152),_xlfn.CONCAT(A2152,".",B2152))</f>
        <v>32.185</v>
      </c>
      <c r="D2152" s="262" t="s">
        <v>1266</v>
      </c>
      <c r="E2152" s="64" t="str">
        <f>IF(ISBLANK(D2152)=TRUE,"",VLOOKUP(D2152,Krav!$C:$F,4,FALSE))</f>
        <v>10.a.2.2.23 - Gruppe 1 deaktiveres</v>
      </c>
      <c r="F2152" s="263" t="s">
        <v>227</v>
      </c>
      <c r="G2152" s="264"/>
      <c r="H2152" s="272" t="s">
        <v>1423</v>
      </c>
      <c r="I2152" s="266" t="s">
        <v>241</v>
      </c>
      <c r="J2152" s="267" t="s">
        <v>222</v>
      </c>
      <c r="K2152" s="266" t="s">
        <v>222</v>
      </c>
      <c r="L2152" s="268" t="s">
        <v>3</v>
      </c>
      <c r="M2152" s="269" t="s">
        <v>131</v>
      </c>
      <c r="N2152" s="269" t="s">
        <v>129</v>
      </c>
      <c r="O2152" s="269" t="s">
        <v>96</v>
      </c>
      <c r="P2152" s="269" t="s">
        <v>376</v>
      </c>
      <c r="Q2152" s="269" t="s">
        <v>129</v>
      </c>
      <c r="R2152" s="269" t="s">
        <v>131</v>
      </c>
      <c r="S2152" s="269" t="s">
        <v>131</v>
      </c>
      <c r="T2152" s="269"/>
      <c r="U2152" s="269"/>
      <c r="V2152" s="269"/>
      <c r="W2152" s="269"/>
      <c r="X2152" s="269"/>
      <c r="Y2152" s="269"/>
      <c r="Z2152" s="269"/>
      <c r="AA2152" s="269"/>
      <c r="AB2152" s="269"/>
      <c r="AC2152" s="269"/>
      <c r="AD2152" s="270" t="s">
        <v>5</v>
      </c>
    </row>
    <row r="2153" spans="1:30" s="271" customFormat="1" ht="33" customHeight="1" x14ac:dyDescent="0.3">
      <c r="A2153" s="167">
        <v>32</v>
      </c>
      <c r="B2153" s="168">
        <v>186</v>
      </c>
      <c r="C2153" s="261" t="str">
        <f t="shared" si="43"/>
        <v>32.186</v>
      </c>
      <c r="D2153" s="262"/>
      <c r="E2153" s="64" t="str">
        <f>IF(ISBLANK(D2153)=TRUE,"",VLOOKUP(D2153,Krav!$C:$F,4,FALSE))</f>
        <v/>
      </c>
      <c r="F2153" s="263" t="s">
        <v>225</v>
      </c>
      <c r="G2153" s="264" t="s">
        <v>230</v>
      </c>
      <c r="H2153" s="265" t="s">
        <v>1431</v>
      </c>
      <c r="I2153" s="266" t="s">
        <v>1407</v>
      </c>
      <c r="J2153" s="267" t="s">
        <v>222</v>
      </c>
      <c r="K2153" s="266" t="s">
        <v>222</v>
      </c>
      <c r="L2153" s="268" t="s">
        <v>3</v>
      </c>
      <c r="M2153" s="269" t="s">
        <v>131</v>
      </c>
      <c r="N2153" s="269" t="s">
        <v>129</v>
      </c>
      <c r="O2153" s="269" t="s">
        <v>96</v>
      </c>
      <c r="P2153" s="269" t="s">
        <v>376</v>
      </c>
      <c r="Q2153" s="269" t="s">
        <v>129</v>
      </c>
      <c r="R2153" s="269" t="s">
        <v>131</v>
      </c>
      <c r="S2153" s="269" t="s">
        <v>131</v>
      </c>
      <c r="T2153" s="269"/>
      <c r="U2153" s="269"/>
      <c r="V2153" s="269"/>
      <c r="W2153" s="269"/>
      <c r="X2153" s="269"/>
      <c r="Y2153" s="269"/>
      <c r="Z2153" s="269"/>
      <c r="AA2153" s="269"/>
      <c r="AB2153" s="269"/>
      <c r="AC2153" s="269"/>
      <c r="AD2153" s="270" t="s">
        <v>5</v>
      </c>
    </row>
    <row r="2154" spans="1:30" s="271" customFormat="1" ht="33" customHeight="1" x14ac:dyDescent="0.3">
      <c r="A2154" s="167">
        <v>32</v>
      </c>
      <c r="B2154" s="168">
        <v>187</v>
      </c>
      <c r="C2154" s="261" t="str">
        <f t="shared" si="43"/>
        <v>32.187</v>
      </c>
      <c r="D2154" s="262"/>
      <c r="E2154" s="64" t="str">
        <f>IF(ISBLANK(D2154)=TRUE,"",VLOOKUP(D2154,Krav!$C:$F,4,FALSE))</f>
        <v/>
      </c>
      <c r="F2154" s="263" t="s">
        <v>225</v>
      </c>
      <c r="G2154" s="264" t="s">
        <v>1390</v>
      </c>
      <c r="H2154" s="265" t="s">
        <v>1431</v>
      </c>
      <c r="I2154" s="266" t="s">
        <v>369</v>
      </c>
      <c r="J2154" s="267" t="s">
        <v>222</v>
      </c>
      <c r="K2154" s="266" t="s">
        <v>222</v>
      </c>
      <c r="L2154" s="268" t="s">
        <v>3</v>
      </c>
      <c r="M2154" s="269" t="s">
        <v>131</v>
      </c>
      <c r="N2154" s="269" t="s">
        <v>129</v>
      </c>
      <c r="O2154" s="269" t="s">
        <v>96</v>
      </c>
      <c r="P2154" s="269" t="s">
        <v>376</v>
      </c>
      <c r="Q2154" s="269" t="s">
        <v>129</v>
      </c>
      <c r="R2154" s="269" t="s">
        <v>131</v>
      </c>
      <c r="S2154" s="269" t="s">
        <v>131</v>
      </c>
      <c r="T2154" s="269"/>
      <c r="U2154" s="269"/>
      <c r="V2154" s="269"/>
      <c r="W2154" s="269"/>
      <c r="X2154" s="269"/>
      <c r="Y2154" s="269"/>
      <c r="Z2154" s="269"/>
      <c r="AA2154" s="269"/>
      <c r="AB2154" s="269"/>
      <c r="AC2154" s="269"/>
      <c r="AD2154" s="270" t="s">
        <v>5</v>
      </c>
    </row>
    <row r="2155" spans="1:30" s="271" customFormat="1" ht="33" customHeight="1" x14ac:dyDescent="0.3">
      <c r="A2155" s="167">
        <v>32</v>
      </c>
      <c r="B2155" s="168">
        <v>188</v>
      </c>
      <c r="C2155" s="261" t="str">
        <f t="shared" si="43"/>
        <v>32.188</v>
      </c>
      <c r="D2155" s="262" t="s">
        <v>1267</v>
      </c>
      <c r="E2155" s="64" t="str">
        <f>IF(ISBLANK(D2155)=TRUE,"",VLOOKUP(D2155,Krav!$C:$F,4,FALSE))</f>
        <v>10.a.2.2.24 -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155" s="273" t="s">
        <v>174</v>
      </c>
      <c r="G2155" s="264"/>
      <c r="H2155" s="265" t="s">
        <v>1424</v>
      </c>
      <c r="I2155" s="266" t="s">
        <v>1425</v>
      </c>
      <c r="J2155" s="267" t="s">
        <v>222</v>
      </c>
      <c r="K2155" s="266" t="s">
        <v>222</v>
      </c>
      <c r="L2155" s="268" t="s">
        <v>3</v>
      </c>
      <c r="M2155" s="269" t="s">
        <v>131</v>
      </c>
      <c r="N2155" s="269" t="s">
        <v>129</v>
      </c>
      <c r="O2155" s="269" t="s">
        <v>96</v>
      </c>
      <c r="P2155" s="269" t="s">
        <v>376</v>
      </c>
      <c r="Q2155" s="269" t="s">
        <v>129</v>
      </c>
      <c r="R2155" s="269" t="s">
        <v>131</v>
      </c>
      <c r="S2155" s="269" t="s">
        <v>131</v>
      </c>
      <c r="T2155" s="269"/>
      <c r="U2155" s="269"/>
      <c r="V2155" s="269" t="s">
        <v>294</v>
      </c>
      <c r="W2155" s="269"/>
      <c r="X2155" s="269"/>
      <c r="Y2155" s="269"/>
      <c r="Z2155" s="269"/>
      <c r="AA2155" s="269"/>
      <c r="AB2155" s="269"/>
      <c r="AC2155" s="269"/>
      <c r="AD2155" s="270" t="s">
        <v>5</v>
      </c>
    </row>
    <row r="2156" spans="1:30" s="271" customFormat="1" ht="33" customHeight="1" x14ac:dyDescent="0.3">
      <c r="A2156" s="167">
        <v>32</v>
      </c>
      <c r="B2156" s="168">
        <v>189</v>
      </c>
      <c r="C2156" s="261" t="str">
        <f t="shared" si="43"/>
        <v>32.189</v>
      </c>
      <c r="D2156" s="262" t="s">
        <v>1267</v>
      </c>
      <c r="E2156" s="64" t="str">
        <f>IF(ISBLANK(D2156)=TRUE,"",VLOOKUP(D2156,Krav!$C:$F,4,FALSE))</f>
        <v>10.a.2.2.24 -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156" s="273" t="s">
        <v>174</v>
      </c>
      <c r="G2156" s="263"/>
      <c r="H2156" s="265" t="s">
        <v>1447</v>
      </c>
      <c r="I2156" s="266" t="s">
        <v>1425</v>
      </c>
      <c r="J2156" s="267" t="s">
        <v>222</v>
      </c>
      <c r="K2156" s="266" t="s">
        <v>222</v>
      </c>
      <c r="L2156" s="268" t="s">
        <v>3</v>
      </c>
      <c r="M2156" s="269" t="s">
        <v>131</v>
      </c>
      <c r="N2156" s="269" t="s">
        <v>129</v>
      </c>
      <c r="O2156" s="269" t="s">
        <v>96</v>
      </c>
      <c r="P2156" s="269" t="s">
        <v>376</v>
      </c>
      <c r="Q2156" s="269" t="s">
        <v>129</v>
      </c>
      <c r="R2156" s="269" t="s">
        <v>131</v>
      </c>
      <c r="S2156" s="269" t="s">
        <v>131</v>
      </c>
      <c r="T2156" s="269"/>
      <c r="U2156" s="269"/>
      <c r="V2156" s="270" t="s">
        <v>295</v>
      </c>
      <c r="W2156" s="269" t="s">
        <v>26</v>
      </c>
      <c r="X2156" s="269"/>
      <c r="Y2156" s="269"/>
      <c r="Z2156" s="269"/>
      <c r="AA2156" s="269"/>
      <c r="AB2156" s="269"/>
      <c r="AC2156" s="269"/>
      <c r="AD2156" s="270" t="s">
        <v>5</v>
      </c>
    </row>
    <row r="2157" spans="1:30" s="271" customFormat="1" ht="33" customHeight="1" x14ac:dyDescent="0.3">
      <c r="A2157" s="167">
        <v>32</v>
      </c>
      <c r="B2157" s="168">
        <v>190</v>
      </c>
      <c r="C2157" s="261" t="str">
        <f t="shared" si="43"/>
        <v>32.190</v>
      </c>
      <c r="D2157" s="262" t="s">
        <v>1267</v>
      </c>
      <c r="E2157" s="64" t="str">
        <f>IF(ISBLANK(D2157)=TRUE,"",VLOOKUP(D2157,Krav!$C:$F,4,FALSE))</f>
        <v>10.a.2.2.24 -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157" s="273" t="s">
        <v>174</v>
      </c>
      <c r="G2157" s="264"/>
      <c r="H2157" s="265" t="s">
        <v>1447</v>
      </c>
      <c r="I2157" s="267" t="s">
        <v>1425</v>
      </c>
      <c r="J2157" s="267" t="s">
        <v>222</v>
      </c>
      <c r="K2157" s="266" t="s">
        <v>222</v>
      </c>
      <c r="L2157" s="268" t="s">
        <v>3</v>
      </c>
      <c r="M2157" s="269" t="s">
        <v>131</v>
      </c>
      <c r="N2157" s="269" t="s">
        <v>129</v>
      </c>
      <c r="O2157" s="269" t="s">
        <v>96</v>
      </c>
      <c r="P2157" s="269" t="s">
        <v>376</v>
      </c>
      <c r="Q2157" s="269" t="s">
        <v>129</v>
      </c>
      <c r="R2157" s="269" t="s">
        <v>131</v>
      </c>
      <c r="S2157" s="269" t="s">
        <v>131</v>
      </c>
      <c r="T2157" s="269"/>
      <c r="U2157" s="269"/>
      <c r="V2157" s="270" t="s">
        <v>295</v>
      </c>
      <c r="W2157" s="269" t="s">
        <v>166</v>
      </c>
      <c r="X2157" s="269" t="s">
        <v>26</v>
      </c>
      <c r="Y2157" s="269"/>
      <c r="Z2157" s="269"/>
      <c r="AA2157" s="269"/>
      <c r="AB2157" s="269"/>
      <c r="AC2157" s="269"/>
      <c r="AD2157" s="270" t="s">
        <v>5</v>
      </c>
    </row>
    <row r="2158" spans="1:30" s="271" customFormat="1" ht="33" customHeight="1" x14ac:dyDescent="0.3">
      <c r="A2158" s="167">
        <v>32</v>
      </c>
      <c r="B2158" s="168">
        <v>191</v>
      </c>
      <c r="C2158" s="261" t="str">
        <f t="shared" si="43"/>
        <v>32.191</v>
      </c>
      <c r="D2158" s="262" t="s">
        <v>1267</v>
      </c>
      <c r="E2158" s="64" t="str">
        <f>IF(ISBLANK(D2158)=TRUE,"",VLOOKUP(D2158,Krav!$C:$F,4,FALSE))</f>
        <v>10.a.2.2.24 - Inden spørgeskema-logikken går videre fra spørgsmål 10.a.2.1.2 til spørgsmål 11, skal der fremkomme en boks, hvor følgende fremgår ”RIM kan ikke beregne et tidligst muligt forældelsestidspunkt den del af populationen, hvor der ikke er indsendt FOKO. Den følgende konfiguration angår derfor kun fordringer, hvor der er indsendt FOKO”.</v>
      </c>
      <c r="F2158" s="273" t="s">
        <v>174</v>
      </c>
      <c r="G2158" s="263"/>
      <c r="H2158" s="265" t="s">
        <v>1447</v>
      </c>
      <c r="I2158" s="266" t="s">
        <v>1425</v>
      </c>
      <c r="J2158" s="267" t="s">
        <v>222</v>
      </c>
      <c r="K2158" s="266" t="s">
        <v>222</v>
      </c>
      <c r="L2158" s="268" t="s">
        <v>3</v>
      </c>
      <c r="M2158" s="269" t="s">
        <v>131</v>
      </c>
      <c r="N2158" s="269" t="s">
        <v>129</v>
      </c>
      <c r="O2158" s="269" t="s">
        <v>96</v>
      </c>
      <c r="P2158" s="269" t="s">
        <v>376</v>
      </c>
      <c r="Q2158" s="269" t="s">
        <v>129</v>
      </c>
      <c r="R2158" s="269" t="s">
        <v>131</v>
      </c>
      <c r="S2158" s="269" t="s">
        <v>131</v>
      </c>
      <c r="T2158" s="269"/>
      <c r="U2158" s="269"/>
      <c r="V2158" s="270" t="s">
        <v>295</v>
      </c>
      <c r="W2158" s="269" t="s">
        <v>166</v>
      </c>
      <c r="X2158" s="269" t="s">
        <v>166</v>
      </c>
      <c r="Y2158" s="269" t="s">
        <v>580</v>
      </c>
      <c r="Z2158" s="269"/>
      <c r="AA2158" s="269"/>
      <c r="AB2158" s="269"/>
      <c r="AC2158" s="269"/>
      <c r="AD2158" s="270" t="s">
        <v>5</v>
      </c>
    </row>
    <row r="2159" spans="1:30" s="271" customFormat="1" ht="33" customHeight="1" x14ac:dyDescent="0.3">
      <c r="A2159" s="167">
        <v>32</v>
      </c>
      <c r="B2159" s="168">
        <v>192</v>
      </c>
      <c r="C2159" s="261" t="str">
        <f t="shared" si="43"/>
        <v>32.192</v>
      </c>
      <c r="D2159" s="262" t="s">
        <v>1268</v>
      </c>
      <c r="E2159" s="64" t="str">
        <f>IF(ISBLANK(D2159)=TRUE,"",VLOOKUP(D2159,Krav!$C:$F,4,FALSE))</f>
        <v xml:space="preserve">10.a.2.2.25 - Hvis fordringshaver har svaret ”aldrig” i spm. 9, kan der ikke opsættes en FLEX-filter konfiguration for populationen. </v>
      </c>
      <c r="F2159" s="273" t="s">
        <v>174</v>
      </c>
      <c r="G2159" s="264"/>
      <c r="H2159" s="265"/>
      <c r="I2159" s="266" t="s">
        <v>1414</v>
      </c>
      <c r="J2159" s="267" t="s">
        <v>222</v>
      </c>
      <c r="K2159" s="266" t="s">
        <v>222</v>
      </c>
      <c r="L2159" s="268" t="s">
        <v>4</v>
      </c>
      <c r="M2159" s="269" t="s">
        <v>131</v>
      </c>
      <c r="N2159" s="269" t="s">
        <v>129</v>
      </c>
      <c r="O2159" s="269" t="s">
        <v>96</v>
      </c>
      <c r="P2159" s="269" t="s">
        <v>376</v>
      </c>
      <c r="Q2159" s="269" t="s">
        <v>129</v>
      </c>
      <c r="R2159" s="269" t="s">
        <v>131</v>
      </c>
      <c r="S2159" s="269" t="s">
        <v>131</v>
      </c>
      <c r="T2159" s="269"/>
      <c r="U2159" s="269"/>
      <c r="V2159" s="270" t="s">
        <v>295</v>
      </c>
      <c r="W2159" s="269" t="s">
        <v>166</v>
      </c>
      <c r="X2159" s="269" t="s">
        <v>166</v>
      </c>
      <c r="Y2159" s="269" t="s">
        <v>369</v>
      </c>
      <c r="Z2159" s="269"/>
      <c r="AA2159" s="269"/>
      <c r="AB2159" s="269"/>
      <c r="AC2159" s="269"/>
      <c r="AD2159" s="270" t="s">
        <v>5</v>
      </c>
    </row>
    <row r="2160" spans="1:30" s="271" customFormat="1" ht="33.75" customHeight="1" x14ac:dyDescent="0.3">
      <c r="A2160" s="167">
        <v>32</v>
      </c>
      <c r="B2160" s="168">
        <v>193</v>
      </c>
      <c r="C2160" s="261" t="str">
        <f t="shared" si="43"/>
        <v>32.193</v>
      </c>
      <c r="D2160" s="262" t="s">
        <v>1268</v>
      </c>
      <c r="E2160" s="64" t="str">
        <f>IF(ISBLANK(D2160)=TRUE,"",VLOOKUP(D2160,Krav!$C:$F,4,FALSE))</f>
        <v xml:space="preserve">10.a.2.2.25 - Hvis fordringshaver har svaret ”aldrig” i spm. 9, kan der ikke opsættes en FLEX-filter konfiguration for populationen. </v>
      </c>
      <c r="F2160" s="273" t="s">
        <v>174</v>
      </c>
      <c r="G2160" s="264"/>
      <c r="H2160" s="265" t="s">
        <v>1426</v>
      </c>
      <c r="I2160" s="266" t="s">
        <v>1414</v>
      </c>
      <c r="J2160" s="266" t="s">
        <v>222</v>
      </c>
      <c r="K2160" s="266" t="s">
        <v>222</v>
      </c>
      <c r="L2160" s="268" t="s">
        <v>4</v>
      </c>
      <c r="M2160" s="269" t="s">
        <v>131</v>
      </c>
      <c r="N2160" s="269" t="s">
        <v>129</v>
      </c>
      <c r="O2160" s="269" t="s">
        <v>96</v>
      </c>
      <c r="P2160" s="269" t="s">
        <v>376</v>
      </c>
      <c r="Q2160" s="269" t="s">
        <v>129</v>
      </c>
      <c r="R2160" s="269" t="s">
        <v>131</v>
      </c>
      <c r="S2160" s="269" t="s">
        <v>131</v>
      </c>
      <c r="T2160" s="269"/>
      <c r="U2160" s="269"/>
      <c r="V2160" s="269" t="s">
        <v>303</v>
      </c>
      <c r="W2160" s="269"/>
      <c r="X2160" s="269"/>
      <c r="Y2160" s="269"/>
      <c r="Z2160" s="269"/>
      <c r="AA2160" s="269"/>
      <c r="AB2160" s="269"/>
      <c r="AC2160" s="269"/>
      <c r="AD2160" s="270" t="s">
        <v>5</v>
      </c>
    </row>
    <row r="2161" spans="1:30" s="271" customFormat="1" ht="33" customHeight="1" x14ac:dyDescent="0.3">
      <c r="A2161" s="167">
        <v>32</v>
      </c>
      <c r="B2161" s="168">
        <v>194</v>
      </c>
      <c r="C2161" s="261" t="str">
        <f t="shared" si="43"/>
        <v>32.194</v>
      </c>
      <c r="D2161" s="262" t="s">
        <v>1264</v>
      </c>
      <c r="E2161" s="64" t="str">
        <f>IF(ISBLANK(D2161)=TRUE,"",VLOOKUP(D2161,Krav!$C:$F,4,FALSE))</f>
        <v>10.a.2.2.21 - Hvis der er svaret "I visse tilfælde" i spørgsmål 9 og hvis der er svaret "Ja" i enten 9.b.1, 9.b.2.1 eller 9.b.2.2.1 skal brugeren ledes til spørgsmål 11</v>
      </c>
      <c r="F2161" s="263" t="s">
        <v>143</v>
      </c>
      <c r="G2161" s="263" t="s">
        <v>1427</v>
      </c>
      <c r="H2161" s="265" t="s">
        <v>1433</v>
      </c>
      <c r="I2161" s="266" t="s">
        <v>468</v>
      </c>
      <c r="J2161" s="266" t="s">
        <v>222</v>
      </c>
      <c r="K2161" s="266" t="s">
        <v>222</v>
      </c>
      <c r="L2161" s="268" t="s">
        <v>3</v>
      </c>
      <c r="M2161" s="269" t="s">
        <v>131</v>
      </c>
      <c r="N2161" s="269" t="s">
        <v>129</v>
      </c>
      <c r="O2161" s="269" t="s">
        <v>96</v>
      </c>
      <c r="P2161" s="269" t="s">
        <v>376</v>
      </c>
      <c r="Q2161" s="269" t="s">
        <v>129</v>
      </c>
      <c r="R2161" s="269" t="s">
        <v>131</v>
      </c>
      <c r="S2161" s="269" t="s">
        <v>131</v>
      </c>
      <c r="T2161" s="269"/>
      <c r="U2161" s="269"/>
      <c r="V2161" s="270" t="s">
        <v>295</v>
      </c>
      <c r="W2161" s="269" t="s">
        <v>26</v>
      </c>
      <c r="X2161" s="269"/>
      <c r="Y2161" s="269"/>
      <c r="Z2161" s="269"/>
      <c r="AA2161" s="269"/>
      <c r="AB2161" s="269"/>
      <c r="AC2161" s="269"/>
      <c r="AD2161" s="270" t="s">
        <v>5</v>
      </c>
    </row>
    <row r="2162" spans="1:30" s="271" customFormat="1" ht="33" customHeight="1" x14ac:dyDescent="0.3">
      <c r="A2162" s="167">
        <v>32</v>
      </c>
      <c r="B2162" s="168">
        <v>195</v>
      </c>
      <c r="C2162" s="261" t="str">
        <f t="shared" si="43"/>
        <v>32.195</v>
      </c>
      <c r="D2162" s="262" t="s">
        <v>1264</v>
      </c>
      <c r="E2162" s="64" t="str">
        <f>IF(ISBLANK(D2162)=TRUE,"",VLOOKUP(D2162,Krav!$C:$F,4,FALSE))</f>
        <v>10.a.2.2.21 - Hvis der er svaret "I visse tilfælde" i spørgsmål 9 og hvis der er svaret "Ja" i enten 9.b.1, 9.b.2.1 eller 9.b.2.2.1 skal brugeren ledes til spørgsmål 11</v>
      </c>
      <c r="F2162" s="263" t="s">
        <v>143</v>
      </c>
      <c r="G2162" s="263" t="s">
        <v>1427</v>
      </c>
      <c r="H2162" s="265" t="s">
        <v>1433</v>
      </c>
      <c r="I2162" s="266" t="s">
        <v>468</v>
      </c>
      <c r="J2162" s="266" t="s">
        <v>222</v>
      </c>
      <c r="K2162" s="266" t="s">
        <v>222</v>
      </c>
      <c r="L2162" s="268" t="s">
        <v>3</v>
      </c>
      <c r="M2162" s="269" t="s">
        <v>131</v>
      </c>
      <c r="N2162" s="269" t="s">
        <v>129</v>
      </c>
      <c r="O2162" s="269" t="s">
        <v>96</v>
      </c>
      <c r="P2162" s="269" t="s">
        <v>376</v>
      </c>
      <c r="Q2162" s="269" t="s">
        <v>129</v>
      </c>
      <c r="R2162" s="269" t="s">
        <v>131</v>
      </c>
      <c r="S2162" s="269" t="s">
        <v>131</v>
      </c>
      <c r="T2162" s="269"/>
      <c r="U2162" s="269"/>
      <c r="V2162" s="270" t="s">
        <v>295</v>
      </c>
      <c r="W2162" s="269" t="s">
        <v>166</v>
      </c>
      <c r="X2162" s="269" t="s">
        <v>26</v>
      </c>
      <c r="Y2162" s="269"/>
      <c r="Z2162" s="269"/>
      <c r="AA2162" s="269"/>
      <c r="AB2162" s="269"/>
      <c r="AC2162" s="269"/>
      <c r="AD2162" s="270" t="s">
        <v>5</v>
      </c>
    </row>
    <row r="2163" spans="1:30" s="271" customFormat="1" ht="33" customHeight="1" x14ac:dyDescent="0.3">
      <c r="A2163" s="167">
        <v>32</v>
      </c>
      <c r="B2163" s="168">
        <v>196</v>
      </c>
      <c r="C2163" s="261" t="str">
        <f t="shared" si="43"/>
        <v>32.196</v>
      </c>
      <c r="D2163" s="262" t="s">
        <v>1264</v>
      </c>
      <c r="E2163" s="64" t="str">
        <f>IF(ISBLANK(D2163)=TRUE,"",VLOOKUP(D2163,Krav!$C:$F,4,FALSE))</f>
        <v>10.a.2.2.21 - Hvis der er svaret "I visse tilfælde" i spørgsmål 9 og hvis der er svaret "Ja" i enten 9.b.1, 9.b.2.1 eller 9.b.2.2.1 skal brugeren ledes til spørgsmål 11</v>
      </c>
      <c r="F2163" s="263" t="s">
        <v>143</v>
      </c>
      <c r="G2163" s="263" t="s">
        <v>1427</v>
      </c>
      <c r="H2163" s="265" t="s">
        <v>1433</v>
      </c>
      <c r="I2163" s="266" t="s">
        <v>468</v>
      </c>
      <c r="J2163" s="266" t="s">
        <v>222</v>
      </c>
      <c r="K2163" s="266" t="s">
        <v>222</v>
      </c>
      <c r="L2163" s="274" t="s">
        <v>3</v>
      </c>
      <c r="M2163" s="269" t="s">
        <v>131</v>
      </c>
      <c r="N2163" s="269" t="s">
        <v>129</v>
      </c>
      <c r="O2163" s="269" t="s">
        <v>96</v>
      </c>
      <c r="P2163" s="269" t="s">
        <v>376</v>
      </c>
      <c r="Q2163" s="269" t="s">
        <v>129</v>
      </c>
      <c r="R2163" s="269" t="s">
        <v>131</v>
      </c>
      <c r="S2163" s="269" t="s">
        <v>131</v>
      </c>
      <c r="T2163" s="269"/>
      <c r="U2163" s="269"/>
      <c r="V2163" s="270" t="s">
        <v>295</v>
      </c>
      <c r="W2163" s="269" t="s">
        <v>166</v>
      </c>
      <c r="X2163" s="269" t="s">
        <v>166</v>
      </c>
      <c r="Y2163" s="269" t="s">
        <v>580</v>
      </c>
      <c r="Z2163" s="269"/>
      <c r="AA2163" s="269"/>
      <c r="AB2163" s="269"/>
      <c r="AC2163" s="269"/>
      <c r="AD2163" s="270" t="s">
        <v>5</v>
      </c>
    </row>
    <row r="2164" spans="1:30" s="271" customFormat="1" ht="33" customHeight="1" x14ac:dyDescent="0.3">
      <c r="A2164" s="167">
        <v>32</v>
      </c>
      <c r="B2164" s="168">
        <v>197</v>
      </c>
      <c r="C2164" s="261" t="str">
        <f t="shared" si="43"/>
        <v>32.197</v>
      </c>
      <c r="D2164" s="262"/>
      <c r="E2164" s="64" t="str">
        <f>IF(ISBLANK(D2164)=TRUE,"",VLOOKUP(D2164,Krav!$C:$F,4,FALSE))</f>
        <v/>
      </c>
      <c r="F2164" s="263" t="s">
        <v>143</v>
      </c>
      <c r="G2164" s="263" t="s">
        <v>1427</v>
      </c>
      <c r="H2164" s="265" t="s">
        <v>1446</v>
      </c>
      <c r="I2164" s="266" t="s">
        <v>468</v>
      </c>
      <c r="J2164" s="266" t="s">
        <v>222</v>
      </c>
      <c r="K2164" s="266" t="s">
        <v>222</v>
      </c>
      <c r="L2164" s="274" t="s">
        <v>3</v>
      </c>
      <c r="M2164" s="269" t="s">
        <v>131</v>
      </c>
      <c r="N2164" s="269" t="s">
        <v>129</v>
      </c>
      <c r="O2164" s="269" t="s">
        <v>96</v>
      </c>
      <c r="P2164" s="269" t="s">
        <v>376</v>
      </c>
      <c r="Q2164" s="269" t="s">
        <v>129</v>
      </c>
      <c r="R2164" s="269" t="s">
        <v>131</v>
      </c>
      <c r="S2164" s="269" t="s">
        <v>131</v>
      </c>
      <c r="T2164" s="269"/>
      <c r="U2164" s="269"/>
      <c r="V2164" s="269" t="s">
        <v>294</v>
      </c>
      <c r="W2164" s="269"/>
      <c r="X2164" s="269"/>
      <c r="Y2164" s="269"/>
      <c r="Z2164" s="269"/>
      <c r="AA2164" s="269"/>
      <c r="AB2164" s="269"/>
      <c r="AC2164" s="269"/>
      <c r="AD2164" s="270" t="s">
        <v>5</v>
      </c>
    </row>
    <row r="2165" spans="1:30" s="271" customFormat="1" ht="33" customHeight="1" x14ac:dyDescent="0.3">
      <c r="A2165" s="167">
        <v>32</v>
      </c>
      <c r="B2165" s="168">
        <v>198</v>
      </c>
      <c r="C2165" s="261" t="str">
        <f t="shared" si="43"/>
        <v>32.198</v>
      </c>
      <c r="D2165" s="262" t="s">
        <v>1264</v>
      </c>
      <c r="E2165" s="64" t="str">
        <f>IF(ISBLANK(D2165)=TRUE,"",VLOOKUP(D2165,Krav!$C:$F,4,FALSE))</f>
        <v>10.a.2.2.21 - Hvis der er svaret "I visse tilfælde" i spørgsmål 9 og hvis der er svaret "Ja" i enten 9.b.1, 9.b.2.1 eller 9.b.2.2.1 skal brugeren ledes til spørgsmål 11</v>
      </c>
      <c r="F2165" s="263" t="s">
        <v>143</v>
      </c>
      <c r="G2165" s="263" t="s">
        <v>1427</v>
      </c>
      <c r="H2165" s="265" t="s">
        <v>1433</v>
      </c>
      <c r="I2165" s="266" t="s">
        <v>555</v>
      </c>
      <c r="J2165" s="266" t="s">
        <v>222</v>
      </c>
      <c r="K2165" s="266" t="s">
        <v>222</v>
      </c>
      <c r="L2165" s="268" t="s">
        <v>3</v>
      </c>
      <c r="M2165" s="269" t="s">
        <v>131</v>
      </c>
      <c r="N2165" s="269" t="s">
        <v>129</v>
      </c>
      <c r="O2165" s="269" t="s">
        <v>96</v>
      </c>
      <c r="P2165" s="269" t="s">
        <v>376</v>
      </c>
      <c r="Q2165" s="269" t="s">
        <v>129</v>
      </c>
      <c r="R2165" s="269" t="s">
        <v>131</v>
      </c>
      <c r="S2165" s="269" t="s">
        <v>131</v>
      </c>
      <c r="T2165" s="269"/>
      <c r="U2165" s="269"/>
      <c r="V2165" s="270" t="s">
        <v>295</v>
      </c>
      <c r="W2165" s="269" t="s">
        <v>26</v>
      </c>
      <c r="X2165" s="269"/>
      <c r="Y2165" s="269"/>
      <c r="Z2165" s="269" t="s">
        <v>129</v>
      </c>
      <c r="AA2165" s="269"/>
      <c r="AB2165" s="269"/>
      <c r="AC2165" s="269"/>
      <c r="AD2165" s="270" t="s">
        <v>5</v>
      </c>
    </row>
    <row r="2166" spans="1:30" s="271" customFormat="1" ht="33" customHeight="1" x14ac:dyDescent="0.3">
      <c r="A2166" s="167">
        <v>32</v>
      </c>
      <c r="B2166" s="168">
        <v>199</v>
      </c>
      <c r="C2166" s="261" t="str">
        <f t="shared" si="43"/>
        <v>32.199</v>
      </c>
      <c r="D2166" s="262" t="s">
        <v>1264</v>
      </c>
      <c r="E2166" s="64" t="str">
        <f>IF(ISBLANK(D2166)=TRUE,"",VLOOKUP(D2166,Krav!$C:$F,4,FALSE))</f>
        <v>10.a.2.2.21 - Hvis der er svaret "I visse tilfælde" i spørgsmål 9 og hvis der er svaret "Ja" i enten 9.b.1, 9.b.2.1 eller 9.b.2.2.1 skal brugeren ledes til spørgsmål 11</v>
      </c>
      <c r="F2166" s="263" t="s">
        <v>143</v>
      </c>
      <c r="G2166" s="263" t="s">
        <v>1427</v>
      </c>
      <c r="H2166" s="265" t="s">
        <v>1433</v>
      </c>
      <c r="I2166" s="266" t="s">
        <v>555</v>
      </c>
      <c r="J2166" s="266" t="s">
        <v>222</v>
      </c>
      <c r="K2166" s="266" t="s">
        <v>222</v>
      </c>
      <c r="L2166" s="268" t="s">
        <v>3</v>
      </c>
      <c r="M2166" s="269" t="s">
        <v>131</v>
      </c>
      <c r="N2166" s="269" t="s">
        <v>129</v>
      </c>
      <c r="O2166" s="269" t="s">
        <v>96</v>
      </c>
      <c r="P2166" s="269" t="s">
        <v>376</v>
      </c>
      <c r="Q2166" s="269" t="s">
        <v>129</v>
      </c>
      <c r="R2166" s="269" t="s">
        <v>131</v>
      </c>
      <c r="S2166" s="269" t="s">
        <v>131</v>
      </c>
      <c r="T2166" s="269"/>
      <c r="U2166" s="269"/>
      <c r="V2166" s="270" t="s">
        <v>295</v>
      </c>
      <c r="W2166" s="269" t="s">
        <v>166</v>
      </c>
      <c r="X2166" s="269" t="s">
        <v>26</v>
      </c>
      <c r="Y2166" s="269"/>
      <c r="Z2166" s="269" t="s">
        <v>129</v>
      </c>
      <c r="AA2166" s="269"/>
      <c r="AB2166" s="269"/>
      <c r="AC2166" s="269"/>
      <c r="AD2166" s="270" t="s">
        <v>5</v>
      </c>
    </row>
    <row r="2167" spans="1:30" s="271" customFormat="1" ht="33" customHeight="1" x14ac:dyDescent="0.3">
      <c r="A2167" s="167">
        <v>32</v>
      </c>
      <c r="B2167" s="168">
        <v>200</v>
      </c>
      <c r="C2167" s="261" t="str">
        <f t="shared" si="43"/>
        <v>32.200</v>
      </c>
      <c r="D2167" s="262" t="s">
        <v>1264</v>
      </c>
      <c r="E2167" s="64" t="str">
        <f>IF(ISBLANK(D2167)=TRUE,"",VLOOKUP(D2167,Krav!$C:$F,4,FALSE))</f>
        <v>10.a.2.2.21 - Hvis der er svaret "I visse tilfælde" i spørgsmål 9 og hvis der er svaret "Ja" i enten 9.b.1, 9.b.2.1 eller 9.b.2.2.1 skal brugeren ledes til spørgsmål 11</v>
      </c>
      <c r="F2167" s="263" t="s">
        <v>143</v>
      </c>
      <c r="G2167" s="263" t="s">
        <v>1427</v>
      </c>
      <c r="H2167" s="265" t="s">
        <v>1433</v>
      </c>
      <c r="I2167" s="266" t="s">
        <v>555</v>
      </c>
      <c r="J2167" s="266" t="s">
        <v>222</v>
      </c>
      <c r="K2167" s="266" t="s">
        <v>222</v>
      </c>
      <c r="L2167" s="274" t="s">
        <v>3</v>
      </c>
      <c r="M2167" s="269" t="s">
        <v>131</v>
      </c>
      <c r="N2167" s="269" t="s">
        <v>129</v>
      </c>
      <c r="O2167" s="269" t="s">
        <v>96</v>
      </c>
      <c r="P2167" s="269" t="s">
        <v>376</v>
      </c>
      <c r="Q2167" s="269" t="s">
        <v>129</v>
      </c>
      <c r="R2167" s="269" t="s">
        <v>131</v>
      </c>
      <c r="S2167" s="269" t="s">
        <v>131</v>
      </c>
      <c r="T2167" s="269"/>
      <c r="U2167" s="269"/>
      <c r="V2167" s="270" t="s">
        <v>295</v>
      </c>
      <c r="W2167" s="269" t="s">
        <v>166</v>
      </c>
      <c r="X2167" s="269" t="s">
        <v>166</v>
      </c>
      <c r="Y2167" s="269" t="s">
        <v>580</v>
      </c>
      <c r="Z2167" s="269" t="s">
        <v>129</v>
      </c>
      <c r="AA2167" s="269"/>
      <c r="AB2167" s="269"/>
      <c r="AC2167" s="269"/>
      <c r="AD2167" s="270" t="s">
        <v>5</v>
      </c>
    </row>
    <row r="2168" spans="1:30" s="271" customFormat="1" ht="33" customHeight="1" x14ac:dyDescent="0.3">
      <c r="A2168" s="167">
        <v>32</v>
      </c>
      <c r="B2168" s="168">
        <v>201</v>
      </c>
      <c r="C2168" s="261" t="str">
        <f t="shared" si="43"/>
        <v>32.201</v>
      </c>
      <c r="D2168" s="262"/>
      <c r="E2168" s="64" t="str">
        <f>IF(ISBLANK(D2168)=TRUE,"",VLOOKUP(D2168,Krav!$C:$F,4,FALSE))</f>
        <v/>
      </c>
      <c r="F2168" s="263" t="s">
        <v>143</v>
      </c>
      <c r="G2168" s="263" t="s">
        <v>1427</v>
      </c>
      <c r="H2168" s="265" t="s">
        <v>1446</v>
      </c>
      <c r="I2168" s="266" t="s">
        <v>555</v>
      </c>
      <c r="J2168" s="266" t="s">
        <v>222</v>
      </c>
      <c r="K2168" s="266" t="s">
        <v>222</v>
      </c>
      <c r="L2168" s="274" t="s">
        <v>3</v>
      </c>
      <c r="M2168" s="269" t="s">
        <v>131</v>
      </c>
      <c r="N2168" s="269" t="s">
        <v>129</v>
      </c>
      <c r="O2168" s="269" t="s">
        <v>96</v>
      </c>
      <c r="P2168" s="269" t="s">
        <v>376</v>
      </c>
      <c r="Q2168" s="269" t="s">
        <v>129</v>
      </c>
      <c r="R2168" s="269" t="s">
        <v>131</v>
      </c>
      <c r="S2168" s="269" t="s">
        <v>131</v>
      </c>
      <c r="T2168" s="269"/>
      <c r="U2168" s="269"/>
      <c r="V2168" s="269" t="s">
        <v>294</v>
      </c>
      <c r="W2168" s="269"/>
      <c r="X2168" s="269"/>
      <c r="Y2168" s="269"/>
      <c r="Z2168" s="269" t="s">
        <v>129</v>
      </c>
      <c r="AA2168" s="269"/>
      <c r="AB2168" s="269"/>
      <c r="AC2168" s="269"/>
      <c r="AD2168" s="270" t="s">
        <v>5</v>
      </c>
    </row>
    <row r="2169" spans="1:30" s="271" customFormat="1" ht="33" customHeight="1" x14ac:dyDescent="0.3">
      <c r="A2169" s="167">
        <v>32</v>
      </c>
      <c r="B2169" s="168">
        <v>202</v>
      </c>
      <c r="C2169" s="261" t="str">
        <f t="shared" si="43"/>
        <v>32.202</v>
      </c>
      <c r="D2169" s="262" t="s">
        <v>1264</v>
      </c>
      <c r="E2169" s="64" t="str">
        <f>IF(ISBLANK(D2169)=TRUE,"",VLOOKUP(D2169,Krav!$C:$F,4,FALSE))</f>
        <v>10.a.2.2.21 - Hvis der er svaret "I visse tilfælde" i spørgsmål 9 og hvis der er svaret "Ja" i enten 9.b.1, 9.b.2.1 eller 9.b.2.2.1 skal brugeren ledes til spørgsmål 11</v>
      </c>
      <c r="F2169" s="263" t="s">
        <v>143</v>
      </c>
      <c r="G2169" s="263" t="s">
        <v>1427</v>
      </c>
      <c r="H2169" s="265" t="s">
        <v>1433</v>
      </c>
      <c r="I2169" s="266" t="s">
        <v>560</v>
      </c>
      <c r="J2169" s="266" t="s">
        <v>222</v>
      </c>
      <c r="K2169" s="266" t="s">
        <v>222</v>
      </c>
      <c r="L2169" s="268" t="s">
        <v>3</v>
      </c>
      <c r="M2169" s="269" t="s">
        <v>131</v>
      </c>
      <c r="N2169" s="269" t="s">
        <v>129</v>
      </c>
      <c r="O2169" s="269" t="s">
        <v>96</v>
      </c>
      <c r="P2169" s="269" t="s">
        <v>376</v>
      </c>
      <c r="Q2169" s="269" t="s">
        <v>129</v>
      </c>
      <c r="R2169" s="269" t="s">
        <v>131</v>
      </c>
      <c r="S2169" s="269" t="s">
        <v>131</v>
      </c>
      <c r="T2169" s="269"/>
      <c r="U2169" s="269"/>
      <c r="V2169" s="270" t="s">
        <v>295</v>
      </c>
      <c r="W2169" s="269" t="s">
        <v>26</v>
      </c>
      <c r="X2169" s="269"/>
      <c r="Y2169" s="269"/>
      <c r="Z2169" s="269"/>
      <c r="AA2169" s="269" t="s">
        <v>129</v>
      </c>
      <c r="AB2169" s="269"/>
      <c r="AC2169" s="269"/>
      <c r="AD2169" s="270" t="s">
        <v>5</v>
      </c>
    </row>
    <row r="2170" spans="1:30" s="271" customFormat="1" ht="33" customHeight="1" x14ac:dyDescent="0.3">
      <c r="A2170" s="167">
        <v>32</v>
      </c>
      <c r="B2170" s="168">
        <v>203</v>
      </c>
      <c r="C2170" s="261" t="str">
        <f t="shared" si="43"/>
        <v>32.203</v>
      </c>
      <c r="D2170" s="262" t="s">
        <v>1264</v>
      </c>
      <c r="E2170" s="64" t="str">
        <f>IF(ISBLANK(D2170)=TRUE,"",VLOOKUP(D2170,Krav!$C:$F,4,FALSE))</f>
        <v>10.a.2.2.21 - Hvis der er svaret "I visse tilfælde" i spørgsmål 9 og hvis der er svaret "Ja" i enten 9.b.1, 9.b.2.1 eller 9.b.2.2.1 skal brugeren ledes til spørgsmål 11</v>
      </c>
      <c r="F2170" s="263" t="s">
        <v>143</v>
      </c>
      <c r="G2170" s="263" t="s">
        <v>1427</v>
      </c>
      <c r="H2170" s="265" t="s">
        <v>1433</v>
      </c>
      <c r="I2170" s="266" t="s">
        <v>560</v>
      </c>
      <c r="J2170" s="266" t="s">
        <v>222</v>
      </c>
      <c r="K2170" s="266" t="s">
        <v>222</v>
      </c>
      <c r="L2170" s="268" t="s">
        <v>3</v>
      </c>
      <c r="M2170" s="269" t="s">
        <v>131</v>
      </c>
      <c r="N2170" s="269" t="s">
        <v>129</v>
      </c>
      <c r="O2170" s="269" t="s">
        <v>96</v>
      </c>
      <c r="P2170" s="269" t="s">
        <v>376</v>
      </c>
      <c r="Q2170" s="269" t="s">
        <v>129</v>
      </c>
      <c r="R2170" s="269" t="s">
        <v>131</v>
      </c>
      <c r="S2170" s="269" t="s">
        <v>131</v>
      </c>
      <c r="T2170" s="269"/>
      <c r="U2170" s="269"/>
      <c r="V2170" s="270" t="s">
        <v>295</v>
      </c>
      <c r="W2170" s="269" t="s">
        <v>166</v>
      </c>
      <c r="X2170" s="269" t="s">
        <v>26</v>
      </c>
      <c r="Y2170" s="269"/>
      <c r="Z2170" s="269"/>
      <c r="AA2170" s="269" t="s">
        <v>129</v>
      </c>
      <c r="AB2170" s="269"/>
      <c r="AC2170" s="269"/>
      <c r="AD2170" s="270" t="s">
        <v>5</v>
      </c>
    </row>
    <row r="2171" spans="1:30" s="271" customFormat="1" ht="33" customHeight="1" x14ac:dyDescent="0.3">
      <c r="A2171" s="167">
        <v>32</v>
      </c>
      <c r="B2171" s="168">
        <v>204</v>
      </c>
      <c r="C2171" s="261" t="str">
        <f t="shared" si="43"/>
        <v>32.204</v>
      </c>
      <c r="D2171" s="262" t="s">
        <v>1264</v>
      </c>
      <c r="E2171" s="64" t="str">
        <f>IF(ISBLANK(D2171)=TRUE,"",VLOOKUP(D2171,Krav!$C:$F,4,FALSE))</f>
        <v>10.a.2.2.21 - Hvis der er svaret "I visse tilfælde" i spørgsmål 9 og hvis der er svaret "Ja" i enten 9.b.1, 9.b.2.1 eller 9.b.2.2.1 skal brugeren ledes til spørgsmål 11</v>
      </c>
      <c r="F2171" s="263" t="s">
        <v>143</v>
      </c>
      <c r="G2171" s="263" t="s">
        <v>1427</v>
      </c>
      <c r="H2171" s="265" t="s">
        <v>1433</v>
      </c>
      <c r="I2171" s="266" t="s">
        <v>560</v>
      </c>
      <c r="J2171" s="266" t="s">
        <v>222</v>
      </c>
      <c r="K2171" s="266" t="s">
        <v>222</v>
      </c>
      <c r="L2171" s="274" t="s">
        <v>3</v>
      </c>
      <c r="M2171" s="269" t="s">
        <v>131</v>
      </c>
      <c r="N2171" s="269" t="s">
        <v>129</v>
      </c>
      <c r="O2171" s="269" t="s">
        <v>96</v>
      </c>
      <c r="P2171" s="269" t="s">
        <v>376</v>
      </c>
      <c r="Q2171" s="269" t="s">
        <v>129</v>
      </c>
      <c r="R2171" s="269" t="s">
        <v>131</v>
      </c>
      <c r="S2171" s="269" t="s">
        <v>131</v>
      </c>
      <c r="T2171" s="269"/>
      <c r="U2171" s="269"/>
      <c r="V2171" s="270" t="s">
        <v>295</v>
      </c>
      <c r="W2171" s="269" t="s">
        <v>166</v>
      </c>
      <c r="X2171" s="269" t="s">
        <v>166</v>
      </c>
      <c r="Y2171" s="269" t="s">
        <v>580</v>
      </c>
      <c r="Z2171" s="269"/>
      <c r="AA2171" s="269" t="s">
        <v>129</v>
      </c>
      <c r="AB2171" s="269"/>
      <c r="AC2171" s="269"/>
      <c r="AD2171" s="270" t="s">
        <v>5</v>
      </c>
    </row>
    <row r="2172" spans="1:30" s="271" customFormat="1" ht="33" customHeight="1" x14ac:dyDescent="0.3">
      <c r="A2172" s="167">
        <v>32</v>
      </c>
      <c r="B2172" s="168">
        <v>205</v>
      </c>
      <c r="C2172" s="261" t="str">
        <f t="shared" si="43"/>
        <v>32.205</v>
      </c>
      <c r="D2172" s="262"/>
      <c r="E2172" s="64" t="str">
        <f>IF(ISBLANK(D2172)=TRUE,"",VLOOKUP(D2172,Krav!$C:$F,4,FALSE))</f>
        <v/>
      </c>
      <c r="F2172" s="263" t="s">
        <v>143</v>
      </c>
      <c r="G2172" s="263" t="s">
        <v>1427</v>
      </c>
      <c r="H2172" s="265" t="s">
        <v>1446</v>
      </c>
      <c r="I2172" s="266" t="s">
        <v>560</v>
      </c>
      <c r="J2172" s="266" t="s">
        <v>222</v>
      </c>
      <c r="K2172" s="266" t="s">
        <v>222</v>
      </c>
      <c r="L2172" s="274" t="s">
        <v>3</v>
      </c>
      <c r="M2172" s="269" t="s">
        <v>131</v>
      </c>
      <c r="N2172" s="269" t="s">
        <v>129</v>
      </c>
      <c r="O2172" s="269" t="s">
        <v>96</v>
      </c>
      <c r="P2172" s="269" t="s">
        <v>376</v>
      </c>
      <c r="Q2172" s="269" t="s">
        <v>129</v>
      </c>
      <c r="R2172" s="269" t="s">
        <v>131</v>
      </c>
      <c r="S2172" s="269" t="s">
        <v>131</v>
      </c>
      <c r="T2172" s="269"/>
      <c r="U2172" s="269"/>
      <c r="V2172" s="269" t="s">
        <v>294</v>
      </c>
      <c r="W2172" s="269"/>
      <c r="X2172" s="269"/>
      <c r="Y2172" s="269"/>
      <c r="Z2172" s="269"/>
      <c r="AA2172" s="269" t="s">
        <v>129</v>
      </c>
      <c r="AB2172" s="269"/>
      <c r="AC2172" s="269"/>
      <c r="AD2172" s="270" t="s">
        <v>5</v>
      </c>
    </row>
    <row r="2173" spans="1:30" s="271" customFormat="1" ht="33" customHeight="1" x14ac:dyDescent="0.3">
      <c r="A2173" s="167">
        <v>32</v>
      </c>
      <c r="B2173" s="168">
        <v>206</v>
      </c>
      <c r="C2173" s="261" t="str">
        <f t="shared" si="43"/>
        <v>32.206</v>
      </c>
      <c r="D2173" s="262" t="s">
        <v>1264</v>
      </c>
      <c r="E2173" s="64" t="str">
        <f>IF(ISBLANK(D2173)=TRUE,"",VLOOKUP(D2173,Krav!$C:$F,4,FALSE))</f>
        <v>10.a.2.2.21 - Hvis der er svaret "I visse tilfælde" i spørgsmål 9 og hvis der er svaret "Ja" i enten 9.b.1, 9.b.2.1 eller 9.b.2.2.1 skal brugeren ledes til spørgsmål 11</v>
      </c>
      <c r="F2173" s="263" t="s">
        <v>143</v>
      </c>
      <c r="G2173" s="263" t="s">
        <v>1427</v>
      </c>
      <c r="H2173" s="265" t="s">
        <v>1433</v>
      </c>
      <c r="I2173" s="266" t="s">
        <v>565</v>
      </c>
      <c r="J2173" s="266" t="s">
        <v>222</v>
      </c>
      <c r="K2173" s="266" t="s">
        <v>222</v>
      </c>
      <c r="L2173" s="268" t="s">
        <v>3</v>
      </c>
      <c r="M2173" s="269" t="s">
        <v>131</v>
      </c>
      <c r="N2173" s="269" t="s">
        <v>129</v>
      </c>
      <c r="O2173" s="269" t="s">
        <v>96</v>
      </c>
      <c r="P2173" s="269" t="s">
        <v>376</v>
      </c>
      <c r="Q2173" s="269" t="s">
        <v>129</v>
      </c>
      <c r="R2173" s="269" t="s">
        <v>131</v>
      </c>
      <c r="S2173" s="269" t="s">
        <v>131</v>
      </c>
      <c r="T2173" s="269"/>
      <c r="U2173" s="269"/>
      <c r="V2173" s="270" t="s">
        <v>295</v>
      </c>
      <c r="W2173" s="269" t="s">
        <v>26</v>
      </c>
      <c r="X2173" s="269"/>
      <c r="Y2173" s="269"/>
      <c r="Z2173" s="269"/>
      <c r="AA2173" s="269"/>
      <c r="AB2173" s="269" t="s">
        <v>129</v>
      </c>
      <c r="AC2173" s="269"/>
      <c r="AD2173" s="270" t="s">
        <v>5</v>
      </c>
    </row>
    <row r="2174" spans="1:30" s="271" customFormat="1" ht="33" customHeight="1" x14ac:dyDescent="0.3">
      <c r="A2174" s="167">
        <v>32</v>
      </c>
      <c r="B2174" s="168">
        <v>207</v>
      </c>
      <c r="C2174" s="261" t="str">
        <f t="shared" si="43"/>
        <v>32.207</v>
      </c>
      <c r="D2174" s="262" t="s">
        <v>1264</v>
      </c>
      <c r="E2174" s="64" t="str">
        <f>IF(ISBLANK(D2174)=TRUE,"",VLOOKUP(D2174,Krav!$C:$F,4,FALSE))</f>
        <v>10.a.2.2.21 - Hvis der er svaret "I visse tilfælde" i spørgsmål 9 og hvis der er svaret "Ja" i enten 9.b.1, 9.b.2.1 eller 9.b.2.2.1 skal brugeren ledes til spørgsmål 11</v>
      </c>
      <c r="F2174" s="263" t="s">
        <v>143</v>
      </c>
      <c r="G2174" s="263" t="s">
        <v>1427</v>
      </c>
      <c r="H2174" s="265" t="s">
        <v>1433</v>
      </c>
      <c r="I2174" s="266" t="s">
        <v>565</v>
      </c>
      <c r="J2174" s="266" t="s">
        <v>222</v>
      </c>
      <c r="K2174" s="266" t="s">
        <v>222</v>
      </c>
      <c r="L2174" s="268" t="s">
        <v>3</v>
      </c>
      <c r="M2174" s="269" t="s">
        <v>131</v>
      </c>
      <c r="N2174" s="269" t="s">
        <v>129</v>
      </c>
      <c r="O2174" s="269" t="s">
        <v>96</v>
      </c>
      <c r="P2174" s="269" t="s">
        <v>376</v>
      </c>
      <c r="Q2174" s="269" t="s">
        <v>129</v>
      </c>
      <c r="R2174" s="269" t="s">
        <v>131</v>
      </c>
      <c r="S2174" s="269" t="s">
        <v>131</v>
      </c>
      <c r="T2174" s="269"/>
      <c r="U2174" s="269"/>
      <c r="V2174" s="270" t="s">
        <v>295</v>
      </c>
      <c r="W2174" s="269" t="s">
        <v>166</v>
      </c>
      <c r="X2174" s="269" t="s">
        <v>26</v>
      </c>
      <c r="Y2174" s="269"/>
      <c r="Z2174" s="269"/>
      <c r="AA2174" s="269"/>
      <c r="AB2174" s="269" t="s">
        <v>129</v>
      </c>
      <c r="AC2174" s="269"/>
      <c r="AD2174" s="270" t="s">
        <v>5</v>
      </c>
    </row>
    <row r="2175" spans="1:30" s="271" customFormat="1" ht="33" customHeight="1" x14ac:dyDescent="0.3">
      <c r="A2175" s="167">
        <v>32</v>
      </c>
      <c r="B2175" s="168">
        <v>208</v>
      </c>
      <c r="C2175" s="261" t="str">
        <f t="shared" si="43"/>
        <v>32.208</v>
      </c>
      <c r="D2175" s="262" t="s">
        <v>1264</v>
      </c>
      <c r="E2175" s="64" t="str">
        <f>IF(ISBLANK(D2175)=TRUE,"",VLOOKUP(D2175,Krav!$C:$F,4,FALSE))</f>
        <v>10.a.2.2.21 - Hvis der er svaret "I visse tilfælde" i spørgsmål 9 og hvis der er svaret "Ja" i enten 9.b.1, 9.b.2.1 eller 9.b.2.2.1 skal brugeren ledes til spørgsmål 11</v>
      </c>
      <c r="F2175" s="263" t="s">
        <v>143</v>
      </c>
      <c r="G2175" s="263" t="s">
        <v>1427</v>
      </c>
      <c r="H2175" s="265" t="s">
        <v>1433</v>
      </c>
      <c r="I2175" s="266" t="s">
        <v>565</v>
      </c>
      <c r="J2175" s="266" t="s">
        <v>222</v>
      </c>
      <c r="K2175" s="266" t="s">
        <v>222</v>
      </c>
      <c r="L2175" s="274" t="s">
        <v>3</v>
      </c>
      <c r="M2175" s="269" t="s">
        <v>131</v>
      </c>
      <c r="N2175" s="269" t="s">
        <v>129</v>
      </c>
      <c r="O2175" s="269" t="s">
        <v>96</v>
      </c>
      <c r="P2175" s="269" t="s">
        <v>376</v>
      </c>
      <c r="Q2175" s="269" t="s">
        <v>129</v>
      </c>
      <c r="R2175" s="269" t="s">
        <v>131</v>
      </c>
      <c r="S2175" s="269" t="s">
        <v>131</v>
      </c>
      <c r="T2175" s="269"/>
      <c r="U2175" s="269"/>
      <c r="V2175" s="270" t="s">
        <v>295</v>
      </c>
      <c r="W2175" s="269" t="s">
        <v>166</v>
      </c>
      <c r="X2175" s="269" t="s">
        <v>166</v>
      </c>
      <c r="Y2175" s="269" t="s">
        <v>580</v>
      </c>
      <c r="Z2175" s="269"/>
      <c r="AA2175" s="269"/>
      <c r="AB2175" s="269" t="s">
        <v>129</v>
      </c>
      <c r="AC2175" s="269"/>
      <c r="AD2175" s="270" t="s">
        <v>5</v>
      </c>
    </row>
    <row r="2176" spans="1:30" s="271" customFormat="1" ht="33" customHeight="1" x14ac:dyDescent="0.3">
      <c r="A2176" s="167">
        <v>32</v>
      </c>
      <c r="B2176" s="168">
        <v>209</v>
      </c>
      <c r="C2176" s="261" t="str">
        <f t="shared" si="43"/>
        <v>32.209</v>
      </c>
      <c r="D2176" s="262"/>
      <c r="E2176" s="64" t="str">
        <f>IF(ISBLANK(D2176)=TRUE,"",VLOOKUP(D2176,Krav!$C:$F,4,FALSE))</f>
        <v/>
      </c>
      <c r="F2176" s="263" t="s">
        <v>143</v>
      </c>
      <c r="G2176" s="263" t="s">
        <v>1427</v>
      </c>
      <c r="H2176" s="265" t="s">
        <v>1446</v>
      </c>
      <c r="I2176" s="266" t="s">
        <v>565</v>
      </c>
      <c r="J2176" s="266" t="s">
        <v>222</v>
      </c>
      <c r="K2176" s="266" t="s">
        <v>222</v>
      </c>
      <c r="L2176" s="274" t="s">
        <v>3</v>
      </c>
      <c r="M2176" s="269" t="s">
        <v>131</v>
      </c>
      <c r="N2176" s="269" t="s">
        <v>129</v>
      </c>
      <c r="O2176" s="269" t="s">
        <v>96</v>
      </c>
      <c r="P2176" s="269" t="s">
        <v>376</v>
      </c>
      <c r="Q2176" s="269" t="s">
        <v>129</v>
      </c>
      <c r="R2176" s="269" t="s">
        <v>131</v>
      </c>
      <c r="S2176" s="269" t="s">
        <v>131</v>
      </c>
      <c r="T2176" s="269"/>
      <c r="U2176" s="269"/>
      <c r="V2176" s="269" t="s">
        <v>294</v>
      </c>
      <c r="W2176" s="269"/>
      <c r="X2176" s="269"/>
      <c r="Y2176" s="269"/>
      <c r="Z2176" s="269"/>
      <c r="AA2176" s="269"/>
      <c r="AB2176" s="269" t="s">
        <v>129</v>
      </c>
      <c r="AC2176" s="269"/>
      <c r="AD2176" s="270" t="s">
        <v>5</v>
      </c>
    </row>
    <row r="2177" spans="1:38" s="182" customFormat="1" ht="33" customHeight="1" x14ac:dyDescent="0.3">
      <c r="A2177" s="167">
        <v>32</v>
      </c>
      <c r="B2177" s="168">
        <v>210</v>
      </c>
      <c r="C2177" s="278" t="str">
        <f t="shared" si="43"/>
        <v>32.210</v>
      </c>
      <c r="D2177" s="279"/>
      <c r="E2177" s="64" t="str">
        <f>IF(ISBLANK(D2177)=TRUE,"",VLOOKUP(D2177,Krav!$C:$F,4,FALSE))</f>
        <v/>
      </c>
      <c r="F2177" s="281" t="s">
        <v>224</v>
      </c>
      <c r="G2177" s="282" t="s">
        <v>230</v>
      </c>
      <c r="H2177" s="283" t="s">
        <v>1448</v>
      </c>
      <c r="I2177" s="284" t="s">
        <v>129</v>
      </c>
      <c r="J2177" s="285" t="s">
        <v>222</v>
      </c>
      <c r="K2177" s="286" t="s">
        <v>222</v>
      </c>
      <c r="L2177" s="287" t="s">
        <v>3</v>
      </c>
      <c r="M2177" s="288" t="s">
        <v>129</v>
      </c>
      <c r="N2177" s="288"/>
      <c r="O2177" s="288"/>
      <c r="P2177" s="288"/>
      <c r="Q2177" s="288"/>
      <c r="R2177" s="288"/>
      <c r="S2177" s="288"/>
      <c r="T2177" s="288"/>
      <c r="U2177" s="288"/>
      <c r="V2177" s="288"/>
      <c r="W2177" s="288"/>
      <c r="X2177" s="288"/>
      <c r="Y2177" s="288"/>
      <c r="Z2177" s="288"/>
      <c r="AA2177" s="288"/>
      <c r="AB2177" s="288"/>
      <c r="AC2177" s="288"/>
      <c r="AD2177" s="289" t="s">
        <v>5</v>
      </c>
    </row>
    <row r="2178" spans="1:38" s="182" customFormat="1" ht="33" customHeight="1" x14ac:dyDescent="0.3">
      <c r="A2178" s="167">
        <v>32</v>
      </c>
      <c r="B2178" s="168">
        <v>211</v>
      </c>
      <c r="C2178" s="278" t="str">
        <f t="shared" si="43"/>
        <v>32.211</v>
      </c>
      <c r="D2178" s="279"/>
      <c r="E2178" s="64" t="str">
        <f>IF(ISBLANK(D2178)=TRUE,"",VLOOKUP(D2178,Krav!$C:$F,4,FALSE))</f>
        <v/>
      </c>
      <c r="F2178" s="281" t="s">
        <v>224</v>
      </c>
      <c r="G2178" s="282" t="s">
        <v>230</v>
      </c>
      <c r="H2178" s="280" t="s">
        <v>1449</v>
      </c>
      <c r="I2178" s="290" t="s">
        <v>131</v>
      </c>
      <c r="J2178" s="286" t="s">
        <v>222</v>
      </c>
      <c r="K2178" s="286" t="s">
        <v>222</v>
      </c>
      <c r="L2178" s="287" t="s">
        <v>3</v>
      </c>
      <c r="M2178" s="288"/>
      <c r="N2178" s="288"/>
      <c r="O2178" s="288"/>
      <c r="P2178" s="288"/>
      <c r="Q2178" s="288"/>
      <c r="R2178" s="288"/>
      <c r="S2178" s="288"/>
      <c r="T2178" s="288"/>
      <c r="U2178" s="288"/>
      <c r="V2178" s="288"/>
      <c r="W2178" s="288"/>
      <c r="X2178" s="288"/>
      <c r="Y2178" s="288"/>
      <c r="Z2178" s="288"/>
      <c r="AA2178" s="288"/>
      <c r="AB2178" s="288"/>
      <c r="AC2178" s="288"/>
      <c r="AD2178" s="289" t="s">
        <v>5</v>
      </c>
    </row>
    <row r="2179" spans="1:38" s="182" customFormat="1" ht="33" customHeight="1" x14ac:dyDescent="0.3">
      <c r="A2179" s="167">
        <v>32</v>
      </c>
      <c r="B2179" s="168">
        <v>212</v>
      </c>
      <c r="C2179" s="278" t="str">
        <f t="shared" si="43"/>
        <v>32.212</v>
      </c>
      <c r="D2179" s="279"/>
      <c r="E2179" s="64" t="str">
        <f>IF(ISBLANK(D2179)=TRUE,"",VLOOKUP(D2179,Krav!$C:$F,4,FALSE))</f>
        <v/>
      </c>
      <c r="F2179" s="281" t="s">
        <v>224</v>
      </c>
      <c r="G2179" s="282" t="s">
        <v>231</v>
      </c>
      <c r="H2179" s="283" t="s">
        <v>1450</v>
      </c>
      <c r="I2179" s="284" t="s">
        <v>129</v>
      </c>
      <c r="J2179" s="285" t="s">
        <v>222</v>
      </c>
      <c r="K2179" s="286" t="s">
        <v>222</v>
      </c>
      <c r="L2179" s="291" t="s">
        <v>3</v>
      </c>
      <c r="M2179" s="288"/>
      <c r="N2179" s="288" t="s">
        <v>129</v>
      </c>
      <c r="O2179" s="288"/>
      <c r="P2179" s="288"/>
      <c r="Q2179" s="288"/>
      <c r="R2179" s="288"/>
      <c r="S2179" s="288"/>
      <c r="T2179" s="288"/>
      <c r="U2179" s="288"/>
      <c r="V2179" s="288"/>
      <c r="W2179" s="288"/>
      <c r="X2179" s="288"/>
      <c r="Y2179" s="288"/>
      <c r="Z2179" s="288"/>
      <c r="AA2179" s="288"/>
      <c r="AB2179" s="288"/>
      <c r="AC2179" s="288"/>
      <c r="AD2179" s="289" t="s">
        <v>5</v>
      </c>
    </row>
    <row r="2180" spans="1:38" s="182" customFormat="1" ht="33" customHeight="1" x14ac:dyDescent="0.3">
      <c r="A2180" s="167">
        <v>32</v>
      </c>
      <c r="B2180" s="168">
        <v>213</v>
      </c>
      <c r="C2180" s="278" t="str">
        <f t="shared" si="43"/>
        <v>32.213</v>
      </c>
      <c r="D2180" s="279"/>
      <c r="E2180" s="64" t="str">
        <f>IF(ISBLANK(D2180)=TRUE,"",VLOOKUP(D2180,Krav!$C:$F,4,FALSE))</f>
        <v/>
      </c>
      <c r="F2180" s="281" t="s">
        <v>224</v>
      </c>
      <c r="G2180" s="282" t="s">
        <v>231</v>
      </c>
      <c r="H2180" s="280" t="s">
        <v>350</v>
      </c>
      <c r="I2180" s="290" t="s">
        <v>131</v>
      </c>
      <c r="J2180" s="286" t="s">
        <v>222</v>
      </c>
      <c r="K2180" s="286" t="s">
        <v>222</v>
      </c>
      <c r="L2180" s="291" t="s">
        <v>3</v>
      </c>
      <c r="M2180" s="288"/>
      <c r="N2180" s="288"/>
      <c r="O2180" s="288"/>
      <c r="P2180" s="288"/>
      <c r="Q2180" s="288"/>
      <c r="R2180" s="288"/>
      <c r="S2180" s="288"/>
      <c r="T2180" s="288"/>
      <c r="U2180" s="288"/>
      <c r="V2180" s="288"/>
      <c r="W2180" s="288"/>
      <c r="X2180" s="288"/>
      <c r="Y2180" s="288"/>
      <c r="Z2180" s="288"/>
      <c r="AA2180" s="288"/>
      <c r="AB2180" s="288"/>
      <c r="AC2180" s="288"/>
      <c r="AD2180" s="289" t="s">
        <v>5</v>
      </c>
    </row>
    <row r="2181" spans="1:38" s="182" customFormat="1" ht="33" customHeight="1" x14ac:dyDescent="0.3">
      <c r="A2181" s="167">
        <v>32</v>
      </c>
      <c r="B2181" s="168">
        <v>214</v>
      </c>
      <c r="C2181" s="278" t="str">
        <f t="shared" si="43"/>
        <v>32.214</v>
      </c>
      <c r="D2181" s="279"/>
      <c r="E2181" s="64" t="str">
        <f>IF(ISBLANK(D2181)=TRUE,"",VLOOKUP(D2181,Krav!$C:$F,4,FALSE))</f>
        <v/>
      </c>
      <c r="F2181" s="281" t="s">
        <v>224</v>
      </c>
      <c r="G2181" s="282" t="s">
        <v>1388</v>
      </c>
      <c r="H2181" s="283" t="s">
        <v>1451</v>
      </c>
      <c r="I2181" s="284" t="s">
        <v>376</v>
      </c>
      <c r="J2181" s="285" t="s">
        <v>222</v>
      </c>
      <c r="K2181" s="286" t="s">
        <v>222</v>
      </c>
      <c r="L2181" s="287" t="s">
        <v>3</v>
      </c>
      <c r="M2181" s="288"/>
      <c r="N2181" s="288"/>
      <c r="O2181" s="288" t="s">
        <v>376</v>
      </c>
      <c r="P2181" s="288"/>
      <c r="Q2181" s="288"/>
      <c r="R2181" s="288"/>
      <c r="S2181" s="288"/>
      <c r="T2181" s="288"/>
      <c r="U2181" s="288"/>
      <c r="V2181" s="288"/>
      <c r="W2181" s="288"/>
      <c r="X2181" s="288"/>
      <c r="Y2181" s="288"/>
      <c r="Z2181" s="288"/>
      <c r="AA2181" s="288"/>
      <c r="AB2181" s="288"/>
      <c r="AC2181" s="288"/>
      <c r="AD2181" s="289" t="s">
        <v>5</v>
      </c>
    </row>
    <row r="2182" spans="1:38" s="182" customFormat="1" ht="33" customHeight="1" x14ac:dyDescent="0.3">
      <c r="A2182" s="167">
        <v>32</v>
      </c>
      <c r="B2182" s="168">
        <v>215</v>
      </c>
      <c r="C2182" s="278" t="str">
        <f t="shared" si="43"/>
        <v>32.215</v>
      </c>
      <c r="D2182" s="279"/>
      <c r="E2182" s="64" t="str">
        <f>IF(ISBLANK(D2182)=TRUE,"",VLOOKUP(D2182,Krav!$C:$F,4,FALSE))</f>
        <v/>
      </c>
      <c r="F2182" s="281" t="s">
        <v>224</v>
      </c>
      <c r="G2182" s="282" t="s">
        <v>1388</v>
      </c>
      <c r="H2182" s="292" t="s">
        <v>1449</v>
      </c>
      <c r="I2182" s="286" t="s">
        <v>469</v>
      </c>
      <c r="J2182" s="286" t="s">
        <v>222</v>
      </c>
      <c r="K2182" s="286" t="s">
        <v>222</v>
      </c>
      <c r="L2182" s="287" t="s">
        <v>3</v>
      </c>
      <c r="M2182" s="288"/>
      <c r="N2182" s="288"/>
      <c r="O2182" s="288"/>
      <c r="P2182" s="288"/>
      <c r="Q2182" s="288"/>
      <c r="R2182" s="288"/>
      <c r="S2182" s="288"/>
      <c r="T2182" s="288"/>
      <c r="U2182" s="288"/>
      <c r="V2182" s="288"/>
      <c r="W2182" s="288"/>
      <c r="X2182" s="288"/>
      <c r="Y2182" s="288"/>
      <c r="Z2182" s="288"/>
      <c r="AA2182" s="288"/>
      <c r="AB2182" s="288"/>
      <c r="AC2182" s="288"/>
      <c r="AD2182" s="289" t="s">
        <v>5</v>
      </c>
    </row>
    <row r="2183" spans="1:38" s="295" customFormat="1" ht="33" customHeight="1" x14ac:dyDescent="0.3">
      <c r="A2183" s="167">
        <v>32</v>
      </c>
      <c r="B2183" s="168">
        <v>216</v>
      </c>
      <c r="C2183" s="278" t="str">
        <f t="shared" si="43"/>
        <v>32.216</v>
      </c>
      <c r="D2183" s="279"/>
      <c r="E2183" s="64" t="str">
        <f>IF(ISBLANK(D2183)=TRUE,"",VLOOKUP(D2183,Krav!$C:$F,4,FALSE))</f>
        <v/>
      </c>
      <c r="F2183" s="281" t="s">
        <v>224</v>
      </c>
      <c r="G2183" s="282" t="s">
        <v>1389</v>
      </c>
      <c r="H2183" s="283" t="s">
        <v>1452</v>
      </c>
      <c r="I2183" s="284" t="s">
        <v>376</v>
      </c>
      <c r="J2183" s="293" t="s">
        <v>222</v>
      </c>
      <c r="K2183" s="294" t="s">
        <v>222</v>
      </c>
      <c r="L2183" s="291" t="s">
        <v>3</v>
      </c>
      <c r="M2183" s="288"/>
      <c r="N2183" s="288"/>
      <c r="O2183" s="288"/>
      <c r="P2183" s="288" t="s">
        <v>376</v>
      </c>
      <c r="Q2183" s="288"/>
      <c r="R2183" s="288"/>
      <c r="S2183" s="288"/>
      <c r="T2183" s="288"/>
      <c r="U2183" s="288"/>
      <c r="V2183" s="288"/>
      <c r="W2183" s="288"/>
      <c r="X2183" s="288"/>
      <c r="Y2183" s="288"/>
      <c r="Z2183" s="288"/>
      <c r="AA2183" s="288"/>
      <c r="AB2183" s="288"/>
      <c r="AC2183" s="288"/>
      <c r="AD2183" s="289" t="s">
        <v>5</v>
      </c>
      <c r="AE2183" s="182"/>
      <c r="AF2183" s="182"/>
      <c r="AG2183" s="182"/>
      <c r="AH2183" s="182"/>
      <c r="AI2183" s="182"/>
      <c r="AJ2183" s="182"/>
      <c r="AK2183" s="182"/>
      <c r="AL2183" s="182"/>
    </row>
    <row r="2184" spans="1:38" s="295" customFormat="1" ht="33" customHeight="1" x14ac:dyDescent="0.3">
      <c r="A2184" s="167">
        <v>32</v>
      </c>
      <c r="B2184" s="168">
        <v>217</v>
      </c>
      <c r="C2184" s="278" t="str">
        <f t="shared" si="43"/>
        <v>32.217</v>
      </c>
      <c r="D2184" s="279"/>
      <c r="E2184" s="64" t="str">
        <f>IF(ISBLANK(D2184)=TRUE,"",VLOOKUP(D2184,Krav!$C:$F,4,FALSE))</f>
        <v/>
      </c>
      <c r="F2184" s="281" t="s">
        <v>224</v>
      </c>
      <c r="G2184" s="282" t="s">
        <v>1389</v>
      </c>
      <c r="H2184" s="292" t="s">
        <v>1449</v>
      </c>
      <c r="I2184" s="286" t="s">
        <v>469</v>
      </c>
      <c r="J2184" s="293" t="s">
        <v>222</v>
      </c>
      <c r="K2184" s="294" t="s">
        <v>222</v>
      </c>
      <c r="L2184" s="291" t="s">
        <v>3</v>
      </c>
      <c r="M2184" s="288"/>
      <c r="N2184" s="288"/>
      <c r="O2184" s="288"/>
      <c r="P2184" s="288"/>
      <c r="Q2184" s="288"/>
      <c r="R2184" s="288"/>
      <c r="S2184" s="288"/>
      <c r="T2184" s="288"/>
      <c r="U2184" s="288"/>
      <c r="V2184" s="288"/>
      <c r="W2184" s="288"/>
      <c r="X2184" s="288"/>
      <c r="Y2184" s="288"/>
      <c r="Z2184" s="288"/>
      <c r="AA2184" s="288"/>
      <c r="AB2184" s="288"/>
      <c r="AC2184" s="288"/>
      <c r="AD2184" s="289" t="s">
        <v>5</v>
      </c>
      <c r="AE2184" s="182"/>
      <c r="AF2184" s="182"/>
      <c r="AG2184" s="182"/>
      <c r="AH2184" s="182"/>
      <c r="AI2184" s="182"/>
      <c r="AJ2184" s="182"/>
      <c r="AK2184" s="182"/>
      <c r="AL2184" s="182"/>
    </row>
    <row r="2185" spans="1:38" s="182" customFormat="1" ht="33" customHeight="1" x14ac:dyDescent="0.3">
      <c r="A2185" s="167">
        <v>32</v>
      </c>
      <c r="B2185" s="168">
        <v>218</v>
      </c>
      <c r="C2185" s="278" t="str">
        <f t="shared" si="43"/>
        <v>32.218</v>
      </c>
      <c r="D2185" s="279"/>
      <c r="E2185" s="64" t="str">
        <f>IF(ISBLANK(D2185)=TRUE,"",VLOOKUP(D2185,Krav!$C:$F,4,FALSE))</f>
        <v/>
      </c>
      <c r="F2185" s="281" t="s">
        <v>418</v>
      </c>
      <c r="G2185" s="282" t="s">
        <v>445</v>
      </c>
      <c r="H2185" s="296" t="s">
        <v>451</v>
      </c>
      <c r="I2185" s="286" t="s">
        <v>129</v>
      </c>
      <c r="J2185" s="285" t="s">
        <v>222</v>
      </c>
      <c r="K2185" s="286" t="s">
        <v>222</v>
      </c>
      <c r="L2185" s="291" t="s">
        <v>3</v>
      </c>
      <c r="M2185" s="288" t="s">
        <v>129</v>
      </c>
      <c r="N2185" s="288" t="s">
        <v>131</v>
      </c>
      <c r="O2185" s="288" t="s">
        <v>376</v>
      </c>
      <c r="P2185" s="288" t="s">
        <v>376</v>
      </c>
      <c r="Q2185" s="288" t="s">
        <v>131</v>
      </c>
      <c r="R2185" s="288" t="s">
        <v>131</v>
      </c>
      <c r="S2185" s="288" t="s">
        <v>131</v>
      </c>
      <c r="T2185" s="288"/>
      <c r="U2185" s="288"/>
      <c r="V2185" s="288"/>
      <c r="W2185" s="288"/>
      <c r="X2185" s="288"/>
      <c r="Y2185" s="288"/>
      <c r="Z2185" s="288"/>
      <c r="AA2185" s="288"/>
      <c r="AB2185" s="288"/>
      <c r="AC2185" s="288"/>
      <c r="AD2185" s="289" t="s">
        <v>5</v>
      </c>
    </row>
    <row r="2186" spans="1:38" s="182" customFormat="1" ht="33" customHeight="1" x14ac:dyDescent="0.3">
      <c r="A2186" s="167">
        <v>32</v>
      </c>
      <c r="B2186" s="168">
        <v>219</v>
      </c>
      <c r="C2186" s="278" t="str">
        <f t="shared" si="43"/>
        <v>32.219</v>
      </c>
      <c r="D2186" s="279"/>
      <c r="E2186" s="64" t="str">
        <f>IF(ISBLANK(D2186)=TRUE,"",VLOOKUP(D2186,Krav!$C:$F,4,FALSE))</f>
        <v/>
      </c>
      <c r="F2186" s="281" t="s">
        <v>418</v>
      </c>
      <c r="G2186" s="282" t="s">
        <v>445</v>
      </c>
      <c r="H2186" s="296" t="s">
        <v>451</v>
      </c>
      <c r="I2186" s="286" t="s">
        <v>129</v>
      </c>
      <c r="J2186" s="285" t="s">
        <v>222</v>
      </c>
      <c r="K2186" s="286" t="s">
        <v>222</v>
      </c>
      <c r="L2186" s="291" t="s">
        <v>3</v>
      </c>
      <c r="M2186" s="288" t="s">
        <v>129</v>
      </c>
      <c r="N2186" s="288" t="s">
        <v>131</v>
      </c>
      <c r="O2186" s="288" t="s">
        <v>376</v>
      </c>
      <c r="P2186" s="288" t="s">
        <v>376</v>
      </c>
      <c r="Q2186" s="288" t="s">
        <v>131</v>
      </c>
      <c r="R2186" s="288" t="s">
        <v>131</v>
      </c>
      <c r="S2186" s="288" t="s">
        <v>131</v>
      </c>
      <c r="T2186" s="288"/>
      <c r="U2186" s="288"/>
      <c r="V2186" s="288"/>
      <c r="W2186" s="288"/>
      <c r="X2186" s="288"/>
      <c r="Y2186" s="288"/>
      <c r="Z2186" s="288"/>
      <c r="AA2186" s="288"/>
      <c r="AB2186" s="288"/>
      <c r="AC2186" s="288"/>
      <c r="AD2186" s="289" t="s">
        <v>5</v>
      </c>
    </row>
    <row r="2187" spans="1:38" s="182" customFormat="1" ht="33" customHeight="1" x14ac:dyDescent="0.3">
      <c r="A2187" s="167">
        <v>32</v>
      </c>
      <c r="B2187" s="168">
        <v>220</v>
      </c>
      <c r="C2187" s="278" t="str">
        <f t="shared" si="43"/>
        <v>32.220</v>
      </c>
      <c r="D2187" s="279"/>
      <c r="E2187" s="64" t="str">
        <f>IF(ISBLANK(D2187)=TRUE,"",VLOOKUP(D2187,Krav!$C:$F,4,FALSE))</f>
        <v/>
      </c>
      <c r="F2187" s="281" t="s">
        <v>418</v>
      </c>
      <c r="G2187" s="282" t="s">
        <v>445</v>
      </c>
      <c r="H2187" s="296" t="s">
        <v>451</v>
      </c>
      <c r="I2187" s="286" t="s">
        <v>129</v>
      </c>
      <c r="J2187" s="285" t="s">
        <v>222</v>
      </c>
      <c r="K2187" s="286" t="s">
        <v>222</v>
      </c>
      <c r="L2187" s="291" t="s">
        <v>3</v>
      </c>
      <c r="M2187" s="288" t="s">
        <v>129</v>
      </c>
      <c r="N2187" s="288" t="s">
        <v>131</v>
      </c>
      <c r="O2187" s="288" t="s">
        <v>376</v>
      </c>
      <c r="P2187" s="288" t="s">
        <v>96</v>
      </c>
      <c r="Q2187" s="288" t="s">
        <v>131</v>
      </c>
      <c r="R2187" s="288" t="s">
        <v>131</v>
      </c>
      <c r="S2187" s="288" t="s">
        <v>129</v>
      </c>
      <c r="T2187" s="288"/>
      <c r="U2187" s="288"/>
      <c r="V2187" s="288"/>
      <c r="W2187" s="288"/>
      <c r="X2187" s="288"/>
      <c r="Y2187" s="288"/>
      <c r="Z2187" s="288"/>
      <c r="AA2187" s="288"/>
      <c r="AB2187" s="288"/>
      <c r="AC2187" s="288"/>
      <c r="AD2187" s="289" t="s">
        <v>5</v>
      </c>
    </row>
    <row r="2188" spans="1:38" s="182" customFormat="1" ht="33" customHeight="1" x14ac:dyDescent="0.3">
      <c r="A2188" s="167">
        <v>32</v>
      </c>
      <c r="B2188" s="168">
        <v>221</v>
      </c>
      <c r="C2188" s="278" t="str">
        <f t="shared" si="43"/>
        <v>32.221</v>
      </c>
      <c r="D2188" s="279"/>
      <c r="E2188" s="64" t="str">
        <f>IF(ISBLANK(D2188)=TRUE,"",VLOOKUP(D2188,Krav!$C:$F,4,FALSE))</f>
        <v/>
      </c>
      <c r="F2188" s="281" t="s">
        <v>418</v>
      </c>
      <c r="G2188" s="297" t="s">
        <v>446</v>
      </c>
      <c r="H2188" s="296" t="s">
        <v>451</v>
      </c>
      <c r="I2188" s="286" t="s">
        <v>129</v>
      </c>
      <c r="J2188" s="388" t="s">
        <v>222</v>
      </c>
      <c r="K2188" s="286" t="s">
        <v>222</v>
      </c>
      <c r="L2188" s="291" t="s">
        <v>3</v>
      </c>
      <c r="M2188" s="288" t="s">
        <v>129</v>
      </c>
      <c r="N2188" s="288" t="s">
        <v>131</v>
      </c>
      <c r="O2188" s="288" t="s">
        <v>376</v>
      </c>
      <c r="P2188" s="288" t="s">
        <v>96</v>
      </c>
      <c r="Q2188" s="288" t="s">
        <v>131</v>
      </c>
      <c r="R2188" s="288" t="s">
        <v>129</v>
      </c>
      <c r="S2188" s="288" t="s">
        <v>131</v>
      </c>
      <c r="T2188" s="288"/>
      <c r="U2188" s="288"/>
      <c r="V2188" s="288" t="s">
        <v>294</v>
      </c>
      <c r="W2188" s="288"/>
      <c r="X2188" s="288"/>
      <c r="Y2188" s="288"/>
      <c r="Z2188" s="288"/>
      <c r="AA2188" s="288"/>
      <c r="AB2188" s="288"/>
      <c r="AC2188" s="288"/>
      <c r="AD2188" s="289" t="s">
        <v>5</v>
      </c>
    </row>
    <row r="2189" spans="1:38" s="182" customFormat="1" ht="33" customHeight="1" x14ac:dyDescent="0.3">
      <c r="A2189" s="167">
        <v>32</v>
      </c>
      <c r="B2189" s="168">
        <v>222</v>
      </c>
      <c r="C2189" s="278" t="str">
        <f t="shared" si="43"/>
        <v>32.222</v>
      </c>
      <c r="D2189" s="279"/>
      <c r="E2189" s="64" t="str">
        <f>IF(ISBLANK(D2189)=TRUE,"",VLOOKUP(D2189,Krav!$C:$F,4,FALSE))</f>
        <v/>
      </c>
      <c r="F2189" s="281" t="s">
        <v>418</v>
      </c>
      <c r="G2189" s="282" t="s">
        <v>446</v>
      </c>
      <c r="H2189" s="296" t="s">
        <v>451</v>
      </c>
      <c r="I2189" s="286" t="s">
        <v>129</v>
      </c>
      <c r="J2189" s="285" t="s">
        <v>222</v>
      </c>
      <c r="K2189" s="286" t="s">
        <v>222</v>
      </c>
      <c r="L2189" s="291" t="s">
        <v>3</v>
      </c>
      <c r="M2189" s="288" t="s">
        <v>129</v>
      </c>
      <c r="N2189" s="288" t="s">
        <v>131</v>
      </c>
      <c r="O2189" s="288" t="s">
        <v>376</v>
      </c>
      <c r="P2189" s="288" t="s">
        <v>96</v>
      </c>
      <c r="Q2189" s="288" t="s">
        <v>131</v>
      </c>
      <c r="R2189" s="288" t="s">
        <v>129</v>
      </c>
      <c r="S2189" s="288" t="s">
        <v>131</v>
      </c>
      <c r="T2189" s="288"/>
      <c r="U2189" s="288"/>
      <c r="V2189" s="289" t="s">
        <v>295</v>
      </c>
      <c r="W2189" s="288" t="s">
        <v>26</v>
      </c>
      <c r="X2189" s="288"/>
      <c r="Y2189" s="288"/>
      <c r="Z2189" s="288"/>
      <c r="AA2189" s="288"/>
      <c r="AB2189" s="288"/>
      <c r="AC2189" s="288"/>
      <c r="AD2189" s="289" t="s">
        <v>5</v>
      </c>
    </row>
    <row r="2190" spans="1:38" s="182" customFormat="1" ht="33" customHeight="1" x14ac:dyDescent="0.3">
      <c r="A2190" s="167">
        <v>32</v>
      </c>
      <c r="B2190" s="168">
        <v>223</v>
      </c>
      <c r="C2190" s="278" t="str">
        <f t="shared" si="43"/>
        <v>32.223</v>
      </c>
      <c r="D2190" s="279"/>
      <c r="E2190" s="64" t="str">
        <f>IF(ISBLANK(D2190)=TRUE,"",VLOOKUP(D2190,Krav!$C:$F,4,FALSE))</f>
        <v/>
      </c>
      <c r="F2190" s="281" t="s">
        <v>418</v>
      </c>
      <c r="G2190" s="297" t="s">
        <v>446</v>
      </c>
      <c r="H2190" s="296" t="s">
        <v>451</v>
      </c>
      <c r="I2190" s="286" t="s">
        <v>129</v>
      </c>
      <c r="J2190" s="285" t="s">
        <v>222</v>
      </c>
      <c r="K2190" s="286" t="s">
        <v>222</v>
      </c>
      <c r="L2190" s="291" t="s">
        <v>3</v>
      </c>
      <c r="M2190" s="288" t="s">
        <v>129</v>
      </c>
      <c r="N2190" s="288" t="s">
        <v>131</v>
      </c>
      <c r="O2190" s="288" t="s">
        <v>376</v>
      </c>
      <c r="P2190" s="288" t="s">
        <v>96</v>
      </c>
      <c r="Q2190" s="288" t="s">
        <v>131</v>
      </c>
      <c r="R2190" s="288" t="s">
        <v>129</v>
      </c>
      <c r="S2190" s="288" t="s">
        <v>131</v>
      </c>
      <c r="T2190" s="288"/>
      <c r="U2190" s="288"/>
      <c r="V2190" s="289" t="s">
        <v>295</v>
      </c>
      <c r="W2190" s="288" t="s">
        <v>166</v>
      </c>
      <c r="X2190" s="288" t="s">
        <v>26</v>
      </c>
      <c r="Y2190" s="288"/>
      <c r="Z2190" s="288"/>
      <c r="AA2190" s="288"/>
      <c r="AB2190" s="288"/>
      <c r="AC2190" s="288"/>
      <c r="AD2190" s="289" t="s">
        <v>5</v>
      </c>
    </row>
    <row r="2191" spans="1:38" s="182" customFormat="1" ht="33" customHeight="1" x14ac:dyDescent="0.3">
      <c r="A2191" s="167">
        <v>32</v>
      </c>
      <c r="B2191" s="168">
        <v>224</v>
      </c>
      <c r="C2191" s="278" t="str">
        <f t="shared" si="43"/>
        <v>32.224</v>
      </c>
      <c r="D2191" s="279"/>
      <c r="E2191" s="64" t="str">
        <f>IF(ISBLANK(D2191)=TRUE,"",VLOOKUP(D2191,Krav!$C:$F,4,FALSE))</f>
        <v/>
      </c>
      <c r="F2191" s="281" t="s">
        <v>418</v>
      </c>
      <c r="G2191" s="282" t="s">
        <v>446</v>
      </c>
      <c r="H2191" s="296" t="s">
        <v>451</v>
      </c>
      <c r="I2191" s="286" t="s">
        <v>129</v>
      </c>
      <c r="J2191" s="285" t="s">
        <v>222</v>
      </c>
      <c r="K2191" s="286" t="s">
        <v>222</v>
      </c>
      <c r="L2191" s="291" t="s">
        <v>3</v>
      </c>
      <c r="M2191" s="288" t="s">
        <v>129</v>
      </c>
      <c r="N2191" s="288" t="s">
        <v>131</v>
      </c>
      <c r="O2191" s="288" t="s">
        <v>376</v>
      </c>
      <c r="P2191" s="288" t="s">
        <v>96</v>
      </c>
      <c r="Q2191" s="288" t="s">
        <v>131</v>
      </c>
      <c r="R2191" s="288" t="s">
        <v>129</v>
      </c>
      <c r="S2191" s="288" t="s">
        <v>131</v>
      </c>
      <c r="T2191" s="288"/>
      <c r="U2191" s="288"/>
      <c r="V2191" s="289" t="s">
        <v>295</v>
      </c>
      <c r="W2191" s="288" t="s">
        <v>166</v>
      </c>
      <c r="X2191" s="288" t="s">
        <v>166</v>
      </c>
      <c r="Y2191" s="288" t="s">
        <v>580</v>
      </c>
      <c r="Z2191" s="288"/>
      <c r="AA2191" s="288"/>
      <c r="AB2191" s="288"/>
      <c r="AC2191" s="288"/>
      <c r="AD2191" s="289" t="s">
        <v>5</v>
      </c>
    </row>
    <row r="2192" spans="1:38" s="182" customFormat="1" ht="33" customHeight="1" x14ac:dyDescent="0.3">
      <c r="A2192" s="167">
        <v>32</v>
      </c>
      <c r="B2192" s="168">
        <v>225</v>
      </c>
      <c r="C2192" s="278" t="str">
        <f t="shared" si="43"/>
        <v>32.225</v>
      </c>
      <c r="D2192" s="279"/>
      <c r="E2192" s="64" t="str">
        <f>IF(ISBLANK(D2192)=TRUE,"",VLOOKUP(D2192,Krav!$C:$F,4,FALSE))</f>
        <v/>
      </c>
      <c r="F2192" s="281" t="s">
        <v>418</v>
      </c>
      <c r="G2192" s="297" t="s">
        <v>446</v>
      </c>
      <c r="H2192" s="296" t="s">
        <v>451</v>
      </c>
      <c r="I2192" s="286" t="s">
        <v>129</v>
      </c>
      <c r="J2192" s="285" t="s">
        <v>222</v>
      </c>
      <c r="K2192" s="286" t="s">
        <v>222</v>
      </c>
      <c r="L2192" s="291" t="s">
        <v>3</v>
      </c>
      <c r="M2192" s="288" t="s">
        <v>129</v>
      </c>
      <c r="N2192" s="288" t="s">
        <v>131</v>
      </c>
      <c r="O2192" s="288" t="s">
        <v>96</v>
      </c>
      <c r="P2192" s="288" t="s">
        <v>96</v>
      </c>
      <c r="Q2192" s="288" t="s">
        <v>129</v>
      </c>
      <c r="R2192" s="288" t="s">
        <v>131</v>
      </c>
      <c r="S2192" s="288" t="s">
        <v>131</v>
      </c>
      <c r="T2192" s="288"/>
      <c r="U2192" s="288"/>
      <c r="V2192" s="289" t="s">
        <v>295</v>
      </c>
      <c r="W2192" s="288" t="s">
        <v>26</v>
      </c>
      <c r="X2192" s="288"/>
      <c r="Y2192" s="288"/>
      <c r="Z2192" s="288"/>
      <c r="AA2192" s="288"/>
      <c r="AB2192" s="288"/>
      <c r="AC2192" s="288"/>
      <c r="AD2192" s="289" t="s">
        <v>5</v>
      </c>
    </row>
    <row r="2193" spans="1:38" s="182" customFormat="1" ht="33" customHeight="1" x14ac:dyDescent="0.3">
      <c r="A2193" s="167">
        <v>32</v>
      </c>
      <c r="B2193" s="168">
        <v>226</v>
      </c>
      <c r="C2193" s="278" t="str">
        <f t="shared" si="43"/>
        <v>32.226</v>
      </c>
      <c r="D2193" s="279"/>
      <c r="E2193" s="64" t="str">
        <f>IF(ISBLANK(D2193)=TRUE,"",VLOOKUP(D2193,Krav!$C:$F,4,FALSE))</f>
        <v/>
      </c>
      <c r="F2193" s="281" t="s">
        <v>418</v>
      </c>
      <c r="G2193" s="282" t="s">
        <v>446</v>
      </c>
      <c r="H2193" s="296" t="s">
        <v>451</v>
      </c>
      <c r="I2193" s="286" t="s">
        <v>129</v>
      </c>
      <c r="J2193" s="286" t="s">
        <v>222</v>
      </c>
      <c r="K2193" s="286" t="s">
        <v>222</v>
      </c>
      <c r="L2193" s="291" t="s">
        <v>3</v>
      </c>
      <c r="M2193" s="288" t="s">
        <v>129</v>
      </c>
      <c r="N2193" s="288" t="s">
        <v>131</v>
      </c>
      <c r="O2193" s="288" t="s">
        <v>96</v>
      </c>
      <c r="P2193" s="288" t="s">
        <v>96</v>
      </c>
      <c r="Q2193" s="288" t="s">
        <v>129</v>
      </c>
      <c r="R2193" s="288" t="s">
        <v>131</v>
      </c>
      <c r="S2193" s="288" t="s">
        <v>131</v>
      </c>
      <c r="T2193" s="288"/>
      <c r="U2193" s="288"/>
      <c r="V2193" s="289" t="s">
        <v>295</v>
      </c>
      <c r="W2193" s="288" t="s">
        <v>166</v>
      </c>
      <c r="X2193" s="288" t="s">
        <v>26</v>
      </c>
      <c r="Y2193" s="288"/>
      <c r="Z2193" s="288"/>
      <c r="AA2193" s="288"/>
      <c r="AB2193" s="288"/>
      <c r="AC2193" s="288"/>
      <c r="AD2193" s="289" t="s">
        <v>5</v>
      </c>
    </row>
    <row r="2194" spans="1:38" s="182" customFormat="1" ht="33" customHeight="1" x14ac:dyDescent="0.3">
      <c r="A2194" s="167">
        <v>32</v>
      </c>
      <c r="B2194" s="168">
        <v>227</v>
      </c>
      <c r="C2194" s="278" t="str">
        <f t="shared" si="43"/>
        <v>32.227</v>
      </c>
      <c r="D2194" s="279"/>
      <c r="E2194" s="64" t="str">
        <f>IF(ISBLANK(D2194)=TRUE,"",VLOOKUP(D2194,Krav!$C:$F,4,FALSE))</f>
        <v/>
      </c>
      <c r="F2194" s="281" t="s">
        <v>418</v>
      </c>
      <c r="G2194" s="297" t="s">
        <v>446</v>
      </c>
      <c r="H2194" s="296" t="s">
        <v>451</v>
      </c>
      <c r="I2194" s="286" t="s">
        <v>129</v>
      </c>
      <c r="J2194" s="285" t="s">
        <v>222</v>
      </c>
      <c r="K2194" s="286" t="s">
        <v>222</v>
      </c>
      <c r="L2194" s="291" t="s">
        <v>3</v>
      </c>
      <c r="M2194" s="288" t="s">
        <v>129</v>
      </c>
      <c r="N2194" s="288" t="s">
        <v>131</v>
      </c>
      <c r="O2194" s="288" t="s">
        <v>96</v>
      </c>
      <c r="P2194" s="288" t="s">
        <v>96</v>
      </c>
      <c r="Q2194" s="288" t="s">
        <v>129</v>
      </c>
      <c r="R2194" s="288" t="s">
        <v>131</v>
      </c>
      <c r="S2194" s="288" t="s">
        <v>131</v>
      </c>
      <c r="T2194" s="288"/>
      <c r="U2194" s="288"/>
      <c r="V2194" s="289" t="s">
        <v>295</v>
      </c>
      <c r="W2194" s="288" t="s">
        <v>166</v>
      </c>
      <c r="X2194" s="288" t="s">
        <v>166</v>
      </c>
      <c r="Y2194" s="288" t="s">
        <v>580</v>
      </c>
      <c r="Z2194" s="288"/>
      <c r="AA2194" s="288"/>
      <c r="AB2194" s="288"/>
      <c r="AC2194" s="288"/>
      <c r="AD2194" s="289" t="s">
        <v>5</v>
      </c>
    </row>
    <row r="2195" spans="1:38" s="182" customFormat="1" ht="33" customHeight="1" x14ac:dyDescent="0.3">
      <c r="A2195" s="167">
        <v>32</v>
      </c>
      <c r="B2195" s="168">
        <v>228</v>
      </c>
      <c r="C2195" s="278" t="str">
        <f t="shared" si="43"/>
        <v>32.228</v>
      </c>
      <c r="D2195" s="279"/>
      <c r="E2195" s="64" t="str">
        <f>IF(ISBLANK(D2195)=TRUE,"",VLOOKUP(D2195,Krav!$C:$F,4,FALSE))</f>
        <v/>
      </c>
      <c r="F2195" s="281" t="s">
        <v>418</v>
      </c>
      <c r="G2195" s="282" t="s">
        <v>446</v>
      </c>
      <c r="H2195" s="296" t="s">
        <v>451</v>
      </c>
      <c r="I2195" s="286" t="s">
        <v>129</v>
      </c>
      <c r="J2195" s="286" t="s">
        <v>222</v>
      </c>
      <c r="K2195" s="286" t="s">
        <v>222</v>
      </c>
      <c r="L2195" s="287" t="s">
        <v>3</v>
      </c>
      <c r="M2195" s="288" t="s">
        <v>129</v>
      </c>
      <c r="N2195" s="288" t="s">
        <v>131</v>
      </c>
      <c r="O2195" s="288" t="s">
        <v>96</v>
      </c>
      <c r="P2195" s="288" t="s">
        <v>96</v>
      </c>
      <c r="Q2195" s="288" t="s">
        <v>129</v>
      </c>
      <c r="R2195" s="288" t="s">
        <v>131</v>
      </c>
      <c r="S2195" s="288" t="s">
        <v>131</v>
      </c>
      <c r="T2195" s="288"/>
      <c r="U2195" s="288"/>
      <c r="V2195" s="288" t="s">
        <v>294</v>
      </c>
      <c r="W2195" s="288"/>
      <c r="X2195" s="288"/>
      <c r="Y2195" s="288"/>
      <c r="Z2195" s="288"/>
      <c r="AA2195" s="288"/>
      <c r="AB2195" s="288"/>
      <c r="AC2195" s="288"/>
      <c r="AD2195" s="289" t="s">
        <v>5</v>
      </c>
    </row>
    <row r="2196" spans="1:38" s="182" customFormat="1" ht="33" customHeight="1" x14ac:dyDescent="0.3">
      <c r="A2196" s="167">
        <v>32</v>
      </c>
      <c r="B2196" s="168">
        <v>229</v>
      </c>
      <c r="C2196" s="278" t="str">
        <f t="shared" si="43"/>
        <v>32.229</v>
      </c>
      <c r="D2196" s="279"/>
      <c r="E2196" s="64" t="str">
        <f>IF(ISBLANK(D2196)=TRUE,"",VLOOKUP(D2196,Krav!$C:$F,4,FALSE))</f>
        <v/>
      </c>
      <c r="F2196" s="281" t="s">
        <v>418</v>
      </c>
      <c r="G2196" s="282" t="s">
        <v>445</v>
      </c>
      <c r="H2196" s="296" t="s">
        <v>451</v>
      </c>
      <c r="I2196" s="286" t="s">
        <v>129</v>
      </c>
      <c r="J2196" s="285" t="s">
        <v>222</v>
      </c>
      <c r="K2196" s="286" t="s">
        <v>222</v>
      </c>
      <c r="L2196" s="291" t="s">
        <v>3</v>
      </c>
      <c r="M2196" s="288" t="s">
        <v>131</v>
      </c>
      <c r="N2196" s="288" t="s">
        <v>129</v>
      </c>
      <c r="O2196" s="288" t="s">
        <v>376</v>
      </c>
      <c r="P2196" s="288" t="s">
        <v>376</v>
      </c>
      <c r="Q2196" s="288" t="s">
        <v>131</v>
      </c>
      <c r="R2196" s="288" t="s">
        <v>131</v>
      </c>
      <c r="S2196" s="288" t="s">
        <v>131</v>
      </c>
      <c r="T2196" s="288"/>
      <c r="U2196" s="288"/>
      <c r="V2196" s="288"/>
      <c r="W2196" s="288"/>
      <c r="X2196" s="288"/>
      <c r="Y2196" s="288"/>
      <c r="Z2196" s="288"/>
      <c r="AA2196" s="288"/>
      <c r="AB2196" s="288"/>
      <c r="AC2196" s="288"/>
      <c r="AD2196" s="289" t="s">
        <v>5</v>
      </c>
    </row>
    <row r="2197" spans="1:38" s="182" customFormat="1" ht="33" customHeight="1" x14ac:dyDescent="0.3">
      <c r="A2197" s="167">
        <v>32</v>
      </c>
      <c r="B2197" s="168">
        <v>230</v>
      </c>
      <c r="C2197" s="278" t="str">
        <f t="shared" si="43"/>
        <v>32.230</v>
      </c>
      <c r="D2197" s="279"/>
      <c r="E2197" s="64" t="str">
        <f>IF(ISBLANK(D2197)=TRUE,"",VLOOKUP(D2197,Krav!$C:$F,4,FALSE))</f>
        <v/>
      </c>
      <c r="F2197" s="281" t="s">
        <v>418</v>
      </c>
      <c r="G2197" s="282" t="s">
        <v>445</v>
      </c>
      <c r="H2197" s="296" t="s">
        <v>451</v>
      </c>
      <c r="I2197" s="286" t="s">
        <v>129</v>
      </c>
      <c r="J2197" s="285" t="s">
        <v>222</v>
      </c>
      <c r="K2197" s="286" t="s">
        <v>222</v>
      </c>
      <c r="L2197" s="291" t="s">
        <v>3</v>
      </c>
      <c r="M2197" s="288" t="s">
        <v>131</v>
      </c>
      <c r="N2197" s="288" t="s">
        <v>129</v>
      </c>
      <c r="O2197" s="288" t="s">
        <v>376</v>
      </c>
      <c r="P2197" s="288" t="s">
        <v>376</v>
      </c>
      <c r="Q2197" s="288" t="s">
        <v>131</v>
      </c>
      <c r="R2197" s="288" t="s">
        <v>131</v>
      </c>
      <c r="S2197" s="288" t="s">
        <v>131</v>
      </c>
      <c r="T2197" s="288"/>
      <c r="U2197" s="288"/>
      <c r="V2197" s="288"/>
      <c r="W2197" s="288"/>
      <c r="X2197" s="288"/>
      <c r="Y2197" s="288"/>
      <c r="Z2197" s="288"/>
      <c r="AA2197" s="288"/>
      <c r="AB2197" s="288"/>
      <c r="AC2197" s="288"/>
      <c r="AD2197" s="289" t="s">
        <v>5</v>
      </c>
      <c r="AE2197" s="298"/>
      <c r="AF2197" s="298"/>
      <c r="AG2197" s="298"/>
      <c r="AH2197" s="298"/>
      <c r="AI2197" s="298"/>
      <c r="AJ2197" s="298"/>
      <c r="AK2197" s="298"/>
      <c r="AL2197" s="298"/>
    </row>
    <row r="2198" spans="1:38" s="182" customFormat="1" ht="33" customHeight="1" x14ac:dyDescent="0.3">
      <c r="A2198" s="167">
        <v>32</v>
      </c>
      <c r="B2198" s="168">
        <v>231</v>
      </c>
      <c r="C2198" s="278" t="str">
        <f t="shared" si="43"/>
        <v>32.231</v>
      </c>
      <c r="D2198" s="279"/>
      <c r="E2198" s="64" t="str">
        <f>IF(ISBLANK(D2198)=TRUE,"",VLOOKUP(D2198,Krav!$C:$F,4,FALSE))</f>
        <v/>
      </c>
      <c r="F2198" s="281" t="s">
        <v>418</v>
      </c>
      <c r="G2198" s="282" t="s">
        <v>445</v>
      </c>
      <c r="H2198" s="296" t="s">
        <v>451</v>
      </c>
      <c r="I2198" s="286" t="s">
        <v>129</v>
      </c>
      <c r="J2198" s="285" t="s">
        <v>222</v>
      </c>
      <c r="K2198" s="286" t="s">
        <v>222</v>
      </c>
      <c r="L2198" s="291" t="s">
        <v>3</v>
      </c>
      <c r="M2198" s="288" t="s">
        <v>131</v>
      </c>
      <c r="N2198" s="288" t="s">
        <v>129</v>
      </c>
      <c r="O2198" s="288" t="s">
        <v>376</v>
      </c>
      <c r="P2198" s="288" t="s">
        <v>96</v>
      </c>
      <c r="Q2198" s="288" t="s">
        <v>131</v>
      </c>
      <c r="R2198" s="288" t="s">
        <v>131</v>
      </c>
      <c r="S2198" s="288" t="s">
        <v>129</v>
      </c>
      <c r="T2198" s="288"/>
      <c r="U2198" s="288"/>
      <c r="V2198" s="288"/>
      <c r="W2198" s="288"/>
      <c r="X2198" s="288"/>
      <c r="Y2198" s="288"/>
      <c r="Z2198" s="288"/>
      <c r="AA2198" s="288"/>
      <c r="AB2198" s="288"/>
      <c r="AC2198" s="288"/>
      <c r="AD2198" s="289" t="s">
        <v>5</v>
      </c>
      <c r="AE2198" s="298"/>
      <c r="AF2198" s="298"/>
      <c r="AG2198" s="298"/>
      <c r="AH2198" s="298"/>
      <c r="AI2198" s="298"/>
      <c r="AJ2198" s="298"/>
      <c r="AK2198" s="298"/>
      <c r="AL2198" s="298"/>
    </row>
    <row r="2199" spans="1:38" s="182" customFormat="1" ht="33" customHeight="1" x14ac:dyDescent="0.3">
      <c r="A2199" s="167">
        <v>32</v>
      </c>
      <c r="B2199" s="168">
        <v>232</v>
      </c>
      <c r="C2199" s="278" t="str">
        <f t="shared" si="43"/>
        <v>32.232</v>
      </c>
      <c r="D2199" s="279"/>
      <c r="E2199" s="64" t="str">
        <f>IF(ISBLANK(D2199)=TRUE,"",VLOOKUP(D2199,Krav!$C:$F,4,FALSE))</f>
        <v/>
      </c>
      <c r="F2199" s="281" t="s">
        <v>418</v>
      </c>
      <c r="G2199" s="282" t="s">
        <v>446</v>
      </c>
      <c r="H2199" s="296" t="s">
        <v>451</v>
      </c>
      <c r="I2199" s="286" t="s">
        <v>129</v>
      </c>
      <c r="J2199" s="388" t="s">
        <v>222</v>
      </c>
      <c r="K2199" s="286" t="s">
        <v>222</v>
      </c>
      <c r="L2199" s="291" t="s">
        <v>3</v>
      </c>
      <c r="M2199" s="288" t="s">
        <v>131</v>
      </c>
      <c r="N2199" s="288" t="s">
        <v>129</v>
      </c>
      <c r="O2199" s="288" t="s">
        <v>376</v>
      </c>
      <c r="P2199" s="288" t="s">
        <v>96</v>
      </c>
      <c r="Q2199" s="288" t="s">
        <v>131</v>
      </c>
      <c r="R2199" s="288" t="s">
        <v>129</v>
      </c>
      <c r="S2199" s="288" t="s">
        <v>131</v>
      </c>
      <c r="T2199" s="288"/>
      <c r="U2199" s="288"/>
      <c r="V2199" s="288" t="s">
        <v>294</v>
      </c>
      <c r="W2199" s="288"/>
      <c r="X2199" s="288"/>
      <c r="Y2199" s="288"/>
      <c r="Z2199" s="288"/>
      <c r="AA2199" s="288"/>
      <c r="AB2199" s="288"/>
      <c r="AC2199" s="288"/>
      <c r="AD2199" s="289" t="s">
        <v>5</v>
      </c>
      <c r="AE2199" s="298"/>
      <c r="AF2199" s="298"/>
      <c r="AG2199" s="298"/>
      <c r="AH2199" s="298"/>
      <c r="AI2199" s="298"/>
      <c r="AJ2199" s="298"/>
      <c r="AK2199" s="298"/>
      <c r="AL2199" s="298"/>
    </row>
    <row r="2200" spans="1:38" s="182" customFormat="1" ht="33" customHeight="1" x14ac:dyDescent="0.3">
      <c r="A2200" s="167">
        <v>32</v>
      </c>
      <c r="B2200" s="168">
        <v>233</v>
      </c>
      <c r="C2200" s="278" t="str">
        <f t="shared" si="43"/>
        <v>32.233</v>
      </c>
      <c r="D2200" s="279"/>
      <c r="E2200" s="64" t="str">
        <f>IF(ISBLANK(D2200)=TRUE,"",VLOOKUP(D2200,Krav!$C:$F,4,FALSE))</f>
        <v/>
      </c>
      <c r="F2200" s="281" t="s">
        <v>418</v>
      </c>
      <c r="G2200" s="282" t="s">
        <v>446</v>
      </c>
      <c r="H2200" s="296" t="s">
        <v>451</v>
      </c>
      <c r="I2200" s="286" t="s">
        <v>129</v>
      </c>
      <c r="J2200" s="285" t="s">
        <v>222</v>
      </c>
      <c r="K2200" s="286" t="s">
        <v>222</v>
      </c>
      <c r="L2200" s="291" t="s">
        <v>3</v>
      </c>
      <c r="M2200" s="288" t="s">
        <v>131</v>
      </c>
      <c r="N2200" s="288" t="s">
        <v>129</v>
      </c>
      <c r="O2200" s="288" t="s">
        <v>376</v>
      </c>
      <c r="P2200" s="288" t="s">
        <v>96</v>
      </c>
      <c r="Q2200" s="288" t="s">
        <v>131</v>
      </c>
      <c r="R2200" s="288" t="s">
        <v>129</v>
      </c>
      <c r="S2200" s="288" t="s">
        <v>131</v>
      </c>
      <c r="T2200" s="288"/>
      <c r="U2200" s="288"/>
      <c r="V2200" s="289" t="s">
        <v>295</v>
      </c>
      <c r="W2200" s="288" t="s">
        <v>26</v>
      </c>
      <c r="X2200" s="288"/>
      <c r="Y2200" s="288"/>
      <c r="Z2200" s="288"/>
      <c r="AA2200" s="288"/>
      <c r="AB2200" s="288"/>
      <c r="AC2200" s="288"/>
      <c r="AD2200" s="289" t="s">
        <v>5</v>
      </c>
      <c r="AE2200" s="298"/>
      <c r="AF2200" s="298"/>
      <c r="AG2200" s="298"/>
      <c r="AH2200" s="298"/>
      <c r="AI2200" s="298"/>
      <c r="AJ2200" s="298"/>
      <c r="AK2200" s="298"/>
      <c r="AL2200" s="298"/>
    </row>
    <row r="2201" spans="1:38" s="182" customFormat="1" ht="33" customHeight="1" x14ac:dyDescent="0.3">
      <c r="A2201" s="167">
        <v>32</v>
      </c>
      <c r="B2201" s="168">
        <v>234</v>
      </c>
      <c r="C2201" s="278" t="str">
        <f t="shared" si="43"/>
        <v>32.234</v>
      </c>
      <c r="D2201" s="279"/>
      <c r="E2201" s="64" t="str">
        <f>IF(ISBLANK(D2201)=TRUE,"",VLOOKUP(D2201,Krav!$C:$F,4,FALSE))</f>
        <v/>
      </c>
      <c r="F2201" s="281" t="s">
        <v>418</v>
      </c>
      <c r="G2201" s="282" t="s">
        <v>446</v>
      </c>
      <c r="H2201" s="296" t="s">
        <v>451</v>
      </c>
      <c r="I2201" s="286" t="s">
        <v>129</v>
      </c>
      <c r="J2201" s="285" t="s">
        <v>222</v>
      </c>
      <c r="K2201" s="286" t="s">
        <v>222</v>
      </c>
      <c r="L2201" s="291" t="s">
        <v>3</v>
      </c>
      <c r="M2201" s="288" t="s">
        <v>131</v>
      </c>
      <c r="N2201" s="288" t="s">
        <v>129</v>
      </c>
      <c r="O2201" s="288" t="s">
        <v>376</v>
      </c>
      <c r="P2201" s="288" t="s">
        <v>96</v>
      </c>
      <c r="Q2201" s="288" t="s">
        <v>131</v>
      </c>
      <c r="R2201" s="288" t="s">
        <v>129</v>
      </c>
      <c r="S2201" s="288" t="s">
        <v>131</v>
      </c>
      <c r="T2201" s="288"/>
      <c r="U2201" s="288"/>
      <c r="V2201" s="289" t="s">
        <v>295</v>
      </c>
      <c r="W2201" s="288" t="s">
        <v>166</v>
      </c>
      <c r="X2201" s="288" t="s">
        <v>26</v>
      </c>
      <c r="Y2201" s="288"/>
      <c r="Z2201" s="288"/>
      <c r="AA2201" s="288"/>
      <c r="AB2201" s="288"/>
      <c r="AC2201" s="288"/>
      <c r="AD2201" s="289" t="s">
        <v>5</v>
      </c>
      <c r="AE2201" s="298"/>
      <c r="AF2201" s="298"/>
      <c r="AG2201" s="298"/>
      <c r="AH2201" s="298"/>
      <c r="AI2201" s="298"/>
      <c r="AJ2201" s="298"/>
      <c r="AK2201" s="298"/>
      <c r="AL2201" s="298"/>
    </row>
    <row r="2202" spans="1:38" s="182" customFormat="1" ht="33" customHeight="1" x14ac:dyDescent="0.3">
      <c r="A2202" s="167">
        <v>32</v>
      </c>
      <c r="B2202" s="168">
        <v>235</v>
      </c>
      <c r="C2202" s="278" t="str">
        <f t="shared" si="43"/>
        <v>32.235</v>
      </c>
      <c r="D2202" s="279"/>
      <c r="E2202" s="64" t="str">
        <f>IF(ISBLANK(D2202)=TRUE,"",VLOOKUP(D2202,Krav!$C:$F,4,FALSE))</f>
        <v/>
      </c>
      <c r="F2202" s="281" t="s">
        <v>418</v>
      </c>
      <c r="G2202" s="282" t="s">
        <v>446</v>
      </c>
      <c r="H2202" s="296" t="s">
        <v>451</v>
      </c>
      <c r="I2202" s="286" t="s">
        <v>129</v>
      </c>
      <c r="J2202" s="285" t="s">
        <v>222</v>
      </c>
      <c r="K2202" s="286" t="s">
        <v>222</v>
      </c>
      <c r="L2202" s="291" t="s">
        <v>3</v>
      </c>
      <c r="M2202" s="288" t="s">
        <v>131</v>
      </c>
      <c r="N2202" s="288" t="s">
        <v>129</v>
      </c>
      <c r="O2202" s="288" t="s">
        <v>376</v>
      </c>
      <c r="P2202" s="288" t="s">
        <v>96</v>
      </c>
      <c r="Q2202" s="288" t="s">
        <v>131</v>
      </c>
      <c r="R2202" s="288" t="s">
        <v>129</v>
      </c>
      <c r="S2202" s="288" t="s">
        <v>131</v>
      </c>
      <c r="T2202" s="288"/>
      <c r="U2202" s="288"/>
      <c r="V2202" s="289" t="s">
        <v>295</v>
      </c>
      <c r="W2202" s="288" t="s">
        <v>166</v>
      </c>
      <c r="X2202" s="288" t="s">
        <v>166</v>
      </c>
      <c r="Y2202" s="288" t="s">
        <v>580</v>
      </c>
      <c r="Z2202" s="288"/>
      <c r="AA2202" s="288"/>
      <c r="AB2202" s="288"/>
      <c r="AC2202" s="288"/>
      <c r="AD2202" s="289" t="s">
        <v>5</v>
      </c>
      <c r="AE2202" s="298"/>
      <c r="AF2202" s="298"/>
      <c r="AG2202" s="298"/>
      <c r="AH2202" s="298"/>
      <c r="AI2202" s="298"/>
      <c r="AJ2202" s="298"/>
      <c r="AK2202" s="298"/>
      <c r="AL2202" s="298"/>
    </row>
    <row r="2203" spans="1:38" s="182" customFormat="1" ht="33" customHeight="1" x14ac:dyDescent="0.3">
      <c r="A2203" s="167">
        <v>32</v>
      </c>
      <c r="B2203" s="168">
        <v>236</v>
      </c>
      <c r="C2203" s="278" t="str">
        <f t="shared" si="43"/>
        <v>32.236</v>
      </c>
      <c r="D2203" s="279"/>
      <c r="E2203" s="64" t="str">
        <f>IF(ISBLANK(D2203)=TRUE,"",VLOOKUP(D2203,Krav!$C:$F,4,FALSE))</f>
        <v/>
      </c>
      <c r="F2203" s="281" t="s">
        <v>418</v>
      </c>
      <c r="G2203" s="282" t="s">
        <v>446</v>
      </c>
      <c r="H2203" s="296" t="s">
        <v>451</v>
      </c>
      <c r="I2203" s="286" t="s">
        <v>129</v>
      </c>
      <c r="J2203" s="285" t="s">
        <v>222</v>
      </c>
      <c r="K2203" s="286" t="s">
        <v>222</v>
      </c>
      <c r="L2203" s="291" t="s">
        <v>3</v>
      </c>
      <c r="M2203" s="288" t="s">
        <v>131</v>
      </c>
      <c r="N2203" s="288" t="s">
        <v>129</v>
      </c>
      <c r="O2203" s="288" t="s">
        <v>96</v>
      </c>
      <c r="P2203" s="288" t="s">
        <v>376</v>
      </c>
      <c r="Q2203" s="288" t="s">
        <v>129</v>
      </c>
      <c r="R2203" s="288" t="s">
        <v>131</v>
      </c>
      <c r="S2203" s="288" t="s">
        <v>131</v>
      </c>
      <c r="T2203" s="288"/>
      <c r="U2203" s="288"/>
      <c r="V2203" s="289" t="s">
        <v>295</v>
      </c>
      <c r="W2203" s="288" t="s">
        <v>26</v>
      </c>
      <c r="X2203" s="288"/>
      <c r="Y2203" s="288"/>
      <c r="Z2203" s="288"/>
      <c r="AA2203" s="288"/>
      <c r="AB2203" s="288"/>
      <c r="AC2203" s="288"/>
      <c r="AD2203" s="289" t="s">
        <v>5</v>
      </c>
      <c r="AE2203" s="298"/>
      <c r="AF2203" s="298"/>
      <c r="AG2203" s="298"/>
      <c r="AH2203" s="298"/>
      <c r="AI2203" s="298"/>
      <c r="AJ2203" s="298"/>
      <c r="AK2203" s="298"/>
      <c r="AL2203" s="298"/>
    </row>
    <row r="2204" spans="1:38" s="182" customFormat="1" ht="33" customHeight="1" x14ac:dyDescent="0.3">
      <c r="A2204" s="167">
        <v>32</v>
      </c>
      <c r="B2204" s="168">
        <v>237</v>
      </c>
      <c r="C2204" s="278" t="str">
        <f t="shared" si="43"/>
        <v>32.237</v>
      </c>
      <c r="D2204" s="279"/>
      <c r="E2204" s="64" t="str">
        <f>IF(ISBLANK(D2204)=TRUE,"",VLOOKUP(D2204,Krav!$C:$F,4,FALSE))</f>
        <v/>
      </c>
      <c r="F2204" s="281" t="s">
        <v>418</v>
      </c>
      <c r="G2204" s="282" t="s">
        <v>446</v>
      </c>
      <c r="H2204" s="296" t="s">
        <v>451</v>
      </c>
      <c r="I2204" s="286" t="s">
        <v>129</v>
      </c>
      <c r="J2204" s="285" t="s">
        <v>222</v>
      </c>
      <c r="K2204" s="286" t="s">
        <v>222</v>
      </c>
      <c r="L2204" s="291" t="s">
        <v>3</v>
      </c>
      <c r="M2204" s="288" t="s">
        <v>131</v>
      </c>
      <c r="N2204" s="288" t="s">
        <v>129</v>
      </c>
      <c r="O2204" s="288" t="s">
        <v>96</v>
      </c>
      <c r="P2204" s="288" t="s">
        <v>376</v>
      </c>
      <c r="Q2204" s="288" t="s">
        <v>129</v>
      </c>
      <c r="R2204" s="288" t="s">
        <v>131</v>
      </c>
      <c r="S2204" s="288" t="s">
        <v>131</v>
      </c>
      <c r="T2204" s="288"/>
      <c r="U2204" s="288"/>
      <c r="V2204" s="289" t="s">
        <v>295</v>
      </c>
      <c r="W2204" s="288" t="s">
        <v>166</v>
      </c>
      <c r="X2204" s="288" t="s">
        <v>26</v>
      </c>
      <c r="Y2204" s="288"/>
      <c r="Z2204" s="288"/>
      <c r="AA2204" s="288"/>
      <c r="AB2204" s="288"/>
      <c r="AC2204" s="288"/>
      <c r="AD2204" s="289" t="s">
        <v>5</v>
      </c>
      <c r="AE2204" s="298"/>
      <c r="AF2204" s="298"/>
      <c r="AG2204" s="298"/>
      <c r="AH2204" s="298"/>
      <c r="AI2204" s="298"/>
      <c r="AJ2204" s="298"/>
      <c r="AK2204" s="298"/>
      <c r="AL2204" s="298"/>
    </row>
    <row r="2205" spans="1:38" s="182" customFormat="1" ht="33" customHeight="1" x14ac:dyDescent="0.3">
      <c r="A2205" s="167">
        <v>32</v>
      </c>
      <c r="B2205" s="168">
        <v>238</v>
      </c>
      <c r="C2205" s="278" t="str">
        <f t="shared" si="43"/>
        <v>32.238</v>
      </c>
      <c r="D2205" s="279"/>
      <c r="E2205" s="64" t="str">
        <f>IF(ISBLANK(D2205)=TRUE,"",VLOOKUP(D2205,Krav!$C:$F,4,FALSE))</f>
        <v/>
      </c>
      <c r="F2205" s="281" t="s">
        <v>418</v>
      </c>
      <c r="G2205" s="282" t="s">
        <v>446</v>
      </c>
      <c r="H2205" s="296" t="s">
        <v>451</v>
      </c>
      <c r="I2205" s="286" t="s">
        <v>129</v>
      </c>
      <c r="J2205" s="285" t="s">
        <v>222</v>
      </c>
      <c r="K2205" s="286" t="s">
        <v>222</v>
      </c>
      <c r="L2205" s="291" t="s">
        <v>3</v>
      </c>
      <c r="M2205" s="288" t="s">
        <v>131</v>
      </c>
      <c r="N2205" s="288" t="s">
        <v>129</v>
      </c>
      <c r="O2205" s="288" t="s">
        <v>96</v>
      </c>
      <c r="P2205" s="288" t="s">
        <v>376</v>
      </c>
      <c r="Q2205" s="288" t="s">
        <v>129</v>
      </c>
      <c r="R2205" s="288" t="s">
        <v>131</v>
      </c>
      <c r="S2205" s="288" t="s">
        <v>131</v>
      </c>
      <c r="T2205" s="288"/>
      <c r="U2205" s="288"/>
      <c r="V2205" s="289" t="s">
        <v>295</v>
      </c>
      <c r="W2205" s="288" t="s">
        <v>166</v>
      </c>
      <c r="X2205" s="288" t="s">
        <v>166</v>
      </c>
      <c r="Y2205" s="288" t="s">
        <v>580</v>
      </c>
      <c r="Z2205" s="288"/>
      <c r="AA2205" s="288"/>
      <c r="AB2205" s="288"/>
      <c r="AC2205" s="288"/>
      <c r="AD2205" s="289" t="s">
        <v>5</v>
      </c>
      <c r="AE2205" s="298"/>
      <c r="AF2205" s="298"/>
      <c r="AG2205" s="298"/>
      <c r="AH2205" s="298"/>
      <c r="AI2205" s="298"/>
      <c r="AJ2205" s="298"/>
      <c r="AK2205" s="298"/>
      <c r="AL2205" s="298"/>
    </row>
    <row r="2206" spans="1:38" s="182" customFormat="1" ht="33" customHeight="1" x14ac:dyDescent="0.3">
      <c r="A2206" s="167">
        <v>32</v>
      </c>
      <c r="B2206" s="168">
        <v>239</v>
      </c>
      <c r="C2206" s="278" t="str">
        <f t="shared" si="43"/>
        <v>32.239</v>
      </c>
      <c r="D2206" s="279"/>
      <c r="E2206" s="64" t="str">
        <f>IF(ISBLANK(D2206)=TRUE,"",VLOOKUP(D2206,Krav!$C:$F,4,FALSE))</f>
        <v/>
      </c>
      <c r="F2206" s="281" t="s">
        <v>418</v>
      </c>
      <c r="G2206" s="282" t="s">
        <v>446</v>
      </c>
      <c r="H2206" s="296" t="s">
        <v>451</v>
      </c>
      <c r="I2206" s="286" t="s">
        <v>129</v>
      </c>
      <c r="J2206" s="285" t="s">
        <v>222</v>
      </c>
      <c r="K2206" s="286" t="s">
        <v>222</v>
      </c>
      <c r="L2206" s="287" t="s">
        <v>3</v>
      </c>
      <c r="M2206" s="288" t="s">
        <v>131</v>
      </c>
      <c r="N2206" s="288" t="s">
        <v>129</v>
      </c>
      <c r="O2206" s="288" t="s">
        <v>96</v>
      </c>
      <c r="P2206" s="288" t="s">
        <v>376</v>
      </c>
      <c r="Q2206" s="288" t="s">
        <v>129</v>
      </c>
      <c r="R2206" s="288" t="s">
        <v>131</v>
      </c>
      <c r="S2206" s="288" t="s">
        <v>131</v>
      </c>
      <c r="T2206" s="288"/>
      <c r="U2206" s="288"/>
      <c r="V2206" s="288" t="s">
        <v>294</v>
      </c>
      <c r="W2206" s="288"/>
      <c r="X2206" s="288"/>
      <c r="Y2206" s="288"/>
      <c r="Z2206" s="288"/>
      <c r="AA2206" s="288"/>
      <c r="AB2206" s="288"/>
      <c r="AC2206" s="288"/>
      <c r="AD2206" s="289" t="s">
        <v>5</v>
      </c>
      <c r="AE2206" s="298"/>
      <c r="AF2206" s="298"/>
      <c r="AG2206" s="298"/>
      <c r="AH2206" s="298"/>
      <c r="AI2206" s="298"/>
      <c r="AJ2206" s="298"/>
      <c r="AK2206" s="298"/>
      <c r="AL2206" s="298"/>
    </row>
    <row r="2207" spans="1:38" s="387" customFormat="1" ht="33" customHeight="1" x14ac:dyDescent="0.3">
      <c r="A2207" s="374">
        <v>32</v>
      </c>
      <c r="B2207" s="375">
        <v>240</v>
      </c>
      <c r="C2207" s="376" t="str">
        <f t="shared" ref="C2207:C2226" si="44">IF(B2207&lt;10,_xlfn.CONCAT(A2207,".0",B2207),_xlfn.CONCAT(A2207,".",B2207))</f>
        <v>32.240</v>
      </c>
      <c r="D2207" s="380"/>
      <c r="E2207" s="381" t="str">
        <f>IF(ISBLANK(D2207)=TRUE,"",VLOOKUP(D2207,Krav!$C:$F,4,FALSE))</f>
        <v/>
      </c>
      <c r="F2207" s="382" t="s">
        <v>226</v>
      </c>
      <c r="G2207" s="383" t="s">
        <v>308</v>
      </c>
      <c r="H2207" s="379" t="s">
        <v>2392</v>
      </c>
      <c r="I2207" s="384" t="s">
        <v>241</v>
      </c>
      <c r="J2207" s="384" t="s">
        <v>222</v>
      </c>
      <c r="K2207" s="384" t="s">
        <v>222</v>
      </c>
      <c r="L2207" s="385" t="s">
        <v>3</v>
      </c>
      <c r="M2207" s="377" t="s">
        <v>129</v>
      </c>
      <c r="N2207" s="377" t="s">
        <v>131</v>
      </c>
      <c r="O2207" s="377" t="s">
        <v>96</v>
      </c>
      <c r="P2207" s="377" t="s">
        <v>376</v>
      </c>
      <c r="Q2207" s="377" t="s">
        <v>129</v>
      </c>
      <c r="R2207" s="377" t="s">
        <v>131</v>
      </c>
      <c r="S2207" s="377" t="s">
        <v>131</v>
      </c>
      <c r="T2207" s="377"/>
      <c r="U2207" s="379" t="s">
        <v>1294</v>
      </c>
      <c r="V2207" s="377"/>
      <c r="W2207" s="377"/>
      <c r="X2207" s="377"/>
      <c r="Y2207" s="377"/>
      <c r="Z2207" s="377"/>
      <c r="AA2207" s="377"/>
      <c r="AB2207" s="377"/>
      <c r="AC2207" s="377"/>
      <c r="AD2207" s="378" t="s">
        <v>5</v>
      </c>
      <c r="AE2207" s="386"/>
      <c r="AF2207" s="386"/>
      <c r="AG2207" s="386"/>
      <c r="AH2207" s="386"/>
      <c r="AI2207" s="386"/>
      <c r="AJ2207" s="386"/>
      <c r="AK2207" s="386"/>
      <c r="AL2207" s="386"/>
    </row>
    <row r="2208" spans="1:38" s="387" customFormat="1" ht="33" customHeight="1" x14ac:dyDescent="0.3">
      <c r="A2208" s="374">
        <v>32</v>
      </c>
      <c r="B2208" s="375">
        <v>241</v>
      </c>
      <c r="C2208" s="376" t="str">
        <f t="shared" si="44"/>
        <v>32.241</v>
      </c>
      <c r="D2208" s="380"/>
      <c r="E2208" s="381" t="str">
        <f>IF(ISBLANK(D2208)=TRUE,"",VLOOKUP(D2208,Krav!$C:$F,4,FALSE))</f>
        <v/>
      </c>
      <c r="F2208" s="382" t="s">
        <v>226</v>
      </c>
      <c r="G2208" s="383" t="s">
        <v>308</v>
      </c>
      <c r="H2208" s="379" t="s">
        <v>2393</v>
      </c>
      <c r="I2208" s="384" t="s">
        <v>241</v>
      </c>
      <c r="J2208" s="384" t="s">
        <v>222</v>
      </c>
      <c r="K2208" s="384" t="s">
        <v>222</v>
      </c>
      <c r="L2208" s="385" t="s">
        <v>3</v>
      </c>
      <c r="M2208" s="377" t="s">
        <v>129</v>
      </c>
      <c r="N2208" s="377" t="s">
        <v>131</v>
      </c>
      <c r="O2208" s="377" t="s">
        <v>96</v>
      </c>
      <c r="P2208" s="377" t="s">
        <v>376</v>
      </c>
      <c r="Q2208" s="377" t="s">
        <v>129</v>
      </c>
      <c r="R2208" s="377" t="s">
        <v>131</v>
      </c>
      <c r="S2208" s="377" t="s">
        <v>131</v>
      </c>
      <c r="T2208" s="377"/>
      <c r="U2208" s="379" t="s">
        <v>1295</v>
      </c>
      <c r="V2208" s="377"/>
      <c r="W2208" s="377"/>
      <c r="X2208" s="377"/>
      <c r="Y2208" s="377"/>
      <c r="Z2208" s="377"/>
      <c r="AA2208" s="377"/>
      <c r="AB2208" s="377"/>
      <c r="AC2208" s="377"/>
      <c r="AD2208" s="378" t="s">
        <v>5</v>
      </c>
      <c r="AE2208" s="386"/>
      <c r="AF2208" s="386"/>
      <c r="AG2208" s="386"/>
      <c r="AH2208" s="386"/>
      <c r="AI2208" s="386"/>
      <c r="AJ2208" s="386"/>
      <c r="AK2208" s="386"/>
      <c r="AL2208" s="386"/>
    </row>
    <row r="2209" spans="1:38" s="387" customFormat="1" ht="33" customHeight="1" x14ac:dyDescent="0.3">
      <c r="A2209" s="374">
        <v>32</v>
      </c>
      <c r="B2209" s="375">
        <v>242</v>
      </c>
      <c r="C2209" s="376" t="str">
        <f t="shared" si="44"/>
        <v>32.242</v>
      </c>
      <c r="D2209" s="380"/>
      <c r="E2209" s="381" t="str">
        <f>IF(ISBLANK(D2209)=TRUE,"",VLOOKUP(D2209,Krav!$C:$F,4,FALSE))</f>
        <v/>
      </c>
      <c r="F2209" s="382" t="s">
        <v>226</v>
      </c>
      <c r="G2209" s="383" t="s">
        <v>308</v>
      </c>
      <c r="H2209" s="379" t="s">
        <v>2394</v>
      </c>
      <c r="I2209" s="384" t="s">
        <v>241</v>
      </c>
      <c r="J2209" s="384" t="s">
        <v>222</v>
      </c>
      <c r="K2209" s="384" t="s">
        <v>222</v>
      </c>
      <c r="L2209" s="385" t="s">
        <v>3</v>
      </c>
      <c r="M2209" s="377" t="s">
        <v>129</v>
      </c>
      <c r="N2209" s="377" t="s">
        <v>131</v>
      </c>
      <c r="O2209" s="377" t="s">
        <v>96</v>
      </c>
      <c r="P2209" s="377" t="s">
        <v>376</v>
      </c>
      <c r="Q2209" s="377" t="s">
        <v>129</v>
      </c>
      <c r="R2209" s="377" t="s">
        <v>131</v>
      </c>
      <c r="S2209" s="377" t="s">
        <v>131</v>
      </c>
      <c r="T2209" s="377"/>
      <c r="U2209" s="379" t="s">
        <v>1296</v>
      </c>
      <c r="V2209" s="377"/>
      <c r="W2209" s="377"/>
      <c r="X2209" s="377"/>
      <c r="Y2209" s="377"/>
      <c r="Z2209" s="377"/>
      <c r="AA2209" s="377"/>
      <c r="AB2209" s="377"/>
      <c r="AC2209" s="377"/>
      <c r="AD2209" s="378" t="s">
        <v>5</v>
      </c>
      <c r="AE2209" s="386"/>
      <c r="AF2209" s="386"/>
      <c r="AG2209" s="386"/>
      <c r="AH2209" s="386"/>
      <c r="AI2209" s="386"/>
      <c r="AJ2209" s="386"/>
      <c r="AK2209" s="386"/>
      <c r="AL2209" s="386"/>
    </row>
    <row r="2210" spans="1:38" s="387" customFormat="1" ht="33" customHeight="1" x14ac:dyDescent="0.3">
      <c r="A2210" s="374">
        <v>32</v>
      </c>
      <c r="B2210" s="375">
        <v>243</v>
      </c>
      <c r="C2210" s="376" t="str">
        <f t="shared" si="44"/>
        <v>32.243</v>
      </c>
      <c r="D2210" s="380"/>
      <c r="E2210" s="381" t="str">
        <f>IF(ISBLANK(D2210)=TRUE,"",VLOOKUP(D2210,Krav!$C:$F,4,FALSE))</f>
        <v/>
      </c>
      <c r="F2210" s="382" t="s">
        <v>226</v>
      </c>
      <c r="G2210" s="383" t="s">
        <v>308</v>
      </c>
      <c r="H2210" s="379" t="s">
        <v>2395</v>
      </c>
      <c r="I2210" s="384" t="s">
        <v>241</v>
      </c>
      <c r="J2210" s="384" t="s">
        <v>222</v>
      </c>
      <c r="K2210" s="384" t="s">
        <v>222</v>
      </c>
      <c r="L2210" s="385" t="s">
        <v>3</v>
      </c>
      <c r="M2210" s="377" t="s">
        <v>129</v>
      </c>
      <c r="N2210" s="377" t="s">
        <v>131</v>
      </c>
      <c r="O2210" s="377" t="s">
        <v>96</v>
      </c>
      <c r="P2210" s="377" t="s">
        <v>376</v>
      </c>
      <c r="Q2210" s="377" t="s">
        <v>129</v>
      </c>
      <c r="R2210" s="377" t="s">
        <v>131</v>
      </c>
      <c r="S2210" s="377" t="s">
        <v>131</v>
      </c>
      <c r="T2210" s="377"/>
      <c r="U2210" s="379" t="s">
        <v>1297</v>
      </c>
      <c r="V2210" s="377"/>
      <c r="W2210" s="377"/>
      <c r="X2210" s="377"/>
      <c r="Y2210" s="377"/>
      <c r="Z2210" s="377"/>
      <c r="AA2210" s="377"/>
      <c r="AB2210" s="377"/>
      <c r="AC2210" s="377"/>
      <c r="AD2210" s="378" t="s">
        <v>5</v>
      </c>
      <c r="AE2210" s="386"/>
      <c r="AF2210" s="386"/>
      <c r="AG2210" s="386"/>
      <c r="AH2210" s="386"/>
      <c r="AI2210" s="386"/>
      <c r="AJ2210" s="386"/>
      <c r="AK2210" s="386"/>
      <c r="AL2210" s="386"/>
    </row>
    <row r="2211" spans="1:38" s="387" customFormat="1" ht="33" customHeight="1" x14ac:dyDescent="0.3">
      <c r="A2211" s="374">
        <v>32</v>
      </c>
      <c r="B2211" s="375">
        <v>244</v>
      </c>
      <c r="C2211" s="376" t="str">
        <f t="shared" si="44"/>
        <v>32.244</v>
      </c>
      <c r="D2211" s="380"/>
      <c r="E2211" s="381" t="str">
        <f>IF(ISBLANK(D2211)=TRUE,"",VLOOKUP(D2211,Krav!$C:$F,4,FALSE))</f>
        <v/>
      </c>
      <c r="F2211" s="382" t="s">
        <v>226</v>
      </c>
      <c r="G2211" s="383" t="s">
        <v>308</v>
      </c>
      <c r="H2211" s="379" t="s">
        <v>2396</v>
      </c>
      <c r="I2211" s="384" t="s">
        <v>241</v>
      </c>
      <c r="J2211" s="384" t="s">
        <v>222</v>
      </c>
      <c r="K2211" s="384" t="s">
        <v>222</v>
      </c>
      <c r="L2211" s="385" t="s">
        <v>3</v>
      </c>
      <c r="M2211" s="377" t="s">
        <v>129</v>
      </c>
      <c r="N2211" s="377" t="s">
        <v>131</v>
      </c>
      <c r="O2211" s="377" t="s">
        <v>96</v>
      </c>
      <c r="P2211" s="377" t="s">
        <v>376</v>
      </c>
      <c r="Q2211" s="377" t="s">
        <v>129</v>
      </c>
      <c r="R2211" s="377" t="s">
        <v>131</v>
      </c>
      <c r="S2211" s="377" t="s">
        <v>131</v>
      </c>
      <c r="T2211" s="377"/>
      <c r="U2211" s="379" t="s">
        <v>1298</v>
      </c>
      <c r="V2211" s="377"/>
      <c r="W2211" s="377"/>
      <c r="X2211" s="377"/>
      <c r="Y2211" s="377"/>
      <c r="Z2211" s="377"/>
      <c r="AA2211" s="377"/>
      <c r="AB2211" s="377"/>
      <c r="AC2211" s="377"/>
      <c r="AD2211" s="378" t="s">
        <v>5</v>
      </c>
      <c r="AE2211" s="386"/>
      <c r="AF2211" s="386"/>
      <c r="AG2211" s="386"/>
      <c r="AH2211" s="386"/>
      <c r="AI2211" s="386"/>
      <c r="AJ2211" s="386"/>
      <c r="AK2211" s="386"/>
      <c r="AL2211" s="386"/>
    </row>
    <row r="2212" spans="1:38" s="387" customFormat="1" ht="33" customHeight="1" x14ac:dyDescent="0.3">
      <c r="A2212" s="374">
        <v>32</v>
      </c>
      <c r="B2212" s="375">
        <v>245</v>
      </c>
      <c r="C2212" s="376" t="str">
        <f t="shared" si="44"/>
        <v>32.245</v>
      </c>
      <c r="D2212" s="380"/>
      <c r="E2212" s="381" t="str">
        <f>IF(ISBLANK(D2212)=TRUE,"",VLOOKUP(D2212,Krav!$C:$F,4,FALSE))</f>
        <v/>
      </c>
      <c r="F2212" s="382" t="s">
        <v>226</v>
      </c>
      <c r="G2212" s="383" t="s">
        <v>308</v>
      </c>
      <c r="H2212" s="379" t="s">
        <v>2392</v>
      </c>
      <c r="I2212" s="384" t="s">
        <v>241</v>
      </c>
      <c r="J2212" s="384" t="s">
        <v>222</v>
      </c>
      <c r="K2212" s="384" t="s">
        <v>222</v>
      </c>
      <c r="L2212" s="385" t="s">
        <v>3</v>
      </c>
      <c r="M2212" s="377" t="s">
        <v>129</v>
      </c>
      <c r="N2212" s="377" t="s">
        <v>131</v>
      </c>
      <c r="O2212" s="377" t="s">
        <v>376</v>
      </c>
      <c r="P2212" s="377" t="s">
        <v>96</v>
      </c>
      <c r="Q2212" s="377" t="s">
        <v>131</v>
      </c>
      <c r="R2212" s="377" t="s">
        <v>129</v>
      </c>
      <c r="S2212" s="377" t="s">
        <v>131</v>
      </c>
      <c r="T2212" s="377"/>
      <c r="U2212" s="379" t="s">
        <v>1294</v>
      </c>
      <c r="V2212" s="377"/>
      <c r="W2212" s="377"/>
      <c r="X2212" s="377"/>
      <c r="Y2212" s="377"/>
      <c r="Z2212" s="377"/>
      <c r="AA2212" s="377"/>
      <c r="AB2212" s="377"/>
      <c r="AC2212" s="377"/>
      <c r="AD2212" s="378" t="s">
        <v>5</v>
      </c>
      <c r="AE2212" s="386"/>
      <c r="AF2212" s="386"/>
      <c r="AG2212" s="386"/>
      <c r="AH2212" s="386"/>
      <c r="AI2212" s="386"/>
      <c r="AJ2212" s="386"/>
      <c r="AK2212" s="386"/>
      <c r="AL2212" s="386"/>
    </row>
    <row r="2213" spans="1:38" s="387" customFormat="1" ht="33" customHeight="1" x14ac:dyDescent="0.3">
      <c r="A2213" s="374">
        <v>32</v>
      </c>
      <c r="B2213" s="375">
        <v>246</v>
      </c>
      <c r="C2213" s="376" t="str">
        <f t="shared" si="44"/>
        <v>32.246</v>
      </c>
      <c r="D2213" s="380"/>
      <c r="E2213" s="381" t="str">
        <f>IF(ISBLANK(D2213)=TRUE,"",VLOOKUP(D2213,Krav!$C:$F,4,FALSE))</f>
        <v/>
      </c>
      <c r="F2213" s="382" t="s">
        <v>226</v>
      </c>
      <c r="G2213" s="383" t="s">
        <v>308</v>
      </c>
      <c r="H2213" s="379" t="s">
        <v>2393</v>
      </c>
      <c r="I2213" s="384" t="s">
        <v>241</v>
      </c>
      <c r="J2213" s="384" t="s">
        <v>222</v>
      </c>
      <c r="K2213" s="384" t="s">
        <v>222</v>
      </c>
      <c r="L2213" s="385" t="s">
        <v>3</v>
      </c>
      <c r="M2213" s="377" t="s">
        <v>129</v>
      </c>
      <c r="N2213" s="377" t="s">
        <v>131</v>
      </c>
      <c r="O2213" s="377" t="s">
        <v>376</v>
      </c>
      <c r="P2213" s="377" t="s">
        <v>96</v>
      </c>
      <c r="Q2213" s="377" t="s">
        <v>131</v>
      </c>
      <c r="R2213" s="377" t="s">
        <v>129</v>
      </c>
      <c r="S2213" s="377" t="s">
        <v>131</v>
      </c>
      <c r="T2213" s="377"/>
      <c r="U2213" s="379" t="s">
        <v>1295</v>
      </c>
      <c r="V2213" s="377"/>
      <c r="W2213" s="377"/>
      <c r="X2213" s="377"/>
      <c r="Y2213" s="377"/>
      <c r="Z2213" s="377"/>
      <c r="AA2213" s="377"/>
      <c r="AB2213" s="377"/>
      <c r="AC2213" s="377"/>
      <c r="AD2213" s="378" t="s">
        <v>5</v>
      </c>
      <c r="AE2213" s="386"/>
      <c r="AF2213" s="386"/>
      <c r="AG2213" s="386"/>
      <c r="AH2213" s="386"/>
      <c r="AI2213" s="386"/>
      <c r="AJ2213" s="386"/>
      <c r="AK2213" s="386"/>
      <c r="AL2213" s="386"/>
    </row>
    <row r="2214" spans="1:38" s="387" customFormat="1" ht="33" customHeight="1" x14ac:dyDescent="0.3">
      <c r="A2214" s="374">
        <v>32</v>
      </c>
      <c r="B2214" s="375">
        <v>247</v>
      </c>
      <c r="C2214" s="376" t="str">
        <f t="shared" si="44"/>
        <v>32.247</v>
      </c>
      <c r="D2214" s="380"/>
      <c r="E2214" s="381" t="str">
        <f>IF(ISBLANK(D2214)=TRUE,"",VLOOKUP(D2214,Krav!$C:$F,4,FALSE))</f>
        <v/>
      </c>
      <c r="F2214" s="382" t="s">
        <v>226</v>
      </c>
      <c r="G2214" s="383" t="s">
        <v>308</v>
      </c>
      <c r="H2214" s="379" t="s">
        <v>2394</v>
      </c>
      <c r="I2214" s="384" t="s">
        <v>241</v>
      </c>
      <c r="J2214" s="384" t="s">
        <v>222</v>
      </c>
      <c r="K2214" s="384" t="s">
        <v>222</v>
      </c>
      <c r="L2214" s="385" t="s">
        <v>3</v>
      </c>
      <c r="M2214" s="377" t="s">
        <v>129</v>
      </c>
      <c r="N2214" s="377" t="s">
        <v>131</v>
      </c>
      <c r="O2214" s="377" t="s">
        <v>376</v>
      </c>
      <c r="P2214" s="377" t="s">
        <v>96</v>
      </c>
      <c r="Q2214" s="377" t="s">
        <v>131</v>
      </c>
      <c r="R2214" s="377" t="s">
        <v>129</v>
      </c>
      <c r="S2214" s="377" t="s">
        <v>131</v>
      </c>
      <c r="T2214" s="377"/>
      <c r="U2214" s="379" t="s">
        <v>1296</v>
      </c>
      <c r="V2214" s="377"/>
      <c r="W2214" s="377"/>
      <c r="X2214" s="377"/>
      <c r="Y2214" s="377"/>
      <c r="Z2214" s="377"/>
      <c r="AA2214" s="377"/>
      <c r="AB2214" s="377"/>
      <c r="AC2214" s="377"/>
      <c r="AD2214" s="378" t="s">
        <v>5</v>
      </c>
      <c r="AE2214" s="386"/>
      <c r="AF2214" s="386"/>
      <c r="AG2214" s="386"/>
      <c r="AH2214" s="386"/>
      <c r="AI2214" s="386"/>
      <c r="AJ2214" s="386"/>
      <c r="AK2214" s="386"/>
      <c r="AL2214" s="386"/>
    </row>
    <row r="2215" spans="1:38" s="387" customFormat="1" ht="33" customHeight="1" x14ac:dyDescent="0.3">
      <c r="A2215" s="374">
        <v>32</v>
      </c>
      <c r="B2215" s="375">
        <v>248</v>
      </c>
      <c r="C2215" s="376" t="str">
        <f t="shared" si="44"/>
        <v>32.248</v>
      </c>
      <c r="D2215" s="380"/>
      <c r="E2215" s="381" t="str">
        <f>IF(ISBLANK(D2215)=TRUE,"",VLOOKUP(D2215,Krav!$C:$F,4,FALSE))</f>
        <v/>
      </c>
      <c r="F2215" s="382" t="s">
        <v>226</v>
      </c>
      <c r="G2215" s="383" t="s">
        <v>308</v>
      </c>
      <c r="H2215" s="379" t="s">
        <v>2395</v>
      </c>
      <c r="I2215" s="384" t="s">
        <v>241</v>
      </c>
      <c r="J2215" s="384" t="s">
        <v>222</v>
      </c>
      <c r="K2215" s="384" t="s">
        <v>222</v>
      </c>
      <c r="L2215" s="385" t="s">
        <v>3</v>
      </c>
      <c r="M2215" s="377" t="s">
        <v>129</v>
      </c>
      <c r="N2215" s="377" t="s">
        <v>131</v>
      </c>
      <c r="O2215" s="377" t="s">
        <v>376</v>
      </c>
      <c r="P2215" s="377" t="s">
        <v>96</v>
      </c>
      <c r="Q2215" s="377" t="s">
        <v>131</v>
      </c>
      <c r="R2215" s="377" t="s">
        <v>129</v>
      </c>
      <c r="S2215" s="377" t="s">
        <v>131</v>
      </c>
      <c r="T2215" s="377"/>
      <c r="U2215" s="379" t="s">
        <v>1297</v>
      </c>
      <c r="V2215" s="377"/>
      <c r="W2215" s="377"/>
      <c r="X2215" s="377"/>
      <c r="Y2215" s="377"/>
      <c r="Z2215" s="377"/>
      <c r="AA2215" s="377"/>
      <c r="AB2215" s="377"/>
      <c r="AC2215" s="377"/>
      <c r="AD2215" s="378" t="s">
        <v>5</v>
      </c>
      <c r="AE2215" s="386"/>
      <c r="AF2215" s="386"/>
      <c r="AG2215" s="386"/>
      <c r="AH2215" s="386"/>
      <c r="AI2215" s="386"/>
      <c r="AJ2215" s="386"/>
      <c r="AK2215" s="386"/>
      <c r="AL2215" s="386"/>
    </row>
    <row r="2216" spans="1:38" s="387" customFormat="1" ht="33" customHeight="1" x14ac:dyDescent="0.3">
      <c r="A2216" s="374">
        <v>32</v>
      </c>
      <c r="B2216" s="375">
        <v>249</v>
      </c>
      <c r="C2216" s="376" t="str">
        <f t="shared" si="44"/>
        <v>32.249</v>
      </c>
      <c r="D2216" s="380"/>
      <c r="E2216" s="381" t="str">
        <f>IF(ISBLANK(D2216)=TRUE,"",VLOOKUP(D2216,Krav!$C:$F,4,FALSE))</f>
        <v/>
      </c>
      <c r="F2216" s="382" t="s">
        <v>226</v>
      </c>
      <c r="G2216" s="383" t="s">
        <v>308</v>
      </c>
      <c r="H2216" s="379" t="s">
        <v>2396</v>
      </c>
      <c r="I2216" s="384" t="s">
        <v>241</v>
      </c>
      <c r="J2216" s="384" t="s">
        <v>222</v>
      </c>
      <c r="K2216" s="384" t="s">
        <v>222</v>
      </c>
      <c r="L2216" s="385" t="s">
        <v>3</v>
      </c>
      <c r="M2216" s="377" t="s">
        <v>129</v>
      </c>
      <c r="N2216" s="377" t="s">
        <v>131</v>
      </c>
      <c r="O2216" s="377" t="s">
        <v>376</v>
      </c>
      <c r="P2216" s="377" t="s">
        <v>96</v>
      </c>
      <c r="Q2216" s="377" t="s">
        <v>131</v>
      </c>
      <c r="R2216" s="377" t="s">
        <v>129</v>
      </c>
      <c r="S2216" s="377" t="s">
        <v>131</v>
      </c>
      <c r="T2216" s="377"/>
      <c r="U2216" s="379" t="s">
        <v>1298</v>
      </c>
      <c r="V2216" s="377"/>
      <c r="W2216" s="377"/>
      <c r="X2216" s="377"/>
      <c r="Y2216" s="377"/>
      <c r="Z2216" s="377"/>
      <c r="AA2216" s="377"/>
      <c r="AB2216" s="377"/>
      <c r="AC2216" s="377"/>
      <c r="AD2216" s="378" t="s">
        <v>5</v>
      </c>
      <c r="AE2216" s="386"/>
      <c r="AF2216" s="386"/>
      <c r="AG2216" s="386"/>
      <c r="AH2216" s="386"/>
      <c r="AI2216" s="386"/>
      <c r="AJ2216" s="386"/>
      <c r="AK2216" s="386"/>
      <c r="AL2216" s="386"/>
    </row>
    <row r="2217" spans="1:38" s="387" customFormat="1" ht="33" customHeight="1" x14ac:dyDescent="0.3">
      <c r="A2217" s="374">
        <v>32</v>
      </c>
      <c r="B2217" s="375">
        <v>250</v>
      </c>
      <c r="C2217" s="376" t="str">
        <f t="shared" si="44"/>
        <v>32.250</v>
      </c>
      <c r="D2217" s="380"/>
      <c r="E2217" s="381" t="str">
        <f>IF(ISBLANK(D2217)=TRUE,"",VLOOKUP(D2217,Krav!$C:$F,4,FALSE))</f>
        <v/>
      </c>
      <c r="F2217" s="382" t="s">
        <v>226</v>
      </c>
      <c r="G2217" s="383" t="s">
        <v>308</v>
      </c>
      <c r="H2217" s="379" t="s">
        <v>2392</v>
      </c>
      <c r="I2217" s="384" t="s">
        <v>241</v>
      </c>
      <c r="J2217" s="384" t="s">
        <v>222</v>
      </c>
      <c r="K2217" s="384" t="s">
        <v>222</v>
      </c>
      <c r="L2217" s="385" t="s">
        <v>3</v>
      </c>
      <c r="M2217" s="377" t="s">
        <v>131</v>
      </c>
      <c r="N2217" s="377" t="s">
        <v>129</v>
      </c>
      <c r="O2217" s="377" t="s">
        <v>96</v>
      </c>
      <c r="P2217" s="377" t="s">
        <v>376</v>
      </c>
      <c r="Q2217" s="377" t="s">
        <v>129</v>
      </c>
      <c r="R2217" s="377" t="s">
        <v>131</v>
      </c>
      <c r="S2217" s="377" t="s">
        <v>131</v>
      </c>
      <c r="T2217" s="377"/>
      <c r="U2217" s="379" t="s">
        <v>1294</v>
      </c>
      <c r="V2217" s="377"/>
      <c r="W2217" s="377"/>
      <c r="X2217" s="377"/>
      <c r="Y2217" s="377"/>
      <c r="Z2217" s="377"/>
      <c r="AA2217" s="377"/>
      <c r="AB2217" s="377"/>
      <c r="AC2217" s="377"/>
      <c r="AD2217" s="378" t="s">
        <v>5</v>
      </c>
      <c r="AE2217" s="386"/>
      <c r="AF2217" s="386"/>
      <c r="AG2217" s="386"/>
      <c r="AH2217" s="386"/>
      <c r="AI2217" s="386"/>
      <c r="AJ2217" s="386"/>
      <c r="AK2217" s="386"/>
      <c r="AL2217" s="386"/>
    </row>
    <row r="2218" spans="1:38" s="387" customFormat="1" ht="33" customHeight="1" x14ac:dyDescent="0.3">
      <c r="A2218" s="374">
        <v>32</v>
      </c>
      <c r="B2218" s="375">
        <v>251</v>
      </c>
      <c r="C2218" s="376" t="str">
        <f t="shared" si="44"/>
        <v>32.251</v>
      </c>
      <c r="D2218" s="380"/>
      <c r="E2218" s="381" t="str">
        <f>IF(ISBLANK(D2218)=TRUE,"",VLOOKUP(D2218,Krav!$C:$F,4,FALSE))</f>
        <v/>
      </c>
      <c r="F2218" s="382" t="s">
        <v>226</v>
      </c>
      <c r="G2218" s="383" t="s">
        <v>308</v>
      </c>
      <c r="H2218" s="379" t="s">
        <v>2393</v>
      </c>
      <c r="I2218" s="384" t="s">
        <v>241</v>
      </c>
      <c r="J2218" s="384" t="s">
        <v>222</v>
      </c>
      <c r="K2218" s="384" t="s">
        <v>222</v>
      </c>
      <c r="L2218" s="385" t="s">
        <v>3</v>
      </c>
      <c r="M2218" s="377" t="s">
        <v>131</v>
      </c>
      <c r="N2218" s="377" t="s">
        <v>129</v>
      </c>
      <c r="O2218" s="377" t="s">
        <v>96</v>
      </c>
      <c r="P2218" s="377" t="s">
        <v>376</v>
      </c>
      <c r="Q2218" s="377" t="s">
        <v>129</v>
      </c>
      <c r="R2218" s="377" t="s">
        <v>131</v>
      </c>
      <c r="S2218" s="377" t="s">
        <v>131</v>
      </c>
      <c r="T2218" s="377"/>
      <c r="U2218" s="379" t="s">
        <v>1295</v>
      </c>
      <c r="V2218" s="377"/>
      <c r="W2218" s="377"/>
      <c r="X2218" s="377"/>
      <c r="Y2218" s="377"/>
      <c r="Z2218" s="377"/>
      <c r="AA2218" s="377"/>
      <c r="AB2218" s="377"/>
      <c r="AC2218" s="377"/>
      <c r="AD2218" s="378" t="s">
        <v>5</v>
      </c>
      <c r="AE2218" s="386"/>
      <c r="AF2218" s="386"/>
      <c r="AG2218" s="386"/>
      <c r="AH2218" s="386"/>
      <c r="AI2218" s="386"/>
      <c r="AJ2218" s="386"/>
      <c r="AK2218" s="386"/>
      <c r="AL2218" s="386"/>
    </row>
    <row r="2219" spans="1:38" s="387" customFormat="1" ht="33" customHeight="1" x14ac:dyDescent="0.3">
      <c r="A2219" s="374">
        <v>32</v>
      </c>
      <c r="B2219" s="375">
        <v>252</v>
      </c>
      <c r="C2219" s="376" t="str">
        <f t="shared" si="44"/>
        <v>32.252</v>
      </c>
      <c r="D2219" s="380"/>
      <c r="E2219" s="381" t="str">
        <f>IF(ISBLANK(D2219)=TRUE,"",VLOOKUP(D2219,Krav!$C:$F,4,FALSE))</f>
        <v/>
      </c>
      <c r="F2219" s="382" t="s">
        <v>226</v>
      </c>
      <c r="G2219" s="383" t="s">
        <v>308</v>
      </c>
      <c r="H2219" s="379" t="s">
        <v>2394</v>
      </c>
      <c r="I2219" s="384" t="s">
        <v>241</v>
      </c>
      <c r="J2219" s="384" t="s">
        <v>222</v>
      </c>
      <c r="K2219" s="384" t="s">
        <v>222</v>
      </c>
      <c r="L2219" s="385" t="s">
        <v>3</v>
      </c>
      <c r="M2219" s="377" t="s">
        <v>131</v>
      </c>
      <c r="N2219" s="377" t="s">
        <v>129</v>
      </c>
      <c r="O2219" s="377" t="s">
        <v>96</v>
      </c>
      <c r="P2219" s="377" t="s">
        <v>376</v>
      </c>
      <c r="Q2219" s="377" t="s">
        <v>129</v>
      </c>
      <c r="R2219" s="377" t="s">
        <v>131</v>
      </c>
      <c r="S2219" s="377" t="s">
        <v>131</v>
      </c>
      <c r="T2219" s="377"/>
      <c r="U2219" s="379" t="s">
        <v>1296</v>
      </c>
      <c r="V2219" s="377"/>
      <c r="W2219" s="377"/>
      <c r="X2219" s="377"/>
      <c r="Y2219" s="377"/>
      <c r="Z2219" s="377"/>
      <c r="AA2219" s="377"/>
      <c r="AB2219" s="377"/>
      <c r="AC2219" s="377"/>
      <c r="AD2219" s="378" t="s">
        <v>5</v>
      </c>
      <c r="AE2219" s="386"/>
      <c r="AF2219" s="386"/>
      <c r="AG2219" s="386"/>
      <c r="AH2219" s="386"/>
      <c r="AI2219" s="386"/>
      <c r="AJ2219" s="386"/>
      <c r="AK2219" s="386"/>
      <c r="AL2219" s="386"/>
    </row>
    <row r="2220" spans="1:38" s="387" customFormat="1" ht="33" customHeight="1" x14ac:dyDescent="0.3">
      <c r="A2220" s="374">
        <v>32</v>
      </c>
      <c r="B2220" s="375">
        <v>253</v>
      </c>
      <c r="C2220" s="376" t="str">
        <f t="shared" si="44"/>
        <v>32.253</v>
      </c>
      <c r="D2220" s="380"/>
      <c r="E2220" s="381" t="str">
        <f>IF(ISBLANK(D2220)=TRUE,"",VLOOKUP(D2220,Krav!$C:$F,4,FALSE))</f>
        <v/>
      </c>
      <c r="F2220" s="382" t="s">
        <v>226</v>
      </c>
      <c r="G2220" s="383" t="s">
        <v>308</v>
      </c>
      <c r="H2220" s="379" t="s">
        <v>2395</v>
      </c>
      <c r="I2220" s="384" t="s">
        <v>241</v>
      </c>
      <c r="J2220" s="384" t="s">
        <v>222</v>
      </c>
      <c r="K2220" s="384" t="s">
        <v>222</v>
      </c>
      <c r="L2220" s="385" t="s">
        <v>3</v>
      </c>
      <c r="M2220" s="377" t="s">
        <v>131</v>
      </c>
      <c r="N2220" s="377" t="s">
        <v>129</v>
      </c>
      <c r="O2220" s="377" t="s">
        <v>96</v>
      </c>
      <c r="P2220" s="377" t="s">
        <v>376</v>
      </c>
      <c r="Q2220" s="377" t="s">
        <v>129</v>
      </c>
      <c r="R2220" s="377" t="s">
        <v>131</v>
      </c>
      <c r="S2220" s="377" t="s">
        <v>131</v>
      </c>
      <c r="T2220" s="377"/>
      <c r="U2220" s="379" t="s">
        <v>1297</v>
      </c>
      <c r="V2220" s="377"/>
      <c r="W2220" s="377"/>
      <c r="X2220" s="377"/>
      <c r="Y2220" s="377"/>
      <c r="Z2220" s="377"/>
      <c r="AA2220" s="377"/>
      <c r="AB2220" s="377"/>
      <c r="AC2220" s="377"/>
      <c r="AD2220" s="378" t="s">
        <v>5</v>
      </c>
      <c r="AE2220" s="386"/>
      <c r="AF2220" s="386"/>
      <c r="AG2220" s="386"/>
      <c r="AH2220" s="386"/>
      <c r="AI2220" s="386"/>
      <c r="AJ2220" s="386"/>
      <c r="AK2220" s="386"/>
      <c r="AL2220" s="386"/>
    </row>
    <row r="2221" spans="1:38" s="387" customFormat="1" ht="33" customHeight="1" x14ac:dyDescent="0.3">
      <c r="A2221" s="374">
        <v>32</v>
      </c>
      <c r="B2221" s="375">
        <v>254</v>
      </c>
      <c r="C2221" s="376" t="str">
        <f t="shared" si="44"/>
        <v>32.254</v>
      </c>
      <c r="D2221" s="380"/>
      <c r="E2221" s="381" t="str">
        <f>IF(ISBLANK(D2221)=TRUE,"",VLOOKUP(D2221,Krav!$C:$F,4,FALSE))</f>
        <v/>
      </c>
      <c r="F2221" s="382" t="s">
        <v>226</v>
      </c>
      <c r="G2221" s="383" t="s">
        <v>308</v>
      </c>
      <c r="H2221" s="379" t="s">
        <v>2396</v>
      </c>
      <c r="I2221" s="384" t="s">
        <v>241</v>
      </c>
      <c r="J2221" s="384" t="s">
        <v>222</v>
      </c>
      <c r="K2221" s="384" t="s">
        <v>222</v>
      </c>
      <c r="L2221" s="385" t="s">
        <v>3</v>
      </c>
      <c r="M2221" s="377" t="s">
        <v>131</v>
      </c>
      <c r="N2221" s="377" t="s">
        <v>129</v>
      </c>
      <c r="O2221" s="377" t="s">
        <v>96</v>
      </c>
      <c r="P2221" s="377" t="s">
        <v>376</v>
      </c>
      <c r="Q2221" s="377" t="s">
        <v>129</v>
      </c>
      <c r="R2221" s="377" t="s">
        <v>131</v>
      </c>
      <c r="S2221" s="377" t="s">
        <v>131</v>
      </c>
      <c r="T2221" s="377"/>
      <c r="U2221" s="379" t="s">
        <v>1298</v>
      </c>
      <c r="V2221" s="377"/>
      <c r="W2221" s="377"/>
      <c r="X2221" s="377"/>
      <c r="Y2221" s="377"/>
      <c r="Z2221" s="377"/>
      <c r="AA2221" s="377"/>
      <c r="AB2221" s="377"/>
      <c r="AC2221" s="377"/>
      <c r="AD2221" s="378" t="s">
        <v>5</v>
      </c>
      <c r="AE2221" s="386"/>
      <c r="AF2221" s="386"/>
      <c r="AG2221" s="386"/>
      <c r="AH2221" s="386"/>
      <c r="AI2221" s="386"/>
      <c r="AJ2221" s="386"/>
      <c r="AK2221" s="386"/>
      <c r="AL2221" s="386"/>
    </row>
    <row r="2222" spans="1:38" s="387" customFormat="1" ht="33" customHeight="1" x14ac:dyDescent="0.3">
      <c r="A2222" s="374">
        <v>32</v>
      </c>
      <c r="B2222" s="375">
        <v>255</v>
      </c>
      <c r="C2222" s="376" t="str">
        <f t="shared" si="44"/>
        <v>32.255</v>
      </c>
      <c r="D2222" s="380"/>
      <c r="E2222" s="381" t="str">
        <f>IF(ISBLANK(D2222)=TRUE,"",VLOOKUP(D2222,Krav!$C:$F,4,FALSE))</f>
        <v/>
      </c>
      <c r="F2222" s="382" t="s">
        <v>226</v>
      </c>
      <c r="G2222" s="383" t="s">
        <v>308</v>
      </c>
      <c r="H2222" s="379" t="s">
        <v>2392</v>
      </c>
      <c r="I2222" s="384" t="s">
        <v>241</v>
      </c>
      <c r="J2222" s="384" t="s">
        <v>222</v>
      </c>
      <c r="K2222" s="384" t="s">
        <v>222</v>
      </c>
      <c r="L2222" s="385" t="s">
        <v>3</v>
      </c>
      <c r="M2222" s="377" t="s">
        <v>131</v>
      </c>
      <c r="N2222" s="377" t="s">
        <v>129</v>
      </c>
      <c r="O2222" s="377" t="s">
        <v>376</v>
      </c>
      <c r="P2222" s="377" t="s">
        <v>96</v>
      </c>
      <c r="Q2222" s="377" t="s">
        <v>131</v>
      </c>
      <c r="R2222" s="377" t="s">
        <v>129</v>
      </c>
      <c r="S2222" s="377" t="s">
        <v>131</v>
      </c>
      <c r="T2222" s="377"/>
      <c r="U2222" s="379" t="s">
        <v>1294</v>
      </c>
      <c r="V2222" s="377"/>
      <c r="W2222" s="377"/>
      <c r="X2222" s="377"/>
      <c r="Y2222" s="377"/>
      <c r="Z2222" s="377"/>
      <c r="AA2222" s="377"/>
      <c r="AB2222" s="377"/>
      <c r="AC2222" s="377"/>
      <c r="AD2222" s="378" t="s">
        <v>5</v>
      </c>
      <c r="AE2222" s="386"/>
      <c r="AF2222" s="386"/>
      <c r="AG2222" s="386"/>
      <c r="AH2222" s="386"/>
      <c r="AI2222" s="386"/>
      <c r="AJ2222" s="386"/>
      <c r="AK2222" s="386"/>
      <c r="AL2222" s="386"/>
    </row>
    <row r="2223" spans="1:38" s="387" customFormat="1" ht="33" customHeight="1" x14ac:dyDescent="0.3">
      <c r="A2223" s="374">
        <v>32</v>
      </c>
      <c r="B2223" s="375">
        <v>256</v>
      </c>
      <c r="C2223" s="376" t="str">
        <f t="shared" si="44"/>
        <v>32.256</v>
      </c>
      <c r="D2223" s="380"/>
      <c r="E2223" s="381" t="str">
        <f>IF(ISBLANK(D2223)=TRUE,"",VLOOKUP(D2223,Krav!$C:$F,4,FALSE))</f>
        <v/>
      </c>
      <c r="F2223" s="382" t="s">
        <v>226</v>
      </c>
      <c r="G2223" s="383" t="s">
        <v>308</v>
      </c>
      <c r="H2223" s="379" t="s">
        <v>2393</v>
      </c>
      <c r="I2223" s="384" t="s">
        <v>241</v>
      </c>
      <c r="J2223" s="384" t="s">
        <v>222</v>
      </c>
      <c r="K2223" s="384" t="s">
        <v>222</v>
      </c>
      <c r="L2223" s="385" t="s">
        <v>3</v>
      </c>
      <c r="M2223" s="377" t="s">
        <v>131</v>
      </c>
      <c r="N2223" s="377" t="s">
        <v>129</v>
      </c>
      <c r="O2223" s="377" t="s">
        <v>376</v>
      </c>
      <c r="P2223" s="377" t="s">
        <v>96</v>
      </c>
      <c r="Q2223" s="377" t="s">
        <v>131</v>
      </c>
      <c r="R2223" s="377" t="s">
        <v>129</v>
      </c>
      <c r="S2223" s="377" t="s">
        <v>131</v>
      </c>
      <c r="T2223" s="377"/>
      <c r="U2223" s="379" t="s">
        <v>1295</v>
      </c>
      <c r="V2223" s="377"/>
      <c r="W2223" s="377"/>
      <c r="X2223" s="377"/>
      <c r="Y2223" s="377"/>
      <c r="Z2223" s="377"/>
      <c r="AA2223" s="377"/>
      <c r="AB2223" s="377"/>
      <c r="AC2223" s="377"/>
      <c r="AD2223" s="378" t="s">
        <v>5</v>
      </c>
      <c r="AE2223" s="386"/>
      <c r="AF2223" s="386"/>
      <c r="AG2223" s="386"/>
      <c r="AH2223" s="386"/>
      <c r="AI2223" s="386"/>
      <c r="AJ2223" s="386"/>
      <c r="AK2223" s="386"/>
      <c r="AL2223" s="386"/>
    </row>
    <row r="2224" spans="1:38" s="387" customFormat="1" ht="33" customHeight="1" x14ac:dyDescent="0.3">
      <c r="A2224" s="374">
        <v>32</v>
      </c>
      <c r="B2224" s="375">
        <v>257</v>
      </c>
      <c r="C2224" s="376" t="str">
        <f t="shared" si="44"/>
        <v>32.257</v>
      </c>
      <c r="D2224" s="380"/>
      <c r="E2224" s="381" t="str">
        <f>IF(ISBLANK(D2224)=TRUE,"",VLOOKUP(D2224,Krav!$C:$F,4,FALSE))</f>
        <v/>
      </c>
      <c r="F2224" s="382" t="s">
        <v>226</v>
      </c>
      <c r="G2224" s="383" t="s">
        <v>308</v>
      </c>
      <c r="H2224" s="379" t="s">
        <v>2394</v>
      </c>
      <c r="I2224" s="384" t="s">
        <v>241</v>
      </c>
      <c r="J2224" s="384" t="s">
        <v>222</v>
      </c>
      <c r="K2224" s="384" t="s">
        <v>222</v>
      </c>
      <c r="L2224" s="385" t="s">
        <v>3</v>
      </c>
      <c r="M2224" s="377" t="s">
        <v>131</v>
      </c>
      <c r="N2224" s="377" t="s">
        <v>129</v>
      </c>
      <c r="O2224" s="377" t="s">
        <v>376</v>
      </c>
      <c r="P2224" s="377" t="s">
        <v>96</v>
      </c>
      <c r="Q2224" s="377" t="s">
        <v>131</v>
      </c>
      <c r="R2224" s="377" t="s">
        <v>129</v>
      </c>
      <c r="S2224" s="377" t="s">
        <v>131</v>
      </c>
      <c r="T2224" s="377"/>
      <c r="U2224" s="379" t="s">
        <v>1296</v>
      </c>
      <c r="V2224" s="377"/>
      <c r="W2224" s="377"/>
      <c r="X2224" s="377"/>
      <c r="Y2224" s="377"/>
      <c r="Z2224" s="377"/>
      <c r="AA2224" s="377"/>
      <c r="AB2224" s="377"/>
      <c r="AC2224" s="377"/>
      <c r="AD2224" s="378" t="s">
        <v>5</v>
      </c>
      <c r="AE2224" s="386"/>
      <c r="AF2224" s="386"/>
      <c r="AG2224" s="386"/>
      <c r="AH2224" s="386"/>
      <c r="AI2224" s="386"/>
      <c r="AJ2224" s="386"/>
      <c r="AK2224" s="386"/>
      <c r="AL2224" s="386"/>
    </row>
    <row r="2225" spans="1:38" s="387" customFormat="1" ht="33" customHeight="1" x14ac:dyDescent="0.3">
      <c r="A2225" s="374">
        <v>32</v>
      </c>
      <c r="B2225" s="375">
        <v>258</v>
      </c>
      <c r="C2225" s="376" t="str">
        <f t="shared" si="44"/>
        <v>32.258</v>
      </c>
      <c r="D2225" s="380"/>
      <c r="E2225" s="381" t="str">
        <f>IF(ISBLANK(D2225)=TRUE,"",VLOOKUP(D2225,Krav!$C:$F,4,FALSE))</f>
        <v/>
      </c>
      <c r="F2225" s="382" t="s">
        <v>226</v>
      </c>
      <c r="G2225" s="383" t="s">
        <v>308</v>
      </c>
      <c r="H2225" s="379" t="s">
        <v>2395</v>
      </c>
      <c r="I2225" s="384" t="s">
        <v>241</v>
      </c>
      <c r="J2225" s="384" t="s">
        <v>222</v>
      </c>
      <c r="K2225" s="384" t="s">
        <v>222</v>
      </c>
      <c r="L2225" s="385" t="s">
        <v>3</v>
      </c>
      <c r="M2225" s="377" t="s">
        <v>131</v>
      </c>
      <c r="N2225" s="377" t="s">
        <v>129</v>
      </c>
      <c r="O2225" s="377" t="s">
        <v>376</v>
      </c>
      <c r="P2225" s="377" t="s">
        <v>96</v>
      </c>
      <c r="Q2225" s="377" t="s">
        <v>131</v>
      </c>
      <c r="R2225" s="377" t="s">
        <v>129</v>
      </c>
      <c r="S2225" s="377" t="s">
        <v>131</v>
      </c>
      <c r="T2225" s="377"/>
      <c r="U2225" s="379" t="s">
        <v>1297</v>
      </c>
      <c r="V2225" s="377"/>
      <c r="W2225" s="377"/>
      <c r="X2225" s="377"/>
      <c r="Y2225" s="377"/>
      <c r="Z2225" s="377"/>
      <c r="AA2225" s="377"/>
      <c r="AB2225" s="377"/>
      <c r="AC2225" s="377"/>
      <c r="AD2225" s="378" t="s">
        <v>5</v>
      </c>
      <c r="AE2225" s="386"/>
      <c r="AF2225" s="386"/>
      <c r="AG2225" s="386"/>
      <c r="AH2225" s="386"/>
      <c r="AI2225" s="386"/>
      <c r="AJ2225" s="386"/>
      <c r="AK2225" s="386"/>
      <c r="AL2225" s="386"/>
    </row>
    <row r="2226" spans="1:38" s="387" customFormat="1" ht="33" customHeight="1" x14ac:dyDescent="0.3">
      <c r="A2226" s="374">
        <v>32</v>
      </c>
      <c r="B2226" s="375">
        <v>259</v>
      </c>
      <c r="C2226" s="376" t="str">
        <f t="shared" si="44"/>
        <v>32.259</v>
      </c>
      <c r="D2226" s="380"/>
      <c r="E2226" s="381" t="str">
        <f>IF(ISBLANK(D2226)=TRUE,"",VLOOKUP(D2226,Krav!$C:$F,4,FALSE))</f>
        <v/>
      </c>
      <c r="F2226" s="382" t="s">
        <v>226</v>
      </c>
      <c r="G2226" s="383" t="s">
        <v>308</v>
      </c>
      <c r="H2226" s="379" t="s">
        <v>2396</v>
      </c>
      <c r="I2226" s="384" t="s">
        <v>241</v>
      </c>
      <c r="J2226" s="384" t="s">
        <v>222</v>
      </c>
      <c r="K2226" s="384" t="s">
        <v>222</v>
      </c>
      <c r="L2226" s="385" t="s">
        <v>3</v>
      </c>
      <c r="M2226" s="377" t="s">
        <v>131</v>
      </c>
      <c r="N2226" s="377" t="s">
        <v>129</v>
      </c>
      <c r="O2226" s="377" t="s">
        <v>376</v>
      </c>
      <c r="P2226" s="377" t="s">
        <v>96</v>
      </c>
      <c r="Q2226" s="377" t="s">
        <v>131</v>
      </c>
      <c r="R2226" s="377" t="s">
        <v>129</v>
      </c>
      <c r="S2226" s="377" t="s">
        <v>131</v>
      </c>
      <c r="T2226" s="377"/>
      <c r="U2226" s="379" t="s">
        <v>1298</v>
      </c>
      <c r="V2226" s="377"/>
      <c r="W2226" s="377"/>
      <c r="X2226" s="377"/>
      <c r="Y2226" s="377"/>
      <c r="Z2226" s="377"/>
      <c r="AA2226" s="377"/>
      <c r="AB2226" s="377"/>
      <c r="AC2226" s="377"/>
      <c r="AD2226" s="378" t="s">
        <v>5</v>
      </c>
      <c r="AE2226" s="386"/>
      <c r="AF2226" s="386"/>
      <c r="AG2226" s="386"/>
      <c r="AH2226" s="386"/>
      <c r="AI2226" s="386"/>
      <c r="AJ2226" s="386"/>
      <c r="AK2226" s="386"/>
      <c r="AL2226" s="386"/>
    </row>
    <row r="2227" spans="1:38" s="57" customFormat="1" ht="14.4" x14ac:dyDescent="0.3"/>
    <row r="2228" spans="1:38" s="57" customFormat="1" ht="16.5" customHeight="1" x14ac:dyDescent="0.3">
      <c r="E2228" s="5"/>
      <c r="F2228" s="5"/>
      <c r="H2228" s="5"/>
      <c r="M2228" s="62" t="s">
        <v>1572</v>
      </c>
      <c r="N2228" s="62" t="s">
        <v>1573</v>
      </c>
      <c r="O2228" s="58" t="s">
        <v>335</v>
      </c>
      <c r="P2228" s="58"/>
    </row>
    <row r="2229" spans="1:38" s="57" customFormat="1" ht="16.5" customHeight="1" x14ac:dyDescent="0.3">
      <c r="E2229" s="5"/>
      <c r="F2229" s="5"/>
      <c r="H2229" s="5"/>
      <c r="M2229" s="58" t="s">
        <v>519</v>
      </c>
      <c r="N2229" s="58" t="s">
        <v>1466</v>
      </c>
      <c r="O2229" s="58" t="s">
        <v>12</v>
      </c>
      <c r="P2229" s="58" t="s">
        <v>520</v>
      </c>
    </row>
    <row r="2230" spans="1:38" s="1" customFormat="1" ht="15" customHeight="1" x14ac:dyDescent="0.3">
      <c r="A2230" s="50" t="s">
        <v>6</v>
      </c>
      <c r="B2230" s="51" t="s">
        <v>7</v>
      </c>
      <c r="C2230" s="31" t="s">
        <v>0</v>
      </c>
      <c r="D2230" s="31" t="s">
        <v>22</v>
      </c>
      <c r="E2230" s="52" t="s">
        <v>99</v>
      </c>
      <c r="F2230" s="52" t="s">
        <v>216</v>
      </c>
      <c r="G2230" s="31" t="s">
        <v>217</v>
      </c>
      <c r="H2230" s="52" t="s">
        <v>28</v>
      </c>
      <c r="I2230" s="31" t="s">
        <v>218</v>
      </c>
      <c r="J2230" s="31" t="s">
        <v>219</v>
      </c>
      <c r="K2230" s="31" t="s">
        <v>220</v>
      </c>
      <c r="L2230" s="31" t="s">
        <v>1</v>
      </c>
      <c r="M2230" s="62" t="s">
        <v>1574</v>
      </c>
      <c r="N2230" s="62" t="s">
        <v>1575</v>
      </c>
      <c r="O2230" s="62" t="s">
        <v>233</v>
      </c>
      <c r="P2230" s="62"/>
      <c r="Q2230" s="57"/>
      <c r="R2230" s="57"/>
      <c r="S2230" s="57"/>
      <c r="T2230" s="57"/>
      <c r="U2230" s="57"/>
      <c r="V2230" s="57"/>
      <c r="W2230" s="57"/>
      <c r="X2230" s="57"/>
      <c r="Y2230" s="57"/>
      <c r="Z2230" s="57"/>
      <c r="AA2230" s="57"/>
      <c r="AB2230" s="57"/>
      <c r="AC2230" s="57"/>
      <c r="AD2230" s="57"/>
      <c r="AE2230" s="57"/>
      <c r="AF2230" s="57"/>
    </row>
    <row r="2231" spans="1:38" s="1" customFormat="1" ht="33" customHeight="1" x14ac:dyDescent="0.3">
      <c r="A2231" s="11">
        <v>39</v>
      </c>
      <c r="B2231" s="23">
        <v>1</v>
      </c>
      <c r="C2231" s="24" t="str">
        <f>IF(B2231&lt;10,_xlfn.CONCAT(A2231,".0",B2231),_xlfn.CONCAT(A2231,".",B2231))</f>
        <v>39.01</v>
      </c>
      <c r="D2231" s="12"/>
      <c r="E2231" s="64" t="str">
        <f>IF(ISBLANK(D2231)=TRUE,"",VLOOKUP(D2231,Krav!$C:$F,4,FALSE))</f>
        <v/>
      </c>
      <c r="F2231" s="85" t="s">
        <v>225</v>
      </c>
      <c r="G2231" s="85" t="s">
        <v>1574</v>
      </c>
      <c r="H2231" s="85" t="s">
        <v>1576</v>
      </c>
      <c r="I2231" s="86" t="s">
        <v>1572</v>
      </c>
      <c r="J2231" s="87" t="s">
        <v>222</v>
      </c>
      <c r="K2231" s="127" t="s">
        <v>222</v>
      </c>
      <c r="L2231" s="4" t="s">
        <v>3</v>
      </c>
      <c r="M2231" s="61" t="s">
        <v>129</v>
      </c>
      <c r="N2231" s="61" t="s">
        <v>131</v>
      </c>
      <c r="O2231" s="61" t="s">
        <v>5</v>
      </c>
      <c r="P2231" s="61"/>
      <c r="Q2231" s="57"/>
      <c r="R2231" s="57"/>
      <c r="S2231" s="57"/>
      <c r="T2231" s="57"/>
      <c r="U2231" s="57"/>
      <c r="V2231" s="57"/>
      <c r="W2231" s="57"/>
      <c r="X2231" s="57"/>
      <c r="Y2231" s="57"/>
      <c r="Z2231" s="57"/>
      <c r="AA2231" s="57"/>
      <c r="AB2231" s="57"/>
      <c r="AC2231" s="57"/>
      <c r="AD2231" s="57"/>
      <c r="AE2231" s="57"/>
      <c r="AF2231" s="57"/>
    </row>
    <row r="2232" spans="1:38" s="1" customFormat="1" ht="33" customHeight="1" x14ac:dyDescent="0.3">
      <c r="A2232" s="11">
        <v>39</v>
      </c>
      <c r="B2232" s="23">
        <v>2</v>
      </c>
      <c r="C2232" s="24" t="str">
        <f>IF(B2232&lt;10,_xlfn.CONCAT(A2232,".0",B2232),_xlfn.CONCAT(A2232,".",B2232))</f>
        <v>39.02</v>
      </c>
      <c r="D2232" s="12" t="s">
        <v>1577</v>
      </c>
      <c r="E2232" s="64" t="str">
        <f>IF(ISBLANK(D2232)=TRUE,"",VLOOKUP(D2232,Krav!$C:$F,4,FALSE))</f>
        <v>11.7 - Såfremt relationen imellem "stiftelsesdato" og "periode start" angives skal brugeren ledes til spørgsmål 11.a</v>
      </c>
      <c r="F2232" s="85" t="s">
        <v>143</v>
      </c>
      <c r="G2232" s="85"/>
      <c r="H2232" s="85" t="s">
        <v>1578</v>
      </c>
      <c r="I2232" s="86" t="s">
        <v>1579</v>
      </c>
      <c r="J2232" s="87" t="s">
        <v>222</v>
      </c>
      <c r="K2232" s="128" t="s">
        <v>222</v>
      </c>
      <c r="L2232" s="4" t="s">
        <v>3</v>
      </c>
      <c r="M2232" s="61" t="s">
        <v>129</v>
      </c>
      <c r="N2232" s="61" t="s">
        <v>131</v>
      </c>
      <c r="O2232" s="61" t="s">
        <v>5</v>
      </c>
      <c r="P2232" s="61"/>
      <c r="Q2232" s="57"/>
      <c r="R2232" s="57"/>
      <c r="S2232" s="57"/>
      <c r="T2232" s="57"/>
      <c r="U2232" s="57"/>
      <c r="V2232" s="57"/>
      <c r="W2232" s="57"/>
      <c r="X2232" s="57"/>
      <c r="Y2232" s="57"/>
      <c r="Z2232" s="57"/>
      <c r="AA2232" s="57"/>
      <c r="AB2232" s="57"/>
      <c r="AC2232" s="57"/>
      <c r="AD2232" s="57"/>
      <c r="AE2232" s="57"/>
      <c r="AF2232" s="57"/>
    </row>
    <row r="2233" spans="1:38" s="1" customFormat="1" ht="33" customHeight="1" x14ac:dyDescent="0.3">
      <c r="A2233" s="11">
        <v>39</v>
      </c>
      <c r="B2233" s="23">
        <v>3</v>
      </c>
      <c r="C2233" s="24" t="str">
        <f t="shared" ref="C2233:C2242" si="45">IF(B2233&lt;10,_xlfn.CONCAT(A2233,".0",B2233),_xlfn.CONCAT(A2233,".",B2233))</f>
        <v>39.03</v>
      </c>
      <c r="D2233" s="12"/>
      <c r="E2233" s="64" t="str">
        <f>IF(ISBLANK(D2233)=TRUE,"",VLOOKUP(D2233,Krav!$C:$F,4,FALSE))</f>
        <v/>
      </c>
      <c r="F2233" s="85" t="s">
        <v>225</v>
      </c>
      <c r="G2233" s="85" t="s">
        <v>1575</v>
      </c>
      <c r="H2233" s="85" t="s">
        <v>1576</v>
      </c>
      <c r="I2233" s="86" t="s">
        <v>1573</v>
      </c>
      <c r="J2233" s="87" t="s">
        <v>222</v>
      </c>
      <c r="K2233" s="127" t="s">
        <v>222</v>
      </c>
      <c r="L2233" s="4" t="s">
        <v>3</v>
      </c>
      <c r="M2233" s="61" t="s">
        <v>131</v>
      </c>
      <c r="N2233" s="61" t="s">
        <v>129</v>
      </c>
      <c r="O2233" s="61" t="s">
        <v>5</v>
      </c>
      <c r="P2233" s="61"/>
      <c r="Q2233" s="57"/>
      <c r="R2233" s="57"/>
      <c r="S2233" s="57"/>
      <c r="T2233" s="57"/>
      <c r="U2233" s="57"/>
      <c r="V2233" s="57"/>
      <c r="W2233" s="57"/>
      <c r="X2233" s="57"/>
      <c r="Y2233" s="57"/>
      <c r="Z2233" s="57"/>
      <c r="AA2233" s="57"/>
      <c r="AB2233" s="57"/>
      <c r="AC2233" s="57"/>
      <c r="AD2233" s="57"/>
      <c r="AE2233" s="57"/>
      <c r="AF2233" s="57"/>
    </row>
    <row r="2234" spans="1:38" s="1" customFormat="1" ht="33" customHeight="1" x14ac:dyDescent="0.3">
      <c r="A2234" s="11">
        <v>39</v>
      </c>
      <c r="B2234" s="23">
        <v>4</v>
      </c>
      <c r="C2234" s="24" t="str">
        <f t="shared" si="45"/>
        <v>39.04</v>
      </c>
      <c r="D2234" s="12" t="s">
        <v>1580</v>
      </c>
      <c r="E2234" s="64" t="str">
        <f>IF(ISBLANK(D2234)=TRUE,"",VLOOKUP(D2234,Krav!$C:$F,4,FALSE))</f>
        <v xml:space="preserve">11.6 - Såfremt relationen imellem "stiftelsesdato" og "periode slut" angives skal brugeren ledes til spørgsmål 11.b </v>
      </c>
      <c r="F2234" s="85" t="s">
        <v>143</v>
      </c>
      <c r="G2234" s="85"/>
      <c r="H2234" s="85" t="s">
        <v>1581</v>
      </c>
      <c r="I2234" s="86" t="s">
        <v>1579</v>
      </c>
      <c r="J2234" s="87" t="s">
        <v>222</v>
      </c>
      <c r="K2234" s="128" t="s">
        <v>222</v>
      </c>
      <c r="L2234" s="4" t="s">
        <v>3</v>
      </c>
      <c r="M2234" s="61" t="s">
        <v>131</v>
      </c>
      <c r="N2234" s="61" t="s">
        <v>129</v>
      </c>
      <c r="O2234" s="61" t="s">
        <v>5</v>
      </c>
      <c r="P2234" s="61"/>
      <c r="Q2234" s="57"/>
      <c r="R2234" s="57"/>
      <c r="S2234" s="57"/>
      <c r="T2234" s="57"/>
      <c r="U2234" s="57"/>
      <c r="V2234" s="57"/>
      <c r="W2234" s="57"/>
      <c r="X2234" s="57"/>
      <c r="Y2234" s="57"/>
      <c r="Z2234" s="57"/>
      <c r="AA2234" s="57"/>
      <c r="AB2234" s="57"/>
      <c r="AC2234" s="57"/>
      <c r="AD2234" s="57"/>
      <c r="AE2234" s="57"/>
      <c r="AF2234" s="57"/>
    </row>
    <row r="2235" spans="1:38" s="57" customFormat="1" ht="16.5" customHeight="1" x14ac:dyDescent="0.3">
      <c r="A2235" s="11">
        <v>39</v>
      </c>
      <c r="B2235" s="23">
        <v>5</v>
      </c>
      <c r="C2235" s="24" t="str">
        <f t="shared" si="45"/>
        <v>39.05</v>
      </c>
      <c r="D2235" s="12"/>
      <c r="E2235" s="64" t="str">
        <f>IF(ISBLANK(D2235)=TRUE,"",VLOOKUP(D2235,Krav!$C:$F,4,FALSE))</f>
        <v/>
      </c>
      <c r="F2235" s="334" t="s">
        <v>174</v>
      </c>
      <c r="G2235" s="334"/>
      <c r="H2235" s="85" t="s">
        <v>1582</v>
      </c>
      <c r="I2235" s="87" t="s">
        <v>1583</v>
      </c>
      <c r="J2235" s="87" t="s">
        <v>222</v>
      </c>
      <c r="K2235" s="128" t="s">
        <v>222</v>
      </c>
      <c r="L2235" s="4" t="s">
        <v>4</v>
      </c>
      <c r="M2235" s="61" t="s">
        <v>131</v>
      </c>
      <c r="N2235" s="61" t="s">
        <v>131</v>
      </c>
      <c r="O2235" s="61" t="s">
        <v>5</v>
      </c>
      <c r="P2235" s="61"/>
    </row>
    <row r="2236" spans="1:38" s="57" customFormat="1" ht="16.5" customHeight="1" x14ac:dyDescent="0.3">
      <c r="A2236" s="11">
        <v>39</v>
      </c>
      <c r="B2236" s="23">
        <v>6</v>
      </c>
      <c r="C2236" s="24" t="str">
        <f t="shared" si="45"/>
        <v>39.06</v>
      </c>
      <c r="D2236" s="12"/>
      <c r="E2236" s="64" t="str">
        <f>IF(ISBLANK(D2236)=TRUE,"",VLOOKUP(D2236,Krav!$C:$F,4,FALSE))</f>
        <v/>
      </c>
      <c r="F2236" s="334" t="s">
        <v>418</v>
      </c>
      <c r="G2236" s="334" t="s">
        <v>419</v>
      </c>
      <c r="H2236" s="85" t="s">
        <v>1584</v>
      </c>
      <c r="I2236" s="85" t="s">
        <v>129</v>
      </c>
      <c r="J2236" s="94" t="s">
        <v>222</v>
      </c>
      <c r="K2236" s="128" t="s">
        <v>222</v>
      </c>
      <c r="L2236" s="4" t="s">
        <v>4</v>
      </c>
      <c r="M2236" s="61" t="s">
        <v>131</v>
      </c>
      <c r="N2236" s="61" t="s">
        <v>131</v>
      </c>
      <c r="O2236" s="61" t="s">
        <v>5</v>
      </c>
      <c r="P2236" s="61"/>
    </row>
    <row r="2237" spans="1:38" s="57" customFormat="1" ht="16.5" customHeight="1" x14ac:dyDescent="0.3">
      <c r="A2237" s="11">
        <v>39</v>
      </c>
      <c r="B2237" s="23">
        <v>7</v>
      </c>
      <c r="C2237" s="24" t="str">
        <f t="shared" si="45"/>
        <v>39.07</v>
      </c>
      <c r="D2237" s="18"/>
      <c r="E2237" s="64" t="str">
        <f>IF(ISBLANK(D2237)=TRUE,"",VLOOKUP(D2237,Krav!$C:$F,4,FALSE))</f>
        <v/>
      </c>
      <c r="F2237" s="333" t="s">
        <v>185</v>
      </c>
      <c r="G2237" s="76"/>
      <c r="H2237" s="25" t="s">
        <v>1585</v>
      </c>
      <c r="I2237" s="65" t="s">
        <v>1586</v>
      </c>
      <c r="J2237" s="67" t="s">
        <v>222</v>
      </c>
      <c r="K2237" s="125" t="s">
        <v>222</v>
      </c>
      <c r="L2237" s="20" t="s">
        <v>3</v>
      </c>
      <c r="M2237" s="61"/>
      <c r="N2237" s="61"/>
      <c r="O2237" s="61" t="s">
        <v>5</v>
      </c>
      <c r="P2237" s="61"/>
    </row>
    <row r="2238" spans="1:38" s="57" customFormat="1" ht="16.5" customHeight="1" x14ac:dyDescent="0.3">
      <c r="A2238" s="11">
        <v>39</v>
      </c>
      <c r="B2238" s="23">
        <v>8</v>
      </c>
      <c r="C2238" s="24" t="str">
        <f t="shared" si="45"/>
        <v>39.08</v>
      </c>
      <c r="D2238" s="12"/>
      <c r="E2238" s="64" t="str">
        <f>IF(ISBLANK(D2238)=TRUE,"",VLOOKUP(D2238,Krav!$C:$F,4,FALSE))</f>
        <v/>
      </c>
      <c r="F2238" s="84" t="s">
        <v>418</v>
      </c>
      <c r="G2238" s="85" t="s">
        <v>1364</v>
      </c>
      <c r="H2238" s="84" t="s">
        <v>1571</v>
      </c>
      <c r="I2238" s="85" t="s">
        <v>129</v>
      </c>
      <c r="J2238" s="67" t="s">
        <v>222</v>
      </c>
      <c r="K2238" s="123" t="s">
        <v>222</v>
      </c>
      <c r="L2238" s="20" t="s">
        <v>3</v>
      </c>
      <c r="M2238" s="61"/>
      <c r="N2238" s="61"/>
      <c r="O2238" s="61" t="s">
        <v>5</v>
      </c>
      <c r="P2238" s="61"/>
    </row>
    <row r="2239" spans="1:38" s="57" customFormat="1" ht="16.5" customHeight="1" x14ac:dyDescent="0.3">
      <c r="A2239" s="11">
        <v>39</v>
      </c>
      <c r="B2239" s="23">
        <v>9</v>
      </c>
      <c r="C2239" s="24" t="str">
        <f t="shared" si="45"/>
        <v>39.09</v>
      </c>
      <c r="D2239" s="18"/>
      <c r="E2239" s="64" t="str">
        <f>IF(ISBLANK(D2239)=TRUE,"",VLOOKUP(D2239,Krav!$C:$F,4,FALSE))</f>
        <v/>
      </c>
      <c r="F2239" s="84" t="s">
        <v>224</v>
      </c>
      <c r="G2239" s="85" t="s">
        <v>1574</v>
      </c>
      <c r="H2239" s="25" t="s">
        <v>1587</v>
      </c>
      <c r="I2239" s="65" t="s">
        <v>129</v>
      </c>
      <c r="J2239" s="67" t="s">
        <v>222</v>
      </c>
      <c r="K2239" s="125" t="s">
        <v>222</v>
      </c>
      <c r="L2239" s="20" t="s">
        <v>3</v>
      </c>
      <c r="M2239" s="61" t="s">
        <v>129</v>
      </c>
      <c r="N2239" s="61" t="s">
        <v>131</v>
      </c>
      <c r="O2239" s="61" t="s">
        <v>5</v>
      </c>
      <c r="P2239" s="61"/>
    </row>
    <row r="2240" spans="1:38" s="1" customFormat="1" ht="33" customHeight="1" x14ac:dyDescent="0.3">
      <c r="A2240" s="11">
        <v>39</v>
      </c>
      <c r="B2240" s="23">
        <v>10</v>
      </c>
      <c r="C2240" s="24" t="str">
        <f t="shared" si="45"/>
        <v>39.10</v>
      </c>
      <c r="D2240" s="18"/>
      <c r="E2240" s="64" t="str">
        <f>IF(ISBLANK(D2240)=TRUE,"",VLOOKUP(D2240,Krav!$C:$F,4,FALSE))</f>
        <v/>
      </c>
      <c r="F2240" s="84" t="s">
        <v>224</v>
      </c>
      <c r="G2240" s="85" t="s">
        <v>1575</v>
      </c>
      <c r="H2240" s="25" t="s">
        <v>1587</v>
      </c>
      <c r="I2240" s="65" t="s">
        <v>129</v>
      </c>
      <c r="J2240" s="67" t="s">
        <v>222</v>
      </c>
      <c r="K2240" s="123" t="s">
        <v>222</v>
      </c>
      <c r="L2240" s="20" t="s">
        <v>3</v>
      </c>
      <c r="M2240" s="61" t="s">
        <v>131</v>
      </c>
      <c r="N2240" s="61" t="s">
        <v>129</v>
      </c>
      <c r="O2240" s="61" t="s">
        <v>5</v>
      </c>
      <c r="P2240" s="61"/>
      <c r="Q2240" s="57"/>
      <c r="R2240" s="57"/>
      <c r="S2240" s="57"/>
      <c r="T2240" s="57"/>
      <c r="U2240" s="57"/>
      <c r="V2240" s="57"/>
      <c r="W2240" s="57"/>
      <c r="X2240" s="57"/>
      <c r="Y2240" s="57"/>
      <c r="Z2240" s="57"/>
      <c r="AA2240" s="57"/>
      <c r="AB2240" s="57"/>
      <c r="AC2240" s="57"/>
      <c r="AD2240" s="57"/>
      <c r="AE2240" s="57"/>
      <c r="AF2240" s="57"/>
    </row>
    <row r="2241" spans="1:32" s="1" customFormat="1" ht="33" customHeight="1" x14ac:dyDescent="0.3">
      <c r="A2241" s="11">
        <v>39</v>
      </c>
      <c r="B2241" s="23">
        <v>11</v>
      </c>
      <c r="C2241" s="24" t="str">
        <f t="shared" si="45"/>
        <v>39.11</v>
      </c>
      <c r="D2241" s="18"/>
      <c r="E2241" s="64" t="str">
        <f>IF(ISBLANK(D2241)=TRUE,"",VLOOKUP(D2241,Krav!$C:$F,4,FALSE))</f>
        <v/>
      </c>
      <c r="F2241" s="84" t="s">
        <v>224</v>
      </c>
      <c r="G2241" s="85" t="s">
        <v>1574</v>
      </c>
      <c r="H2241" s="25" t="s">
        <v>1587</v>
      </c>
      <c r="I2241" s="65" t="s">
        <v>131</v>
      </c>
      <c r="J2241" s="67" t="s">
        <v>222</v>
      </c>
      <c r="K2241" s="123" t="s">
        <v>222</v>
      </c>
      <c r="L2241" s="20" t="s">
        <v>3</v>
      </c>
      <c r="M2241" s="61"/>
      <c r="N2241" s="61"/>
      <c r="O2241" s="61" t="s">
        <v>5</v>
      </c>
      <c r="P2241" s="61"/>
      <c r="Q2241" s="57"/>
      <c r="R2241" s="57"/>
      <c r="S2241" s="57"/>
      <c r="T2241" s="57"/>
      <c r="U2241" s="57"/>
      <c r="V2241" s="57"/>
      <c r="W2241" s="57"/>
      <c r="X2241" s="57"/>
      <c r="Y2241" s="57"/>
      <c r="Z2241" s="57"/>
      <c r="AA2241" s="57"/>
      <c r="AB2241" s="57"/>
      <c r="AC2241" s="57"/>
      <c r="AD2241" s="57"/>
      <c r="AE2241" s="57"/>
      <c r="AF2241" s="57"/>
    </row>
    <row r="2242" spans="1:32" s="1" customFormat="1" ht="33" customHeight="1" x14ac:dyDescent="0.3">
      <c r="A2242" s="11">
        <v>39</v>
      </c>
      <c r="B2242" s="23">
        <v>12</v>
      </c>
      <c r="C2242" s="24" t="str">
        <f t="shared" si="45"/>
        <v>39.12</v>
      </c>
      <c r="D2242" s="18"/>
      <c r="E2242" s="64" t="str">
        <f>IF(ISBLANK(D2242)=TRUE,"",VLOOKUP(D2242,Krav!$C:$F,4,FALSE))</f>
        <v/>
      </c>
      <c r="F2242" s="84" t="s">
        <v>224</v>
      </c>
      <c r="G2242" s="85" t="s">
        <v>1575</v>
      </c>
      <c r="H2242" s="25" t="s">
        <v>1587</v>
      </c>
      <c r="I2242" s="65" t="s">
        <v>131</v>
      </c>
      <c r="J2242" s="67" t="s">
        <v>222</v>
      </c>
      <c r="K2242" s="123" t="s">
        <v>222</v>
      </c>
      <c r="L2242" s="20" t="s">
        <v>3</v>
      </c>
      <c r="M2242" s="61"/>
      <c r="N2242" s="61"/>
      <c r="O2242" s="61" t="s">
        <v>5</v>
      </c>
      <c r="P2242" s="61"/>
      <c r="Q2242" s="57"/>
      <c r="R2242" s="57"/>
      <c r="S2242" s="57"/>
      <c r="T2242" s="57"/>
      <c r="U2242" s="57"/>
      <c r="V2242" s="57"/>
      <c r="W2242" s="57"/>
      <c r="X2242" s="57"/>
      <c r="Y2242" s="57"/>
      <c r="Z2242" s="57"/>
      <c r="AA2242" s="57"/>
      <c r="AB2242" s="57"/>
      <c r="AC2242" s="57"/>
      <c r="AD2242" s="57"/>
      <c r="AE2242" s="57"/>
      <c r="AF2242" s="57"/>
    </row>
    <row r="2244" spans="1:32" s="1" customFormat="1" ht="15" customHeight="1" x14ac:dyDescent="0.3">
      <c r="A2244" s="50" t="s">
        <v>6</v>
      </c>
      <c r="B2244" s="51" t="s">
        <v>7</v>
      </c>
      <c r="C2244" s="31" t="s">
        <v>0</v>
      </c>
      <c r="D2244" s="31" t="s">
        <v>22</v>
      </c>
      <c r="E2244" s="52" t="s">
        <v>99</v>
      </c>
      <c r="F2244" s="52" t="s">
        <v>216</v>
      </c>
      <c r="G2244" s="133" t="s">
        <v>217</v>
      </c>
      <c r="H2244" s="52" t="s">
        <v>28</v>
      </c>
      <c r="I2244" s="31" t="s">
        <v>218</v>
      </c>
      <c r="J2244" s="31" t="s">
        <v>219</v>
      </c>
      <c r="K2244" s="31" t="s">
        <v>220</v>
      </c>
      <c r="L2244" s="31" t="s">
        <v>1</v>
      </c>
      <c r="M2244" s="58" t="s">
        <v>1388</v>
      </c>
      <c r="N2244" s="58" t="s">
        <v>1390</v>
      </c>
      <c r="O2244" s="62" t="s">
        <v>361</v>
      </c>
      <c r="P2244" s="62" t="s">
        <v>234</v>
      </c>
      <c r="Q2244" s="62" t="s">
        <v>233</v>
      </c>
      <c r="R2244" s="62"/>
      <c r="S2244" s="57"/>
      <c r="T2244" s="57"/>
      <c r="U2244" s="57"/>
      <c r="V2244" s="57"/>
      <c r="W2244" s="57"/>
      <c r="X2244" s="57"/>
      <c r="Y2244" s="57"/>
      <c r="Z2244" s="57"/>
      <c r="AA2244" s="57"/>
      <c r="AB2244" s="57"/>
    </row>
    <row r="2245" spans="1:32" s="1" customFormat="1" ht="33" customHeight="1" x14ac:dyDescent="0.3">
      <c r="A2245" s="11">
        <v>21</v>
      </c>
      <c r="B2245" s="23">
        <v>1</v>
      </c>
      <c r="C2245" s="24" t="str">
        <f>IF(B2245&lt;10,_xlfn.CONCAT(A2245,".0",B2245),_xlfn.CONCAT(A2245,".",B2245))</f>
        <v>21.01</v>
      </c>
      <c r="D2245" s="12"/>
      <c r="E2245" s="64" t="str">
        <f>IF(ISBLANK(D2245)=TRUE,"",VLOOKUP(D2245,Krav!$C:$F,4,FALSE))</f>
        <v/>
      </c>
      <c r="F2245" s="85" t="s">
        <v>225</v>
      </c>
      <c r="G2245" s="336" t="s">
        <v>1388</v>
      </c>
      <c r="H2245" s="85" t="s">
        <v>1576</v>
      </c>
      <c r="I2245" s="86" t="s">
        <v>2053</v>
      </c>
      <c r="J2245" s="87" t="s">
        <v>222</v>
      </c>
      <c r="K2245" s="123" t="s">
        <v>222</v>
      </c>
      <c r="L2245" s="4" t="s">
        <v>3</v>
      </c>
      <c r="M2245" s="61" t="s">
        <v>376</v>
      </c>
      <c r="N2245" s="61" t="s">
        <v>131</v>
      </c>
      <c r="O2245" s="61"/>
      <c r="P2245" s="61"/>
      <c r="Q2245" s="61" t="s">
        <v>5</v>
      </c>
      <c r="R2245" s="61"/>
      <c r="S2245" s="57"/>
      <c r="T2245" s="57"/>
      <c r="U2245" s="57"/>
      <c r="V2245" s="57"/>
      <c r="W2245" s="57"/>
      <c r="X2245" s="57"/>
      <c r="Y2245" s="57"/>
      <c r="Z2245" s="57"/>
      <c r="AA2245" s="57"/>
      <c r="AB2245" s="57"/>
    </row>
    <row r="2246" spans="1:32" s="1" customFormat="1" ht="33" customHeight="1" x14ac:dyDescent="0.3">
      <c r="A2246" s="11">
        <v>21</v>
      </c>
      <c r="B2246" s="23">
        <v>2</v>
      </c>
      <c r="C2246" s="24" t="str">
        <f>IF(B2246&lt;10,_xlfn.CONCAT(A2246,".0",B2246),_xlfn.CONCAT(A2246,".",B2246))</f>
        <v>21.02</v>
      </c>
      <c r="D2246" s="12" t="s">
        <v>2090</v>
      </c>
      <c r="E2246" s="64" t="str">
        <f>IF(ISBLANK(D2246)=TRUE,"",VLOOKUP(D2246,Krav!$C:$F,4,FALSE))</f>
        <v>12.a.1 - Det angivne beløb fra spørgsmål 12 indsættes i regel R0072</v>
      </c>
      <c r="F2246" s="85" t="s">
        <v>226</v>
      </c>
      <c r="G2246" s="53" t="s">
        <v>2054</v>
      </c>
      <c r="H2246" s="85" t="s">
        <v>2018</v>
      </c>
      <c r="I2246" s="86" t="s">
        <v>376</v>
      </c>
      <c r="J2246" s="87" t="s">
        <v>222</v>
      </c>
      <c r="K2246" s="123" t="s">
        <v>222</v>
      </c>
      <c r="L2246" s="4" t="s">
        <v>3</v>
      </c>
      <c r="M2246" s="61" t="s">
        <v>376</v>
      </c>
      <c r="N2246" s="61" t="s">
        <v>131</v>
      </c>
      <c r="O2246" s="61"/>
      <c r="P2246" s="61" t="s">
        <v>2019</v>
      </c>
      <c r="Q2246" s="61" t="s">
        <v>5</v>
      </c>
      <c r="R2246" s="61"/>
      <c r="S2246" s="57"/>
      <c r="T2246" s="57"/>
      <c r="U2246" s="57"/>
      <c r="V2246" s="57"/>
      <c r="W2246" s="57"/>
      <c r="X2246" s="57"/>
      <c r="Y2246" s="57"/>
      <c r="Z2246" s="57"/>
      <c r="AA2246" s="57"/>
      <c r="AB2246" s="57"/>
    </row>
    <row r="2247" spans="1:32" s="1" customFormat="1" ht="33" customHeight="1" x14ac:dyDescent="0.3">
      <c r="A2247" s="11">
        <v>21</v>
      </c>
      <c r="B2247" s="23">
        <v>3</v>
      </c>
      <c r="C2247" s="24" t="str">
        <f t="shared" ref="C2247:C2296" si="46">IF(B2247&lt;10,_xlfn.CONCAT(A2247,".0",B2247),_xlfn.CONCAT(A2247,".",B2247))</f>
        <v>21.03</v>
      </c>
      <c r="D2247" s="12" t="s">
        <v>2091</v>
      </c>
      <c r="E2247" s="64" t="str">
        <f>IF(ISBLANK(D2247)=TRUE,"",VLOOKUP(D2247,Krav!$C:$F,4,FALSE))</f>
        <v>12.a.2 - Det angivne beløb fra spørgsmål 12 indsættes i regel R0073</v>
      </c>
      <c r="F2247" s="85" t="s">
        <v>226</v>
      </c>
      <c r="G2247" s="53" t="s">
        <v>2054</v>
      </c>
      <c r="H2247" s="85" t="s">
        <v>2021</v>
      </c>
      <c r="I2247" s="86" t="s">
        <v>376</v>
      </c>
      <c r="J2247" s="87" t="s">
        <v>222</v>
      </c>
      <c r="K2247" s="123" t="s">
        <v>222</v>
      </c>
      <c r="L2247" s="4" t="s">
        <v>3</v>
      </c>
      <c r="M2247" s="61" t="s">
        <v>376</v>
      </c>
      <c r="N2247" s="61" t="s">
        <v>131</v>
      </c>
      <c r="O2247" s="61"/>
      <c r="P2247" s="61" t="s">
        <v>2022</v>
      </c>
      <c r="Q2247" s="61" t="s">
        <v>5</v>
      </c>
      <c r="R2247" s="61"/>
      <c r="S2247" s="57"/>
      <c r="T2247" s="57"/>
      <c r="U2247" s="57"/>
      <c r="V2247" s="57"/>
      <c r="W2247" s="57"/>
      <c r="X2247" s="57"/>
      <c r="Y2247" s="57"/>
      <c r="Z2247" s="57"/>
      <c r="AA2247" s="57"/>
      <c r="AB2247" s="57"/>
    </row>
    <row r="2248" spans="1:32" s="1" customFormat="1" ht="33" customHeight="1" x14ac:dyDescent="0.3">
      <c r="A2248" s="11">
        <v>21</v>
      </c>
      <c r="B2248" s="23">
        <v>4</v>
      </c>
      <c r="C2248" s="24" t="str">
        <f>IF(B2248&lt;10,_xlfn.CONCAT(A2248,".0",B2248),_xlfn.CONCAT(A2248,".",B2248))</f>
        <v>21.04</v>
      </c>
      <c r="D2248" s="12" t="s">
        <v>2092</v>
      </c>
      <c r="E2248" s="64" t="str">
        <f>IF(ISBLANK(D2248)=TRUE,"",VLOOKUP(D2248,Krav!$C:$F,4,FALSE))</f>
        <v>12.a.3 - Regel R0072 aktiveres</v>
      </c>
      <c r="F2248" s="85" t="s">
        <v>226</v>
      </c>
      <c r="G2248" s="19" t="s">
        <v>308</v>
      </c>
      <c r="H2248" s="85" t="s">
        <v>2024</v>
      </c>
      <c r="I2248" s="86" t="s">
        <v>240</v>
      </c>
      <c r="J2248" s="87" t="s">
        <v>222</v>
      </c>
      <c r="K2248" s="123" t="s">
        <v>222</v>
      </c>
      <c r="L2248" s="4" t="s">
        <v>3</v>
      </c>
      <c r="M2248" s="61" t="s">
        <v>376</v>
      </c>
      <c r="N2248" s="61" t="s">
        <v>131</v>
      </c>
      <c r="O2248" s="61"/>
      <c r="P2248" s="61" t="s">
        <v>2019</v>
      </c>
      <c r="Q2248" s="61" t="s">
        <v>5</v>
      </c>
      <c r="R2248" s="61"/>
      <c r="S2248" s="57"/>
      <c r="T2248" s="57"/>
      <c r="U2248" s="57"/>
      <c r="V2248" s="57"/>
      <c r="W2248" s="57"/>
      <c r="X2248" s="57"/>
      <c r="Y2248" s="57"/>
      <c r="Z2248" s="57"/>
      <c r="AA2248" s="57"/>
      <c r="AB2248" s="57"/>
    </row>
    <row r="2249" spans="1:32" s="1" customFormat="1" ht="33" customHeight="1" x14ac:dyDescent="0.3">
      <c r="A2249" s="11">
        <v>21</v>
      </c>
      <c r="B2249" s="23">
        <v>5</v>
      </c>
      <c r="C2249" s="24" t="str">
        <f t="shared" ref="C2249" si="47">IF(B2249&lt;10,_xlfn.CONCAT(A2249,".0",B2249),_xlfn.CONCAT(A2249,".",B2249))</f>
        <v>21.05</v>
      </c>
      <c r="D2249" s="12" t="s">
        <v>2093</v>
      </c>
      <c r="E2249" s="64" t="str">
        <f>IF(ISBLANK(D2249)=TRUE,"",VLOOKUP(D2249,Krav!$C:$F,4,FALSE))</f>
        <v>12.a.4 - Regel R0073 aktiveres</v>
      </c>
      <c r="F2249" s="85" t="s">
        <v>226</v>
      </c>
      <c r="G2249" s="19" t="s">
        <v>308</v>
      </c>
      <c r="H2249" s="85" t="s">
        <v>2026</v>
      </c>
      <c r="I2249" s="86" t="s">
        <v>240</v>
      </c>
      <c r="J2249" s="87" t="s">
        <v>222</v>
      </c>
      <c r="K2249" s="123" t="s">
        <v>222</v>
      </c>
      <c r="L2249" s="4" t="s">
        <v>3</v>
      </c>
      <c r="M2249" s="61" t="s">
        <v>376</v>
      </c>
      <c r="N2249" s="61" t="s">
        <v>131</v>
      </c>
      <c r="O2249" s="61"/>
      <c r="P2249" s="61" t="s">
        <v>2022</v>
      </c>
      <c r="Q2249" s="61" t="s">
        <v>5</v>
      </c>
      <c r="R2249" s="61"/>
      <c r="S2249" s="57"/>
      <c r="T2249" s="57"/>
      <c r="U2249" s="57"/>
      <c r="V2249" s="57"/>
      <c r="W2249" s="57"/>
      <c r="X2249" s="57"/>
      <c r="Y2249" s="57"/>
      <c r="Z2249" s="57"/>
      <c r="AA2249" s="57"/>
      <c r="AB2249" s="57"/>
    </row>
    <row r="2250" spans="1:32" s="1" customFormat="1" ht="33" customHeight="1" x14ac:dyDescent="0.3">
      <c r="A2250" s="11">
        <v>21</v>
      </c>
      <c r="B2250" s="23">
        <v>6</v>
      </c>
      <c r="C2250" s="24" t="str">
        <f t="shared" si="46"/>
        <v>21.06</v>
      </c>
      <c r="D2250" s="12" t="s">
        <v>2094</v>
      </c>
      <c r="E2250" s="64" t="str">
        <f>IF(ISBLANK(D2250)=TRUE,"",VLOOKUP(D2250,Krav!$C:$F,4,FALSE))</f>
        <v>12.a.5 - Gruppe 5 aktiveres</v>
      </c>
      <c r="F2250" s="85" t="s">
        <v>227</v>
      </c>
      <c r="G2250" s="85"/>
      <c r="H2250" s="85" t="s">
        <v>2028</v>
      </c>
      <c r="I2250" s="86" t="s">
        <v>240</v>
      </c>
      <c r="J2250" s="87" t="s">
        <v>222</v>
      </c>
      <c r="K2250" s="123" t="s">
        <v>222</v>
      </c>
      <c r="L2250" s="4" t="s">
        <v>3</v>
      </c>
      <c r="M2250" s="61" t="s">
        <v>376</v>
      </c>
      <c r="N2250" s="61" t="s">
        <v>131</v>
      </c>
      <c r="O2250" s="61" t="s">
        <v>2029</v>
      </c>
      <c r="P2250" s="61"/>
      <c r="Q2250" s="61" t="s">
        <v>5</v>
      </c>
      <c r="R2250" s="61"/>
      <c r="S2250" s="57"/>
      <c r="T2250" s="57"/>
      <c r="U2250" s="57"/>
      <c r="V2250" s="57"/>
      <c r="W2250" s="57"/>
      <c r="X2250" s="57"/>
      <c r="Y2250" s="57"/>
      <c r="Z2250" s="57"/>
      <c r="AA2250" s="57"/>
      <c r="AB2250" s="57"/>
    </row>
    <row r="2251" spans="1:32" s="57" customFormat="1" ht="16.5" customHeight="1" x14ac:dyDescent="0.3">
      <c r="A2251" s="11">
        <v>21</v>
      </c>
      <c r="B2251" s="23">
        <v>7</v>
      </c>
      <c r="C2251" s="24" t="str">
        <f t="shared" si="46"/>
        <v>21.07</v>
      </c>
      <c r="D2251" s="12" t="s">
        <v>2095</v>
      </c>
      <c r="E2251" s="64" t="str">
        <f>IF(ISBLANK(D2251)=TRUE,"",VLOOKUP(D2251,Krav!$C:$F,4,FALSE))</f>
        <v>12.a.6 - Regel R0074 deaktiveres</v>
      </c>
      <c r="F2251" s="85" t="s">
        <v>226</v>
      </c>
      <c r="G2251" s="19" t="s">
        <v>308</v>
      </c>
      <c r="H2251" s="85" t="s">
        <v>2031</v>
      </c>
      <c r="I2251" s="87" t="s">
        <v>241</v>
      </c>
      <c r="J2251" s="87" t="s">
        <v>222</v>
      </c>
      <c r="K2251" s="123" t="s">
        <v>222</v>
      </c>
      <c r="L2251" s="4" t="s">
        <v>3</v>
      </c>
      <c r="M2251" s="61" t="s">
        <v>376</v>
      </c>
      <c r="N2251" s="61" t="s">
        <v>131</v>
      </c>
      <c r="O2251" s="61"/>
      <c r="P2251" s="61" t="s">
        <v>2032</v>
      </c>
      <c r="Q2251" s="61" t="s">
        <v>5</v>
      </c>
      <c r="R2251" s="61"/>
    </row>
    <row r="2252" spans="1:32" s="57" customFormat="1" ht="16.5" customHeight="1" x14ac:dyDescent="0.3">
      <c r="A2252" s="11">
        <v>21</v>
      </c>
      <c r="B2252" s="23">
        <v>8</v>
      </c>
      <c r="C2252" s="24" t="str">
        <f t="shared" si="46"/>
        <v>21.08</v>
      </c>
      <c r="D2252" s="12" t="s">
        <v>2096</v>
      </c>
      <c r="E2252" s="64" t="str">
        <f>IF(ISBLANK(D2252)=TRUE,"",VLOOKUP(D2252,Krav!$C:$F,4,FALSE))</f>
        <v>12.a.7 - Regel R0103 deaktiveres</v>
      </c>
      <c r="F2252" s="85" t="s">
        <v>226</v>
      </c>
      <c r="G2252" s="19" t="s">
        <v>308</v>
      </c>
      <c r="H2252" s="85" t="s">
        <v>2034</v>
      </c>
      <c r="I2252" s="87" t="s">
        <v>241</v>
      </c>
      <c r="J2252" s="94" t="s">
        <v>222</v>
      </c>
      <c r="K2252" s="123" t="s">
        <v>222</v>
      </c>
      <c r="L2252" s="4" t="s">
        <v>3</v>
      </c>
      <c r="M2252" s="61" t="s">
        <v>376</v>
      </c>
      <c r="N2252" s="61" t="s">
        <v>131</v>
      </c>
      <c r="O2252" s="61"/>
      <c r="P2252" s="61" t="s">
        <v>2035</v>
      </c>
      <c r="Q2252" s="61" t="s">
        <v>5</v>
      </c>
      <c r="R2252" s="61"/>
    </row>
    <row r="2253" spans="1:32" s="57" customFormat="1" ht="16.5" customHeight="1" x14ac:dyDescent="0.3">
      <c r="A2253" s="11">
        <v>21</v>
      </c>
      <c r="B2253" s="23">
        <v>9</v>
      </c>
      <c r="C2253" s="24" t="str">
        <f t="shared" si="46"/>
        <v>21.09</v>
      </c>
      <c r="D2253" s="18" t="s">
        <v>2097</v>
      </c>
      <c r="E2253" s="64" t="str">
        <f>IF(ISBLANK(D2253)=TRUE,"",VLOOKUP(D2253,Krav!$C:$F,4,FALSE))</f>
        <v>12.a.8 - Gruppe 6 deaktiveres</v>
      </c>
      <c r="F2253" s="85" t="s">
        <v>227</v>
      </c>
      <c r="G2253" s="76"/>
      <c r="H2253" s="85" t="s">
        <v>2037</v>
      </c>
      <c r="I2253" s="87" t="s">
        <v>241</v>
      </c>
      <c r="J2253" s="67" t="s">
        <v>222</v>
      </c>
      <c r="K2253" s="123" t="s">
        <v>222</v>
      </c>
      <c r="L2253" s="4" t="s">
        <v>3</v>
      </c>
      <c r="M2253" s="61" t="s">
        <v>376</v>
      </c>
      <c r="N2253" s="61" t="s">
        <v>131</v>
      </c>
      <c r="O2253" s="61" t="s">
        <v>2055</v>
      </c>
      <c r="P2253" s="61"/>
      <c r="Q2253" s="61" t="s">
        <v>5</v>
      </c>
      <c r="R2253" s="61"/>
    </row>
    <row r="2254" spans="1:32" s="1" customFormat="1" ht="33" customHeight="1" x14ac:dyDescent="0.3">
      <c r="A2254" s="11">
        <v>21</v>
      </c>
      <c r="B2254" s="23">
        <v>10</v>
      </c>
      <c r="C2254" s="24" t="str">
        <f>IF(B2254&lt;10,_xlfn.CONCAT(A2254,".0",B2254),_xlfn.CONCAT(A2254,".",B2254))</f>
        <v>21.10</v>
      </c>
      <c r="D2254" s="12"/>
      <c r="E2254" s="64" t="str">
        <f>IF(ISBLANK(D2254)=TRUE,"",VLOOKUP(D2254,Krav!$C:$F,4,FALSE))</f>
        <v/>
      </c>
      <c r="F2254" s="85" t="s">
        <v>225</v>
      </c>
      <c r="G2254" s="336" t="s">
        <v>1388</v>
      </c>
      <c r="H2254" s="85" t="s">
        <v>1576</v>
      </c>
      <c r="I2254" s="61" t="s">
        <v>2056</v>
      </c>
      <c r="J2254" s="87" t="s">
        <v>222</v>
      </c>
      <c r="K2254" s="123" t="s">
        <v>222</v>
      </c>
      <c r="L2254" s="4" t="s">
        <v>3</v>
      </c>
      <c r="M2254" s="61" t="s">
        <v>2038</v>
      </c>
      <c r="N2254" s="61" t="s">
        <v>131</v>
      </c>
      <c r="O2254" s="61"/>
      <c r="P2254" s="61"/>
      <c r="Q2254" s="61" t="s">
        <v>5</v>
      </c>
      <c r="R2254" s="61"/>
      <c r="S2254" s="57"/>
      <c r="T2254" s="57"/>
      <c r="U2254" s="57"/>
      <c r="V2254" s="57"/>
      <c r="W2254" s="57"/>
      <c r="X2254" s="57"/>
      <c r="Y2254" s="57"/>
      <c r="Z2254" s="57"/>
      <c r="AA2254" s="57"/>
      <c r="AB2254" s="57"/>
    </row>
    <row r="2255" spans="1:32" s="1" customFormat="1" ht="33" customHeight="1" x14ac:dyDescent="0.3">
      <c r="A2255" s="11">
        <v>21</v>
      </c>
      <c r="B2255" s="23">
        <v>11</v>
      </c>
      <c r="C2255" s="24" t="str">
        <f>IF(B2255&lt;10,_xlfn.CONCAT(A2255,".0",B2255),_xlfn.CONCAT(A2255,".",B2255))</f>
        <v>21.11</v>
      </c>
      <c r="D2255" s="12" t="s">
        <v>2090</v>
      </c>
      <c r="E2255" s="64" t="str">
        <f>IF(ISBLANK(D2255)=TRUE,"",VLOOKUP(D2255,Krav!$C:$F,4,FALSE))</f>
        <v>12.a.1 - Det angivne beløb fra spørgsmål 12 indsættes i regel R0072</v>
      </c>
      <c r="F2255" s="85" t="s">
        <v>226</v>
      </c>
      <c r="G2255" s="53" t="s">
        <v>2054</v>
      </c>
      <c r="H2255" s="85" t="s">
        <v>2018</v>
      </c>
      <c r="I2255" s="61" t="s">
        <v>2038</v>
      </c>
      <c r="J2255" s="87" t="s">
        <v>222</v>
      </c>
      <c r="K2255" s="123" t="s">
        <v>222</v>
      </c>
      <c r="L2255" s="4" t="s">
        <v>3</v>
      </c>
      <c r="M2255" s="61" t="s">
        <v>2038</v>
      </c>
      <c r="N2255" s="61" t="s">
        <v>131</v>
      </c>
      <c r="O2255" s="61"/>
      <c r="P2255" s="61" t="s">
        <v>2019</v>
      </c>
      <c r="Q2255" s="61" t="s">
        <v>5</v>
      </c>
      <c r="R2255" s="61"/>
      <c r="S2255" s="57"/>
      <c r="T2255" s="57"/>
      <c r="U2255" s="57"/>
      <c r="V2255" s="57"/>
      <c r="W2255" s="57"/>
      <c r="X2255" s="57"/>
      <c r="Y2255" s="57"/>
      <c r="Z2255" s="57"/>
      <c r="AA2255" s="57"/>
      <c r="AB2255" s="57"/>
    </row>
    <row r="2256" spans="1:32" s="1" customFormat="1" ht="33" customHeight="1" x14ac:dyDescent="0.3">
      <c r="A2256" s="11">
        <v>21</v>
      </c>
      <c r="B2256" s="23">
        <v>12</v>
      </c>
      <c r="C2256" s="24" t="str">
        <f t="shared" ref="C2256" si="48">IF(B2256&lt;10,_xlfn.CONCAT(A2256,".0",B2256),_xlfn.CONCAT(A2256,".",B2256))</f>
        <v>21.12</v>
      </c>
      <c r="D2256" s="12" t="s">
        <v>2091</v>
      </c>
      <c r="E2256" s="64" t="str">
        <f>IF(ISBLANK(D2256)=TRUE,"",VLOOKUP(D2256,Krav!$C:$F,4,FALSE))</f>
        <v>12.a.2 - Det angivne beløb fra spørgsmål 12 indsættes i regel R0073</v>
      </c>
      <c r="F2256" s="85" t="s">
        <v>226</v>
      </c>
      <c r="G2256" s="53" t="s">
        <v>2054</v>
      </c>
      <c r="H2256" s="85" t="s">
        <v>2021</v>
      </c>
      <c r="I2256" s="61" t="s">
        <v>2038</v>
      </c>
      <c r="J2256" s="87" t="s">
        <v>222</v>
      </c>
      <c r="K2256" s="123" t="s">
        <v>222</v>
      </c>
      <c r="L2256" s="4" t="s">
        <v>3</v>
      </c>
      <c r="M2256" s="61" t="s">
        <v>2038</v>
      </c>
      <c r="N2256" s="61" t="s">
        <v>131</v>
      </c>
      <c r="O2256" s="61"/>
      <c r="P2256" s="61" t="s">
        <v>2022</v>
      </c>
      <c r="Q2256" s="61" t="s">
        <v>5</v>
      </c>
      <c r="R2256" s="61"/>
      <c r="S2256" s="57"/>
      <c r="T2256" s="57"/>
      <c r="U2256" s="57"/>
      <c r="V2256" s="57"/>
      <c r="W2256" s="57"/>
      <c r="X2256" s="57"/>
      <c r="Y2256" s="57"/>
      <c r="Z2256" s="57"/>
      <c r="AA2256" s="57"/>
      <c r="AB2256" s="57"/>
    </row>
    <row r="2257" spans="1:28" s="1" customFormat="1" ht="33" customHeight="1" x14ac:dyDescent="0.3">
      <c r="A2257" s="11">
        <v>21</v>
      </c>
      <c r="B2257" s="23">
        <v>13</v>
      </c>
      <c r="C2257" s="24" t="str">
        <f>IF(B2257&lt;10,_xlfn.CONCAT(A2257,".0",B2257),_xlfn.CONCAT(A2257,".",B2257))</f>
        <v>21.13</v>
      </c>
      <c r="D2257" s="12" t="s">
        <v>2092</v>
      </c>
      <c r="E2257" s="64" t="str">
        <f>IF(ISBLANK(D2257)=TRUE,"",VLOOKUP(D2257,Krav!$C:$F,4,FALSE))</f>
        <v>12.a.3 - Regel R0072 aktiveres</v>
      </c>
      <c r="F2257" s="85" t="s">
        <v>226</v>
      </c>
      <c r="G2257" s="19" t="s">
        <v>308</v>
      </c>
      <c r="H2257" s="85" t="s">
        <v>2024</v>
      </c>
      <c r="I2257" s="86" t="s">
        <v>240</v>
      </c>
      <c r="J2257" s="87" t="s">
        <v>222</v>
      </c>
      <c r="K2257" s="123" t="s">
        <v>222</v>
      </c>
      <c r="L2257" s="4" t="s">
        <v>3</v>
      </c>
      <c r="M2257" s="61" t="s">
        <v>2038</v>
      </c>
      <c r="N2257" s="61" t="s">
        <v>131</v>
      </c>
      <c r="O2257" s="61"/>
      <c r="P2257" s="61" t="s">
        <v>2019</v>
      </c>
      <c r="Q2257" s="61" t="s">
        <v>5</v>
      </c>
      <c r="R2257" s="61"/>
      <c r="S2257" s="57"/>
      <c r="T2257" s="57"/>
      <c r="U2257" s="57"/>
      <c r="V2257" s="57"/>
      <c r="W2257" s="57"/>
      <c r="X2257" s="57"/>
      <c r="Y2257" s="57"/>
      <c r="Z2257" s="57"/>
      <c r="AA2257" s="57"/>
      <c r="AB2257" s="57"/>
    </row>
    <row r="2258" spans="1:28" s="1" customFormat="1" ht="33" customHeight="1" x14ac:dyDescent="0.3">
      <c r="A2258" s="11">
        <v>21</v>
      </c>
      <c r="B2258" s="23">
        <v>14</v>
      </c>
      <c r="C2258" s="24" t="str">
        <f t="shared" ref="C2258:C2262" si="49">IF(B2258&lt;10,_xlfn.CONCAT(A2258,".0",B2258),_xlfn.CONCAT(A2258,".",B2258))</f>
        <v>21.14</v>
      </c>
      <c r="D2258" s="12" t="s">
        <v>2093</v>
      </c>
      <c r="E2258" s="64" t="str">
        <f>IF(ISBLANK(D2258)=TRUE,"",VLOOKUP(D2258,Krav!$C:$F,4,FALSE))</f>
        <v>12.a.4 - Regel R0073 aktiveres</v>
      </c>
      <c r="F2258" s="85" t="s">
        <v>226</v>
      </c>
      <c r="G2258" s="19" t="s">
        <v>308</v>
      </c>
      <c r="H2258" s="85" t="s">
        <v>2026</v>
      </c>
      <c r="I2258" s="86" t="s">
        <v>240</v>
      </c>
      <c r="J2258" s="87" t="s">
        <v>222</v>
      </c>
      <c r="K2258" s="123" t="s">
        <v>222</v>
      </c>
      <c r="L2258" s="4" t="s">
        <v>3</v>
      </c>
      <c r="M2258" s="61" t="s">
        <v>2038</v>
      </c>
      <c r="N2258" s="61" t="s">
        <v>131</v>
      </c>
      <c r="O2258" s="61"/>
      <c r="P2258" s="61" t="s">
        <v>2022</v>
      </c>
      <c r="Q2258" s="61" t="s">
        <v>5</v>
      </c>
      <c r="R2258" s="61"/>
      <c r="S2258" s="57"/>
      <c r="T2258" s="57"/>
      <c r="U2258" s="57"/>
      <c r="V2258" s="57"/>
      <c r="W2258" s="57"/>
      <c r="X2258" s="57"/>
      <c r="Y2258" s="57"/>
      <c r="Z2258" s="57"/>
      <c r="AA2258" s="57"/>
      <c r="AB2258" s="57"/>
    </row>
    <row r="2259" spans="1:28" s="1" customFormat="1" ht="33" customHeight="1" x14ac:dyDescent="0.3">
      <c r="A2259" s="11">
        <v>21</v>
      </c>
      <c r="B2259" s="23">
        <v>15</v>
      </c>
      <c r="C2259" s="24" t="str">
        <f t="shared" si="49"/>
        <v>21.15</v>
      </c>
      <c r="D2259" s="12" t="s">
        <v>2094</v>
      </c>
      <c r="E2259" s="64" t="str">
        <f>IF(ISBLANK(D2259)=TRUE,"",VLOOKUP(D2259,Krav!$C:$F,4,FALSE))</f>
        <v>12.a.5 - Gruppe 5 aktiveres</v>
      </c>
      <c r="F2259" s="85" t="s">
        <v>227</v>
      </c>
      <c r="G2259" s="85"/>
      <c r="H2259" s="85" t="s">
        <v>2028</v>
      </c>
      <c r="I2259" s="86" t="s">
        <v>240</v>
      </c>
      <c r="J2259" s="87" t="s">
        <v>222</v>
      </c>
      <c r="K2259" s="123" t="s">
        <v>222</v>
      </c>
      <c r="L2259" s="4" t="s">
        <v>3</v>
      </c>
      <c r="M2259" s="61" t="s">
        <v>2038</v>
      </c>
      <c r="N2259" s="61" t="s">
        <v>131</v>
      </c>
      <c r="O2259" s="61" t="s">
        <v>2029</v>
      </c>
      <c r="P2259" s="61"/>
      <c r="Q2259" s="61" t="s">
        <v>5</v>
      </c>
      <c r="R2259" s="61"/>
      <c r="S2259" s="57"/>
      <c r="T2259" s="57"/>
      <c r="U2259" s="57"/>
      <c r="V2259" s="57"/>
      <c r="W2259" s="57"/>
      <c r="X2259" s="57"/>
      <c r="Y2259" s="57"/>
      <c r="Z2259" s="57"/>
      <c r="AA2259" s="57"/>
      <c r="AB2259" s="57"/>
    </row>
    <row r="2260" spans="1:28" s="57" customFormat="1" ht="16.5" customHeight="1" x14ac:dyDescent="0.3">
      <c r="A2260" s="11">
        <v>21</v>
      </c>
      <c r="B2260" s="23">
        <v>16</v>
      </c>
      <c r="C2260" s="24" t="str">
        <f t="shared" si="49"/>
        <v>21.16</v>
      </c>
      <c r="D2260" s="12" t="s">
        <v>2095</v>
      </c>
      <c r="E2260" s="64" t="str">
        <f>IF(ISBLANK(D2260)=TRUE,"",VLOOKUP(D2260,Krav!$C:$F,4,FALSE))</f>
        <v>12.a.6 - Regel R0074 deaktiveres</v>
      </c>
      <c r="F2260" s="85" t="s">
        <v>226</v>
      </c>
      <c r="G2260" s="19" t="s">
        <v>308</v>
      </c>
      <c r="H2260" s="85" t="s">
        <v>2031</v>
      </c>
      <c r="I2260" s="87" t="s">
        <v>241</v>
      </c>
      <c r="J2260" s="87" t="s">
        <v>222</v>
      </c>
      <c r="K2260" s="123" t="s">
        <v>222</v>
      </c>
      <c r="L2260" s="4" t="s">
        <v>3</v>
      </c>
      <c r="M2260" s="61" t="s">
        <v>2038</v>
      </c>
      <c r="N2260" s="61" t="s">
        <v>131</v>
      </c>
      <c r="O2260" s="61"/>
      <c r="P2260" s="61" t="s">
        <v>2032</v>
      </c>
      <c r="Q2260" s="61" t="s">
        <v>5</v>
      </c>
      <c r="R2260" s="61"/>
    </row>
    <row r="2261" spans="1:28" s="57" customFormat="1" ht="16.5" customHeight="1" x14ac:dyDescent="0.3">
      <c r="A2261" s="11">
        <v>21</v>
      </c>
      <c r="B2261" s="23">
        <v>17</v>
      </c>
      <c r="C2261" s="24" t="str">
        <f t="shared" si="49"/>
        <v>21.17</v>
      </c>
      <c r="D2261" s="12" t="s">
        <v>2096</v>
      </c>
      <c r="E2261" s="64" t="str">
        <f>IF(ISBLANK(D2261)=TRUE,"",VLOOKUP(D2261,Krav!$C:$F,4,FALSE))</f>
        <v>12.a.7 - Regel R0103 deaktiveres</v>
      </c>
      <c r="F2261" s="85" t="s">
        <v>226</v>
      </c>
      <c r="G2261" s="19" t="s">
        <v>308</v>
      </c>
      <c r="H2261" s="85" t="s">
        <v>2034</v>
      </c>
      <c r="I2261" s="87" t="s">
        <v>241</v>
      </c>
      <c r="J2261" s="94" t="s">
        <v>222</v>
      </c>
      <c r="K2261" s="123" t="s">
        <v>222</v>
      </c>
      <c r="L2261" s="4" t="s">
        <v>3</v>
      </c>
      <c r="M2261" s="61" t="s">
        <v>2038</v>
      </c>
      <c r="N2261" s="61" t="s">
        <v>131</v>
      </c>
      <c r="O2261" s="61"/>
      <c r="P2261" s="61" t="s">
        <v>2035</v>
      </c>
      <c r="Q2261" s="61" t="s">
        <v>5</v>
      </c>
      <c r="R2261" s="61"/>
    </row>
    <row r="2262" spans="1:28" s="57" customFormat="1" ht="16.5" customHeight="1" x14ac:dyDescent="0.3">
      <c r="A2262" s="11">
        <v>21</v>
      </c>
      <c r="B2262" s="23">
        <v>18</v>
      </c>
      <c r="C2262" s="24" t="str">
        <f t="shared" si="49"/>
        <v>21.18</v>
      </c>
      <c r="D2262" s="18" t="s">
        <v>2097</v>
      </c>
      <c r="E2262" s="64" t="str">
        <f>IF(ISBLANK(D2262)=TRUE,"",VLOOKUP(D2262,Krav!$C:$F,4,FALSE))</f>
        <v>12.a.8 - Gruppe 6 deaktiveres</v>
      </c>
      <c r="F2262" s="85" t="s">
        <v>227</v>
      </c>
      <c r="G2262" s="76"/>
      <c r="H2262" s="85" t="s">
        <v>2037</v>
      </c>
      <c r="I2262" s="87" t="s">
        <v>241</v>
      </c>
      <c r="J2262" s="67" t="s">
        <v>222</v>
      </c>
      <c r="K2262" s="123" t="s">
        <v>222</v>
      </c>
      <c r="L2262" s="4" t="s">
        <v>3</v>
      </c>
      <c r="M2262" s="61" t="s">
        <v>2038</v>
      </c>
      <c r="N2262" s="61" t="s">
        <v>131</v>
      </c>
      <c r="O2262" s="61" t="s">
        <v>2055</v>
      </c>
      <c r="P2262" s="61"/>
      <c r="Q2262" s="61" t="s">
        <v>5</v>
      </c>
      <c r="R2262" s="61"/>
    </row>
    <row r="2263" spans="1:28" s="1" customFormat="1" ht="33" customHeight="1" x14ac:dyDescent="0.3">
      <c r="A2263" s="11">
        <v>21</v>
      </c>
      <c r="B2263" s="23">
        <v>19</v>
      </c>
      <c r="C2263" s="24" t="str">
        <f>IF(B2263&lt;10,_xlfn.CONCAT(A2263,".0",B2263),_xlfn.CONCAT(A2263,".",B2263))</f>
        <v>21.19</v>
      </c>
      <c r="D2263" s="12"/>
      <c r="E2263" s="64" t="str">
        <f>IF(ISBLANK(D2263)=TRUE,"",VLOOKUP(D2263,Krav!$C:$F,4,FALSE))</f>
        <v/>
      </c>
      <c r="F2263" s="85" t="s">
        <v>225</v>
      </c>
      <c r="G2263" s="53" t="s">
        <v>1388</v>
      </c>
      <c r="H2263" s="85" t="s">
        <v>1576</v>
      </c>
      <c r="I2263" s="61" t="s">
        <v>2098</v>
      </c>
      <c r="J2263" s="87" t="s">
        <v>222</v>
      </c>
      <c r="K2263" s="123" t="s">
        <v>222</v>
      </c>
      <c r="L2263" s="4" t="s">
        <v>3</v>
      </c>
      <c r="M2263" s="61" t="s">
        <v>33</v>
      </c>
      <c r="N2263" s="61" t="s">
        <v>131</v>
      </c>
      <c r="O2263" s="61"/>
      <c r="P2263" s="61"/>
      <c r="Q2263" s="61" t="s">
        <v>5</v>
      </c>
      <c r="R2263" s="61"/>
      <c r="S2263" s="57"/>
      <c r="T2263" s="57"/>
      <c r="U2263" s="57"/>
      <c r="V2263" s="57"/>
      <c r="W2263" s="57"/>
      <c r="X2263" s="57"/>
      <c r="Y2263" s="57"/>
      <c r="Z2263" s="57"/>
      <c r="AA2263" s="57"/>
      <c r="AB2263" s="57"/>
    </row>
    <row r="2264" spans="1:28" s="1" customFormat="1" ht="33" customHeight="1" x14ac:dyDescent="0.3">
      <c r="A2264" s="11">
        <v>21</v>
      </c>
      <c r="B2264" s="23">
        <v>20</v>
      </c>
      <c r="C2264" s="24" t="str">
        <f>IF(B2264&lt;10,_xlfn.CONCAT(A2264,".0",B2264),_xlfn.CONCAT(A2264,".",B2264))</f>
        <v>21.20</v>
      </c>
      <c r="D2264" s="12" t="s">
        <v>2090</v>
      </c>
      <c r="E2264" s="64" t="str">
        <f>IF(ISBLANK(D2264)=TRUE,"",VLOOKUP(D2264,Krav!$C:$F,4,FALSE))</f>
        <v>12.a.1 - Det angivne beløb fra spørgsmål 12 indsættes i regel R0072</v>
      </c>
      <c r="F2264" s="85" t="s">
        <v>226</v>
      </c>
      <c r="G2264" s="53" t="s">
        <v>2054</v>
      </c>
      <c r="H2264" s="85" t="s">
        <v>2018</v>
      </c>
      <c r="I2264" s="61" t="s">
        <v>33</v>
      </c>
      <c r="J2264" s="87" t="s">
        <v>222</v>
      </c>
      <c r="K2264" s="123" t="s">
        <v>222</v>
      </c>
      <c r="L2264" s="4" t="s">
        <v>3</v>
      </c>
      <c r="M2264" s="61" t="s">
        <v>33</v>
      </c>
      <c r="N2264" s="61" t="s">
        <v>131</v>
      </c>
      <c r="O2264" s="61"/>
      <c r="P2264" s="61" t="s">
        <v>2019</v>
      </c>
      <c r="Q2264" s="61" t="s">
        <v>5</v>
      </c>
      <c r="R2264" s="61"/>
      <c r="S2264" s="57"/>
      <c r="T2264" s="57"/>
      <c r="U2264" s="57"/>
      <c r="V2264" s="57"/>
      <c r="W2264" s="57"/>
      <c r="X2264" s="57"/>
      <c r="Y2264" s="57"/>
      <c r="Z2264" s="57"/>
      <c r="AA2264" s="57"/>
      <c r="AB2264" s="57"/>
    </row>
    <row r="2265" spans="1:28" s="1" customFormat="1" ht="33" customHeight="1" x14ac:dyDescent="0.3">
      <c r="A2265" s="11">
        <v>21</v>
      </c>
      <c r="B2265" s="23">
        <v>21</v>
      </c>
      <c r="C2265" s="24" t="str">
        <f t="shared" ref="C2265" si="50">IF(B2265&lt;10,_xlfn.CONCAT(A2265,".0",B2265),_xlfn.CONCAT(A2265,".",B2265))</f>
        <v>21.21</v>
      </c>
      <c r="D2265" s="12" t="s">
        <v>2091</v>
      </c>
      <c r="E2265" s="64" t="str">
        <f>IF(ISBLANK(D2265)=TRUE,"",VLOOKUP(D2265,Krav!$C:$F,4,FALSE))</f>
        <v>12.a.2 - Det angivne beløb fra spørgsmål 12 indsættes i regel R0073</v>
      </c>
      <c r="F2265" s="85" t="s">
        <v>226</v>
      </c>
      <c r="G2265" s="53" t="s">
        <v>2054</v>
      </c>
      <c r="H2265" s="85" t="s">
        <v>2021</v>
      </c>
      <c r="I2265" s="61" t="s">
        <v>33</v>
      </c>
      <c r="J2265" s="87" t="s">
        <v>222</v>
      </c>
      <c r="K2265" s="123" t="s">
        <v>222</v>
      </c>
      <c r="L2265" s="4" t="s">
        <v>3</v>
      </c>
      <c r="M2265" s="61" t="s">
        <v>33</v>
      </c>
      <c r="N2265" s="61" t="s">
        <v>131</v>
      </c>
      <c r="O2265" s="61"/>
      <c r="P2265" s="61" t="s">
        <v>2022</v>
      </c>
      <c r="Q2265" s="61" t="s">
        <v>5</v>
      </c>
      <c r="R2265" s="61"/>
      <c r="S2265" s="57"/>
      <c r="T2265" s="57"/>
      <c r="U2265" s="57"/>
      <c r="V2265" s="57"/>
      <c r="W2265" s="57"/>
      <c r="X2265" s="57"/>
      <c r="Y2265" s="57"/>
      <c r="Z2265" s="57"/>
      <c r="AA2265" s="57"/>
      <c r="AB2265" s="57"/>
    </row>
    <row r="2266" spans="1:28" s="1" customFormat="1" ht="33" customHeight="1" x14ac:dyDescent="0.3">
      <c r="A2266" s="11">
        <v>21</v>
      </c>
      <c r="B2266" s="23">
        <v>22</v>
      </c>
      <c r="C2266" s="24" t="str">
        <f>IF(B2266&lt;10,_xlfn.CONCAT(A2266,".0",B2266),_xlfn.CONCAT(A2266,".",B2266))</f>
        <v>21.22</v>
      </c>
      <c r="D2266" s="12" t="s">
        <v>2092</v>
      </c>
      <c r="E2266" s="64" t="str">
        <f>IF(ISBLANK(D2266)=TRUE,"",VLOOKUP(D2266,Krav!$C:$F,4,FALSE))</f>
        <v>12.a.3 - Regel R0072 aktiveres</v>
      </c>
      <c r="F2266" s="85" t="s">
        <v>226</v>
      </c>
      <c r="G2266" s="53" t="s">
        <v>308</v>
      </c>
      <c r="H2266" s="85" t="s">
        <v>2024</v>
      </c>
      <c r="I2266" s="61" t="s">
        <v>240</v>
      </c>
      <c r="J2266" s="87" t="s">
        <v>222</v>
      </c>
      <c r="K2266" s="123" t="s">
        <v>222</v>
      </c>
      <c r="L2266" s="4" t="s">
        <v>3</v>
      </c>
      <c r="M2266" s="61" t="s">
        <v>33</v>
      </c>
      <c r="N2266" s="61" t="s">
        <v>131</v>
      </c>
      <c r="O2266" s="61"/>
      <c r="P2266" s="61" t="s">
        <v>2019</v>
      </c>
      <c r="Q2266" s="61" t="s">
        <v>5</v>
      </c>
      <c r="R2266" s="61"/>
      <c r="S2266" s="57"/>
      <c r="T2266" s="57"/>
      <c r="U2266" s="57"/>
      <c r="V2266" s="57"/>
      <c r="W2266" s="57"/>
      <c r="X2266" s="57"/>
      <c r="Y2266" s="57"/>
      <c r="Z2266" s="57"/>
      <c r="AA2266" s="57"/>
      <c r="AB2266" s="57"/>
    </row>
    <row r="2267" spans="1:28" s="1" customFormat="1" ht="33" customHeight="1" x14ac:dyDescent="0.3">
      <c r="A2267" s="11">
        <v>21</v>
      </c>
      <c r="B2267" s="23">
        <v>23</v>
      </c>
      <c r="C2267" s="24" t="str">
        <f t="shared" ref="C2267:C2271" si="51">IF(B2267&lt;10,_xlfn.CONCAT(A2267,".0",B2267),_xlfn.CONCAT(A2267,".",B2267))</f>
        <v>21.23</v>
      </c>
      <c r="D2267" s="12" t="s">
        <v>2093</v>
      </c>
      <c r="E2267" s="64" t="str">
        <f>IF(ISBLANK(D2267)=TRUE,"",VLOOKUP(D2267,Krav!$C:$F,4,FALSE))</f>
        <v>12.a.4 - Regel R0073 aktiveres</v>
      </c>
      <c r="F2267" s="85" t="s">
        <v>226</v>
      </c>
      <c r="G2267" s="53" t="s">
        <v>308</v>
      </c>
      <c r="H2267" s="85" t="s">
        <v>2026</v>
      </c>
      <c r="I2267" s="61" t="s">
        <v>240</v>
      </c>
      <c r="J2267" s="87" t="s">
        <v>222</v>
      </c>
      <c r="K2267" s="123" t="s">
        <v>222</v>
      </c>
      <c r="L2267" s="4" t="s">
        <v>3</v>
      </c>
      <c r="M2267" s="61" t="s">
        <v>33</v>
      </c>
      <c r="N2267" s="61" t="s">
        <v>131</v>
      </c>
      <c r="O2267" s="61"/>
      <c r="P2267" s="61" t="s">
        <v>2022</v>
      </c>
      <c r="Q2267" s="61" t="s">
        <v>5</v>
      </c>
      <c r="R2267" s="61"/>
      <c r="S2267" s="57"/>
      <c r="T2267" s="57"/>
      <c r="U2267" s="57"/>
      <c r="V2267" s="57"/>
      <c r="W2267" s="57"/>
      <c r="X2267" s="57"/>
      <c r="Y2267" s="57"/>
      <c r="Z2267" s="57"/>
      <c r="AA2267" s="57"/>
      <c r="AB2267" s="57"/>
    </row>
    <row r="2268" spans="1:28" s="1" customFormat="1" ht="33" customHeight="1" x14ac:dyDescent="0.3">
      <c r="A2268" s="11">
        <v>21</v>
      </c>
      <c r="B2268" s="23">
        <v>24</v>
      </c>
      <c r="C2268" s="24" t="str">
        <f t="shared" si="51"/>
        <v>21.24</v>
      </c>
      <c r="D2268" s="12" t="s">
        <v>2094</v>
      </c>
      <c r="E2268" s="64" t="str">
        <f>IF(ISBLANK(D2268)=TRUE,"",VLOOKUP(D2268,Krav!$C:$F,4,FALSE))</f>
        <v>12.a.5 - Gruppe 5 aktiveres</v>
      </c>
      <c r="F2268" s="85" t="s">
        <v>227</v>
      </c>
      <c r="G2268" s="53"/>
      <c r="H2268" s="85" t="s">
        <v>2028</v>
      </c>
      <c r="I2268" s="61" t="s">
        <v>240</v>
      </c>
      <c r="J2268" s="87" t="s">
        <v>222</v>
      </c>
      <c r="K2268" s="123" t="s">
        <v>222</v>
      </c>
      <c r="L2268" s="4" t="s">
        <v>3</v>
      </c>
      <c r="M2268" s="61" t="s">
        <v>33</v>
      </c>
      <c r="N2268" s="61" t="s">
        <v>131</v>
      </c>
      <c r="O2268" s="61" t="s">
        <v>2029</v>
      </c>
      <c r="P2268" s="61"/>
      <c r="Q2268" s="61" t="s">
        <v>5</v>
      </c>
      <c r="R2268" s="61"/>
      <c r="S2268" s="57"/>
      <c r="T2268" s="57"/>
      <c r="U2268" s="57"/>
      <c r="V2268" s="57"/>
      <c r="W2268" s="57"/>
      <c r="X2268" s="57"/>
      <c r="Y2268" s="57"/>
      <c r="Z2268" s="57"/>
      <c r="AA2268" s="57"/>
      <c r="AB2268" s="57"/>
    </row>
    <row r="2269" spans="1:28" s="57" customFormat="1" ht="16.5" customHeight="1" x14ac:dyDescent="0.3">
      <c r="A2269" s="11">
        <v>21</v>
      </c>
      <c r="B2269" s="23">
        <v>25</v>
      </c>
      <c r="C2269" s="24" t="str">
        <f t="shared" si="51"/>
        <v>21.25</v>
      </c>
      <c r="D2269" s="12" t="s">
        <v>2095</v>
      </c>
      <c r="E2269" s="64" t="str">
        <f>IF(ISBLANK(D2269)=TRUE,"",VLOOKUP(D2269,Krav!$C:$F,4,FALSE))</f>
        <v>12.a.6 - Regel R0074 deaktiveres</v>
      </c>
      <c r="F2269" s="85" t="s">
        <v>226</v>
      </c>
      <c r="G2269" s="19" t="s">
        <v>308</v>
      </c>
      <c r="H2269" s="85" t="s">
        <v>2031</v>
      </c>
      <c r="I2269" s="87" t="s">
        <v>241</v>
      </c>
      <c r="J2269" s="87" t="s">
        <v>222</v>
      </c>
      <c r="K2269" s="123" t="s">
        <v>222</v>
      </c>
      <c r="L2269" s="4" t="s">
        <v>3</v>
      </c>
      <c r="M2269" s="61" t="s">
        <v>2039</v>
      </c>
      <c r="N2269" s="61" t="s">
        <v>131</v>
      </c>
      <c r="O2269" s="61"/>
      <c r="P2269" s="61" t="s">
        <v>2032</v>
      </c>
      <c r="Q2269" s="61" t="s">
        <v>5</v>
      </c>
      <c r="R2269" s="61"/>
    </row>
    <row r="2270" spans="1:28" s="57" customFormat="1" ht="16.5" customHeight="1" x14ac:dyDescent="0.3">
      <c r="A2270" s="11">
        <v>21</v>
      </c>
      <c r="B2270" s="23">
        <v>26</v>
      </c>
      <c r="C2270" s="24" t="str">
        <f t="shared" si="51"/>
        <v>21.26</v>
      </c>
      <c r="D2270" s="12" t="s">
        <v>2096</v>
      </c>
      <c r="E2270" s="64" t="str">
        <f>IF(ISBLANK(D2270)=TRUE,"",VLOOKUP(D2270,Krav!$C:$F,4,FALSE))</f>
        <v>12.a.7 - Regel R0103 deaktiveres</v>
      </c>
      <c r="F2270" s="85" t="s">
        <v>226</v>
      </c>
      <c r="G2270" s="19" t="s">
        <v>308</v>
      </c>
      <c r="H2270" s="85" t="s">
        <v>2034</v>
      </c>
      <c r="I2270" s="87" t="s">
        <v>241</v>
      </c>
      <c r="J2270" s="94" t="s">
        <v>222</v>
      </c>
      <c r="K2270" s="123" t="s">
        <v>222</v>
      </c>
      <c r="L2270" s="4" t="s">
        <v>3</v>
      </c>
      <c r="M2270" s="61" t="s">
        <v>2039</v>
      </c>
      <c r="N2270" s="61" t="s">
        <v>131</v>
      </c>
      <c r="O2270" s="61"/>
      <c r="P2270" s="61" t="s">
        <v>2035</v>
      </c>
      <c r="Q2270" s="61" t="s">
        <v>5</v>
      </c>
      <c r="R2270" s="61"/>
    </row>
    <row r="2271" spans="1:28" s="57" customFormat="1" ht="16.5" customHeight="1" x14ac:dyDescent="0.3">
      <c r="A2271" s="11">
        <v>21</v>
      </c>
      <c r="B2271" s="23">
        <v>27</v>
      </c>
      <c r="C2271" s="24" t="str">
        <f t="shared" si="51"/>
        <v>21.27</v>
      </c>
      <c r="D2271" s="18" t="s">
        <v>2097</v>
      </c>
      <c r="E2271" s="64" t="str">
        <f>IF(ISBLANK(D2271)=TRUE,"",VLOOKUP(D2271,Krav!$C:$F,4,FALSE))</f>
        <v>12.a.8 - Gruppe 6 deaktiveres</v>
      </c>
      <c r="F2271" s="85" t="s">
        <v>227</v>
      </c>
      <c r="G2271" s="76"/>
      <c r="H2271" s="85" t="s">
        <v>2037</v>
      </c>
      <c r="I2271" s="87" t="s">
        <v>241</v>
      </c>
      <c r="J2271" s="67" t="s">
        <v>222</v>
      </c>
      <c r="K2271" s="123" t="s">
        <v>222</v>
      </c>
      <c r="L2271" s="4" t="s">
        <v>3</v>
      </c>
      <c r="M2271" s="61" t="s">
        <v>2039</v>
      </c>
      <c r="N2271" s="61" t="s">
        <v>131</v>
      </c>
      <c r="O2271" s="61" t="s">
        <v>2055</v>
      </c>
      <c r="P2271" s="61"/>
      <c r="Q2271" s="61" t="s">
        <v>5</v>
      </c>
      <c r="R2271" s="61"/>
    </row>
    <row r="2272" spans="1:28" s="57" customFormat="1" ht="16.5" customHeight="1" x14ac:dyDescent="0.3">
      <c r="A2272" s="11">
        <v>21</v>
      </c>
      <c r="B2272" s="23">
        <v>28</v>
      </c>
      <c r="C2272" s="24" t="str">
        <f t="shared" si="46"/>
        <v>21.28</v>
      </c>
      <c r="D2272" s="12"/>
      <c r="E2272" s="64" t="str">
        <f>IF(ISBLANK(D2272)=TRUE,"",VLOOKUP(D2272,Krav!$C:$F,4,FALSE))</f>
        <v/>
      </c>
      <c r="F2272" s="334" t="s">
        <v>174</v>
      </c>
      <c r="G2272" s="334"/>
      <c r="H2272" s="85" t="s">
        <v>1582</v>
      </c>
      <c r="I2272" s="67" t="s">
        <v>1414</v>
      </c>
      <c r="J2272" s="67" t="s">
        <v>222</v>
      </c>
      <c r="K2272" s="123" t="s">
        <v>222</v>
      </c>
      <c r="L2272" s="4" t="s">
        <v>4</v>
      </c>
      <c r="M2272" s="205" t="s">
        <v>404</v>
      </c>
      <c r="N2272" s="61" t="s">
        <v>131</v>
      </c>
      <c r="O2272" s="61"/>
      <c r="P2272" s="61"/>
      <c r="Q2272" s="61" t="s">
        <v>5</v>
      </c>
      <c r="R2272" s="61"/>
    </row>
    <row r="2273" spans="1:28" s="57" customFormat="1" ht="16.5" customHeight="1" x14ac:dyDescent="0.3">
      <c r="A2273" s="11">
        <v>21</v>
      </c>
      <c r="B2273" s="23">
        <v>29</v>
      </c>
      <c r="C2273" s="24" t="str">
        <f t="shared" si="46"/>
        <v>21.29</v>
      </c>
      <c r="D2273" s="18"/>
      <c r="E2273" s="64" t="str">
        <f>IF(ISBLANK(D2273)=TRUE,"",VLOOKUP(D2273,Krav!$C:$F,4,FALSE))</f>
        <v/>
      </c>
      <c r="F2273" s="334" t="s">
        <v>418</v>
      </c>
      <c r="G2273" s="334" t="s">
        <v>419</v>
      </c>
      <c r="H2273" s="85" t="s">
        <v>1584</v>
      </c>
      <c r="I2273" s="65" t="s">
        <v>129</v>
      </c>
      <c r="J2273" s="96" t="s">
        <v>222</v>
      </c>
      <c r="K2273" s="123" t="s">
        <v>222</v>
      </c>
      <c r="L2273" s="4" t="s">
        <v>4</v>
      </c>
      <c r="M2273" s="205" t="s">
        <v>404</v>
      </c>
      <c r="N2273" s="61" t="s">
        <v>131</v>
      </c>
      <c r="O2273" s="61"/>
      <c r="P2273" s="61"/>
      <c r="Q2273" s="61" t="s">
        <v>5</v>
      </c>
      <c r="R2273" s="61"/>
    </row>
    <row r="2274" spans="1:28" s="1" customFormat="1" ht="33" customHeight="1" x14ac:dyDescent="0.3">
      <c r="A2274" s="11">
        <v>21</v>
      </c>
      <c r="B2274" s="23">
        <v>30</v>
      </c>
      <c r="C2274" s="24" t="str">
        <f t="shared" si="46"/>
        <v>21.30</v>
      </c>
      <c r="D2274" s="18"/>
      <c r="E2274" s="64" t="str">
        <f>IF(ISBLANK(D2274)=TRUE,"",VLOOKUP(D2274,Krav!$C:$F,4,FALSE))</f>
        <v/>
      </c>
      <c r="F2274" s="334" t="s">
        <v>174</v>
      </c>
      <c r="G2274" s="334"/>
      <c r="H2274" s="85" t="s">
        <v>1582</v>
      </c>
      <c r="I2274" s="67" t="s">
        <v>1414</v>
      </c>
      <c r="J2274" s="67" t="s">
        <v>222</v>
      </c>
      <c r="K2274" s="123" t="s">
        <v>222</v>
      </c>
      <c r="L2274" s="4" t="s">
        <v>4</v>
      </c>
      <c r="M2274" s="205" t="s">
        <v>97</v>
      </c>
      <c r="N2274" s="61" t="s">
        <v>131</v>
      </c>
      <c r="O2274" s="61"/>
      <c r="P2274" s="61"/>
      <c r="Q2274" s="61" t="s">
        <v>5</v>
      </c>
      <c r="R2274" s="61"/>
      <c r="S2274" s="57"/>
      <c r="T2274" s="57"/>
      <c r="U2274" s="57"/>
      <c r="V2274" s="57"/>
      <c r="W2274" s="57"/>
      <c r="X2274" s="57"/>
      <c r="Y2274" s="57"/>
      <c r="Z2274" s="57"/>
      <c r="AA2274" s="57"/>
      <c r="AB2274" s="57"/>
    </row>
    <row r="2275" spans="1:28" s="1" customFormat="1" ht="33" customHeight="1" x14ac:dyDescent="0.3">
      <c r="A2275" s="11">
        <v>21</v>
      </c>
      <c r="B2275" s="23">
        <v>31</v>
      </c>
      <c r="C2275" s="24" t="str">
        <f t="shared" si="46"/>
        <v>21.31</v>
      </c>
      <c r="D2275" s="18"/>
      <c r="E2275" s="64" t="str">
        <f>IF(ISBLANK(D2275)=TRUE,"",VLOOKUP(D2275,Krav!$C:$F,4,FALSE))</f>
        <v/>
      </c>
      <c r="F2275" s="334" t="s">
        <v>418</v>
      </c>
      <c r="G2275" s="334" t="s">
        <v>419</v>
      </c>
      <c r="H2275" s="85" t="s">
        <v>1584</v>
      </c>
      <c r="I2275" s="65" t="s">
        <v>129</v>
      </c>
      <c r="J2275" s="96" t="s">
        <v>222</v>
      </c>
      <c r="K2275" s="123" t="s">
        <v>222</v>
      </c>
      <c r="L2275" s="4" t="s">
        <v>4</v>
      </c>
      <c r="M2275" s="205" t="s">
        <v>97</v>
      </c>
      <c r="N2275" s="61" t="s">
        <v>131</v>
      </c>
      <c r="O2275" s="61"/>
      <c r="P2275" s="61"/>
      <c r="Q2275" s="61" t="s">
        <v>5</v>
      </c>
      <c r="R2275" s="61"/>
      <c r="S2275" s="57"/>
      <c r="T2275" s="57"/>
      <c r="U2275" s="57"/>
      <c r="V2275" s="57"/>
      <c r="W2275" s="57"/>
      <c r="X2275" s="57"/>
      <c r="Y2275" s="57"/>
      <c r="Z2275" s="57"/>
      <c r="AA2275" s="57"/>
      <c r="AB2275" s="57"/>
    </row>
    <row r="2276" spans="1:28" s="1" customFormat="1" ht="33" customHeight="1" x14ac:dyDescent="0.3">
      <c r="A2276" s="11">
        <v>21</v>
      </c>
      <c r="B2276" s="23">
        <v>32</v>
      </c>
      <c r="C2276" s="24" t="str">
        <f t="shared" si="46"/>
        <v>21.32</v>
      </c>
      <c r="D2276" s="18"/>
      <c r="E2276" s="64" t="str">
        <f>IF(ISBLANK(D2276)=TRUE,"",VLOOKUP(D2276,Krav!$C:$F,4,FALSE))</f>
        <v/>
      </c>
      <c r="F2276" s="334" t="s">
        <v>174</v>
      </c>
      <c r="G2276" s="334"/>
      <c r="H2276" s="85" t="s">
        <v>1582</v>
      </c>
      <c r="I2276" s="67" t="s">
        <v>1414</v>
      </c>
      <c r="J2276" s="67" t="s">
        <v>222</v>
      </c>
      <c r="K2276" s="123" t="s">
        <v>222</v>
      </c>
      <c r="L2276" s="4" t="s">
        <v>4</v>
      </c>
      <c r="M2276" s="205" t="s">
        <v>96</v>
      </c>
      <c r="N2276" s="61" t="s">
        <v>131</v>
      </c>
      <c r="O2276" s="61"/>
      <c r="P2276" s="61"/>
      <c r="Q2276" s="61" t="s">
        <v>5</v>
      </c>
      <c r="R2276" s="61"/>
      <c r="S2276" s="57"/>
      <c r="T2276" s="57"/>
      <c r="U2276" s="57"/>
      <c r="V2276" s="57"/>
      <c r="W2276" s="57"/>
      <c r="X2276" s="57"/>
      <c r="Y2276" s="57"/>
      <c r="Z2276" s="57"/>
      <c r="AA2276" s="57"/>
      <c r="AB2276" s="57"/>
    </row>
    <row r="2277" spans="1:28" s="1" customFormat="1" ht="33" customHeight="1" x14ac:dyDescent="0.3">
      <c r="A2277" s="11">
        <v>21</v>
      </c>
      <c r="B2277" s="23">
        <v>33</v>
      </c>
      <c r="C2277" s="24" t="str">
        <f t="shared" si="46"/>
        <v>21.33</v>
      </c>
      <c r="D2277" s="18"/>
      <c r="E2277" s="64" t="str">
        <f>IF(ISBLANK(D2277)=TRUE,"",VLOOKUP(D2277,Krav!$C:$F,4,FALSE))</f>
        <v/>
      </c>
      <c r="F2277" s="334" t="s">
        <v>418</v>
      </c>
      <c r="G2277" s="334" t="s">
        <v>419</v>
      </c>
      <c r="H2277" s="85" t="s">
        <v>1584</v>
      </c>
      <c r="I2277" s="65" t="s">
        <v>129</v>
      </c>
      <c r="J2277" s="96" t="s">
        <v>222</v>
      </c>
      <c r="K2277" s="123" t="s">
        <v>222</v>
      </c>
      <c r="L2277" s="4" t="s">
        <v>4</v>
      </c>
      <c r="M2277" s="205" t="s">
        <v>96</v>
      </c>
      <c r="N2277" s="61" t="s">
        <v>131</v>
      </c>
      <c r="O2277" s="61"/>
      <c r="P2277" s="61"/>
      <c r="Q2277" s="61" t="s">
        <v>5</v>
      </c>
      <c r="R2277" s="61"/>
      <c r="S2277" s="57"/>
      <c r="T2277" s="57"/>
      <c r="U2277" s="57"/>
      <c r="V2277" s="57"/>
      <c r="W2277" s="57"/>
      <c r="X2277" s="57"/>
      <c r="Y2277" s="57"/>
      <c r="Z2277" s="57"/>
      <c r="AA2277" s="57"/>
      <c r="AB2277" s="57"/>
    </row>
    <row r="2278" spans="1:28" s="1" customFormat="1" ht="33" customHeight="1" x14ac:dyDescent="0.3">
      <c r="A2278" s="11">
        <v>21</v>
      </c>
      <c r="B2278" s="23">
        <v>34</v>
      </c>
      <c r="C2278" s="24" t="str">
        <f t="shared" si="46"/>
        <v>21.34</v>
      </c>
      <c r="D2278" s="18" t="s">
        <v>2099</v>
      </c>
      <c r="E2278" s="64" t="str">
        <f>IF(ISBLANK(D2278)=TRUE,"",VLOOKUP(D2278,Krav!$C:$F,4,FALSE))</f>
        <v>12.b.1 - Gruppe 5 deaktiveres</v>
      </c>
      <c r="F2278" s="85" t="s">
        <v>227</v>
      </c>
      <c r="G2278" s="19"/>
      <c r="H2278" s="85" t="s">
        <v>2041</v>
      </c>
      <c r="I2278" s="87" t="s">
        <v>241</v>
      </c>
      <c r="J2278" s="96" t="s">
        <v>222</v>
      </c>
      <c r="K2278" s="123" t="s">
        <v>222</v>
      </c>
      <c r="L2278" s="4" t="s">
        <v>3</v>
      </c>
      <c r="M2278" s="61" t="s">
        <v>96</v>
      </c>
      <c r="N2278" s="61" t="s">
        <v>129</v>
      </c>
      <c r="O2278" s="61" t="s">
        <v>2029</v>
      </c>
      <c r="P2278" s="61"/>
      <c r="Q2278" s="61" t="s">
        <v>5</v>
      </c>
      <c r="R2278" s="61"/>
      <c r="S2278" s="57"/>
      <c r="T2278" s="57"/>
      <c r="U2278" s="57"/>
      <c r="V2278" s="57"/>
      <c r="W2278" s="57"/>
      <c r="X2278" s="57"/>
      <c r="Y2278" s="57"/>
      <c r="Z2278" s="57"/>
      <c r="AA2278" s="57"/>
      <c r="AB2278" s="57"/>
    </row>
    <row r="2279" spans="1:28" s="1" customFormat="1" ht="33" customHeight="1" x14ac:dyDescent="0.3">
      <c r="A2279" s="11">
        <v>21</v>
      </c>
      <c r="B2279" s="23">
        <v>35</v>
      </c>
      <c r="C2279" s="24" t="str">
        <f t="shared" si="46"/>
        <v>21.35</v>
      </c>
      <c r="D2279" s="18" t="s">
        <v>2100</v>
      </c>
      <c r="E2279" s="64" t="str">
        <f>IF(ISBLANK(D2279)=TRUE,"",VLOOKUP(D2279,Krav!$C:$F,4,FALSE))</f>
        <v>12.b.2 - Regel R0072 deaktiveres</v>
      </c>
      <c r="F2279" s="85" t="s">
        <v>226</v>
      </c>
      <c r="G2279" s="19" t="s">
        <v>308</v>
      </c>
      <c r="H2279" s="85" t="s">
        <v>2043</v>
      </c>
      <c r="I2279" s="87" t="s">
        <v>241</v>
      </c>
      <c r="J2279" s="96" t="s">
        <v>222</v>
      </c>
      <c r="K2279" s="123" t="s">
        <v>222</v>
      </c>
      <c r="L2279" s="4" t="s">
        <v>3</v>
      </c>
      <c r="M2279" s="61" t="s">
        <v>96</v>
      </c>
      <c r="N2279" s="61" t="s">
        <v>129</v>
      </c>
      <c r="O2279" s="61"/>
      <c r="P2279" s="61" t="s">
        <v>2019</v>
      </c>
      <c r="Q2279" s="61" t="s">
        <v>5</v>
      </c>
      <c r="R2279" s="61"/>
      <c r="S2279" s="57"/>
      <c r="T2279" s="57"/>
      <c r="U2279" s="57"/>
      <c r="V2279" s="57"/>
      <c r="W2279" s="57"/>
      <c r="X2279" s="57"/>
      <c r="Y2279" s="57"/>
      <c r="Z2279" s="57"/>
      <c r="AA2279" s="57"/>
      <c r="AB2279" s="57"/>
    </row>
    <row r="2280" spans="1:28" s="1" customFormat="1" ht="33" customHeight="1" x14ac:dyDescent="0.3">
      <c r="A2280" s="11">
        <v>21</v>
      </c>
      <c r="B2280" s="23">
        <v>36</v>
      </c>
      <c r="C2280" s="24" t="str">
        <f t="shared" si="46"/>
        <v>21.36</v>
      </c>
      <c r="D2280" s="18" t="s">
        <v>2101</v>
      </c>
      <c r="E2280" s="64" t="str">
        <f>IF(ISBLANK(D2280)=TRUE,"",VLOOKUP(D2280,Krav!$C:$F,4,FALSE))</f>
        <v>12.b.3 - Gruppe 6 deaktiveres</v>
      </c>
      <c r="F2280" s="85" t="s">
        <v>227</v>
      </c>
      <c r="G2280" s="19"/>
      <c r="H2280" s="85" t="s">
        <v>2037</v>
      </c>
      <c r="I2280" s="87" t="s">
        <v>241</v>
      </c>
      <c r="J2280" s="96" t="s">
        <v>222</v>
      </c>
      <c r="K2280" s="123" t="s">
        <v>222</v>
      </c>
      <c r="L2280" s="4" t="s">
        <v>3</v>
      </c>
      <c r="M2280" s="61" t="s">
        <v>96</v>
      </c>
      <c r="N2280" s="61" t="s">
        <v>129</v>
      </c>
      <c r="O2280" s="61" t="s">
        <v>2055</v>
      </c>
      <c r="P2280" s="61"/>
      <c r="Q2280" s="61" t="s">
        <v>5</v>
      </c>
      <c r="R2280" s="61"/>
      <c r="S2280" s="57"/>
      <c r="T2280" s="57"/>
      <c r="U2280" s="57"/>
      <c r="V2280" s="57"/>
      <c r="W2280" s="57"/>
      <c r="X2280" s="57"/>
      <c r="Y2280" s="57"/>
      <c r="Z2280" s="57"/>
      <c r="AA2280" s="57"/>
      <c r="AB2280" s="57"/>
    </row>
    <row r="2281" spans="1:28" s="1" customFormat="1" ht="33" customHeight="1" x14ac:dyDescent="0.3">
      <c r="A2281" s="11">
        <v>21</v>
      </c>
      <c r="B2281" s="23">
        <v>37</v>
      </c>
      <c r="C2281" s="24" t="str">
        <f t="shared" si="46"/>
        <v>21.37</v>
      </c>
      <c r="D2281" s="18" t="s">
        <v>2102</v>
      </c>
      <c r="E2281" s="64" t="str">
        <f>IF(ISBLANK(D2281)=TRUE,"",VLOOKUP(D2281,Krav!$C:$F,4,FALSE))</f>
        <v>12.b.4 - Regel R0074 deaktiveres</v>
      </c>
      <c r="F2281" s="85" t="s">
        <v>226</v>
      </c>
      <c r="G2281" s="19" t="s">
        <v>308</v>
      </c>
      <c r="H2281" s="85" t="s">
        <v>2031</v>
      </c>
      <c r="I2281" s="87" t="s">
        <v>241</v>
      </c>
      <c r="J2281" s="96" t="s">
        <v>222</v>
      </c>
      <c r="K2281" s="123" t="s">
        <v>222</v>
      </c>
      <c r="L2281" s="4" t="s">
        <v>3</v>
      </c>
      <c r="M2281" s="61" t="s">
        <v>96</v>
      </c>
      <c r="N2281" s="61" t="s">
        <v>129</v>
      </c>
      <c r="O2281" s="61"/>
      <c r="P2281" s="61" t="s">
        <v>2032</v>
      </c>
      <c r="Q2281" s="61" t="s">
        <v>5</v>
      </c>
      <c r="R2281" s="61"/>
      <c r="S2281" s="57"/>
      <c r="T2281" s="57"/>
      <c r="U2281" s="57"/>
      <c r="V2281" s="57"/>
      <c r="W2281" s="57"/>
      <c r="X2281" s="57"/>
      <c r="Y2281" s="57"/>
      <c r="Z2281" s="57"/>
      <c r="AA2281" s="57"/>
      <c r="AB2281" s="57"/>
    </row>
    <row r="2282" spans="1:28" s="1" customFormat="1" ht="33" customHeight="1" x14ac:dyDescent="0.3">
      <c r="A2282" s="11">
        <v>21</v>
      </c>
      <c r="B2282" s="23">
        <v>38</v>
      </c>
      <c r="C2282" s="24" t="str">
        <f t="shared" si="46"/>
        <v>21.38</v>
      </c>
      <c r="D2282" s="18" t="s">
        <v>2103</v>
      </c>
      <c r="E2282" s="64" t="str">
        <f>IF(ISBLANK(D2282)=TRUE,"",VLOOKUP(D2282,Krav!$C:$F,4,FALSE))</f>
        <v>12.b.5 - Regel R0073 deaktiveres</v>
      </c>
      <c r="F2282" s="85" t="s">
        <v>226</v>
      </c>
      <c r="G2282" s="19" t="s">
        <v>308</v>
      </c>
      <c r="H2282" s="85" t="s">
        <v>2045</v>
      </c>
      <c r="I2282" s="87" t="s">
        <v>241</v>
      </c>
      <c r="J2282" s="96" t="s">
        <v>222</v>
      </c>
      <c r="K2282" s="123" t="s">
        <v>222</v>
      </c>
      <c r="L2282" s="4" t="s">
        <v>3</v>
      </c>
      <c r="M2282" s="61" t="s">
        <v>96</v>
      </c>
      <c r="N2282" s="61" t="s">
        <v>129</v>
      </c>
      <c r="O2282" s="61"/>
      <c r="P2282" s="61" t="s">
        <v>2022</v>
      </c>
      <c r="Q2282" s="61" t="s">
        <v>5</v>
      </c>
      <c r="R2282" s="61"/>
      <c r="S2282" s="57"/>
      <c r="T2282" s="57"/>
      <c r="U2282" s="57"/>
      <c r="V2282" s="57"/>
      <c r="W2282" s="57"/>
      <c r="X2282" s="57"/>
      <c r="Y2282" s="57"/>
      <c r="Z2282" s="57"/>
      <c r="AA2282" s="57"/>
      <c r="AB2282" s="57"/>
    </row>
    <row r="2283" spans="1:28" s="1" customFormat="1" ht="33" customHeight="1" x14ac:dyDescent="0.3">
      <c r="A2283" s="11">
        <v>21</v>
      </c>
      <c r="B2283" s="23">
        <v>39</v>
      </c>
      <c r="C2283" s="24" t="str">
        <f t="shared" si="46"/>
        <v>21.39</v>
      </c>
      <c r="D2283" s="18" t="s">
        <v>2104</v>
      </c>
      <c r="E2283" s="64" t="str">
        <f>IF(ISBLANK(D2283)=TRUE,"",VLOOKUP(D2283,Krav!$C:$F,4,FALSE))</f>
        <v>12.b.6 - Regel R0103 deaktiveres</v>
      </c>
      <c r="F2283" s="85" t="s">
        <v>226</v>
      </c>
      <c r="G2283" s="19" t="s">
        <v>308</v>
      </c>
      <c r="H2283" s="85" t="s">
        <v>2046</v>
      </c>
      <c r="I2283" s="87" t="s">
        <v>241</v>
      </c>
      <c r="J2283" s="96" t="s">
        <v>222</v>
      </c>
      <c r="K2283" s="123" t="s">
        <v>222</v>
      </c>
      <c r="L2283" s="4" t="s">
        <v>3</v>
      </c>
      <c r="M2283" s="61" t="s">
        <v>96</v>
      </c>
      <c r="N2283" s="61" t="s">
        <v>129</v>
      </c>
      <c r="O2283" s="61"/>
      <c r="P2283" s="61" t="s">
        <v>2035</v>
      </c>
      <c r="Q2283" s="61" t="s">
        <v>5</v>
      </c>
      <c r="R2283" s="61"/>
      <c r="S2283" s="57"/>
      <c r="T2283" s="57"/>
      <c r="U2283" s="57"/>
      <c r="V2283" s="57"/>
      <c r="W2283" s="57"/>
      <c r="X2283" s="57"/>
      <c r="Y2283" s="57"/>
      <c r="Z2283" s="57"/>
      <c r="AA2283" s="57"/>
      <c r="AB2283" s="57"/>
    </row>
    <row r="2284" spans="1:28" s="1" customFormat="1" ht="33" customHeight="1" x14ac:dyDescent="0.3">
      <c r="A2284" s="11">
        <v>21</v>
      </c>
      <c r="B2284" s="23">
        <v>40</v>
      </c>
      <c r="C2284" s="24" t="str">
        <f t="shared" si="46"/>
        <v>21.40</v>
      </c>
      <c r="D2284" s="18"/>
      <c r="E2284" s="64" t="str">
        <f>IF(ISBLANK(D2284)=TRUE,"",VLOOKUP(D2284,Krav!$C:$F,4,FALSE))</f>
        <v/>
      </c>
      <c r="F2284" s="85" t="s">
        <v>225</v>
      </c>
      <c r="G2284" s="334" t="s">
        <v>1390</v>
      </c>
      <c r="H2284" s="85" t="s">
        <v>1576</v>
      </c>
      <c r="I2284" s="65" t="s">
        <v>2047</v>
      </c>
      <c r="J2284" s="67" t="s">
        <v>222</v>
      </c>
      <c r="K2284" s="123" t="s">
        <v>222</v>
      </c>
      <c r="L2284" s="4" t="s">
        <v>3</v>
      </c>
      <c r="M2284" s="61" t="s">
        <v>96</v>
      </c>
      <c r="N2284" s="61" t="s">
        <v>129</v>
      </c>
      <c r="O2284" s="61"/>
      <c r="P2284" s="61"/>
      <c r="Q2284" s="61" t="s">
        <v>5</v>
      </c>
      <c r="R2284" s="61"/>
      <c r="S2284" s="57"/>
      <c r="T2284" s="57"/>
      <c r="U2284" s="57"/>
      <c r="V2284" s="57"/>
      <c r="W2284" s="57"/>
      <c r="X2284" s="57"/>
      <c r="Y2284" s="57"/>
      <c r="Z2284" s="57"/>
      <c r="AA2284" s="57"/>
      <c r="AB2284" s="57"/>
    </row>
    <row r="2285" spans="1:28" s="1" customFormat="1" ht="33" customHeight="1" x14ac:dyDescent="0.3">
      <c r="A2285" s="11">
        <v>21</v>
      </c>
      <c r="B2285" s="23">
        <v>41</v>
      </c>
      <c r="C2285" s="24" t="str">
        <f t="shared" si="46"/>
        <v>21.41</v>
      </c>
      <c r="D2285" s="18" t="s">
        <v>2105</v>
      </c>
      <c r="E2285" s="64" t="str">
        <f>IF(ISBLANK(D2285)=TRUE,"",VLOOKUP(D2285,Krav!$C:$F,4,FALSE))</f>
        <v>12.a.9 - Brugeren ledes videre til spørgsmål 13</v>
      </c>
      <c r="F2285" s="334" t="s">
        <v>143</v>
      </c>
      <c r="G2285" s="334"/>
      <c r="H2285" s="85" t="s">
        <v>2049</v>
      </c>
      <c r="I2285" s="65" t="s">
        <v>2050</v>
      </c>
      <c r="J2285" s="67" t="s">
        <v>222</v>
      </c>
      <c r="K2285" s="123" t="s">
        <v>222</v>
      </c>
      <c r="L2285" s="4" t="s">
        <v>3</v>
      </c>
      <c r="M2285" s="61" t="s">
        <v>376</v>
      </c>
      <c r="N2285" s="61" t="s">
        <v>131</v>
      </c>
      <c r="O2285" s="61"/>
      <c r="P2285" s="61"/>
      <c r="Q2285" s="61" t="s">
        <v>5</v>
      </c>
      <c r="R2285" s="61"/>
      <c r="S2285" s="57"/>
      <c r="T2285" s="57"/>
      <c r="U2285" s="57"/>
      <c r="V2285" s="57"/>
      <c r="W2285" s="57"/>
      <c r="X2285" s="57"/>
      <c r="Y2285" s="57"/>
      <c r="Z2285" s="57"/>
      <c r="AA2285" s="57"/>
      <c r="AB2285" s="57"/>
    </row>
    <row r="2286" spans="1:28" s="1" customFormat="1" ht="33" customHeight="1" x14ac:dyDescent="0.3">
      <c r="A2286" s="11">
        <v>21</v>
      </c>
      <c r="B2286" s="23">
        <v>42</v>
      </c>
      <c r="C2286" s="24" t="str">
        <f t="shared" si="46"/>
        <v>21.42</v>
      </c>
      <c r="D2286" s="18" t="s">
        <v>2106</v>
      </c>
      <c r="E2286" s="64" t="str">
        <f>IF(ISBLANK(D2286)=TRUE,"",VLOOKUP(D2286,Krav!$C:$F,4,FALSE))</f>
        <v>12.b.7 - Brugeren ledes videre til spørgsmål 13</v>
      </c>
      <c r="F2286" s="334" t="s">
        <v>143</v>
      </c>
      <c r="G2286" s="334"/>
      <c r="H2286" s="85" t="s">
        <v>2049</v>
      </c>
      <c r="I2286" s="65" t="s">
        <v>2050</v>
      </c>
      <c r="J2286" s="67" t="s">
        <v>222</v>
      </c>
      <c r="K2286" s="123" t="s">
        <v>222</v>
      </c>
      <c r="L2286" s="4" t="s">
        <v>3</v>
      </c>
      <c r="M2286" s="61" t="s">
        <v>96</v>
      </c>
      <c r="N2286" s="61" t="s">
        <v>129</v>
      </c>
      <c r="O2286" s="61"/>
      <c r="P2286" s="61"/>
      <c r="Q2286" s="61" t="s">
        <v>5</v>
      </c>
      <c r="R2286" s="61"/>
      <c r="S2286" s="57"/>
      <c r="T2286" s="57"/>
      <c r="U2286" s="57"/>
      <c r="V2286" s="57"/>
      <c r="W2286" s="57"/>
      <c r="X2286" s="57"/>
      <c r="Y2286" s="57"/>
      <c r="Z2286" s="57"/>
      <c r="AA2286" s="57"/>
      <c r="AB2286" s="57"/>
    </row>
    <row r="2287" spans="1:28" s="1" customFormat="1" ht="33" customHeight="1" x14ac:dyDescent="0.3">
      <c r="A2287" s="11">
        <v>21</v>
      </c>
      <c r="B2287" s="23">
        <v>43</v>
      </c>
      <c r="C2287" s="24" t="str">
        <f t="shared" si="46"/>
        <v>21.43</v>
      </c>
      <c r="D2287" s="18"/>
      <c r="E2287" s="64" t="str">
        <f>IF(ISBLANK(D2287)=TRUE,"",VLOOKUP(D2287,Krav!$C:$F,4,FALSE))</f>
        <v/>
      </c>
      <c r="F2287" s="334" t="s">
        <v>185</v>
      </c>
      <c r="G2287" s="334" t="s">
        <v>2051</v>
      </c>
      <c r="H2287" s="25" t="s">
        <v>1585</v>
      </c>
      <c r="I2287" s="65" t="s">
        <v>2051</v>
      </c>
      <c r="J2287" s="67" t="s">
        <v>222</v>
      </c>
      <c r="K2287" s="123" t="s">
        <v>222</v>
      </c>
      <c r="L2287" s="4" t="s">
        <v>3</v>
      </c>
      <c r="M2287" s="61" t="s">
        <v>96</v>
      </c>
      <c r="N2287" s="61" t="s">
        <v>131</v>
      </c>
      <c r="O2287" s="61"/>
      <c r="P2287" s="61"/>
      <c r="Q2287" s="61" t="s">
        <v>5</v>
      </c>
      <c r="R2287" s="61"/>
      <c r="S2287" s="57"/>
      <c r="T2287" s="57"/>
      <c r="U2287" s="57"/>
      <c r="V2287" s="57"/>
      <c r="W2287" s="57"/>
      <c r="X2287" s="57"/>
      <c r="Y2287" s="57"/>
      <c r="Z2287" s="57"/>
      <c r="AA2287" s="57"/>
      <c r="AB2287" s="57"/>
    </row>
    <row r="2288" spans="1:28" s="1" customFormat="1" ht="33" customHeight="1" x14ac:dyDescent="0.3">
      <c r="A2288" s="11">
        <v>21</v>
      </c>
      <c r="B2288" s="23">
        <v>44</v>
      </c>
      <c r="C2288" s="24" t="str">
        <f t="shared" si="46"/>
        <v>21.44</v>
      </c>
      <c r="D2288" s="18"/>
      <c r="E2288" s="64" t="str">
        <f>IF(ISBLANK(D2288)=TRUE,"",VLOOKUP(D2288,Krav!$C:$F,4,FALSE))</f>
        <v/>
      </c>
      <c r="F2288" s="334" t="s">
        <v>185</v>
      </c>
      <c r="G2288" s="334" t="s">
        <v>2052</v>
      </c>
      <c r="H2288" s="25" t="s">
        <v>1585</v>
      </c>
      <c r="I2288" s="65" t="s">
        <v>2052</v>
      </c>
      <c r="J2288" s="67" t="s">
        <v>222</v>
      </c>
      <c r="K2288" s="123" t="s">
        <v>222</v>
      </c>
      <c r="L2288" s="4" t="s">
        <v>3</v>
      </c>
      <c r="M2288" s="61" t="s">
        <v>96</v>
      </c>
      <c r="N2288" s="61" t="s">
        <v>131</v>
      </c>
      <c r="O2288" s="61"/>
      <c r="P2288" s="61"/>
      <c r="Q2288" s="61" t="s">
        <v>5</v>
      </c>
      <c r="R2288" s="61"/>
      <c r="S2288" s="57"/>
      <c r="T2288" s="57"/>
      <c r="U2288" s="57"/>
      <c r="V2288" s="57"/>
      <c r="W2288" s="57"/>
      <c r="X2288" s="57"/>
      <c r="Y2288" s="57"/>
      <c r="Z2288" s="57"/>
      <c r="AA2288" s="57"/>
      <c r="AB2288" s="57"/>
    </row>
    <row r="2289" spans="1:28" s="1" customFormat="1" ht="33" customHeight="1" x14ac:dyDescent="0.3">
      <c r="A2289" s="11">
        <v>21</v>
      </c>
      <c r="B2289" s="23">
        <v>45</v>
      </c>
      <c r="C2289" s="24" t="str">
        <f t="shared" si="46"/>
        <v>21.45</v>
      </c>
      <c r="D2289" s="18"/>
      <c r="E2289" s="64" t="str">
        <f>IF(ISBLANK(D2289)=TRUE,"",VLOOKUP(D2289,Krav!$C:$F,4,FALSE))</f>
        <v/>
      </c>
      <c r="F2289" s="84" t="s">
        <v>224</v>
      </c>
      <c r="G2289" s="334" t="s">
        <v>2107</v>
      </c>
      <c r="H2289" s="25" t="s">
        <v>1587</v>
      </c>
      <c r="I2289" s="65" t="s">
        <v>129</v>
      </c>
      <c r="J2289" s="67" t="s">
        <v>222</v>
      </c>
      <c r="K2289" s="123" t="s">
        <v>222</v>
      </c>
      <c r="L2289" s="4" t="s">
        <v>3</v>
      </c>
      <c r="M2289" s="61" t="s">
        <v>376</v>
      </c>
      <c r="N2289" s="61" t="s">
        <v>131</v>
      </c>
      <c r="O2289" s="61"/>
      <c r="P2289" s="61"/>
      <c r="Q2289" s="61" t="s">
        <v>5</v>
      </c>
      <c r="R2289" s="61"/>
      <c r="S2289" s="57"/>
      <c r="T2289" s="57"/>
      <c r="U2289" s="57"/>
      <c r="V2289" s="57"/>
      <c r="W2289" s="57"/>
      <c r="X2289" s="57"/>
      <c r="Y2289" s="57"/>
      <c r="Z2289" s="57"/>
      <c r="AA2289" s="57"/>
      <c r="AB2289" s="57"/>
    </row>
    <row r="2290" spans="1:28" s="1" customFormat="1" ht="33" customHeight="1" x14ac:dyDescent="0.3">
      <c r="A2290" s="11">
        <v>21</v>
      </c>
      <c r="B2290" s="23">
        <v>46</v>
      </c>
      <c r="C2290" s="24" t="str">
        <f t="shared" si="46"/>
        <v>21.46</v>
      </c>
      <c r="D2290" s="18"/>
      <c r="E2290" s="64" t="str">
        <f>IF(ISBLANK(D2290)=TRUE,"",VLOOKUP(D2290,Krav!$C:$F,4,FALSE))</f>
        <v/>
      </c>
      <c r="F2290" s="84" t="s">
        <v>224</v>
      </c>
      <c r="G2290" s="334" t="s">
        <v>1390</v>
      </c>
      <c r="H2290" s="25" t="s">
        <v>1587</v>
      </c>
      <c r="I2290" s="65" t="s">
        <v>129</v>
      </c>
      <c r="J2290" s="67" t="s">
        <v>222</v>
      </c>
      <c r="K2290" s="123" t="s">
        <v>222</v>
      </c>
      <c r="L2290" s="4" t="s">
        <v>3</v>
      </c>
      <c r="M2290" s="61" t="s">
        <v>96</v>
      </c>
      <c r="N2290" s="61" t="s">
        <v>129</v>
      </c>
      <c r="O2290" s="61"/>
      <c r="P2290" s="61"/>
      <c r="Q2290" s="61" t="s">
        <v>5</v>
      </c>
      <c r="R2290" s="61"/>
      <c r="S2290" s="57"/>
      <c r="T2290" s="57"/>
      <c r="U2290" s="57"/>
      <c r="V2290" s="57"/>
      <c r="W2290" s="57"/>
      <c r="X2290" s="57"/>
      <c r="Y2290" s="57"/>
      <c r="Z2290" s="57"/>
      <c r="AA2290" s="57"/>
      <c r="AB2290" s="57"/>
    </row>
    <row r="2291" spans="1:28" s="1" customFormat="1" ht="33" customHeight="1" x14ac:dyDescent="0.3">
      <c r="A2291" s="11">
        <v>21</v>
      </c>
      <c r="B2291" s="23">
        <v>47</v>
      </c>
      <c r="C2291" s="24" t="str">
        <f t="shared" si="46"/>
        <v>21.47</v>
      </c>
      <c r="D2291" s="18"/>
      <c r="E2291" s="64" t="str">
        <f>IF(ISBLANK(D2291)=TRUE,"",VLOOKUP(D2291,Krav!$C:$F,4,FALSE))</f>
        <v/>
      </c>
      <c r="F2291" s="84" t="s">
        <v>224</v>
      </c>
      <c r="G2291" s="336" t="s">
        <v>1388</v>
      </c>
      <c r="H2291" s="25" t="s">
        <v>1449</v>
      </c>
      <c r="I2291" s="65" t="s">
        <v>131</v>
      </c>
      <c r="J2291" s="67" t="s">
        <v>222</v>
      </c>
      <c r="K2291" s="123" t="s">
        <v>222</v>
      </c>
      <c r="L2291" s="4" t="s">
        <v>3</v>
      </c>
      <c r="M2291" s="61"/>
      <c r="N2291" s="61"/>
      <c r="O2291" s="61"/>
      <c r="P2291" s="61"/>
      <c r="Q2291" s="61" t="s">
        <v>5</v>
      </c>
      <c r="R2291" s="61"/>
      <c r="S2291" s="57"/>
      <c r="T2291" s="57"/>
      <c r="U2291" s="57"/>
      <c r="V2291" s="57"/>
      <c r="W2291" s="57"/>
      <c r="X2291" s="57"/>
      <c r="Y2291" s="57"/>
      <c r="Z2291" s="57"/>
      <c r="AA2291" s="57"/>
      <c r="AB2291" s="57"/>
    </row>
    <row r="2292" spans="1:28" s="1" customFormat="1" ht="33" customHeight="1" x14ac:dyDescent="0.3">
      <c r="A2292" s="11">
        <v>21</v>
      </c>
      <c r="B2292" s="23">
        <v>48</v>
      </c>
      <c r="C2292" s="24" t="str">
        <f t="shared" si="46"/>
        <v>21.48</v>
      </c>
      <c r="D2292" s="18"/>
      <c r="E2292" s="64" t="str">
        <f>IF(ISBLANK(D2292)=TRUE,"",VLOOKUP(D2292,Krav!$C:$F,4,FALSE))</f>
        <v/>
      </c>
      <c r="F2292" s="84" t="s">
        <v>224</v>
      </c>
      <c r="G2292" s="334" t="s">
        <v>1390</v>
      </c>
      <c r="H2292" s="25" t="s">
        <v>1449</v>
      </c>
      <c r="I2292" s="65" t="s">
        <v>131</v>
      </c>
      <c r="J2292" s="67" t="s">
        <v>222</v>
      </c>
      <c r="K2292" s="123" t="s">
        <v>222</v>
      </c>
      <c r="L2292" s="4" t="s">
        <v>3</v>
      </c>
      <c r="M2292" s="61"/>
      <c r="N2292" s="61"/>
      <c r="O2292" s="61"/>
      <c r="P2292" s="61"/>
      <c r="Q2292" s="61" t="s">
        <v>5</v>
      </c>
      <c r="R2292" s="61"/>
      <c r="S2292" s="57"/>
      <c r="T2292" s="57"/>
      <c r="U2292" s="57"/>
      <c r="V2292" s="57"/>
      <c r="W2292" s="57"/>
      <c r="X2292" s="57"/>
      <c r="Y2292" s="57"/>
      <c r="Z2292" s="57"/>
      <c r="AA2292" s="57"/>
      <c r="AB2292" s="57"/>
    </row>
    <row r="2293" spans="1:28" s="1" customFormat="1" ht="33" customHeight="1" x14ac:dyDescent="0.3">
      <c r="A2293" s="11">
        <v>21</v>
      </c>
      <c r="B2293" s="23">
        <v>49</v>
      </c>
      <c r="C2293" s="24" t="str">
        <f t="shared" si="46"/>
        <v>21.49</v>
      </c>
      <c r="D2293" s="18"/>
      <c r="E2293" s="64" t="str">
        <f>IF(ISBLANK(D2293)=TRUE,"",VLOOKUP(D2293,Krav!$C:$F,4,FALSE))</f>
        <v/>
      </c>
      <c r="F2293" s="334" t="s">
        <v>418</v>
      </c>
      <c r="G2293" s="29" t="s">
        <v>445</v>
      </c>
      <c r="H2293" s="85" t="s">
        <v>451</v>
      </c>
      <c r="I2293" s="96" t="s">
        <v>129</v>
      </c>
      <c r="J2293" s="96" t="s">
        <v>222</v>
      </c>
      <c r="K2293" s="123" t="s">
        <v>222</v>
      </c>
      <c r="L2293" s="4" t="s">
        <v>3</v>
      </c>
      <c r="M2293" s="61" t="s">
        <v>96</v>
      </c>
      <c r="N2293" s="61" t="s">
        <v>129</v>
      </c>
      <c r="O2293" s="61"/>
      <c r="P2293" s="61"/>
      <c r="Q2293" s="61" t="s">
        <v>5</v>
      </c>
      <c r="R2293" s="61"/>
      <c r="S2293" s="57"/>
      <c r="T2293" s="57"/>
      <c r="U2293" s="57"/>
      <c r="V2293" s="57"/>
      <c r="W2293" s="57"/>
      <c r="X2293" s="57"/>
      <c r="Y2293" s="57"/>
      <c r="Z2293" s="57"/>
      <c r="AA2293" s="57"/>
      <c r="AB2293" s="57"/>
    </row>
    <row r="2294" spans="1:28" s="1" customFormat="1" ht="33" customHeight="1" x14ac:dyDescent="0.3">
      <c r="A2294" s="11">
        <v>21</v>
      </c>
      <c r="B2294" s="23">
        <v>50</v>
      </c>
      <c r="C2294" s="24" t="str">
        <f t="shared" si="46"/>
        <v>21.50</v>
      </c>
      <c r="D2294" s="12"/>
      <c r="E2294" s="64" t="str">
        <f>IF(ISBLANK(D2294)=TRUE,"",VLOOKUP(D2294,Krav!$C:$F,4,FALSE))</f>
        <v/>
      </c>
      <c r="F2294" s="334" t="s">
        <v>418</v>
      </c>
      <c r="G2294" s="29" t="s">
        <v>445</v>
      </c>
      <c r="H2294" s="85" t="s">
        <v>451</v>
      </c>
      <c r="I2294" s="96" t="s">
        <v>129</v>
      </c>
      <c r="J2294" s="96" t="s">
        <v>222</v>
      </c>
      <c r="K2294" s="123" t="s">
        <v>222</v>
      </c>
      <c r="L2294" s="4" t="s">
        <v>3</v>
      </c>
      <c r="M2294" s="61" t="s">
        <v>96</v>
      </c>
      <c r="N2294" s="61" t="s">
        <v>129</v>
      </c>
      <c r="O2294" s="61"/>
      <c r="P2294" s="61"/>
      <c r="Q2294" s="61" t="s">
        <v>5</v>
      </c>
      <c r="R2294" s="61"/>
      <c r="S2294" s="57"/>
      <c r="T2294" s="57"/>
      <c r="U2294" s="57"/>
      <c r="V2294" s="57"/>
      <c r="W2294" s="57"/>
      <c r="X2294" s="57"/>
      <c r="Y2294" s="57"/>
      <c r="Z2294" s="57"/>
      <c r="AA2294" s="57"/>
      <c r="AB2294" s="57"/>
    </row>
    <row r="2295" spans="1:28" s="1" customFormat="1" ht="33" customHeight="1" x14ac:dyDescent="0.3">
      <c r="A2295" s="11">
        <v>21</v>
      </c>
      <c r="B2295" s="23">
        <v>51</v>
      </c>
      <c r="C2295" s="24" t="str">
        <f t="shared" si="46"/>
        <v>21.51</v>
      </c>
      <c r="D2295" s="18"/>
      <c r="E2295" s="64" t="str">
        <f>IF(ISBLANK(D2295)=TRUE,"",VLOOKUP(D2295,Krav!$C:$F,4,FALSE))</f>
        <v/>
      </c>
      <c r="F2295" s="334" t="s">
        <v>418</v>
      </c>
      <c r="G2295" s="29" t="s">
        <v>445</v>
      </c>
      <c r="H2295" s="85" t="s">
        <v>451</v>
      </c>
      <c r="I2295" s="96" t="s">
        <v>129</v>
      </c>
      <c r="J2295" s="96" t="s">
        <v>222</v>
      </c>
      <c r="K2295" s="123" t="s">
        <v>222</v>
      </c>
      <c r="L2295" s="4" t="s">
        <v>3</v>
      </c>
      <c r="M2295" s="61" t="s">
        <v>376</v>
      </c>
      <c r="N2295" s="61" t="s">
        <v>131</v>
      </c>
      <c r="O2295" s="61"/>
      <c r="P2295" s="61"/>
      <c r="Q2295" s="61" t="s">
        <v>5</v>
      </c>
      <c r="R2295" s="61"/>
      <c r="S2295" s="57"/>
      <c r="T2295" s="57"/>
      <c r="U2295" s="57"/>
      <c r="V2295" s="57"/>
      <c r="W2295" s="57"/>
      <c r="X2295" s="57"/>
      <c r="Y2295" s="57"/>
      <c r="Z2295" s="57"/>
      <c r="AA2295" s="57"/>
      <c r="AB2295" s="57"/>
    </row>
    <row r="2296" spans="1:28" s="1" customFormat="1" ht="33" customHeight="1" x14ac:dyDescent="0.3">
      <c r="A2296" s="11">
        <v>21</v>
      </c>
      <c r="B2296" s="23">
        <v>52</v>
      </c>
      <c r="C2296" s="24" t="str">
        <f t="shared" si="46"/>
        <v>21.52</v>
      </c>
      <c r="D2296" s="12"/>
      <c r="E2296" s="64" t="str">
        <f>IF(ISBLANK(D2296)=TRUE,"",VLOOKUP(D2296,Krav!$C:$F,4,FALSE))</f>
        <v/>
      </c>
      <c r="F2296" s="334" t="s">
        <v>418</v>
      </c>
      <c r="G2296" s="29" t="s">
        <v>445</v>
      </c>
      <c r="H2296" s="85" t="s">
        <v>451</v>
      </c>
      <c r="I2296" s="96" t="s">
        <v>129</v>
      </c>
      <c r="J2296" s="96" t="s">
        <v>222</v>
      </c>
      <c r="K2296" s="123" t="s">
        <v>222</v>
      </c>
      <c r="L2296" s="4" t="s">
        <v>3</v>
      </c>
      <c r="M2296" s="61" t="s">
        <v>376</v>
      </c>
      <c r="N2296" s="61" t="s">
        <v>131</v>
      </c>
      <c r="O2296" s="61"/>
      <c r="P2296" s="61"/>
      <c r="Q2296" s="61" t="s">
        <v>5</v>
      </c>
      <c r="R2296" s="61"/>
      <c r="S2296" s="57"/>
      <c r="T2296" s="57"/>
      <c r="U2296" s="57"/>
      <c r="V2296" s="57"/>
      <c r="W2296" s="57"/>
      <c r="X2296" s="57"/>
      <c r="Y2296" s="57"/>
      <c r="Z2296" s="57"/>
      <c r="AA2296" s="57"/>
      <c r="AB2296" s="57"/>
    </row>
    <row r="2297" spans="1:28" s="221" customFormat="1" ht="15" customHeight="1" x14ac:dyDescent="0.3">
      <c r="A2297" s="337"/>
      <c r="B2297" s="338"/>
      <c r="C2297" s="339"/>
      <c r="D2297" s="339"/>
      <c r="E2297" s="340"/>
      <c r="F2297" s="340"/>
      <c r="G2297" s="341"/>
      <c r="H2297" s="340"/>
      <c r="I2297" s="339"/>
      <c r="J2297" s="339"/>
      <c r="K2297" s="339"/>
      <c r="L2297" s="339"/>
      <c r="M2297" s="342"/>
      <c r="N2297" s="342"/>
      <c r="O2297" s="343"/>
      <c r="P2297" s="343"/>
      <c r="Q2297" s="343"/>
      <c r="R2297" s="343"/>
      <c r="S2297" s="344"/>
      <c r="T2297" s="344"/>
      <c r="U2297" s="344"/>
      <c r="V2297" s="344"/>
      <c r="W2297" s="344"/>
      <c r="X2297" s="344"/>
      <c r="Y2297" s="344"/>
      <c r="Z2297" s="344"/>
      <c r="AA2297" s="344"/>
      <c r="AB2297" s="344"/>
    </row>
    <row r="2298" spans="1:28" s="1" customFormat="1" ht="15" customHeight="1" x14ac:dyDescent="0.3">
      <c r="A2298" s="50" t="s">
        <v>6</v>
      </c>
      <c r="B2298" s="51" t="s">
        <v>7</v>
      </c>
      <c r="C2298" s="31" t="s">
        <v>0</v>
      </c>
      <c r="D2298" s="31" t="s">
        <v>22</v>
      </c>
      <c r="E2298" s="52" t="s">
        <v>99</v>
      </c>
      <c r="F2298" s="52" t="s">
        <v>216</v>
      </c>
      <c r="G2298" s="133" t="s">
        <v>217</v>
      </c>
      <c r="H2298" s="52" t="s">
        <v>28</v>
      </c>
      <c r="I2298" s="31" t="s">
        <v>218</v>
      </c>
      <c r="J2298" s="31" t="s">
        <v>219</v>
      </c>
      <c r="K2298" s="31" t="s">
        <v>220</v>
      </c>
      <c r="L2298" s="31" t="s">
        <v>1</v>
      </c>
      <c r="M2298" s="62" t="s">
        <v>233</v>
      </c>
      <c r="N2298" s="62" t="s">
        <v>2057</v>
      </c>
      <c r="O2298" s="57"/>
      <c r="P2298" s="57"/>
      <c r="Q2298" s="57"/>
      <c r="R2298" s="57"/>
      <c r="S2298" s="57"/>
      <c r="T2298" s="57"/>
      <c r="U2298" s="57"/>
      <c r="V2298" s="57"/>
      <c r="W2298" s="57"/>
      <c r="X2298" s="57"/>
    </row>
    <row r="2299" spans="1:28" s="1" customFormat="1" ht="33" customHeight="1" x14ac:dyDescent="0.3">
      <c r="A2299" s="11">
        <v>43</v>
      </c>
      <c r="B2299" s="23">
        <v>1</v>
      </c>
      <c r="C2299" s="24" t="str">
        <f t="shared" ref="C2299:C2306" si="52">IF(B2299&lt;10,_xlfn.CONCAT(A2299,".0",B2299),_xlfn.CONCAT(A2299,".",B2299))</f>
        <v>43.01</v>
      </c>
      <c r="D2299" s="12"/>
      <c r="E2299" s="64" t="str">
        <f>IF(ISBLANK(D2299)=TRUE,"",VLOOKUP(D2299,Krav!$C:$F,4,FALSE))</f>
        <v/>
      </c>
      <c r="F2299" s="85" t="s">
        <v>228</v>
      </c>
      <c r="G2299" s="336" t="s">
        <v>2058</v>
      </c>
      <c r="H2299" s="85" t="s">
        <v>2073</v>
      </c>
      <c r="I2299" s="94" t="s">
        <v>1361</v>
      </c>
      <c r="J2299" s="94" t="s">
        <v>222</v>
      </c>
      <c r="K2299" s="123" t="s">
        <v>222</v>
      </c>
      <c r="L2299" s="4" t="s">
        <v>3</v>
      </c>
      <c r="M2299" s="61" t="s">
        <v>5</v>
      </c>
      <c r="N2299" s="61"/>
      <c r="O2299" s="57"/>
      <c r="P2299" s="57"/>
      <c r="Q2299" s="57"/>
      <c r="R2299" s="57"/>
      <c r="S2299" s="57"/>
      <c r="T2299" s="57"/>
      <c r="U2299" s="57"/>
      <c r="V2299" s="57"/>
      <c r="W2299" s="57"/>
      <c r="X2299" s="57"/>
    </row>
    <row r="2300" spans="1:28" s="1" customFormat="1" ht="33" customHeight="1" x14ac:dyDescent="0.3">
      <c r="A2300" s="11">
        <v>43</v>
      </c>
      <c r="B2300" s="23">
        <v>2</v>
      </c>
      <c r="C2300" s="24" t="str">
        <f t="shared" si="52"/>
        <v>43.02</v>
      </c>
      <c r="D2300" s="12"/>
      <c r="E2300" s="64" t="str">
        <f>IF(ISBLANK(D2300)=TRUE,"",VLOOKUP(D2300,Krav!$C:$F,4,FALSE))</f>
        <v/>
      </c>
      <c r="F2300" s="85" t="s">
        <v>228</v>
      </c>
      <c r="G2300" s="53" t="s">
        <v>2059</v>
      </c>
      <c r="H2300" s="85" t="s">
        <v>2074</v>
      </c>
      <c r="I2300" s="85" t="s">
        <v>2060</v>
      </c>
      <c r="J2300" s="87" t="s">
        <v>222</v>
      </c>
      <c r="K2300" s="123" t="s">
        <v>222</v>
      </c>
      <c r="L2300" s="4" t="s">
        <v>3</v>
      </c>
      <c r="M2300" s="61" t="s">
        <v>5</v>
      </c>
      <c r="N2300" s="61"/>
      <c r="O2300" s="57"/>
      <c r="P2300" s="57"/>
      <c r="Q2300" s="57"/>
      <c r="R2300" s="57"/>
      <c r="S2300" s="57"/>
      <c r="T2300" s="57"/>
      <c r="U2300" s="57"/>
      <c r="V2300" s="57"/>
      <c r="W2300" s="57"/>
      <c r="X2300" s="57"/>
    </row>
    <row r="2301" spans="1:28" s="1" customFormat="1" ht="33" customHeight="1" x14ac:dyDescent="0.3">
      <c r="A2301" s="11">
        <v>43</v>
      </c>
      <c r="B2301" s="23">
        <v>3</v>
      </c>
      <c r="C2301" s="24" t="str">
        <f t="shared" si="52"/>
        <v>43.03</v>
      </c>
      <c r="D2301" s="12"/>
      <c r="E2301" s="64" t="str">
        <f>IF(ISBLANK(D2301)=TRUE,"",VLOOKUP(D2301,Krav!$C:$F,4,FALSE))</f>
        <v/>
      </c>
      <c r="F2301" s="85" t="s">
        <v>228</v>
      </c>
      <c r="G2301" s="53" t="s">
        <v>2061</v>
      </c>
      <c r="H2301" s="85" t="s">
        <v>2075</v>
      </c>
      <c r="I2301" s="85" t="s">
        <v>2062</v>
      </c>
      <c r="J2301" s="87" t="s">
        <v>222</v>
      </c>
      <c r="K2301" s="123" t="s">
        <v>222</v>
      </c>
      <c r="L2301" s="4" t="s">
        <v>3</v>
      </c>
      <c r="M2301" s="61" t="s">
        <v>5</v>
      </c>
      <c r="N2301" s="61"/>
      <c r="O2301" s="57"/>
      <c r="P2301" s="57"/>
      <c r="Q2301" s="57"/>
      <c r="R2301" s="57"/>
      <c r="S2301" s="57"/>
      <c r="T2301" s="57"/>
      <c r="U2301" s="57"/>
      <c r="V2301" s="57"/>
      <c r="W2301" s="57"/>
      <c r="X2301" s="57"/>
    </row>
    <row r="2302" spans="1:28" s="1" customFormat="1" ht="33" customHeight="1" x14ac:dyDescent="0.3">
      <c r="A2302" s="11">
        <v>43</v>
      </c>
      <c r="B2302" s="23">
        <v>4</v>
      </c>
      <c r="C2302" s="24" t="str">
        <f t="shared" si="52"/>
        <v>43.04</v>
      </c>
      <c r="D2302" s="12"/>
      <c r="E2302" s="64" t="str">
        <f>IF(ISBLANK(D2302)=TRUE,"",VLOOKUP(D2302,Krav!$C:$F,4,FALSE))</f>
        <v/>
      </c>
      <c r="F2302" s="85" t="s">
        <v>143</v>
      </c>
      <c r="G2302" s="53" t="s">
        <v>146</v>
      </c>
      <c r="H2302" s="53" t="s">
        <v>2082</v>
      </c>
      <c r="I2302" s="53" t="s">
        <v>146</v>
      </c>
      <c r="J2302" s="87" t="s">
        <v>222</v>
      </c>
      <c r="K2302" s="123" t="s">
        <v>222</v>
      </c>
      <c r="L2302" s="4" t="s">
        <v>3</v>
      </c>
      <c r="M2302" s="61" t="s">
        <v>5</v>
      </c>
      <c r="N2302" s="61"/>
      <c r="O2302" s="57"/>
      <c r="P2302" s="57"/>
      <c r="Q2302" s="57"/>
      <c r="R2302" s="57"/>
      <c r="S2302" s="57"/>
      <c r="T2302" s="57"/>
      <c r="U2302" s="57"/>
      <c r="V2302" s="57"/>
      <c r="W2302" s="57"/>
      <c r="X2302" s="57"/>
    </row>
    <row r="2303" spans="1:28" s="1" customFormat="1" ht="33" customHeight="1" x14ac:dyDescent="0.3">
      <c r="A2303" s="11">
        <v>43</v>
      </c>
      <c r="B2303" s="23">
        <v>5</v>
      </c>
      <c r="C2303" s="24" t="str">
        <f t="shared" si="52"/>
        <v>43.05</v>
      </c>
      <c r="D2303" s="12"/>
      <c r="E2303" s="64" t="str">
        <f>IF(ISBLANK(D2303)=TRUE,"",VLOOKUP(D2303,Krav!$C:$F,4,FALSE))</f>
        <v/>
      </c>
      <c r="F2303" s="85" t="s">
        <v>143</v>
      </c>
      <c r="G2303" s="53" t="s">
        <v>145</v>
      </c>
      <c r="H2303" s="53" t="s">
        <v>2083</v>
      </c>
      <c r="I2303" s="53" t="s">
        <v>145</v>
      </c>
      <c r="J2303" s="87" t="s">
        <v>222</v>
      </c>
      <c r="K2303" s="123" t="s">
        <v>222</v>
      </c>
      <c r="L2303" s="4" t="s">
        <v>3</v>
      </c>
      <c r="M2303" s="61" t="s">
        <v>5</v>
      </c>
      <c r="N2303" s="61"/>
      <c r="O2303" s="57"/>
      <c r="P2303" s="57"/>
      <c r="Q2303" s="57"/>
      <c r="R2303" s="57"/>
      <c r="S2303" s="57"/>
      <c r="T2303" s="57"/>
      <c r="U2303" s="57"/>
      <c r="V2303" s="57"/>
      <c r="W2303" s="57"/>
      <c r="X2303" s="57"/>
    </row>
    <row r="2304" spans="1:28" s="1" customFormat="1" ht="33" customHeight="1" x14ac:dyDescent="0.3">
      <c r="A2304" s="11">
        <v>43</v>
      </c>
      <c r="B2304" s="23">
        <v>6</v>
      </c>
      <c r="C2304" s="24" t="str">
        <f t="shared" si="52"/>
        <v>43.06</v>
      </c>
      <c r="D2304" s="12"/>
      <c r="E2304" s="64" t="str">
        <f>IF(ISBLANK(D2304)=TRUE,"",VLOOKUP(D2304,Krav!$C:$F,4,FALSE))</f>
        <v/>
      </c>
      <c r="F2304" s="85" t="s">
        <v>185</v>
      </c>
      <c r="G2304" s="53" t="s">
        <v>2063</v>
      </c>
      <c r="H2304" s="85" t="s">
        <v>2076</v>
      </c>
      <c r="I2304" s="87" t="s">
        <v>129</v>
      </c>
      <c r="J2304" s="87" t="s">
        <v>222</v>
      </c>
      <c r="K2304" s="123" t="s">
        <v>222</v>
      </c>
      <c r="L2304" s="4" t="s">
        <v>3</v>
      </c>
      <c r="M2304" s="61" t="s">
        <v>5</v>
      </c>
      <c r="N2304" s="61"/>
      <c r="O2304" s="57"/>
      <c r="P2304" s="57"/>
      <c r="Q2304" s="57"/>
      <c r="R2304" s="57"/>
      <c r="S2304" s="57"/>
      <c r="T2304" s="57"/>
      <c r="U2304" s="57"/>
      <c r="V2304" s="57"/>
      <c r="W2304" s="57"/>
      <c r="X2304" s="57"/>
    </row>
    <row r="2305" spans="1:24" s="1" customFormat="1" ht="33" customHeight="1" x14ac:dyDescent="0.3">
      <c r="A2305" s="11">
        <v>43</v>
      </c>
      <c r="B2305" s="23">
        <v>7</v>
      </c>
      <c r="C2305" s="24" t="str">
        <f t="shared" si="52"/>
        <v>43.07</v>
      </c>
      <c r="D2305" s="12"/>
      <c r="E2305" s="64" t="str">
        <f>IF(ISBLANK(D2305)=TRUE,"",VLOOKUP(D2305,Krav!$C:$F,4,FALSE))</f>
        <v/>
      </c>
      <c r="F2305" s="85" t="s">
        <v>418</v>
      </c>
      <c r="G2305" s="53" t="s">
        <v>2059</v>
      </c>
      <c r="H2305" s="85" t="s">
        <v>2077</v>
      </c>
      <c r="I2305" s="87" t="s">
        <v>129</v>
      </c>
      <c r="J2305" s="87" t="s">
        <v>222</v>
      </c>
      <c r="K2305" s="123" t="s">
        <v>222</v>
      </c>
      <c r="L2305" s="4" t="s">
        <v>3</v>
      </c>
      <c r="M2305" s="61" t="s">
        <v>5</v>
      </c>
      <c r="N2305" s="61"/>
      <c r="O2305" s="57"/>
      <c r="P2305" s="57"/>
      <c r="Q2305" s="57"/>
      <c r="R2305" s="57"/>
      <c r="S2305" s="57"/>
      <c r="T2305" s="57"/>
      <c r="U2305" s="57"/>
      <c r="V2305" s="57"/>
      <c r="W2305" s="57"/>
      <c r="X2305" s="57"/>
    </row>
    <row r="2306" spans="1:24" s="1" customFormat="1" ht="33" customHeight="1" x14ac:dyDescent="0.3">
      <c r="A2306" s="11">
        <v>43</v>
      </c>
      <c r="B2306" s="23">
        <v>8</v>
      </c>
      <c r="C2306" s="24" t="str">
        <f t="shared" si="52"/>
        <v>43.08</v>
      </c>
      <c r="D2306" s="12"/>
      <c r="E2306" s="64" t="str">
        <f>IF(ISBLANK(D2306)=TRUE,"",VLOOKUP(D2306,Krav!$C:$F,4,FALSE))</f>
        <v/>
      </c>
      <c r="F2306" s="85" t="s">
        <v>418</v>
      </c>
      <c r="G2306" s="53" t="s">
        <v>2061</v>
      </c>
      <c r="H2306" s="85" t="s">
        <v>2077</v>
      </c>
      <c r="I2306" s="87" t="s">
        <v>129</v>
      </c>
      <c r="J2306" s="87" t="s">
        <v>222</v>
      </c>
      <c r="K2306" s="123" t="s">
        <v>222</v>
      </c>
      <c r="L2306" s="4" t="s">
        <v>3</v>
      </c>
      <c r="M2306" s="61" t="s">
        <v>5</v>
      </c>
      <c r="N2306" s="61"/>
      <c r="O2306" s="57"/>
      <c r="P2306" s="57"/>
      <c r="Q2306" s="57"/>
      <c r="R2306" s="57"/>
      <c r="S2306" s="57"/>
      <c r="T2306" s="57"/>
      <c r="U2306" s="57"/>
      <c r="V2306" s="57"/>
      <c r="W2306" s="57"/>
      <c r="X2306" s="57"/>
    </row>
    <row r="2307" spans="1:24" s="57" customFormat="1" ht="16.5" customHeight="1" x14ac:dyDescent="0.3">
      <c r="E2307" s="5"/>
      <c r="F2307" s="5"/>
      <c r="H2307" s="5"/>
    </row>
    <row r="2308" spans="1:24" s="1" customFormat="1" ht="15" customHeight="1" x14ac:dyDescent="0.3">
      <c r="A2308" s="50" t="s">
        <v>6</v>
      </c>
      <c r="B2308" s="51" t="s">
        <v>7</v>
      </c>
      <c r="C2308" s="31" t="s">
        <v>0</v>
      </c>
      <c r="D2308" s="31" t="s">
        <v>22</v>
      </c>
      <c r="E2308" s="52" t="s">
        <v>99</v>
      </c>
      <c r="F2308" s="52" t="s">
        <v>216</v>
      </c>
      <c r="G2308" s="133" t="s">
        <v>217</v>
      </c>
      <c r="H2308" s="52" t="s">
        <v>28</v>
      </c>
      <c r="I2308" s="31" t="s">
        <v>218</v>
      </c>
      <c r="J2308" s="31" t="s">
        <v>219</v>
      </c>
      <c r="K2308" s="31" t="s">
        <v>220</v>
      </c>
      <c r="L2308" s="31" t="s">
        <v>1</v>
      </c>
      <c r="M2308" s="62" t="s">
        <v>233</v>
      </c>
      <c r="N2308" s="62" t="s">
        <v>2057</v>
      </c>
      <c r="O2308" s="57"/>
      <c r="P2308" s="57"/>
      <c r="Q2308" s="57"/>
      <c r="R2308" s="57"/>
      <c r="S2308" s="57"/>
      <c r="T2308" s="57"/>
      <c r="U2308" s="57"/>
      <c r="V2308" s="57"/>
      <c r="W2308" s="57"/>
      <c r="X2308" s="57"/>
    </row>
    <row r="2309" spans="1:24" s="1" customFormat="1" ht="33" customHeight="1" x14ac:dyDescent="0.3">
      <c r="A2309" s="11">
        <v>44</v>
      </c>
      <c r="B2309" s="23">
        <v>1</v>
      </c>
      <c r="C2309" s="24" t="str">
        <f t="shared" ref="C2309:C2315" si="53">IF(B2309&lt;10,_xlfn.CONCAT(A2309,".0",B2309),_xlfn.CONCAT(A2309,".",B2309))</f>
        <v>44.01</v>
      </c>
      <c r="D2309" s="12"/>
      <c r="E2309" s="64" t="str">
        <f>IF(ISBLANK(D2309)=TRUE,"",VLOOKUP(D2309,Krav!$C:$F,4,FALSE))</f>
        <v/>
      </c>
      <c r="F2309" s="85" t="s">
        <v>228</v>
      </c>
      <c r="G2309" s="336" t="s">
        <v>2058</v>
      </c>
      <c r="H2309" s="85" t="s">
        <v>2073</v>
      </c>
      <c r="I2309" s="94" t="s">
        <v>2072</v>
      </c>
      <c r="J2309" s="94" t="s">
        <v>222</v>
      </c>
      <c r="K2309" s="123" t="s">
        <v>222</v>
      </c>
      <c r="L2309" s="4" t="s">
        <v>3</v>
      </c>
      <c r="M2309" s="61" t="s">
        <v>5</v>
      </c>
      <c r="N2309" s="61"/>
      <c r="O2309" s="57"/>
      <c r="P2309" s="57"/>
      <c r="Q2309" s="57"/>
      <c r="R2309" s="57"/>
      <c r="S2309" s="57"/>
      <c r="T2309" s="57"/>
      <c r="U2309" s="57"/>
      <c r="V2309" s="57"/>
      <c r="W2309" s="57"/>
      <c r="X2309" s="57"/>
    </row>
    <row r="2310" spans="1:24" s="1" customFormat="1" ht="33" customHeight="1" x14ac:dyDescent="0.3">
      <c r="A2310" s="11">
        <v>44</v>
      </c>
      <c r="B2310" s="23">
        <v>2</v>
      </c>
      <c r="C2310" s="24" t="str">
        <f t="shared" si="53"/>
        <v>44.02</v>
      </c>
      <c r="D2310" s="12"/>
      <c r="E2310" s="64" t="str">
        <f>IF(ISBLANK(D2310)=TRUE,"",VLOOKUP(D2310,Krav!$C:$F,4,FALSE))</f>
        <v/>
      </c>
      <c r="F2310" s="85" t="s">
        <v>228</v>
      </c>
      <c r="G2310" s="53" t="s">
        <v>2059</v>
      </c>
      <c r="H2310" s="85" t="s">
        <v>2078</v>
      </c>
      <c r="I2310" s="94" t="s">
        <v>2065</v>
      </c>
      <c r="J2310" s="94" t="s">
        <v>222</v>
      </c>
      <c r="K2310" s="123" t="s">
        <v>222</v>
      </c>
      <c r="L2310" s="4" t="s">
        <v>3</v>
      </c>
      <c r="M2310" s="61" t="s">
        <v>5</v>
      </c>
      <c r="N2310" s="61"/>
      <c r="O2310" s="57"/>
      <c r="P2310" s="57"/>
      <c r="Q2310" s="57"/>
      <c r="R2310" s="57"/>
      <c r="S2310" s="57"/>
      <c r="T2310" s="57"/>
      <c r="U2310" s="57"/>
      <c r="V2310" s="57"/>
      <c r="W2310" s="57"/>
      <c r="X2310" s="57"/>
    </row>
    <row r="2311" spans="1:24" s="1" customFormat="1" ht="33" customHeight="1" x14ac:dyDescent="0.3">
      <c r="A2311" s="11">
        <v>44</v>
      </c>
      <c r="B2311" s="23">
        <v>3</v>
      </c>
      <c r="C2311" s="24" t="str">
        <f t="shared" si="53"/>
        <v>44.03</v>
      </c>
      <c r="D2311" s="12"/>
      <c r="E2311" s="64" t="str">
        <f>IF(ISBLANK(D2311)=TRUE,"",VLOOKUP(D2311,Krav!$C:$F,4,FALSE))</f>
        <v/>
      </c>
      <c r="F2311" s="85" t="s">
        <v>228</v>
      </c>
      <c r="G2311" s="53" t="s">
        <v>2061</v>
      </c>
      <c r="H2311" s="85" t="s">
        <v>2079</v>
      </c>
      <c r="I2311" s="85" t="s">
        <v>2066</v>
      </c>
      <c r="J2311" s="87" t="s">
        <v>222</v>
      </c>
      <c r="K2311" s="123" t="s">
        <v>222</v>
      </c>
      <c r="L2311" s="4" t="s">
        <v>3</v>
      </c>
      <c r="M2311" s="61" t="s">
        <v>5</v>
      </c>
      <c r="N2311" s="61"/>
      <c r="O2311" s="57"/>
      <c r="P2311" s="57"/>
      <c r="Q2311" s="57"/>
      <c r="R2311" s="57"/>
      <c r="S2311" s="57"/>
      <c r="T2311" s="57"/>
      <c r="U2311" s="57"/>
      <c r="V2311" s="57"/>
      <c r="W2311" s="57"/>
      <c r="X2311" s="57"/>
    </row>
    <row r="2312" spans="1:24" s="1" customFormat="1" ht="33" customHeight="1" x14ac:dyDescent="0.3">
      <c r="A2312" s="11">
        <v>44</v>
      </c>
      <c r="B2312" s="23">
        <v>4</v>
      </c>
      <c r="C2312" s="24" t="str">
        <f t="shared" si="53"/>
        <v>44.04</v>
      </c>
      <c r="D2312" s="12"/>
      <c r="E2312" s="64" t="str">
        <f>IF(ISBLANK(D2312)=TRUE,"",VLOOKUP(D2312,Krav!$C:$F,4,FALSE))</f>
        <v/>
      </c>
      <c r="F2312" s="85" t="s">
        <v>143</v>
      </c>
      <c r="G2312" s="53" t="s">
        <v>2067</v>
      </c>
      <c r="H2312" s="53" t="s">
        <v>2081</v>
      </c>
      <c r="I2312" s="53" t="s">
        <v>2067</v>
      </c>
      <c r="J2312" s="87" t="s">
        <v>222</v>
      </c>
      <c r="K2312" s="123" t="s">
        <v>222</v>
      </c>
      <c r="L2312" s="4" t="s">
        <v>3</v>
      </c>
      <c r="M2312" s="61" t="s">
        <v>5</v>
      </c>
      <c r="N2312" s="61"/>
      <c r="O2312" s="57"/>
      <c r="P2312" s="57"/>
      <c r="Q2312" s="57"/>
      <c r="R2312" s="57"/>
      <c r="S2312" s="57"/>
      <c r="T2312" s="57"/>
      <c r="U2312" s="57"/>
      <c r="V2312" s="57"/>
      <c r="W2312" s="57"/>
      <c r="X2312" s="57"/>
    </row>
    <row r="2313" spans="1:24" s="1" customFormat="1" ht="38.25" customHeight="1" x14ac:dyDescent="0.3">
      <c r="A2313" s="11">
        <v>44</v>
      </c>
      <c r="B2313" s="23">
        <v>5</v>
      </c>
      <c r="C2313" s="24" t="str">
        <f t="shared" si="53"/>
        <v>44.05</v>
      </c>
      <c r="D2313" s="12"/>
      <c r="E2313" s="64" t="str">
        <f>IF(ISBLANK(D2313)=TRUE,"",VLOOKUP(D2313,Krav!$C:$F,4,FALSE))</f>
        <v/>
      </c>
      <c r="F2313" s="85" t="s">
        <v>185</v>
      </c>
      <c r="G2313" s="53" t="s">
        <v>2063</v>
      </c>
      <c r="H2313" s="85" t="s">
        <v>2080</v>
      </c>
      <c r="I2313" s="86" t="s">
        <v>129</v>
      </c>
      <c r="J2313" s="87" t="s">
        <v>222</v>
      </c>
      <c r="K2313" s="123" t="s">
        <v>222</v>
      </c>
      <c r="L2313" s="4" t="s">
        <v>3</v>
      </c>
      <c r="M2313" s="61" t="s">
        <v>5</v>
      </c>
      <c r="N2313" s="61"/>
      <c r="O2313" s="57"/>
      <c r="P2313" s="57"/>
      <c r="Q2313" s="57"/>
      <c r="R2313" s="57"/>
      <c r="S2313" s="57"/>
      <c r="T2313" s="57"/>
      <c r="U2313" s="57"/>
      <c r="V2313" s="57"/>
      <c r="W2313" s="57"/>
      <c r="X2313" s="57"/>
    </row>
    <row r="2314" spans="1:24" s="1" customFormat="1" ht="33" customHeight="1" x14ac:dyDescent="0.3">
      <c r="A2314" s="11">
        <v>44</v>
      </c>
      <c r="B2314" s="23">
        <v>6</v>
      </c>
      <c r="C2314" s="24" t="str">
        <f t="shared" si="53"/>
        <v>44.06</v>
      </c>
      <c r="D2314" s="12"/>
      <c r="E2314" s="64" t="str">
        <f>IF(ISBLANK(D2314)=TRUE,"",VLOOKUP(D2314,Krav!$C:$F,4,FALSE))</f>
        <v/>
      </c>
      <c r="F2314" s="85" t="s">
        <v>418</v>
      </c>
      <c r="G2314" s="53" t="s">
        <v>2059</v>
      </c>
      <c r="H2314" s="85" t="s">
        <v>2077</v>
      </c>
      <c r="I2314" s="86" t="s">
        <v>129</v>
      </c>
      <c r="J2314" s="87" t="s">
        <v>222</v>
      </c>
      <c r="K2314" s="123" t="s">
        <v>222</v>
      </c>
      <c r="L2314" s="4" t="s">
        <v>3</v>
      </c>
      <c r="M2314" s="61" t="s">
        <v>5</v>
      </c>
      <c r="N2314" s="61"/>
      <c r="O2314" s="57"/>
      <c r="P2314" s="57"/>
      <c r="Q2314" s="57"/>
      <c r="R2314" s="57"/>
      <c r="S2314" s="57"/>
      <c r="T2314" s="57"/>
      <c r="U2314" s="57"/>
      <c r="V2314" s="57"/>
      <c r="W2314" s="57"/>
      <c r="X2314" s="57"/>
    </row>
    <row r="2315" spans="1:24" s="1" customFormat="1" ht="33" customHeight="1" x14ac:dyDescent="0.3">
      <c r="A2315" s="11">
        <v>44</v>
      </c>
      <c r="B2315" s="23">
        <v>7</v>
      </c>
      <c r="C2315" s="24" t="str">
        <f t="shared" si="53"/>
        <v>44.07</v>
      </c>
      <c r="D2315" s="12"/>
      <c r="E2315" s="64" t="str">
        <f>IF(ISBLANK(D2315)=TRUE,"",VLOOKUP(D2315,Krav!$C:$F,4,FALSE))</f>
        <v/>
      </c>
      <c r="F2315" s="85" t="s">
        <v>418</v>
      </c>
      <c r="G2315" s="53" t="s">
        <v>2061</v>
      </c>
      <c r="H2315" s="85" t="s">
        <v>2077</v>
      </c>
      <c r="I2315" s="86" t="s">
        <v>129</v>
      </c>
      <c r="J2315" s="87" t="s">
        <v>222</v>
      </c>
      <c r="K2315" s="123" t="s">
        <v>222</v>
      </c>
      <c r="L2315" s="4" t="s">
        <v>3</v>
      </c>
      <c r="M2315" s="61" t="s">
        <v>5</v>
      </c>
      <c r="N2315" s="61"/>
      <c r="O2315" s="57"/>
      <c r="P2315" s="57"/>
      <c r="Q2315" s="57"/>
      <c r="R2315" s="57"/>
      <c r="S2315" s="57"/>
      <c r="T2315" s="57"/>
      <c r="U2315" s="57"/>
      <c r="V2315" s="57"/>
      <c r="W2315" s="57"/>
      <c r="X2315" s="57"/>
    </row>
    <row r="2316" spans="1:24" s="57" customFormat="1" ht="16.5" customHeight="1" x14ac:dyDescent="0.3">
      <c r="E2316" s="5"/>
      <c r="F2316" s="5"/>
      <c r="H2316" s="5"/>
    </row>
    <row r="2317" spans="1:24" s="1" customFormat="1" ht="15" customHeight="1" x14ac:dyDescent="0.3">
      <c r="A2317" s="50" t="s">
        <v>6</v>
      </c>
      <c r="B2317" s="51" t="s">
        <v>7</v>
      </c>
      <c r="C2317" s="31" t="s">
        <v>0</v>
      </c>
      <c r="D2317" s="31" t="s">
        <v>22</v>
      </c>
      <c r="E2317" s="52" t="s">
        <v>99</v>
      </c>
      <c r="F2317" s="52" t="s">
        <v>216</v>
      </c>
      <c r="G2317" s="133" t="s">
        <v>217</v>
      </c>
      <c r="H2317" s="52" t="s">
        <v>28</v>
      </c>
      <c r="I2317" s="31" t="s">
        <v>218</v>
      </c>
      <c r="J2317" s="31" t="s">
        <v>219</v>
      </c>
      <c r="K2317" s="31" t="s">
        <v>220</v>
      </c>
      <c r="L2317" s="31" t="s">
        <v>1</v>
      </c>
      <c r="M2317" s="62" t="s">
        <v>233</v>
      </c>
      <c r="N2317" s="62" t="s">
        <v>2057</v>
      </c>
      <c r="O2317" s="57"/>
      <c r="P2317" s="57"/>
      <c r="Q2317" s="57"/>
      <c r="R2317" s="57"/>
      <c r="S2317" s="57"/>
      <c r="T2317" s="57"/>
      <c r="U2317" s="57"/>
      <c r="V2317" s="57"/>
      <c r="W2317" s="57"/>
      <c r="X2317" s="57"/>
    </row>
    <row r="2318" spans="1:24" s="1" customFormat="1" ht="33" customHeight="1" x14ac:dyDescent="0.3">
      <c r="A2318" s="11">
        <v>45</v>
      </c>
      <c r="B2318" s="23">
        <v>1</v>
      </c>
      <c r="C2318" s="24" t="str">
        <f t="shared" ref="C2318:C2324" si="54">IF(B2318&lt;10,_xlfn.CONCAT(A2318,".0",B2318),_xlfn.CONCAT(A2318,".",B2318))</f>
        <v>45.01</v>
      </c>
      <c r="D2318" s="12"/>
      <c r="E2318" s="64" t="str">
        <f>IF(ISBLANK(D2318)=TRUE,"",VLOOKUP(D2318,Krav!$C:$F,4,FALSE))</f>
        <v/>
      </c>
      <c r="F2318" s="85" t="s">
        <v>228</v>
      </c>
      <c r="G2318" s="336" t="s">
        <v>2058</v>
      </c>
      <c r="H2318" s="85" t="s">
        <v>2084</v>
      </c>
      <c r="I2318" s="94" t="s">
        <v>2064</v>
      </c>
      <c r="J2318" s="94" t="s">
        <v>222</v>
      </c>
      <c r="K2318" s="123" t="s">
        <v>222</v>
      </c>
      <c r="L2318" s="4" t="s">
        <v>3</v>
      </c>
      <c r="M2318" s="61" t="s">
        <v>5</v>
      </c>
      <c r="N2318" s="61"/>
      <c r="O2318" s="57"/>
      <c r="P2318" s="57"/>
      <c r="Q2318" s="57"/>
      <c r="R2318" s="57"/>
      <c r="S2318" s="57"/>
      <c r="T2318" s="57"/>
      <c r="U2318" s="57"/>
      <c r="V2318" s="57"/>
      <c r="W2318" s="57"/>
      <c r="X2318" s="57"/>
    </row>
    <row r="2319" spans="1:24" s="1" customFormat="1" ht="33" customHeight="1" x14ac:dyDescent="0.3">
      <c r="A2319" s="11">
        <v>45</v>
      </c>
      <c r="B2319" s="23">
        <v>2</v>
      </c>
      <c r="C2319" s="24" t="str">
        <f t="shared" si="54"/>
        <v>45.02</v>
      </c>
      <c r="D2319" s="12"/>
      <c r="E2319" s="64" t="str">
        <f>IF(ISBLANK(D2319)=TRUE,"",VLOOKUP(D2319,Krav!$C:$F,4,FALSE))</f>
        <v/>
      </c>
      <c r="F2319" s="85" t="s">
        <v>228</v>
      </c>
      <c r="G2319" s="53" t="s">
        <v>2059</v>
      </c>
      <c r="H2319" s="85" t="s">
        <v>2078</v>
      </c>
      <c r="I2319" s="94" t="s">
        <v>2065</v>
      </c>
      <c r="J2319" s="94" t="s">
        <v>222</v>
      </c>
      <c r="K2319" s="123" t="s">
        <v>222</v>
      </c>
      <c r="L2319" s="4" t="s">
        <v>3</v>
      </c>
      <c r="M2319" s="61" t="s">
        <v>5</v>
      </c>
      <c r="N2319" s="61"/>
      <c r="O2319" s="57"/>
      <c r="P2319" s="57"/>
      <c r="Q2319" s="57"/>
      <c r="R2319" s="57"/>
      <c r="S2319" s="57"/>
      <c r="T2319" s="57"/>
      <c r="U2319" s="57"/>
      <c r="V2319" s="57"/>
      <c r="W2319" s="57"/>
      <c r="X2319" s="57"/>
    </row>
    <row r="2320" spans="1:24" s="1" customFormat="1" ht="33" customHeight="1" x14ac:dyDescent="0.3">
      <c r="A2320" s="11">
        <v>45</v>
      </c>
      <c r="B2320" s="23">
        <v>3</v>
      </c>
      <c r="C2320" s="24" t="str">
        <f t="shared" si="54"/>
        <v>45.03</v>
      </c>
      <c r="D2320" s="12"/>
      <c r="E2320" s="64" t="str">
        <f>IF(ISBLANK(D2320)=TRUE,"",VLOOKUP(D2320,Krav!$C:$F,4,FALSE))</f>
        <v/>
      </c>
      <c r="F2320" s="85" t="s">
        <v>228</v>
      </c>
      <c r="G2320" s="53" t="s">
        <v>2061</v>
      </c>
      <c r="H2320" s="85" t="s">
        <v>2079</v>
      </c>
      <c r="I2320" s="85" t="s">
        <v>2066</v>
      </c>
      <c r="J2320" s="87" t="s">
        <v>222</v>
      </c>
      <c r="K2320" s="123" t="s">
        <v>222</v>
      </c>
      <c r="L2320" s="4" t="s">
        <v>3</v>
      </c>
      <c r="M2320" s="61" t="s">
        <v>5</v>
      </c>
      <c r="N2320" s="61"/>
      <c r="O2320" s="57"/>
      <c r="P2320" s="57"/>
      <c r="Q2320" s="57"/>
      <c r="R2320" s="57"/>
      <c r="S2320" s="57"/>
      <c r="T2320" s="57"/>
      <c r="U2320" s="57"/>
      <c r="V2320" s="57"/>
      <c r="W2320" s="57"/>
      <c r="X2320" s="57"/>
    </row>
    <row r="2321" spans="1:24" s="1" customFormat="1" ht="33" customHeight="1" x14ac:dyDescent="0.3">
      <c r="A2321" s="11">
        <v>45</v>
      </c>
      <c r="B2321" s="23">
        <v>4</v>
      </c>
      <c r="C2321" s="24" t="str">
        <f t="shared" si="54"/>
        <v>45.04</v>
      </c>
      <c r="D2321" s="12"/>
      <c r="E2321" s="64" t="str">
        <f>IF(ISBLANK(D2321)=TRUE,"",VLOOKUP(D2321,Krav!$C:$F,4,FALSE))</f>
        <v/>
      </c>
      <c r="F2321" s="85" t="s">
        <v>143</v>
      </c>
      <c r="G2321" s="53" t="s">
        <v>2068</v>
      </c>
      <c r="H2321" s="53" t="s">
        <v>2081</v>
      </c>
      <c r="I2321" s="53" t="s">
        <v>2068</v>
      </c>
      <c r="J2321" s="87" t="s">
        <v>222</v>
      </c>
      <c r="K2321" s="123" t="s">
        <v>222</v>
      </c>
      <c r="L2321" s="4" t="s">
        <v>3</v>
      </c>
      <c r="M2321" s="61" t="s">
        <v>5</v>
      </c>
      <c r="N2321" s="61"/>
      <c r="O2321" s="57"/>
      <c r="P2321" s="57"/>
      <c r="Q2321" s="57"/>
      <c r="R2321" s="57"/>
      <c r="S2321" s="57"/>
      <c r="T2321" s="57"/>
      <c r="U2321" s="57"/>
      <c r="V2321" s="57"/>
      <c r="W2321" s="57"/>
      <c r="X2321" s="57"/>
    </row>
    <row r="2322" spans="1:24" s="1" customFormat="1" ht="33" customHeight="1" x14ac:dyDescent="0.3">
      <c r="A2322" s="11">
        <v>45</v>
      </c>
      <c r="B2322" s="23">
        <v>5</v>
      </c>
      <c r="C2322" s="24" t="str">
        <f t="shared" si="54"/>
        <v>45.05</v>
      </c>
      <c r="D2322" s="12"/>
      <c r="E2322" s="64" t="str">
        <f>IF(ISBLANK(D2322)=TRUE,"",VLOOKUP(D2322,Krav!$C:$F,4,FALSE))</f>
        <v/>
      </c>
      <c r="F2322" s="85" t="s">
        <v>185</v>
      </c>
      <c r="G2322" s="53" t="s">
        <v>2063</v>
      </c>
      <c r="H2322" s="85" t="s">
        <v>2080</v>
      </c>
      <c r="I2322" s="86" t="s">
        <v>129</v>
      </c>
      <c r="J2322" s="87" t="s">
        <v>222</v>
      </c>
      <c r="K2322" s="123" t="s">
        <v>222</v>
      </c>
      <c r="L2322" s="4" t="s">
        <v>3</v>
      </c>
      <c r="M2322" s="61" t="s">
        <v>5</v>
      </c>
      <c r="N2322" s="61"/>
      <c r="O2322" s="57"/>
      <c r="P2322" s="57"/>
      <c r="Q2322" s="57"/>
      <c r="R2322" s="57"/>
      <c r="S2322" s="57"/>
      <c r="T2322" s="57"/>
      <c r="U2322" s="57"/>
      <c r="V2322" s="57"/>
      <c r="W2322" s="57"/>
      <c r="X2322" s="57"/>
    </row>
    <row r="2323" spans="1:24" s="1" customFormat="1" ht="33" customHeight="1" x14ac:dyDescent="0.3">
      <c r="A2323" s="11">
        <v>45</v>
      </c>
      <c r="B2323" s="23">
        <v>6</v>
      </c>
      <c r="C2323" s="24" t="str">
        <f t="shared" si="54"/>
        <v>45.06</v>
      </c>
      <c r="D2323" s="12"/>
      <c r="E2323" s="64" t="str">
        <f>IF(ISBLANK(D2323)=TRUE,"",VLOOKUP(D2323,Krav!$C:$F,4,FALSE))</f>
        <v/>
      </c>
      <c r="F2323" s="85" t="s">
        <v>418</v>
      </c>
      <c r="G2323" s="53" t="s">
        <v>2059</v>
      </c>
      <c r="H2323" s="85" t="s">
        <v>2077</v>
      </c>
      <c r="I2323" s="86" t="s">
        <v>129</v>
      </c>
      <c r="J2323" s="87" t="s">
        <v>222</v>
      </c>
      <c r="K2323" s="123" t="s">
        <v>222</v>
      </c>
      <c r="L2323" s="4" t="s">
        <v>3</v>
      </c>
      <c r="M2323" s="61" t="s">
        <v>5</v>
      </c>
      <c r="N2323" s="61"/>
      <c r="O2323" s="57"/>
      <c r="P2323" s="57"/>
      <c r="Q2323" s="57"/>
      <c r="R2323" s="57"/>
      <c r="S2323" s="57"/>
      <c r="T2323" s="57"/>
      <c r="U2323" s="57"/>
      <c r="V2323" s="57"/>
      <c r="W2323" s="57"/>
      <c r="X2323" s="57"/>
    </row>
    <row r="2324" spans="1:24" s="1" customFormat="1" ht="33" customHeight="1" x14ac:dyDescent="0.3">
      <c r="A2324" s="11">
        <v>45</v>
      </c>
      <c r="B2324" s="23">
        <v>7</v>
      </c>
      <c r="C2324" s="24" t="str">
        <f t="shared" si="54"/>
        <v>45.07</v>
      </c>
      <c r="D2324" s="12"/>
      <c r="E2324" s="64" t="str">
        <f>IF(ISBLANK(D2324)=TRUE,"",VLOOKUP(D2324,Krav!$C:$F,4,FALSE))</f>
        <v/>
      </c>
      <c r="F2324" s="85" t="s">
        <v>418</v>
      </c>
      <c r="G2324" s="53" t="s">
        <v>2061</v>
      </c>
      <c r="H2324" s="85" t="s">
        <v>2077</v>
      </c>
      <c r="I2324" s="86" t="s">
        <v>129</v>
      </c>
      <c r="J2324" s="87" t="s">
        <v>222</v>
      </c>
      <c r="K2324" s="123" t="s">
        <v>222</v>
      </c>
      <c r="L2324" s="4" t="s">
        <v>3</v>
      </c>
      <c r="M2324" s="61" t="s">
        <v>5</v>
      </c>
      <c r="N2324" s="61"/>
      <c r="O2324" s="57"/>
      <c r="P2324" s="57"/>
      <c r="Q2324" s="57"/>
      <c r="R2324" s="57"/>
      <c r="S2324" s="57"/>
      <c r="T2324" s="57"/>
      <c r="U2324" s="57"/>
      <c r="V2324" s="57"/>
      <c r="W2324" s="57"/>
      <c r="X2324" s="57"/>
    </row>
    <row r="2325" spans="1:24" s="57" customFormat="1" ht="16.5" customHeight="1" x14ac:dyDescent="0.3">
      <c r="E2325" s="5"/>
      <c r="F2325" s="5"/>
      <c r="H2325" s="5"/>
    </row>
    <row r="2326" spans="1:24" s="57" customFormat="1" ht="16.5" customHeight="1" x14ac:dyDescent="0.3">
      <c r="E2326" s="5"/>
      <c r="F2326" s="5"/>
      <c r="H2326" s="5"/>
    </row>
    <row r="2327" spans="1:24" s="57" customFormat="1" ht="16.5" customHeight="1" x14ac:dyDescent="0.3">
      <c r="E2327" s="5"/>
      <c r="F2327" s="5"/>
      <c r="H2327" s="5"/>
    </row>
    <row r="2328" spans="1:24" s="1" customFormat="1" ht="15" customHeight="1" x14ac:dyDescent="0.3">
      <c r="A2328" s="50" t="s">
        <v>6</v>
      </c>
      <c r="B2328" s="51" t="s">
        <v>7</v>
      </c>
      <c r="C2328" s="31" t="s">
        <v>0</v>
      </c>
      <c r="D2328" s="31" t="s">
        <v>22</v>
      </c>
      <c r="E2328" s="52" t="s">
        <v>99</v>
      </c>
      <c r="F2328" s="52" t="s">
        <v>216</v>
      </c>
      <c r="G2328" s="133" t="s">
        <v>217</v>
      </c>
      <c r="H2328" s="52" t="s">
        <v>28</v>
      </c>
      <c r="I2328" s="31" t="s">
        <v>218</v>
      </c>
      <c r="J2328" s="31" t="s">
        <v>219</v>
      </c>
      <c r="K2328" s="31" t="s">
        <v>220</v>
      </c>
      <c r="L2328" s="31" t="s">
        <v>1</v>
      </c>
      <c r="M2328" s="62" t="s">
        <v>233</v>
      </c>
      <c r="N2328" s="62" t="s">
        <v>2057</v>
      </c>
      <c r="O2328" s="57"/>
      <c r="P2328" s="57"/>
      <c r="Q2328" s="57"/>
      <c r="R2328" s="57"/>
      <c r="S2328" s="57"/>
      <c r="T2328" s="57"/>
      <c r="U2328" s="57"/>
      <c r="V2328" s="57"/>
      <c r="W2328" s="57"/>
      <c r="X2328" s="57"/>
    </row>
    <row r="2329" spans="1:24" s="1" customFormat="1" ht="33" customHeight="1" x14ac:dyDescent="0.3">
      <c r="A2329" s="11">
        <v>46</v>
      </c>
      <c r="B2329" s="23">
        <v>1</v>
      </c>
      <c r="C2329" s="24" t="str">
        <f t="shared" ref="C2329:C2336" si="55">IF(B2329&lt;10,_xlfn.CONCAT(A2329,".0",B2329),_xlfn.CONCAT(A2329,".",B2329))</f>
        <v>46.01</v>
      </c>
      <c r="D2329" s="12"/>
      <c r="E2329" s="64" t="str">
        <f>IF(ISBLANK(D2329)=TRUE,"",VLOOKUP(D2329,Krav!$C:$F,4,FALSE))</f>
        <v/>
      </c>
      <c r="F2329" s="85" t="s">
        <v>228</v>
      </c>
      <c r="G2329" s="336" t="s">
        <v>2058</v>
      </c>
      <c r="H2329" s="85" t="s">
        <v>2085</v>
      </c>
      <c r="I2329" s="94" t="s">
        <v>2069</v>
      </c>
      <c r="J2329" s="94" t="s">
        <v>222</v>
      </c>
      <c r="K2329" s="123" t="s">
        <v>222</v>
      </c>
      <c r="L2329" s="4" t="s">
        <v>3</v>
      </c>
      <c r="M2329" s="61" t="s">
        <v>5</v>
      </c>
      <c r="N2329" s="61"/>
      <c r="O2329" s="57"/>
      <c r="P2329" s="57"/>
      <c r="Q2329" s="57"/>
      <c r="R2329" s="57"/>
      <c r="S2329" s="57"/>
      <c r="T2329" s="57"/>
      <c r="U2329" s="57"/>
      <c r="V2329" s="57"/>
      <c r="W2329" s="57"/>
      <c r="X2329" s="57"/>
    </row>
    <row r="2330" spans="1:24" s="1" customFormat="1" ht="33" customHeight="1" x14ac:dyDescent="0.3">
      <c r="A2330" s="11">
        <v>46</v>
      </c>
      <c r="B2330" s="23">
        <v>2</v>
      </c>
      <c r="C2330" s="24" t="str">
        <f t="shared" si="55"/>
        <v>46.02</v>
      </c>
      <c r="D2330" s="12"/>
      <c r="E2330" s="64" t="str">
        <f>IF(ISBLANK(D2330)=TRUE,"",VLOOKUP(D2330,Krav!$C:$F,4,FALSE))</f>
        <v/>
      </c>
      <c r="F2330" s="85" t="s">
        <v>228</v>
      </c>
      <c r="G2330" s="53" t="s">
        <v>2059</v>
      </c>
      <c r="H2330" s="85" t="s">
        <v>2078</v>
      </c>
      <c r="I2330" s="94" t="s">
        <v>2065</v>
      </c>
      <c r="J2330" s="94" t="s">
        <v>222</v>
      </c>
      <c r="K2330" s="123" t="s">
        <v>222</v>
      </c>
      <c r="L2330" s="4" t="s">
        <v>3</v>
      </c>
      <c r="M2330" s="61" t="s">
        <v>5</v>
      </c>
      <c r="N2330" s="61"/>
      <c r="O2330" s="57"/>
      <c r="P2330" s="57"/>
      <c r="Q2330" s="57"/>
      <c r="R2330" s="57"/>
      <c r="S2330" s="57"/>
      <c r="T2330" s="57"/>
      <c r="U2330" s="57"/>
      <c r="V2330" s="57"/>
      <c r="W2330" s="57"/>
      <c r="X2330" s="57"/>
    </row>
    <row r="2331" spans="1:24" s="1" customFormat="1" ht="33" customHeight="1" x14ac:dyDescent="0.3">
      <c r="A2331" s="11">
        <v>46</v>
      </c>
      <c r="B2331" s="23">
        <v>3</v>
      </c>
      <c r="C2331" s="24" t="str">
        <f t="shared" si="55"/>
        <v>46.03</v>
      </c>
      <c r="D2331" s="12"/>
      <c r="E2331" s="64" t="str">
        <f>IF(ISBLANK(D2331)=TRUE,"",VLOOKUP(D2331,Krav!$C:$F,4,FALSE))</f>
        <v/>
      </c>
      <c r="F2331" s="85" t="s">
        <v>228</v>
      </c>
      <c r="G2331" s="53" t="s">
        <v>2061</v>
      </c>
      <c r="H2331" s="85" t="s">
        <v>2079</v>
      </c>
      <c r="I2331" s="85" t="s">
        <v>2066</v>
      </c>
      <c r="J2331" s="87" t="s">
        <v>222</v>
      </c>
      <c r="K2331" s="123" t="s">
        <v>222</v>
      </c>
      <c r="L2331" s="4" t="s">
        <v>3</v>
      </c>
      <c r="M2331" s="61" t="s">
        <v>5</v>
      </c>
      <c r="N2331" s="61"/>
      <c r="O2331" s="57"/>
      <c r="P2331" s="57"/>
      <c r="Q2331" s="57"/>
      <c r="R2331" s="57"/>
      <c r="S2331" s="57"/>
      <c r="T2331" s="57"/>
      <c r="U2331" s="57"/>
      <c r="V2331" s="57"/>
      <c r="W2331" s="57"/>
      <c r="X2331" s="57"/>
    </row>
    <row r="2332" spans="1:24" s="1" customFormat="1" ht="33" customHeight="1" x14ac:dyDescent="0.3">
      <c r="A2332" s="11">
        <v>46</v>
      </c>
      <c r="B2332" s="23">
        <v>4</v>
      </c>
      <c r="C2332" s="24" t="str">
        <f t="shared" si="55"/>
        <v>46.04</v>
      </c>
      <c r="D2332" s="12"/>
      <c r="E2332" s="64" t="str">
        <f>IF(ISBLANK(D2332)=TRUE,"",VLOOKUP(D2332,Krav!$C:$F,4,FALSE))</f>
        <v/>
      </c>
      <c r="F2332" s="85" t="s">
        <v>143</v>
      </c>
      <c r="G2332" s="53" t="s">
        <v>2051</v>
      </c>
      <c r="H2332" s="53" t="s">
        <v>2086</v>
      </c>
      <c r="I2332" s="53" t="s">
        <v>2051</v>
      </c>
      <c r="J2332" s="87" t="s">
        <v>222</v>
      </c>
      <c r="K2332" s="123" t="s">
        <v>222</v>
      </c>
      <c r="L2332" s="4" t="s">
        <v>3</v>
      </c>
      <c r="M2332" s="61" t="s">
        <v>5</v>
      </c>
      <c r="N2332" s="61"/>
      <c r="O2332" s="57"/>
      <c r="P2332" s="57"/>
      <c r="Q2332" s="57"/>
      <c r="R2332" s="57"/>
      <c r="S2332" s="57"/>
      <c r="T2332" s="57"/>
      <c r="U2332" s="57"/>
      <c r="V2332" s="57"/>
      <c r="W2332" s="57"/>
      <c r="X2332" s="57"/>
    </row>
    <row r="2333" spans="1:24" s="1" customFormat="1" ht="33" customHeight="1" x14ac:dyDescent="0.3">
      <c r="A2333" s="11">
        <v>46</v>
      </c>
      <c r="B2333" s="23">
        <v>5</v>
      </c>
      <c r="C2333" s="24" t="str">
        <f t="shared" si="55"/>
        <v>46.05</v>
      </c>
      <c r="D2333" s="12"/>
      <c r="E2333" s="64" t="str">
        <f>IF(ISBLANK(D2333)=TRUE,"",VLOOKUP(D2333,Krav!$C:$F,4,FALSE))</f>
        <v/>
      </c>
      <c r="F2333" s="85" t="s">
        <v>143</v>
      </c>
      <c r="G2333" s="53" t="s">
        <v>2052</v>
      </c>
      <c r="H2333" s="53" t="s">
        <v>2087</v>
      </c>
      <c r="I2333" s="53" t="s">
        <v>2052</v>
      </c>
      <c r="J2333" s="87" t="s">
        <v>222</v>
      </c>
      <c r="K2333" s="123" t="s">
        <v>222</v>
      </c>
      <c r="L2333" s="4" t="s">
        <v>3</v>
      </c>
      <c r="M2333" s="61" t="s">
        <v>5</v>
      </c>
      <c r="N2333" s="61"/>
      <c r="O2333" s="57"/>
      <c r="P2333" s="57"/>
      <c r="Q2333" s="57"/>
      <c r="R2333" s="57"/>
      <c r="S2333" s="57"/>
      <c r="T2333" s="57"/>
      <c r="U2333" s="57"/>
      <c r="V2333" s="57"/>
      <c r="W2333" s="57"/>
      <c r="X2333" s="57"/>
    </row>
    <row r="2334" spans="1:24" s="1" customFormat="1" ht="33" customHeight="1" x14ac:dyDescent="0.3">
      <c r="A2334" s="11">
        <v>46</v>
      </c>
      <c r="B2334" s="23">
        <v>6</v>
      </c>
      <c r="C2334" s="24" t="str">
        <f t="shared" si="55"/>
        <v>46.06</v>
      </c>
      <c r="D2334" s="12"/>
      <c r="E2334" s="64" t="str">
        <f>IF(ISBLANK(D2334)=TRUE,"",VLOOKUP(D2334,Krav!$C:$F,4,FALSE))</f>
        <v/>
      </c>
      <c r="F2334" s="85" t="s">
        <v>185</v>
      </c>
      <c r="G2334" s="53" t="s">
        <v>2063</v>
      </c>
      <c r="H2334" s="85" t="s">
        <v>2080</v>
      </c>
      <c r="I2334" s="86" t="s">
        <v>129</v>
      </c>
      <c r="J2334" s="87" t="s">
        <v>222</v>
      </c>
      <c r="K2334" s="123" t="s">
        <v>222</v>
      </c>
      <c r="L2334" s="4" t="s">
        <v>3</v>
      </c>
      <c r="M2334" s="61" t="s">
        <v>5</v>
      </c>
      <c r="N2334" s="61"/>
      <c r="O2334" s="57"/>
      <c r="P2334" s="57"/>
      <c r="Q2334" s="57"/>
      <c r="R2334" s="57"/>
      <c r="S2334" s="57"/>
      <c r="T2334" s="57"/>
      <c r="U2334" s="57"/>
      <c r="V2334" s="57"/>
      <c r="W2334" s="57"/>
      <c r="X2334" s="57"/>
    </row>
    <row r="2335" spans="1:24" s="1" customFormat="1" ht="33" customHeight="1" x14ac:dyDescent="0.3">
      <c r="A2335" s="11">
        <v>46</v>
      </c>
      <c r="B2335" s="23">
        <v>7</v>
      </c>
      <c r="C2335" s="24" t="str">
        <f t="shared" si="55"/>
        <v>46.07</v>
      </c>
      <c r="D2335" s="12"/>
      <c r="E2335" s="64" t="str">
        <f>IF(ISBLANK(D2335)=TRUE,"",VLOOKUP(D2335,Krav!$C:$F,4,FALSE))</f>
        <v/>
      </c>
      <c r="F2335" s="85" t="s">
        <v>418</v>
      </c>
      <c r="G2335" s="53" t="s">
        <v>2059</v>
      </c>
      <c r="H2335" s="85" t="s">
        <v>2077</v>
      </c>
      <c r="I2335" s="86" t="s">
        <v>129</v>
      </c>
      <c r="J2335" s="87" t="s">
        <v>222</v>
      </c>
      <c r="K2335" s="123" t="s">
        <v>222</v>
      </c>
      <c r="L2335" s="4" t="s">
        <v>3</v>
      </c>
      <c r="M2335" s="61" t="s">
        <v>5</v>
      </c>
      <c r="N2335" s="61"/>
      <c r="O2335" s="57"/>
      <c r="P2335" s="57"/>
      <c r="Q2335" s="57"/>
      <c r="R2335" s="57"/>
      <c r="S2335" s="57"/>
      <c r="T2335" s="57"/>
      <c r="U2335" s="57"/>
      <c r="V2335" s="57"/>
      <c r="W2335" s="57"/>
      <c r="X2335" s="57"/>
    </row>
    <row r="2336" spans="1:24" s="1" customFormat="1" ht="33" customHeight="1" x14ac:dyDescent="0.3">
      <c r="A2336" s="11">
        <v>46</v>
      </c>
      <c r="B2336" s="23">
        <v>8</v>
      </c>
      <c r="C2336" s="24" t="str">
        <f t="shared" si="55"/>
        <v>46.08</v>
      </c>
      <c r="D2336" s="12"/>
      <c r="E2336" s="64" t="str">
        <f>IF(ISBLANK(D2336)=TRUE,"",VLOOKUP(D2336,Krav!$C:$F,4,FALSE))</f>
        <v/>
      </c>
      <c r="F2336" s="85" t="s">
        <v>418</v>
      </c>
      <c r="G2336" s="53" t="s">
        <v>2061</v>
      </c>
      <c r="H2336" s="85" t="s">
        <v>2077</v>
      </c>
      <c r="I2336" s="86" t="s">
        <v>129</v>
      </c>
      <c r="J2336" s="87" t="s">
        <v>222</v>
      </c>
      <c r="K2336" s="123" t="s">
        <v>222</v>
      </c>
      <c r="L2336" s="4" t="s">
        <v>3</v>
      </c>
      <c r="M2336" s="61" t="s">
        <v>5</v>
      </c>
      <c r="N2336" s="61"/>
      <c r="O2336" s="57"/>
      <c r="P2336" s="57"/>
      <c r="Q2336" s="57"/>
      <c r="R2336" s="57"/>
      <c r="S2336" s="57"/>
      <c r="T2336" s="57"/>
      <c r="U2336" s="57"/>
      <c r="V2336" s="57"/>
      <c r="W2336" s="57"/>
      <c r="X2336" s="57"/>
    </row>
    <row r="2337" spans="1:28" s="57" customFormat="1" ht="16.5" customHeight="1" x14ac:dyDescent="0.3">
      <c r="E2337" s="5"/>
      <c r="F2337" s="5"/>
      <c r="H2337" s="5"/>
    </row>
    <row r="2338" spans="1:28" s="1" customFormat="1" ht="15" customHeight="1" x14ac:dyDescent="0.3">
      <c r="A2338" s="50" t="s">
        <v>6</v>
      </c>
      <c r="B2338" s="51" t="s">
        <v>7</v>
      </c>
      <c r="C2338" s="31" t="s">
        <v>0</v>
      </c>
      <c r="D2338" s="31" t="s">
        <v>22</v>
      </c>
      <c r="E2338" s="52" t="s">
        <v>99</v>
      </c>
      <c r="F2338" s="52" t="s">
        <v>216</v>
      </c>
      <c r="G2338" s="133" t="s">
        <v>217</v>
      </c>
      <c r="H2338" s="52" t="s">
        <v>28</v>
      </c>
      <c r="I2338" s="31" t="s">
        <v>218</v>
      </c>
      <c r="J2338" s="31" t="s">
        <v>219</v>
      </c>
      <c r="K2338" s="31" t="s">
        <v>220</v>
      </c>
      <c r="L2338" s="31" t="s">
        <v>1</v>
      </c>
      <c r="M2338" s="62" t="s">
        <v>233</v>
      </c>
      <c r="N2338" s="62" t="s">
        <v>2057</v>
      </c>
      <c r="O2338" s="57"/>
      <c r="P2338" s="57"/>
      <c r="Q2338" s="57"/>
      <c r="R2338" s="57"/>
      <c r="S2338" s="57"/>
      <c r="T2338" s="57"/>
      <c r="U2338" s="57"/>
      <c r="V2338" s="57"/>
      <c r="W2338" s="57"/>
      <c r="X2338" s="57"/>
    </row>
    <row r="2339" spans="1:28" s="1" customFormat="1" ht="33" customHeight="1" x14ac:dyDescent="0.3">
      <c r="A2339" s="11">
        <v>47</v>
      </c>
      <c r="B2339" s="23">
        <v>1</v>
      </c>
      <c r="C2339" s="24" t="str">
        <f t="shared" ref="C2339:C2345" si="56">IF(B2339&lt;10,_xlfn.CONCAT(A2339,".0",B2339),_xlfn.CONCAT(A2339,".",B2339))</f>
        <v>47.01</v>
      </c>
      <c r="D2339" s="12"/>
      <c r="E2339" s="64" t="str">
        <f>IF(ISBLANK(D2339)=TRUE,"",VLOOKUP(D2339,Krav!$C:$F,4,FALSE))</f>
        <v/>
      </c>
      <c r="F2339" s="85" t="s">
        <v>228</v>
      </c>
      <c r="G2339" s="336" t="s">
        <v>2058</v>
      </c>
      <c r="H2339" s="85" t="s">
        <v>2088</v>
      </c>
      <c r="I2339" s="94" t="s">
        <v>2070</v>
      </c>
      <c r="J2339" s="94" t="s">
        <v>222</v>
      </c>
      <c r="K2339" s="123" t="s">
        <v>222</v>
      </c>
      <c r="L2339" s="4" t="s">
        <v>3</v>
      </c>
      <c r="M2339" s="61" t="s">
        <v>5</v>
      </c>
      <c r="N2339" s="61"/>
      <c r="O2339" s="57"/>
      <c r="P2339" s="57"/>
      <c r="Q2339" s="57"/>
      <c r="R2339" s="57"/>
      <c r="S2339" s="57"/>
      <c r="T2339" s="57"/>
      <c r="U2339" s="57"/>
      <c r="V2339" s="57"/>
      <c r="W2339" s="57"/>
      <c r="X2339" s="57"/>
    </row>
    <row r="2340" spans="1:28" s="1" customFormat="1" ht="33" customHeight="1" x14ac:dyDescent="0.3">
      <c r="A2340" s="11">
        <v>47</v>
      </c>
      <c r="B2340" s="23">
        <v>2</v>
      </c>
      <c r="C2340" s="24" t="str">
        <f t="shared" si="56"/>
        <v>47.02</v>
      </c>
      <c r="D2340" s="12"/>
      <c r="E2340" s="64" t="str">
        <f>IF(ISBLANK(D2340)=TRUE,"",VLOOKUP(D2340,Krav!$C:$F,4,FALSE))</f>
        <v/>
      </c>
      <c r="F2340" s="85" t="s">
        <v>228</v>
      </c>
      <c r="G2340" s="53" t="s">
        <v>2059</v>
      </c>
      <c r="H2340" s="85" t="s">
        <v>2078</v>
      </c>
      <c r="I2340" s="94" t="s">
        <v>2065</v>
      </c>
      <c r="J2340" s="94" t="s">
        <v>222</v>
      </c>
      <c r="K2340" s="123" t="s">
        <v>222</v>
      </c>
      <c r="L2340" s="4" t="s">
        <v>3</v>
      </c>
      <c r="M2340" s="61" t="s">
        <v>5</v>
      </c>
      <c r="N2340" s="61"/>
      <c r="O2340" s="57"/>
      <c r="P2340" s="57"/>
      <c r="Q2340" s="57"/>
      <c r="R2340" s="57"/>
      <c r="S2340" s="57"/>
      <c r="T2340" s="57"/>
      <c r="U2340" s="57"/>
      <c r="V2340" s="57"/>
      <c r="W2340" s="57"/>
      <c r="X2340" s="57"/>
    </row>
    <row r="2341" spans="1:28" s="1" customFormat="1" ht="33" customHeight="1" x14ac:dyDescent="0.3">
      <c r="A2341" s="11">
        <v>47</v>
      </c>
      <c r="B2341" s="23">
        <v>3</v>
      </c>
      <c r="C2341" s="24" t="str">
        <f t="shared" si="56"/>
        <v>47.03</v>
      </c>
      <c r="D2341" s="12"/>
      <c r="E2341" s="64" t="str">
        <f>IF(ISBLANK(D2341)=TRUE,"",VLOOKUP(D2341,Krav!$C:$F,4,FALSE))</f>
        <v/>
      </c>
      <c r="F2341" s="85" t="s">
        <v>228</v>
      </c>
      <c r="G2341" s="53" t="s">
        <v>2061</v>
      </c>
      <c r="H2341" s="85" t="s">
        <v>2079</v>
      </c>
      <c r="I2341" s="85" t="s">
        <v>2066</v>
      </c>
      <c r="J2341" s="87" t="s">
        <v>222</v>
      </c>
      <c r="K2341" s="123" t="s">
        <v>222</v>
      </c>
      <c r="L2341" s="4" t="s">
        <v>3</v>
      </c>
      <c r="M2341" s="61" t="s">
        <v>5</v>
      </c>
      <c r="N2341" s="61"/>
      <c r="O2341" s="57"/>
      <c r="P2341" s="57"/>
      <c r="Q2341" s="57"/>
      <c r="R2341" s="57"/>
      <c r="S2341" s="57"/>
      <c r="T2341" s="57"/>
      <c r="U2341" s="57"/>
      <c r="V2341" s="57"/>
      <c r="W2341" s="57"/>
      <c r="X2341" s="57"/>
    </row>
    <row r="2342" spans="1:28" s="1" customFormat="1" ht="33" customHeight="1" x14ac:dyDescent="0.3">
      <c r="A2342" s="11">
        <v>47</v>
      </c>
      <c r="B2342" s="23">
        <v>4</v>
      </c>
      <c r="C2342" s="24" t="str">
        <f t="shared" si="56"/>
        <v>47.04</v>
      </c>
      <c r="D2342" s="12"/>
      <c r="E2342" s="64" t="str">
        <f>IF(ISBLANK(D2342)=TRUE,"",VLOOKUP(D2342,Krav!$C:$F,4,FALSE))</f>
        <v/>
      </c>
      <c r="F2342" s="85" t="s">
        <v>143</v>
      </c>
      <c r="G2342" s="53" t="s">
        <v>2071</v>
      </c>
      <c r="H2342" s="53" t="s">
        <v>2089</v>
      </c>
      <c r="I2342" s="53" t="s">
        <v>2071</v>
      </c>
      <c r="J2342" s="87" t="s">
        <v>222</v>
      </c>
      <c r="K2342" s="123" t="s">
        <v>222</v>
      </c>
      <c r="L2342" s="4" t="s">
        <v>3</v>
      </c>
      <c r="M2342" s="61" t="s">
        <v>5</v>
      </c>
      <c r="N2342" s="61"/>
      <c r="O2342" s="57"/>
      <c r="P2342" s="57"/>
      <c r="Q2342" s="57"/>
      <c r="R2342" s="57"/>
      <c r="S2342" s="57"/>
      <c r="T2342" s="57"/>
      <c r="U2342" s="57"/>
      <c r="V2342" s="57"/>
      <c r="W2342" s="57"/>
      <c r="X2342" s="57"/>
    </row>
    <row r="2343" spans="1:28" s="1" customFormat="1" ht="33" customHeight="1" x14ac:dyDescent="0.3">
      <c r="A2343" s="11">
        <v>47</v>
      </c>
      <c r="B2343" s="23">
        <v>5</v>
      </c>
      <c r="C2343" s="24" t="str">
        <f t="shared" si="56"/>
        <v>47.05</v>
      </c>
      <c r="D2343" s="12"/>
      <c r="E2343" s="64" t="str">
        <f>IF(ISBLANK(D2343)=TRUE,"",VLOOKUP(D2343,Krav!$C:$F,4,FALSE))</f>
        <v/>
      </c>
      <c r="F2343" s="85" t="s">
        <v>185</v>
      </c>
      <c r="G2343" s="53" t="s">
        <v>2063</v>
      </c>
      <c r="H2343" s="85" t="s">
        <v>2080</v>
      </c>
      <c r="I2343" s="86" t="s">
        <v>129</v>
      </c>
      <c r="J2343" s="87" t="s">
        <v>222</v>
      </c>
      <c r="K2343" s="123" t="s">
        <v>222</v>
      </c>
      <c r="L2343" s="4" t="s">
        <v>3</v>
      </c>
      <c r="M2343" s="61" t="s">
        <v>5</v>
      </c>
      <c r="N2343" s="61"/>
      <c r="O2343" s="57"/>
      <c r="P2343" s="57"/>
      <c r="Q2343" s="57"/>
      <c r="R2343" s="57"/>
      <c r="S2343" s="57"/>
      <c r="T2343" s="57"/>
      <c r="U2343" s="57"/>
      <c r="V2343" s="57"/>
      <c r="W2343" s="57"/>
      <c r="X2343" s="57"/>
    </row>
    <row r="2344" spans="1:28" s="1" customFormat="1" ht="33" customHeight="1" x14ac:dyDescent="0.3">
      <c r="A2344" s="11">
        <v>47</v>
      </c>
      <c r="B2344" s="23">
        <v>6</v>
      </c>
      <c r="C2344" s="24" t="str">
        <f t="shared" si="56"/>
        <v>47.06</v>
      </c>
      <c r="D2344" s="12"/>
      <c r="E2344" s="64" t="str">
        <f>IF(ISBLANK(D2344)=TRUE,"",VLOOKUP(D2344,Krav!$C:$F,4,FALSE))</f>
        <v/>
      </c>
      <c r="F2344" s="85" t="s">
        <v>418</v>
      </c>
      <c r="G2344" s="53" t="s">
        <v>2059</v>
      </c>
      <c r="H2344" s="85" t="s">
        <v>2077</v>
      </c>
      <c r="I2344" s="86" t="s">
        <v>129</v>
      </c>
      <c r="J2344" s="87" t="s">
        <v>222</v>
      </c>
      <c r="K2344" s="123" t="s">
        <v>222</v>
      </c>
      <c r="L2344" s="4" t="s">
        <v>3</v>
      </c>
      <c r="M2344" s="61" t="s">
        <v>5</v>
      </c>
      <c r="N2344" s="61"/>
      <c r="O2344" s="57"/>
      <c r="P2344" s="57"/>
      <c r="Q2344" s="57"/>
      <c r="R2344" s="57"/>
      <c r="S2344" s="57"/>
      <c r="T2344" s="57"/>
      <c r="U2344" s="57"/>
      <c r="V2344" s="57"/>
      <c r="W2344" s="57"/>
      <c r="X2344" s="57"/>
    </row>
    <row r="2345" spans="1:28" s="1" customFormat="1" ht="33" customHeight="1" x14ac:dyDescent="0.3">
      <c r="A2345" s="11">
        <v>47</v>
      </c>
      <c r="B2345" s="23">
        <v>7</v>
      </c>
      <c r="C2345" s="24" t="str">
        <f t="shared" si="56"/>
        <v>47.07</v>
      </c>
      <c r="D2345" s="12"/>
      <c r="E2345" s="64" t="str">
        <f>IF(ISBLANK(D2345)=TRUE,"",VLOOKUP(D2345,Krav!$C:$F,4,FALSE))</f>
        <v/>
      </c>
      <c r="F2345" s="85" t="s">
        <v>418</v>
      </c>
      <c r="G2345" s="53" t="s">
        <v>2061</v>
      </c>
      <c r="H2345" s="85" t="s">
        <v>2077</v>
      </c>
      <c r="I2345" s="86" t="s">
        <v>129</v>
      </c>
      <c r="J2345" s="87" t="s">
        <v>222</v>
      </c>
      <c r="K2345" s="123" t="s">
        <v>222</v>
      </c>
      <c r="L2345" s="4" t="s">
        <v>3</v>
      </c>
      <c r="M2345" s="61" t="s">
        <v>5</v>
      </c>
      <c r="N2345" s="61"/>
      <c r="O2345" s="57"/>
      <c r="P2345" s="57"/>
      <c r="Q2345" s="57"/>
      <c r="R2345" s="57"/>
      <c r="S2345" s="57"/>
      <c r="T2345" s="57"/>
      <c r="U2345" s="57"/>
      <c r="V2345" s="57"/>
      <c r="W2345" s="57"/>
      <c r="X2345" s="57"/>
    </row>
    <row r="2346" spans="1:28" s="221" customFormat="1" ht="33" customHeight="1" x14ac:dyDescent="0.3">
      <c r="A2346" s="345"/>
      <c r="B2346" s="346"/>
      <c r="C2346" s="347"/>
      <c r="D2346" s="348"/>
      <c r="E2346" s="349"/>
      <c r="F2346" s="350"/>
      <c r="G2346" s="223"/>
      <c r="H2346" s="350"/>
      <c r="I2346" s="352"/>
      <c r="J2346" s="353" t="s">
        <v>222</v>
      </c>
      <c r="K2346" s="216" t="s">
        <v>222</v>
      </c>
      <c r="L2346" s="354"/>
      <c r="M2346" s="219"/>
      <c r="N2346" s="219"/>
      <c r="O2346" s="219"/>
      <c r="P2346" s="219"/>
      <c r="Q2346" s="219"/>
      <c r="R2346" s="219"/>
      <c r="S2346" s="344"/>
      <c r="T2346" s="344"/>
      <c r="U2346" s="344"/>
      <c r="V2346" s="344"/>
      <c r="W2346" s="344"/>
      <c r="X2346" s="344"/>
      <c r="Y2346" s="344"/>
      <c r="Z2346" s="344"/>
      <c r="AA2346" s="344"/>
      <c r="AB2346" s="344"/>
    </row>
    <row r="2347" spans="1:28" s="221" customFormat="1" ht="33" customHeight="1" x14ac:dyDescent="0.3">
      <c r="A2347" s="345"/>
      <c r="B2347" s="346"/>
      <c r="C2347" s="347"/>
      <c r="D2347" s="348"/>
      <c r="E2347" s="349"/>
      <c r="F2347" s="350"/>
      <c r="G2347" s="223"/>
      <c r="H2347" s="350"/>
      <c r="I2347" s="352"/>
      <c r="J2347" s="353" t="s">
        <v>222</v>
      </c>
      <c r="K2347" s="216" t="s">
        <v>222</v>
      </c>
      <c r="L2347" s="354"/>
      <c r="M2347" s="219"/>
      <c r="N2347" s="219"/>
      <c r="O2347" s="219"/>
      <c r="P2347" s="219"/>
      <c r="Q2347" s="219"/>
      <c r="R2347" s="219"/>
      <c r="S2347" s="344"/>
      <c r="T2347" s="344"/>
      <c r="U2347" s="344"/>
      <c r="V2347" s="344"/>
      <c r="W2347" s="344"/>
      <c r="X2347" s="344"/>
      <c r="Y2347" s="344"/>
      <c r="Z2347" s="344"/>
      <c r="AA2347" s="344"/>
      <c r="AB2347" s="344"/>
    </row>
    <row r="2348" spans="1:28" s="1" customFormat="1" ht="15" customHeight="1" x14ac:dyDescent="0.3">
      <c r="A2348" s="50" t="s">
        <v>6</v>
      </c>
      <c r="B2348" s="51" t="s">
        <v>7</v>
      </c>
      <c r="C2348" s="31" t="s">
        <v>0</v>
      </c>
      <c r="D2348" s="31" t="s">
        <v>22</v>
      </c>
      <c r="E2348" s="52" t="s">
        <v>99</v>
      </c>
      <c r="F2348" s="52" t="s">
        <v>216</v>
      </c>
      <c r="G2348" s="133" t="s">
        <v>217</v>
      </c>
      <c r="H2348" s="52" t="s">
        <v>28</v>
      </c>
      <c r="I2348" s="31" t="s">
        <v>218</v>
      </c>
      <c r="J2348" s="31" t="s">
        <v>219</v>
      </c>
      <c r="K2348" s="31" t="s">
        <v>220</v>
      </c>
      <c r="L2348" s="31" t="s">
        <v>1</v>
      </c>
      <c r="M2348" s="62" t="s">
        <v>1388</v>
      </c>
      <c r="N2348" s="62" t="s">
        <v>1389</v>
      </c>
      <c r="O2348" s="62" t="s">
        <v>2341</v>
      </c>
      <c r="P2348" s="62" t="s">
        <v>2342</v>
      </c>
      <c r="Q2348" s="62" t="s">
        <v>234</v>
      </c>
      <c r="R2348" s="62" t="s">
        <v>233</v>
      </c>
      <c r="S2348" s="62" t="s">
        <v>2057</v>
      </c>
      <c r="T2348" s="57"/>
      <c r="U2348" s="57"/>
      <c r="V2348" s="57"/>
      <c r="W2348" s="57"/>
      <c r="X2348" s="57"/>
      <c r="Y2348" s="57"/>
    </row>
    <row r="2349" spans="1:28" s="1" customFormat="1" ht="33" customHeight="1" x14ac:dyDescent="0.3">
      <c r="A2349" s="11">
        <v>34</v>
      </c>
      <c r="B2349" s="23">
        <v>1</v>
      </c>
      <c r="C2349" s="24" t="str">
        <f t="shared" ref="C2349:C2395" si="57">IF(B2349&lt;10,_xlfn.CONCAT(A2349,".0",B2349),_xlfn.CONCAT(A2349,".",B2349))</f>
        <v>34.01</v>
      </c>
      <c r="D2349" s="18" t="s">
        <v>2148</v>
      </c>
      <c r="E2349" s="64" t="s">
        <v>2161</v>
      </c>
      <c r="F2349" s="85" t="s">
        <v>225</v>
      </c>
      <c r="G2349" s="336" t="s">
        <v>1388</v>
      </c>
      <c r="H2349" s="85" t="s">
        <v>2340</v>
      </c>
      <c r="I2349" s="94" t="s">
        <v>376</v>
      </c>
      <c r="J2349" s="94" t="s">
        <v>222</v>
      </c>
      <c r="K2349" s="123" t="s">
        <v>222</v>
      </c>
      <c r="L2349" s="4" t="s">
        <v>3</v>
      </c>
      <c r="M2349" s="61" t="s">
        <v>376</v>
      </c>
      <c r="N2349" s="61" t="s">
        <v>2344</v>
      </c>
      <c r="O2349" s="61" t="s">
        <v>2345</v>
      </c>
      <c r="P2349" s="61" t="s">
        <v>2345</v>
      </c>
      <c r="Q2349" s="61"/>
      <c r="R2349" s="61" t="s">
        <v>5</v>
      </c>
      <c r="S2349" s="61"/>
      <c r="T2349" s="57"/>
      <c r="U2349" s="57"/>
      <c r="V2349" s="57"/>
      <c r="W2349" s="57"/>
      <c r="X2349" s="57"/>
      <c r="Y2349" s="57"/>
    </row>
    <row r="2350" spans="1:28" s="1" customFormat="1" ht="33" customHeight="1" x14ac:dyDescent="0.3">
      <c r="A2350" s="11">
        <v>34</v>
      </c>
      <c r="B2350" s="23">
        <v>2</v>
      </c>
      <c r="C2350" s="24" t="str">
        <f t="shared" si="57"/>
        <v>34.02</v>
      </c>
      <c r="D2350" s="18" t="s">
        <v>2148</v>
      </c>
      <c r="E2350" s="64" t="s">
        <v>2161</v>
      </c>
      <c r="F2350" s="85" t="s">
        <v>225</v>
      </c>
      <c r="G2350" s="336" t="s">
        <v>1389</v>
      </c>
      <c r="H2350" s="85" t="s">
        <v>2340</v>
      </c>
      <c r="I2350" s="94" t="s">
        <v>2344</v>
      </c>
      <c r="J2350" s="94" t="s">
        <v>222</v>
      </c>
      <c r="K2350" s="123" t="s">
        <v>222</v>
      </c>
      <c r="L2350" s="4" t="s">
        <v>3</v>
      </c>
      <c r="M2350" s="61" t="s">
        <v>376</v>
      </c>
      <c r="N2350" s="61" t="s">
        <v>2344</v>
      </c>
      <c r="O2350" s="61" t="s">
        <v>2345</v>
      </c>
      <c r="P2350" s="61" t="s">
        <v>2345</v>
      </c>
      <c r="Q2350" s="61"/>
      <c r="R2350" s="61" t="s">
        <v>5</v>
      </c>
      <c r="S2350" s="61"/>
      <c r="T2350" s="57"/>
      <c r="U2350" s="57"/>
      <c r="V2350" s="57"/>
      <c r="W2350" s="57"/>
      <c r="X2350" s="57"/>
      <c r="Y2350" s="57"/>
    </row>
    <row r="2351" spans="1:28" s="1" customFormat="1" ht="33" customHeight="1" x14ac:dyDescent="0.3">
      <c r="A2351" s="11">
        <v>34</v>
      </c>
      <c r="B2351" s="23">
        <v>3</v>
      </c>
      <c r="C2351" s="24" t="str">
        <f t="shared" si="57"/>
        <v>34.03</v>
      </c>
      <c r="D2351" s="18" t="s">
        <v>2148</v>
      </c>
      <c r="E2351" s="64" t="s">
        <v>2161</v>
      </c>
      <c r="F2351" s="85" t="s">
        <v>225</v>
      </c>
      <c r="G2351" s="336" t="s">
        <v>2341</v>
      </c>
      <c r="H2351" s="85" t="s">
        <v>2340</v>
      </c>
      <c r="I2351" s="94" t="s">
        <v>2345</v>
      </c>
      <c r="J2351" s="94" t="s">
        <v>222</v>
      </c>
      <c r="K2351" s="123" t="s">
        <v>222</v>
      </c>
      <c r="L2351" s="4" t="s">
        <v>3</v>
      </c>
      <c r="M2351" s="61" t="s">
        <v>376</v>
      </c>
      <c r="N2351" s="61" t="s">
        <v>2344</v>
      </c>
      <c r="O2351" s="61" t="s">
        <v>2345</v>
      </c>
      <c r="P2351" s="61" t="s">
        <v>2345</v>
      </c>
      <c r="Q2351" s="61"/>
      <c r="R2351" s="61" t="s">
        <v>5</v>
      </c>
      <c r="S2351" s="61"/>
      <c r="T2351" s="57"/>
      <c r="U2351" s="57"/>
      <c r="V2351" s="57"/>
      <c r="W2351" s="57"/>
      <c r="X2351" s="57"/>
      <c r="Y2351" s="57"/>
    </row>
    <row r="2352" spans="1:28" s="1" customFormat="1" ht="33" customHeight="1" x14ac:dyDescent="0.3">
      <c r="A2352" s="11">
        <v>34</v>
      </c>
      <c r="B2352" s="23">
        <v>4</v>
      </c>
      <c r="C2352" s="24" t="str">
        <f t="shared" si="57"/>
        <v>34.04</v>
      </c>
      <c r="D2352" s="18" t="s">
        <v>2148</v>
      </c>
      <c r="E2352" s="64" t="s">
        <v>2161</v>
      </c>
      <c r="F2352" s="85" t="s">
        <v>225</v>
      </c>
      <c r="G2352" s="336" t="s">
        <v>2342</v>
      </c>
      <c r="H2352" s="85" t="s">
        <v>2340</v>
      </c>
      <c r="I2352" s="94" t="s">
        <v>2345</v>
      </c>
      <c r="J2352" s="94" t="s">
        <v>222</v>
      </c>
      <c r="K2352" s="123" t="s">
        <v>222</v>
      </c>
      <c r="L2352" s="4" t="s">
        <v>3</v>
      </c>
      <c r="M2352" s="61" t="s">
        <v>376</v>
      </c>
      <c r="N2352" s="61" t="s">
        <v>2344</v>
      </c>
      <c r="O2352" s="61" t="s">
        <v>2345</v>
      </c>
      <c r="P2352" s="61" t="s">
        <v>2345</v>
      </c>
      <c r="Q2352" s="61"/>
      <c r="R2352" s="61" t="s">
        <v>5</v>
      </c>
      <c r="S2352" s="61"/>
      <c r="T2352" s="57"/>
      <c r="U2352" s="57"/>
      <c r="V2352" s="57"/>
      <c r="W2352" s="57"/>
      <c r="X2352" s="57"/>
      <c r="Y2352" s="57"/>
    </row>
    <row r="2353" spans="1:25" s="1" customFormat="1" ht="33" customHeight="1" x14ac:dyDescent="0.3">
      <c r="A2353" s="11">
        <v>34</v>
      </c>
      <c r="B2353" s="23">
        <v>5</v>
      </c>
      <c r="C2353" s="24" t="str">
        <f t="shared" si="57"/>
        <v>34.05</v>
      </c>
      <c r="D2353" s="18" t="s">
        <v>2148</v>
      </c>
      <c r="E2353" s="64" t="s">
        <v>2161</v>
      </c>
      <c r="F2353" s="85" t="s">
        <v>226</v>
      </c>
      <c r="G2353" s="336" t="s">
        <v>308</v>
      </c>
      <c r="H2353" s="85" t="s">
        <v>2340</v>
      </c>
      <c r="I2353" s="94" t="s">
        <v>240</v>
      </c>
      <c r="J2353" s="94" t="s">
        <v>222</v>
      </c>
      <c r="K2353" s="123" t="s">
        <v>222</v>
      </c>
      <c r="L2353" s="4" t="s">
        <v>3</v>
      </c>
      <c r="M2353" s="61" t="s">
        <v>376</v>
      </c>
      <c r="N2353" s="61" t="s">
        <v>2344</v>
      </c>
      <c r="O2353" s="61" t="s">
        <v>2345</v>
      </c>
      <c r="P2353" s="61" t="s">
        <v>2345</v>
      </c>
      <c r="Q2353" s="61" t="s">
        <v>2351</v>
      </c>
      <c r="R2353" s="61" t="s">
        <v>5</v>
      </c>
      <c r="S2353" s="61"/>
      <c r="T2353" s="57"/>
      <c r="U2353" s="57"/>
      <c r="V2353" s="57"/>
      <c r="W2353" s="57"/>
      <c r="X2353" s="57"/>
      <c r="Y2353" s="57"/>
    </row>
    <row r="2354" spans="1:25" s="1" customFormat="1" ht="33" customHeight="1" x14ac:dyDescent="0.3">
      <c r="A2354" s="11">
        <v>34</v>
      </c>
      <c r="B2354" s="23">
        <v>6</v>
      </c>
      <c r="C2354" s="24" t="str">
        <f t="shared" si="57"/>
        <v>34.06</v>
      </c>
      <c r="D2354" s="18" t="s">
        <v>2148</v>
      </c>
      <c r="E2354" s="64" t="s">
        <v>2161</v>
      </c>
      <c r="F2354" s="85" t="s">
        <v>226</v>
      </c>
      <c r="G2354" s="336" t="s">
        <v>2352</v>
      </c>
      <c r="H2354" s="85" t="s">
        <v>2340</v>
      </c>
      <c r="I2354" s="94" t="s">
        <v>376</v>
      </c>
      <c r="J2354" s="94" t="s">
        <v>222</v>
      </c>
      <c r="K2354" s="123" t="s">
        <v>222</v>
      </c>
      <c r="L2354" s="4" t="s">
        <v>3</v>
      </c>
      <c r="M2354" s="61" t="s">
        <v>376</v>
      </c>
      <c r="N2354" s="61" t="s">
        <v>2344</v>
      </c>
      <c r="O2354" s="61" t="s">
        <v>2345</v>
      </c>
      <c r="P2354" s="61" t="s">
        <v>2345</v>
      </c>
      <c r="Q2354" s="61" t="s">
        <v>2351</v>
      </c>
      <c r="R2354" s="61" t="s">
        <v>5</v>
      </c>
      <c r="S2354" s="61"/>
      <c r="T2354" s="57"/>
      <c r="U2354" s="57"/>
      <c r="V2354" s="57"/>
      <c r="W2354" s="57"/>
      <c r="X2354" s="57"/>
      <c r="Y2354" s="57"/>
    </row>
    <row r="2355" spans="1:25" s="1" customFormat="1" ht="33" customHeight="1" x14ac:dyDescent="0.3">
      <c r="A2355" s="11">
        <v>34</v>
      </c>
      <c r="B2355" s="23">
        <v>7</v>
      </c>
      <c r="C2355" s="24" t="str">
        <f t="shared" si="57"/>
        <v>34.07</v>
      </c>
      <c r="D2355" s="18" t="s">
        <v>2148</v>
      </c>
      <c r="E2355" s="64" t="s">
        <v>2161</v>
      </c>
      <c r="F2355" s="85" t="s">
        <v>226</v>
      </c>
      <c r="G2355" s="336" t="s">
        <v>2353</v>
      </c>
      <c r="H2355" s="85" t="s">
        <v>2340</v>
      </c>
      <c r="I2355" s="94" t="s">
        <v>2344</v>
      </c>
      <c r="J2355" s="94" t="s">
        <v>222</v>
      </c>
      <c r="K2355" s="123" t="s">
        <v>222</v>
      </c>
      <c r="L2355" s="4" t="s">
        <v>3</v>
      </c>
      <c r="M2355" s="61" t="s">
        <v>376</v>
      </c>
      <c r="N2355" s="61" t="s">
        <v>2344</v>
      </c>
      <c r="O2355" s="61" t="s">
        <v>2345</v>
      </c>
      <c r="P2355" s="61" t="s">
        <v>2345</v>
      </c>
      <c r="Q2355" s="61" t="s">
        <v>2351</v>
      </c>
      <c r="R2355" s="61" t="s">
        <v>5</v>
      </c>
      <c r="S2355" s="61"/>
      <c r="T2355" s="57"/>
      <c r="U2355" s="57"/>
      <c r="V2355" s="57"/>
      <c r="W2355" s="57"/>
      <c r="X2355" s="57"/>
      <c r="Y2355" s="57"/>
    </row>
    <row r="2356" spans="1:25" s="1" customFormat="1" ht="33" customHeight="1" x14ac:dyDescent="0.3">
      <c r="A2356" s="11">
        <v>34</v>
      </c>
      <c r="B2356" s="23">
        <v>8</v>
      </c>
      <c r="C2356" s="24" t="str">
        <f t="shared" si="57"/>
        <v>34.08</v>
      </c>
      <c r="D2356" s="18" t="s">
        <v>2148</v>
      </c>
      <c r="E2356" s="64" t="s">
        <v>2161</v>
      </c>
      <c r="F2356" s="85" t="s">
        <v>225</v>
      </c>
      <c r="G2356" s="336" t="s">
        <v>1388</v>
      </c>
      <c r="H2356" s="85" t="s">
        <v>2340</v>
      </c>
      <c r="I2356" s="94" t="s">
        <v>33</v>
      </c>
      <c r="J2356" s="94" t="s">
        <v>222</v>
      </c>
      <c r="K2356" s="123" t="s">
        <v>222</v>
      </c>
      <c r="L2356" s="4" t="s">
        <v>3</v>
      </c>
      <c r="M2356" s="61" t="s">
        <v>33</v>
      </c>
      <c r="N2356" s="61" t="s">
        <v>2347</v>
      </c>
      <c r="O2356" s="61" t="s">
        <v>2345</v>
      </c>
      <c r="P2356" s="61" t="s">
        <v>2345</v>
      </c>
      <c r="Q2356" s="61"/>
      <c r="R2356" s="61" t="s">
        <v>5</v>
      </c>
      <c r="S2356" s="61"/>
      <c r="T2356" s="57"/>
      <c r="U2356" s="57"/>
      <c r="V2356" s="57"/>
      <c r="W2356" s="57"/>
      <c r="X2356" s="57"/>
      <c r="Y2356" s="57"/>
    </row>
    <row r="2357" spans="1:25" s="1" customFormat="1" ht="33" customHeight="1" x14ac:dyDescent="0.3">
      <c r="A2357" s="11">
        <v>34</v>
      </c>
      <c r="B2357" s="23">
        <v>9</v>
      </c>
      <c r="C2357" s="24" t="str">
        <f t="shared" si="57"/>
        <v>34.09</v>
      </c>
      <c r="D2357" s="18" t="s">
        <v>2148</v>
      </c>
      <c r="E2357" s="64" t="s">
        <v>2161</v>
      </c>
      <c r="F2357" s="85" t="s">
        <v>225</v>
      </c>
      <c r="G2357" s="336" t="s">
        <v>1389</v>
      </c>
      <c r="H2357" s="85" t="s">
        <v>2340</v>
      </c>
      <c r="I2357" s="94" t="s">
        <v>2347</v>
      </c>
      <c r="J2357" s="94" t="s">
        <v>222</v>
      </c>
      <c r="K2357" s="123" t="s">
        <v>222</v>
      </c>
      <c r="L2357" s="4" t="s">
        <v>3</v>
      </c>
      <c r="M2357" s="61" t="s">
        <v>33</v>
      </c>
      <c r="N2357" s="61" t="s">
        <v>2347</v>
      </c>
      <c r="O2357" s="61" t="s">
        <v>2345</v>
      </c>
      <c r="P2357" s="61" t="s">
        <v>2345</v>
      </c>
      <c r="Q2357" s="61"/>
      <c r="R2357" s="61" t="s">
        <v>5</v>
      </c>
      <c r="S2357" s="61"/>
      <c r="T2357" s="57"/>
      <c r="U2357" s="57"/>
      <c r="V2357" s="57"/>
      <c r="W2357" s="57"/>
      <c r="X2357" s="57"/>
      <c r="Y2357" s="57"/>
    </row>
    <row r="2358" spans="1:25" s="1" customFormat="1" ht="33" customHeight="1" x14ac:dyDescent="0.3">
      <c r="A2358" s="11">
        <v>34</v>
      </c>
      <c r="B2358" s="23">
        <v>10</v>
      </c>
      <c r="C2358" s="24" t="str">
        <f t="shared" si="57"/>
        <v>34.10</v>
      </c>
      <c r="D2358" s="18" t="s">
        <v>2148</v>
      </c>
      <c r="E2358" s="64" t="s">
        <v>2161</v>
      </c>
      <c r="F2358" s="85" t="s">
        <v>225</v>
      </c>
      <c r="G2358" s="336" t="s">
        <v>2341</v>
      </c>
      <c r="H2358" s="85" t="s">
        <v>2340</v>
      </c>
      <c r="I2358" s="94" t="s">
        <v>2345</v>
      </c>
      <c r="J2358" s="94" t="s">
        <v>222</v>
      </c>
      <c r="K2358" s="123" t="s">
        <v>222</v>
      </c>
      <c r="L2358" s="4" t="s">
        <v>3</v>
      </c>
      <c r="M2358" s="61" t="s">
        <v>33</v>
      </c>
      <c r="N2358" s="61" t="s">
        <v>2347</v>
      </c>
      <c r="O2358" s="61" t="s">
        <v>2345</v>
      </c>
      <c r="P2358" s="61" t="s">
        <v>2345</v>
      </c>
      <c r="Q2358" s="61"/>
      <c r="R2358" s="61" t="s">
        <v>5</v>
      </c>
      <c r="S2358" s="61"/>
      <c r="T2358" s="57"/>
      <c r="U2358" s="57"/>
      <c r="V2358" s="57"/>
      <c r="W2358" s="57"/>
      <c r="X2358" s="57"/>
      <c r="Y2358" s="57"/>
    </row>
    <row r="2359" spans="1:25" s="1" customFormat="1" ht="33" customHeight="1" x14ac:dyDescent="0.3">
      <c r="A2359" s="11">
        <v>34</v>
      </c>
      <c r="B2359" s="23">
        <v>11</v>
      </c>
      <c r="C2359" s="24" t="str">
        <f t="shared" si="57"/>
        <v>34.11</v>
      </c>
      <c r="D2359" s="18" t="s">
        <v>2148</v>
      </c>
      <c r="E2359" s="64" t="s">
        <v>2161</v>
      </c>
      <c r="F2359" s="85" t="s">
        <v>225</v>
      </c>
      <c r="G2359" s="336" t="s">
        <v>2342</v>
      </c>
      <c r="H2359" s="85" t="s">
        <v>2340</v>
      </c>
      <c r="I2359" s="94" t="s">
        <v>2345</v>
      </c>
      <c r="J2359" s="94" t="s">
        <v>222</v>
      </c>
      <c r="K2359" s="123" t="s">
        <v>222</v>
      </c>
      <c r="L2359" s="4" t="s">
        <v>3</v>
      </c>
      <c r="M2359" s="61" t="s">
        <v>33</v>
      </c>
      <c r="N2359" s="61" t="s">
        <v>2347</v>
      </c>
      <c r="O2359" s="61" t="s">
        <v>2345</v>
      </c>
      <c r="P2359" s="61" t="s">
        <v>2345</v>
      </c>
      <c r="Q2359" s="61"/>
      <c r="R2359" s="61" t="s">
        <v>5</v>
      </c>
      <c r="S2359" s="61"/>
      <c r="T2359" s="57"/>
      <c r="U2359" s="57"/>
      <c r="V2359" s="57"/>
      <c r="W2359" s="57"/>
      <c r="X2359" s="57"/>
      <c r="Y2359" s="57"/>
    </row>
    <row r="2360" spans="1:25" s="1" customFormat="1" ht="33" customHeight="1" x14ac:dyDescent="0.3">
      <c r="A2360" s="11">
        <v>34</v>
      </c>
      <c r="B2360" s="23">
        <v>12</v>
      </c>
      <c r="C2360" s="24" t="str">
        <f t="shared" si="57"/>
        <v>34.12</v>
      </c>
      <c r="D2360" s="18" t="s">
        <v>2148</v>
      </c>
      <c r="E2360" s="64" t="s">
        <v>2161</v>
      </c>
      <c r="F2360" s="85" t="s">
        <v>226</v>
      </c>
      <c r="G2360" s="336" t="s">
        <v>308</v>
      </c>
      <c r="H2360" s="85" t="s">
        <v>2340</v>
      </c>
      <c r="I2360" s="94" t="s">
        <v>240</v>
      </c>
      <c r="J2360" s="94" t="s">
        <v>222</v>
      </c>
      <c r="K2360" s="123" t="s">
        <v>222</v>
      </c>
      <c r="L2360" s="4" t="s">
        <v>3</v>
      </c>
      <c r="M2360" s="61" t="s">
        <v>33</v>
      </c>
      <c r="N2360" s="61" t="s">
        <v>2347</v>
      </c>
      <c r="O2360" s="61" t="s">
        <v>2345</v>
      </c>
      <c r="P2360" s="61" t="s">
        <v>2345</v>
      </c>
      <c r="Q2360" s="61" t="s">
        <v>2351</v>
      </c>
      <c r="R2360" s="61" t="s">
        <v>5</v>
      </c>
      <c r="S2360" s="61"/>
      <c r="T2360" s="57"/>
      <c r="U2360" s="57"/>
      <c r="V2360" s="57"/>
      <c r="W2360" s="57"/>
      <c r="X2360" s="57"/>
      <c r="Y2360" s="57"/>
    </row>
    <row r="2361" spans="1:25" s="1" customFormat="1" ht="33" customHeight="1" x14ac:dyDescent="0.3">
      <c r="A2361" s="11">
        <v>34</v>
      </c>
      <c r="B2361" s="23">
        <v>13</v>
      </c>
      <c r="C2361" s="24" t="str">
        <f t="shared" si="57"/>
        <v>34.13</v>
      </c>
      <c r="D2361" s="18" t="s">
        <v>2148</v>
      </c>
      <c r="E2361" s="64" t="s">
        <v>2161</v>
      </c>
      <c r="F2361" s="85" t="s">
        <v>226</v>
      </c>
      <c r="G2361" s="336" t="s">
        <v>2352</v>
      </c>
      <c r="H2361" s="85" t="s">
        <v>2340</v>
      </c>
      <c r="I2361" s="94" t="s">
        <v>33</v>
      </c>
      <c r="J2361" s="94" t="s">
        <v>222</v>
      </c>
      <c r="K2361" s="123" t="s">
        <v>222</v>
      </c>
      <c r="L2361" s="4" t="s">
        <v>3</v>
      </c>
      <c r="M2361" s="61" t="s">
        <v>33</v>
      </c>
      <c r="N2361" s="61" t="s">
        <v>2347</v>
      </c>
      <c r="O2361" s="61" t="s">
        <v>2345</v>
      </c>
      <c r="P2361" s="61" t="s">
        <v>2345</v>
      </c>
      <c r="Q2361" s="61" t="s">
        <v>2351</v>
      </c>
      <c r="R2361" s="61" t="s">
        <v>5</v>
      </c>
      <c r="S2361" s="61"/>
      <c r="T2361" s="57"/>
      <c r="U2361" s="57"/>
      <c r="V2361" s="57"/>
      <c r="W2361" s="57"/>
      <c r="X2361" s="57"/>
      <c r="Y2361" s="57"/>
    </row>
    <row r="2362" spans="1:25" s="1" customFormat="1" ht="33" customHeight="1" x14ac:dyDescent="0.3">
      <c r="A2362" s="11">
        <v>34</v>
      </c>
      <c r="B2362" s="23">
        <v>14</v>
      </c>
      <c r="C2362" s="24" t="str">
        <f t="shared" si="57"/>
        <v>34.14</v>
      </c>
      <c r="D2362" s="18" t="s">
        <v>2148</v>
      </c>
      <c r="E2362" s="64" t="s">
        <v>2161</v>
      </c>
      <c r="F2362" s="85" t="s">
        <v>226</v>
      </c>
      <c r="G2362" s="336" t="s">
        <v>2353</v>
      </c>
      <c r="H2362" s="85" t="s">
        <v>2340</v>
      </c>
      <c r="I2362" s="94" t="s">
        <v>2347</v>
      </c>
      <c r="J2362" s="94" t="s">
        <v>222</v>
      </c>
      <c r="K2362" s="123" t="s">
        <v>222</v>
      </c>
      <c r="L2362" s="4" t="s">
        <v>3</v>
      </c>
      <c r="M2362" s="61" t="s">
        <v>33</v>
      </c>
      <c r="N2362" s="61" t="s">
        <v>2347</v>
      </c>
      <c r="O2362" s="61" t="s">
        <v>2345</v>
      </c>
      <c r="P2362" s="61" t="s">
        <v>2345</v>
      </c>
      <c r="Q2362" s="61" t="s">
        <v>2351</v>
      </c>
      <c r="R2362" s="61" t="s">
        <v>5</v>
      </c>
      <c r="S2362" s="61"/>
      <c r="T2362" s="57"/>
      <c r="U2362" s="57"/>
      <c r="V2362" s="57"/>
      <c r="W2362" s="57"/>
      <c r="X2362" s="57"/>
      <c r="Y2362" s="57"/>
    </row>
    <row r="2363" spans="1:25" s="1" customFormat="1" ht="33" customHeight="1" x14ac:dyDescent="0.3">
      <c r="A2363" s="11">
        <v>34</v>
      </c>
      <c r="B2363" s="23">
        <v>15</v>
      </c>
      <c r="C2363" s="24" t="str">
        <f t="shared" si="57"/>
        <v>34.15</v>
      </c>
      <c r="D2363" s="18" t="s">
        <v>2148</v>
      </c>
      <c r="E2363" s="64" t="s">
        <v>2161</v>
      </c>
      <c r="F2363" s="85" t="s">
        <v>225</v>
      </c>
      <c r="G2363" s="336" t="s">
        <v>1388</v>
      </c>
      <c r="H2363" s="85" t="s">
        <v>2340</v>
      </c>
      <c r="I2363" s="94" t="s">
        <v>33</v>
      </c>
      <c r="J2363" s="94" t="s">
        <v>222</v>
      </c>
      <c r="K2363" s="123" t="s">
        <v>222</v>
      </c>
      <c r="L2363" s="4" t="s">
        <v>3</v>
      </c>
      <c r="M2363" s="61" t="s">
        <v>33</v>
      </c>
      <c r="N2363" s="61" t="s">
        <v>2347</v>
      </c>
      <c r="O2363" s="61" t="s">
        <v>2346</v>
      </c>
      <c r="P2363" s="61" t="s">
        <v>2345</v>
      </c>
      <c r="Q2363" s="61"/>
      <c r="R2363" s="61" t="s">
        <v>5</v>
      </c>
      <c r="S2363" s="61"/>
      <c r="T2363" s="57"/>
      <c r="U2363" s="57"/>
      <c r="V2363" s="57"/>
      <c r="W2363" s="57"/>
      <c r="X2363" s="57"/>
      <c r="Y2363" s="57"/>
    </row>
    <row r="2364" spans="1:25" s="1" customFormat="1" ht="33" customHeight="1" x14ac:dyDescent="0.3">
      <c r="A2364" s="11">
        <v>34</v>
      </c>
      <c r="B2364" s="23">
        <v>16</v>
      </c>
      <c r="C2364" s="24" t="str">
        <f t="shared" si="57"/>
        <v>34.16</v>
      </c>
      <c r="D2364" s="18" t="s">
        <v>2148</v>
      </c>
      <c r="E2364" s="64" t="s">
        <v>2161</v>
      </c>
      <c r="F2364" s="85" t="s">
        <v>225</v>
      </c>
      <c r="G2364" s="336" t="s">
        <v>1389</v>
      </c>
      <c r="H2364" s="85" t="s">
        <v>2340</v>
      </c>
      <c r="I2364" s="94" t="s">
        <v>2347</v>
      </c>
      <c r="J2364" s="94" t="s">
        <v>222</v>
      </c>
      <c r="K2364" s="123" t="s">
        <v>222</v>
      </c>
      <c r="L2364" s="4" t="s">
        <v>3</v>
      </c>
      <c r="M2364" s="61" t="s">
        <v>33</v>
      </c>
      <c r="N2364" s="61" t="s">
        <v>2347</v>
      </c>
      <c r="O2364" s="61" t="s">
        <v>2346</v>
      </c>
      <c r="P2364" s="61" t="s">
        <v>2345</v>
      </c>
      <c r="Q2364" s="61"/>
      <c r="R2364" s="61" t="s">
        <v>5</v>
      </c>
      <c r="S2364" s="61"/>
      <c r="T2364" s="57"/>
      <c r="U2364" s="57"/>
      <c r="V2364" s="57"/>
      <c r="W2364" s="57"/>
      <c r="X2364" s="57"/>
      <c r="Y2364" s="57"/>
    </row>
    <row r="2365" spans="1:25" s="1" customFormat="1" ht="33" customHeight="1" x14ac:dyDescent="0.3">
      <c r="A2365" s="11">
        <v>34</v>
      </c>
      <c r="B2365" s="23">
        <v>17</v>
      </c>
      <c r="C2365" s="24" t="str">
        <f t="shared" si="57"/>
        <v>34.17</v>
      </c>
      <c r="D2365" s="18" t="s">
        <v>2148</v>
      </c>
      <c r="E2365" s="64" t="s">
        <v>2161</v>
      </c>
      <c r="F2365" s="85" t="s">
        <v>225</v>
      </c>
      <c r="G2365" s="336" t="s">
        <v>2341</v>
      </c>
      <c r="H2365" s="85" t="s">
        <v>2340</v>
      </c>
      <c r="I2365" s="94" t="s">
        <v>2346</v>
      </c>
      <c r="J2365" s="94" t="s">
        <v>222</v>
      </c>
      <c r="K2365" s="123" t="s">
        <v>222</v>
      </c>
      <c r="L2365" s="4" t="s">
        <v>3</v>
      </c>
      <c r="M2365" s="61" t="s">
        <v>33</v>
      </c>
      <c r="N2365" s="61" t="s">
        <v>2347</v>
      </c>
      <c r="O2365" s="61" t="s">
        <v>2346</v>
      </c>
      <c r="P2365" s="61" t="s">
        <v>2345</v>
      </c>
      <c r="Q2365" s="61"/>
      <c r="R2365" s="61" t="s">
        <v>5</v>
      </c>
      <c r="S2365" s="61"/>
      <c r="T2365" s="57"/>
      <c r="U2365" s="57"/>
      <c r="V2365" s="57"/>
      <c r="W2365" s="57"/>
      <c r="X2365" s="57"/>
      <c r="Y2365" s="57"/>
    </row>
    <row r="2366" spans="1:25" s="1" customFormat="1" ht="33" customHeight="1" x14ac:dyDescent="0.3">
      <c r="A2366" s="11">
        <v>34</v>
      </c>
      <c r="B2366" s="23">
        <v>18</v>
      </c>
      <c r="C2366" s="24" t="str">
        <f t="shared" si="57"/>
        <v>34.18</v>
      </c>
      <c r="D2366" s="18" t="s">
        <v>2148</v>
      </c>
      <c r="E2366" s="64" t="s">
        <v>2161</v>
      </c>
      <c r="F2366" s="85" t="s">
        <v>225</v>
      </c>
      <c r="G2366" s="336" t="s">
        <v>2342</v>
      </c>
      <c r="H2366" s="85" t="s">
        <v>2340</v>
      </c>
      <c r="I2366" s="94" t="s">
        <v>2345</v>
      </c>
      <c r="J2366" s="94" t="s">
        <v>222</v>
      </c>
      <c r="K2366" s="123" t="s">
        <v>222</v>
      </c>
      <c r="L2366" s="4" t="s">
        <v>3</v>
      </c>
      <c r="M2366" s="61" t="s">
        <v>33</v>
      </c>
      <c r="N2366" s="61" t="s">
        <v>2347</v>
      </c>
      <c r="O2366" s="61" t="s">
        <v>2346</v>
      </c>
      <c r="P2366" s="61" t="s">
        <v>2345</v>
      </c>
      <c r="Q2366" s="61"/>
      <c r="R2366" s="61" t="s">
        <v>5</v>
      </c>
      <c r="S2366" s="61"/>
      <c r="T2366" s="57"/>
      <c r="U2366" s="57"/>
      <c r="V2366" s="57"/>
      <c r="W2366" s="57"/>
      <c r="X2366" s="57"/>
      <c r="Y2366" s="57"/>
    </row>
    <row r="2367" spans="1:25" s="1" customFormat="1" ht="33" customHeight="1" x14ac:dyDescent="0.3">
      <c r="A2367" s="11">
        <v>34</v>
      </c>
      <c r="B2367" s="23">
        <v>19</v>
      </c>
      <c r="C2367" s="24" t="str">
        <f t="shared" si="57"/>
        <v>34.19</v>
      </c>
      <c r="D2367" s="18" t="s">
        <v>2148</v>
      </c>
      <c r="E2367" s="64" t="s">
        <v>2161</v>
      </c>
      <c r="F2367" s="85" t="s">
        <v>226</v>
      </c>
      <c r="G2367" s="336" t="s">
        <v>308</v>
      </c>
      <c r="H2367" s="85" t="s">
        <v>2340</v>
      </c>
      <c r="I2367" s="94" t="s">
        <v>240</v>
      </c>
      <c r="J2367" s="94" t="s">
        <v>222</v>
      </c>
      <c r="K2367" s="123" t="s">
        <v>222</v>
      </c>
      <c r="L2367" s="4" t="s">
        <v>3</v>
      </c>
      <c r="M2367" s="61" t="s">
        <v>33</v>
      </c>
      <c r="N2367" s="61" t="s">
        <v>2347</v>
      </c>
      <c r="O2367" s="61" t="s">
        <v>2346</v>
      </c>
      <c r="P2367" s="61" t="s">
        <v>2345</v>
      </c>
      <c r="Q2367" s="61" t="s">
        <v>2351</v>
      </c>
      <c r="R2367" s="61" t="s">
        <v>5</v>
      </c>
      <c r="S2367" s="61"/>
      <c r="T2367" s="57"/>
      <c r="U2367" s="57"/>
      <c r="V2367" s="57"/>
      <c r="W2367" s="57"/>
      <c r="X2367" s="57"/>
      <c r="Y2367" s="57"/>
    </row>
    <row r="2368" spans="1:25" s="1" customFormat="1" ht="33" customHeight="1" x14ac:dyDescent="0.3">
      <c r="A2368" s="11">
        <v>34</v>
      </c>
      <c r="B2368" s="23">
        <v>20</v>
      </c>
      <c r="C2368" s="24" t="str">
        <f t="shared" si="57"/>
        <v>34.20</v>
      </c>
      <c r="D2368" s="18" t="s">
        <v>2148</v>
      </c>
      <c r="E2368" s="64" t="s">
        <v>2161</v>
      </c>
      <c r="F2368" s="85" t="s">
        <v>226</v>
      </c>
      <c r="G2368" s="336" t="s">
        <v>2352</v>
      </c>
      <c r="H2368" s="85" t="s">
        <v>2340</v>
      </c>
      <c r="I2368" s="94" t="s">
        <v>33</v>
      </c>
      <c r="J2368" s="94" t="s">
        <v>222</v>
      </c>
      <c r="K2368" s="123" t="s">
        <v>222</v>
      </c>
      <c r="L2368" s="4" t="s">
        <v>3</v>
      </c>
      <c r="M2368" s="61" t="s">
        <v>33</v>
      </c>
      <c r="N2368" s="61" t="s">
        <v>2347</v>
      </c>
      <c r="O2368" s="61" t="s">
        <v>2346</v>
      </c>
      <c r="P2368" s="61" t="s">
        <v>2345</v>
      </c>
      <c r="Q2368" s="61" t="s">
        <v>2351</v>
      </c>
      <c r="R2368" s="61" t="s">
        <v>5</v>
      </c>
      <c r="S2368" s="61"/>
      <c r="T2368" s="57"/>
      <c r="U2368" s="57"/>
      <c r="V2368" s="57"/>
      <c r="W2368" s="57"/>
      <c r="X2368" s="57"/>
      <c r="Y2368" s="57"/>
    </row>
    <row r="2369" spans="1:25" s="1" customFormat="1" ht="33" customHeight="1" x14ac:dyDescent="0.3">
      <c r="A2369" s="11">
        <v>34</v>
      </c>
      <c r="B2369" s="23">
        <v>21</v>
      </c>
      <c r="C2369" s="24" t="str">
        <f t="shared" si="57"/>
        <v>34.21</v>
      </c>
      <c r="D2369" s="18" t="s">
        <v>2148</v>
      </c>
      <c r="E2369" s="64" t="s">
        <v>2161</v>
      </c>
      <c r="F2369" s="85" t="s">
        <v>226</v>
      </c>
      <c r="G2369" s="336" t="s">
        <v>2353</v>
      </c>
      <c r="H2369" s="85" t="s">
        <v>2340</v>
      </c>
      <c r="I2369" s="94" t="s">
        <v>2347</v>
      </c>
      <c r="J2369" s="94" t="s">
        <v>222</v>
      </c>
      <c r="K2369" s="123" t="s">
        <v>222</v>
      </c>
      <c r="L2369" s="4" t="s">
        <v>3</v>
      </c>
      <c r="M2369" s="61" t="s">
        <v>33</v>
      </c>
      <c r="N2369" s="61" t="s">
        <v>2347</v>
      </c>
      <c r="O2369" s="61" t="s">
        <v>2346</v>
      </c>
      <c r="P2369" s="61" t="s">
        <v>2345</v>
      </c>
      <c r="Q2369" s="61" t="s">
        <v>2351</v>
      </c>
      <c r="R2369" s="61" t="s">
        <v>5</v>
      </c>
      <c r="S2369" s="61"/>
      <c r="T2369" s="57"/>
      <c r="U2369" s="57"/>
      <c r="V2369" s="57"/>
      <c r="W2369" s="57"/>
      <c r="X2369" s="57"/>
      <c r="Y2369" s="57"/>
    </row>
    <row r="2370" spans="1:25" s="1" customFormat="1" ht="33" customHeight="1" x14ac:dyDescent="0.3">
      <c r="A2370" s="11">
        <v>34</v>
      </c>
      <c r="B2370" s="23">
        <v>22</v>
      </c>
      <c r="C2370" s="24" t="str">
        <f t="shared" si="57"/>
        <v>34.22</v>
      </c>
      <c r="D2370" s="18" t="s">
        <v>2148</v>
      </c>
      <c r="E2370" s="64" t="str">
        <f>IF(ISBLANK(D2370)=TRUE,"",VLOOKUP(D2370,Krav!$C:$F,4,FALSE))</f>
        <v>11.a.2 - Der skal komme en advarsel om det ikke er "normalt" hvis fordringshaver svarer at sidste rettidige betalingsdato kan ligge før forfaldsdatoen</v>
      </c>
      <c r="F2370" s="85" t="s">
        <v>174</v>
      </c>
      <c r="G2370" s="53"/>
      <c r="H2370" s="85" t="s">
        <v>2340</v>
      </c>
      <c r="I2370" s="67" t="s">
        <v>1414</v>
      </c>
      <c r="J2370" s="87" t="s">
        <v>222</v>
      </c>
      <c r="K2370" s="123" t="s">
        <v>222</v>
      </c>
      <c r="L2370" s="4" t="s">
        <v>3</v>
      </c>
      <c r="M2370" s="205" t="s">
        <v>376</v>
      </c>
      <c r="N2370" s="61" t="s">
        <v>2344</v>
      </c>
      <c r="O2370" s="205" t="s">
        <v>2346</v>
      </c>
      <c r="P2370" s="61" t="s">
        <v>2345</v>
      </c>
      <c r="Q2370" s="61"/>
      <c r="R2370" s="61" t="s">
        <v>5</v>
      </c>
      <c r="S2370" s="61"/>
      <c r="T2370" s="57"/>
      <c r="U2370" s="57"/>
      <c r="V2370" s="57"/>
      <c r="W2370" s="57"/>
      <c r="X2370" s="57"/>
      <c r="Y2370" s="57"/>
    </row>
    <row r="2371" spans="1:25" s="1" customFormat="1" ht="33" customHeight="1" x14ac:dyDescent="0.3">
      <c r="A2371" s="11">
        <v>34</v>
      </c>
      <c r="B2371" s="23">
        <v>23</v>
      </c>
      <c r="C2371" s="24" t="str">
        <f t="shared" si="57"/>
        <v>34.23</v>
      </c>
      <c r="D2371" s="18" t="s">
        <v>2148</v>
      </c>
      <c r="E2371" s="64" t="str">
        <f>IF(ISBLANK(D2371)=TRUE,"",VLOOKUP(D2371,Krav!$C:$F,4,FALSE))</f>
        <v>11.a.2 - Der skal komme en advarsel om det ikke er "normalt" hvis fordringshaver svarer at sidste rettidige betalingsdato kan ligge før forfaldsdatoen</v>
      </c>
      <c r="F2371" s="334" t="s">
        <v>418</v>
      </c>
      <c r="G2371" s="334" t="s">
        <v>419</v>
      </c>
      <c r="H2371" s="85" t="s">
        <v>2340</v>
      </c>
      <c r="I2371" s="86" t="s">
        <v>129</v>
      </c>
      <c r="J2371" s="94" t="s">
        <v>222</v>
      </c>
      <c r="K2371" s="123" t="s">
        <v>222</v>
      </c>
      <c r="L2371" s="4" t="s">
        <v>3</v>
      </c>
      <c r="M2371" s="205" t="s">
        <v>376</v>
      </c>
      <c r="N2371" s="61" t="s">
        <v>2344</v>
      </c>
      <c r="O2371" s="205" t="s">
        <v>2346</v>
      </c>
      <c r="P2371" s="61" t="s">
        <v>2345</v>
      </c>
      <c r="Q2371" s="61"/>
      <c r="R2371" s="61" t="s">
        <v>5</v>
      </c>
      <c r="S2371" s="61"/>
      <c r="T2371" s="57"/>
      <c r="U2371" s="57"/>
      <c r="V2371" s="57"/>
      <c r="W2371" s="57"/>
      <c r="X2371" s="57"/>
      <c r="Y2371" s="57"/>
    </row>
    <row r="2372" spans="1:25" s="1" customFormat="1" ht="33" customHeight="1" x14ac:dyDescent="0.3">
      <c r="A2372" s="11">
        <v>34</v>
      </c>
      <c r="B2372" s="23">
        <v>24</v>
      </c>
      <c r="C2372" s="24" t="str">
        <f t="shared" si="57"/>
        <v>34.24</v>
      </c>
      <c r="D2372" s="18" t="s">
        <v>2148</v>
      </c>
      <c r="E2372" s="64" t="str">
        <f>IF(ISBLANK(D2372)=TRUE,"",VLOOKUP(D2372,Krav!$C:$F,4,FALSE))</f>
        <v>11.a.2 - Der skal komme en advarsel om det ikke er "normalt" hvis fordringshaver svarer at sidste rettidige betalingsdato kan ligge før forfaldsdatoen</v>
      </c>
      <c r="F2372" s="85" t="s">
        <v>174</v>
      </c>
      <c r="G2372" s="53"/>
      <c r="H2372" s="85" t="s">
        <v>2340</v>
      </c>
      <c r="I2372" s="67" t="s">
        <v>1414</v>
      </c>
      <c r="J2372" s="87" t="s">
        <v>222</v>
      </c>
      <c r="K2372" s="123" t="s">
        <v>222</v>
      </c>
      <c r="L2372" s="4" t="s">
        <v>3</v>
      </c>
      <c r="M2372" s="205" t="s">
        <v>2344</v>
      </c>
      <c r="N2372" s="205" t="s">
        <v>2343</v>
      </c>
      <c r="O2372" s="205" t="s">
        <v>2346</v>
      </c>
      <c r="P2372" s="205" t="s">
        <v>2346</v>
      </c>
      <c r="Q2372" s="61"/>
      <c r="R2372" s="61" t="s">
        <v>5</v>
      </c>
      <c r="S2372" s="61"/>
      <c r="T2372" s="57"/>
      <c r="U2372" s="57"/>
      <c r="V2372" s="57"/>
      <c r="W2372" s="57"/>
      <c r="X2372" s="57"/>
      <c r="Y2372" s="57"/>
    </row>
    <row r="2373" spans="1:25" s="1" customFormat="1" ht="33" customHeight="1" x14ac:dyDescent="0.3">
      <c r="A2373" s="11">
        <v>34</v>
      </c>
      <c r="B2373" s="23">
        <v>25</v>
      </c>
      <c r="C2373" s="24" t="str">
        <f t="shared" si="57"/>
        <v>34.25</v>
      </c>
      <c r="D2373" s="18" t="s">
        <v>2148</v>
      </c>
      <c r="E2373" s="64" t="str">
        <f>IF(ISBLANK(D2373)=TRUE,"",VLOOKUP(D2373,Krav!$C:$F,4,FALSE))</f>
        <v>11.a.2 - Der skal komme en advarsel om det ikke er "normalt" hvis fordringshaver svarer at sidste rettidige betalingsdato kan ligge før forfaldsdatoen</v>
      </c>
      <c r="F2373" s="334" t="s">
        <v>418</v>
      </c>
      <c r="G2373" s="334" t="s">
        <v>419</v>
      </c>
      <c r="H2373" s="85" t="s">
        <v>2340</v>
      </c>
      <c r="I2373" s="86" t="s">
        <v>129</v>
      </c>
      <c r="J2373" s="94" t="s">
        <v>222</v>
      </c>
      <c r="K2373" s="123" t="s">
        <v>222</v>
      </c>
      <c r="L2373" s="4" t="s">
        <v>3</v>
      </c>
      <c r="M2373" s="205" t="s">
        <v>2344</v>
      </c>
      <c r="N2373" s="205" t="s">
        <v>2343</v>
      </c>
      <c r="O2373" s="205" t="s">
        <v>2346</v>
      </c>
      <c r="P2373" s="205" t="s">
        <v>2346</v>
      </c>
      <c r="Q2373" s="61"/>
      <c r="R2373" s="61" t="s">
        <v>5</v>
      </c>
      <c r="S2373" s="61"/>
      <c r="T2373" s="57"/>
      <c r="U2373" s="57"/>
      <c r="V2373" s="57"/>
      <c r="W2373" s="57"/>
      <c r="X2373" s="57"/>
      <c r="Y2373" s="57"/>
    </row>
    <row r="2374" spans="1:25" s="1" customFormat="1" ht="33" customHeight="1" x14ac:dyDescent="0.3">
      <c r="A2374" s="11">
        <v>34</v>
      </c>
      <c r="B2374" s="23">
        <v>26</v>
      </c>
      <c r="C2374" s="24" t="str">
        <f t="shared" si="57"/>
        <v>34.26</v>
      </c>
      <c r="D2374" s="18" t="s">
        <v>2148</v>
      </c>
      <c r="E2374" s="64" t="str">
        <f>IF(ISBLANK(D2374)=TRUE,"",VLOOKUP(D2374,Krav!$C:$F,4,FALSE))</f>
        <v>11.a.2 - Der skal komme en advarsel om det ikke er "normalt" hvis fordringshaver svarer at sidste rettidige betalingsdato kan ligge før forfaldsdatoen</v>
      </c>
      <c r="F2374" s="85" t="s">
        <v>174</v>
      </c>
      <c r="G2374" s="53"/>
      <c r="H2374" s="85" t="s">
        <v>2340</v>
      </c>
      <c r="I2374" s="67" t="s">
        <v>1414</v>
      </c>
      <c r="J2374" s="87" t="s">
        <v>222</v>
      </c>
      <c r="K2374" s="123" t="s">
        <v>222</v>
      </c>
      <c r="L2374" s="4" t="s">
        <v>3</v>
      </c>
      <c r="M2374" s="363" t="s">
        <v>2344</v>
      </c>
      <c r="N2374" s="205" t="s">
        <v>2343</v>
      </c>
      <c r="O2374" s="61" t="s">
        <v>2345</v>
      </c>
      <c r="P2374" s="205" t="s">
        <v>2346</v>
      </c>
      <c r="Q2374" s="61"/>
      <c r="R2374" s="61" t="s">
        <v>5</v>
      </c>
      <c r="S2374" s="61"/>
      <c r="T2374" s="57"/>
      <c r="U2374" s="57"/>
      <c r="V2374" s="57"/>
      <c r="W2374" s="57"/>
      <c r="X2374" s="57"/>
      <c r="Y2374" s="57"/>
    </row>
    <row r="2375" spans="1:25" s="1" customFormat="1" ht="33" customHeight="1" x14ac:dyDescent="0.3">
      <c r="A2375" s="11">
        <v>34</v>
      </c>
      <c r="B2375" s="23">
        <v>27</v>
      </c>
      <c r="C2375" s="24" t="str">
        <f t="shared" si="57"/>
        <v>34.27</v>
      </c>
      <c r="D2375" s="18" t="s">
        <v>2148</v>
      </c>
      <c r="E2375" s="64" t="str">
        <f>IF(ISBLANK(D2375)=TRUE,"",VLOOKUP(D2375,Krav!$C:$F,4,FALSE))</f>
        <v>11.a.2 - Der skal komme en advarsel om det ikke er "normalt" hvis fordringshaver svarer at sidste rettidige betalingsdato kan ligge før forfaldsdatoen</v>
      </c>
      <c r="F2375" s="334" t="s">
        <v>418</v>
      </c>
      <c r="G2375" s="334" t="s">
        <v>419</v>
      </c>
      <c r="H2375" s="85" t="s">
        <v>2340</v>
      </c>
      <c r="I2375" s="86" t="s">
        <v>129</v>
      </c>
      <c r="J2375" s="87" t="s">
        <v>222</v>
      </c>
      <c r="K2375" s="123" t="s">
        <v>222</v>
      </c>
      <c r="L2375" s="4" t="s">
        <v>3</v>
      </c>
      <c r="M2375" s="363" t="s">
        <v>2344</v>
      </c>
      <c r="N2375" s="205" t="s">
        <v>2343</v>
      </c>
      <c r="O2375" s="61" t="s">
        <v>2345</v>
      </c>
      <c r="P2375" s="205" t="s">
        <v>2346</v>
      </c>
      <c r="Q2375" s="61"/>
      <c r="R2375" s="61" t="s">
        <v>5</v>
      </c>
      <c r="S2375" s="61"/>
      <c r="T2375" s="57"/>
      <c r="U2375" s="57"/>
      <c r="V2375" s="57"/>
      <c r="W2375" s="57"/>
      <c r="X2375" s="57"/>
      <c r="Y2375" s="57"/>
    </row>
    <row r="2376" spans="1:25" s="234" customFormat="1" ht="33" customHeight="1" x14ac:dyDescent="0.3">
      <c r="A2376" s="365">
        <v>34</v>
      </c>
      <c r="B2376" s="23">
        <v>28</v>
      </c>
      <c r="C2376" s="24" t="str">
        <f t="shared" si="57"/>
        <v>34.28</v>
      </c>
      <c r="D2376" s="227" t="s">
        <v>2148</v>
      </c>
      <c r="E2376" s="366" t="str">
        <f>IF(ISBLANK(D2376)=TRUE,"",VLOOKUP(D2376,Krav!$C:$F,4,FALSE))</f>
        <v>11.a.2 - Der skal komme en advarsel om det ikke er "normalt" hvis fordringshaver svarer at sidste rettidige betalingsdato kan ligge før forfaldsdatoen</v>
      </c>
      <c r="F2376" s="367" t="s">
        <v>174</v>
      </c>
      <c r="G2376" s="228"/>
      <c r="H2376" s="367" t="s">
        <v>2340</v>
      </c>
      <c r="I2376" s="230" t="s">
        <v>1414</v>
      </c>
      <c r="J2376" s="368" t="s">
        <v>222</v>
      </c>
      <c r="K2376" s="230" t="s">
        <v>222</v>
      </c>
      <c r="L2376" s="231" t="s">
        <v>3</v>
      </c>
      <c r="M2376" s="241" t="s">
        <v>404</v>
      </c>
      <c r="N2376" s="232" t="s">
        <v>2344</v>
      </c>
      <c r="O2376" s="241" t="s">
        <v>2346</v>
      </c>
      <c r="P2376" s="232" t="s">
        <v>2345</v>
      </c>
      <c r="Q2376" s="232"/>
      <c r="R2376" s="232" t="s">
        <v>33</v>
      </c>
      <c r="S2376" s="232" t="s">
        <v>2354</v>
      </c>
      <c r="T2376" s="369"/>
      <c r="U2376" s="369"/>
      <c r="V2376" s="369"/>
      <c r="W2376" s="369"/>
      <c r="X2376" s="369"/>
      <c r="Y2376" s="369"/>
    </row>
    <row r="2377" spans="1:25" s="234" customFormat="1" ht="33" customHeight="1" x14ac:dyDescent="0.3">
      <c r="A2377" s="365">
        <v>34</v>
      </c>
      <c r="B2377" s="23">
        <v>29</v>
      </c>
      <c r="C2377" s="24" t="str">
        <f t="shared" si="57"/>
        <v>34.29</v>
      </c>
      <c r="D2377" s="227" t="s">
        <v>2148</v>
      </c>
      <c r="E2377" s="366" t="str">
        <f>IF(ISBLANK(D2377)=TRUE,"",VLOOKUP(D2377,Krav!$C:$F,4,FALSE))</f>
        <v>11.a.2 - Der skal komme en advarsel om det ikke er "normalt" hvis fordringshaver svarer at sidste rettidige betalingsdato kan ligge før forfaldsdatoen</v>
      </c>
      <c r="F2377" s="370" t="s">
        <v>418</v>
      </c>
      <c r="G2377" s="370" t="s">
        <v>419</v>
      </c>
      <c r="H2377" s="367" t="s">
        <v>2340</v>
      </c>
      <c r="I2377" s="371" t="s">
        <v>129</v>
      </c>
      <c r="J2377" s="368" t="s">
        <v>222</v>
      </c>
      <c r="K2377" s="230" t="s">
        <v>222</v>
      </c>
      <c r="L2377" s="231" t="s">
        <v>3</v>
      </c>
      <c r="M2377" s="241" t="s">
        <v>404</v>
      </c>
      <c r="N2377" s="232" t="s">
        <v>2344</v>
      </c>
      <c r="O2377" s="241" t="s">
        <v>2346</v>
      </c>
      <c r="P2377" s="232" t="s">
        <v>2345</v>
      </c>
      <c r="Q2377" s="232"/>
      <c r="R2377" s="232" t="s">
        <v>33</v>
      </c>
      <c r="S2377" s="232" t="s">
        <v>2354</v>
      </c>
      <c r="T2377" s="369"/>
      <c r="U2377" s="369"/>
      <c r="V2377" s="369"/>
      <c r="W2377" s="369"/>
      <c r="X2377" s="369"/>
      <c r="Y2377" s="369"/>
    </row>
    <row r="2378" spans="1:25" s="1" customFormat="1" ht="33" customHeight="1" x14ac:dyDescent="0.3">
      <c r="A2378" s="11">
        <v>34</v>
      </c>
      <c r="B2378" s="23">
        <v>30</v>
      </c>
      <c r="C2378" s="24" t="str">
        <f t="shared" si="57"/>
        <v>34.30</v>
      </c>
      <c r="D2378" s="18" t="s">
        <v>2148</v>
      </c>
      <c r="E2378" s="64" t="str">
        <f>IF(ISBLANK(D2378)=TRUE,"",VLOOKUP(D2378,Krav!$C:$F,4,FALSE))</f>
        <v>11.a.2 - Der skal komme en advarsel om det ikke er "normalt" hvis fordringshaver svarer at sidste rettidige betalingsdato kan ligge før forfaldsdatoen</v>
      </c>
      <c r="F2378" s="85" t="s">
        <v>174</v>
      </c>
      <c r="G2378" s="53"/>
      <c r="H2378" s="85" t="s">
        <v>2340</v>
      </c>
      <c r="I2378" s="67" t="s">
        <v>1414</v>
      </c>
      <c r="J2378" s="87" t="s">
        <v>222</v>
      </c>
      <c r="K2378" s="123" t="s">
        <v>222</v>
      </c>
      <c r="L2378" s="4" t="s">
        <v>3</v>
      </c>
      <c r="M2378" s="363" t="s">
        <v>376</v>
      </c>
      <c r="N2378" s="205" t="s">
        <v>2348</v>
      </c>
      <c r="O2378" s="61" t="s">
        <v>2345</v>
      </c>
      <c r="P2378" s="61" t="s">
        <v>2345</v>
      </c>
      <c r="Q2378" s="61"/>
      <c r="R2378" s="61" t="s">
        <v>5</v>
      </c>
      <c r="S2378" s="61"/>
      <c r="T2378" s="57"/>
      <c r="U2378" s="57"/>
      <c r="V2378" s="57"/>
      <c r="W2378" s="57"/>
      <c r="X2378" s="57"/>
      <c r="Y2378" s="57"/>
    </row>
    <row r="2379" spans="1:25" s="1" customFormat="1" ht="33" customHeight="1" x14ac:dyDescent="0.3">
      <c r="A2379" s="11">
        <v>34</v>
      </c>
      <c r="B2379" s="23">
        <v>31</v>
      </c>
      <c r="C2379" s="24" t="str">
        <f t="shared" si="57"/>
        <v>34.31</v>
      </c>
      <c r="D2379" s="18" t="s">
        <v>2148</v>
      </c>
      <c r="E2379" s="64" t="str">
        <f>IF(ISBLANK(D2379)=TRUE,"",VLOOKUP(D2379,Krav!$C:$F,4,FALSE))</f>
        <v>11.a.2 - Der skal komme en advarsel om det ikke er "normalt" hvis fordringshaver svarer at sidste rettidige betalingsdato kan ligge før forfaldsdatoen</v>
      </c>
      <c r="F2379" s="334" t="s">
        <v>418</v>
      </c>
      <c r="G2379" s="334" t="s">
        <v>419</v>
      </c>
      <c r="H2379" s="85" t="s">
        <v>2340</v>
      </c>
      <c r="I2379" s="86" t="s">
        <v>129</v>
      </c>
      <c r="J2379" s="94" t="s">
        <v>222</v>
      </c>
      <c r="K2379" s="123" t="s">
        <v>222</v>
      </c>
      <c r="L2379" s="4" t="s">
        <v>3</v>
      </c>
      <c r="M2379" s="363" t="s">
        <v>376</v>
      </c>
      <c r="N2379" s="205" t="s">
        <v>2348</v>
      </c>
      <c r="O2379" s="61" t="s">
        <v>2345</v>
      </c>
      <c r="P2379" s="61" t="s">
        <v>2345</v>
      </c>
      <c r="Q2379" s="61"/>
      <c r="R2379" s="61" t="s">
        <v>5</v>
      </c>
      <c r="S2379" s="61"/>
      <c r="T2379" s="57"/>
      <c r="U2379" s="57"/>
      <c r="V2379" s="57"/>
      <c r="W2379" s="57"/>
      <c r="X2379" s="57"/>
      <c r="Y2379" s="57"/>
    </row>
    <row r="2380" spans="1:25" s="234" customFormat="1" ht="33" customHeight="1" x14ac:dyDescent="0.3">
      <c r="A2380" s="365">
        <v>34</v>
      </c>
      <c r="B2380" s="23">
        <v>32</v>
      </c>
      <c r="C2380" s="24" t="str">
        <f t="shared" si="57"/>
        <v>34.32</v>
      </c>
      <c r="D2380" s="227" t="s">
        <v>2148</v>
      </c>
      <c r="E2380" s="366" t="str">
        <f>IF(ISBLANK(D2380)=TRUE,"",VLOOKUP(D2380,Krav!$C:$F,4,FALSE))</f>
        <v>11.a.2 - Der skal komme en advarsel om det ikke er "normalt" hvis fordringshaver svarer at sidste rettidige betalingsdato kan ligge før forfaldsdatoen</v>
      </c>
      <c r="F2380" s="367" t="s">
        <v>174</v>
      </c>
      <c r="G2380" s="228"/>
      <c r="H2380" s="367" t="s">
        <v>2340</v>
      </c>
      <c r="I2380" s="230" t="s">
        <v>1414</v>
      </c>
      <c r="J2380" s="368" t="s">
        <v>222</v>
      </c>
      <c r="K2380" s="230" t="s">
        <v>222</v>
      </c>
      <c r="L2380" s="231" t="s">
        <v>3</v>
      </c>
      <c r="M2380" s="372" t="s">
        <v>2344</v>
      </c>
      <c r="N2380" s="241" t="s">
        <v>2349</v>
      </c>
      <c r="O2380" s="232" t="s">
        <v>2345</v>
      </c>
      <c r="P2380" s="241" t="s">
        <v>2346</v>
      </c>
      <c r="Q2380" s="232"/>
      <c r="R2380" s="232" t="s">
        <v>33</v>
      </c>
      <c r="S2380" s="232" t="s">
        <v>2354</v>
      </c>
      <c r="T2380" s="369"/>
      <c r="U2380" s="369"/>
      <c r="V2380" s="369"/>
      <c r="W2380" s="369"/>
      <c r="X2380" s="369"/>
      <c r="Y2380" s="369"/>
    </row>
    <row r="2381" spans="1:25" s="234" customFormat="1" ht="33" customHeight="1" x14ac:dyDescent="0.3">
      <c r="A2381" s="365">
        <v>34</v>
      </c>
      <c r="B2381" s="23">
        <v>33</v>
      </c>
      <c r="C2381" s="24" t="str">
        <f t="shared" si="57"/>
        <v>34.33</v>
      </c>
      <c r="D2381" s="227" t="s">
        <v>2148</v>
      </c>
      <c r="E2381" s="366" t="str">
        <f>IF(ISBLANK(D2381)=TRUE,"",VLOOKUP(D2381,Krav!$C:$F,4,FALSE))</f>
        <v>11.a.2 - Der skal komme en advarsel om det ikke er "normalt" hvis fordringshaver svarer at sidste rettidige betalingsdato kan ligge før forfaldsdatoen</v>
      </c>
      <c r="F2381" s="370" t="s">
        <v>418</v>
      </c>
      <c r="G2381" s="370" t="s">
        <v>419</v>
      </c>
      <c r="H2381" s="367" t="s">
        <v>2340</v>
      </c>
      <c r="I2381" s="371" t="s">
        <v>129</v>
      </c>
      <c r="J2381" s="368" t="s">
        <v>222</v>
      </c>
      <c r="K2381" s="230" t="s">
        <v>222</v>
      </c>
      <c r="L2381" s="231" t="s">
        <v>3</v>
      </c>
      <c r="M2381" s="373" t="s">
        <v>2344</v>
      </c>
      <c r="N2381" s="241" t="s">
        <v>2349</v>
      </c>
      <c r="O2381" s="232" t="s">
        <v>2345</v>
      </c>
      <c r="P2381" s="241" t="s">
        <v>2346</v>
      </c>
      <c r="Q2381" s="232"/>
      <c r="R2381" s="232" t="s">
        <v>33</v>
      </c>
      <c r="S2381" s="232" t="s">
        <v>2354</v>
      </c>
      <c r="T2381" s="369"/>
      <c r="U2381" s="369"/>
      <c r="V2381" s="369"/>
      <c r="W2381" s="369"/>
      <c r="X2381" s="369"/>
      <c r="Y2381" s="369"/>
    </row>
    <row r="2382" spans="1:25" s="1" customFormat="1" ht="33" customHeight="1" x14ac:dyDescent="0.3">
      <c r="A2382" s="11">
        <v>34</v>
      </c>
      <c r="B2382" s="23">
        <v>34</v>
      </c>
      <c r="C2382" s="24" t="str">
        <f t="shared" si="57"/>
        <v>34.34</v>
      </c>
      <c r="D2382" s="18" t="s">
        <v>2148</v>
      </c>
      <c r="E2382" s="64" t="str">
        <f>IF(ISBLANK(D2382)=TRUE,"",VLOOKUP(D2382,Krav!$C:$F,4,FALSE))</f>
        <v>11.a.2 - Der skal komme en advarsel om det ikke er "normalt" hvis fordringshaver svarer at sidste rettidige betalingsdato kan ligge før forfaldsdatoen</v>
      </c>
      <c r="F2382" s="85" t="s">
        <v>174</v>
      </c>
      <c r="G2382" s="53"/>
      <c r="H2382" s="85" t="s">
        <v>2340</v>
      </c>
      <c r="I2382" s="67" t="s">
        <v>1414</v>
      </c>
      <c r="J2382" s="87" t="s">
        <v>222</v>
      </c>
      <c r="K2382" s="123" t="s">
        <v>222</v>
      </c>
      <c r="L2382" s="4" t="s">
        <v>3</v>
      </c>
      <c r="M2382" s="364" t="s">
        <v>2344</v>
      </c>
      <c r="N2382" s="205" t="s">
        <v>97</v>
      </c>
      <c r="O2382" s="61" t="s">
        <v>2345</v>
      </c>
      <c r="P2382" s="205" t="s">
        <v>2346</v>
      </c>
      <c r="Q2382" s="61"/>
      <c r="R2382" s="61" t="s">
        <v>5</v>
      </c>
      <c r="S2382" s="61"/>
      <c r="T2382" s="57"/>
      <c r="U2382" s="57"/>
      <c r="V2382" s="57"/>
      <c r="W2382" s="57"/>
      <c r="X2382" s="57"/>
      <c r="Y2382" s="57"/>
    </row>
    <row r="2383" spans="1:25" s="1" customFormat="1" ht="33" customHeight="1" x14ac:dyDescent="0.3">
      <c r="A2383" s="11">
        <v>34</v>
      </c>
      <c r="B2383" s="23">
        <v>35</v>
      </c>
      <c r="C2383" s="24" t="str">
        <f t="shared" si="57"/>
        <v>34.35</v>
      </c>
      <c r="D2383" s="18" t="s">
        <v>2148</v>
      </c>
      <c r="E2383" s="64" t="str">
        <f>IF(ISBLANK(D2383)=TRUE,"",VLOOKUP(D2383,Krav!$C:$F,4,FALSE))</f>
        <v>11.a.2 - Der skal komme en advarsel om det ikke er "normalt" hvis fordringshaver svarer at sidste rettidige betalingsdato kan ligge før forfaldsdatoen</v>
      </c>
      <c r="F2383" s="334" t="s">
        <v>418</v>
      </c>
      <c r="G2383" s="334" t="s">
        <v>419</v>
      </c>
      <c r="H2383" s="85" t="s">
        <v>2340</v>
      </c>
      <c r="I2383" s="86" t="s">
        <v>129</v>
      </c>
      <c r="J2383" s="87" t="s">
        <v>222</v>
      </c>
      <c r="K2383" s="123" t="s">
        <v>222</v>
      </c>
      <c r="L2383" s="4" t="s">
        <v>3</v>
      </c>
      <c r="M2383" s="363" t="s">
        <v>2344</v>
      </c>
      <c r="N2383" s="205" t="s">
        <v>97</v>
      </c>
      <c r="O2383" s="61" t="s">
        <v>2345</v>
      </c>
      <c r="P2383" s="205" t="s">
        <v>2346</v>
      </c>
      <c r="Q2383" s="61"/>
      <c r="R2383" s="61" t="s">
        <v>5</v>
      </c>
      <c r="S2383" s="61"/>
      <c r="T2383" s="57"/>
      <c r="U2383" s="57"/>
      <c r="V2383" s="57"/>
      <c r="W2383" s="57"/>
      <c r="X2383" s="57"/>
      <c r="Y2383" s="57"/>
    </row>
    <row r="2384" spans="1:25" s="1" customFormat="1" ht="33" customHeight="1" x14ac:dyDescent="0.3">
      <c r="A2384" s="11">
        <v>34</v>
      </c>
      <c r="B2384" s="23">
        <v>36</v>
      </c>
      <c r="C2384" s="24" t="str">
        <f t="shared" si="57"/>
        <v>34.36</v>
      </c>
      <c r="D2384" s="18"/>
      <c r="E2384" s="64"/>
      <c r="F2384" s="334" t="s">
        <v>143</v>
      </c>
      <c r="G2384" s="53"/>
      <c r="H2384" s="85" t="s">
        <v>2350</v>
      </c>
      <c r="I2384" s="86" t="s">
        <v>2067</v>
      </c>
      <c r="J2384" s="87" t="s">
        <v>222</v>
      </c>
      <c r="K2384" s="123" t="s">
        <v>222</v>
      </c>
      <c r="L2384" s="4" t="s">
        <v>3</v>
      </c>
      <c r="M2384" s="61" t="s">
        <v>376</v>
      </c>
      <c r="N2384" s="61" t="s">
        <v>2344</v>
      </c>
      <c r="O2384" s="61" t="s">
        <v>2345</v>
      </c>
      <c r="P2384" s="61" t="s">
        <v>2345</v>
      </c>
      <c r="Q2384" s="61"/>
      <c r="R2384" s="61" t="s">
        <v>5</v>
      </c>
      <c r="S2384" s="61"/>
      <c r="T2384" s="57"/>
      <c r="U2384" s="57"/>
      <c r="V2384" s="57"/>
      <c r="W2384" s="57"/>
      <c r="X2384" s="57"/>
      <c r="Y2384" s="57"/>
    </row>
    <row r="2385" spans="1:29" s="1" customFormat="1" ht="33" customHeight="1" x14ac:dyDescent="0.3">
      <c r="A2385" s="11">
        <v>34</v>
      </c>
      <c r="B2385" s="23">
        <v>37</v>
      </c>
      <c r="C2385" s="24" t="str">
        <f t="shared" si="57"/>
        <v>34.37</v>
      </c>
      <c r="D2385" s="18"/>
      <c r="E2385" s="64"/>
      <c r="F2385" s="85" t="s">
        <v>185</v>
      </c>
      <c r="G2385" s="53"/>
      <c r="H2385" s="25" t="s">
        <v>1585</v>
      </c>
      <c r="I2385" s="86" t="s">
        <v>468</v>
      </c>
      <c r="J2385" s="87" t="s">
        <v>222</v>
      </c>
      <c r="K2385" s="123" t="s">
        <v>222</v>
      </c>
      <c r="L2385" s="4" t="s">
        <v>3</v>
      </c>
      <c r="M2385" s="61" t="s">
        <v>376</v>
      </c>
      <c r="N2385" s="61" t="s">
        <v>2344</v>
      </c>
      <c r="O2385" s="61" t="s">
        <v>2345</v>
      </c>
      <c r="P2385" s="61" t="s">
        <v>2345</v>
      </c>
      <c r="Q2385" s="61"/>
      <c r="R2385" s="61" t="s">
        <v>5</v>
      </c>
      <c r="S2385" s="61"/>
      <c r="T2385" s="57"/>
      <c r="U2385" s="57"/>
      <c r="V2385" s="57"/>
      <c r="W2385" s="57"/>
      <c r="X2385" s="57"/>
      <c r="Y2385" s="57"/>
    </row>
    <row r="2386" spans="1:29" s="221" customFormat="1" ht="42" customHeight="1" x14ac:dyDescent="0.3">
      <c r="A2386" s="11">
        <v>34</v>
      </c>
      <c r="B2386" s="23">
        <v>38</v>
      </c>
      <c r="C2386" s="24" t="str">
        <f t="shared" si="57"/>
        <v>34.38</v>
      </c>
      <c r="D2386" s="18"/>
      <c r="E2386" s="64"/>
      <c r="F2386" s="84" t="s">
        <v>224</v>
      </c>
      <c r="G2386" s="336" t="s">
        <v>1388</v>
      </c>
      <c r="H2386" s="25" t="s">
        <v>1587</v>
      </c>
      <c r="I2386" s="86" t="s">
        <v>376</v>
      </c>
      <c r="J2386" s="87" t="s">
        <v>222</v>
      </c>
      <c r="K2386" s="123" t="s">
        <v>222</v>
      </c>
      <c r="L2386" s="4" t="s">
        <v>3</v>
      </c>
      <c r="M2386" s="61" t="s">
        <v>376</v>
      </c>
      <c r="N2386" s="61"/>
      <c r="O2386" s="61"/>
      <c r="P2386" s="61"/>
      <c r="Q2386" s="61"/>
      <c r="R2386" s="61" t="s">
        <v>5</v>
      </c>
      <c r="S2386" s="61"/>
      <c r="T2386" s="344"/>
      <c r="U2386" s="344"/>
      <c r="V2386" s="344"/>
      <c r="W2386" s="344"/>
      <c r="X2386" s="344"/>
      <c r="Y2386" s="344"/>
      <c r="Z2386" s="344"/>
      <c r="AA2386" s="344"/>
      <c r="AB2386" s="344"/>
      <c r="AC2386" s="344"/>
    </row>
    <row r="2387" spans="1:29" s="221" customFormat="1" ht="33" customHeight="1" x14ac:dyDescent="0.3">
      <c r="A2387" s="11">
        <v>34</v>
      </c>
      <c r="B2387" s="23">
        <v>39</v>
      </c>
      <c r="C2387" s="24" t="str">
        <f t="shared" si="57"/>
        <v>34.39</v>
      </c>
      <c r="D2387" s="18"/>
      <c r="E2387" s="64"/>
      <c r="F2387" s="84" t="s">
        <v>224</v>
      </c>
      <c r="G2387" s="336" t="s">
        <v>1389</v>
      </c>
      <c r="H2387" s="25" t="s">
        <v>1587</v>
      </c>
      <c r="I2387" s="86" t="s">
        <v>2344</v>
      </c>
      <c r="J2387" s="87" t="s">
        <v>222</v>
      </c>
      <c r="K2387" s="123" t="s">
        <v>222</v>
      </c>
      <c r="L2387" s="4" t="s">
        <v>3</v>
      </c>
      <c r="M2387" s="61"/>
      <c r="N2387" s="61" t="s">
        <v>2344</v>
      </c>
      <c r="O2387" s="61"/>
      <c r="P2387" s="61"/>
      <c r="Q2387" s="61"/>
      <c r="R2387" s="61" t="s">
        <v>5</v>
      </c>
      <c r="S2387" s="61"/>
      <c r="T2387" s="344"/>
      <c r="U2387" s="344"/>
      <c r="V2387" s="344"/>
      <c r="W2387" s="344"/>
      <c r="X2387" s="344"/>
      <c r="Y2387" s="344"/>
      <c r="Z2387" s="344"/>
      <c r="AA2387" s="344"/>
      <c r="AB2387" s="344"/>
      <c r="AC2387" s="344"/>
    </row>
    <row r="2388" spans="1:29" s="221" customFormat="1" ht="33" customHeight="1" x14ac:dyDescent="0.3">
      <c r="A2388" s="11">
        <v>34</v>
      </c>
      <c r="B2388" s="23">
        <v>40</v>
      </c>
      <c r="C2388" s="24" t="str">
        <f t="shared" si="57"/>
        <v>34.40</v>
      </c>
      <c r="D2388" s="18"/>
      <c r="E2388" s="64"/>
      <c r="F2388" s="84" t="s">
        <v>224</v>
      </c>
      <c r="G2388" s="336" t="s">
        <v>2341</v>
      </c>
      <c r="H2388" s="25" t="s">
        <v>1587</v>
      </c>
      <c r="I2388" s="86" t="s">
        <v>2345</v>
      </c>
      <c r="J2388" s="87" t="s">
        <v>222</v>
      </c>
      <c r="K2388" s="123" t="s">
        <v>222</v>
      </c>
      <c r="L2388" s="4" t="s">
        <v>3</v>
      </c>
      <c r="M2388" s="61"/>
      <c r="N2388" s="61"/>
      <c r="O2388" s="61" t="s">
        <v>2345</v>
      </c>
      <c r="P2388" s="61"/>
      <c r="Q2388" s="61"/>
      <c r="R2388" s="61" t="s">
        <v>5</v>
      </c>
      <c r="S2388" s="61"/>
      <c r="T2388" s="344"/>
      <c r="U2388" s="344"/>
      <c r="V2388" s="344"/>
      <c r="W2388" s="344"/>
      <c r="X2388" s="344"/>
      <c r="Y2388" s="344"/>
      <c r="Z2388" s="344"/>
      <c r="AA2388" s="344"/>
      <c r="AB2388" s="344"/>
      <c r="AC2388" s="344"/>
    </row>
    <row r="2389" spans="1:29" s="344" customFormat="1" ht="16.5" customHeight="1" x14ac:dyDescent="0.3">
      <c r="A2389" s="11">
        <v>34</v>
      </c>
      <c r="B2389" s="23">
        <v>41</v>
      </c>
      <c r="C2389" s="24" t="str">
        <f t="shared" si="57"/>
        <v>34.41</v>
      </c>
      <c r="D2389" s="18"/>
      <c r="E2389" s="64"/>
      <c r="F2389" s="84" t="s">
        <v>224</v>
      </c>
      <c r="G2389" s="336" t="s">
        <v>2342</v>
      </c>
      <c r="H2389" s="25" t="s">
        <v>1587</v>
      </c>
      <c r="I2389" s="86" t="s">
        <v>2345</v>
      </c>
      <c r="J2389" s="87" t="s">
        <v>222</v>
      </c>
      <c r="K2389" s="123" t="s">
        <v>222</v>
      </c>
      <c r="L2389" s="4" t="s">
        <v>3</v>
      </c>
      <c r="M2389" s="61"/>
      <c r="N2389" s="61"/>
      <c r="O2389" s="61"/>
      <c r="P2389" s="61" t="s">
        <v>2345</v>
      </c>
      <c r="Q2389" s="61"/>
      <c r="R2389" s="61" t="s">
        <v>5</v>
      </c>
      <c r="S2389" s="61"/>
    </row>
    <row r="2390" spans="1:29" s="221" customFormat="1" ht="42" customHeight="1" x14ac:dyDescent="0.3">
      <c r="A2390" s="11">
        <v>34</v>
      </c>
      <c r="B2390" s="23">
        <v>42</v>
      </c>
      <c r="C2390" s="24" t="str">
        <f t="shared" si="57"/>
        <v>34.42</v>
      </c>
      <c r="D2390" s="18"/>
      <c r="E2390" s="64"/>
      <c r="F2390" s="84" t="s">
        <v>224</v>
      </c>
      <c r="G2390" s="336" t="s">
        <v>1388</v>
      </c>
      <c r="H2390" s="25" t="s">
        <v>1449</v>
      </c>
      <c r="I2390" s="87" t="s">
        <v>469</v>
      </c>
      <c r="J2390" s="87" t="s">
        <v>222</v>
      </c>
      <c r="K2390" s="123" t="s">
        <v>222</v>
      </c>
      <c r="L2390" s="4" t="s">
        <v>3</v>
      </c>
      <c r="M2390" s="61"/>
      <c r="N2390" s="61"/>
      <c r="O2390" s="61"/>
      <c r="P2390" s="61"/>
      <c r="Q2390" s="61"/>
      <c r="R2390" s="61" t="s">
        <v>5</v>
      </c>
      <c r="S2390" s="61"/>
      <c r="T2390" s="344"/>
      <c r="U2390" s="344"/>
      <c r="V2390" s="344"/>
      <c r="W2390" s="344"/>
      <c r="X2390" s="344"/>
      <c r="Y2390" s="344"/>
      <c r="Z2390" s="344"/>
      <c r="AA2390" s="344"/>
      <c r="AB2390" s="344"/>
      <c r="AC2390" s="344"/>
    </row>
    <row r="2391" spans="1:29" s="221" customFormat="1" ht="33" customHeight="1" x14ac:dyDescent="0.3">
      <c r="A2391" s="11">
        <v>34</v>
      </c>
      <c r="B2391" s="23">
        <v>43</v>
      </c>
      <c r="C2391" s="24" t="str">
        <f t="shared" si="57"/>
        <v>34.43</v>
      </c>
      <c r="D2391" s="18"/>
      <c r="E2391" s="64"/>
      <c r="F2391" s="84" t="s">
        <v>224</v>
      </c>
      <c r="G2391" s="336" t="s">
        <v>1389</v>
      </c>
      <c r="H2391" s="25" t="s">
        <v>1449</v>
      </c>
      <c r="I2391" s="87" t="s">
        <v>469</v>
      </c>
      <c r="J2391" s="87" t="s">
        <v>222</v>
      </c>
      <c r="K2391" s="123" t="s">
        <v>222</v>
      </c>
      <c r="L2391" s="4" t="s">
        <v>3</v>
      </c>
      <c r="M2391" s="61"/>
      <c r="N2391" s="61"/>
      <c r="O2391" s="61"/>
      <c r="P2391" s="61"/>
      <c r="Q2391" s="61"/>
      <c r="R2391" s="61" t="s">
        <v>5</v>
      </c>
      <c r="S2391" s="61"/>
      <c r="T2391" s="344"/>
      <c r="U2391" s="344"/>
      <c r="V2391" s="344"/>
      <c r="W2391" s="344"/>
      <c r="X2391" s="344"/>
      <c r="Y2391" s="344"/>
      <c r="Z2391" s="344"/>
      <c r="AA2391" s="344"/>
      <c r="AB2391" s="344"/>
      <c r="AC2391" s="344"/>
    </row>
    <row r="2392" spans="1:29" s="221" customFormat="1" ht="33" customHeight="1" x14ac:dyDescent="0.3">
      <c r="A2392" s="11">
        <v>34</v>
      </c>
      <c r="B2392" s="23">
        <v>44</v>
      </c>
      <c r="C2392" s="24" t="str">
        <f t="shared" si="57"/>
        <v>34.44</v>
      </c>
      <c r="D2392" s="18"/>
      <c r="E2392" s="64"/>
      <c r="F2392" s="84" t="s">
        <v>224</v>
      </c>
      <c r="G2392" s="336" t="s">
        <v>2341</v>
      </c>
      <c r="H2392" s="25" t="s">
        <v>1449</v>
      </c>
      <c r="I2392" s="87" t="s">
        <v>469</v>
      </c>
      <c r="J2392" s="87" t="s">
        <v>222</v>
      </c>
      <c r="K2392" s="123" t="s">
        <v>222</v>
      </c>
      <c r="L2392" s="4" t="s">
        <v>3</v>
      </c>
      <c r="M2392" s="61"/>
      <c r="N2392" s="61"/>
      <c r="O2392" s="61"/>
      <c r="P2392" s="61"/>
      <c r="Q2392" s="61"/>
      <c r="R2392" s="61" t="s">
        <v>5</v>
      </c>
      <c r="S2392" s="61"/>
      <c r="T2392" s="344"/>
      <c r="U2392" s="344"/>
      <c r="V2392" s="344"/>
      <c r="W2392" s="344"/>
      <c r="X2392" s="344"/>
      <c r="Y2392" s="344"/>
      <c r="Z2392" s="344"/>
      <c r="AA2392" s="344"/>
      <c r="AB2392" s="344"/>
      <c r="AC2392" s="344"/>
    </row>
    <row r="2393" spans="1:29" s="344" customFormat="1" ht="16.5" customHeight="1" x14ac:dyDescent="0.3">
      <c r="A2393" s="11">
        <v>34</v>
      </c>
      <c r="B2393" s="23">
        <v>45</v>
      </c>
      <c r="C2393" s="24" t="str">
        <f t="shared" si="57"/>
        <v>34.45</v>
      </c>
      <c r="D2393" s="18"/>
      <c r="E2393" s="64"/>
      <c r="F2393" s="84" t="s">
        <v>224</v>
      </c>
      <c r="G2393" s="336" t="s">
        <v>2342</v>
      </c>
      <c r="H2393" s="25" t="s">
        <v>1449</v>
      </c>
      <c r="I2393" s="87" t="s">
        <v>469</v>
      </c>
      <c r="J2393" s="87" t="s">
        <v>222</v>
      </c>
      <c r="K2393" s="123" t="s">
        <v>222</v>
      </c>
      <c r="L2393" s="4" t="s">
        <v>3</v>
      </c>
      <c r="M2393" s="61"/>
      <c r="N2393" s="61"/>
      <c r="O2393" s="61"/>
      <c r="P2393" s="61"/>
      <c r="Q2393" s="61"/>
      <c r="R2393" s="61" t="s">
        <v>5</v>
      </c>
      <c r="S2393" s="61"/>
    </row>
    <row r="2394" spans="1:29" s="221" customFormat="1" ht="33" customHeight="1" x14ac:dyDescent="0.3">
      <c r="A2394" s="11">
        <v>34</v>
      </c>
      <c r="B2394" s="23">
        <v>46</v>
      </c>
      <c r="C2394" s="24" t="str">
        <f t="shared" si="57"/>
        <v>34.46</v>
      </c>
      <c r="D2394" s="18"/>
      <c r="E2394" s="64"/>
      <c r="F2394" s="84" t="s">
        <v>418</v>
      </c>
      <c r="G2394" s="336" t="s">
        <v>445</v>
      </c>
      <c r="H2394" s="85" t="s">
        <v>2077</v>
      </c>
      <c r="I2394" s="86" t="s">
        <v>129</v>
      </c>
      <c r="J2394" s="94" t="s">
        <v>222</v>
      </c>
      <c r="K2394" s="123" t="s">
        <v>222</v>
      </c>
      <c r="L2394" s="4" t="s">
        <v>3</v>
      </c>
      <c r="M2394" s="61" t="s">
        <v>376</v>
      </c>
      <c r="N2394" s="61" t="s">
        <v>2344</v>
      </c>
      <c r="O2394" s="61" t="s">
        <v>2345</v>
      </c>
      <c r="P2394" s="61" t="s">
        <v>2345</v>
      </c>
      <c r="Q2394" s="61"/>
      <c r="R2394" s="61" t="s">
        <v>5</v>
      </c>
      <c r="S2394" s="61"/>
      <c r="T2394" s="344"/>
      <c r="U2394" s="344"/>
      <c r="V2394" s="344"/>
      <c r="W2394" s="344"/>
      <c r="X2394" s="344"/>
      <c r="Y2394" s="344"/>
      <c r="Z2394" s="344"/>
      <c r="AA2394" s="344"/>
      <c r="AB2394" s="344"/>
      <c r="AC2394" s="344"/>
    </row>
    <row r="2395" spans="1:29" s="344" customFormat="1" ht="16.5" customHeight="1" x14ac:dyDescent="0.3">
      <c r="A2395" s="11">
        <v>34</v>
      </c>
      <c r="B2395" s="23">
        <v>47</v>
      </c>
      <c r="C2395" s="24" t="str">
        <f t="shared" si="57"/>
        <v>34.47</v>
      </c>
      <c r="D2395" s="18"/>
      <c r="E2395" s="64"/>
      <c r="F2395" s="84" t="s">
        <v>418</v>
      </c>
      <c r="G2395" s="336" t="s">
        <v>445</v>
      </c>
      <c r="H2395" s="85" t="s">
        <v>2077</v>
      </c>
      <c r="I2395" s="86" t="s">
        <v>129</v>
      </c>
      <c r="J2395" s="94" t="s">
        <v>222</v>
      </c>
      <c r="K2395" s="123" t="s">
        <v>222</v>
      </c>
      <c r="L2395" s="4" t="s">
        <v>3</v>
      </c>
      <c r="M2395" s="61" t="s">
        <v>33</v>
      </c>
      <c r="N2395" s="61" t="s">
        <v>2347</v>
      </c>
      <c r="O2395" s="61" t="s">
        <v>2346</v>
      </c>
      <c r="P2395" s="61" t="s">
        <v>2345</v>
      </c>
      <c r="Q2395" s="61"/>
      <c r="R2395" s="61" t="s">
        <v>5</v>
      </c>
      <c r="S2395" s="61"/>
    </row>
    <row r="2396" spans="1:29" s="344" customFormat="1" ht="16.5" customHeight="1" x14ac:dyDescent="0.3">
      <c r="A2396" s="345"/>
      <c r="B2396" s="346"/>
      <c r="C2396" s="347"/>
      <c r="D2396" s="348"/>
      <c r="E2396" s="349"/>
      <c r="F2396" s="350"/>
      <c r="G2396" s="214"/>
      <c r="H2396" s="350"/>
      <c r="I2396" s="353"/>
      <c r="J2396" s="355" t="s">
        <v>222</v>
      </c>
      <c r="K2396" s="216" t="s">
        <v>222</v>
      </c>
      <c r="L2396" s="354"/>
      <c r="M2396" s="219"/>
      <c r="N2396" s="219"/>
      <c r="O2396" s="219"/>
      <c r="P2396" s="219"/>
      <c r="Q2396" s="219"/>
      <c r="R2396" s="219"/>
    </row>
    <row r="2397" spans="1:29" s="344" customFormat="1" ht="16.5" customHeight="1" x14ac:dyDescent="0.3">
      <c r="A2397" s="345"/>
      <c r="B2397" s="346"/>
      <c r="C2397" s="347"/>
      <c r="D2397" s="211"/>
      <c r="E2397" s="212"/>
      <c r="F2397" s="350"/>
      <c r="G2397" s="215"/>
      <c r="H2397" s="350"/>
      <c r="I2397" s="353"/>
      <c r="J2397" s="216" t="s">
        <v>222</v>
      </c>
      <c r="K2397" s="216" t="s">
        <v>222</v>
      </c>
      <c r="L2397" s="354"/>
      <c r="M2397" s="219"/>
      <c r="N2397" s="219"/>
      <c r="O2397" s="219"/>
      <c r="P2397" s="219"/>
      <c r="Q2397" s="219"/>
      <c r="R2397" s="219"/>
    </row>
    <row r="2398" spans="1:29" s="221" customFormat="1" ht="33" customHeight="1" x14ac:dyDescent="0.3">
      <c r="A2398" s="345"/>
      <c r="B2398" s="346"/>
      <c r="C2398" s="347"/>
      <c r="D2398" s="348"/>
      <c r="E2398" s="349"/>
      <c r="F2398" s="350"/>
      <c r="G2398" s="351"/>
      <c r="H2398" s="350"/>
      <c r="I2398" s="352"/>
      <c r="J2398" s="353" t="s">
        <v>222</v>
      </c>
      <c r="K2398" s="216" t="s">
        <v>222</v>
      </c>
      <c r="L2398" s="354"/>
      <c r="M2398" s="219"/>
      <c r="N2398" s="219"/>
      <c r="O2398" s="219"/>
      <c r="P2398" s="219"/>
      <c r="Q2398" s="219"/>
      <c r="R2398" s="219"/>
      <c r="S2398" s="344"/>
      <c r="T2398" s="344"/>
      <c r="U2398" s="344"/>
      <c r="V2398" s="344"/>
      <c r="W2398" s="344"/>
      <c r="X2398" s="344"/>
      <c r="Y2398" s="344"/>
      <c r="Z2398" s="344"/>
      <c r="AA2398" s="344"/>
      <c r="AB2398" s="344"/>
    </row>
    <row r="2399" spans="1:29" s="1" customFormat="1" ht="15" customHeight="1" x14ac:dyDescent="0.3">
      <c r="A2399" s="50" t="s">
        <v>6</v>
      </c>
      <c r="B2399" s="51" t="s">
        <v>7</v>
      </c>
      <c r="C2399" s="31" t="s">
        <v>0</v>
      </c>
      <c r="D2399" s="31" t="s">
        <v>22</v>
      </c>
      <c r="E2399" s="52" t="s">
        <v>99</v>
      </c>
      <c r="F2399" s="52" t="s">
        <v>216</v>
      </c>
      <c r="G2399" s="133" t="s">
        <v>217</v>
      </c>
      <c r="H2399" s="52" t="s">
        <v>28</v>
      </c>
      <c r="I2399" s="31" t="s">
        <v>218</v>
      </c>
      <c r="J2399" s="31" t="s">
        <v>219</v>
      </c>
      <c r="K2399" s="31" t="s">
        <v>220</v>
      </c>
      <c r="L2399" s="31" t="s">
        <v>1</v>
      </c>
      <c r="M2399" s="62" t="s">
        <v>1388</v>
      </c>
      <c r="N2399" s="62" t="s">
        <v>1389</v>
      </c>
      <c r="O2399" s="62" t="s">
        <v>2341</v>
      </c>
      <c r="P2399" s="62" t="s">
        <v>2342</v>
      </c>
      <c r="Q2399" s="62" t="s">
        <v>234</v>
      </c>
      <c r="R2399" s="62" t="s">
        <v>233</v>
      </c>
      <c r="S2399" s="62" t="s">
        <v>2057</v>
      </c>
      <c r="T2399" s="57"/>
      <c r="U2399" s="57"/>
      <c r="V2399" s="57"/>
      <c r="W2399" s="57"/>
      <c r="X2399" s="57"/>
      <c r="Y2399" s="57"/>
    </row>
    <row r="2400" spans="1:29" s="1" customFormat="1" ht="33" customHeight="1" x14ac:dyDescent="0.3">
      <c r="A2400" s="11">
        <v>35</v>
      </c>
      <c r="B2400" s="23">
        <v>1</v>
      </c>
      <c r="C2400" s="24" t="str">
        <f t="shared" ref="C2400:C2446" si="58">IF(B2400&lt;10,_xlfn.CONCAT(A2400,".0",B2400),_xlfn.CONCAT(A2400,".",B2400))</f>
        <v>35.01</v>
      </c>
      <c r="D2400" s="18" t="s">
        <v>2148</v>
      </c>
      <c r="E2400" s="64" t="s">
        <v>2161</v>
      </c>
      <c r="F2400" s="85" t="s">
        <v>225</v>
      </c>
      <c r="G2400" s="336" t="s">
        <v>1388</v>
      </c>
      <c r="H2400" s="85" t="s">
        <v>2340</v>
      </c>
      <c r="I2400" s="94" t="s">
        <v>376</v>
      </c>
      <c r="J2400" s="94" t="s">
        <v>222</v>
      </c>
      <c r="K2400" s="123" t="s">
        <v>222</v>
      </c>
      <c r="L2400" s="4" t="s">
        <v>3</v>
      </c>
      <c r="M2400" s="61" t="s">
        <v>376</v>
      </c>
      <c r="N2400" s="61" t="s">
        <v>2344</v>
      </c>
      <c r="O2400" s="61" t="s">
        <v>2345</v>
      </c>
      <c r="P2400" s="61" t="s">
        <v>2345</v>
      </c>
      <c r="Q2400" s="61"/>
      <c r="R2400" s="61" t="s">
        <v>5</v>
      </c>
      <c r="S2400" s="61"/>
      <c r="T2400" s="57"/>
      <c r="U2400" s="57"/>
      <c r="V2400" s="57"/>
      <c r="W2400" s="57"/>
      <c r="X2400" s="57"/>
      <c r="Y2400" s="57"/>
    </row>
    <row r="2401" spans="1:25" s="1" customFormat="1" ht="33" customHeight="1" x14ac:dyDescent="0.3">
      <c r="A2401" s="11">
        <v>35</v>
      </c>
      <c r="B2401" s="23">
        <v>2</v>
      </c>
      <c r="C2401" s="24" t="str">
        <f t="shared" si="58"/>
        <v>35.02</v>
      </c>
      <c r="D2401" s="18" t="s">
        <v>2148</v>
      </c>
      <c r="E2401" s="64" t="s">
        <v>2161</v>
      </c>
      <c r="F2401" s="85" t="s">
        <v>225</v>
      </c>
      <c r="G2401" s="336" t="s">
        <v>1389</v>
      </c>
      <c r="H2401" s="85" t="s">
        <v>2340</v>
      </c>
      <c r="I2401" s="94" t="s">
        <v>2344</v>
      </c>
      <c r="J2401" s="94" t="s">
        <v>222</v>
      </c>
      <c r="K2401" s="123" t="s">
        <v>222</v>
      </c>
      <c r="L2401" s="4" t="s">
        <v>3</v>
      </c>
      <c r="M2401" s="61" t="s">
        <v>376</v>
      </c>
      <c r="N2401" s="61" t="s">
        <v>2344</v>
      </c>
      <c r="O2401" s="61" t="s">
        <v>2345</v>
      </c>
      <c r="P2401" s="61" t="s">
        <v>2345</v>
      </c>
      <c r="Q2401" s="61"/>
      <c r="R2401" s="61" t="s">
        <v>5</v>
      </c>
      <c r="S2401" s="61"/>
      <c r="T2401" s="57"/>
      <c r="U2401" s="57"/>
      <c r="V2401" s="57"/>
      <c r="W2401" s="57"/>
      <c r="X2401" s="57"/>
      <c r="Y2401" s="57"/>
    </row>
    <row r="2402" spans="1:25" s="1" customFormat="1" ht="33" customHeight="1" x14ac:dyDescent="0.3">
      <c r="A2402" s="11">
        <v>35</v>
      </c>
      <c r="B2402" s="23">
        <v>3</v>
      </c>
      <c r="C2402" s="24" t="str">
        <f t="shared" si="58"/>
        <v>35.03</v>
      </c>
      <c r="D2402" s="18" t="s">
        <v>2148</v>
      </c>
      <c r="E2402" s="64" t="s">
        <v>2161</v>
      </c>
      <c r="F2402" s="85" t="s">
        <v>225</v>
      </c>
      <c r="G2402" s="336" t="s">
        <v>2341</v>
      </c>
      <c r="H2402" s="85" t="s">
        <v>2340</v>
      </c>
      <c r="I2402" s="94" t="s">
        <v>2345</v>
      </c>
      <c r="J2402" s="94" t="s">
        <v>222</v>
      </c>
      <c r="K2402" s="123" t="s">
        <v>222</v>
      </c>
      <c r="L2402" s="4" t="s">
        <v>3</v>
      </c>
      <c r="M2402" s="61" t="s">
        <v>376</v>
      </c>
      <c r="N2402" s="61" t="s">
        <v>2344</v>
      </c>
      <c r="O2402" s="61" t="s">
        <v>2345</v>
      </c>
      <c r="P2402" s="61" t="s">
        <v>2345</v>
      </c>
      <c r="Q2402" s="61"/>
      <c r="R2402" s="61" t="s">
        <v>5</v>
      </c>
      <c r="S2402" s="61"/>
      <c r="T2402" s="57"/>
      <c r="U2402" s="57"/>
      <c r="V2402" s="57"/>
      <c r="W2402" s="57"/>
      <c r="X2402" s="57"/>
      <c r="Y2402" s="57"/>
    </row>
    <row r="2403" spans="1:25" s="1" customFormat="1" ht="33" customHeight="1" x14ac:dyDescent="0.3">
      <c r="A2403" s="11">
        <v>35</v>
      </c>
      <c r="B2403" s="23">
        <v>4</v>
      </c>
      <c r="C2403" s="24" t="str">
        <f t="shared" si="58"/>
        <v>35.04</v>
      </c>
      <c r="D2403" s="18" t="s">
        <v>2148</v>
      </c>
      <c r="E2403" s="64" t="s">
        <v>2161</v>
      </c>
      <c r="F2403" s="85" t="s">
        <v>225</v>
      </c>
      <c r="G2403" s="336" t="s">
        <v>2342</v>
      </c>
      <c r="H2403" s="85" t="s">
        <v>2340</v>
      </c>
      <c r="I2403" s="94" t="s">
        <v>2345</v>
      </c>
      <c r="J2403" s="94" t="s">
        <v>222</v>
      </c>
      <c r="K2403" s="123" t="s">
        <v>222</v>
      </c>
      <c r="L2403" s="4" t="s">
        <v>3</v>
      </c>
      <c r="M2403" s="61" t="s">
        <v>376</v>
      </c>
      <c r="N2403" s="61" t="s">
        <v>2344</v>
      </c>
      <c r="O2403" s="61" t="s">
        <v>2345</v>
      </c>
      <c r="P2403" s="61" t="s">
        <v>2345</v>
      </c>
      <c r="Q2403" s="61"/>
      <c r="R2403" s="61" t="s">
        <v>5</v>
      </c>
      <c r="S2403" s="61"/>
      <c r="T2403" s="57"/>
      <c r="U2403" s="57"/>
      <c r="V2403" s="57"/>
      <c r="W2403" s="57"/>
      <c r="X2403" s="57"/>
      <c r="Y2403" s="57"/>
    </row>
    <row r="2404" spans="1:25" s="1" customFormat="1" ht="33" customHeight="1" x14ac:dyDescent="0.3">
      <c r="A2404" s="11">
        <v>35</v>
      </c>
      <c r="B2404" s="23">
        <v>5</v>
      </c>
      <c r="C2404" s="24" t="str">
        <f t="shared" si="58"/>
        <v>35.05</v>
      </c>
      <c r="D2404" s="18" t="s">
        <v>2148</v>
      </c>
      <c r="E2404" s="64" t="s">
        <v>2161</v>
      </c>
      <c r="F2404" s="85" t="s">
        <v>226</v>
      </c>
      <c r="G2404" s="336" t="s">
        <v>308</v>
      </c>
      <c r="H2404" s="85" t="s">
        <v>2340</v>
      </c>
      <c r="I2404" s="94" t="s">
        <v>240</v>
      </c>
      <c r="J2404" s="94" t="s">
        <v>222</v>
      </c>
      <c r="K2404" s="123" t="s">
        <v>222</v>
      </c>
      <c r="L2404" s="4" t="s">
        <v>3</v>
      </c>
      <c r="M2404" s="61" t="s">
        <v>376</v>
      </c>
      <c r="N2404" s="61" t="s">
        <v>2344</v>
      </c>
      <c r="O2404" s="61" t="s">
        <v>2345</v>
      </c>
      <c r="P2404" s="61" t="s">
        <v>2345</v>
      </c>
      <c r="Q2404" s="61" t="s">
        <v>2367</v>
      </c>
      <c r="R2404" s="61" t="s">
        <v>5</v>
      </c>
      <c r="S2404" s="61"/>
      <c r="T2404" s="57"/>
      <c r="U2404" s="57"/>
      <c r="V2404" s="57"/>
      <c r="W2404" s="57"/>
      <c r="X2404" s="57"/>
      <c r="Y2404" s="57"/>
    </row>
    <row r="2405" spans="1:25" s="1" customFormat="1" ht="33" customHeight="1" x14ac:dyDescent="0.3">
      <c r="A2405" s="11">
        <v>35</v>
      </c>
      <c r="B2405" s="23">
        <v>6</v>
      </c>
      <c r="C2405" s="24" t="str">
        <f t="shared" si="58"/>
        <v>35.06</v>
      </c>
      <c r="D2405" s="18" t="s">
        <v>2148</v>
      </c>
      <c r="E2405" s="64" t="s">
        <v>2161</v>
      </c>
      <c r="F2405" s="85" t="s">
        <v>226</v>
      </c>
      <c r="G2405" s="336" t="s">
        <v>2352</v>
      </c>
      <c r="H2405" s="85" t="s">
        <v>2340</v>
      </c>
      <c r="I2405" s="94" t="s">
        <v>376</v>
      </c>
      <c r="J2405" s="94" t="s">
        <v>222</v>
      </c>
      <c r="K2405" s="123" t="s">
        <v>222</v>
      </c>
      <c r="L2405" s="4" t="s">
        <v>3</v>
      </c>
      <c r="M2405" s="61" t="s">
        <v>376</v>
      </c>
      <c r="N2405" s="61" t="s">
        <v>2344</v>
      </c>
      <c r="O2405" s="61" t="s">
        <v>2345</v>
      </c>
      <c r="P2405" s="61" t="s">
        <v>2345</v>
      </c>
      <c r="Q2405" s="61" t="s">
        <v>2367</v>
      </c>
      <c r="R2405" s="61" t="s">
        <v>5</v>
      </c>
      <c r="S2405" s="61"/>
      <c r="T2405" s="57"/>
      <c r="U2405" s="57"/>
      <c r="V2405" s="57"/>
      <c r="W2405" s="57"/>
      <c r="X2405" s="57"/>
      <c r="Y2405" s="57"/>
    </row>
    <row r="2406" spans="1:25" s="1" customFormat="1" ht="33" customHeight="1" x14ac:dyDescent="0.3">
      <c r="A2406" s="11">
        <v>35</v>
      </c>
      <c r="B2406" s="23">
        <v>7</v>
      </c>
      <c r="C2406" s="24" t="str">
        <f t="shared" si="58"/>
        <v>35.07</v>
      </c>
      <c r="D2406" s="18" t="s">
        <v>2148</v>
      </c>
      <c r="E2406" s="64" t="s">
        <v>2161</v>
      </c>
      <c r="F2406" s="85" t="s">
        <v>226</v>
      </c>
      <c r="G2406" s="336" t="s">
        <v>2353</v>
      </c>
      <c r="H2406" s="85" t="s">
        <v>2340</v>
      </c>
      <c r="I2406" s="94" t="s">
        <v>2344</v>
      </c>
      <c r="J2406" s="94" t="s">
        <v>222</v>
      </c>
      <c r="K2406" s="123" t="s">
        <v>222</v>
      </c>
      <c r="L2406" s="4" t="s">
        <v>3</v>
      </c>
      <c r="M2406" s="61" t="s">
        <v>376</v>
      </c>
      <c r="N2406" s="61" t="s">
        <v>2344</v>
      </c>
      <c r="O2406" s="61" t="s">
        <v>2345</v>
      </c>
      <c r="P2406" s="61" t="s">
        <v>2345</v>
      </c>
      <c r="Q2406" s="61" t="s">
        <v>2367</v>
      </c>
      <c r="R2406" s="61" t="s">
        <v>5</v>
      </c>
      <c r="S2406" s="61"/>
      <c r="T2406" s="57"/>
      <c r="U2406" s="57"/>
      <c r="V2406" s="57"/>
      <c r="W2406" s="57"/>
      <c r="X2406" s="57"/>
      <c r="Y2406" s="57"/>
    </row>
    <row r="2407" spans="1:25" s="1" customFormat="1" ht="33" customHeight="1" x14ac:dyDescent="0.3">
      <c r="A2407" s="11">
        <v>35</v>
      </c>
      <c r="B2407" s="23">
        <v>8</v>
      </c>
      <c r="C2407" s="24" t="str">
        <f t="shared" si="58"/>
        <v>35.08</v>
      </c>
      <c r="D2407" s="18" t="s">
        <v>2148</v>
      </c>
      <c r="E2407" s="64" t="s">
        <v>2161</v>
      </c>
      <c r="F2407" s="85" t="s">
        <v>225</v>
      </c>
      <c r="G2407" s="336" t="s">
        <v>1388</v>
      </c>
      <c r="H2407" s="85" t="s">
        <v>2340</v>
      </c>
      <c r="I2407" s="94" t="s">
        <v>33</v>
      </c>
      <c r="J2407" s="94" t="s">
        <v>222</v>
      </c>
      <c r="K2407" s="123" t="s">
        <v>222</v>
      </c>
      <c r="L2407" s="4" t="s">
        <v>3</v>
      </c>
      <c r="M2407" s="61" t="s">
        <v>33</v>
      </c>
      <c r="N2407" s="61" t="s">
        <v>2347</v>
      </c>
      <c r="O2407" s="61" t="s">
        <v>2345</v>
      </c>
      <c r="P2407" s="61" t="s">
        <v>2345</v>
      </c>
      <c r="Q2407" s="61"/>
      <c r="R2407" s="61" t="s">
        <v>5</v>
      </c>
      <c r="S2407" s="61"/>
      <c r="T2407" s="57"/>
      <c r="U2407" s="57"/>
      <c r="V2407" s="57"/>
      <c r="W2407" s="57"/>
      <c r="X2407" s="57"/>
      <c r="Y2407" s="57"/>
    </row>
    <row r="2408" spans="1:25" s="1" customFormat="1" ht="33" customHeight="1" x14ac:dyDescent="0.3">
      <c r="A2408" s="11">
        <v>35</v>
      </c>
      <c r="B2408" s="23">
        <v>9</v>
      </c>
      <c r="C2408" s="24" t="str">
        <f t="shared" si="58"/>
        <v>35.09</v>
      </c>
      <c r="D2408" s="18" t="s">
        <v>2148</v>
      </c>
      <c r="E2408" s="64" t="s">
        <v>2161</v>
      </c>
      <c r="F2408" s="85" t="s">
        <v>225</v>
      </c>
      <c r="G2408" s="336" t="s">
        <v>1389</v>
      </c>
      <c r="H2408" s="85" t="s">
        <v>2340</v>
      </c>
      <c r="I2408" s="94" t="s">
        <v>2347</v>
      </c>
      <c r="J2408" s="94" t="s">
        <v>222</v>
      </c>
      <c r="K2408" s="123" t="s">
        <v>222</v>
      </c>
      <c r="L2408" s="4" t="s">
        <v>3</v>
      </c>
      <c r="M2408" s="61" t="s">
        <v>33</v>
      </c>
      <c r="N2408" s="61" t="s">
        <v>2347</v>
      </c>
      <c r="O2408" s="61" t="s">
        <v>2345</v>
      </c>
      <c r="P2408" s="61" t="s">
        <v>2345</v>
      </c>
      <c r="Q2408" s="61"/>
      <c r="R2408" s="61" t="s">
        <v>5</v>
      </c>
      <c r="S2408" s="61"/>
      <c r="T2408" s="57"/>
      <c r="U2408" s="57"/>
      <c r="V2408" s="57"/>
      <c r="W2408" s="57"/>
      <c r="X2408" s="57"/>
      <c r="Y2408" s="57"/>
    </row>
    <row r="2409" spans="1:25" s="1" customFormat="1" ht="33" customHeight="1" x14ac:dyDescent="0.3">
      <c r="A2409" s="11">
        <v>35</v>
      </c>
      <c r="B2409" s="23">
        <v>10</v>
      </c>
      <c r="C2409" s="24" t="str">
        <f t="shared" si="58"/>
        <v>35.10</v>
      </c>
      <c r="D2409" s="18" t="s">
        <v>2148</v>
      </c>
      <c r="E2409" s="64" t="s">
        <v>2161</v>
      </c>
      <c r="F2409" s="85" t="s">
        <v>225</v>
      </c>
      <c r="G2409" s="336" t="s">
        <v>2341</v>
      </c>
      <c r="H2409" s="85" t="s">
        <v>2340</v>
      </c>
      <c r="I2409" s="94" t="s">
        <v>2345</v>
      </c>
      <c r="J2409" s="94" t="s">
        <v>222</v>
      </c>
      <c r="K2409" s="123" t="s">
        <v>222</v>
      </c>
      <c r="L2409" s="4" t="s">
        <v>3</v>
      </c>
      <c r="M2409" s="61" t="s">
        <v>33</v>
      </c>
      <c r="N2409" s="61" t="s">
        <v>2347</v>
      </c>
      <c r="O2409" s="61" t="s">
        <v>2345</v>
      </c>
      <c r="P2409" s="61" t="s">
        <v>2345</v>
      </c>
      <c r="Q2409" s="61"/>
      <c r="R2409" s="61" t="s">
        <v>5</v>
      </c>
      <c r="S2409" s="61"/>
      <c r="T2409" s="57"/>
      <c r="U2409" s="57"/>
      <c r="V2409" s="57"/>
      <c r="W2409" s="57"/>
      <c r="X2409" s="57"/>
      <c r="Y2409" s="57"/>
    </row>
    <row r="2410" spans="1:25" s="1" customFormat="1" ht="33" customHeight="1" x14ac:dyDescent="0.3">
      <c r="A2410" s="11">
        <v>35</v>
      </c>
      <c r="B2410" s="23">
        <v>11</v>
      </c>
      <c r="C2410" s="24" t="str">
        <f t="shared" si="58"/>
        <v>35.11</v>
      </c>
      <c r="D2410" s="18" t="s">
        <v>2148</v>
      </c>
      <c r="E2410" s="64" t="s">
        <v>2161</v>
      </c>
      <c r="F2410" s="85" t="s">
        <v>225</v>
      </c>
      <c r="G2410" s="336" t="s">
        <v>2342</v>
      </c>
      <c r="H2410" s="85" t="s">
        <v>2340</v>
      </c>
      <c r="I2410" s="94" t="s">
        <v>2345</v>
      </c>
      <c r="J2410" s="94" t="s">
        <v>222</v>
      </c>
      <c r="K2410" s="123" t="s">
        <v>222</v>
      </c>
      <c r="L2410" s="4" t="s">
        <v>3</v>
      </c>
      <c r="M2410" s="61" t="s">
        <v>33</v>
      </c>
      <c r="N2410" s="61" t="s">
        <v>2347</v>
      </c>
      <c r="O2410" s="61" t="s">
        <v>2345</v>
      </c>
      <c r="P2410" s="61" t="s">
        <v>2345</v>
      </c>
      <c r="Q2410" s="61"/>
      <c r="R2410" s="61" t="s">
        <v>5</v>
      </c>
      <c r="S2410" s="61"/>
      <c r="T2410" s="57"/>
      <c r="U2410" s="57"/>
      <c r="V2410" s="57"/>
      <c r="W2410" s="57"/>
      <c r="X2410" s="57"/>
      <c r="Y2410" s="57"/>
    </row>
    <row r="2411" spans="1:25" s="1" customFormat="1" ht="33" customHeight="1" x14ac:dyDescent="0.3">
      <c r="A2411" s="11">
        <v>35</v>
      </c>
      <c r="B2411" s="23">
        <v>12</v>
      </c>
      <c r="C2411" s="24" t="str">
        <f t="shared" si="58"/>
        <v>35.12</v>
      </c>
      <c r="D2411" s="18" t="s">
        <v>2148</v>
      </c>
      <c r="E2411" s="64" t="s">
        <v>2161</v>
      </c>
      <c r="F2411" s="85" t="s">
        <v>226</v>
      </c>
      <c r="G2411" s="336" t="s">
        <v>308</v>
      </c>
      <c r="H2411" s="85" t="s">
        <v>2340</v>
      </c>
      <c r="I2411" s="94" t="s">
        <v>240</v>
      </c>
      <c r="J2411" s="94" t="s">
        <v>222</v>
      </c>
      <c r="K2411" s="123" t="s">
        <v>222</v>
      </c>
      <c r="L2411" s="4" t="s">
        <v>3</v>
      </c>
      <c r="M2411" s="61" t="s">
        <v>33</v>
      </c>
      <c r="N2411" s="61" t="s">
        <v>2347</v>
      </c>
      <c r="O2411" s="61" t="s">
        <v>2345</v>
      </c>
      <c r="P2411" s="61" t="s">
        <v>2345</v>
      </c>
      <c r="Q2411" s="61" t="s">
        <v>2367</v>
      </c>
      <c r="R2411" s="61" t="s">
        <v>5</v>
      </c>
      <c r="S2411" s="61"/>
      <c r="T2411" s="57"/>
      <c r="U2411" s="57"/>
      <c r="V2411" s="57"/>
      <c r="W2411" s="57"/>
      <c r="X2411" s="57"/>
      <c r="Y2411" s="57"/>
    </row>
    <row r="2412" spans="1:25" s="1" customFormat="1" ht="33" customHeight="1" x14ac:dyDescent="0.3">
      <c r="A2412" s="11">
        <v>35</v>
      </c>
      <c r="B2412" s="23">
        <v>13</v>
      </c>
      <c r="C2412" s="24" t="str">
        <f t="shared" si="58"/>
        <v>35.13</v>
      </c>
      <c r="D2412" s="18" t="s">
        <v>2148</v>
      </c>
      <c r="E2412" s="64" t="s">
        <v>2161</v>
      </c>
      <c r="F2412" s="85" t="s">
        <v>226</v>
      </c>
      <c r="G2412" s="336" t="s">
        <v>2352</v>
      </c>
      <c r="H2412" s="85" t="s">
        <v>2340</v>
      </c>
      <c r="I2412" s="94" t="s">
        <v>33</v>
      </c>
      <c r="J2412" s="94" t="s">
        <v>222</v>
      </c>
      <c r="K2412" s="123" t="s">
        <v>222</v>
      </c>
      <c r="L2412" s="4" t="s">
        <v>3</v>
      </c>
      <c r="M2412" s="61" t="s">
        <v>33</v>
      </c>
      <c r="N2412" s="61" t="s">
        <v>2347</v>
      </c>
      <c r="O2412" s="61" t="s">
        <v>2345</v>
      </c>
      <c r="P2412" s="61" t="s">
        <v>2345</v>
      </c>
      <c r="Q2412" s="61" t="s">
        <v>2367</v>
      </c>
      <c r="R2412" s="61" t="s">
        <v>5</v>
      </c>
      <c r="S2412" s="61"/>
      <c r="T2412" s="57"/>
      <c r="U2412" s="57"/>
      <c r="V2412" s="57"/>
      <c r="W2412" s="57"/>
      <c r="X2412" s="57"/>
      <c r="Y2412" s="57"/>
    </row>
    <row r="2413" spans="1:25" s="1" customFormat="1" ht="33" customHeight="1" x14ac:dyDescent="0.3">
      <c r="A2413" s="11">
        <v>35</v>
      </c>
      <c r="B2413" s="23">
        <v>14</v>
      </c>
      <c r="C2413" s="24" t="str">
        <f t="shared" si="58"/>
        <v>35.14</v>
      </c>
      <c r="D2413" s="18" t="s">
        <v>2148</v>
      </c>
      <c r="E2413" s="64" t="s">
        <v>2161</v>
      </c>
      <c r="F2413" s="85" t="s">
        <v>226</v>
      </c>
      <c r="G2413" s="336" t="s">
        <v>2353</v>
      </c>
      <c r="H2413" s="85" t="s">
        <v>2340</v>
      </c>
      <c r="I2413" s="94" t="s">
        <v>2347</v>
      </c>
      <c r="J2413" s="94" t="s">
        <v>222</v>
      </c>
      <c r="K2413" s="123" t="s">
        <v>222</v>
      </c>
      <c r="L2413" s="4" t="s">
        <v>3</v>
      </c>
      <c r="M2413" s="61" t="s">
        <v>33</v>
      </c>
      <c r="N2413" s="61" t="s">
        <v>2347</v>
      </c>
      <c r="O2413" s="61" t="s">
        <v>2345</v>
      </c>
      <c r="P2413" s="61" t="s">
        <v>2345</v>
      </c>
      <c r="Q2413" s="61" t="s">
        <v>2367</v>
      </c>
      <c r="R2413" s="61" t="s">
        <v>5</v>
      </c>
      <c r="S2413" s="61"/>
      <c r="T2413" s="57"/>
      <c r="U2413" s="57"/>
      <c r="V2413" s="57"/>
      <c r="W2413" s="57"/>
      <c r="X2413" s="57"/>
      <c r="Y2413" s="57"/>
    </row>
    <row r="2414" spans="1:25" s="1" customFormat="1" ht="33" customHeight="1" x14ac:dyDescent="0.3">
      <c r="A2414" s="11">
        <v>35</v>
      </c>
      <c r="B2414" s="23">
        <v>15</v>
      </c>
      <c r="C2414" s="24" t="str">
        <f t="shared" si="58"/>
        <v>35.15</v>
      </c>
      <c r="D2414" s="18" t="s">
        <v>2148</v>
      </c>
      <c r="E2414" s="64" t="s">
        <v>2161</v>
      </c>
      <c r="F2414" s="85" t="s">
        <v>225</v>
      </c>
      <c r="G2414" s="336" t="s">
        <v>1388</v>
      </c>
      <c r="H2414" s="85" t="s">
        <v>2340</v>
      </c>
      <c r="I2414" s="94" t="s">
        <v>33</v>
      </c>
      <c r="J2414" s="94" t="s">
        <v>222</v>
      </c>
      <c r="K2414" s="123" t="s">
        <v>222</v>
      </c>
      <c r="L2414" s="4" t="s">
        <v>3</v>
      </c>
      <c r="M2414" s="61" t="s">
        <v>33</v>
      </c>
      <c r="N2414" s="61" t="s">
        <v>2347</v>
      </c>
      <c r="O2414" s="61" t="s">
        <v>2346</v>
      </c>
      <c r="P2414" s="61" t="s">
        <v>2345</v>
      </c>
      <c r="Q2414" s="61"/>
      <c r="R2414" s="61" t="s">
        <v>5</v>
      </c>
      <c r="S2414" s="61"/>
      <c r="T2414" s="57"/>
      <c r="U2414" s="57"/>
      <c r="V2414" s="57"/>
      <c r="W2414" s="57"/>
      <c r="X2414" s="57"/>
      <c r="Y2414" s="57"/>
    </row>
    <row r="2415" spans="1:25" s="1" customFormat="1" ht="33" customHeight="1" x14ac:dyDescent="0.3">
      <c r="A2415" s="11">
        <v>35</v>
      </c>
      <c r="B2415" s="23">
        <v>16</v>
      </c>
      <c r="C2415" s="24" t="str">
        <f t="shared" si="58"/>
        <v>35.16</v>
      </c>
      <c r="D2415" s="18" t="s">
        <v>2148</v>
      </c>
      <c r="E2415" s="64" t="s">
        <v>2161</v>
      </c>
      <c r="F2415" s="85" t="s">
        <v>225</v>
      </c>
      <c r="G2415" s="336" t="s">
        <v>1389</v>
      </c>
      <c r="H2415" s="85" t="s">
        <v>2340</v>
      </c>
      <c r="I2415" s="94" t="s">
        <v>2347</v>
      </c>
      <c r="J2415" s="94" t="s">
        <v>222</v>
      </c>
      <c r="K2415" s="123" t="s">
        <v>222</v>
      </c>
      <c r="L2415" s="4" t="s">
        <v>3</v>
      </c>
      <c r="M2415" s="61" t="s">
        <v>33</v>
      </c>
      <c r="N2415" s="61" t="s">
        <v>2347</v>
      </c>
      <c r="O2415" s="61" t="s">
        <v>2346</v>
      </c>
      <c r="P2415" s="61" t="s">
        <v>2345</v>
      </c>
      <c r="Q2415" s="61"/>
      <c r="R2415" s="61" t="s">
        <v>5</v>
      </c>
      <c r="S2415" s="61"/>
      <c r="T2415" s="57"/>
      <c r="U2415" s="57"/>
      <c r="V2415" s="57"/>
      <c r="W2415" s="57"/>
      <c r="X2415" s="57"/>
      <c r="Y2415" s="57"/>
    </row>
    <row r="2416" spans="1:25" s="1" customFormat="1" ht="33" customHeight="1" x14ac:dyDescent="0.3">
      <c r="A2416" s="11">
        <v>35</v>
      </c>
      <c r="B2416" s="23">
        <v>17</v>
      </c>
      <c r="C2416" s="24" t="str">
        <f t="shared" si="58"/>
        <v>35.17</v>
      </c>
      <c r="D2416" s="18" t="s">
        <v>2148</v>
      </c>
      <c r="E2416" s="64" t="s">
        <v>2161</v>
      </c>
      <c r="F2416" s="85" t="s">
        <v>225</v>
      </c>
      <c r="G2416" s="336" t="s">
        <v>2341</v>
      </c>
      <c r="H2416" s="85" t="s">
        <v>2340</v>
      </c>
      <c r="I2416" s="94" t="s">
        <v>2346</v>
      </c>
      <c r="J2416" s="94" t="s">
        <v>222</v>
      </c>
      <c r="K2416" s="123" t="s">
        <v>222</v>
      </c>
      <c r="L2416" s="4" t="s">
        <v>3</v>
      </c>
      <c r="M2416" s="61" t="s">
        <v>33</v>
      </c>
      <c r="N2416" s="61" t="s">
        <v>2347</v>
      </c>
      <c r="O2416" s="61" t="s">
        <v>2346</v>
      </c>
      <c r="P2416" s="61" t="s">
        <v>2345</v>
      </c>
      <c r="Q2416" s="61"/>
      <c r="R2416" s="61" t="s">
        <v>5</v>
      </c>
      <c r="S2416" s="61"/>
      <c r="T2416" s="57"/>
      <c r="U2416" s="57"/>
      <c r="V2416" s="57"/>
      <c r="W2416" s="57"/>
      <c r="X2416" s="57"/>
      <c r="Y2416" s="57"/>
    </row>
    <row r="2417" spans="1:25" s="1" customFormat="1" ht="33" customHeight="1" x14ac:dyDescent="0.3">
      <c r="A2417" s="11">
        <v>35</v>
      </c>
      <c r="B2417" s="23">
        <v>18</v>
      </c>
      <c r="C2417" s="24" t="str">
        <f t="shared" si="58"/>
        <v>35.18</v>
      </c>
      <c r="D2417" s="18" t="s">
        <v>2148</v>
      </c>
      <c r="E2417" s="64" t="s">
        <v>2161</v>
      </c>
      <c r="F2417" s="85" t="s">
        <v>225</v>
      </c>
      <c r="G2417" s="336" t="s">
        <v>2342</v>
      </c>
      <c r="H2417" s="85" t="s">
        <v>2340</v>
      </c>
      <c r="I2417" s="94" t="s">
        <v>2345</v>
      </c>
      <c r="J2417" s="94" t="s">
        <v>222</v>
      </c>
      <c r="K2417" s="123" t="s">
        <v>222</v>
      </c>
      <c r="L2417" s="4" t="s">
        <v>3</v>
      </c>
      <c r="M2417" s="61" t="s">
        <v>33</v>
      </c>
      <c r="N2417" s="61" t="s">
        <v>2347</v>
      </c>
      <c r="O2417" s="61" t="s">
        <v>2346</v>
      </c>
      <c r="P2417" s="61" t="s">
        <v>2345</v>
      </c>
      <c r="Q2417" s="61"/>
      <c r="R2417" s="61" t="s">
        <v>5</v>
      </c>
      <c r="S2417" s="61"/>
      <c r="T2417" s="57"/>
      <c r="U2417" s="57"/>
      <c r="V2417" s="57"/>
      <c r="W2417" s="57"/>
      <c r="X2417" s="57"/>
      <c r="Y2417" s="57"/>
    </row>
    <row r="2418" spans="1:25" s="1" customFormat="1" ht="33" customHeight="1" x14ac:dyDescent="0.3">
      <c r="A2418" s="11">
        <v>35</v>
      </c>
      <c r="B2418" s="23">
        <v>19</v>
      </c>
      <c r="C2418" s="24" t="str">
        <f t="shared" si="58"/>
        <v>35.19</v>
      </c>
      <c r="D2418" s="18" t="s">
        <v>2148</v>
      </c>
      <c r="E2418" s="64" t="s">
        <v>2161</v>
      </c>
      <c r="F2418" s="85" t="s">
        <v>226</v>
      </c>
      <c r="G2418" s="336" t="s">
        <v>308</v>
      </c>
      <c r="H2418" s="85" t="s">
        <v>2340</v>
      </c>
      <c r="I2418" s="94" t="s">
        <v>240</v>
      </c>
      <c r="J2418" s="94" t="s">
        <v>222</v>
      </c>
      <c r="K2418" s="123" t="s">
        <v>222</v>
      </c>
      <c r="L2418" s="4" t="s">
        <v>3</v>
      </c>
      <c r="M2418" s="61" t="s">
        <v>33</v>
      </c>
      <c r="N2418" s="61" t="s">
        <v>2347</v>
      </c>
      <c r="O2418" s="61" t="s">
        <v>2346</v>
      </c>
      <c r="P2418" s="61" t="s">
        <v>2345</v>
      </c>
      <c r="Q2418" s="61" t="s">
        <v>2367</v>
      </c>
      <c r="R2418" s="61" t="s">
        <v>5</v>
      </c>
      <c r="S2418" s="61"/>
      <c r="T2418" s="57"/>
      <c r="U2418" s="57"/>
      <c r="V2418" s="57"/>
      <c r="W2418" s="57"/>
      <c r="X2418" s="57"/>
      <c r="Y2418" s="57"/>
    </row>
    <row r="2419" spans="1:25" s="1" customFormat="1" ht="33" customHeight="1" x14ac:dyDescent="0.3">
      <c r="A2419" s="11">
        <v>35</v>
      </c>
      <c r="B2419" s="23">
        <v>20</v>
      </c>
      <c r="C2419" s="24" t="str">
        <f t="shared" si="58"/>
        <v>35.20</v>
      </c>
      <c r="D2419" s="18" t="s">
        <v>2148</v>
      </c>
      <c r="E2419" s="64" t="s">
        <v>2161</v>
      </c>
      <c r="F2419" s="85" t="s">
        <v>226</v>
      </c>
      <c r="G2419" s="336" t="s">
        <v>2352</v>
      </c>
      <c r="H2419" s="85" t="s">
        <v>2340</v>
      </c>
      <c r="I2419" s="94" t="s">
        <v>33</v>
      </c>
      <c r="J2419" s="94" t="s">
        <v>222</v>
      </c>
      <c r="K2419" s="123" t="s">
        <v>222</v>
      </c>
      <c r="L2419" s="4" t="s">
        <v>3</v>
      </c>
      <c r="M2419" s="61" t="s">
        <v>33</v>
      </c>
      <c r="N2419" s="61" t="s">
        <v>2347</v>
      </c>
      <c r="O2419" s="61" t="s">
        <v>2346</v>
      </c>
      <c r="P2419" s="61" t="s">
        <v>2345</v>
      </c>
      <c r="Q2419" s="61" t="s">
        <v>2367</v>
      </c>
      <c r="R2419" s="61" t="s">
        <v>5</v>
      </c>
      <c r="S2419" s="61"/>
      <c r="T2419" s="57"/>
      <c r="U2419" s="57"/>
      <c r="V2419" s="57"/>
      <c r="W2419" s="57"/>
      <c r="X2419" s="57"/>
      <c r="Y2419" s="57"/>
    </row>
    <row r="2420" spans="1:25" s="1" customFormat="1" ht="33" customHeight="1" x14ac:dyDescent="0.3">
      <c r="A2420" s="11">
        <v>35</v>
      </c>
      <c r="B2420" s="23">
        <v>21</v>
      </c>
      <c r="C2420" s="24" t="str">
        <f t="shared" si="58"/>
        <v>35.21</v>
      </c>
      <c r="D2420" s="18" t="s">
        <v>2148</v>
      </c>
      <c r="E2420" s="64" t="s">
        <v>2161</v>
      </c>
      <c r="F2420" s="85" t="s">
        <v>226</v>
      </c>
      <c r="G2420" s="336" t="s">
        <v>2353</v>
      </c>
      <c r="H2420" s="85" t="s">
        <v>2340</v>
      </c>
      <c r="I2420" s="94" t="s">
        <v>2347</v>
      </c>
      <c r="J2420" s="94" t="s">
        <v>222</v>
      </c>
      <c r="K2420" s="123" t="s">
        <v>222</v>
      </c>
      <c r="L2420" s="4" t="s">
        <v>3</v>
      </c>
      <c r="M2420" s="61" t="s">
        <v>33</v>
      </c>
      <c r="N2420" s="61" t="s">
        <v>2347</v>
      </c>
      <c r="O2420" s="61" t="s">
        <v>2346</v>
      </c>
      <c r="P2420" s="61" t="s">
        <v>2345</v>
      </c>
      <c r="Q2420" s="61" t="s">
        <v>2367</v>
      </c>
      <c r="R2420" s="61" t="s">
        <v>5</v>
      </c>
      <c r="S2420" s="61"/>
      <c r="T2420" s="57"/>
      <c r="U2420" s="57"/>
      <c r="V2420" s="57"/>
      <c r="W2420" s="57"/>
      <c r="X2420" s="57"/>
      <c r="Y2420" s="57"/>
    </row>
    <row r="2421" spans="1:25" s="1" customFormat="1" ht="33" customHeight="1" x14ac:dyDescent="0.3">
      <c r="A2421" s="11">
        <v>35</v>
      </c>
      <c r="B2421" s="23">
        <v>22</v>
      </c>
      <c r="C2421" s="24" t="str">
        <f t="shared" si="58"/>
        <v>35.22</v>
      </c>
      <c r="D2421" s="18" t="s">
        <v>2148</v>
      </c>
      <c r="E2421" s="64" t="str">
        <f>IF(ISBLANK(D2421)=TRUE,"",VLOOKUP(D2421,Krav!$C:$F,4,FALSE))</f>
        <v>11.a.2 - Der skal komme en advarsel om det ikke er "normalt" hvis fordringshaver svarer at sidste rettidige betalingsdato kan ligge før forfaldsdatoen</v>
      </c>
      <c r="F2421" s="85" t="s">
        <v>174</v>
      </c>
      <c r="G2421" s="53"/>
      <c r="H2421" s="85" t="s">
        <v>2340</v>
      </c>
      <c r="I2421" s="67" t="s">
        <v>1414</v>
      </c>
      <c r="J2421" s="87" t="s">
        <v>222</v>
      </c>
      <c r="K2421" s="123" t="s">
        <v>222</v>
      </c>
      <c r="L2421" s="4" t="s">
        <v>3</v>
      </c>
      <c r="M2421" s="205" t="s">
        <v>376</v>
      </c>
      <c r="N2421" s="61" t="s">
        <v>2344</v>
      </c>
      <c r="O2421" s="205" t="s">
        <v>2346</v>
      </c>
      <c r="P2421" s="61" t="s">
        <v>2345</v>
      </c>
      <c r="Q2421" s="61"/>
      <c r="R2421" s="61" t="s">
        <v>5</v>
      </c>
      <c r="S2421" s="61"/>
      <c r="T2421" s="57"/>
      <c r="U2421" s="57"/>
      <c r="V2421" s="57"/>
      <c r="W2421" s="57"/>
      <c r="X2421" s="57"/>
      <c r="Y2421" s="57"/>
    </row>
    <row r="2422" spans="1:25" s="1" customFormat="1" ht="33" customHeight="1" x14ac:dyDescent="0.3">
      <c r="A2422" s="11">
        <v>35</v>
      </c>
      <c r="B2422" s="23">
        <v>23</v>
      </c>
      <c r="C2422" s="24" t="str">
        <f t="shared" si="58"/>
        <v>35.23</v>
      </c>
      <c r="D2422" s="18" t="s">
        <v>2148</v>
      </c>
      <c r="E2422" s="64" t="str">
        <f>IF(ISBLANK(D2422)=TRUE,"",VLOOKUP(D2422,Krav!$C:$F,4,FALSE))</f>
        <v>11.a.2 - Der skal komme en advarsel om det ikke er "normalt" hvis fordringshaver svarer at sidste rettidige betalingsdato kan ligge før forfaldsdatoen</v>
      </c>
      <c r="F2422" s="334" t="s">
        <v>418</v>
      </c>
      <c r="G2422" s="334" t="s">
        <v>419</v>
      </c>
      <c r="H2422" s="85" t="s">
        <v>2340</v>
      </c>
      <c r="I2422" s="86" t="s">
        <v>129</v>
      </c>
      <c r="J2422" s="94" t="s">
        <v>222</v>
      </c>
      <c r="K2422" s="123" t="s">
        <v>222</v>
      </c>
      <c r="L2422" s="4" t="s">
        <v>3</v>
      </c>
      <c r="M2422" s="205" t="s">
        <v>376</v>
      </c>
      <c r="N2422" s="61" t="s">
        <v>2344</v>
      </c>
      <c r="O2422" s="205" t="s">
        <v>2346</v>
      </c>
      <c r="P2422" s="61" t="s">
        <v>2345</v>
      </c>
      <c r="Q2422" s="61"/>
      <c r="R2422" s="61" t="s">
        <v>5</v>
      </c>
      <c r="S2422" s="61"/>
      <c r="T2422" s="57"/>
      <c r="U2422" s="57"/>
      <c r="V2422" s="57"/>
      <c r="W2422" s="57"/>
      <c r="X2422" s="57"/>
      <c r="Y2422" s="57"/>
    </row>
    <row r="2423" spans="1:25" s="1" customFormat="1" ht="33" customHeight="1" x14ac:dyDescent="0.3">
      <c r="A2423" s="11">
        <v>35</v>
      </c>
      <c r="B2423" s="23">
        <v>24</v>
      </c>
      <c r="C2423" s="24" t="str">
        <f t="shared" si="58"/>
        <v>35.24</v>
      </c>
      <c r="D2423" s="18" t="s">
        <v>2148</v>
      </c>
      <c r="E2423" s="64" t="str">
        <f>IF(ISBLANK(D2423)=TRUE,"",VLOOKUP(D2423,Krav!$C:$F,4,FALSE))</f>
        <v>11.a.2 - Der skal komme en advarsel om det ikke er "normalt" hvis fordringshaver svarer at sidste rettidige betalingsdato kan ligge før forfaldsdatoen</v>
      </c>
      <c r="F2423" s="85" t="s">
        <v>174</v>
      </c>
      <c r="G2423" s="53"/>
      <c r="H2423" s="85" t="s">
        <v>2340</v>
      </c>
      <c r="I2423" s="67" t="s">
        <v>1414</v>
      </c>
      <c r="J2423" s="87" t="s">
        <v>222</v>
      </c>
      <c r="K2423" s="123" t="s">
        <v>222</v>
      </c>
      <c r="L2423" s="4" t="s">
        <v>3</v>
      </c>
      <c r="M2423" s="205" t="s">
        <v>2344</v>
      </c>
      <c r="N2423" s="205" t="s">
        <v>2343</v>
      </c>
      <c r="O2423" s="205" t="s">
        <v>2346</v>
      </c>
      <c r="P2423" s="205" t="s">
        <v>2346</v>
      </c>
      <c r="Q2423" s="61"/>
      <c r="R2423" s="61" t="s">
        <v>5</v>
      </c>
      <c r="S2423" s="61"/>
      <c r="T2423" s="57"/>
      <c r="U2423" s="57"/>
      <c r="V2423" s="57"/>
      <c r="W2423" s="57"/>
      <c r="X2423" s="57"/>
      <c r="Y2423" s="57"/>
    </row>
    <row r="2424" spans="1:25" s="1" customFormat="1" ht="33" customHeight="1" x14ac:dyDescent="0.3">
      <c r="A2424" s="11">
        <v>35</v>
      </c>
      <c r="B2424" s="23">
        <v>25</v>
      </c>
      <c r="C2424" s="24" t="str">
        <f t="shared" si="58"/>
        <v>35.25</v>
      </c>
      <c r="D2424" s="18" t="s">
        <v>2148</v>
      </c>
      <c r="E2424" s="64" t="str">
        <f>IF(ISBLANK(D2424)=TRUE,"",VLOOKUP(D2424,Krav!$C:$F,4,FALSE))</f>
        <v>11.a.2 - Der skal komme en advarsel om det ikke er "normalt" hvis fordringshaver svarer at sidste rettidige betalingsdato kan ligge før forfaldsdatoen</v>
      </c>
      <c r="F2424" s="334" t="s">
        <v>418</v>
      </c>
      <c r="G2424" s="334" t="s">
        <v>419</v>
      </c>
      <c r="H2424" s="85" t="s">
        <v>2340</v>
      </c>
      <c r="I2424" s="86" t="s">
        <v>129</v>
      </c>
      <c r="J2424" s="94" t="s">
        <v>222</v>
      </c>
      <c r="K2424" s="123" t="s">
        <v>222</v>
      </c>
      <c r="L2424" s="4" t="s">
        <v>3</v>
      </c>
      <c r="M2424" s="205" t="s">
        <v>2344</v>
      </c>
      <c r="N2424" s="205" t="s">
        <v>2343</v>
      </c>
      <c r="O2424" s="205" t="s">
        <v>2346</v>
      </c>
      <c r="P2424" s="205" t="s">
        <v>2346</v>
      </c>
      <c r="Q2424" s="61"/>
      <c r="R2424" s="61" t="s">
        <v>5</v>
      </c>
      <c r="S2424" s="61"/>
      <c r="T2424" s="57"/>
      <c r="U2424" s="57"/>
      <c r="V2424" s="57"/>
      <c r="W2424" s="57"/>
      <c r="X2424" s="57"/>
      <c r="Y2424" s="57"/>
    </row>
    <row r="2425" spans="1:25" s="1" customFormat="1" ht="33" customHeight="1" x14ac:dyDescent="0.3">
      <c r="A2425" s="11">
        <v>35</v>
      </c>
      <c r="B2425" s="23">
        <v>26</v>
      </c>
      <c r="C2425" s="24" t="str">
        <f t="shared" si="58"/>
        <v>35.26</v>
      </c>
      <c r="D2425" s="18" t="s">
        <v>2148</v>
      </c>
      <c r="E2425" s="64" t="str">
        <f>IF(ISBLANK(D2425)=TRUE,"",VLOOKUP(D2425,Krav!$C:$F,4,FALSE))</f>
        <v>11.a.2 - Der skal komme en advarsel om det ikke er "normalt" hvis fordringshaver svarer at sidste rettidige betalingsdato kan ligge før forfaldsdatoen</v>
      </c>
      <c r="F2425" s="85" t="s">
        <v>174</v>
      </c>
      <c r="G2425" s="53"/>
      <c r="H2425" s="85" t="s">
        <v>2340</v>
      </c>
      <c r="I2425" s="67" t="s">
        <v>1414</v>
      </c>
      <c r="J2425" s="87" t="s">
        <v>222</v>
      </c>
      <c r="K2425" s="123" t="s">
        <v>222</v>
      </c>
      <c r="L2425" s="4" t="s">
        <v>3</v>
      </c>
      <c r="M2425" s="363" t="s">
        <v>2344</v>
      </c>
      <c r="N2425" s="205" t="s">
        <v>2343</v>
      </c>
      <c r="O2425" s="61" t="s">
        <v>2345</v>
      </c>
      <c r="P2425" s="205" t="s">
        <v>2346</v>
      </c>
      <c r="Q2425" s="61"/>
      <c r="R2425" s="61" t="s">
        <v>5</v>
      </c>
      <c r="S2425" s="61"/>
      <c r="T2425" s="57"/>
      <c r="U2425" s="57"/>
      <c r="V2425" s="57"/>
      <c r="W2425" s="57"/>
      <c r="X2425" s="57"/>
      <c r="Y2425" s="57"/>
    </row>
    <row r="2426" spans="1:25" s="1" customFormat="1" ht="33" customHeight="1" x14ac:dyDescent="0.3">
      <c r="A2426" s="11">
        <v>35</v>
      </c>
      <c r="B2426" s="23">
        <v>27</v>
      </c>
      <c r="C2426" s="24" t="str">
        <f t="shared" si="58"/>
        <v>35.27</v>
      </c>
      <c r="D2426" s="18" t="s">
        <v>2148</v>
      </c>
      <c r="E2426" s="64" t="str">
        <f>IF(ISBLANK(D2426)=TRUE,"",VLOOKUP(D2426,Krav!$C:$F,4,FALSE))</f>
        <v>11.a.2 - Der skal komme en advarsel om det ikke er "normalt" hvis fordringshaver svarer at sidste rettidige betalingsdato kan ligge før forfaldsdatoen</v>
      </c>
      <c r="F2426" s="334" t="s">
        <v>418</v>
      </c>
      <c r="G2426" s="334" t="s">
        <v>419</v>
      </c>
      <c r="H2426" s="85" t="s">
        <v>2340</v>
      </c>
      <c r="I2426" s="86" t="s">
        <v>129</v>
      </c>
      <c r="J2426" s="87" t="s">
        <v>222</v>
      </c>
      <c r="K2426" s="123" t="s">
        <v>222</v>
      </c>
      <c r="L2426" s="4" t="s">
        <v>3</v>
      </c>
      <c r="M2426" s="363" t="s">
        <v>2344</v>
      </c>
      <c r="N2426" s="205" t="s">
        <v>2343</v>
      </c>
      <c r="O2426" s="61" t="s">
        <v>2345</v>
      </c>
      <c r="P2426" s="205" t="s">
        <v>2346</v>
      </c>
      <c r="Q2426" s="61"/>
      <c r="R2426" s="61" t="s">
        <v>5</v>
      </c>
      <c r="S2426" s="61"/>
      <c r="T2426" s="57"/>
      <c r="U2426" s="57"/>
      <c r="V2426" s="57"/>
      <c r="W2426" s="57"/>
      <c r="X2426" s="57"/>
      <c r="Y2426" s="57"/>
    </row>
    <row r="2427" spans="1:25" s="234" customFormat="1" ht="33" customHeight="1" x14ac:dyDescent="0.3">
      <c r="A2427" s="11">
        <v>35</v>
      </c>
      <c r="B2427" s="23">
        <v>28</v>
      </c>
      <c r="C2427" s="24" t="str">
        <f t="shared" si="58"/>
        <v>35.28</v>
      </c>
      <c r="D2427" s="227" t="s">
        <v>2148</v>
      </c>
      <c r="E2427" s="366" t="str">
        <f>IF(ISBLANK(D2427)=TRUE,"",VLOOKUP(D2427,Krav!$C:$F,4,FALSE))</f>
        <v>11.a.2 - Der skal komme en advarsel om det ikke er "normalt" hvis fordringshaver svarer at sidste rettidige betalingsdato kan ligge før forfaldsdatoen</v>
      </c>
      <c r="F2427" s="367" t="s">
        <v>174</v>
      </c>
      <c r="G2427" s="228"/>
      <c r="H2427" s="367" t="s">
        <v>2340</v>
      </c>
      <c r="I2427" s="230" t="s">
        <v>1414</v>
      </c>
      <c r="J2427" s="368" t="s">
        <v>222</v>
      </c>
      <c r="K2427" s="230" t="s">
        <v>222</v>
      </c>
      <c r="L2427" s="231" t="s">
        <v>3</v>
      </c>
      <c r="M2427" s="241" t="s">
        <v>404</v>
      </c>
      <c r="N2427" s="232" t="s">
        <v>2344</v>
      </c>
      <c r="O2427" s="241" t="s">
        <v>2346</v>
      </c>
      <c r="P2427" s="232" t="s">
        <v>2345</v>
      </c>
      <c r="Q2427" s="232"/>
      <c r="R2427" s="232" t="s">
        <v>33</v>
      </c>
      <c r="S2427" s="232" t="s">
        <v>2354</v>
      </c>
      <c r="T2427" s="369"/>
      <c r="U2427" s="369"/>
      <c r="V2427" s="369"/>
      <c r="W2427" s="369"/>
      <c r="X2427" s="369"/>
      <c r="Y2427" s="369"/>
    </row>
    <row r="2428" spans="1:25" s="234" customFormat="1" ht="33" customHeight="1" x14ac:dyDescent="0.3">
      <c r="A2428" s="11">
        <v>35</v>
      </c>
      <c r="B2428" s="23">
        <v>29</v>
      </c>
      <c r="C2428" s="24" t="str">
        <f t="shared" si="58"/>
        <v>35.29</v>
      </c>
      <c r="D2428" s="227" t="s">
        <v>2148</v>
      </c>
      <c r="E2428" s="366" t="str">
        <f>IF(ISBLANK(D2428)=TRUE,"",VLOOKUP(D2428,Krav!$C:$F,4,FALSE))</f>
        <v>11.a.2 - Der skal komme en advarsel om det ikke er "normalt" hvis fordringshaver svarer at sidste rettidige betalingsdato kan ligge før forfaldsdatoen</v>
      </c>
      <c r="F2428" s="370" t="s">
        <v>418</v>
      </c>
      <c r="G2428" s="370" t="s">
        <v>419</v>
      </c>
      <c r="H2428" s="367" t="s">
        <v>2340</v>
      </c>
      <c r="I2428" s="371" t="s">
        <v>129</v>
      </c>
      <c r="J2428" s="368" t="s">
        <v>222</v>
      </c>
      <c r="K2428" s="230" t="s">
        <v>222</v>
      </c>
      <c r="L2428" s="231" t="s">
        <v>3</v>
      </c>
      <c r="M2428" s="241" t="s">
        <v>404</v>
      </c>
      <c r="N2428" s="232" t="s">
        <v>2344</v>
      </c>
      <c r="O2428" s="241" t="s">
        <v>2346</v>
      </c>
      <c r="P2428" s="232" t="s">
        <v>2345</v>
      </c>
      <c r="Q2428" s="232"/>
      <c r="R2428" s="232" t="s">
        <v>33</v>
      </c>
      <c r="S2428" s="232" t="s">
        <v>2354</v>
      </c>
      <c r="T2428" s="369"/>
      <c r="U2428" s="369"/>
      <c r="V2428" s="369"/>
      <c r="W2428" s="369"/>
      <c r="X2428" s="369"/>
      <c r="Y2428" s="369"/>
    </row>
    <row r="2429" spans="1:25" s="1" customFormat="1" ht="33" customHeight="1" x14ac:dyDescent="0.3">
      <c r="A2429" s="11">
        <v>35</v>
      </c>
      <c r="B2429" s="23">
        <v>30</v>
      </c>
      <c r="C2429" s="24" t="str">
        <f t="shared" si="58"/>
        <v>35.30</v>
      </c>
      <c r="D2429" s="18" t="s">
        <v>2148</v>
      </c>
      <c r="E2429" s="64" t="str">
        <f>IF(ISBLANK(D2429)=TRUE,"",VLOOKUP(D2429,Krav!$C:$F,4,FALSE))</f>
        <v>11.a.2 - Der skal komme en advarsel om det ikke er "normalt" hvis fordringshaver svarer at sidste rettidige betalingsdato kan ligge før forfaldsdatoen</v>
      </c>
      <c r="F2429" s="85" t="s">
        <v>174</v>
      </c>
      <c r="G2429" s="53"/>
      <c r="H2429" s="85" t="s">
        <v>2340</v>
      </c>
      <c r="I2429" s="67" t="s">
        <v>1414</v>
      </c>
      <c r="J2429" s="87" t="s">
        <v>222</v>
      </c>
      <c r="K2429" s="123" t="s">
        <v>222</v>
      </c>
      <c r="L2429" s="4" t="s">
        <v>3</v>
      </c>
      <c r="M2429" s="363" t="s">
        <v>376</v>
      </c>
      <c r="N2429" s="205" t="s">
        <v>2348</v>
      </c>
      <c r="O2429" s="61" t="s">
        <v>2345</v>
      </c>
      <c r="P2429" s="61" t="s">
        <v>2345</v>
      </c>
      <c r="Q2429" s="61"/>
      <c r="R2429" s="61" t="s">
        <v>5</v>
      </c>
      <c r="S2429" s="61"/>
      <c r="T2429" s="57"/>
      <c r="U2429" s="57"/>
      <c r="V2429" s="57"/>
      <c r="W2429" s="57"/>
      <c r="X2429" s="57"/>
      <c r="Y2429" s="57"/>
    </row>
    <row r="2430" spans="1:25" s="1" customFormat="1" ht="33" customHeight="1" x14ac:dyDescent="0.3">
      <c r="A2430" s="11">
        <v>35</v>
      </c>
      <c r="B2430" s="23">
        <v>31</v>
      </c>
      <c r="C2430" s="24" t="str">
        <f t="shared" si="58"/>
        <v>35.31</v>
      </c>
      <c r="D2430" s="18" t="s">
        <v>2148</v>
      </c>
      <c r="E2430" s="64" t="str">
        <f>IF(ISBLANK(D2430)=TRUE,"",VLOOKUP(D2430,Krav!$C:$F,4,FALSE))</f>
        <v>11.a.2 - Der skal komme en advarsel om det ikke er "normalt" hvis fordringshaver svarer at sidste rettidige betalingsdato kan ligge før forfaldsdatoen</v>
      </c>
      <c r="F2430" s="334" t="s">
        <v>418</v>
      </c>
      <c r="G2430" s="334" t="s">
        <v>419</v>
      </c>
      <c r="H2430" s="85" t="s">
        <v>2340</v>
      </c>
      <c r="I2430" s="86" t="s">
        <v>129</v>
      </c>
      <c r="J2430" s="94" t="s">
        <v>222</v>
      </c>
      <c r="K2430" s="123" t="s">
        <v>222</v>
      </c>
      <c r="L2430" s="4" t="s">
        <v>3</v>
      </c>
      <c r="M2430" s="363" t="s">
        <v>376</v>
      </c>
      <c r="N2430" s="205" t="s">
        <v>2348</v>
      </c>
      <c r="O2430" s="61" t="s">
        <v>2345</v>
      </c>
      <c r="P2430" s="61" t="s">
        <v>2345</v>
      </c>
      <c r="Q2430" s="61"/>
      <c r="R2430" s="61" t="s">
        <v>5</v>
      </c>
      <c r="S2430" s="61"/>
      <c r="T2430" s="57"/>
      <c r="U2430" s="57"/>
      <c r="V2430" s="57"/>
      <c r="W2430" s="57"/>
      <c r="X2430" s="57"/>
      <c r="Y2430" s="57"/>
    </row>
    <row r="2431" spans="1:25" s="234" customFormat="1" ht="33" customHeight="1" x14ac:dyDescent="0.3">
      <c r="A2431" s="11">
        <v>35</v>
      </c>
      <c r="B2431" s="23">
        <v>32</v>
      </c>
      <c r="C2431" s="24" t="str">
        <f t="shared" si="58"/>
        <v>35.32</v>
      </c>
      <c r="D2431" s="227" t="s">
        <v>2148</v>
      </c>
      <c r="E2431" s="366" t="str">
        <f>IF(ISBLANK(D2431)=TRUE,"",VLOOKUP(D2431,Krav!$C:$F,4,FALSE))</f>
        <v>11.a.2 - Der skal komme en advarsel om det ikke er "normalt" hvis fordringshaver svarer at sidste rettidige betalingsdato kan ligge før forfaldsdatoen</v>
      </c>
      <c r="F2431" s="367" t="s">
        <v>174</v>
      </c>
      <c r="G2431" s="228"/>
      <c r="H2431" s="367" t="s">
        <v>2340</v>
      </c>
      <c r="I2431" s="230" t="s">
        <v>1414</v>
      </c>
      <c r="J2431" s="368" t="s">
        <v>222</v>
      </c>
      <c r="K2431" s="230" t="s">
        <v>222</v>
      </c>
      <c r="L2431" s="231" t="s">
        <v>3</v>
      </c>
      <c r="M2431" s="372" t="s">
        <v>2344</v>
      </c>
      <c r="N2431" s="241" t="s">
        <v>2349</v>
      </c>
      <c r="O2431" s="232" t="s">
        <v>2345</v>
      </c>
      <c r="P2431" s="241" t="s">
        <v>2346</v>
      </c>
      <c r="Q2431" s="232"/>
      <c r="R2431" s="232" t="s">
        <v>33</v>
      </c>
      <c r="S2431" s="232" t="s">
        <v>2354</v>
      </c>
      <c r="T2431" s="369"/>
      <c r="U2431" s="369"/>
      <c r="V2431" s="369"/>
      <c r="W2431" s="369"/>
      <c r="X2431" s="369"/>
      <c r="Y2431" s="369"/>
    </row>
    <row r="2432" spans="1:25" s="234" customFormat="1" ht="33" customHeight="1" x14ac:dyDescent="0.3">
      <c r="A2432" s="11">
        <v>35</v>
      </c>
      <c r="B2432" s="23">
        <v>33</v>
      </c>
      <c r="C2432" s="24" t="str">
        <f t="shared" si="58"/>
        <v>35.33</v>
      </c>
      <c r="D2432" s="227" t="s">
        <v>2148</v>
      </c>
      <c r="E2432" s="366" t="str">
        <f>IF(ISBLANK(D2432)=TRUE,"",VLOOKUP(D2432,Krav!$C:$F,4,FALSE))</f>
        <v>11.a.2 - Der skal komme en advarsel om det ikke er "normalt" hvis fordringshaver svarer at sidste rettidige betalingsdato kan ligge før forfaldsdatoen</v>
      </c>
      <c r="F2432" s="370" t="s">
        <v>418</v>
      </c>
      <c r="G2432" s="370" t="s">
        <v>419</v>
      </c>
      <c r="H2432" s="367" t="s">
        <v>2340</v>
      </c>
      <c r="I2432" s="371" t="s">
        <v>129</v>
      </c>
      <c r="J2432" s="368" t="s">
        <v>222</v>
      </c>
      <c r="K2432" s="230" t="s">
        <v>222</v>
      </c>
      <c r="L2432" s="231" t="s">
        <v>3</v>
      </c>
      <c r="M2432" s="373" t="s">
        <v>2344</v>
      </c>
      <c r="N2432" s="241" t="s">
        <v>2349</v>
      </c>
      <c r="O2432" s="232" t="s">
        <v>2345</v>
      </c>
      <c r="P2432" s="241" t="s">
        <v>2346</v>
      </c>
      <c r="Q2432" s="232"/>
      <c r="R2432" s="232" t="s">
        <v>33</v>
      </c>
      <c r="S2432" s="232" t="s">
        <v>2354</v>
      </c>
      <c r="T2432" s="369"/>
      <c r="U2432" s="369"/>
      <c r="V2432" s="369"/>
      <c r="W2432" s="369"/>
      <c r="X2432" s="369"/>
      <c r="Y2432" s="369"/>
    </row>
    <row r="2433" spans="1:29" s="1" customFormat="1" ht="33" customHeight="1" x14ac:dyDescent="0.3">
      <c r="A2433" s="11">
        <v>35</v>
      </c>
      <c r="B2433" s="23">
        <v>34</v>
      </c>
      <c r="C2433" s="24" t="str">
        <f t="shared" si="58"/>
        <v>35.34</v>
      </c>
      <c r="D2433" s="18" t="s">
        <v>2148</v>
      </c>
      <c r="E2433" s="64" t="str">
        <f>IF(ISBLANK(D2433)=TRUE,"",VLOOKUP(D2433,Krav!$C:$F,4,FALSE))</f>
        <v>11.a.2 - Der skal komme en advarsel om det ikke er "normalt" hvis fordringshaver svarer at sidste rettidige betalingsdato kan ligge før forfaldsdatoen</v>
      </c>
      <c r="F2433" s="85" t="s">
        <v>174</v>
      </c>
      <c r="G2433" s="53"/>
      <c r="H2433" s="85" t="s">
        <v>2340</v>
      </c>
      <c r="I2433" s="67" t="s">
        <v>1414</v>
      </c>
      <c r="J2433" s="87" t="s">
        <v>222</v>
      </c>
      <c r="K2433" s="123" t="s">
        <v>222</v>
      </c>
      <c r="L2433" s="4" t="s">
        <v>3</v>
      </c>
      <c r="M2433" s="364" t="s">
        <v>2344</v>
      </c>
      <c r="N2433" s="205" t="s">
        <v>97</v>
      </c>
      <c r="O2433" s="61" t="s">
        <v>2345</v>
      </c>
      <c r="P2433" s="205" t="s">
        <v>2346</v>
      </c>
      <c r="Q2433" s="61"/>
      <c r="R2433" s="61" t="s">
        <v>5</v>
      </c>
      <c r="S2433" s="61"/>
      <c r="T2433" s="57"/>
      <c r="U2433" s="57"/>
      <c r="V2433" s="57"/>
      <c r="W2433" s="57"/>
      <c r="X2433" s="57"/>
      <c r="Y2433" s="57"/>
    </row>
    <row r="2434" spans="1:29" s="1" customFormat="1" ht="33" customHeight="1" x14ac:dyDescent="0.3">
      <c r="A2434" s="11">
        <v>35</v>
      </c>
      <c r="B2434" s="23">
        <v>35</v>
      </c>
      <c r="C2434" s="24" t="str">
        <f t="shared" si="58"/>
        <v>35.35</v>
      </c>
      <c r="D2434" s="18" t="s">
        <v>2148</v>
      </c>
      <c r="E2434" s="64" t="str">
        <f>IF(ISBLANK(D2434)=TRUE,"",VLOOKUP(D2434,Krav!$C:$F,4,FALSE))</f>
        <v>11.a.2 - Der skal komme en advarsel om det ikke er "normalt" hvis fordringshaver svarer at sidste rettidige betalingsdato kan ligge før forfaldsdatoen</v>
      </c>
      <c r="F2434" s="334" t="s">
        <v>418</v>
      </c>
      <c r="G2434" s="334" t="s">
        <v>419</v>
      </c>
      <c r="H2434" s="85" t="s">
        <v>2340</v>
      </c>
      <c r="I2434" s="86" t="s">
        <v>129</v>
      </c>
      <c r="J2434" s="87" t="s">
        <v>222</v>
      </c>
      <c r="K2434" s="123" t="s">
        <v>222</v>
      </c>
      <c r="L2434" s="4" t="s">
        <v>3</v>
      </c>
      <c r="M2434" s="363" t="s">
        <v>2344</v>
      </c>
      <c r="N2434" s="205" t="s">
        <v>97</v>
      </c>
      <c r="O2434" s="61" t="s">
        <v>2345</v>
      </c>
      <c r="P2434" s="205" t="s">
        <v>2346</v>
      </c>
      <c r="Q2434" s="61"/>
      <c r="R2434" s="61" t="s">
        <v>5</v>
      </c>
      <c r="S2434" s="61"/>
      <c r="T2434" s="57"/>
      <c r="U2434" s="57"/>
      <c r="V2434" s="57"/>
      <c r="W2434" s="57"/>
      <c r="X2434" s="57"/>
      <c r="Y2434" s="57"/>
    </row>
    <row r="2435" spans="1:29" s="1" customFormat="1" ht="33" customHeight="1" x14ac:dyDescent="0.3">
      <c r="A2435" s="11">
        <v>35</v>
      </c>
      <c r="B2435" s="23">
        <v>36</v>
      </c>
      <c r="C2435" s="24" t="str">
        <f t="shared" si="58"/>
        <v>35.36</v>
      </c>
      <c r="D2435" s="18"/>
      <c r="E2435" s="64"/>
      <c r="F2435" s="334" t="s">
        <v>143</v>
      </c>
      <c r="G2435" s="53"/>
      <c r="H2435" s="85" t="s">
        <v>2350</v>
      </c>
      <c r="I2435" s="86" t="s">
        <v>2068</v>
      </c>
      <c r="J2435" s="87" t="s">
        <v>222</v>
      </c>
      <c r="K2435" s="123" t="s">
        <v>222</v>
      </c>
      <c r="L2435" s="4" t="s">
        <v>3</v>
      </c>
      <c r="M2435" s="61" t="s">
        <v>376</v>
      </c>
      <c r="N2435" s="61" t="s">
        <v>2344</v>
      </c>
      <c r="O2435" s="61" t="s">
        <v>2345</v>
      </c>
      <c r="P2435" s="61" t="s">
        <v>2345</v>
      </c>
      <c r="Q2435" s="61"/>
      <c r="R2435" s="61" t="s">
        <v>5</v>
      </c>
      <c r="S2435" s="61"/>
      <c r="T2435" s="57"/>
      <c r="U2435" s="57"/>
      <c r="V2435" s="57"/>
      <c r="W2435" s="57"/>
      <c r="X2435" s="57"/>
      <c r="Y2435" s="57"/>
    </row>
    <row r="2436" spans="1:29" s="1" customFormat="1" ht="33" customHeight="1" x14ac:dyDescent="0.3">
      <c r="A2436" s="11">
        <v>35</v>
      </c>
      <c r="B2436" s="23">
        <v>37</v>
      </c>
      <c r="C2436" s="24" t="str">
        <f t="shared" si="58"/>
        <v>35.37</v>
      </c>
      <c r="D2436" s="18"/>
      <c r="E2436" s="64"/>
      <c r="F2436" s="85" t="s">
        <v>185</v>
      </c>
      <c r="G2436" s="53"/>
      <c r="H2436" s="25" t="s">
        <v>1585</v>
      </c>
      <c r="I2436" s="86" t="s">
        <v>1579</v>
      </c>
      <c r="J2436" s="87" t="s">
        <v>222</v>
      </c>
      <c r="K2436" s="123" t="s">
        <v>222</v>
      </c>
      <c r="L2436" s="4" t="s">
        <v>3</v>
      </c>
      <c r="M2436" s="61" t="s">
        <v>376</v>
      </c>
      <c r="N2436" s="61" t="s">
        <v>2344</v>
      </c>
      <c r="O2436" s="61" t="s">
        <v>2345</v>
      </c>
      <c r="P2436" s="61" t="s">
        <v>2345</v>
      </c>
      <c r="Q2436" s="61"/>
      <c r="R2436" s="61" t="s">
        <v>5</v>
      </c>
      <c r="S2436" s="61"/>
      <c r="T2436" s="57"/>
      <c r="U2436" s="57"/>
      <c r="V2436" s="57"/>
      <c r="W2436" s="57"/>
      <c r="X2436" s="57"/>
      <c r="Y2436" s="57"/>
    </row>
    <row r="2437" spans="1:29" s="221" customFormat="1" ht="42" customHeight="1" x14ac:dyDescent="0.3">
      <c r="A2437" s="11">
        <v>35</v>
      </c>
      <c r="B2437" s="23">
        <v>38</v>
      </c>
      <c r="C2437" s="24" t="str">
        <f t="shared" si="58"/>
        <v>35.38</v>
      </c>
      <c r="D2437" s="18"/>
      <c r="E2437" s="64"/>
      <c r="F2437" s="84" t="s">
        <v>224</v>
      </c>
      <c r="G2437" s="336" t="s">
        <v>1388</v>
      </c>
      <c r="H2437" s="25" t="s">
        <v>1587</v>
      </c>
      <c r="I2437" s="86" t="s">
        <v>376</v>
      </c>
      <c r="J2437" s="87" t="s">
        <v>222</v>
      </c>
      <c r="K2437" s="123" t="s">
        <v>222</v>
      </c>
      <c r="L2437" s="4" t="s">
        <v>3</v>
      </c>
      <c r="M2437" s="61" t="s">
        <v>376</v>
      </c>
      <c r="N2437" s="61"/>
      <c r="O2437" s="61"/>
      <c r="P2437" s="61"/>
      <c r="Q2437" s="61"/>
      <c r="R2437" s="61" t="s">
        <v>5</v>
      </c>
      <c r="S2437" s="61"/>
      <c r="T2437" s="344"/>
      <c r="U2437" s="344"/>
      <c r="V2437" s="344"/>
      <c r="W2437" s="344"/>
      <c r="X2437" s="344"/>
      <c r="Y2437" s="344"/>
      <c r="Z2437" s="344"/>
      <c r="AA2437" s="344"/>
      <c r="AB2437" s="344"/>
      <c r="AC2437" s="344"/>
    </row>
    <row r="2438" spans="1:29" s="221" customFormat="1" ht="33" customHeight="1" x14ac:dyDescent="0.3">
      <c r="A2438" s="11">
        <v>35</v>
      </c>
      <c r="B2438" s="23">
        <v>39</v>
      </c>
      <c r="C2438" s="24" t="str">
        <f t="shared" si="58"/>
        <v>35.39</v>
      </c>
      <c r="D2438" s="18"/>
      <c r="E2438" s="64"/>
      <c r="F2438" s="84" t="s">
        <v>224</v>
      </c>
      <c r="G2438" s="336" t="s">
        <v>1389</v>
      </c>
      <c r="H2438" s="25" t="s">
        <v>1587</v>
      </c>
      <c r="I2438" s="86" t="s">
        <v>2344</v>
      </c>
      <c r="J2438" s="87" t="s">
        <v>222</v>
      </c>
      <c r="K2438" s="123" t="s">
        <v>222</v>
      </c>
      <c r="L2438" s="4" t="s">
        <v>3</v>
      </c>
      <c r="M2438" s="61"/>
      <c r="N2438" s="61" t="s">
        <v>2344</v>
      </c>
      <c r="O2438" s="61"/>
      <c r="P2438" s="61"/>
      <c r="Q2438" s="61"/>
      <c r="R2438" s="61" t="s">
        <v>5</v>
      </c>
      <c r="S2438" s="61"/>
      <c r="T2438" s="344"/>
      <c r="U2438" s="344"/>
      <c r="V2438" s="344"/>
      <c r="W2438" s="344"/>
      <c r="X2438" s="344"/>
      <c r="Y2438" s="344"/>
      <c r="Z2438" s="344"/>
      <c r="AA2438" s="344"/>
      <c r="AB2438" s="344"/>
      <c r="AC2438" s="344"/>
    </row>
    <row r="2439" spans="1:29" s="221" customFormat="1" ht="33" customHeight="1" x14ac:dyDescent="0.3">
      <c r="A2439" s="11">
        <v>35</v>
      </c>
      <c r="B2439" s="23">
        <v>40</v>
      </c>
      <c r="C2439" s="24" t="str">
        <f t="shared" si="58"/>
        <v>35.40</v>
      </c>
      <c r="D2439" s="18"/>
      <c r="E2439" s="64"/>
      <c r="F2439" s="84" t="s">
        <v>224</v>
      </c>
      <c r="G2439" s="336" t="s">
        <v>2341</v>
      </c>
      <c r="H2439" s="25" t="s">
        <v>1587</v>
      </c>
      <c r="I2439" s="86" t="s">
        <v>2345</v>
      </c>
      <c r="J2439" s="87" t="s">
        <v>222</v>
      </c>
      <c r="K2439" s="123" t="s">
        <v>222</v>
      </c>
      <c r="L2439" s="4" t="s">
        <v>3</v>
      </c>
      <c r="M2439" s="61"/>
      <c r="N2439" s="61"/>
      <c r="O2439" s="61" t="s">
        <v>2345</v>
      </c>
      <c r="P2439" s="61"/>
      <c r="Q2439" s="61"/>
      <c r="R2439" s="61" t="s">
        <v>5</v>
      </c>
      <c r="S2439" s="61"/>
      <c r="T2439" s="344"/>
      <c r="U2439" s="344"/>
      <c r="V2439" s="344"/>
      <c r="W2439" s="344"/>
      <c r="X2439" s="344"/>
      <c r="Y2439" s="344"/>
      <c r="Z2439" s="344"/>
      <c r="AA2439" s="344"/>
      <c r="AB2439" s="344"/>
      <c r="AC2439" s="344"/>
    </row>
    <row r="2440" spans="1:29" s="344" customFormat="1" ht="16.5" customHeight="1" x14ac:dyDescent="0.3">
      <c r="A2440" s="11">
        <v>35</v>
      </c>
      <c r="B2440" s="23">
        <v>41</v>
      </c>
      <c r="C2440" s="24" t="str">
        <f t="shared" si="58"/>
        <v>35.41</v>
      </c>
      <c r="D2440" s="18"/>
      <c r="E2440" s="64"/>
      <c r="F2440" s="84" t="s">
        <v>224</v>
      </c>
      <c r="G2440" s="336" t="s">
        <v>2342</v>
      </c>
      <c r="H2440" s="25" t="s">
        <v>1587</v>
      </c>
      <c r="I2440" s="86" t="s">
        <v>2345</v>
      </c>
      <c r="J2440" s="87" t="s">
        <v>222</v>
      </c>
      <c r="K2440" s="123" t="s">
        <v>222</v>
      </c>
      <c r="L2440" s="4" t="s">
        <v>3</v>
      </c>
      <c r="M2440" s="61"/>
      <c r="N2440" s="61"/>
      <c r="O2440" s="61"/>
      <c r="P2440" s="61" t="s">
        <v>2345</v>
      </c>
      <c r="Q2440" s="61"/>
      <c r="R2440" s="61" t="s">
        <v>5</v>
      </c>
      <c r="S2440" s="61"/>
    </row>
    <row r="2441" spans="1:29" s="221" customFormat="1" ht="42" customHeight="1" x14ac:dyDescent="0.3">
      <c r="A2441" s="11">
        <v>35</v>
      </c>
      <c r="B2441" s="23">
        <v>42</v>
      </c>
      <c r="C2441" s="24" t="str">
        <f t="shared" si="58"/>
        <v>35.42</v>
      </c>
      <c r="D2441" s="18"/>
      <c r="E2441" s="64"/>
      <c r="F2441" s="84" t="s">
        <v>224</v>
      </c>
      <c r="G2441" s="336" t="s">
        <v>1388</v>
      </c>
      <c r="H2441" s="25" t="s">
        <v>1449</v>
      </c>
      <c r="I2441" s="87" t="s">
        <v>469</v>
      </c>
      <c r="J2441" s="87" t="s">
        <v>222</v>
      </c>
      <c r="K2441" s="123" t="s">
        <v>222</v>
      </c>
      <c r="L2441" s="4" t="s">
        <v>3</v>
      </c>
      <c r="M2441" s="61"/>
      <c r="N2441" s="61"/>
      <c r="O2441" s="61"/>
      <c r="P2441" s="61"/>
      <c r="Q2441" s="61"/>
      <c r="R2441" s="61" t="s">
        <v>5</v>
      </c>
      <c r="S2441" s="61"/>
      <c r="T2441" s="344"/>
      <c r="U2441" s="344"/>
      <c r="V2441" s="344"/>
      <c r="W2441" s="344"/>
      <c r="X2441" s="344"/>
      <c r="Y2441" s="344"/>
      <c r="Z2441" s="344"/>
      <c r="AA2441" s="344"/>
      <c r="AB2441" s="344"/>
      <c r="AC2441" s="344"/>
    </row>
    <row r="2442" spans="1:29" s="221" customFormat="1" ht="33" customHeight="1" x14ac:dyDescent="0.3">
      <c r="A2442" s="11">
        <v>35</v>
      </c>
      <c r="B2442" s="23">
        <v>43</v>
      </c>
      <c r="C2442" s="24" t="str">
        <f t="shared" si="58"/>
        <v>35.43</v>
      </c>
      <c r="D2442" s="18"/>
      <c r="E2442" s="64"/>
      <c r="F2442" s="84" t="s">
        <v>224</v>
      </c>
      <c r="G2442" s="336" t="s">
        <v>1389</v>
      </c>
      <c r="H2442" s="25" t="s">
        <v>1449</v>
      </c>
      <c r="I2442" s="87" t="s">
        <v>469</v>
      </c>
      <c r="J2442" s="87" t="s">
        <v>222</v>
      </c>
      <c r="K2442" s="123" t="s">
        <v>222</v>
      </c>
      <c r="L2442" s="4" t="s">
        <v>3</v>
      </c>
      <c r="M2442" s="61"/>
      <c r="N2442" s="61"/>
      <c r="O2442" s="61"/>
      <c r="P2442" s="61"/>
      <c r="Q2442" s="61"/>
      <c r="R2442" s="61" t="s">
        <v>5</v>
      </c>
      <c r="S2442" s="61"/>
      <c r="T2442" s="344"/>
      <c r="U2442" s="344"/>
      <c r="V2442" s="344"/>
      <c r="W2442" s="344"/>
      <c r="X2442" s="344"/>
      <c r="Y2442" s="344"/>
      <c r="Z2442" s="344"/>
      <c r="AA2442" s="344"/>
      <c r="AB2442" s="344"/>
      <c r="AC2442" s="344"/>
    </row>
    <row r="2443" spans="1:29" s="221" customFormat="1" ht="33" customHeight="1" x14ac:dyDescent="0.3">
      <c r="A2443" s="11">
        <v>35</v>
      </c>
      <c r="B2443" s="23">
        <v>44</v>
      </c>
      <c r="C2443" s="24" t="str">
        <f t="shared" si="58"/>
        <v>35.44</v>
      </c>
      <c r="D2443" s="18"/>
      <c r="E2443" s="64"/>
      <c r="F2443" s="84" t="s">
        <v>224</v>
      </c>
      <c r="G2443" s="336" t="s">
        <v>2341</v>
      </c>
      <c r="H2443" s="25" t="s">
        <v>1449</v>
      </c>
      <c r="I2443" s="87" t="s">
        <v>469</v>
      </c>
      <c r="J2443" s="87" t="s">
        <v>222</v>
      </c>
      <c r="K2443" s="123" t="s">
        <v>222</v>
      </c>
      <c r="L2443" s="4" t="s">
        <v>3</v>
      </c>
      <c r="M2443" s="61"/>
      <c r="N2443" s="61"/>
      <c r="O2443" s="61"/>
      <c r="P2443" s="61"/>
      <c r="Q2443" s="61"/>
      <c r="R2443" s="61" t="s">
        <v>5</v>
      </c>
      <c r="S2443" s="61"/>
      <c r="T2443" s="344"/>
      <c r="U2443" s="344"/>
      <c r="V2443" s="344"/>
      <c r="W2443" s="344"/>
      <c r="X2443" s="344"/>
      <c r="Y2443" s="344"/>
      <c r="Z2443" s="344"/>
      <c r="AA2443" s="344"/>
      <c r="AB2443" s="344"/>
      <c r="AC2443" s="344"/>
    </row>
    <row r="2444" spans="1:29" s="344" customFormat="1" ht="16.5" customHeight="1" x14ac:dyDescent="0.3">
      <c r="A2444" s="11">
        <v>35</v>
      </c>
      <c r="B2444" s="23">
        <v>45</v>
      </c>
      <c r="C2444" s="24" t="str">
        <f t="shared" si="58"/>
        <v>35.45</v>
      </c>
      <c r="D2444" s="18"/>
      <c r="E2444" s="64"/>
      <c r="F2444" s="84" t="s">
        <v>224</v>
      </c>
      <c r="G2444" s="336" t="s">
        <v>2342</v>
      </c>
      <c r="H2444" s="25" t="s">
        <v>1449</v>
      </c>
      <c r="I2444" s="87" t="s">
        <v>469</v>
      </c>
      <c r="J2444" s="87" t="s">
        <v>222</v>
      </c>
      <c r="K2444" s="123" t="s">
        <v>222</v>
      </c>
      <c r="L2444" s="4" t="s">
        <v>3</v>
      </c>
      <c r="M2444" s="61"/>
      <c r="N2444" s="61"/>
      <c r="O2444" s="61"/>
      <c r="P2444" s="61"/>
      <c r="Q2444" s="61"/>
      <c r="R2444" s="61" t="s">
        <v>5</v>
      </c>
      <c r="S2444" s="61"/>
    </row>
    <row r="2445" spans="1:29" s="221" customFormat="1" ht="33" customHeight="1" x14ac:dyDescent="0.3">
      <c r="A2445" s="11">
        <v>35</v>
      </c>
      <c r="B2445" s="23">
        <v>46</v>
      </c>
      <c r="C2445" s="24" t="str">
        <f t="shared" si="58"/>
        <v>35.46</v>
      </c>
      <c r="D2445" s="18"/>
      <c r="E2445" s="64"/>
      <c r="F2445" s="84" t="s">
        <v>418</v>
      </c>
      <c r="G2445" s="336" t="s">
        <v>445</v>
      </c>
      <c r="H2445" s="85" t="s">
        <v>2077</v>
      </c>
      <c r="I2445" s="86" t="s">
        <v>129</v>
      </c>
      <c r="J2445" s="94" t="s">
        <v>222</v>
      </c>
      <c r="K2445" s="123" t="s">
        <v>222</v>
      </c>
      <c r="L2445" s="4" t="s">
        <v>3</v>
      </c>
      <c r="M2445" s="61" t="s">
        <v>376</v>
      </c>
      <c r="N2445" s="61" t="s">
        <v>2344</v>
      </c>
      <c r="O2445" s="61" t="s">
        <v>2345</v>
      </c>
      <c r="P2445" s="61" t="s">
        <v>2345</v>
      </c>
      <c r="Q2445" s="61"/>
      <c r="R2445" s="61" t="s">
        <v>5</v>
      </c>
      <c r="S2445" s="61"/>
      <c r="T2445" s="344"/>
      <c r="U2445" s="344"/>
      <c r="V2445" s="344"/>
      <c r="W2445" s="344"/>
      <c r="X2445" s="344"/>
      <c r="Y2445" s="344"/>
      <c r="Z2445" s="344"/>
      <c r="AA2445" s="344"/>
      <c r="AB2445" s="344"/>
      <c r="AC2445" s="344"/>
    </row>
    <row r="2446" spans="1:29" s="344" customFormat="1" ht="16.5" customHeight="1" x14ac:dyDescent="0.3">
      <c r="A2446" s="11">
        <v>35</v>
      </c>
      <c r="B2446" s="23">
        <v>47</v>
      </c>
      <c r="C2446" s="24" t="str">
        <f t="shared" si="58"/>
        <v>35.47</v>
      </c>
      <c r="D2446" s="18"/>
      <c r="E2446" s="64"/>
      <c r="F2446" s="84" t="s">
        <v>418</v>
      </c>
      <c r="G2446" s="336" t="s">
        <v>445</v>
      </c>
      <c r="H2446" s="85" t="s">
        <v>2077</v>
      </c>
      <c r="I2446" s="86" t="s">
        <v>129</v>
      </c>
      <c r="J2446" s="94" t="s">
        <v>222</v>
      </c>
      <c r="K2446" s="123" t="s">
        <v>222</v>
      </c>
      <c r="L2446" s="4" t="s">
        <v>3</v>
      </c>
      <c r="M2446" s="61" t="s">
        <v>33</v>
      </c>
      <c r="N2446" s="61" t="s">
        <v>2347</v>
      </c>
      <c r="O2446" s="61" t="s">
        <v>2346</v>
      </c>
      <c r="P2446" s="61" t="s">
        <v>2345</v>
      </c>
      <c r="Q2446" s="61"/>
      <c r="R2446" s="61" t="s">
        <v>5</v>
      </c>
      <c r="S2446" s="61"/>
    </row>
    <row r="2447" spans="1:29" s="221" customFormat="1" ht="33" customHeight="1" x14ac:dyDescent="0.3">
      <c r="A2447" s="345"/>
      <c r="B2447" s="346"/>
      <c r="C2447" s="347"/>
      <c r="D2447" s="348"/>
      <c r="E2447" s="349"/>
      <c r="F2447" s="350"/>
      <c r="G2447" s="223"/>
      <c r="H2447" s="350"/>
      <c r="I2447" s="352"/>
      <c r="J2447" s="353" t="s">
        <v>222</v>
      </c>
      <c r="K2447" s="216" t="s">
        <v>222</v>
      </c>
      <c r="L2447" s="354"/>
      <c r="M2447" s="219"/>
      <c r="N2447" s="219"/>
      <c r="O2447" s="219"/>
      <c r="P2447" s="219"/>
      <c r="Q2447" s="219"/>
      <c r="R2447" s="219"/>
      <c r="S2447" s="344"/>
      <c r="T2447" s="344"/>
      <c r="U2447" s="344"/>
      <c r="V2447" s="344"/>
      <c r="W2447" s="344"/>
      <c r="X2447" s="344"/>
      <c r="Y2447" s="344"/>
      <c r="Z2447" s="344"/>
      <c r="AA2447" s="344"/>
      <c r="AB2447" s="344"/>
    </row>
    <row r="2448" spans="1:29" s="221" customFormat="1" ht="32.25" customHeight="1" x14ac:dyDescent="0.3">
      <c r="A2448" s="345"/>
      <c r="B2448" s="346"/>
      <c r="C2448" s="347"/>
      <c r="D2448" s="348"/>
      <c r="E2448" s="349"/>
      <c r="F2448" s="350"/>
      <c r="G2448" s="223"/>
      <c r="H2448" s="350"/>
      <c r="I2448" s="352"/>
      <c r="J2448" s="353" t="s">
        <v>222</v>
      </c>
      <c r="K2448" s="216" t="s">
        <v>222</v>
      </c>
      <c r="L2448" s="354"/>
      <c r="M2448" s="219"/>
      <c r="N2448" s="219"/>
      <c r="O2448" s="219"/>
      <c r="P2448" s="219"/>
      <c r="Q2448" s="219"/>
      <c r="R2448" s="219"/>
      <c r="S2448" s="344"/>
      <c r="T2448" s="344"/>
      <c r="U2448" s="344"/>
      <c r="V2448" s="344"/>
      <c r="W2448" s="344"/>
      <c r="X2448" s="344"/>
      <c r="Y2448" s="344"/>
      <c r="Z2448" s="344"/>
      <c r="AA2448" s="344"/>
      <c r="AB2448" s="344"/>
    </row>
    <row r="2449" spans="1:25" s="1" customFormat="1" ht="15" customHeight="1" x14ac:dyDescent="0.3">
      <c r="A2449" s="50" t="s">
        <v>6</v>
      </c>
      <c r="B2449" s="51" t="s">
        <v>7</v>
      </c>
      <c r="C2449" s="31" t="s">
        <v>0</v>
      </c>
      <c r="D2449" s="31" t="s">
        <v>22</v>
      </c>
      <c r="E2449" s="52" t="s">
        <v>99</v>
      </c>
      <c r="F2449" s="52" t="s">
        <v>216</v>
      </c>
      <c r="G2449" s="133" t="s">
        <v>217</v>
      </c>
      <c r="H2449" s="52" t="s">
        <v>28</v>
      </c>
      <c r="I2449" s="31" t="s">
        <v>218</v>
      </c>
      <c r="J2449" s="31" t="s">
        <v>219</v>
      </c>
      <c r="K2449" s="31" t="s">
        <v>220</v>
      </c>
      <c r="L2449" s="31" t="s">
        <v>1</v>
      </c>
      <c r="M2449" s="62" t="s">
        <v>1388</v>
      </c>
      <c r="N2449" s="62" t="s">
        <v>1389</v>
      </c>
      <c r="O2449" s="62" t="s">
        <v>2341</v>
      </c>
      <c r="P2449" s="62" t="s">
        <v>2342</v>
      </c>
      <c r="Q2449" s="62" t="s">
        <v>234</v>
      </c>
      <c r="R2449" s="62" t="s">
        <v>233</v>
      </c>
      <c r="S2449" s="62" t="s">
        <v>2057</v>
      </c>
      <c r="T2449" s="57"/>
      <c r="U2449" s="57"/>
      <c r="V2449" s="57"/>
      <c r="W2449" s="57"/>
      <c r="X2449" s="57"/>
      <c r="Y2449" s="57"/>
    </row>
    <row r="2450" spans="1:25" s="1" customFormat="1" ht="33" customHeight="1" x14ac:dyDescent="0.3">
      <c r="A2450" s="11">
        <v>36</v>
      </c>
      <c r="B2450" s="23">
        <v>1</v>
      </c>
      <c r="C2450" s="24" t="str">
        <f t="shared" ref="C2450:C2497" si="59">IF(B2450&lt;10,_xlfn.CONCAT(A2450,".0",B2450),_xlfn.CONCAT(A2450,".",B2450))</f>
        <v>36.01</v>
      </c>
      <c r="D2450" s="18" t="s">
        <v>2148</v>
      </c>
      <c r="E2450" s="64" t="s">
        <v>2161</v>
      </c>
      <c r="F2450" s="85" t="s">
        <v>225</v>
      </c>
      <c r="G2450" s="336" t="s">
        <v>1388</v>
      </c>
      <c r="H2450" s="85" t="s">
        <v>2340</v>
      </c>
      <c r="I2450" s="94" t="s">
        <v>376</v>
      </c>
      <c r="J2450" s="94" t="s">
        <v>222</v>
      </c>
      <c r="K2450" s="123" t="s">
        <v>222</v>
      </c>
      <c r="L2450" s="4" t="s">
        <v>3</v>
      </c>
      <c r="M2450" s="61" t="s">
        <v>376</v>
      </c>
      <c r="N2450" s="61" t="s">
        <v>2344</v>
      </c>
      <c r="O2450" s="61" t="s">
        <v>2345</v>
      </c>
      <c r="P2450" s="61" t="s">
        <v>2345</v>
      </c>
      <c r="Q2450" s="61"/>
      <c r="R2450" s="61" t="s">
        <v>5</v>
      </c>
      <c r="S2450" s="61"/>
      <c r="T2450" s="57"/>
      <c r="U2450" s="57"/>
      <c r="V2450" s="57"/>
      <c r="W2450" s="57"/>
      <c r="X2450" s="57"/>
      <c r="Y2450" s="57"/>
    </row>
    <row r="2451" spans="1:25" s="1" customFormat="1" ht="33" customHeight="1" x14ac:dyDescent="0.3">
      <c r="A2451" s="11">
        <v>36</v>
      </c>
      <c r="B2451" s="23">
        <v>2</v>
      </c>
      <c r="C2451" s="24" t="str">
        <f t="shared" si="59"/>
        <v>36.02</v>
      </c>
      <c r="D2451" s="18" t="s">
        <v>2148</v>
      </c>
      <c r="E2451" s="64" t="s">
        <v>2161</v>
      </c>
      <c r="F2451" s="85" t="s">
        <v>225</v>
      </c>
      <c r="G2451" s="336" t="s">
        <v>1389</v>
      </c>
      <c r="H2451" s="85" t="s">
        <v>2340</v>
      </c>
      <c r="I2451" s="94" t="s">
        <v>2344</v>
      </c>
      <c r="J2451" s="94" t="s">
        <v>222</v>
      </c>
      <c r="K2451" s="123" t="s">
        <v>222</v>
      </c>
      <c r="L2451" s="4" t="s">
        <v>3</v>
      </c>
      <c r="M2451" s="61" t="s">
        <v>376</v>
      </c>
      <c r="N2451" s="61" t="s">
        <v>2344</v>
      </c>
      <c r="O2451" s="61" t="s">
        <v>2345</v>
      </c>
      <c r="P2451" s="61" t="s">
        <v>2345</v>
      </c>
      <c r="Q2451" s="61"/>
      <c r="R2451" s="61" t="s">
        <v>5</v>
      </c>
      <c r="S2451" s="61"/>
      <c r="T2451" s="57"/>
      <c r="U2451" s="57"/>
      <c r="V2451" s="57"/>
      <c r="W2451" s="57"/>
      <c r="X2451" s="57"/>
      <c r="Y2451" s="57"/>
    </row>
    <row r="2452" spans="1:25" s="1" customFormat="1" ht="33" customHeight="1" x14ac:dyDescent="0.3">
      <c r="A2452" s="11">
        <v>36</v>
      </c>
      <c r="B2452" s="23">
        <v>3</v>
      </c>
      <c r="C2452" s="24" t="str">
        <f t="shared" si="59"/>
        <v>36.03</v>
      </c>
      <c r="D2452" s="18" t="s">
        <v>2148</v>
      </c>
      <c r="E2452" s="64" t="s">
        <v>2161</v>
      </c>
      <c r="F2452" s="85" t="s">
        <v>225</v>
      </c>
      <c r="G2452" s="336" t="s">
        <v>2341</v>
      </c>
      <c r="H2452" s="85" t="s">
        <v>2340</v>
      </c>
      <c r="I2452" s="94" t="s">
        <v>2345</v>
      </c>
      <c r="J2452" s="94" t="s">
        <v>222</v>
      </c>
      <c r="K2452" s="123" t="s">
        <v>222</v>
      </c>
      <c r="L2452" s="4" t="s">
        <v>3</v>
      </c>
      <c r="M2452" s="61" t="s">
        <v>376</v>
      </c>
      <c r="N2452" s="61" t="s">
        <v>2344</v>
      </c>
      <c r="O2452" s="61" t="s">
        <v>2345</v>
      </c>
      <c r="P2452" s="61" t="s">
        <v>2345</v>
      </c>
      <c r="Q2452" s="61"/>
      <c r="R2452" s="61" t="s">
        <v>5</v>
      </c>
      <c r="S2452" s="61"/>
      <c r="T2452" s="57"/>
      <c r="U2452" s="57"/>
      <c r="V2452" s="57"/>
      <c r="W2452" s="57"/>
      <c r="X2452" s="57"/>
      <c r="Y2452" s="57"/>
    </row>
    <row r="2453" spans="1:25" s="1" customFormat="1" ht="33" customHeight="1" x14ac:dyDescent="0.3">
      <c r="A2453" s="11">
        <v>36</v>
      </c>
      <c r="B2453" s="23">
        <v>4</v>
      </c>
      <c r="C2453" s="24" t="str">
        <f t="shared" si="59"/>
        <v>36.04</v>
      </c>
      <c r="D2453" s="18" t="s">
        <v>2148</v>
      </c>
      <c r="E2453" s="64" t="s">
        <v>2161</v>
      </c>
      <c r="F2453" s="85" t="s">
        <v>225</v>
      </c>
      <c r="G2453" s="336" t="s">
        <v>2342</v>
      </c>
      <c r="H2453" s="85" t="s">
        <v>2340</v>
      </c>
      <c r="I2453" s="94" t="s">
        <v>2345</v>
      </c>
      <c r="J2453" s="94" t="s">
        <v>222</v>
      </c>
      <c r="K2453" s="123" t="s">
        <v>222</v>
      </c>
      <c r="L2453" s="4" t="s">
        <v>3</v>
      </c>
      <c r="M2453" s="61" t="s">
        <v>376</v>
      </c>
      <c r="N2453" s="61" t="s">
        <v>2344</v>
      </c>
      <c r="O2453" s="61" t="s">
        <v>2345</v>
      </c>
      <c r="P2453" s="61" t="s">
        <v>2345</v>
      </c>
      <c r="Q2453" s="61"/>
      <c r="R2453" s="61" t="s">
        <v>5</v>
      </c>
      <c r="S2453" s="61"/>
      <c r="T2453" s="57"/>
      <c r="U2453" s="57"/>
      <c r="V2453" s="57"/>
      <c r="W2453" s="57"/>
      <c r="X2453" s="57"/>
      <c r="Y2453" s="57"/>
    </row>
    <row r="2454" spans="1:25" s="1" customFormat="1" ht="33" customHeight="1" x14ac:dyDescent="0.3">
      <c r="A2454" s="11">
        <v>36</v>
      </c>
      <c r="B2454" s="23">
        <v>5</v>
      </c>
      <c r="C2454" s="24" t="str">
        <f t="shared" si="59"/>
        <v>36.05</v>
      </c>
      <c r="D2454" s="18" t="s">
        <v>2148</v>
      </c>
      <c r="E2454" s="64" t="s">
        <v>2161</v>
      </c>
      <c r="F2454" s="85" t="s">
        <v>226</v>
      </c>
      <c r="G2454" s="336" t="s">
        <v>308</v>
      </c>
      <c r="H2454" s="85" t="s">
        <v>2340</v>
      </c>
      <c r="I2454" s="94" t="s">
        <v>240</v>
      </c>
      <c r="J2454" s="94" t="s">
        <v>222</v>
      </c>
      <c r="K2454" s="123" t="s">
        <v>222</v>
      </c>
      <c r="L2454" s="4" t="s">
        <v>3</v>
      </c>
      <c r="M2454" s="61" t="s">
        <v>376</v>
      </c>
      <c r="N2454" s="61" t="s">
        <v>2344</v>
      </c>
      <c r="O2454" s="61" t="s">
        <v>2345</v>
      </c>
      <c r="P2454" s="61" t="s">
        <v>2345</v>
      </c>
      <c r="Q2454" s="61" t="s">
        <v>2368</v>
      </c>
      <c r="R2454" s="61" t="s">
        <v>5</v>
      </c>
      <c r="S2454" s="61"/>
      <c r="T2454" s="57"/>
      <c r="U2454" s="57"/>
      <c r="V2454" s="57"/>
      <c r="W2454" s="57"/>
      <c r="X2454" s="57"/>
      <c r="Y2454" s="57"/>
    </row>
    <row r="2455" spans="1:25" s="1" customFormat="1" ht="33" customHeight="1" x14ac:dyDescent="0.3">
      <c r="A2455" s="11">
        <v>36</v>
      </c>
      <c r="B2455" s="23">
        <v>6</v>
      </c>
      <c r="C2455" s="24" t="str">
        <f t="shared" si="59"/>
        <v>36.06</v>
      </c>
      <c r="D2455" s="18" t="s">
        <v>2148</v>
      </c>
      <c r="E2455" s="64" t="s">
        <v>2161</v>
      </c>
      <c r="F2455" s="85" t="s">
        <v>226</v>
      </c>
      <c r="G2455" s="336" t="s">
        <v>2352</v>
      </c>
      <c r="H2455" s="85" t="s">
        <v>2340</v>
      </c>
      <c r="I2455" s="94" t="s">
        <v>376</v>
      </c>
      <c r="J2455" s="94" t="s">
        <v>222</v>
      </c>
      <c r="K2455" s="123" t="s">
        <v>222</v>
      </c>
      <c r="L2455" s="4" t="s">
        <v>3</v>
      </c>
      <c r="M2455" s="61" t="s">
        <v>376</v>
      </c>
      <c r="N2455" s="61" t="s">
        <v>2344</v>
      </c>
      <c r="O2455" s="61" t="s">
        <v>2345</v>
      </c>
      <c r="P2455" s="61" t="s">
        <v>2345</v>
      </c>
      <c r="Q2455" s="61" t="s">
        <v>2368</v>
      </c>
      <c r="R2455" s="61" t="s">
        <v>5</v>
      </c>
      <c r="S2455" s="61"/>
      <c r="T2455" s="57"/>
      <c r="U2455" s="57"/>
      <c r="V2455" s="57"/>
      <c r="W2455" s="57"/>
      <c r="X2455" s="57"/>
      <c r="Y2455" s="57"/>
    </row>
    <row r="2456" spans="1:25" s="1" customFormat="1" ht="33" customHeight="1" x14ac:dyDescent="0.3">
      <c r="A2456" s="11">
        <v>36</v>
      </c>
      <c r="B2456" s="23">
        <v>7</v>
      </c>
      <c r="C2456" s="24" t="str">
        <f t="shared" si="59"/>
        <v>36.07</v>
      </c>
      <c r="D2456" s="18" t="s">
        <v>2148</v>
      </c>
      <c r="E2456" s="64" t="s">
        <v>2161</v>
      </c>
      <c r="F2456" s="85" t="s">
        <v>226</v>
      </c>
      <c r="G2456" s="336" t="s">
        <v>2353</v>
      </c>
      <c r="H2456" s="85" t="s">
        <v>2340</v>
      </c>
      <c r="I2456" s="94" t="s">
        <v>2344</v>
      </c>
      <c r="J2456" s="94" t="s">
        <v>222</v>
      </c>
      <c r="K2456" s="123" t="s">
        <v>222</v>
      </c>
      <c r="L2456" s="4" t="s">
        <v>3</v>
      </c>
      <c r="M2456" s="61" t="s">
        <v>376</v>
      </c>
      <c r="N2456" s="61" t="s">
        <v>2344</v>
      </c>
      <c r="O2456" s="61" t="s">
        <v>2345</v>
      </c>
      <c r="P2456" s="61" t="s">
        <v>2345</v>
      </c>
      <c r="Q2456" s="61" t="s">
        <v>2368</v>
      </c>
      <c r="R2456" s="61" t="s">
        <v>5</v>
      </c>
      <c r="S2456" s="61"/>
      <c r="T2456" s="57"/>
      <c r="U2456" s="57"/>
      <c r="V2456" s="57"/>
      <c r="W2456" s="57"/>
      <c r="X2456" s="57"/>
      <c r="Y2456" s="57"/>
    </row>
    <row r="2457" spans="1:25" s="1" customFormat="1" ht="33" customHeight="1" x14ac:dyDescent="0.3">
      <c r="A2457" s="11">
        <v>36</v>
      </c>
      <c r="B2457" s="23">
        <v>8</v>
      </c>
      <c r="C2457" s="24" t="str">
        <f t="shared" si="59"/>
        <v>36.08</v>
      </c>
      <c r="D2457" s="18" t="s">
        <v>2148</v>
      </c>
      <c r="E2457" s="64" t="s">
        <v>2161</v>
      </c>
      <c r="F2457" s="85" t="s">
        <v>225</v>
      </c>
      <c r="G2457" s="336" t="s">
        <v>1388</v>
      </c>
      <c r="H2457" s="85" t="s">
        <v>2340</v>
      </c>
      <c r="I2457" s="94" t="s">
        <v>33</v>
      </c>
      <c r="J2457" s="94" t="s">
        <v>222</v>
      </c>
      <c r="K2457" s="123" t="s">
        <v>222</v>
      </c>
      <c r="L2457" s="4" t="s">
        <v>3</v>
      </c>
      <c r="M2457" s="61" t="s">
        <v>33</v>
      </c>
      <c r="N2457" s="61" t="s">
        <v>2347</v>
      </c>
      <c r="O2457" s="61" t="s">
        <v>2345</v>
      </c>
      <c r="P2457" s="61" t="s">
        <v>2345</v>
      </c>
      <c r="Q2457" s="61"/>
      <c r="R2457" s="61" t="s">
        <v>5</v>
      </c>
      <c r="S2457" s="61"/>
      <c r="T2457" s="57"/>
      <c r="U2457" s="57"/>
      <c r="V2457" s="57"/>
      <c r="W2457" s="57"/>
      <c r="X2457" s="57"/>
      <c r="Y2457" s="57"/>
    </row>
    <row r="2458" spans="1:25" s="1" customFormat="1" ht="33" customHeight="1" x14ac:dyDescent="0.3">
      <c r="A2458" s="11">
        <v>36</v>
      </c>
      <c r="B2458" s="23">
        <v>9</v>
      </c>
      <c r="C2458" s="24" t="str">
        <f t="shared" si="59"/>
        <v>36.09</v>
      </c>
      <c r="D2458" s="18" t="s">
        <v>2148</v>
      </c>
      <c r="E2458" s="64" t="s">
        <v>2161</v>
      </c>
      <c r="F2458" s="85" t="s">
        <v>225</v>
      </c>
      <c r="G2458" s="336" t="s">
        <v>1389</v>
      </c>
      <c r="H2458" s="85" t="s">
        <v>2340</v>
      </c>
      <c r="I2458" s="94" t="s">
        <v>2347</v>
      </c>
      <c r="J2458" s="94" t="s">
        <v>222</v>
      </c>
      <c r="K2458" s="123" t="s">
        <v>222</v>
      </c>
      <c r="L2458" s="4" t="s">
        <v>3</v>
      </c>
      <c r="M2458" s="61" t="s">
        <v>33</v>
      </c>
      <c r="N2458" s="61" t="s">
        <v>2347</v>
      </c>
      <c r="O2458" s="61" t="s">
        <v>2345</v>
      </c>
      <c r="P2458" s="61" t="s">
        <v>2345</v>
      </c>
      <c r="Q2458" s="61"/>
      <c r="R2458" s="61" t="s">
        <v>5</v>
      </c>
      <c r="S2458" s="61"/>
      <c r="T2458" s="57"/>
      <c r="U2458" s="57"/>
      <c r="V2458" s="57"/>
      <c r="W2458" s="57"/>
      <c r="X2458" s="57"/>
      <c r="Y2458" s="57"/>
    </row>
    <row r="2459" spans="1:25" s="1" customFormat="1" ht="33" customHeight="1" x14ac:dyDescent="0.3">
      <c r="A2459" s="11">
        <v>36</v>
      </c>
      <c r="B2459" s="23">
        <v>10</v>
      </c>
      <c r="C2459" s="24" t="str">
        <f t="shared" si="59"/>
        <v>36.10</v>
      </c>
      <c r="D2459" s="18" t="s">
        <v>2148</v>
      </c>
      <c r="E2459" s="64" t="s">
        <v>2161</v>
      </c>
      <c r="F2459" s="85" t="s">
        <v>225</v>
      </c>
      <c r="G2459" s="336" t="s">
        <v>2341</v>
      </c>
      <c r="H2459" s="85" t="s">
        <v>2340</v>
      </c>
      <c r="I2459" s="94" t="s">
        <v>2345</v>
      </c>
      <c r="J2459" s="94" t="s">
        <v>222</v>
      </c>
      <c r="K2459" s="123" t="s">
        <v>222</v>
      </c>
      <c r="L2459" s="4" t="s">
        <v>3</v>
      </c>
      <c r="M2459" s="61" t="s">
        <v>33</v>
      </c>
      <c r="N2459" s="61" t="s">
        <v>2347</v>
      </c>
      <c r="O2459" s="61" t="s">
        <v>2345</v>
      </c>
      <c r="P2459" s="61" t="s">
        <v>2345</v>
      </c>
      <c r="Q2459" s="61"/>
      <c r="R2459" s="61" t="s">
        <v>5</v>
      </c>
      <c r="S2459" s="61"/>
      <c r="T2459" s="57"/>
      <c r="U2459" s="57"/>
      <c r="V2459" s="57"/>
      <c r="W2459" s="57"/>
      <c r="X2459" s="57"/>
      <c r="Y2459" s="57"/>
    </row>
    <row r="2460" spans="1:25" s="1" customFormat="1" ht="33" customHeight="1" x14ac:dyDescent="0.3">
      <c r="A2460" s="11">
        <v>36</v>
      </c>
      <c r="B2460" s="23">
        <v>11</v>
      </c>
      <c r="C2460" s="24" t="str">
        <f t="shared" si="59"/>
        <v>36.11</v>
      </c>
      <c r="D2460" s="18" t="s">
        <v>2148</v>
      </c>
      <c r="E2460" s="64" t="s">
        <v>2161</v>
      </c>
      <c r="F2460" s="85" t="s">
        <v>225</v>
      </c>
      <c r="G2460" s="336" t="s">
        <v>2342</v>
      </c>
      <c r="H2460" s="85" t="s">
        <v>2340</v>
      </c>
      <c r="I2460" s="94" t="s">
        <v>2345</v>
      </c>
      <c r="J2460" s="94" t="s">
        <v>222</v>
      </c>
      <c r="K2460" s="123" t="s">
        <v>222</v>
      </c>
      <c r="L2460" s="4" t="s">
        <v>3</v>
      </c>
      <c r="M2460" s="61" t="s">
        <v>33</v>
      </c>
      <c r="N2460" s="61" t="s">
        <v>2347</v>
      </c>
      <c r="O2460" s="61" t="s">
        <v>2345</v>
      </c>
      <c r="P2460" s="61" t="s">
        <v>2345</v>
      </c>
      <c r="Q2460" s="61"/>
      <c r="R2460" s="61" t="s">
        <v>5</v>
      </c>
      <c r="S2460" s="61"/>
      <c r="T2460" s="57"/>
      <c r="U2460" s="57"/>
      <c r="V2460" s="57"/>
      <c r="W2460" s="57"/>
      <c r="X2460" s="57"/>
      <c r="Y2460" s="57"/>
    </row>
    <row r="2461" spans="1:25" s="1" customFormat="1" ht="33" customHeight="1" x14ac:dyDescent="0.3">
      <c r="A2461" s="11">
        <v>36</v>
      </c>
      <c r="B2461" s="23">
        <v>12</v>
      </c>
      <c r="C2461" s="24" t="str">
        <f t="shared" si="59"/>
        <v>36.12</v>
      </c>
      <c r="D2461" s="18" t="s">
        <v>2148</v>
      </c>
      <c r="E2461" s="64" t="s">
        <v>2161</v>
      </c>
      <c r="F2461" s="85" t="s">
        <v>226</v>
      </c>
      <c r="G2461" s="336" t="s">
        <v>308</v>
      </c>
      <c r="H2461" s="85" t="s">
        <v>2340</v>
      </c>
      <c r="I2461" s="94" t="s">
        <v>240</v>
      </c>
      <c r="J2461" s="94" t="s">
        <v>222</v>
      </c>
      <c r="K2461" s="123" t="s">
        <v>222</v>
      </c>
      <c r="L2461" s="4" t="s">
        <v>3</v>
      </c>
      <c r="M2461" s="61" t="s">
        <v>33</v>
      </c>
      <c r="N2461" s="61" t="s">
        <v>2347</v>
      </c>
      <c r="O2461" s="61" t="s">
        <v>2345</v>
      </c>
      <c r="P2461" s="61" t="s">
        <v>2345</v>
      </c>
      <c r="Q2461" s="61" t="s">
        <v>2368</v>
      </c>
      <c r="R2461" s="61" t="s">
        <v>5</v>
      </c>
      <c r="S2461" s="61"/>
      <c r="T2461" s="57"/>
      <c r="U2461" s="57"/>
      <c r="V2461" s="57"/>
      <c r="W2461" s="57"/>
      <c r="X2461" s="57"/>
      <c r="Y2461" s="57"/>
    </row>
    <row r="2462" spans="1:25" s="1" customFormat="1" ht="33" customHeight="1" x14ac:dyDescent="0.3">
      <c r="A2462" s="11">
        <v>36</v>
      </c>
      <c r="B2462" s="23">
        <v>13</v>
      </c>
      <c r="C2462" s="24" t="str">
        <f t="shared" si="59"/>
        <v>36.13</v>
      </c>
      <c r="D2462" s="18" t="s">
        <v>2148</v>
      </c>
      <c r="E2462" s="64" t="s">
        <v>2161</v>
      </c>
      <c r="F2462" s="85" t="s">
        <v>226</v>
      </c>
      <c r="G2462" s="336" t="s">
        <v>2352</v>
      </c>
      <c r="H2462" s="85" t="s">
        <v>2340</v>
      </c>
      <c r="I2462" s="94" t="s">
        <v>33</v>
      </c>
      <c r="J2462" s="94" t="s">
        <v>222</v>
      </c>
      <c r="K2462" s="123" t="s">
        <v>222</v>
      </c>
      <c r="L2462" s="4" t="s">
        <v>3</v>
      </c>
      <c r="M2462" s="61" t="s">
        <v>33</v>
      </c>
      <c r="N2462" s="61" t="s">
        <v>2347</v>
      </c>
      <c r="O2462" s="61" t="s">
        <v>2345</v>
      </c>
      <c r="P2462" s="61" t="s">
        <v>2345</v>
      </c>
      <c r="Q2462" s="61" t="s">
        <v>2368</v>
      </c>
      <c r="R2462" s="61" t="s">
        <v>5</v>
      </c>
      <c r="S2462" s="61"/>
      <c r="T2462" s="57"/>
      <c r="U2462" s="57"/>
      <c r="V2462" s="57"/>
      <c r="W2462" s="57"/>
      <c r="X2462" s="57"/>
      <c r="Y2462" s="57"/>
    </row>
    <row r="2463" spans="1:25" s="1" customFormat="1" ht="33" customHeight="1" x14ac:dyDescent="0.3">
      <c r="A2463" s="11">
        <v>36</v>
      </c>
      <c r="B2463" s="23">
        <v>14</v>
      </c>
      <c r="C2463" s="24" t="str">
        <f t="shared" si="59"/>
        <v>36.14</v>
      </c>
      <c r="D2463" s="18" t="s">
        <v>2148</v>
      </c>
      <c r="E2463" s="64" t="s">
        <v>2161</v>
      </c>
      <c r="F2463" s="85" t="s">
        <v>226</v>
      </c>
      <c r="G2463" s="336" t="s">
        <v>2353</v>
      </c>
      <c r="H2463" s="85" t="s">
        <v>2340</v>
      </c>
      <c r="I2463" s="94" t="s">
        <v>2347</v>
      </c>
      <c r="J2463" s="94" t="s">
        <v>222</v>
      </c>
      <c r="K2463" s="123" t="s">
        <v>222</v>
      </c>
      <c r="L2463" s="4" t="s">
        <v>3</v>
      </c>
      <c r="M2463" s="61" t="s">
        <v>33</v>
      </c>
      <c r="N2463" s="61" t="s">
        <v>2347</v>
      </c>
      <c r="O2463" s="61" t="s">
        <v>2345</v>
      </c>
      <c r="P2463" s="61" t="s">
        <v>2345</v>
      </c>
      <c r="Q2463" s="61" t="s">
        <v>2368</v>
      </c>
      <c r="R2463" s="61" t="s">
        <v>5</v>
      </c>
      <c r="S2463" s="61"/>
      <c r="T2463" s="57"/>
      <c r="U2463" s="57"/>
      <c r="V2463" s="57"/>
      <c r="W2463" s="57"/>
      <c r="X2463" s="57"/>
      <c r="Y2463" s="57"/>
    </row>
    <row r="2464" spans="1:25" s="1" customFormat="1" ht="33" customHeight="1" x14ac:dyDescent="0.3">
      <c r="A2464" s="11">
        <v>36</v>
      </c>
      <c r="B2464" s="23">
        <v>15</v>
      </c>
      <c r="C2464" s="24" t="str">
        <f t="shared" si="59"/>
        <v>36.15</v>
      </c>
      <c r="D2464" s="18" t="s">
        <v>2148</v>
      </c>
      <c r="E2464" s="64" t="s">
        <v>2161</v>
      </c>
      <c r="F2464" s="85" t="s">
        <v>225</v>
      </c>
      <c r="G2464" s="336" t="s">
        <v>1388</v>
      </c>
      <c r="H2464" s="85" t="s">
        <v>2340</v>
      </c>
      <c r="I2464" s="94" t="s">
        <v>33</v>
      </c>
      <c r="J2464" s="94" t="s">
        <v>222</v>
      </c>
      <c r="K2464" s="123" t="s">
        <v>222</v>
      </c>
      <c r="L2464" s="4" t="s">
        <v>3</v>
      </c>
      <c r="M2464" s="61" t="s">
        <v>33</v>
      </c>
      <c r="N2464" s="61" t="s">
        <v>2347</v>
      </c>
      <c r="O2464" s="61" t="s">
        <v>2346</v>
      </c>
      <c r="P2464" s="61" t="s">
        <v>2345</v>
      </c>
      <c r="Q2464" s="61"/>
      <c r="R2464" s="61" t="s">
        <v>5</v>
      </c>
      <c r="S2464" s="61"/>
      <c r="T2464" s="57"/>
      <c r="U2464" s="57"/>
      <c r="V2464" s="57"/>
      <c r="W2464" s="57"/>
      <c r="X2464" s="57"/>
      <c r="Y2464" s="57"/>
    </row>
    <row r="2465" spans="1:25" s="1" customFormat="1" ht="33" customHeight="1" x14ac:dyDescent="0.3">
      <c r="A2465" s="11">
        <v>36</v>
      </c>
      <c r="B2465" s="23">
        <v>16</v>
      </c>
      <c r="C2465" s="24" t="str">
        <f t="shared" si="59"/>
        <v>36.16</v>
      </c>
      <c r="D2465" s="18" t="s">
        <v>2148</v>
      </c>
      <c r="E2465" s="64" t="s">
        <v>2161</v>
      </c>
      <c r="F2465" s="85" t="s">
        <v>225</v>
      </c>
      <c r="G2465" s="336" t="s">
        <v>1389</v>
      </c>
      <c r="H2465" s="85" t="s">
        <v>2340</v>
      </c>
      <c r="I2465" s="94" t="s">
        <v>2347</v>
      </c>
      <c r="J2465" s="94" t="s">
        <v>222</v>
      </c>
      <c r="K2465" s="123" t="s">
        <v>222</v>
      </c>
      <c r="L2465" s="4" t="s">
        <v>3</v>
      </c>
      <c r="M2465" s="61" t="s">
        <v>33</v>
      </c>
      <c r="N2465" s="61" t="s">
        <v>2347</v>
      </c>
      <c r="O2465" s="61" t="s">
        <v>2346</v>
      </c>
      <c r="P2465" s="61" t="s">
        <v>2345</v>
      </c>
      <c r="Q2465" s="61"/>
      <c r="R2465" s="61" t="s">
        <v>5</v>
      </c>
      <c r="S2465" s="61"/>
      <c r="T2465" s="57"/>
      <c r="U2465" s="57"/>
      <c r="V2465" s="57"/>
      <c r="W2465" s="57"/>
      <c r="X2465" s="57"/>
      <c r="Y2465" s="57"/>
    </row>
    <row r="2466" spans="1:25" s="1" customFormat="1" ht="33" customHeight="1" x14ac:dyDescent="0.3">
      <c r="A2466" s="11">
        <v>36</v>
      </c>
      <c r="B2466" s="23">
        <v>17</v>
      </c>
      <c r="C2466" s="24" t="str">
        <f t="shared" si="59"/>
        <v>36.17</v>
      </c>
      <c r="D2466" s="18" t="s">
        <v>2148</v>
      </c>
      <c r="E2466" s="64" t="s">
        <v>2161</v>
      </c>
      <c r="F2466" s="85" t="s">
        <v>225</v>
      </c>
      <c r="G2466" s="336" t="s">
        <v>2341</v>
      </c>
      <c r="H2466" s="85" t="s">
        <v>2340</v>
      </c>
      <c r="I2466" s="94" t="s">
        <v>2346</v>
      </c>
      <c r="J2466" s="94" t="s">
        <v>222</v>
      </c>
      <c r="K2466" s="123" t="s">
        <v>222</v>
      </c>
      <c r="L2466" s="4" t="s">
        <v>3</v>
      </c>
      <c r="M2466" s="61" t="s">
        <v>33</v>
      </c>
      <c r="N2466" s="61" t="s">
        <v>2347</v>
      </c>
      <c r="O2466" s="61" t="s">
        <v>2346</v>
      </c>
      <c r="P2466" s="61" t="s">
        <v>2345</v>
      </c>
      <c r="Q2466" s="61"/>
      <c r="R2466" s="61" t="s">
        <v>5</v>
      </c>
      <c r="S2466" s="61"/>
      <c r="T2466" s="57"/>
      <c r="U2466" s="57"/>
      <c r="V2466" s="57"/>
      <c r="W2466" s="57"/>
      <c r="X2466" s="57"/>
      <c r="Y2466" s="57"/>
    </row>
    <row r="2467" spans="1:25" s="1" customFormat="1" ht="33" customHeight="1" x14ac:dyDescent="0.3">
      <c r="A2467" s="11">
        <v>36</v>
      </c>
      <c r="B2467" s="23">
        <v>18</v>
      </c>
      <c r="C2467" s="24" t="str">
        <f t="shared" si="59"/>
        <v>36.18</v>
      </c>
      <c r="D2467" s="18" t="s">
        <v>2148</v>
      </c>
      <c r="E2467" s="64" t="s">
        <v>2161</v>
      </c>
      <c r="F2467" s="85" t="s">
        <v>225</v>
      </c>
      <c r="G2467" s="336" t="s">
        <v>2342</v>
      </c>
      <c r="H2467" s="85" t="s">
        <v>2340</v>
      </c>
      <c r="I2467" s="94" t="s">
        <v>2345</v>
      </c>
      <c r="J2467" s="94" t="s">
        <v>222</v>
      </c>
      <c r="K2467" s="123" t="s">
        <v>222</v>
      </c>
      <c r="L2467" s="4" t="s">
        <v>3</v>
      </c>
      <c r="M2467" s="61" t="s">
        <v>33</v>
      </c>
      <c r="N2467" s="61" t="s">
        <v>2347</v>
      </c>
      <c r="O2467" s="61" t="s">
        <v>2346</v>
      </c>
      <c r="P2467" s="61" t="s">
        <v>2345</v>
      </c>
      <c r="Q2467" s="61"/>
      <c r="R2467" s="61" t="s">
        <v>5</v>
      </c>
      <c r="S2467" s="61"/>
      <c r="T2467" s="57"/>
      <c r="U2467" s="57"/>
      <c r="V2467" s="57"/>
      <c r="W2467" s="57"/>
      <c r="X2467" s="57"/>
      <c r="Y2467" s="57"/>
    </row>
    <row r="2468" spans="1:25" s="1" customFormat="1" ht="33" customHeight="1" x14ac:dyDescent="0.3">
      <c r="A2468" s="11">
        <v>36</v>
      </c>
      <c r="B2468" s="23">
        <v>19</v>
      </c>
      <c r="C2468" s="24" t="str">
        <f t="shared" si="59"/>
        <v>36.19</v>
      </c>
      <c r="D2468" s="18" t="s">
        <v>2148</v>
      </c>
      <c r="E2468" s="64" t="s">
        <v>2161</v>
      </c>
      <c r="F2468" s="85" t="s">
        <v>226</v>
      </c>
      <c r="G2468" s="336" t="s">
        <v>308</v>
      </c>
      <c r="H2468" s="85" t="s">
        <v>2340</v>
      </c>
      <c r="I2468" s="94" t="s">
        <v>240</v>
      </c>
      <c r="J2468" s="94" t="s">
        <v>222</v>
      </c>
      <c r="K2468" s="123" t="s">
        <v>222</v>
      </c>
      <c r="L2468" s="4" t="s">
        <v>3</v>
      </c>
      <c r="M2468" s="61" t="s">
        <v>33</v>
      </c>
      <c r="N2468" s="61" t="s">
        <v>2347</v>
      </c>
      <c r="O2468" s="61" t="s">
        <v>2346</v>
      </c>
      <c r="P2468" s="61" t="s">
        <v>2345</v>
      </c>
      <c r="Q2468" s="61" t="s">
        <v>2368</v>
      </c>
      <c r="R2468" s="61" t="s">
        <v>5</v>
      </c>
      <c r="S2468" s="61"/>
      <c r="T2468" s="57"/>
      <c r="U2468" s="57"/>
      <c r="V2468" s="57"/>
      <c r="W2468" s="57"/>
      <c r="X2468" s="57"/>
      <c r="Y2468" s="57"/>
    </row>
    <row r="2469" spans="1:25" s="1" customFormat="1" ht="33" customHeight="1" x14ac:dyDescent="0.3">
      <c r="A2469" s="11">
        <v>36</v>
      </c>
      <c r="B2469" s="23">
        <v>20</v>
      </c>
      <c r="C2469" s="24" t="str">
        <f t="shared" si="59"/>
        <v>36.20</v>
      </c>
      <c r="D2469" s="18" t="s">
        <v>2148</v>
      </c>
      <c r="E2469" s="64" t="s">
        <v>2161</v>
      </c>
      <c r="F2469" s="85" t="s">
        <v>226</v>
      </c>
      <c r="G2469" s="336" t="s">
        <v>2352</v>
      </c>
      <c r="H2469" s="85" t="s">
        <v>2340</v>
      </c>
      <c r="I2469" s="94" t="s">
        <v>33</v>
      </c>
      <c r="J2469" s="94" t="s">
        <v>222</v>
      </c>
      <c r="K2469" s="123" t="s">
        <v>222</v>
      </c>
      <c r="L2469" s="4" t="s">
        <v>3</v>
      </c>
      <c r="M2469" s="61" t="s">
        <v>33</v>
      </c>
      <c r="N2469" s="61" t="s">
        <v>2347</v>
      </c>
      <c r="O2469" s="61" t="s">
        <v>2346</v>
      </c>
      <c r="P2469" s="61" t="s">
        <v>2345</v>
      </c>
      <c r="Q2469" s="61" t="s">
        <v>2368</v>
      </c>
      <c r="R2469" s="61" t="s">
        <v>5</v>
      </c>
      <c r="S2469" s="61"/>
      <c r="T2469" s="57"/>
      <c r="U2469" s="57"/>
      <c r="V2469" s="57"/>
      <c r="W2469" s="57"/>
      <c r="X2469" s="57"/>
      <c r="Y2469" s="57"/>
    </row>
    <row r="2470" spans="1:25" s="1" customFormat="1" ht="33" customHeight="1" x14ac:dyDescent="0.3">
      <c r="A2470" s="11">
        <v>36</v>
      </c>
      <c r="B2470" s="23">
        <v>21</v>
      </c>
      <c r="C2470" s="24" t="str">
        <f t="shared" si="59"/>
        <v>36.21</v>
      </c>
      <c r="D2470" s="18" t="s">
        <v>2148</v>
      </c>
      <c r="E2470" s="64" t="s">
        <v>2161</v>
      </c>
      <c r="F2470" s="85" t="s">
        <v>226</v>
      </c>
      <c r="G2470" s="336" t="s">
        <v>2353</v>
      </c>
      <c r="H2470" s="85" t="s">
        <v>2340</v>
      </c>
      <c r="I2470" s="94" t="s">
        <v>2347</v>
      </c>
      <c r="J2470" s="94" t="s">
        <v>222</v>
      </c>
      <c r="K2470" s="123" t="s">
        <v>222</v>
      </c>
      <c r="L2470" s="4" t="s">
        <v>3</v>
      </c>
      <c r="M2470" s="61" t="s">
        <v>33</v>
      </c>
      <c r="N2470" s="61" t="s">
        <v>2347</v>
      </c>
      <c r="O2470" s="61" t="s">
        <v>2346</v>
      </c>
      <c r="P2470" s="61" t="s">
        <v>2345</v>
      </c>
      <c r="Q2470" s="61" t="s">
        <v>2368</v>
      </c>
      <c r="R2470" s="61" t="s">
        <v>5</v>
      </c>
      <c r="S2470" s="61"/>
      <c r="T2470" s="57"/>
      <c r="U2470" s="57"/>
      <c r="V2470" s="57"/>
      <c r="W2470" s="57"/>
      <c r="X2470" s="57"/>
      <c r="Y2470" s="57"/>
    </row>
    <row r="2471" spans="1:25" s="1" customFormat="1" ht="33" customHeight="1" x14ac:dyDescent="0.3">
      <c r="A2471" s="11">
        <v>36</v>
      </c>
      <c r="B2471" s="23">
        <v>22</v>
      </c>
      <c r="C2471" s="24" t="str">
        <f t="shared" si="59"/>
        <v>36.22</v>
      </c>
      <c r="D2471" s="18" t="s">
        <v>2148</v>
      </c>
      <c r="E2471" s="64" t="str">
        <f>IF(ISBLANK(D2471)=TRUE,"",VLOOKUP(D2471,Krav!$C:$F,4,FALSE))</f>
        <v>11.a.2 - Der skal komme en advarsel om det ikke er "normalt" hvis fordringshaver svarer at sidste rettidige betalingsdato kan ligge før forfaldsdatoen</v>
      </c>
      <c r="F2471" s="85" t="s">
        <v>174</v>
      </c>
      <c r="G2471" s="53"/>
      <c r="H2471" s="85" t="s">
        <v>2340</v>
      </c>
      <c r="I2471" s="67" t="s">
        <v>1414</v>
      </c>
      <c r="J2471" s="87" t="s">
        <v>222</v>
      </c>
      <c r="K2471" s="123" t="s">
        <v>222</v>
      </c>
      <c r="L2471" s="4" t="s">
        <v>3</v>
      </c>
      <c r="M2471" s="205" t="s">
        <v>376</v>
      </c>
      <c r="N2471" s="61" t="s">
        <v>2344</v>
      </c>
      <c r="O2471" s="205" t="s">
        <v>2346</v>
      </c>
      <c r="P2471" s="61" t="s">
        <v>2345</v>
      </c>
      <c r="Q2471" s="61"/>
      <c r="R2471" s="61" t="s">
        <v>5</v>
      </c>
      <c r="S2471" s="61"/>
      <c r="T2471" s="57"/>
      <c r="U2471" s="57"/>
      <c r="V2471" s="57"/>
      <c r="W2471" s="57"/>
      <c r="X2471" s="57"/>
      <c r="Y2471" s="57"/>
    </row>
    <row r="2472" spans="1:25" s="1" customFormat="1" ht="33" customHeight="1" x14ac:dyDescent="0.3">
      <c r="A2472" s="11">
        <v>36</v>
      </c>
      <c r="B2472" s="23">
        <v>23</v>
      </c>
      <c r="C2472" s="24" t="str">
        <f t="shared" si="59"/>
        <v>36.23</v>
      </c>
      <c r="D2472" s="18" t="s">
        <v>2148</v>
      </c>
      <c r="E2472" s="64" t="str">
        <f>IF(ISBLANK(D2472)=TRUE,"",VLOOKUP(D2472,Krav!$C:$F,4,FALSE))</f>
        <v>11.a.2 - Der skal komme en advarsel om det ikke er "normalt" hvis fordringshaver svarer at sidste rettidige betalingsdato kan ligge før forfaldsdatoen</v>
      </c>
      <c r="F2472" s="334" t="s">
        <v>418</v>
      </c>
      <c r="G2472" s="334" t="s">
        <v>419</v>
      </c>
      <c r="H2472" s="85" t="s">
        <v>2340</v>
      </c>
      <c r="I2472" s="86" t="s">
        <v>129</v>
      </c>
      <c r="J2472" s="94" t="s">
        <v>222</v>
      </c>
      <c r="K2472" s="123" t="s">
        <v>222</v>
      </c>
      <c r="L2472" s="4" t="s">
        <v>3</v>
      </c>
      <c r="M2472" s="205" t="s">
        <v>376</v>
      </c>
      <c r="N2472" s="61" t="s">
        <v>2344</v>
      </c>
      <c r="O2472" s="205" t="s">
        <v>2346</v>
      </c>
      <c r="P2472" s="61" t="s">
        <v>2345</v>
      </c>
      <c r="Q2472" s="61"/>
      <c r="R2472" s="61" t="s">
        <v>5</v>
      </c>
      <c r="S2472" s="61"/>
      <c r="T2472" s="57"/>
      <c r="U2472" s="57"/>
      <c r="V2472" s="57"/>
      <c r="W2472" s="57"/>
      <c r="X2472" s="57"/>
      <c r="Y2472" s="57"/>
    </row>
    <row r="2473" spans="1:25" s="1" customFormat="1" ht="33" customHeight="1" x14ac:dyDescent="0.3">
      <c r="A2473" s="11">
        <v>36</v>
      </c>
      <c r="B2473" s="23">
        <v>24</v>
      </c>
      <c r="C2473" s="24" t="str">
        <f t="shared" si="59"/>
        <v>36.24</v>
      </c>
      <c r="D2473" s="18" t="s">
        <v>2148</v>
      </c>
      <c r="E2473" s="64" t="str">
        <f>IF(ISBLANK(D2473)=TRUE,"",VLOOKUP(D2473,Krav!$C:$F,4,FALSE))</f>
        <v>11.a.2 - Der skal komme en advarsel om det ikke er "normalt" hvis fordringshaver svarer at sidste rettidige betalingsdato kan ligge før forfaldsdatoen</v>
      </c>
      <c r="F2473" s="85" t="s">
        <v>174</v>
      </c>
      <c r="G2473" s="53"/>
      <c r="H2473" s="85" t="s">
        <v>2340</v>
      </c>
      <c r="I2473" s="67" t="s">
        <v>1414</v>
      </c>
      <c r="J2473" s="87" t="s">
        <v>222</v>
      </c>
      <c r="K2473" s="123" t="s">
        <v>222</v>
      </c>
      <c r="L2473" s="4" t="s">
        <v>3</v>
      </c>
      <c r="M2473" s="205" t="s">
        <v>2344</v>
      </c>
      <c r="N2473" s="205" t="s">
        <v>2343</v>
      </c>
      <c r="O2473" s="205" t="s">
        <v>2346</v>
      </c>
      <c r="P2473" s="205" t="s">
        <v>2346</v>
      </c>
      <c r="Q2473" s="61"/>
      <c r="R2473" s="61" t="s">
        <v>5</v>
      </c>
      <c r="S2473" s="61"/>
      <c r="T2473" s="57"/>
      <c r="U2473" s="57"/>
      <c r="V2473" s="57"/>
      <c r="W2473" s="57"/>
      <c r="X2473" s="57"/>
      <c r="Y2473" s="57"/>
    </row>
    <row r="2474" spans="1:25" s="1" customFormat="1" ht="33" customHeight="1" x14ac:dyDescent="0.3">
      <c r="A2474" s="11">
        <v>36</v>
      </c>
      <c r="B2474" s="23">
        <v>25</v>
      </c>
      <c r="C2474" s="24" t="str">
        <f t="shared" si="59"/>
        <v>36.25</v>
      </c>
      <c r="D2474" s="18" t="s">
        <v>2148</v>
      </c>
      <c r="E2474" s="64" t="str">
        <f>IF(ISBLANK(D2474)=TRUE,"",VLOOKUP(D2474,Krav!$C:$F,4,FALSE))</f>
        <v>11.a.2 - Der skal komme en advarsel om det ikke er "normalt" hvis fordringshaver svarer at sidste rettidige betalingsdato kan ligge før forfaldsdatoen</v>
      </c>
      <c r="F2474" s="334" t="s">
        <v>418</v>
      </c>
      <c r="G2474" s="334" t="s">
        <v>419</v>
      </c>
      <c r="H2474" s="85" t="s">
        <v>2340</v>
      </c>
      <c r="I2474" s="86" t="s">
        <v>129</v>
      </c>
      <c r="J2474" s="94" t="s">
        <v>222</v>
      </c>
      <c r="K2474" s="123" t="s">
        <v>222</v>
      </c>
      <c r="L2474" s="4" t="s">
        <v>3</v>
      </c>
      <c r="M2474" s="205" t="s">
        <v>2344</v>
      </c>
      <c r="N2474" s="205" t="s">
        <v>2343</v>
      </c>
      <c r="O2474" s="205" t="s">
        <v>2346</v>
      </c>
      <c r="P2474" s="205" t="s">
        <v>2346</v>
      </c>
      <c r="Q2474" s="61"/>
      <c r="R2474" s="61" t="s">
        <v>5</v>
      </c>
      <c r="S2474" s="61"/>
      <c r="T2474" s="57"/>
      <c r="U2474" s="57"/>
      <c r="V2474" s="57"/>
      <c r="W2474" s="57"/>
      <c r="X2474" s="57"/>
      <c r="Y2474" s="57"/>
    </row>
    <row r="2475" spans="1:25" s="1" customFormat="1" ht="33" customHeight="1" x14ac:dyDescent="0.3">
      <c r="A2475" s="11">
        <v>36</v>
      </c>
      <c r="B2475" s="23">
        <v>26</v>
      </c>
      <c r="C2475" s="24" t="str">
        <f t="shared" si="59"/>
        <v>36.26</v>
      </c>
      <c r="D2475" s="18" t="s">
        <v>2148</v>
      </c>
      <c r="E2475" s="64" t="str">
        <f>IF(ISBLANK(D2475)=TRUE,"",VLOOKUP(D2475,Krav!$C:$F,4,FALSE))</f>
        <v>11.a.2 - Der skal komme en advarsel om det ikke er "normalt" hvis fordringshaver svarer at sidste rettidige betalingsdato kan ligge før forfaldsdatoen</v>
      </c>
      <c r="F2475" s="85" t="s">
        <v>174</v>
      </c>
      <c r="G2475" s="53"/>
      <c r="H2475" s="85" t="s">
        <v>2340</v>
      </c>
      <c r="I2475" s="67" t="s">
        <v>1414</v>
      </c>
      <c r="J2475" s="87" t="s">
        <v>222</v>
      </c>
      <c r="K2475" s="123" t="s">
        <v>222</v>
      </c>
      <c r="L2475" s="4" t="s">
        <v>3</v>
      </c>
      <c r="M2475" s="363" t="s">
        <v>2344</v>
      </c>
      <c r="N2475" s="205" t="s">
        <v>2343</v>
      </c>
      <c r="O2475" s="61" t="s">
        <v>2345</v>
      </c>
      <c r="P2475" s="205" t="s">
        <v>2346</v>
      </c>
      <c r="Q2475" s="61"/>
      <c r="R2475" s="61" t="s">
        <v>5</v>
      </c>
      <c r="S2475" s="61"/>
      <c r="T2475" s="57"/>
      <c r="U2475" s="57"/>
      <c r="V2475" s="57"/>
      <c r="W2475" s="57"/>
      <c r="X2475" s="57"/>
      <c r="Y2475" s="57"/>
    </row>
    <row r="2476" spans="1:25" s="1" customFormat="1" ht="33" customHeight="1" x14ac:dyDescent="0.3">
      <c r="A2476" s="11">
        <v>36</v>
      </c>
      <c r="B2476" s="23">
        <v>27</v>
      </c>
      <c r="C2476" s="24" t="str">
        <f t="shared" si="59"/>
        <v>36.27</v>
      </c>
      <c r="D2476" s="18" t="s">
        <v>2148</v>
      </c>
      <c r="E2476" s="64" t="str">
        <f>IF(ISBLANK(D2476)=TRUE,"",VLOOKUP(D2476,Krav!$C:$F,4,FALSE))</f>
        <v>11.a.2 - Der skal komme en advarsel om det ikke er "normalt" hvis fordringshaver svarer at sidste rettidige betalingsdato kan ligge før forfaldsdatoen</v>
      </c>
      <c r="F2476" s="334" t="s">
        <v>418</v>
      </c>
      <c r="G2476" s="334" t="s">
        <v>419</v>
      </c>
      <c r="H2476" s="85" t="s">
        <v>2340</v>
      </c>
      <c r="I2476" s="86" t="s">
        <v>129</v>
      </c>
      <c r="J2476" s="87" t="s">
        <v>222</v>
      </c>
      <c r="K2476" s="123" t="s">
        <v>222</v>
      </c>
      <c r="L2476" s="4" t="s">
        <v>3</v>
      </c>
      <c r="M2476" s="363" t="s">
        <v>2344</v>
      </c>
      <c r="N2476" s="205" t="s">
        <v>2343</v>
      </c>
      <c r="O2476" s="61" t="s">
        <v>2345</v>
      </c>
      <c r="P2476" s="205" t="s">
        <v>2346</v>
      </c>
      <c r="Q2476" s="61"/>
      <c r="R2476" s="61" t="s">
        <v>5</v>
      </c>
      <c r="S2476" s="61"/>
      <c r="T2476" s="57"/>
      <c r="U2476" s="57"/>
      <c r="V2476" s="57"/>
      <c r="W2476" s="57"/>
      <c r="X2476" s="57"/>
      <c r="Y2476" s="57"/>
    </row>
    <row r="2477" spans="1:25" s="234" customFormat="1" ht="33" customHeight="1" x14ac:dyDescent="0.3">
      <c r="A2477" s="11">
        <v>36</v>
      </c>
      <c r="B2477" s="23">
        <v>28</v>
      </c>
      <c r="C2477" s="24" t="str">
        <f t="shared" si="59"/>
        <v>36.28</v>
      </c>
      <c r="D2477" s="227" t="s">
        <v>2148</v>
      </c>
      <c r="E2477" s="366" t="str">
        <f>IF(ISBLANK(D2477)=TRUE,"",VLOOKUP(D2477,Krav!$C:$F,4,FALSE))</f>
        <v>11.a.2 - Der skal komme en advarsel om det ikke er "normalt" hvis fordringshaver svarer at sidste rettidige betalingsdato kan ligge før forfaldsdatoen</v>
      </c>
      <c r="F2477" s="367" t="s">
        <v>174</v>
      </c>
      <c r="G2477" s="228"/>
      <c r="H2477" s="367" t="s">
        <v>2340</v>
      </c>
      <c r="I2477" s="230" t="s">
        <v>1414</v>
      </c>
      <c r="J2477" s="368" t="s">
        <v>222</v>
      </c>
      <c r="K2477" s="230" t="s">
        <v>222</v>
      </c>
      <c r="L2477" s="231" t="s">
        <v>3</v>
      </c>
      <c r="M2477" s="241" t="s">
        <v>404</v>
      </c>
      <c r="N2477" s="232" t="s">
        <v>2344</v>
      </c>
      <c r="O2477" s="241" t="s">
        <v>2346</v>
      </c>
      <c r="P2477" s="232" t="s">
        <v>2345</v>
      </c>
      <c r="Q2477" s="232"/>
      <c r="R2477" s="232" t="s">
        <v>33</v>
      </c>
      <c r="S2477" s="232" t="s">
        <v>2354</v>
      </c>
      <c r="T2477" s="369"/>
      <c r="U2477" s="369"/>
      <c r="V2477" s="369"/>
      <c r="W2477" s="369"/>
      <c r="X2477" s="369"/>
      <c r="Y2477" s="369"/>
    </row>
    <row r="2478" spans="1:25" s="234" customFormat="1" ht="33" customHeight="1" x14ac:dyDescent="0.3">
      <c r="A2478" s="11">
        <v>36</v>
      </c>
      <c r="B2478" s="23">
        <v>29</v>
      </c>
      <c r="C2478" s="24" t="str">
        <f t="shared" si="59"/>
        <v>36.29</v>
      </c>
      <c r="D2478" s="227" t="s">
        <v>2148</v>
      </c>
      <c r="E2478" s="366" t="str">
        <f>IF(ISBLANK(D2478)=TRUE,"",VLOOKUP(D2478,Krav!$C:$F,4,FALSE))</f>
        <v>11.a.2 - Der skal komme en advarsel om det ikke er "normalt" hvis fordringshaver svarer at sidste rettidige betalingsdato kan ligge før forfaldsdatoen</v>
      </c>
      <c r="F2478" s="370" t="s">
        <v>418</v>
      </c>
      <c r="G2478" s="370" t="s">
        <v>419</v>
      </c>
      <c r="H2478" s="367" t="s">
        <v>2340</v>
      </c>
      <c r="I2478" s="371" t="s">
        <v>129</v>
      </c>
      <c r="J2478" s="368" t="s">
        <v>222</v>
      </c>
      <c r="K2478" s="230" t="s">
        <v>222</v>
      </c>
      <c r="L2478" s="231" t="s">
        <v>3</v>
      </c>
      <c r="M2478" s="241" t="s">
        <v>404</v>
      </c>
      <c r="N2478" s="232" t="s">
        <v>2344</v>
      </c>
      <c r="O2478" s="241" t="s">
        <v>2346</v>
      </c>
      <c r="P2478" s="232" t="s">
        <v>2345</v>
      </c>
      <c r="Q2478" s="232"/>
      <c r="R2478" s="232" t="s">
        <v>33</v>
      </c>
      <c r="S2478" s="232" t="s">
        <v>2354</v>
      </c>
      <c r="T2478" s="369"/>
      <c r="U2478" s="369"/>
      <c r="V2478" s="369"/>
      <c r="W2478" s="369"/>
      <c r="X2478" s="369"/>
      <c r="Y2478" s="369"/>
    </row>
    <row r="2479" spans="1:25" s="1" customFormat="1" ht="33" customHeight="1" x14ac:dyDescent="0.3">
      <c r="A2479" s="11">
        <v>36</v>
      </c>
      <c r="B2479" s="23">
        <v>30</v>
      </c>
      <c r="C2479" s="24" t="str">
        <f t="shared" si="59"/>
        <v>36.30</v>
      </c>
      <c r="D2479" s="18" t="s">
        <v>2148</v>
      </c>
      <c r="E2479" s="64" t="str">
        <f>IF(ISBLANK(D2479)=TRUE,"",VLOOKUP(D2479,Krav!$C:$F,4,FALSE))</f>
        <v>11.a.2 - Der skal komme en advarsel om det ikke er "normalt" hvis fordringshaver svarer at sidste rettidige betalingsdato kan ligge før forfaldsdatoen</v>
      </c>
      <c r="F2479" s="85" t="s">
        <v>174</v>
      </c>
      <c r="G2479" s="53"/>
      <c r="H2479" s="85" t="s">
        <v>2340</v>
      </c>
      <c r="I2479" s="67" t="s">
        <v>1414</v>
      </c>
      <c r="J2479" s="87" t="s">
        <v>222</v>
      </c>
      <c r="K2479" s="123" t="s">
        <v>222</v>
      </c>
      <c r="L2479" s="4" t="s">
        <v>3</v>
      </c>
      <c r="M2479" s="363" t="s">
        <v>376</v>
      </c>
      <c r="N2479" s="205" t="s">
        <v>2348</v>
      </c>
      <c r="O2479" s="61" t="s">
        <v>2345</v>
      </c>
      <c r="P2479" s="61" t="s">
        <v>2345</v>
      </c>
      <c r="Q2479" s="61"/>
      <c r="R2479" s="61" t="s">
        <v>5</v>
      </c>
      <c r="S2479" s="61"/>
      <c r="T2479" s="57"/>
      <c r="U2479" s="57"/>
      <c r="V2479" s="57"/>
      <c r="W2479" s="57"/>
      <c r="X2479" s="57"/>
      <c r="Y2479" s="57"/>
    </row>
    <row r="2480" spans="1:25" s="1" customFormat="1" ht="33" customHeight="1" x14ac:dyDescent="0.3">
      <c r="A2480" s="11">
        <v>36</v>
      </c>
      <c r="B2480" s="23">
        <v>31</v>
      </c>
      <c r="C2480" s="24" t="str">
        <f t="shared" si="59"/>
        <v>36.31</v>
      </c>
      <c r="D2480" s="18" t="s">
        <v>2148</v>
      </c>
      <c r="E2480" s="64" t="str">
        <f>IF(ISBLANK(D2480)=TRUE,"",VLOOKUP(D2480,Krav!$C:$F,4,FALSE))</f>
        <v>11.a.2 - Der skal komme en advarsel om det ikke er "normalt" hvis fordringshaver svarer at sidste rettidige betalingsdato kan ligge før forfaldsdatoen</v>
      </c>
      <c r="F2480" s="334" t="s">
        <v>418</v>
      </c>
      <c r="G2480" s="334" t="s">
        <v>419</v>
      </c>
      <c r="H2480" s="85" t="s">
        <v>2340</v>
      </c>
      <c r="I2480" s="86" t="s">
        <v>129</v>
      </c>
      <c r="J2480" s="94" t="s">
        <v>222</v>
      </c>
      <c r="K2480" s="123" t="s">
        <v>222</v>
      </c>
      <c r="L2480" s="4" t="s">
        <v>3</v>
      </c>
      <c r="M2480" s="363" t="s">
        <v>376</v>
      </c>
      <c r="N2480" s="205" t="s">
        <v>2348</v>
      </c>
      <c r="O2480" s="61" t="s">
        <v>2345</v>
      </c>
      <c r="P2480" s="61" t="s">
        <v>2345</v>
      </c>
      <c r="Q2480" s="61"/>
      <c r="R2480" s="61" t="s">
        <v>5</v>
      </c>
      <c r="S2480" s="61"/>
      <c r="T2480" s="57"/>
      <c r="U2480" s="57"/>
      <c r="V2480" s="57"/>
      <c r="W2480" s="57"/>
      <c r="X2480" s="57"/>
      <c r="Y2480" s="57"/>
    </row>
    <row r="2481" spans="1:29" s="234" customFormat="1" ht="33" customHeight="1" x14ac:dyDescent="0.3">
      <c r="A2481" s="11">
        <v>36</v>
      </c>
      <c r="B2481" s="23">
        <v>32</v>
      </c>
      <c r="C2481" s="24" t="str">
        <f t="shared" si="59"/>
        <v>36.32</v>
      </c>
      <c r="D2481" s="227" t="s">
        <v>2148</v>
      </c>
      <c r="E2481" s="366" t="str">
        <f>IF(ISBLANK(D2481)=TRUE,"",VLOOKUP(D2481,Krav!$C:$F,4,FALSE))</f>
        <v>11.a.2 - Der skal komme en advarsel om det ikke er "normalt" hvis fordringshaver svarer at sidste rettidige betalingsdato kan ligge før forfaldsdatoen</v>
      </c>
      <c r="F2481" s="367" t="s">
        <v>174</v>
      </c>
      <c r="G2481" s="228"/>
      <c r="H2481" s="367" t="s">
        <v>2340</v>
      </c>
      <c r="I2481" s="230" t="s">
        <v>1414</v>
      </c>
      <c r="J2481" s="368" t="s">
        <v>222</v>
      </c>
      <c r="K2481" s="230" t="s">
        <v>222</v>
      </c>
      <c r="L2481" s="231" t="s">
        <v>3</v>
      </c>
      <c r="M2481" s="372" t="s">
        <v>2344</v>
      </c>
      <c r="N2481" s="241" t="s">
        <v>2349</v>
      </c>
      <c r="O2481" s="232" t="s">
        <v>2345</v>
      </c>
      <c r="P2481" s="241" t="s">
        <v>2346</v>
      </c>
      <c r="Q2481" s="232"/>
      <c r="R2481" s="232" t="s">
        <v>33</v>
      </c>
      <c r="S2481" s="232" t="s">
        <v>2354</v>
      </c>
      <c r="T2481" s="369"/>
      <c r="U2481" s="369"/>
      <c r="V2481" s="369"/>
      <c r="W2481" s="369"/>
      <c r="X2481" s="369"/>
      <c r="Y2481" s="369"/>
    </row>
    <row r="2482" spans="1:29" s="234" customFormat="1" ht="33" customHeight="1" x14ac:dyDescent="0.3">
      <c r="A2482" s="11">
        <v>36</v>
      </c>
      <c r="B2482" s="23">
        <v>33</v>
      </c>
      <c r="C2482" s="24" t="str">
        <f t="shared" si="59"/>
        <v>36.33</v>
      </c>
      <c r="D2482" s="227" t="s">
        <v>2148</v>
      </c>
      <c r="E2482" s="366" t="str">
        <f>IF(ISBLANK(D2482)=TRUE,"",VLOOKUP(D2482,Krav!$C:$F,4,FALSE))</f>
        <v>11.a.2 - Der skal komme en advarsel om det ikke er "normalt" hvis fordringshaver svarer at sidste rettidige betalingsdato kan ligge før forfaldsdatoen</v>
      </c>
      <c r="F2482" s="370" t="s">
        <v>418</v>
      </c>
      <c r="G2482" s="370" t="s">
        <v>419</v>
      </c>
      <c r="H2482" s="367" t="s">
        <v>2340</v>
      </c>
      <c r="I2482" s="371" t="s">
        <v>129</v>
      </c>
      <c r="J2482" s="368" t="s">
        <v>222</v>
      </c>
      <c r="K2482" s="230" t="s">
        <v>222</v>
      </c>
      <c r="L2482" s="231" t="s">
        <v>3</v>
      </c>
      <c r="M2482" s="373" t="s">
        <v>2344</v>
      </c>
      <c r="N2482" s="241" t="s">
        <v>2349</v>
      </c>
      <c r="O2482" s="232" t="s">
        <v>2345</v>
      </c>
      <c r="P2482" s="241" t="s">
        <v>2346</v>
      </c>
      <c r="Q2482" s="232"/>
      <c r="R2482" s="232" t="s">
        <v>33</v>
      </c>
      <c r="S2482" s="232" t="s">
        <v>2354</v>
      </c>
      <c r="T2482" s="369"/>
      <c r="U2482" s="369"/>
      <c r="V2482" s="369"/>
      <c r="W2482" s="369"/>
      <c r="X2482" s="369"/>
      <c r="Y2482" s="369"/>
    </row>
    <row r="2483" spans="1:29" s="1" customFormat="1" ht="33" customHeight="1" x14ac:dyDescent="0.3">
      <c r="A2483" s="11">
        <v>36</v>
      </c>
      <c r="B2483" s="23">
        <v>34</v>
      </c>
      <c r="C2483" s="24" t="str">
        <f t="shared" si="59"/>
        <v>36.34</v>
      </c>
      <c r="D2483" s="18" t="s">
        <v>2148</v>
      </c>
      <c r="E2483" s="64" t="str">
        <f>IF(ISBLANK(D2483)=TRUE,"",VLOOKUP(D2483,Krav!$C:$F,4,FALSE))</f>
        <v>11.a.2 - Der skal komme en advarsel om det ikke er "normalt" hvis fordringshaver svarer at sidste rettidige betalingsdato kan ligge før forfaldsdatoen</v>
      </c>
      <c r="F2483" s="85" t="s">
        <v>174</v>
      </c>
      <c r="G2483" s="53"/>
      <c r="H2483" s="85" t="s">
        <v>2340</v>
      </c>
      <c r="I2483" s="67" t="s">
        <v>1414</v>
      </c>
      <c r="J2483" s="87" t="s">
        <v>222</v>
      </c>
      <c r="K2483" s="123" t="s">
        <v>222</v>
      </c>
      <c r="L2483" s="4" t="s">
        <v>3</v>
      </c>
      <c r="M2483" s="364" t="s">
        <v>2344</v>
      </c>
      <c r="N2483" s="205" t="s">
        <v>97</v>
      </c>
      <c r="O2483" s="61" t="s">
        <v>2345</v>
      </c>
      <c r="P2483" s="205" t="s">
        <v>2346</v>
      </c>
      <c r="Q2483" s="61"/>
      <c r="R2483" s="61" t="s">
        <v>5</v>
      </c>
      <c r="S2483" s="61"/>
      <c r="T2483" s="57"/>
      <c r="U2483" s="57"/>
      <c r="V2483" s="57"/>
      <c r="W2483" s="57"/>
      <c r="X2483" s="57"/>
      <c r="Y2483" s="57"/>
    </row>
    <row r="2484" spans="1:29" s="1" customFormat="1" ht="33" customHeight="1" x14ac:dyDescent="0.3">
      <c r="A2484" s="11">
        <v>36</v>
      </c>
      <c r="B2484" s="23">
        <v>35</v>
      </c>
      <c r="C2484" s="24" t="str">
        <f t="shared" si="59"/>
        <v>36.35</v>
      </c>
      <c r="D2484" s="18" t="s">
        <v>2148</v>
      </c>
      <c r="E2484" s="64" t="str">
        <f>IF(ISBLANK(D2484)=TRUE,"",VLOOKUP(D2484,Krav!$C:$F,4,FALSE))</f>
        <v>11.a.2 - Der skal komme en advarsel om det ikke er "normalt" hvis fordringshaver svarer at sidste rettidige betalingsdato kan ligge før forfaldsdatoen</v>
      </c>
      <c r="F2484" s="334" t="s">
        <v>418</v>
      </c>
      <c r="G2484" s="334" t="s">
        <v>419</v>
      </c>
      <c r="H2484" s="85" t="s">
        <v>2340</v>
      </c>
      <c r="I2484" s="86" t="s">
        <v>129</v>
      </c>
      <c r="J2484" s="87" t="s">
        <v>222</v>
      </c>
      <c r="K2484" s="123" t="s">
        <v>222</v>
      </c>
      <c r="L2484" s="4" t="s">
        <v>3</v>
      </c>
      <c r="M2484" s="363" t="s">
        <v>2344</v>
      </c>
      <c r="N2484" s="205" t="s">
        <v>97</v>
      </c>
      <c r="O2484" s="61" t="s">
        <v>2345</v>
      </c>
      <c r="P2484" s="205" t="s">
        <v>2346</v>
      </c>
      <c r="Q2484" s="61"/>
      <c r="R2484" s="61" t="s">
        <v>5</v>
      </c>
      <c r="S2484" s="61"/>
      <c r="T2484" s="57"/>
      <c r="U2484" s="57"/>
      <c r="V2484" s="57"/>
      <c r="W2484" s="57"/>
      <c r="X2484" s="57"/>
      <c r="Y2484" s="57"/>
    </row>
    <row r="2485" spans="1:29" s="1" customFormat="1" ht="33" customHeight="1" x14ac:dyDescent="0.3">
      <c r="A2485" s="11">
        <v>36</v>
      </c>
      <c r="B2485" s="23">
        <v>36</v>
      </c>
      <c r="C2485" s="24" t="str">
        <f t="shared" si="59"/>
        <v>36.36</v>
      </c>
      <c r="D2485" s="18"/>
      <c r="E2485" s="64"/>
      <c r="F2485" s="334" t="s">
        <v>143</v>
      </c>
      <c r="G2485" s="53"/>
      <c r="H2485" s="85" t="s">
        <v>2350</v>
      </c>
      <c r="I2485" s="86" t="s">
        <v>2051</v>
      </c>
      <c r="J2485" s="87" t="s">
        <v>222</v>
      </c>
      <c r="K2485" s="123" t="s">
        <v>222</v>
      </c>
      <c r="L2485" s="4" t="s">
        <v>3</v>
      </c>
      <c r="M2485" s="61" t="s">
        <v>376</v>
      </c>
      <c r="N2485" s="61" t="s">
        <v>2344</v>
      </c>
      <c r="O2485" s="61" t="s">
        <v>2345</v>
      </c>
      <c r="P2485" s="61" t="s">
        <v>2345</v>
      </c>
      <c r="Q2485" s="61"/>
      <c r="R2485" s="61" t="s">
        <v>5</v>
      </c>
      <c r="S2485" s="61"/>
      <c r="T2485" s="57"/>
      <c r="U2485" s="57"/>
      <c r="V2485" s="57"/>
      <c r="W2485" s="57"/>
      <c r="X2485" s="57"/>
      <c r="Y2485" s="57"/>
    </row>
    <row r="2486" spans="1:29" s="1" customFormat="1" ht="33" customHeight="1" x14ac:dyDescent="0.3">
      <c r="A2486" s="11">
        <v>36</v>
      </c>
      <c r="B2486" s="23">
        <v>37</v>
      </c>
      <c r="C2486" s="24" t="str">
        <f t="shared" ref="C2486" si="60">IF(B2486&lt;10,_xlfn.CONCAT(A2486,".0",B2486),_xlfn.CONCAT(A2486,".",B2486))</f>
        <v>36.37</v>
      </c>
      <c r="D2486" s="18"/>
      <c r="E2486" s="64"/>
      <c r="F2486" s="334" t="s">
        <v>143</v>
      </c>
      <c r="G2486" s="53"/>
      <c r="H2486" s="85" t="s">
        <v>2350</v>
      </c>
      <c r="I2486" s="86" t="s">
        <v>2052</v>
      </c>
      <c r="J2486" s="87" t="s">
        <v>222</v>
      </c>
      <c r="K2486" s="123" t="s">
        <v>222</v>
      </c>
      <c r="L2486" s="4" t="s">
        <v>3</v>
      </c>
      <c r="M2486" s="61" t="s">
        <v>376</v>
      </c>
      <c r="N2486" s="61" t="s">
        <v>2344</v>
      </c>
      <c r="O2486" s="61" t="s">
        <v>2345</v>
      </c>
      <c r="P2486" s="61" t="s">
        <v>2345</v>
      </c>
      <c r="Q2486" s="61"/>
      <c r="R2486" s="61" t="s">
        <v>5</v>
      </c>
      <c r="S2486" s="61"/>
      <c r="T2486" s="57"/>
      <c r="U2486" s="57"/>
      <c r="V2486" s="57"/>
      <c r="W2486" s="57"/>
      <c r="X2486" s="57"/>
      <c r="Y2486" s="57"/>
    </row>
    <row r="2487" spans="1:29" s="1" customFormat="1" ht="33" customHeight="1" x14ac:dyDescent="0.3">
      <c r="A2487" s="11">
        <v>36</v>
      </c>
      <c r="B2487" s="23">
        <v>38</v>
      </c>
      <c r="C2487" s="24" t="str">
        <f t="shared" si="59"/>
        <v>36.38</v>
      </c>
      <c r="D2487" s="18"/>
      <c r="E2487" s="64"/>
      <c r="F2487" s="85" t="s">
        <v>185</v>
      </c>
      <c r="G2487" s="53"/>
      <c r="H2487" s="25" t="s">
        <v>1585</v>
      </c>
      <c r="I2487" s="86" t="s">
        <v>2067</v>
      </c>
      <c r="J2487" s="87" t="s">
        <v>222</v>
      </c>
      <c r="K2487" s="123" t="s">
        <v>222</v>
      </c>
      <c r="L2487" s="4" t="s">
        <v>3</v>
      </c>
      <c r="M2487" s="61" t="s">
        <v>376</v>
      </c>
      <c r="N2487" s="61" t="s">
        <v>2344</v>
      </c>
      <c r="O2487" s="61" t="s">
        <v>2345</v>
      </c>
      <c r="P2487" s="61" t="s">
        <v>2345</v>
      </c>
      <c r="Q2487" s="61"/>
      <c r="R2487" s="61" t="s">
        <v>5</v>
      </c>
      <c r="S2487" s="61"/>
      <c r="T2487" s="57"/>
      <c r="U2487" s="57"/>
      <c r="V2487" s="57"/>
      <c r="W2487" s="57"/>
      <c r="X2487" s="57"/>
      <c r="Y2487" s="57"/>
    </row>
    <row r="2488" spans="1:29" s="221" customFormat="1" ht="42" customHeight="1" x14ac:dyDescent="0.3">
      <c r="A2488" s="11">
        <v>36</v>
      </c>
      <c r="B2488" s="23">
        <v>39</v>
      </c>
      <c r="C2488" s="24" t="str">
        <f t="shared" si="59"/>
        <v>36.39</v>
      </c>
      <c r="D2488" s="18"/>
      <c r="E2488" s="64"/>
      <c r="F2488" s="84" t="s">
        <v>224</v>
      </c>
      <c r="G2488" s="336" t="s">
        <v>1388</v>
      </c>
      <c r="H2488" s="25" t="s">
        <v>1587</v>
      </c>
      <c r="I2488" s="86" t="s">
        <v>376</v>
      </c>
      <c r="J2488" s="87" t="s">
        <v>222</v>
      </c>
      <c r="K2488" s="123" t="s">
        <v>222</v>
      </c>
      <c r="L2488" s="4" t="s">
        <v>3</v>
      </c>
      <c r="M2488" s="61" t="s">
        <v>376</v>
      </c>
      <c r="N2488" s="61"/>
      <c r="O2488" s="61"/>
      <c r="P2488" s="61"/>
      <c r="Q2488" s="61"/>
      <c r="R2488" s="61" t="s">
        <v>5</v>
      </c>
      <c r="S2488" s="61"/>
      <c r="T2488" s="344"/>
      <c r="U2488" s="344"/>
      <c r="V2488" s="344"/>
      <c r="W2488" s="344"/>
      <c r="X2488" s="344"/>
      <c r="Y2488" s="344"/>
      <c r="Z2488" s="344"/>
      <c r="AA2488" s="344"/>
      <c r="AB2488" s="344"/>
      <c r="AC2488" s="344"/>
    </row>
    <row r="2489" spans="1:29" s="221" customFormat="1" ht="33" customHeight="1" x14ac:dyDescent="0.3">
      <c r="A2489" s="11">
        <v>36</v>
      </c>
      <c r="B2489" s="23">
        <v>40</v>
      </c>
      <c r="C2489" s="24" t="str">
        <f t="shared" si="59"/>
        <v>36.40</v>
      </c>
      <c r="D2489" s="18"/>
      <c r="E2489" s="64"/>
      <c r="F2489" s="84" t="s">
        <v>224</v>
      </c>
      <c r="G2489" s="336" t="s">
        <v>1389</v>
      </c>
      <c r="H2489" s="25" t="s">
        <v>1587</v>
      </c>
      <c r="I2489" s="86" t="s">
        <v>2344</v>
      </c>
      <c r="J2489" s="87" t="s">
        <v>222</v>
      </c>
      <c r="K2489" s="123" t="s">
        <v>222</v>
      </c>
      <c r="L2489" s="4" t="s">
        <v>3</v>
      </c>
      <c r="M2489" s="61"/>
      <c r="N2489" s="61" t="s">
        <v>2344</v>
      </c>
      <c r="O2489" s="61"/>
      <c r="P2489" s="61"/>
      <c r="Q2489" s="61"/>
      <c r="R2489" s="61" t="s">
        <v>5</v>
      </c>
      <c r="S2489" s="61"/>
      <c r="T2489" s="344"/>
      <c r="U2489" s="344"/>
      <c r="V2489" s="344"/>
      <c r="W2489" s="344"/>
      <c r="X2489" s="344"/>
      <c r="Y2489" s="344"/>
      <c r="Z2489" s="344"/>
      <c r="AA2489" s="344"/>
      <c r="AB2489" s="344"/>
      <c r="AC2489" s="344"/>
    </row>
    <row r="2490" spans="1:29" s="221" customFormat="1" ht="33" customHeight="1" x14ac:dyDescent="0.3">
      <c r="A2490" s="11">
        <v>36</v>
      </c>
      <c r="B2490" s="23">
        <v>41</v>
      </c>
      <c r="C2490" s="24" t="str">
        <f t="shared" si="59"/>
        <v>36.41</v>
      </c>
      <c r="D2490" s="18"/>
      <c r="E2490" s="64"/>
      <c r="F2490" s="84" t="s">
        <v>224</v>
      </c>
      <c r="G2490" s="336" t="s">
        <v>2341</v>
      </c>
      <c r="H2490" s="25" t="s">
        <v>1587</v>
      </c>
      <c r="I2490" s="86" t="s">
        <v>2345</v>
      </c>
      <c r="J2490" s="87" t="s">
        <v>222</v>
      </c>
      <c r="K2490" s="123" t="s">
        <v>222</v>
      </c>
      <c r="L2490" s="4" t="s">
        <v>3</v>
      </c>
      <c r="M2490" s="61"/>
      <c r="N2490" s="61"/>
      <c r="O2490" s="61" t="s">
        <v>2345</v>
      </c>
      <c r="P2490" s="61"/>
      <c r="Q2490" s="61"/>
      <c r="R2490" s="61" t="s">
        <v>5</v>
      </c>
      <c r="S2490" s="61"/>
      <c r="T2490" s="344"/>
      <c r="U2490" s="344"/>
      <c r="V2490" s="344"/>
      <c r="W2490" s="344"/>
      <c r="X2490" s="344"/>
      <c r="Y2490" s="344"/>
      <c r="Z2490" s="344"/>
      <c r="AA2490" s="344"/>
      <c r="AB2490" s="344"/>
      <c r="AC2490" s="344"/>
    </row>
    <row r="2491" spans="1:29" s="344" customFormat="1" ht="16.5" customHeight="1" x14ac:dyDescent="0.3">
      <c r="A2491" s="11">
        <v>36</v>
      </c>
      <c r="B2491" s="23">
        <v>42</v>
      </c>
      <c r="C2491" s="24" t="str">
        <f t="shared" si="59"/>
        <v>36.42</v>
      </c>
      <c r="D2491" s="18"/>
      <c r="E2491" s="64"/>
      <c r="F2491" s="84" t="s">
        <v>224</v>
      </c>
      <c r="G2491" s="336" t="s">
        <v>2342</v>
      </c>
      <c r="H2491" s="25" t="s">
        <v>1587</v>
      </c>
      <c r="I2491" s="86" t="s">
        <v>2345</v>
      </c>
      <c r="J2491" s="87" t="s">
        <v>222</v>
      </c>
      <c r="K2491" s="123" t="s">
        <v>222</v>
      </c>
      <c r="L2491" s="4" t="s">
        <v>3</v>
      </c>
      <c r="M2491" s="61"/>
      <c r="N2491" s="61"/>
      <c r="O2491" s="61"/>
      <c r="P2491" s="61" t="s">
        <v>2345</v>
      </c>
      <c r="Q2491" s="61"/>
      <c r="R2491" s="61" t="s">
        <v>5</v>
      </c>
      <c r="S2491" s="61"/>
    </row>
    <row r="2492" spans="1:29" s="221" customFormat="1" ht="42" customHeight="1" x14ac:dyDescent="0.3">
      <c r="A2492" s="11">
        <v>36</v>
      </c>
      <c r="B2492" s="23">
        <v>43</v>
      </c>
      <c r="C2492" s="24" t="str">
        <f t="shared" si="59"/>
        <v>36.43</v>
      </c>
      <c r="D2492" s="18"/>
      <c r="E2492" s="64"/>
      <c r="F2492" s="84" t="s">
        <v>224</v>
      </c>
      <c r="G2492" s="336" t="s">
        <v>1388</v>
      </c>
      <c r="H2492" s="25" t="s">
        <v>1449</v>
      </c>
      <c r="I2492" s="87" t="s">
        <v>469</v>
      </c>
      <c r="J2492" s="87" t="s">
        <v>222</v>
      </c>
      <c r="K2492" s="123" t="s">
        <v>222</v>
      </c>
      <c r="L2492" s="4" t="s">
        <v>3</v>
      </c>
      <c r="M2492" s="61"/>
      <c r="N2492" s="61"/>
      <c r="O2492" s="61"/>
      <c r="P2492" s="61"/>
      <c r="Q2492" s="61"/>
      <c r="R2492" s="61" t="s">
        <v>5</v>
      </c>
      <c r="S2492" s="61"/>
      <c r="T2492" s="344"/>
      <c r="U2492" s="344"/>
      <c r="V2492" s="344"/>
      <c r="W2492" s="344"/>
      <c r="X2492" s="344"/>
      <c r="Y2492" s="344"/>
      <c r="Z2492" s="344"/>
      <c r="AA2492" s="344"/>
      <c r="AB2492" s="344"/>
      <c r="AC2492" s="344"/>
    </row>
    <row r="2493" spans="1:29" s="221" customFormat="1" ht="33" customHeight="1" x14ac:dyDescent="0.3">
      <c r="A2493" s="11">
        <v>36</v>
      </c>
      <c r="B2493" s="23">
        <v>44</v>
      </c>
      <c r="C2493" s="24" t="str">
        <f t="shared" si="59"/>
        <v>36.44</v>
      </c>
      <c r="D2493" s="18"/>
      <c r="E2493" s="64"/>
      <c r="F2493" s="84" t="s">
        <v>224</v>
      </c>
      <c r="G2493" s="336" t="s">
        <v>1389</v>
      </c>
      <c r="H2493" s="25" t="s">
        <v>1449</v>
      </c>
      <c r="I2493" s="87" t="s">
        <v>469</v>
      </c>
      <c r="J2493" s="87" t="s">
        <v>222</v>
      </c>
      <c r="K2493" s="123" t="s">
        <v>222</v>
      </c>
      <c r="L2493" s="4" t="s">
        <v>3</v>
      </c>
      <c r="M2493" s="61"/>
      <c r="N2493" s="61"/>
      <c r="O2493" s="61"/>
      <c r="P2493" s="61"/>
      <c r="Q2493" s="61"/>
      <c r="R2493" s="61" t="s">
        <v>5</v>
      </c>
      <c r="S2493" s="61"/>
      <c r="T2493" s="344"/>
      <c r="U2493" s="344"/>
      <c r="V2493" s="344"/>
      <c r="W2493" s="344"/>
      <c r="X2493" s="344"/>
      <c r="Y2493" s="344"/>
      <c r="Z2493" s="344"/>
      <c r="AA2493" s="344"/>
      <c r="AB2493" s="344"/>
      <c r="AC2493" s="344"/>
    </row>
    <row r="2494" spans="1:29" s="221" customFormat="1" ht="33" customHeight="1" x14ac:dyDescent="0.3">
      <c r="A2494" s="11">
        <v>36</v>
      </c>
      <c r="B2494" s="23">
        <v>45</v>
      </c>
      <c r="C2494" s="24" t="str">
        <f t="shared" si="59"/>
        <v>36.45</v>
      </c>
      <c r="D2494" s="18"/>
      <c r="E2494" s="64"/>
      <c r="F2494" s="84" t="s">
        <v>224</v>
      </c>
      <c r="G2494" s="336" t="s">
        <v>2341</v>
      </c>
      <c r="H2494" s="25" t="s">
        <v>1449</v>
      </c>
      <c r="I2494" s="87" t="s">
        <v>469</v>
      </c>
      <c r="J2494" s="87" t="s">
        <v>222</v>
      </c>
      <c r="K2494" s="123" t="s">
        <v>222</v>
      </c>
      <c r="L2494" s="4" t="s">
        <v>3</v>
      </c>
      <c r="M2494" s="61"/>
      <c r="N2494" s="61"/>
      <c r="O2494" s="61"/>
      <c r="P2494" s="61"/>
      <c r="Q2494" s="61"/>
      <c r="R2494" s="61" t="s">
        <v>5</v>
      </c>
      <c r="S2494" s="61"/>
      <c r="T2494" s="344"/>
      <c r="U2494" s="344"/>
      <c r="V2494" s="344"/>
      <c r="W2494" s="344"/>
      <c r="X2494" s="344"/>
      <c r="Y2494" s="344"/>
      <c r="Z2494" s="344"/>
      <c r="AA2494" s="344"/>
      <c r="AB2494" s="344"/>
      <c r="AC2494" s="344"/>
    </row>
    <row r="2495" spans="1:29" s="344" customFormat="1" ht="16.5" customHeight="1" x14ac:dyDescent="0.3">
      <c r="A2495" s="11">
        <v>36</v>
      </c>
      <c r="B2495" s="23">
        <v>46</v>
      </c>
      <c r="C2495" s="24" t="str">
        <f t="shared" si="59"/>
        <v>36.46</v>
      </c>
      <c r="D2495" s="18"/>
      <c r="E2495" s="64"/>
      <c r="F2495" s="84" t="s">
        <v>224</v>
      </c>
      <c r="G2495" s="336" t="s">
        <v>2342</v>
      </c>
      <c r="H2495" s="25" t="s">
        <v>1449</v>
      </c>
      <c r="I2495" s="87" t="s">
        <v>469</v>
      </c>
      <c r="J2495" s="87" t="s">
        <v>222</v>
      </c>
      <c r="K2495" s="123" t="s">
        <v>222</v>
      </c>
      <c r="L2495" s="4" t="s">
        <v>3</v>
      </c>
      <c r="M2495" s="61"/>
      <c r="N2495" s="61"/>
      <c r="O2495" s="61"/>
      <c r="P2495" s="61"/>
      <c r="Q2495" s="61"/>
      <c r="R2495" s="61" t="s">
        <v>5</v>
      </c>
      <c r="S2495" s="61"/>
    </row>
    <row r="2496" spans="1:29" s="221" customFormat="1" ht="33" customHeight="1" x14ac:dyDescent="0.3">
      <c r="A2496" s="11">
        <v>36</v>
      </c>
      <c r="B2496" s="23">
        <v>47</v>
      </c>
      <c r="C2496" s="24" t="str">
        <f t="shared" si="59"/>
        <v>36.47</v>
      </c>
      <c r="D2496" s="18"/>
      <c r="E2496" s="64"/>
      <c r="F2496" s="84" t="s">
        <v>418</v>
      </c>
      <c r="G2496" s="336" t="s">
        <v>445</v>
      </c>
      <c r="H2496" s="85" t="s">
        <v>2077</v>
      </c>
      <c r="I2496" s="86" t="s">
        <v>129</v>
      </c>
      <c r="J2496" s="94" t="s">
        <v>222</v>
      </c>
      <c r="K2496" s="123" t="s">
        <v>222</v>
      </c>
      <c r="L2496" s="4" t="s">
        <v>3</v>
      </c>
      <c r="M2496" s="61" t="s">
        <v>376</v>
      </c>
      <c r="N2496" s="61" t="s">
        <v>2344</v>
      </c>
      <c r="O2496" s="61" t="s">
        <v>2345</v>
      </c>
      <c r="P2496" s="61" t="s">
        <v>2345</v>
      </c>
      <c r="Q2496" s="61"/>
      <c r="R2496" s="61" t="s">
        <v>5</v>
      </c>
      <c r="S2496" s="61"/>
      <c r="T2496" s="344"/>
      <c r="U2496" s="344"/>
      <c r="V2496" s="344"/>
      <c r="W2496" s="344"/>
      <c r="X2496" s="344"/>
      <c r="Y2496" s="344"/>
      <c r="Z2496" s="344"/>
      <c r="AA2496" s="344"/>
      <c r="AB2496" s="344"/>
      <c r="AC2496" s="344"/>
    </row>
    <row r="2497" spans="1:28" s="344" customFormat="1" ht="16.5" customHeight="1" x14ac:dyDescent="0.3">
      <c r="A2497" s="11">
        <v>36</v>
      </c>
      <c r="B2497" s="23">
        <v>48</v>
      </c>
      <c r="C2497" s="24" t="str">
        <f t="shared" si="59"/>
        <v>36.48</v>
      </c>
      <c r="D2497" s="18"/>
      <c r="E2497" s="64"/>
      <c r="F2497" s="84" t="s">
        <v>418</v>
      </c>
      <c r="G2497" s="336" t="s">
        <v>445</v>
      </c>
      <c r="H2497" s="85" t="s">
        <v>2077</v>
      </c>
      <c r="I2497" s="86" t="s">
        <v>129</v>
      </c>
      <c r="J2497" s="94" t="s">
        <v>222</v>
      </c>
      <c r="K2497" s="123" t="s">
        <v>222</v>
      </c>
      <c r="L2497" s="4" t="s">
        <v>3</v>
      </c>
      <c r="M2497" s="61" t="s">
        <v>33</v>
      </c>
      <c r="N2497" s="61" t="s">
        <v>2347</v>
      </c>
      <c r="O2497" s="61" t="s">
        <v>2346</v>
      </c>
      <c r="P2497" s="61" t="s">
        <v>2345</v>
      </c>
      <c r="Q2497" s="61"/>
      <c r="R2497" s="61" t="s">
        <v>5</v>
      </c>
      <c r="S2497" s="61"/>
    </row>
    <row r="2498" spans="1:28" s="221" customFormat="1" ht="33" customHeight="1" x14ac:dyDescent="0.3">
      <c r="A2498" s="345"/>
      <c r="B2498" s="346"/>
      <c r="C2498" s="347"/>
      <c r="D2498" s="348"/>
      <c r="E2498" s="349"/>
      <c r="F2498" s="350"/>
      <c r="G2498" s="214"/>
      <c r="H2498" s="350"/>
      <c r="I2498" s="352"/>
      <c r="J2498" s="353" t="s">
        <v>222</v>
      </c>
      <c r="K2498" s="216" t="s">
        <v>222</v>
      </c>
      <c r="L2498" s="354"/>
      <c r="M2498" s="219"/>
      <c r="N2498" s="219"/>
      <c r="O2498" s="219"/>
      <c r="P2498" s="219"/>
      <c r="Q2498" s="219"/>
      <c r="R2498" s="219"/>
      <c r="S2498" s="344"/>
      <c r="T2498" s="344"/>
      <c r="U2498" s="344"/>
      <c r="V2498" s="344"/>
      <c r="W2498" s="344"/>
      <c r="X2498" s="344"/>
      <c r="Y2498" s="344"/>
      <c r="Z2498" s="344"/>
      <c r="AA2498" s="344"/>
      <c r="AB2498" s="344"/>
    </row>
    <row r="2499" spans="1:28" s="221" customFormat="1" ht="33" customHeight="1" x14ac:dyDescent="0.3">
      <c r="A2499" s="345"/>
      <c r="B2499" s="346"/>
      <c r="C2499" s="347"/>
      <c r="D2499" s="348"/>
      <c r="E2499" s="349"/>
      <c r="F2499" s="350"/>
      <c r="G2499" s="214"/>
      <c r="H2499" s="350"/>
      <c r="I2499" s="352"/>
      <c r="J2499" s="353" t="s">
        <v>222</v>
      </c>
      <c r="K2499" s="216" t="s">
        <v>222</v>
      </c>
      <c r="L2499" s="354"/>
      <c r="M2499" s="219"/>
      <c r="N2499" s="219"/>
      <c r="O2499" s="219"/>
      <c r="P2499" s="219"/>
      <c r="Q2499" s="219"/>
      <c r="R2499" s="219"/>
      <c r="S2499" s="344"/>
      <c r="T2499" s="344"/>
      <c r="U2499" s="344"/>
      <c r="V2499" s="344"/>
      <c r="W2499" s="344"/>
      <c r="X2499" s="344"/>
      <c r="Y2499" s="344"/>
      <c r="Z2499" s="344"/>
      <c r="AA2499" s="344"/>
      <c r="AB2499" s="344"/>
    </row>
    <row r="2500" spans="1:28" s="221" customFormat="1" ht="33" customHeight="1" x14ac:dyDescent="0.3">
      <c r="A2500" s="345"/>
      <c r="B2500" s="346"/>
      <c r="C2500" s="347"/>
      <c r="D2500" s="348"/>
      <c r="E2500" s="349"/>
      <c r="F2500" s="350"/>
      <c r="G2500" s="350"/>
      <c r="H2500" s="350"/>
      <c r="I2500" s="352"/>
      <c r="J2500" s="353" t="s">
        <v>222</v>
      </c>
      <c r="K2500" s="216" t="s">
        <v>222</v>
      </c>
      <c r="L2500" s="354"/>
      <c r="M2500" s="219"/>
      <c r="N2500" s="219"/>
      <c r="O2500" s="219"/>
      <c r="P2500" s="219"/>
      <c r="Q2500" s="219"/>
      <c r="R2500" s="219"/>
      <c r="S2500" s="344"/>
      <c r="T2500" s="344"/>
      <c r="U2500" s="344"/>
      <c r="V2500" s="344"/>
      <c r="W2500" s="344"/>
      <c r="X2500" s="344"/>
      <c r="Y2500" s="344"/>
      <c r="Z2500" s="344"/>
      <c r="AA2500" s="344"/>
      <c r="AB2500" s="344"/>
    </row>
    <row r="2501" spans="1:28" s="344" customFormat="1" ht="16.5" customHeight="1" x14ac:dyDescent="0.3">
      <c r="A2501" s="345"/>
      <c r="B2501" s="346"/>
      <c r="C2501" s="347"/>
      <c r="D2501" s="348"/>
      <c r="E2501" s="349"/>
      <c r="F2501" s="350"/>
      <c r="G2501" s="214"/>
      <c r="H2501" s="350"/>
      <c r="I2501" s="353"/>
      <c r="J2501" s="353" t="s">
        <v>222</v>
      </c>
      <c r="K2501" s="216" t="s">
        <v>222</v>
      </c>
      <c r="L2501" s="354"/>
      <c r="M2501" s="219"/>
      <c r="N2501" s="219"/>
      <c r="O2501" s="219"/>
      <c r="P2501" s="219"/>
      <c r="Q2501" s="219"/>
      <c r="R2501" s="219"/>
    </row>
    <row r="2502" spans="1:28" s="344" customFormat="1" ht="16.5" customHeight="1" x14ac:dyDescent="0.3">
      <c r="A2502" s="345"/>
      <c r="B2502" s="346"/>
      <c r="C2502" s="347"/>
      <c r="D2502" s="348"/>
      <c r="E2502" s="349"/>
      <c r="F2502" s="350"/>
      <c r="G2502" s="214"/>
      <c r="H2502" s="350"/>
      <c r="I2502" s="353"/>
      <c r="J2502" s="355" t="s">
        <v>222</v>
      </c>
      <c r="K2502" s="216" t="s">
        <v>222</v>
      </c>
      <c r="L2502" s="354"/>
      <c r="M2502" s="219"/>
      <c r="N2502" s="219"/>
      <c r="O2502" s="219"/>
      <c r="P2502" s="219"/>
      <c r="Q2502" s="219"/>
      <c r="R2502" s="219"/>
    </row>
    <row r="2503" spans="1:28" s="1" customFormat="1" ht="15" customHeight="1" x14ac:dyDescent="0.3">
      <c r="A2503" s="50" t="s">
        <v>6</v>
      </c>
      <c r="B2503" s="51" t="s">
        <v>7</v>
      </c>
      <c r="C2503" s="31" t="s">
        <v>0</v>
      </c>
      <c r="D2503" s="31" t="s">
        <v>22</v>
      </c>
      <c r="E2503" s="52" t="s">
        <v>99</v>
      </c>
      <c r="F2503" s="52" t="s">
        <v>216</v>
      </c>
      <c r="G2503" s="133" t="s">
        <v>217</v>
      </c>
      <c r="H2503" s="52" t="s">
        <v>28</v>
      </c>
      <c r="I2503" s="31" t="s">
        <v>218</v>
      </c>
      <c r="J2503" s="31" t="s">
        <v>219</v>
      </c>
      <c r="K2503" s="31" t="s">
        <v>220</v>
      </c>
      <c r="L2503" s="31" t="s">
        <v>1</v>
      </c>
      <c r="M2503" s="62" t="s">
        <v>1388</v>
      </c>
      <c r="N2503" s="62" t="s">
        <v>1389</v>
      </c>
      <c r="O2503" s="62" t="s">
        <v>2341</v>
      </c>
      <c r="P2503" s="62" t="s">
        <v>2342</v>
      </c>
      <c r="Q2503" s="62" t="s">
        <v>234</v>
      </c>
      <c r="R2503" s="62" t="s">
        <v>233</v>
      </c>
      <c r="S2503" s="62" t="s">
        <v>2057</v>
      </c>
      <c r="T2503" s="57"/>
      <c r="U2503" s="57"/>
      <c r="V2503" s="57"/>
      <c r="W2503" s="57"/>
      <c r="X2503" s="57"/>
      <c r="Y2503" s="57"/>
    </row>
    <row r="2504" spans="1:28" s="1" customFormat="1" ht="33" customHeight="1" x14ac:dyDescent="0.3">
      <c r="A2504" s="11">
        <v>37</v>
      </c>
      <c r="B2504" s="23">
        <v>1</v>
      </c>
      <c r="C2504" s="24" t="str">
        <f t="shared" ref="C2504:C2550" si="61">IF(B2504&lt;10,_xlfn.CONCAT(A2504,".0",B2504),_xlfn.CONCAT(A2504,".",B2504))</f>
        <v>37.01</v>
      </c>
      <c r="D2504" s="18" t="s">
        <v>2148</v>
      </c>
      <c r="E2504" s="64" t="s">
        <v>2161</v>
      </c>
      <c r="F2504" s="85" t="s">
        <v>225</v>
      </c>
      <c r="G2504" s="336" t="s">
        <v>1388</v>
      </c>
      <c r="H2504" s="85" t="s">
        <v>2340</v>
      </c>
      <c r="I2504" s="94" t="s">
        <v>376</v>
      </c>
      <c r="J2504" s="94" t="s">
        <v>222</v>
      </c>
      <c r="K2504" s="123" t="s">
        <v>222</v>
      </c>
      <c r="L2504" s="4" t="s">
        <v>3</v>
      </c>
      <c r="M2504" s="61" t="s">
        <v>376</v>
      </c>
      <c r="N2504" s="61" t="s">
        <v>2344</v>
      </c>
      <c r="O2504" s="61" t="s">
        <v>2345</v>
      </c>
      <c r="P2504" s="61" t="s">
        <v>2345</v>
      </c>
      <c r="Q2504" s="61"/>
      <c r="R2504" s="61" t="s">
        <v>5</v>
      </c>
      <c r="S2504" s="61"/>
      <c r="T2504" s="57"/>
      <c r="U2504" s="57"/>
      <c r="V2504" s="57"/>
      <c r="W2504" s="57"/>
      <c r="X2504" s="57"/>
      <c r="Y2504" s="57"/>
    </row>
    <row r="2505" spans="1:28" s="1" customFormat="1" ht="33" customHeight="1" x14ac:dyDescent="0.3">
      <c r="A2505" s="11">
        <v>37</v>
      </c>
      <c r="B2505" s="23">
        <v>2</v>
      </c>
      <c r="C2505" s="24" t="str">
        <f t="shared" si="61"/>
        <v>37.02</v>
      </c>
      <c r="D2505" s="18" t="s">
        <v>2148</v>
      </c>
      <c r="E2505" s="64" t="s">
        <v>2161</v>
      </c>
      <c r="F2505" s="85" t="s">
        <v>225</v>
      </c>
      <c r="G2505" s="336" t="s">
        <v>1389</v>
      </c>
      <c r="H2505" s="85" t="s">
        <v>2340</v>
      </c>
      <c r="I2505" s="94" t="s">
        <v>2344</v>
      </c>
      <c r="J2505" s="94" t="s">
        <v>222</v>
      </c>
      <c r="K2505" s="123" t="s">
        <v>222</v>
      </c>
      <c r="L2505" s="4" t="s">
        <v>3</v>
      </c>
      <c r="M2505" s="61" t="s">
        <v>376</v>
      </c>
      <c r="N2505" s="61" t="s">
        <v>2344</v>
      </c>
      <c r="O2505" s="61" t="s">
        <v>2345</v>
      </c>
      <c r="P2505" s="61" t="s">
        <v>2345</v>
      </c>
      <c r="Q2505" s="61"/>
      <c r="R2505" s="61" t="s">
        <v>5</v>
      </c>
      <c r="S2505" s="61"/>
      <c r="T2505" s="57"/>
      <c r="U2505" s="57"/>
      <c r="V2505" s="57"/>
      <c r="W2505" s="57"/>
      <c r="X2505" s="57"/>
      <c r="Y2505" s="57"/>
    </row>
    <row r="2506" spans="1:28" s="1" customFormat="1" ht="33" customHeight="1" x14ac:dyDescent="0.3">
      <c r="A2506" s="11">
        <v>37</v>
      </c>
      <c r="B2506" s="23">
        <v>3</v>
      </c>
      <c r="C2506" s="24" t="str">
        <f t="shared" si="61"/>
        <v>37.03</v>
      </c>
      <c r="D2506" s="18" t="s">
        <v>2148</v>
      </c>
      <c r="E2506" s="64" t="s">
        <v>2161</v>
      </c>
      <c r="F2506" s="85" t="s">
        <v>225</v>
      </c>
      <c r="G2506" s="336" t="s">
        <v>2341</v>
      </c>
      <c r="H2506" s="85" t="s">
        <v>2340</v>
      </c>
      <c r="I2506" s="94" t="s">
        <v>2345</v>
      </c>
      <c r="J2506" s="94" t="s">
        <v>222</v>
      </c>
      <c r="K2506" s="123" t="s">
        <v>222</v>
      </c>
      <c r="L2506" s="4" t="s">
        <v>3</v>
      </c>
      <c r="M2506" s="61" t="s">
        <v>376</v>
      </c>
      <c r="N2506" s="61" t="s">
        <v>2344</v>
      </c>
      <c r="O2506" s="61" t="s">
        <v>2345</v>
      </c>
      <c r="P2506" s="61" t="s">
        <v>2345</v>
      </c>
      <c r="Q2506" s="61"/>
      <c r="R2506" s="61" t="s">
        <v>5</v>
      </c>
      <c r="S2506" s="61"/>
      <c r="T2506" s="57"/>
      <c r="U2506" s="57"/>
      <c r="V2506" s="57"/>
      <c r="W2506" s="57"/>
      <c r="X2506" s="57"/>
      <c r="Y2506" s="57"/>
    </row>
    <row r="2507" spans="1:28" s="1" customFormat="1" ht="33" customHeight="1" x14ac:dyDescent="0.3">
      <c r="A2507" s="11">
        <v>37</v>
      </c>
      <c r="B2507" s="23">
        <v>4</v>
      </c>
      <c r="C2507" s="24" t="str">
        <f t="shared" si="61"/>
        <v>37.04</v>
      </c>
      <c r="D2507" s="18" t="s">
        <v>2148</v>
      </c>
      <c r="E2507" s="64" t="s">
        <v>2161</v>
      </c>
      <c r="F2507" s="85" t="s">
        <v>225</v>
      </c>
      <c r="G2507" s="336" t="s">
        <v>2342</v>
      </c>
      <c r="H2507" s="85" t="s">
        <v>2340</v>
      </c>
      <c r="I2507" s="94" t="s">
        <v>2345</v>
      </c>
      <c r="J2507" s="94" t="s">
        <v>222</v>
      </c>
      <c r="K2507" s="123" t="s">
        <v>222</v>
      </c>
      <c r="L2507" s="4" t="s">
        <v>3</v>
      </c>
      <c r="M2507" s="61" t="s">
        <v>376</v>
      </c>
      <c r="N2507" s="61" t="s">
        <v>2344</v>
      </c>
      <c r="O2507" s="61" t="s">
        <v>2345</v>
      </c>
      <c r="P2507" s="61" t="s">
        <v>2345</v>
      </c>
      <c r="Q2507" s="61"/>
      <c r="R2507" s="61" t="s">
        <v>5</v>
      </c>
      <c r="S2507" s="61"/>
      <c r="T2507" s="57"/>
      <c r="U2507" s="57"/>
      <c r="V2507" s="57"/>
      <c r="W2507" s="57"/>
      <c r="X2507" s="57"/>
      <c r="Y2507" s="57"/>
    </row>
    <row r="2508" spans="1:28" s="1" customFormat="1" ht="33" customHeight="1" x14ac:dyDescent="0.3">
      <c r="A2508" s="11">
        <v>37</v>
      </c>
      <c r="B2508" s="23">
        <v>5</v>
      </c>
      <c r="C2508" s="24" t="str">
        <f t="shared" si="61"/>
        <v>37.05</v>
      </c>
      <c r="D2508" s="18" t="s">
        <v>2148</v>
      </c>
      <c r="E2508" s="64" t="s">
        <v>2161</v>
      </c>
      <c r="F2508" s="85" t="s">
        <v>226</v>
      </c>
      <c r="G2508" s="336" t="s">
        <v>308</v>
      </c>
      <c r="H2508" s="85" t="s">
        <v>2340</v>
      </c>
      <c r="I2508" s="94" t="s">
        <v>240</v>
      </c>
      <c r="J2508" s="94" t="s">
        <v>222</v>
      </c>
      <c r="K2508" s="123" t="s">
        <v>222</v>
      </c>
      <c r="L2508" s="4" t="s">
        <v>3</v>
      </c>
      <c r="M2508" s="61" t="s">
        <v>376</v>
      </c>
      <c r="N2508" s="61" t="s">
        <v>2344</v>
      </c>
      <c r="O2508" s="61" t="s">
        <v>2345</v>
      </c>
      <c r="P2508" s="61" t="s">
        <v>2345</v>
      </c>
      <c r="Q2508" s="61" t="s">
        <v>2369</v>
      </c>
      <c r="R2508" s="61" t="s">
        <v>5</v>
      </c>
      <c r="S2508" s="61"/>
      <c r="T2508" s="57"/>
      <c r="U2508" s="57"/>
      <c r="V2508" s="57"/>
      <c r="W2508" s="57"/>
      <c r="X2508" s="57"/>
      <c r="Y2508" s="57"/>
    </row>
    <row r="2509" spans="1:28" s="1" customFormat="1" ht="33" customHeight="1" x14ac:dyDescent="0.3">
      <c r="A2509" s="11">
        <v>37</v>
      </c>
      <c r="B2509" s="23">
        <v>6</v>
      </c>
      <c r="C2509" s="24" t="str">
        <f t="shared" si="61"/>
        <v>37.06</v>
      </c>
      <c r="D2509" s="18" t="s">
        <v>2148</v>
      </c>
      <c r="E2509" s="64" t="s">
        <v>2161</v>
      </c>
      <c r="F2509" s="85" t="s">
        <v>226</v>
      </c>
      <c r="G2509" s="336" t="s">
        <v>2352</v>
      </c>
      <c r="H2509" s="85" t="s">
        <v>2340</v>
      </c>
      <c r="I2509" s="94" t="s">
        <v>376</v>
      </c>
      <c r="J2509" s="94" t="s">
        <v>222</v>
      </c>
      <c r="K2509" s="123" t="s">
        <v>222</v>
      </c>
      <c r="L2509" s="4" t="s">
        <v>3</v>
      </c>
      <c r="M2509" s="61" t="s">
        <v>376</v>
      </c>
      <c r="N2509" s="61" t="s">
        <v>2344</v>
      </c>
      <c r="O2509" s="61" t="s">
        <v>2345</v>
      </c>
      <c r="P2509" s="61" t="s">
        <v>2345</v>
      </c>
      <c r="Q2509" s="61" t="s">
        <v>2369</v>
      </c>
      <c r="R2509" s="61" t="s">
        <v>5</v>
      </c>
      <c r="S2509" s="61"/>
      <c r="T2509" s="57"/>
      <c r="U2509" s="57"/>
      <c r="V2509" s="57"/>
      <c r="W2509" s="57"/>
      <c r="X2509" s="57"/>
      <c r="Y2509" s="57"/>
    </row>
    <row r="2510" spans="1:28" s="1" customFormat="1" ht="33" customHeight="1" x14ac:dyDescent="0.3">
      <c r="A2510" s="11">
        <v>37</v>
      </c>
      <c r="B2510" s="23">
        <v>7</v>
      </c>
      <c r="C2510" s="24" t="str">
        <f t="shared" si="61"/>
        <v>37.07</v>
      </c>
      <c r="D2510" s="18" t="s">
        <v>2148</v>
      </c>
      <c r="E2510" s="64" t="s">
        <v>2161</v>
      </c>
      <c r="F2510" s="85" t="s">
        <v>226</v>
      </c>
      <c r="G2510" s="336" t="s">
        <v>2353</v>
      </c>
      <c r="H2510" s="85" t="s">
        <v>2340</v>
      </c>
      <c r="I2510" s="94" t="s">
        <v>2344</v>
      </c>
      <c r="J2510" s="94" t="s">
        <v>222</v>
      </c>
      <c r="K2510" s="123" t="s">
        <v>222</v>
      </c>
      <c r="L2510" s="4" t="s">
        <v>3</v>
      </c>
      <c r="M2510" s="61" t="s">
        <v>376</v>
      </c>
      <c r="N2510" s="61" t="s">
        <v>2344</v>
      </c>
      <c r="O2510" s="61" t="s">
        <v>2345</v>
      </c>
      <c r="P2510" s="61" t="s">
        <v>2345</v>
      </c>
      <c r="Q2510" s="61" t="s">
        <v>2369</v>
      </c>
      <c r="R2510" s="61" t="s">
        <v>5</v>
      </c>
      <c r="S2510" s="61"/>
      <c r="T2510" s="57"/>
      <c r="U2510" s="57"/>
      <c r="V2510" s="57"/>
      <c r="W2510" s="57"/>
      <c r="X2510" s="57"/>
      <c r="Y2510" s="57"/>
    </row>
    <row r="2511" spans="1:28" s="1" customFormat="1" ht="33" customHeight="1" x14ac:dyDescent="0.3">
      <c r="A2511" s="11">
        <v>37</v>
      </c>
      <c r="B2511" s="23">
        <v>8</v>
      </c>
      <c r="C2511" s="24" t="str">
        <f t="shared" si="61"/>
        <v>37.08</v>
      </c>
      <c r="D2511" s="18" t="s">
        <v>2148</v>
      </c>
      <c r="E2511" s="64" t="s">
        <v>2161</v>
      </c>
      <c r="F2511" s="85" t="s">
        <v>225</v>
      </c>
      <c r="G2511" s="336" t="s">
        <v>1388</v>
      </c>
      <c r="H2511" s="85" t="s">
        <v>2340</v>
      </c>
      <c r="I2511" s="94" t="s">
        <v>33</v>
      </c>
      <c r="J2511" s="94" t="s">
        <v>222</v>
      </c>
      <c r="K2511" s="123" t="s">
        <v>222</v>
      </c>
      <c r="L2511" s="4" t="s">
        <v>3</v>
      </c>
      <c r="M2511" s="61" t="s">
        <v>33</v>
      </c>
      <c r="N2511" s="61" t="s">
        <v>2347</v>
      </c>
      <c r="O2511" s="61" t="s">
        <v>2345</v>
      </c>
      <c r="P2511" s="61" t="s">
        <v>2345</v>
      </c>
      <c r="Q2511" s="61"/>
      <c r="R2511" s="61" t="s">
        <v>5</v>
      </c>
      <c r="S2511" s="61"/>
      <c r="T2511" s="57"/>
      <c r="U2511" s="57"/>
      <c r="V2511" s="57"/>
      <c r="W2511" s="57"/>
      <c r="X2511" s="57"/>
      <c r="Y2511" s="57"/>
    </row>
    <row r="2512" spans="1:28" s="1" customFormat="1" ht="33" customHeight="1" x14ac:dyDescent="0.3">
      <c r="A2512" s="11">
        <v>37</v>
      </c>
      <c r="B2512" s="23">
        <v>9</v>
      </c>
      <c r="C2512" s="24" t="str">
        <f t="shared" si="61"/>
        <v>37.09</v>
      </c>
      <c r="D2512" s="18" t="s">
        <v>2148</v>
      </c>
      <c r="E2512" s="64" t="s">
        <v>2161</v>
      </c>
      <c r="F2512" s="85" t="s">
        <v>225</v>
      </c>
      <c r="G2512" s="336" t="s">
        <v>1389</v>
      </c>
      <c r="H2512" s="85" t="s">
        <v>2340</v>
      </c>
      <c r="I2512" s="94" t="s">
        <v>2347</v>
      </c>
      <c r="J2512" s="94" t="s">
        <v>222</v>
      </c>
      <c r="K2512" s="123" t="s">
        <v>222</v>
      </c>
      <c r="L2512" s="4" t="s">
        <v>3</v>
      </c>
      <c r="M2512" s="61" t="s">
        <v>33</v>
      </c>
      <c r="N2512" s="61" t="s">
        <v>2347</v>
      </c>
      <c r="O2512" s="61" t="s">
        <v>2345</v>
      </c>
      <c r="P2512" s="61" t="s">
        <v>2345</v>
      </c>
      <c r="Q2512" s="61"/>
      <c r="R2512" s="61" t="s">
        <v>5</v>
      </c>
      <c r="S2512" s="61"/>
      <c r="T2512" s="57"/>
      <c r="U2512" s="57"/>
      <c r="V2512" s="57"/>
      <c r="W2512" s="57"/>
      <c r="X2512" s="57"/>
      <c r="Y2512" s="57"/>
    </row>
    <row r="2513" spans="1:25" s="1" customFormat="1" ht="33" customHeight="1" x14ac:dyDescent="0.3">
      <c r="A2513" s="11">
        <v>37</v>
      </c>
      <c r="B2513" s="23">
        <v>10</v>
      </c>
      <c r="C2513" s="24" t="str">
        <f t="shared" si="61"/>
        <v>37.10</v>
      </c>
      <c r="D2513" s="18" t="s">
        <v>2148</v>
      </c>
      <c r="E2513" s="64" t="s">
        <v>2161</v>
      </c>
      <c r="F2513" s="85" t="s">
        <v>225</v>
      </c>
      <c r="G2513" s="336" t="s">
        <v>2341</v>
      </c>
      <c r="H2513" s="85" t="s">
        <v>2340</v>
      </c>
      <c r="I2513" s="94" t="s">
        <v>2345</v>
      </c>
      <c r="J2513" s="94" t="s">
        <v>222</v>
      </c>
      <c r="K2513" s="123" t="s">
        <v>222</v>
      </c>
      <c r="L2513" s="4" t="s">
        <v>3</v>
      </c>
      <c r="M2513" s="61" t="s">
        <v>33</v>
      </c>
      <c r="N2513" s="61" t="s">
        <v>2347</v>
      </c>
      <c r="O2513" s="61" t="s">
        <v>2345</v>
      </c>
      <c r="P2513" s="61" t="s">
        <v>2345</v>
      </c>
      <c r="Q2513" s="61"/>
      <c r="R2513" s="61" t="s">
        <v>5</v>
      </c>
      <c r="S2513" s="61"/>
      <c r="T2513" s="57"/>
      <c r="U2513" s="57"/>
      <c r="V2513" s="57"/>
      <c r="W2513" s="57"/>
      <c r="X2513" s="57"/>
      <c r="Y2513" s="57"/>
    </row>
    <row r="2514" spans="1:25" s="1" customFormat="1" ht="33" customHeight="1" x14ac:dyDescent="0.3">
      <c r="A2514" s="11">
        <v>37</v>
      </c>
      <c r="B2514" s="23">
        <v>11</v>
      </c>
      <c r="C2514" s="24" t="str">
        <f t="shared" si="61"/>
        <v>37.11</v>
      </c>
      <c r="D2514" s="18" t="s">
        <v>2148</v>
      </c>
      <c r="E2514" s="64" t="s">
        <v>2161</v>
      </c>
      <c r="F2514" s="85" t="s">
        <v>225</v>
      </c>
      <c r="G2514" s="336" t="s">
        <v>2342</v>
      </c>
      <c r="H2514" s="85" t="s">
        <v>2340</v>
      </c>
      <c r="I2514" s="94" t="s">
        <v>2345</v>
      </c>
      <c r="J2514" s="94" t="s">
        <v>222</v>
      </c>
      <c r="K2514" s="123" t="s">
        <v>222</v>
      </c>
      <c r="L2514" s="4" t="s">
        <v>3</v>
      </c>
      <c r="M2514" s="61" t="s">
        <v>33</v>
      </c>
      <c r="N2514" s="61" t="s">
        <v>2347</v>
      </c>
      <c r="O2514" s="61" t="s">
        <v>2345</v>
      </c>
      <c r="P2514" s="61" t="s">
        <v>2345</v>
      </c>
      <c r="Q2514" s="61"/>
      <c r="R2514" s="61" t="s">
        <v>5</v>
      </c>
      <c r="S2514" s="61"/>
      <c r="T2514" s="57"/>
      <c r="U2514" s="57"/>
      <c r="V2514" s="57"/>
      <c r="W2514" s="57"/>
      <c r="X2514" s="57"/>
      <c r="Y2514" s="57"/>
    </row>
    <row r="2515" spans="1:25" s="1" customFormat="1" ht="33" customHeight="1" x14ac:dyDescent="0.3">
      <c r="A2515" s="11">
        <v>37</v>
      </c>
      <c r="B2515" s="23">
        <v>12</v>
      </c>
      <c r="C2515" s="24" t="str">
        <f t="shared" si="61"/>
        <v>37.12</v>
      </c>
      <c r="D2515" s="18" t="s">
        <v>2148</v>
      </c>
      <c r="E2515" s="64" t="s">
        <v>2161</v>
      </c>
      <c r="F2515" s="85" t="s">
        <v>226</v>
      </c>
      <c r="G2515" s="336" t="s">
        <v>308</v>
      </c>
      <c r="H2515" s="85" t="s">
        <v>2340</v>
      </c>
      <c r="I2515" s="94" t="s">
        <v>240</v>
      </c>
      <c r="J2515" s="94" t="s">
        <v>222</v>
      </c>
      <c r="K2515" s="123" t="s">
        <v>222</v>
      </c>
      <c r="L2515" s="4" t="s">
        <v>3</v>
      </c>
      <c r="M2515" s="61" t="s">
        <v>33</v>
      </c>
      <c r="N2515" s="61" t="s">
        <v>2347</v>
      </c>
      <c r="O2515" s="61" t="s">
        <v>2345</v>
      </c>
      <c r="P2515" s="61" t="s">
        <v>2345</v>
      </c>
      <c r="Q2515" s="61" t="s">
        <v>2369</v>
      </c>
      <c r="R2515" s="61" t="s">
        <v>5</v>
      </c>
      <c r="S2515" s="61"/>
      <c r="T2515" s="57"/>
      <c r="U2515" s="57"/>
      <c r="V2515" s="57"/>
      <c r="W2515" s="57"/>
      <c r="X2515" s="57"/>
      <c r="Y2515" s="57"/>
    </row>
    <row r="2516" spans="1:25" s="1" customFormat="1" ht="33" customHeight="1" x14ac:dyDescent="0.3">
      <c r="A2516" s="11">
        <v>37</v>
      </c>
      <c r="B2516" s="23">
        <v>13</v>
      </c>
      <c r="C2516" s="24" t="str">
        <f t="shared" si="61"/>
        <v>37.13</v>
      </c>
      <c r="D2516" s="18" t="s">
        <v>2148</v>
      </c>
      <c r="E2516" s="64" t="s">
        <v>2161</v>
      </c>
      <c r="F2516" s="85" t="s">
        <v>226</v>
      </c>
      <c r="G2516" s="336" t="s">
        <v>2352</v>
      </c>
      <c r="H2516" s="85" t="s">
        <v>2340</v>
      </c>
      <c r="I2516" s="94" t="s">
        <v>33</v>
      </c>
      <c r="J2516" s="94" t="s">
        <v>222</v>
      </c>
      <c r="K2516" s="123" t="s">
        <v>222</v>
      </c>
      <c r="L2516" s="4" t="s">
        <v>3</v>
      </c>
      <c r="M2516" s="61" t="s">
        <v>33</v>
      </c>
      <c r="N2516" s="61" t="s">
        <v>2347</v>
      </c>
      <c r="O2516" s="61" t="s">
        <v>2345</v>
      </c>
      <c r="P2516" s="61" t="s">
        <v>2345</v>
      </c>
      <c r="Q2516" s="61" t="s">
        <v>2369</v>
      </c>
      <c r="R2516" s="61" t="s">
        <v>5</v>
      </c>
      <c r="S2516" s="61"/>
      <c r="T2516" s="57"/>
      <c r="U2516" s="57"/>
      <c r="V2516" s="57"/>
      <c r="W2516" s="57"/>
      <c r="X2516" s="57"/>
      <c r="Y2516" s="57"/>
    </row>
    <row r="2517" spans="1:25" s="1" customFormat="1" ht="33" customHeight="1" x14ac:dyDescent="0.3">
      <c r="A2517" s="11">
        <v>37</v>
      </c>
      <c r="B2517" s="23">
        <v>14</v>
      </c>
      <c r="C2517" s="24" t="str">
        <f t="shared" si="61"/>
        <v>37.14</v>
      </c>
      <c r="D2517" s="18" t="s">
        <v>2148</v>
      </c>
      <c r="E2517" s="64" t="s">
        <v>2161</v>
      </c>
      <c r="F2517" s="85" t="s">
        <v>226</v>
      </c>
      <c r="G2517" s="336" t="s">
        <v>2353</v>
      </c>
      <c r="H2517" s="85" t="s">
        <v>2340</v>
      </c>
      <c r="I2517" s="94" t="s">
        <v>2347</v>
      </c>
      <c r="J2517" s="94" t="s">
        <v>222</v>
      </c>
      <c r="K2517" s="123" t="s">
        <v>222</v>
      </c>
      <c r="L2517" s="4" t="s">
        <v>3</v>
      </c>
      <c r="M2517" s="61" t="s">
        <v>33</v>
      </c>
      <c r="N2517" s="61" t="s">
        <v>2347</v>
      </c>
      <c r="O2517" s="61" t="s">
        <v>2345</v>
      </c>
      <c r="P2517" s="61" t="s">
        <v>2345</v>
      </c>
      <c r="Q2517" s="61" t="s">
        <v>2369</v>
      </c>
      <c r="R2517" s="61" t="s">
        <v>5</v>
      </c>
      <c r="S2517" s="61"/>
      <c r="T2517" s="57"/>
      <c r="U2517" s="57"/>
      <c r="V2517" s="57"/>
      <c r="W2517" s="57"/>
      <c r="X2517" s="57"/>
      <c r="Y2517" s="57"/>
    </row>
    <row r="2518" spans="1:25" s="1" customFormat="1" ht="33" customHeight="1" x14ac:dyDescent="0.3">
      <c r="A2518" s="11">
        <v>37</v>
      </c>
      <c r="B2518" s="23">
        <v>15</v>
      </c>
      <c r="C2518" s="24" t="str">
        <f t="shared" si="61"/>
        <v>37.15</v>
      </c>
      <c r="D2518" s="18" t="s">
        <v>2148</v>
      </c>
      <c r="E2518" s="64" t="s">
        <v>2161</v>
      </c>
      <c r="F2518" s="85" t="s">
        <v>225</v>
      </c>
      <c r="G2518" s="336" t="s">
        <v>1388</v>
      </c>
      <c r="H2518" s="85" t="s">
        <v>2340</v>
      </c>
      <c r="I2518" s="94" t="s">
        <v>33</v>
      </c>
      <c r="J2518" s="94" t="s">
        <v>222</v>
      </c>
      <c r="K2518" s="123" t="s">
        <v>222</v>
      </c>
      <c r="L2518" s="4" t="s">
        <v>3</v>
      </c>
      <c r="M2518" s="61" t="s">
        <v>33</v>
      </c>
      <c r="N2518" s="61" t="s">
        <v>2347</v>
      </c>
      <c r="O2518" s="61" t="s">
        <v>2346</v>
      </c>
      <c r="P2518" s="61" t="s">
        <v>2345</v>
      </c>
      <c r="Q2518" s="61"/>
      <c r="R2518" s="61" t="s">
        <v>5</v>
      </c>
      <c r="S2518" s="61"/>
      <c r="T2518" s="57"/>
      <c r="U2518" s="57"/>
      <c r="V2518" s="57"/>
      <c r="W2518" s="57"/>
      <c r="X2518" s="57"/>
      <c r="Y2518" s="57"/>
    </row>
    <row r="2519" spans="1:25" s="1" customFormat="1" ht="33" customHeight="1" x14ac:dyDescent="0.3">
      <c r="A2519" s="11">
        <v>37</v>
      </c>
      <c r="B2519" s="23">
        <v>16</v>
      </c>
      <c r="C2519" s="24" t="str">
        <f t="shared" si="61"/>
        <v>37.16</v>
      </c>
      <c r="D2519" s="18" t="s">
        <v>2148</v>
      </c>
      <c r="E2519" s="64" t="s">
        <v>2161</v>
      </c>
      <c r="F2519" s="85" t="s">
        <v>225</v>
      </c>
      <c r="G2519" s="336" t="s">
        <v>1389</v>
      </c>
      <c r="H2519" s="85" t="s">
        <v>2340</v>
      </c>
      <c r="I2519" s="94" t="s">
        <v>2347</v>
      </c>
      <c r="J2519" s="94" t="s">
        <v>222</v>
      </c>
      <c r="K2519" s="123" t="s">
        <v>222</v>
      </c>
      <c r="L2519" s="4" t="s">
        <v>3</v>
      </c>
      <c r="M2519" s="61" t="s">
        <v>33</v>
      </c>
      <c r="N2519" s="61" t="s">
        <v>2347</v>
      </c>
      <c r="O2519" s="61" t="s">
        <v>2346</v>
      </c>
      <c r="P2519" s="61" t="s">
        <v>2345</v>
      </c>
      <c r="Q2519" s="61"/>
      <c r="R2519" s="61" t="s">
        <v>5</v>
      </c>
      <c r="S2519" s="61"/>
      <c r="T2519" s="57"/>
      <c r="U2519" s="57"/>
      <c r="V2519" s="57"/>
      <c r="W2519" s="57"/>
      <c r="X2519" s="57"/>
      <c r="Y2519" s="57"/>
    </row>
    <row r="2520" spans="1:25" s="1" customFormat="1" ht="33" customHeight="1" x14ac:dyDescent="0.3">
      <c r="A2520" s="11">
        <v>37</v>
      </c>
      <c r="B2520" s="23">
        <v>17</v>
      </c>
      <c r="C2520" s="24" t="str">
        <f t="shared" si="61"/>
        <v>37.17</v>
      </c>
      <c r="D2520" s="18" t="s">
        <v>2148</v>
      </c>
      <c r="E2520" s="64" t="s">
        <v>2161</v>
      </c>
      <c r="F2520" s="85" t="s">
        <v>225</v>
      </c>
      <c r="G2520" s="336" t="s">
        <v>2341</v>
      </c>
      <c r="H2520" s="85" t="s">
        <v>2340</v>
      </c>
      <c r="I2520" s="94" t="s">
        <v>2346</v>
      </c>
      <c r="J2520" s="94" t="s">
        <v>222</v>
      </c>
      <c r="K2520" s="123" t="s">
        <v>222</v>
      </c>
      <c r="L2520" s="4" t="s">
        <v>3</v>
      </c>
      <c r="M2520" s="61" t="s">
        <v>33</v>
      </c>
      <c r="N2520" s="61" t="s">
        <v>2347</v>
      </c>
      <c r="O2520" s="61" t="s">
        <v>2346</v>
      </c>
      <c r="P2520" s="61" t="s">
        <v>2345</v>
      </c>
      <c r="Q2520" s="61"/>
      <c r="R2520" s="61" t="s">
        <v>5</v>
      </c>
      <c r="S2520" s="61"/>
      <c r="T2520" s="57"/>
      <c r="U2520" s="57"/>
      <c r="V2520" s="57"/>
      <c r="W2520" s="57"/>
      <c r="X2520" s="57"/>
      <c r="Y2520" s="57"/>
    </row>
    <row r="2521" spans="1:25" s="1" customFormat="1" ht="33" customHeight="1" x14ac:dyDescent="0.3">
      <c r="A2521" s="11">
        <v>37</v>
      </c>
      <c r="B2521" s="23">
        <v>18</v>
      </c>
      <c r="C2521" s="24" t="str">
        <f t="shared" si="61"/>
        <v>37.18</v>
      </c>
      <c r="D2521" s="18" t="s">
        <v>2148</v>
      </c>
      <c r="E2521" s="64" t="s">
        <v>2161</v>
      </c>
      <c r="F2521" s="85" t="s">
        <v>225</v>
      </c>
      <c r="G2521" s="336" t="s">
        <v>2342</v>
      </c>
      <c r="H2521" s="85" t="s">
        <v>2340</v>
      </c>
      <c r="I2521" s="94" t="s">
        <v>2345</v>
      </c>
      <c r="J2521" s="94" t="s">
        <v>222</v>
      </c>
      <c r="K2521" s="123" t="s">
        <v>222</v>
      </c>
      <c r="L2521" s="4" t="s">
        <v>3</v>
      </c>
      <c r="M2521" s="61" t="s">
        <v>33</v>
      </c>
      <c r="N2521" s="61" t="s">
        <v>2347</v>
      </c>
      <c r="O2521" s="61" t="s">
        <v>2346</v>
      </c>
      <c r="P2521" s="61" t="s">
        <v>2345</v>
      </c>
      <c r="Q2521" s="61"/>
      <c r="R2521" s="61" t="s">
        <v>5</v>
      </c>
      <c r="S2521" s="61"/>
      <c r="T2521" s="57"/>
      <c r="U2521" s="57"/>
      <c r="V2521" s="57"/>
      <c r="W2521" s="57"/>
      <c r="X2521" s="57"/>
      <c r="Y2521" s="57"/>
    </row>
    <row r="2522" spans="1:25" s="1" customFormat="1" ht="33" customHeight="1" x14ac:dyDescent="0.3">
      <c r="A2522" s="11">
        <v>37</v>
      </c>
      <c r="B2522" s="23">
        <v>19</v>
      </c>
      <c r="C2522" s="24" t="str">
        <f t="shared" si="61"/>
        <v>37.19</v>
      </c>
      <c r="D2522" s="18" t="s">
        <v>2148</v>
      </c>
      <c r="E2522" s="64" t="s">
        <v>2161</v>
      </c>
      <c r="F2522" s="85" t="s">
        <v>226</v>
      </c>
      <c r="G2522" s="336" t="s">
        <v>308</v>
      </c>
      <c r="H2522" s="85" t="s">
        <v>2340</v>
      </c>
      <c r="I2522" s="94" t="s">
        <v>240</v>
      </c>
      <c r="J2522" s="94" t="s">
        <v>222</v>
      </c>
      <c r="K2522" s="123" t="s">
        <v>222</v>
      </c>
      <c r="L2522" s="4" t="s">
        <v>3</v>
      </c>
      <c r="M2522" s="61" t="s">
        <v>33</v>
      </c>
      <c r="N2522" s="61" t="s">
        <v>2347</v>
      </c>
      <c r="O2522" s="61" t="s">
        <v>2346</v>
      </c>
      <c r="P2522" s="61" t="s">
        <v>2345</v>
      </c>
      <c r="Q2522" s="61" t="s">
        <v>2369</v>
      </c>
      <c r="R2522" s="61" t="s">
        <v>5</v>
      </c>
      <c r="S2522" s="61"/>
      <c r="T2522" s="57"/>
      <c r="U2522" s="57"/>
      <c r="V2522" s="57"/>
      <c r="W2522" s="57"/>
      <c r="X2522" s="57"/>
      <c r="Y2522" s="57"/>
    </row>
    <row r="2523" spans="1:25" s="1" customFormat="1" ht="33" customHeight="1" x14ac:dyDescent="0.3">
      <c r="A2523" s="11">
        <v>37</v>
      </c>
      <c r="B2523" s="23">
        <v>20</v>
      </c>
      <c r="C2523" s="24" t="str">
        <f t="shared" si="61"/>
        <v>37.20</v>
      </c>
      <c r="D2523" s="18" t="s">
        <v>2148</v>
      </c>
      <c r="E2523" s="64" t="s">
        <v>2161</v>
      </c>
      <c r="F2523" s="85" t="s">
        <v>226</v>
      </c>
      <c r="G2523" s="336" t="s">
        <v>2352</v>
      </c>
      <c r="H2523" s="85" t="s">
        <v>2340</v>
      </c>
      <c r="I2523" s="94" t="s">
        <v>33</v>
      </c>
      <c r="J2523" s="94" t="s">
        <v>222</v>
      </c>
      <c r="K2523" s="123" t="s">
        <v>222</v>
      </c>
      <c r="L2523" s="4" t="s">
        <v>3</v>
      </c>
      <c r="M2523" s="61" t="s">
        <v>33</v>
      </c>
      <c r="N2523" s="61" t="s">
        <v>2347</v>
      </c>
      <c r="O2523" s="61" t="s">
        <v>2346</v>
      </c>
      <c r="P2523" s="61" t="s">
        <v>2345</v>
      </c>
      <c r="Q2523" s="61" t="s">
        <v>2369</v>
      </c>
      <c r="R2523" s="61" t="s">
        <v>5</v>
      </c>
      <c r="S2523" s="61"/>
      <c r="T2523" s="57"/>
      <c r="U2523" s="57"/>
      <c r="V2523" s="57"/>
      <c r="W2523" s="57"/>
      <c r="X2523" s="57"/>
      <c r="Y2523" s="57"/>
    </row>
    <row r="2524" spans="1:25" s="1" customFormat="1" ht="33" customHeight="1" x14ac:dyDescent="0.3">
      <c r="A2524" s="11">
        <v>37</v>
      </c>
      <c r="B2524" s="23">
        <v>21</v>
      </c>
      <c r="C2524" s="24" t="str">
        <f t="shared" si="61"/>
        <v>37.21</v>
      </c>
      <c r="D2524" s="18" t="s">
        <v>2148</v>
      </c>
      <c r="E2524" s="64" t="s">
        <v>2161</v>
      </c>
      <c r="F2524" s="85" t="s">
        <v>226</v>
      </c>
      <c r="G2524" s="336" t="s">
        <v>2353</v>
      </c>
      <c r="H2524" s="85" t="s">
        <v>2340</v>
      </c>
      <c r="I2524" s="94" t="s">
        <v>2347</v>
      </c>
      <c r="J2524" s="94" t="s">
        <v>222</v>
      </c>
      <c r="K2524" s="123" t="s">
        <v>222</v>
      </c>
      <c r="L2524" s="4" t="s">
        <v>3</v>
      </c>
      <c r="M2524" s="61" t="s">
        <v>33</v>
      </c>
      <c r="N2524" s="61" t="s">
        <v>2347</v>
      </c>
      <c r="O2524" s="61" t="s">
        <v>2346</v>
      </c>
      <c r="P2524" s="61" t="s">
        <v>2345</v>
      </c>
      <c r="Q2524" s="61" t="s">
        <v>2369</v>
      </c>
      <c r="R2524" s="61" t="s">
        <v>5</v>
      </c>
      <c r="S2524" s="61"/>
      <c r="T2524" s="57"/>
      <c r="U2524" s="57"/>
      <c r="V2524" s="57"/>
      <c r="W2524" s="57"/>
      <c r="X2524" s="57"/>
      <c r="Y2524" s="57"/>
    </row>
    <row r="2525" spans="1:25" s="1" customFormat="1" ht="33" customHeight="1" x14ac:dyDescent="0.3">
      <c r="A2525" s="11">
        <v>37</v>
      </c>
      <c r="B2525" s="23">
        <v>22</v>
      </c>
      <c r="C2525" s="24" t="str">
        <f t="shared" si="61"/>
        <v>37.22</v>
      </c>
      <c r="D2525" s="18" t="s">
        <v>2148</v>
      </c>
      <c r="E2525" s="64" t="str">
        <f>IF(ISBLANK(D2525)=TRUE,"",VLOOKUP(D2525,Krav!$C:$F,4,FALSE))</f>
        <v>11.a.2 - Der skal komme en advarsel om det ikke er "normalt" hvis fordringshaver svarer at sidste rettidige betalingsdato kan ligge før forfaldsdatoen</v>
      </c>
      <c r="F2525" s="85" t="s">
        <v>174</v>
      </c>
      <c r="G2525" s="53"/>
      <c r="H2525" s="85" t="s">
        <v>2340</v>
      </c>
      <c r="I2525" s="67" t="s">
        <v>1414</v>
      </c>
      <c r="J2525" s="87" t="s">
        <v>222</v>
      </c>
      <c r="K2525" s="123" t="s">
        <v>222</v>
      </c>
      <c r="L2525" s="4" t="s">
        <v>3</v>
      </c>
      <c r="M2525" s="205" t="s">
        <v>376</v>
      </c>
      <c r="N2525" s="61" t="s">
        <v>2344</v>
      </c>
      <c r="O2525" s="205" t="s">
        <v>2346</v>
      </c>
      <c r="P2525" s="61" t="s">
        <v>2345</v>
      </c>
      <c r="Q2525" s="61"/>
      <c r="R2525" s="61" t="s">
        <v>5</v>
      </c>
      <c r="S2525" s="61"/>
      <c r="T2525" s="57"/>
      <c r="U2525" s="57"/>
      <c r="V2525" s="57"/>
      <c r="W2525" s="57"/>
      <c r="X2525" s="57"/>
      <c r="Y2525" s="57"/>
    </row>
    <row r="2526" spans="1:25" s="1" customFormat="1" ht="33" customHeight="1" x14ac:dyDescent="0.3">
      <c r="A2526" s="11">
        <v>37</v>
      </c>
      <c r="B2526" s="23">
        <v>23</v>
      </c>
      <c r="C2526" s="24" t="str">
        <f t="shared" si="61"/>
        <v>37.23</v>
      </c>
      <c r="D2526" s="18" t="s">
        <v>2148</v>
      </c>
      <c r="E2526" s="64" t="str">
        <f>IF(ISBLANK(D2526)=TRUE,"",VLOOKUP(D2526,Krav!$C:$F,4,FALSE))</f>
        <v>11.a.2 - Der skal komme en advarsel om det ikke er "normalt" hvis fordringshaver svarer at sidste rettidige betalingsdato kan ligge før forfaldsdatoen</v>
      </c>
      <c r="F2526" s="334" t="s">
        <v>418</v>
      </c>
      <c r="G2526" s="334" t="s">
        <v>419</v>
      </c>
      <c r="H2526" s="85" t="s">
        <v>2340</v>
      </c>
      <c r="I2526" s="86" t="s">
        <v>129</v>
      </c>
      <c r="J2526" s="94" t="s">
        <v>222</v>
      </c>
      <c r="K2526" s="123" t="s">
        <v>222</v>
      </c>
      <c r="L2526" s="4" t="s">
        <v>3</v>
      </c>
      <c r="M2526" s="205" t="s">
        <v>376</v>
      </c>
      <c r="N2526" s="61" t="s">
        <v>2344</v>
      </c>
      <c r="O2526" s="205" t="s">
        <v>2346</v>
      </c>
      <c r="P2526" s="61" t="s">
        <v>2345</v>
      </c>
      <c r="Q2526" s="61"/>
      <c r="R2526" s="61" t="s">
        <v>5</v>
      </c>
      <c r="S2526" s="61"/>
      <c r="T2526" s="57"/>
      <c r="U2526" s="57"/>
      <c r="V2526" s="57"/>
      <c r="W2526" s="57"/>
      <c r="X2526" s="57"/>
      <c r="Y2526" s="57"/>
    </row>
    <row r="2527" spans="1:25" s="1" customFormat="1" ht="33" customHeight="1" x14ac:dyDescent="0.3">
      <c r="A2527" s="11">
        <v>37</v>
      </c>
      <c r="B2527" s="23">
        <v>24</v>
      </c>
      <c r="C2527" s="24" t="str">
        <f t="shared" si="61"/>
        <v>37.24</v>
      </c>
      <c r="D2527" s="18" t="s">
        <v>2148</v>
      </c>
      <c r="E2527" s="64" t="str">
        <f>IF(ISBLANK(D2527)=TRUE,"",VLOOKUP(D2527,Krav!$C:$F,4,FALSE))</f>
        <v>11.a.2 - Der skal komme en advarsel om det ikke er "normalt" hvis fordringshaver svarer at sidste rettidige betalingsdato kan ligge før forfaldsdatoen</v>
      </c>
      <c r="F2527" s="85" t="s">
        <v>174</v>
      </c>
      <c r="G2527" s="53"/>
      <c r="H2527" s="85" t="s">
        <v>2340</v>
      </c>
      <c r="I2527" s="67" t="s">
        <v>1414</v>
      </c>
      <c r="J2527" s="87" t="s">
        <v>222</v>
      </c>
      <c r="K2527" s="123" t="s">
        <v>222</v>
      </c>
      <c r="L2527" s="4" t="s">
        <v>3</v>
      </c>
      <c r="M2527" s="205" t="s">
        <v>2344</v>
      </c>
      <c r="N2527" s="205" t="s">
        <v>2343</v>
      </c>
      <c r="O2527" s="205" t="s">
        <v>2346</v>
      </c>
      <c r="P2527" s="205" t="s">
        <v>2346</v>
      </c>
      <c r="Q2527" s="61"/>
      <c r="R2527" s="61" t="s">
        <v>5</v>
      </c>
      <c r="S2527" s="61"/>
      <c r="T2527" s="57"/>
      <c r="U2527" s="57"/>
      <c r="V2527" s="57"/>
      <c r="W2527" s="57"/>
      <c r="X2527" s="57"/>
      <c r="Y2527" s="57"/>
    </row>
    <row r="2528" spans="1:25" s="1" customFormat="1" ht="33" customHeight="1" x14ac:dyDescent="0.3">
      <c r="A2528" s="11">
        <v>37</v>
      </c>
      <c r="B2528" s="23">
        <v>25</v>
      </c>
      <c r="C2528" s="24" t="str">
        <f t="shared" si="61"/>
        <v>37.25</v>
      </c>
      <c r="D2528" s="18" t="s">
        <v>2148</v>
      </c>
      <c r="E2528" s="64" t="str">
        <f>IF(ISBLANK(D2528)=TRUE,"",VLOOKUP(D2528,Krav!$C:$F,4,FALSE))</f>
        <v>11.a.2 - Der skal komme en advarsel om det ikke er "normalt" hvis fordringshaver svarer at sidste rettidige betalingsdato kan ligge før forfaldsdatoen</v>
      </c>
      <c r="F2528" s="334" t="s">
        <v>418</v>
      </c>
      <c r="G2528" s="334" t="s">
        <v>419</v>
      </c>
      <c r="H2528" s="85" t="s">
        <v>2340</v>
      </c>
      <c r="I2528" s="86" t="s">
        <v>129</v>
      </c>
      <c r="J2528" s="94" t="s">
        <v>222</v>
      </c>
      <c r="K2528" s="123" t="s">
        <v>222</v>
      </c>
      <c r="L2528" s="4" t="s">
        <v>3</v>
      </c>
      <c r="M2528" s="205" t="s">
        <v>2344</v>
      </c>
      <c r="N2528" s="205" t="s">
        <v>2343</v>
      </c>
      <c r="O2528" s="205" t="s">
        <v>2346</v>
      </c>
      <c r="P2528" s="205" t="s">
        <v>2346</v>
      </c>
      <c r="Q2528" s="61"/>
      <c r="R2528" s="61" t="s">
        <v>5</v>
      </c>
      <c r="S2528" s="61"/>
      <c r="T2528" s="57"/>
      <c r="U2528" s="57"/>
      <c r="V2528" s="57"/>
      <c r="W2528" s="57"/>
      <c r="X2528" s="57"/>
      <c r="Y2528" s="57"/>
    </row>
    <row r="2529" spans="1:29" s="1" customFormat="1" ht="33" customHeight="1" x14ac:dyDescent="0.3">
      <c r="A2529" s="11">
        <v>37</v>
      </c>
      <c r="B2529" s="23">
        <v>26</v>
      </c>
      <c r="C2529" s="24" t="str">
        <f t="shared" si="61"/>
        <v>37.26</v>
      </c>
      <c r="D2529" s="18" t="s">
        <v>2148</v>
      </c>
      <c r="E2529" s="64" t="str">
        <f>IF(ISBLANK(D2529)=TRUE,"",VLOOKUP(D2529,Krav!$C:$F,4,FALSE))</f>
        <v>11.a.2 - Der skal komme en advarsel om det ikke er "normalt" hvis fordringshaver svarer at sidste rettidige betalingsdato kan ligge før forfaldsdatoen</v>
      </c>
      <c r="F2529" s="85" t="s">
        <v>174</v>
      </c>
      <c r="G2529" s="53"/>
      <c r="H2529" s="85" t="s">
        <v>2340</v>
      </c>
      <c r="I2529" s="67" t="s">
        <v>1414</v>
      </c>
      <c r="J2529" s="87" t="s">
        <v>222</v>
      </c>
      <c r="K2529" s="123" t="s">
        <v>222</v>
      </c>
      <c r="L2529" s="4" t="s">
        <v>3</v>
      </c>
      <c r="M2529" s="363" t="s">
        <v>2344</v>
      </c>
      <c r="N2529" s="205" t="s">
        <v>2343</v>
      </c>
      <c r="O2529" s="61" t="s">
        <v>2345</v>
      </c>
      <c r="P2529" s="205" t="s">
        <v>2346</v>
      </c>
      <c r="Q2529" s="61"/>
      <c r="R2529" s="61" t="s">
        <v>5</v>
      </c>
      <c r="S2529" s="61"/>
      <c r="T2529" s="57"/>
      <c r="U2529" s="57"/>
      <c r="V2529" s="57"/>
      <c r="W2529" s="57"/>
      <c r="X2529" s="57"/>
      <c r="Y2529" s="57"/>
    </row>
    <row r="2530" spans="1:29" s="1" customFormat="1" ht="33" customHeight="1" x14ac:dyDescent="0.3">
      <c r="A2530" s="11">
        <v>37</v>
      </c>
      <c r="B2530" s="23">
        <v>27</v>
      </c>
      <c r="C2530" s="24" t="str">
        <f t="shared" si="61"/>
        <v>37.27</v>
      </c>
      <c r="D2530" s="18" t="s">
        <v>2148</v>
      </c>
      <c r="E2530" s="64" t="str">
        <f>IF(ISBLANK(D2530)=TRUE,"",VLOOKUP(D2530,Krav!$C:$F,4,FALSE))</f>
        <v>11.a.2 - Der skal komme en advarsel om det ikke er "normalt" hvis fordringshaver svarer at sidste rettidige betalingsdato kan ligge før forfaldsdatoen</v>
      </c>
      <c r="F2530" s="334" t="s">
        <v>418</v>
      </c>
      <c r="G2530" s="334" t="s">
        <v>419</v>
      </c>
      <c r="H2530" s="85" t="s">
        <v>2340</v>
      </c>
      <c r="I2530" s="86" t="s">
        <v>129</v>
      </c>
      <c r="J2530" s="87" t="s">
        <v>222</v>
      </c>
      <c r="K2530" s="123" t="s">
        <v>222</v>
      </c>
      <c r="L2530" s="4" t="s">
        <v>3</v>
      </c>
      <c r="M2530" s="363" t="s">
        <v>2344</v>
      </c>
      <c r="N2530" s="205" t="s">
        <v>2343</v>
      </c>
      <c r="O2530" s="61" t="s">
        <v>2345</v>
      </c>
      <c r="P2530" s="205" t="s">
        <v>2346</v>
      </c>
      <c r="Q2530" s="61"/>
      <c r="R2530" s="61" t="s">
        <v>5</v>
      </c>
      <c r="S2530" s="61"/>
      <c r="T2530" s="57"/>
      <c r="U2530" s="57"/>
      <c r="V2530" s="57"/>
      <c r="W2530" s="57"/>
      <c r="X2530" s="57"/>
      <c r="Y2530" s="57"/>
    </row>
    <row r="2531" spans="1:29" s="234" customFormat="1" ht="33" customHeight="1" x14ac:dyDescent="0.3">
      <c r="A2531" s="11">
        <v>37</v>
      </c>
      <c r="B2531" s="23">
        <v>28</v>
      </c>
      <c r="C2531" s="24" t="str">
        <f t="shared" si="61"/>
        <v>37.28</v>
      </c>
      <c r="D2531" s="227" t="s">
        <v>2148</v>
      </c>
      <c r="E2531" s="366" t="str">
        <f>IF(ISBLANK(D2531)=TRUE,"",VLOOKUP(D2531,Krav!$C:$F,4,FALSE))</f>
        <v>11.a.2 - Der skal komme en advarsel om det ikke er "normalt" hvis fordringshaver svarer at sidste rettidige betalingsdato kan ligge før forfaldsdatoen</v>
      </c>
      <c r="F2531" s="367" t="s">
        <v>174</v>
      </c>
      <c r="G2531" s="228"/>
      <c r="H2531" s="367" t="s">
        <v>2340</v>
      </c>
      <c r="I2531" s="230" t="s">
        <v>1414</v>
      </c>
      <c r="J2531" s="368" t="s">
        <v>222</v>
      </c>
      <c r="K2531" s="230" t="s">
        <v>222</v>
      </c>
      <c r="L2531" s="231" t="s">
        <v>3</v>
      </c>
      <c r="M2531" s="241" t="s">
        <v>404</v>
      </c>
      <c r="N2531" s="232" t="s">
        <v>2344</v>
      </c>
      <c r="O2531" s="241" t="s">
        <v>2346</v>
      </c>
      <c r="P2531" s="232" t="s">
        <v>2345</v>
      </c>
      <c r="Q2531" s="232"/>
      <c r="R2531" s="232" t="s">
        <v>33</v>
      </c>
      <c r="S2531" s="232" t="s">
        <v>2354</v>
      </c>
      <c r="T2531" s="369"/>
      <c r="U2531" s="369"/>
      <c r="V2531" s="369"/>
      <c r="W2531" s="369"/>
      <c r="X2531" s="369"/>
      <c r="Y2531" s="369"/>
    </row>
    <row r="2532" spans="1:29" s="234" customFormat="1" ht="33" customHeight="1" x14ac:dyDescent="0.3">
      <c r="A2532" s="11">
        <v>37</v>
      </c>
      <c r="B2532" s="23">
        <v>29</v>
      </c>
      <c r="C2532" s="24" t="str">
        <f t="shared" si="61"/>
        <v>37.29</v>
      </c>
      <c r="D2532" s="227" t="s">
        <v>2148</v>
      </c>
      <c r="E2532" s="366" t="str">
        <f>IF(ISBLANK(D2532)=TRUE,"",VLOOKUP(D2532,Krav!$C:$F,4,FALSE))</f>
        <v>11.a.2 - Der skal komme en advarsel om det ikke er "normalt" hvis fordringshaver svarer at sidste rettidige betalingsdato kan ligge før forfaldsdatoen</v>
      </c>
      <c r="F2532" s="370" t="s">
        <v>418</v>
      </c>
      <c r="G2532" s="370" t="s">
        <v>419</v>
      </c>
      <c r="H2532" s="367" t="s">
        <v>2340</v>
      </c>
      <c r="I2532" s="371" t="s">
        <v>129</v>
      </c>
      <c r="J2532" s="368" t="s">
        <v>222</v>
      </c>
      <c r="K2532" s="230" t="s">
        <v>222</v>
      </c>
      <c r="L2532" s="231" t="s">
        <v>3</v>
      </c>
      <c r="M2532" s="241" t="s">
        <v>404</v>
      </c>
      <c r="N2532" s="232" t="s">
        <v>2344</v>
      </c>
      <c r="O2532" s="241" t="s">
        <v>2346</v>
      </c>
      <c r="P2532" s="232" t="s">
        <v>2345</v>
      </c>
      <c r="Q2532" s="232"/>
      <c r="R2532" s="232" t="s">
        <v>33</v>
      </c>
      <c r="S2532" s="232" t="s">
        <v>2354</v>
      </c>
      <c r="T2532" s="369"/>
      <c r="U2532" s="369"/>
      <c r="V2532" s="369"/>
      <c r="W2532" s="369"/>
      <c r="X2532" s="369"/>
      <c r="Y2532" s="369"/>
    </row>
    <row r="2533" spans="1:29" s="1" customFormat="1" ht="33" customHeight="1" x14ac:dyDescent="0.3">
      <c r="A2533" s="11">
        <v>37</v>
      </c>
      <c r="B2533" s="23">
        <v>30</v>
      </c>
      <c r="C2533" s="24" t="str">
        <f t="shared" si="61"/>
        <v>37.30</v>
      </c>
      <c r="D2533" s="18" t="s">
        <v>2148</v>
      </c>
      <c r="E2533" s="64" t="str">
        <f>IF(ISBLANK(D2533)=TRUE,"",VLOOKUP(D2533,Krav!$C:$F,4,FALSE))</f>
        <v>11.a.2 - Der skal komme en advarsel om det ikke er "normalt" hvis fordringshaver svarer at sidste rettidige betalingsdato kan ligge før forfaldsdatoen</v>
      </c>
      <c r="F2533" s="85" t="s">
        <v>174</v>
      </c>
      <c r="G2533" s="53"/>
      <c r="H2533" s="85" t="s">
        <v>2340</v>
      </c>
      <c r="I2533" s="67" t="s">
        <v>1414</v>
      </c>
      <c r="J2533" s="87" t="s">
        <v>222</v>
      </c>
      <c r="K2533" s="123" t="s">
        <v>222</v>
      </c>
      <c r="L2533" s="4" t="s">
        <v>3</v>
      </c>
      <c r="M2533" s="363" t="s">
        <v>376</v>
      </c>
      <c r="N2533" s="205" t="s">
        <v>2348</v>
      </c>
      <c r="O2533" s="61" t="s">
        <v>2345</v>
      </c>
      <c r="P2533" s="61" t="s">
        <v>2345</v>
      </c>
      <c r="Q2533" s="61"/>
      <c r="R2533" s="61" t="s">
        <v>5</v>
      </c>
      <c r="S2533" s="61"/>
      <c r="T2533" s="57"/>
      <c r="U2533" s="57"/>
      <c r="V2533" s="57"/>
      <c r="W2533" s="57"/>
      <c r="X2533" s="57"/>
      <c r="Y2533" s="57"/>
    </row>
    <row r="2534" spans="1:29" s="1" customFormat="1" ht="33" customHeight="1" x14ac:dyDescent="0.3">
      <c r="A2534" s="11">
        <v>37</v>
      </c>
      <c r="B2534" s="23">
        <v>31</v>
      </c>
      <c r="C2534" s="24" t="str">
        <f t="shared" si="61"/>
        <v>37.31</v>
      </c>
      <c r="D2534" s="18" t="s">
        <v>2148</v>
      </c>
      <c r="E2534" s="64" t="str">
        <f>IF(ISBLANK(D2534)=TRUE,"",VLOOKUP(D2534,Krav!$C:$F,4,FALSE))</f>
        <v>11.a.2 - Der skal komme en advarsel om det ikke er "normalt" hvis fordringshaver svarer at sidste rettidige betalingsdato kan ligge før forfaldsdatoen</v>
      </c>
      <c r="F2534" s="334" t="s">
        <v>418</v>
      </c>
      <c r="G2534" s="334" t="s">
        <v>419</v>
      </c>
      <c r="H2534" s="85" t="s">
        <v>2340</v>
      </c>
      <c r="I2534" s="86" t="s">
        <v>129</v>
      </c>
      <c r="J2534" s="94" t="s">
        <v>222</v>
      </c>
      <c r="K2534" s="123" t="s">
        <v>222</v>
      </c>
      <c r="L2534" s="4" t="s">
        <v>3</v>
      </c>
      <c r="M2534" s="363" t="s">
        <v>376</v>
      </c>
      <c r="N2534" s="205" t="s">
        <v>2348</v>
      </c>
      <c r="O2534" s="61" t="s">
        <v>2345</v>
      </c>
      <c r="P2534" s="61" t="s">
        <v>2345</v>
      </c>
      <c r="Q2534" s="61"/>
      <c r="R2534" s="61" t="s">
        <v>5</v>
      </c>
      <c r="S2534" s="61"/>
      <c r="T2534" s="57"/>
      <c r="U2534" s="57"/>
      <c r="V2534" s="57"/>
      <c r="W2534" s="57"/>
      <c r="X2534" s="57"/>
      <c r="Y2534" s="57"/>
    </row>
    <row r="2535" spans="1:29" s="234" customFormat="1" ht="33" customHeight="1" x14ac:dyDescent="0.3">
      <c r="A2535" s="11">
        <v>37</v>
      </c>
      <c r="B2535" s="23">
        <v>32</v>
      </c>
      <c r="C2535" s="24" t="str">
        <f t="shared" si="61"/>
        <v>37.32</v>
      </c>
      <c r="D2535" s="227" t="s">
        <v>2148</v>
      </c>
      <c r="E2535" s="366" t="str">
        <f>IF(ISBLANK(D2535)=TRUE,"",VLOOKUP(D2535,Krav!$C:$F,4,FALSE))</f>
        <v>11.a.2 - Der skal komme en advarsel om det ikke er "normalt" hvis fordringshaver svarer at sidste rettidige betalingsdato kan ligge før forfaldsdatoen</v>
      </c>
      <c r="F2535" s="367" t="s">
        <v>174</v>
      </c>
      <c r="G2535" s="228"/>
      <c r="H2535" s="367" t="s">
        <v>2340</v>
      </c>
      <c r="I2535" s="230" t="s">
        <v>1414</v>
      </c>
      <c r="J2535" s="368" t="s">
        <v>222</v>
      </c>
      <c r="K2535" s="230" t="s">
        <v>222</v>
      </c>
      <c r="L2535" s="231" t="s">
        <v>3</v>
      </c>
      <c r="M2535" s="372" t="s">
        <v>2344</v>
      </c>
      <c r="N2535" s="241" t="s">
        <v>2349</v>
      </c>
      <c r="O2535" s="232" t="s">
        <v>2345</v>
      </c>
      <c r="P2535" s="241" t="s">
        <v>2346</v>
      </c>
      <c r="Q2535" s="232"/>
      <c r="R2535" s="232" t="s">
        <v>33</v>
      </c>
      <c r="S2535" s="232" t="s">
        <v>2354</v>
      </c>
      <c r="T2535" s="369"/>
      <c r="U2535" s="369"/>
      <c r="V2535" s="369"/>
      <c r="W2535" s="369"/>
      <c r="X2535" s="369"/>
      <c r="Y2535" s="369"/>
    </row>
    <row r="2536" spans="1:29" s="234" customFormat="1" ht="33" customHeight="1" x14ac:dyDescent="0.3">
      <c r="A2536" s="11">
        <v>37</v>
      </c>
      <c r="B2536" s="23">
        <v>33</v>
      </c>
      <c r="C2536" s="24" t="str">
        <f t="shared" si="61"/>
        <v>37.33</v>
      </c>
      <c r="D2536" s="227" t="s">
        <v>2148</v>
      </c>
      <c r="E2536" s="366" t="str">
        <f>IF(ISBLANK(D2536)=TRUE,"",VLOOKUP(D2536,Krav!$C:$F,4,FALSE))</f>
        <v>11.a.2 - Der skal komme en advarsel om det ikke er "normalt" hvis fordringshaver svarer at sidste rettidige betalingsdato kan ligge før forfaldsdatoen</v>
      </c>
      <c r="F2536" s="370" t="s">
        <v>418</v>
      </c>
      <c r="G2536" s="370" t="s">
        <v>419</v>
      </c>
      <c r="H2536" s="367" t="s">
        <v>2340</v>
      </c>
      <c r="I2536" s="371" t="s">
        <v>129</v>
      </c>
      <c r="J2536" s="368" t="s">
        <v>222</v>
      </c>
      <c r="K2536" s="230" t="s">
        <v>222</v>
      </c>
      <c r="L2536" s="231" t="s">
        <v>3</v>
      </c>
      <c r="M2536" s="373" t="s">
        <v>2344</v>
      </c>
      <c r="N2536" s="241" t="s">
        <v>2349</v>
      </c>
      <c r="O2536" s="232" t="s">
        <v>2345</v>
      </c>
      <c r="P2536" s="241" t="s">
        <v>2346</v>
      </c>
      <c r="Q2536" s="232"/>
      <c r="R2536" s="232" t="s">
        <v>33</v>
      </c>
      <c r="S2536" s="232" t="s">
        <v>2354</v>
      </c>
      <c r="T2536" s="369"/>
      <c r="U2536" s="369"/>
      <c r="V2536" s="369"/>
      <c r="W2536" s="369"/>
      <c r="X2536" s="369"/>
      <c r="Y2536" s="369"/>
    </row>
    <row r="2537" spans="1:29" s="1" customFormat="1" ht="33" customHeight="1" x14ac:dyDescent="0.3">
      <c r="A2537" s="11">
        <v>37</v>
      </c>
      <c r="B2537" s="23">
        <v>34</v>
      </c>
      <c r="C2537" s="24" t="str">
        <f t="shared" si="61"/>
        <v>37.34</v>
      </c>
      <c r="D2537" s="18" t="s">
        <v>2148</v>
      </c>
      <c r="E2537" s="64" t="str">
        <f>IF(ISBLANK(D2537)=TRUE,"",VLOOKUP(D2537,Krav!$C:$F,4,FALSE))</f>
        <v>11.a.2 - Der skal komme en advarsel om det ikke er "normalt" hvis fordringshaver svarer at sidste rettidige betalingsdato kan ligge før forfaldsdatoen</v>
      </c>
      <c r="F2537" s="85" t="s">
        <v>174</v>
      </c>
      <c r="G2537" s="53"/>
      <c r="H2537" s="85" t="s">
        <v>2340</v>
      </c>
      <c r="I2537" s="67" t="s">
        <v>1414</v>
      </c>
      <c r="J2537" s="87" t="s">
        <v>222</v>
      </c>
      <c r="K2537" s="123" t="s">
        <v>222</v>
      </c>
      <c r="L2537" s="4" t="s">
        <v>3</v>
      </c>
      <c r="M2537" s="364" t="s">
        <v>2344</v>
      </c>
      <c r="N2537" s="205" t="s">
        <v>97</v>
      </c>
      <c r="O2537" s="61" t="s">
        <v>2345</v>
      </c>
      <c r="P2537" s="205" t="s">
        <v>2346</v>
      </c>
      <c r="Q2537" s="61"/>
      <c r="R2537" s="61" t="s">
        <v>5</v>
      </c>
      <c r="S2537" s="61"/>
      <c r="T2537" s="57"/>
      <c r="U2537" s="57"/>
      <c r="V2537" s="57"/>
      <c r="W2537" s="57"/>
      <c r="X2537" s="57"/>
      <c r="Y2537" s="57"/>
    </row>
    <row r="2538" spans="1:29" s="1" customFormat="1" ht="33" customHeight="1" x14ac:dyDescent="0.3">
      <c r="A2538" s="11">
        <v>37</v>
      </c>
      <c r="B2538" s="23">
        <v>35</v>
      </c>
      <c r="C2538" s="24" t="str">
        <f t="shared" si="61"/>
        <v>37.35</v>
      </c>
      <c r="D2538" s="18" t="s">
        <v>2148</v>
      </c>
      <c r="E2538" s="64" t="str">
        <f>IF(ISBLANK(D2538)=TRUE,"",VLOOKUP(D2538,Krav!$C:$F,4,FALSE))</f>
        <v>11.a.2 - Der skal komme en advarsel om det ikke er "normalt" hvis fordringshaver svarer at sidste rettidige betalingsdato kan ligge før forfaldsdatoen</v>
      </c>
      <c r="F2538" s="334" t="s">
        <v>418</v>
      </c>
      <c r="G2538" s="334" t="s">
        <v>419</v>
      </c>
      <c r="H2538" s="85" t="s">
        <v>2340</v>
      </c>
      <c r="I2538" s="86" t="s">
        <v>129</v>
      </c>
      <c r="J2538" s="87" t="s">
        <v>222</v>
      </c>
      <c r="K2538" s="123" t="s">
        <v>222</v>
      </c>
      <c r="L2538" s="4" t="s">
        <v>3</v>
      </c>
      <c r="M2538" s="363" t="s">
        <v>2344</v>
      </c>
      <c r="N2538" s="205" t="s">
        <v>97</v>
      </c>
      <c r="O2538" s="61" t="s">
        <v>2345</v>
      </c>
      <c r="P2538" s="205" t="s">
        <v>2346</v>
      </c>
      <c r="Q2538" s="61"/>
      <c r="R2538" s="61" t="s">
        <v>5</v>
      </c>
      <c r="S2538" s="61"/>
      <c r="T2538" s="57"/>
      <c r="U2538" s="57"/>
      <c r="V2538" s="57"/>
      <c r="W2538" s="57"/>
      <c r="X2538" s="57"/>
      <c r="Y2538" s="57"/>
    </row>
    <row r="2539" spans="1:29" s="1" customFormat="1" ht="33" customHeight="1" x14ac:dyDescent="0.3">
      <c r="A2539" s="11">
        <v>37</v>
      </c>
      <c r="B2539" s="23">
        <v>36</v>
      </c>
      <c r="C2539" s="24" t="str">
        <f t="shared" si="61"/>
        <v>37.36</v>
      </c>
      <c r="D2539" s="18"/>
      <c r="E2539" s="64"/>
      <c r="F2539" s="334" t="s">
        <v>143</v>
      </c>
      <c r="G2539" s="53"/>
      <c r="H2539" s="85" t="s">
        <v>2350</v>
      </c>
      <c r="I2539" s="86" t="s">
        <v>2071</v>
      </c>
      <c r="J2539" s="87" t="s">
        <v>222</v>
      </c>
      <c r="K2539" s="123" t="s">
        <v>222</v>
      </c>
      <c r="L2539" s="4" t="s">
        <v>3</v>
      </c>
      <c r="M2539" s="61" t="s">
        <v>376</v>
      </c>
      <c r="N2539" s="61" t="s">
        <v>2344</v>
      </c>
      <c r="O2539" s="61" t="s">
        <v>2345</v>
      </c>
      <c r="P2539" s="61" t="s">
        <v>2345</v>
      </c>
      <c r="Q2539" s="61"/>
      <c r="R2539" s="61" t="s">
        <v>5</v>
      </c>
      <c r="S2539" s="61"/>
      <c r="T2539" s="57"/>
      <c r="U2539" s="57"/>
      <c r="V2539" s="57"/>
      <c r="W2539" s="57"/>
      <c r="X2539" s="57"/>
      <c r="Y2539" s="57"/>
    </row>
    <row r="2540" spans="1:29" s="1" customFormat="1" ht="33" customHeight="1" x14ac:dyDescent="0.3">
      <c r="A2540" s="11">
        <v>37</v>
      </c>
      <c r="B2540" s="23">
        <v>37</v>
      </c>
      <c r="C2540" s="24" t="str">
        <f t="shared" si="61"/>
        <v>37.37</v>
      </c>
      <c r="D2540" s="18"/>
      <c r="E2540" s="64"/>
      <c r="F2540" s="85" t="s">
        <v>185</v>
      </c>
      <c r="G2540" s="53"/>
      <c r="H2540" s="25" t="s">
        <v>1585</v>
      </c>
      <c r="I2540" s="86" t="s">
        <v>2068</v>
      </c>
      <c r="J2540" s="87" t="s">
        <v>222</v>
      </c>
      <c r="K2540" s="123" t="s">
        <v>222</v>
      </c>
      <c r="L2540" s="4" t="s">
        <v>3</v>
      </c>
      <c r="M2540" s="61" t="s">
        <v>376</v>
      </c>
      <c r="N2540" s="61" t="s">
        <v>2344</v>
      </c>
      <c r="O2540" s="61" t="s">
        <v>2345</v>
      </c>
      <c r="P2540" s="61" t="s">
        <v>2345</v>
      </c>
      <c r="Q2540" s="61"/>
      <c r="R2540" s="61" t="s">
        <v>5</v>
      </c>
      <c r="S2540" s="61"/>
      <c r="T2540" s="57"/>
      <c r="U2540" s="57"/>
      <c r="V2540" s="57"/>
      <c r="W2540" s="57"/>
      <c r="X2540" s="57"/>
      <c r="Y2540" s="57"/>
    </row>
    <row r="2541" spans="1:29" s="221" customFormat="1" ht="42" customHeight="1" x14ac:dyDescent="0.3">
      <c r="A2541" s="11">
        <v>37</v>
      </c>
      <c r="B2541" s="23">
        <v>38</v>
      </c>
      <c r="C2541" s="24" t="str">
        <f t="shared" si="61"/>
        <v>37.38</v>
      </c>
      <c r="D2541" s="18"/>
      <c r="E2541" s="64"/>
      <c r="F2541" s="84" t="s">
        <v>224</v>
      </c>
      <c r="G2541" s="336" t="s">
        <v>1388</v>
      </c>
      <c r="H2541" s="25" t="s">
        <v>1587</v>
      </c>
      <c r="I2541" s="86" t="s">
        <v>376</v>
      </c>
      <c r="J2541" s="87" t="s">
        <v>222</v>
      </c>
      <c r="K2541" s="123" t="s">
        <v>222</v>
      </c>
      <c r="L2541" s="4" t="s">
        <v>3</v>
      </c>
      <c r="M2541" s="61" t="s">
        <v>376</v>
      </c>
      <c r="N2541" s="61"/>
      <c r="O2541" s="61"/>
      <c r="P2541" s="61"/>
      <c r="Q2541" s="61"/>
      <c r="R2541" s="61" t="s">
        <v>5</v>
      </c>
      <c r="S2541" s="61"/>
      <c r="T2541" s="344"/>
      <c r="U2541" s="344"/>
      <c r="V2541" s="344"/>
      <c r="W2541" s="344"/>
      <c r="X2541" s="344"/>
      <c r="Y2541" s="344"/>
      <c r="Z2541" s="344"/>
      <c r="AA2541" s="344"/>
      <c r="AB2541" s="344"/>
      <c r="AC2541" s="344"/>
    </row>
    <row r="2542" spans="1:29" s="221" customFormat="1" ht="33" customHeight="1" x14ac:dyDescent="0.3">
      <c r="A2542" s="11">
        <v>37</v>
      </c>
      <c r="B2542" s="23">
        <v>39</v>
      </c>
      <c r="C2542" s="24" t="str">
        <f t="shared" si="61"/>
        <v>37.39</v>
      </c>
      <c r="D2542" s="18"/>
      <c r="E2542" s="64"/>
      <c r="F2542" s="84" t="s">
        <v>224</v>
      </c>
      <c r="G2542" s="336" t="s">
        <v>1389</v>
      </c>
      <c r="H2542" s="25" t="s">
        <v>1587</v>
      </c>
      <c r="I2542" s="86" t="s">
        <v>2344</v>
      </c>
      <c r="J2542" s="87" t="s">
        <v>222</v>
      </c>
      <c r="K2542" s="123" t="s">
        <v>222</v>
      </c>
      <c r="L2542" s="4" t="s">
        <v>3</v>
      </c>
      <c r="M2542" s="61"/>
      <c r="N2542" s="61" t="s">
        <v>2344</v>
      </c>
      <c r="O2542" s="61"/>
      <c r="P2542" s="61"/>
      <c r="Q2542" s="61"/>
      <c r="R2542" s="61" t="s">
        <v>5</v>
      </c>
      <c r="S2542" s="61"/>
      <c r="T2542" s="344"/>
      <c r="U2542" s="344"/>
      <c r="V2542" s="344"/>
      <c r="W2542" s="344"/>
      <c r="X2542" s="344"/>
      <c r="Y2542" s="344"/>
      <c r="Z2542" s="344"/>
      <c r="AA2542" s="344"/>
      <c r="AB2542" s="344"/>
      <c r="AC2542" s="344"/>
    </row>
    <row r="2543" spans="1:29" s="221" customFormat="1" ht="33" customHeight="1" x14ac:dyDescent="0.3">
      <c r="A2543" s="11">
        <v>37</v>
      </c>
      <c r="B2543" s="23">
        <v>40</v>
      </c>
      <c r="C2543" s="24" t="str">
        <f t="shared" si="61"/>
        <v>37.40</v>
      </c>
      <c r="D2543" s="18"/>
      <c r="E2543" s="64"/>
      <c r="F2543" s="84" t="s">
        <v>224</v>
      </c>
      <c r="G2543" s="336" t="s">
        <v>2341</v>
      </c>
      <c r="H2543" s="25" t="s">
        <v>1587</v>
      </c>
      <c r="I2543" s="86" t="s">
        <v>2345</v>
      </c>
      <c r="J2543" s="87" t="s">
        <v>222</v>
      </c>
      <c r="K2543" s="123" t="s">
        <v>222</v>
      </c>
      <c r="L2543" s="4" t="s">
        <v>3</v>
      </c>
      <c r="M2543" s="61"/>
      <c r="N2543" s="61"/>
      <c r="O2543" s="61" t="s">
        <v>2345</v>
      </c>
      <c r="P2543" s="61"/>
      <c r="Q2543" s="61"/>
      <c r="R2543" s="61" t="s">
        <v>5</v>
      </c>
      <c r="S2543" s="61"/>
      <c r="T2543" s="344"/>
      <c r="U2543" s="344"/>
      <c r="V2543" s="344"/>
      <c r="W2543" s="344"/>
      <c r="X2543" s="344"/>
      <c r="Y2543" s="344"/>
      <c r="Z2543" s="344"/>
      <c r="AA2543" s="344"/>
      <c r="AB2543" s="344"/>
      <c r="AC2543" s="344"/>
    </row>
    <row r="2544" spans="1:29" s="344" customFormat="1" ht="16.5" customHeight="1" x14ac:dyDescent="0.3">
      <c r="A2544" s="11">
        <v>37</v>
      </c>
      <c r="B2544" s="23">
        <v>41</v>
      </c>
      <c r="C2544" s="24" t="str">
        <f t="shared" si="61"/>
        <v>37.41</v>
      </c>
      <c r="D2544" s="18"/>
      <c r="E2544" s="64"/>
      <c r="F2544" s="84" t="s">
        <v>224</v>
      </c>
      <c r="G2544" s="336" t="s">
        <v>2342</v>
      </c>
      <c r="H2544" s="25" t="s">
        <v>1587</v>
      </c>
      <c r="I2544" s="86" t="s">
        <v>2345</v>
      </c>
      <c r="J2544" s="87" t="s">
        <v>222</v>
      </c>
      <c r="K2544" s="123" t="s">
        <v>222</v>
      </c>
      <c r="L2544" s="4" t="s">
        <v>3</v>
      </c>
      <c r="M2544" s="61"/>
      <c r="N2544" s="61"/>
      <c r="O2544" s="61"/>
      <c r="P2544" s="61" t="s">
        <v>2345</v>
      </c>
      <c r="Q2544" s="61"/>
      <c r="R2544" s="61" t="s">
        <v>5</v>
      </c>
      <c r="S2544" s="61"/>
    </row>
    <row r="2545" spans="1:29" s="221" customFormat="1" ht="42" customHeight="1" x14ac:dyDescent="0.3">
      <c r="A2545" s="11">
        <v>37</v>
      </c>
      <c r="B2545" s="23">
        <v>42</v>
      </c>
      <c r="C2545" s="24" t="str">
        <f t="shared" si="61"/>
        <v>37.42</v>
      </c>
      <c r="D2545" s="18"/>
      <c r="E2545" s="64"/>
      <c r="F2545" s="84" t="s">
        <v>224</v>
      </c>
      <c r="G2545" s="336" t="s">
        <v>1388</v>
      </c>
      <c r="H2545" s="25" t="s">
        <v>1449</v>
      </c>
      <c r="I2545" s="87" t="s">
        <v>469</v>
      </c>
      <c r="J2545" s="87" t="s">
        <v>222</v>
      </c>
      <c r="K2545" s="123" t="s">
        <v>222</v>
      </c>
      <c r="L2545" s="4" t="s">
        <v>3</v>
      </c>
      <c r="M2545" s="61"/>
      <c r="N2545" s="61"/>
      <c r="O2545" s="61"/>
      <c r="P2545" s="61"/>
      <c r="Q2545" s="61"/>
      <c r="R2545" s="61" t="s">
        <v>5</v>
      </c>
      <c r="S2545" s="61"/>
      <c r="T2545" s="344"/>
      <c r="U2545" s="344"/>
      <c r="V2545" s="344"/>
      <c r="W2545" s="344"/>
      <c r="X2545" s="344"/>
      <c r="Y2545" s="344"/>
      <c r="Z2545" s="344"/>
      <c r="AA2545" s="344"/>
      <c r="AB2545" s="344"/>
      <c r="AC2545" s="344"/>
    </row>
    <row r="2546" spans="1:29" s="221" customFormat="1" ht="33" customHeight="1" x14ac:dyDescent="0.3">
      <c r="A2546" s="11">
        <v>37</v>
      </c>
      <c r="B2546" s="23">
        <v>43</v>
      </c>
      <c r="C2546" s="24" t="str">
        <f t="shared" si="61"/>
        <v>37.43</v>
      </c>
      <c r="D2546" s="18"/>
      <c r="E2546" s="64"/>
      <c r="F2546" s="84" t="s">
        <v>224</v>
      </c>
      <c r="G2546" s="336" t="s">
        <v>1389</v>
      </c>
      <c r="H2546" s="25" t="s">
        <v>1449</v>
      </c>
      <c r="I2546" s="87" t="s">
        <v>469</v>
      </c>
      <c r="J2546" s="87" t="s">
        <v>222</v>
      </c>
      <c r="K2546" s="123" t="s">
        <v>222</v>
      </c>
      <c r="L2546" s="4" t="s">
        <v>3</v>
      </c>
      <c r="M2546" s="61"/>
      <c r="N2546" s="61"/>
      <c r="O2546" s="61"/>
      <c r="P2546" s="61"/>
      <c r="Q2546" s="61"/>
      <c r="R2546" s="61" t="s">
        <v>5</v>
      </c>
      <c r="S2546" s="61"/>
      <c r="T2546" s="344"/>
      <c r="U2546" s="344"/>
      <c r="V2546" s="344"/>
      <c r="W2546" s="344"/>
      <c r="X2546" s="344"/>
      <c r="Y2546" s="344"/>
      <c r="Z2546" s="344"/>
      <c r="AA2546" s="344"/>
      <c r="AB2546" s="344"/>
      <c r="AC2546" s="344"/>
    </row>
    <row r="2547" spans="1:29" s="221" customFormat="1" ht="33" customHeight="1" x14ac:dyDescent="0.3">
      <c r="A2547" s="11">
        <v>37</v>
      </c>
      <c r="B2547" s="23">
        <v>44</v>
      </c>
      <c r="C2547" s="24" t="str">
        <f t="shared" si="61"/>
        <v>37.44</v>
      </c>
      <c r="D2547" s="18"/>
      <c r="E2547" s="64"/>
      <c r="F2547" s="84" t="s">
        <v>224</v>
      </c>
      <c r="G2547" s="336" t="s">
        <v>2341</v>
      </c>
      <c r="H2547" s="25" t="s">
        <v>1449</v>
      </c>
      <c r="I2547" s="87" t="s">
        <v>469</v>
      </c>
      <c r="J2547" s="87" t="s">
        <v>222</v>
      </c>
      <c r="K2547" s="123" t="s">
        <v>222</v>
      </c>
      <c r="L2547" s="4" t="s">
        <v>3</v>
      </c>
      <c r="M2547" s="61"/>
      <c r="N2547" s="61"/>
      <c r="O2547" s="61"/>
      <c r="P2547" s="61"/>
      <c r="Q2547" s="61"/>
      <c r="R2547" s="61" t="s">
        <v>5</v>
      </c>
      <c r="S2547" s="61"/>
      <c r="T2547" s="344"/>
      <c r="U2547" s="344"/>
      <c r="V2547" s="344"/>
      <c r="W2547" s="344"/>
      <c r="X2547" s="344"/>
      <c r="Y2547" s="344"/>
      <c r="Z2547" s="344"/>
      <c r="AA2547" s="344"/>
      <c r="AB2547" s="344"/>
      <c r="AC2547" s="344"/>
    </row>
    <row r="2548" spans="1:29" s="344" customFormat="1" ht="16.5" customHeight="1" x14ac:dyDescent="0.3">
      <c r="A2548" s="11">
        <v>37</v>
      </c>
      <c r="B2548" s="23">
        <v>45</v>
      </c>
      <c r="C2548" s="24" t="str">
        <f t="shared" si="61"/>
        <v>37.45</v>
      </c>
      <c r="D2548" s="18"/>
      <c r="E2548" s="64"/>
      <c r="F2548" s="84" t="s">
        <v>224</v>
      </c>
      <c r="G2548" s="336" t="s">
        <v>2342</v>
      </c>
      <c r="H2548" s="25" t="s">
        <v>1449</v>
      </c>
      <c r="I2548" s="87" t="s">
        <v>469</v>
      </c>
      <c r="J2548" s="87" t="s">
        <v>222</v>
      </c>
      <c r="K2548" s="123" t="s">
        <v>222</v>
      </c>
      <c r="L2548" s="4" t="s">
        <v>3</v>
      </c>
      <c r="M2548" s="61"/>
      <c r="N2548" s="61"/>
      <c r="O2548" s="61"/>
      <c r="P2548" s="61"/>
      <c r="Q2548" s="61"/>
      <c r="R2548" s="61" t="s">
        <v>5</v>
      </c>
      <c r="S2548" s="61"/>
    </row>
    <row r="2549" spans="1:29" s="221" customFormat="1" ht="33" customHeight="1" x14ac:dyDescent="0.3">
      <c r="A2549" s="11">
        <v>37</v>
      </c>
      <c r="B2549" s="23">
        <v>46</v>
      </c>
      <c r="C2549" s="24" t="str">
        <f t="shared" si="61"/>
        <v>37.46</v>
      </c>
      <c r="D2549" s="18"/>
      <c r="E2549" s="64"/>
      <c r="F2549" s="84" t="s">
        <v>418</v>
      </c>
      <c r="G2549" s="336" t="s">
        <v>445</v>
      </c>
      <c r="H2549" s="85" t="s">
        <v>2077</v>
      </c>
      <c r="I2549" s="86" t="s">
        <v>129</v>
      </c>
      <c r="J2549" s="94" t="s">
        <v>222</v>
      </c>
      <c r="K2549" s="123" t="s">
        <v>222</v>
      </c>
      <c r="L2549" s="4" t="s">
        <v>3</v>
      </c>
      <c r="M2549" s="61" t="s">
        <v>376</v>
      </c>
      <c r="N2549" s="61" t="s">
        <v>2344</v>
      </c>
      <c r="O2549" s="61" t="s">
        <v>2345</v>
      </c>
      <c r="P2549" s="61" t="s">
        <v>2345</v>
      </c>
      <c r="Q2549" s="61"/>
      <c r="R2549" s="61" t="s">
        <v>5</v>
      </c>
      <c r="S2549" s="61"/>
      <c r="T2549" s="344"/>
      <c r="U2549" s="344"/>
      <c r="V2549" s="344"/>
      <c r="W2549" s="344"/>
      <c r="X2549" s="344"/>
      <c r="Y2549" s="344"/>
      <c r="Z2549" s="344"/>
      <c r="AA2549" s="344"/>
      <c r="AB2549" s="344"/>
      <c r="AC2549" s="344"/>
    </row>
    <row r="2550" spans="1:29" s="344" customFormat="1" ht="16.5" customHeight="1" x14ac:dyDescent="0.3">
      <c r="A2550" s="11">
        <v>37</v>
      </c>
      <c r="B2550" s="23">
        <v>47</v>
      </c>
      <c r="C2550" s="24" t="str">
        <f t="shared" si="61"/>
        <v>37.47</v>
      </c>
      <c r="D2550" s="18"/>
      <c r="E2550" s="64"/>
      <c r="F2550" s="84" t="s">
        <v>418</v>
      </c>
      <c r="G2550" s="336" t="s">
        <v>445</v>
      </c>
      <c r="H2550" s="85" t="s">
        <v>2077</v>
      </c>
      <c r="I2550" s="86" t="s">
        <v>129</v>
      </c>
      <c r="J2550" s="94" t="s">
        <v>222</v>
      </c>
      <c r="K2550" s="123" t="s">
        <v>222</v>
      </c>
      <c r="L2550" s="4" t="s">
        <v>3</v>
      </c>
      <c r="M2550" s="61" t="s">
        <v>33</v>
      </c>
      <c r="N2550" s="61" t="s">
        <v>2347</v>
      </c>
      <c r="O2550" s="61" t="s">
        <v>2346</v>
      </c>
      <c r="P2550" s="61" t="s">
        <v>2345</v>
      </c>
      <c r="Q2550" s="61"/>
      <c r="R2550" s="61" t="s">
        <v>5</v>
      </c>
      <c r="S2550" s="61"/>
    </row>
    <row r="2551" spans="1:29" s="221" customFormat="1" ht="33" customHeight="1" x14ac:dyDescent="0.3">
      <c r="A2551" s="345"/>
      <c r="B2551" s="346"/>
      <c r="C2551" s="347"/>
      <c r="D2551" s="348"/>
      <c r="E2551" s="349"/>
      <c r="F2551" s="350"/>
      <c r="G2551" s="223"/>
      <c r="H2551" s="350"/>
      <c r="I2551" s="352"/>
      <c r="J2551" s="353" t="s">
        <v>222</v>
      </c>
      <c r="K2551" s="216" t="s">
        <v>222</v>
      </c>
      <c r="L2551" s="354"/>
      <c r="M2551" s="219"/>
      <c r="N2551" s="219"/>
      <c r="O2551" s="219"/>
      <c r="P2551" s="219"/>
      <c r="Q2551" s="219"/>
      <c r="R2551" s="219"/>
      <c r="S2551" s="344"/>
      <c r="T2551" s="344"/>
      <c r="U2551" s="344"/>
      <c r="V2551" s="344"/>
      <c r="W2551" s="344"/>
      <c r="X2551" s="344"/>
      <c r="Y2551" s="344"/>
      <c r="Z2551" s="344"/>
      <c r="AA2551" s="344"/>
      <c r="AB2551" s="344"/>
    </row>
    <row r="2552" spans="1:29" s="221" customFormat="1" ht="32.25" customHeight="1" x14ac:dyDescent="0.3">
      <c r="A2552" s="345"/>
      <c r="B2552" s="346"/>
      <c r="C2552" s="347"/>
      <c r="D2552" s="348"/>
      <c r="E2552" s="349"/>
      <c r="F2552" s="350"/>
      <c r="G2552" s="223"/>
      <c r="H2552" s="350"/>
      <c r="I2552" s="352"/>
      <c r="J2552" s="353" t="s">
        <v>222</v>
      </c>
      <c r="K2552" s="216" t="s">
        <v>222</v>
      </c>
      <c r="L2552" s="354"/>
      <c r="M2552" s="219"/>
      <c r="N2552" s="219"/>
      <c r="O2552" s="219"/>
      <c r="P2552" s="219"/>
      <c r="Q2552" s="219"/>
      <c r="R2552" s="219"/>
      <c r="S2552" s="344"/>
      <c r="T2552" s="344"/>
      <c r="U2552" s="344"/>
      <c r="V2552" s="344"/>
      <c r="W2552" s="344"/>
      <c r="X2552" s="344"/>
      <c r="Y2552" s="344"/>
      <c r="Z2552" s="344"/>
      <c r="AA2552" s="344"/>
      <c r="AB2552" s="344"/>
    </row>
    <row r="2553" spans="1:29" s="1" customFormat="1" ht="15" customHeight="1" x14ac:dyDescent="0.3">
      <c r="A2553" s="50" t="s">
        <v>6</v>
      </c>
      <c r="B2553" s="51" t="s">
        <v>7</v>
      </c>
      <c r="C2553" s="31" t="s">
        <v>0</v>
      </c>
      <c r="D2553" s="31" t="s">
        <v>22</v>
      </c>
      <c r="E2553" s="52" t="s">
        <v>99</v>
      </c>
      <c r="F2553" s="52" t="s">
        <v>216</v>
      </c>
      <c r="G2553" s="133" t="s">
        <v>217</v>
      </c>
      <c r="H2553" s="52" t="s">
        <v>28</v>
      </c>
      <c r="I2553" s="31" t="s">
        <v>218</v>
      </c>
      <c r="J2553" s="31" t="s">
        <v>219</v>
      </c>
      <c r="K2553" s="31" t="s">
        <v>220</v>
      </c>
      <c r="L2553" s="31" t="s">
        <v>1</v>
      </c>
      <c r="M2553" s="62" t="s">
        <v>1388</v>
      </c>
      <c r="N2553" s="62" t="s">
        <v>1389</v>
      </c>
      <c r="O2553" s="62" t="s">
        <v>2341</v>
      </c>
      <c r="P2553" s="62" t="s">
        <v>2342</v>
      </c>
      <c r="Q2553" s="62" t="s">
        <v>234</v>
      </c>
      <c r="R2553" s="62" t="s">
        <v>233</v>
      </c>
      <c r="S2553" s="62" t="s">
        <v>2057</v>
      </c>
      <c r="T2553" s="57"/>
      <c r="U2553" s="57"/>
      <c r="V2553" s="57"/>
      <c r="W2553" s="57"/>
      <c r="X2553" s="57"/>
      <c r="Y2553" s="57"/>
    </row>
    <row r="2554" spans="1:29" s="1" customFormat="1" ht="33" customHeight="1" x14ac:dyDescent="0.3">
      <c r="A2554" s="11">
        <v>38</v>
      </c>
      <c r="B2554" s="23">
        <v>1</v>
      </c>
      <c r="C2554" s="24" t="str">
        <f t="shared" ref="C2554:C2600" si="62">IF(B2554&lt;10,_xlfn.CONCAT(A2554,".0",B2554),_xlfn.CONCAT(A2554,".",B2554))</f>
        <v>38.01</v>
      </c>
      <c r="D2554" s="18" t="s">
        <v>2148</v>
      </c>
      <c r="E2554" s="64" t="s">
        <v>2161</v>
      </c>
      <c r="F2554" s="85" t="s">
        <v>225</v>
      </c>
      <c r="G2554" s="336" t="s">
        <v>1388</v>
      </c>
      <c r="H2554" s="85" t="s">
        <v>2340</v>
      </c>
      <c r="I2554" s="94" t="s">
        <v>376</v>
      </c>
      <c r="J2554" s="94" t="s">
        <v>222</v>
      </c>
      <c r="K2554" s="123" t="s">
        <v>222</v>
      </c>
      <c r="L2554" s="4" t="s">
        <v>3</v>
      </c>
      <c r="M2554" s="61" t="s">
        <v>376</v>
      </c>
      <c r="N2554" s="61" t="s">
        <v>2344</v>
      </c>
      <c r="O2554" s="61" t="s">
        <v>2345</v>
      </c>
      <c r="P2554" s="61" t="s">
        <v>2345</v>
      </c>
      <c r="Q2554" s="61"/>
      <c r="R2554" s="61" t="s">
        <v>5</v>
      </c>
      <c r="S2554" s="61"/>
      <c r="T2554" s="57"/>
      <c r="U2554" s="57"/>
      <c r="V2554" s="57"/>
      <c r="W2554" s="57"/>
      <c r="X2554" s="57"/>
      <c r="Y2554" s="57"/>
    </row>
    <row r="2555" spans="1:29" s="1" customFormat="1" ht="33" customHeight="1" x14ac:dyDescent="0.3">
      <c r="A2555" s="11">
        <v>38</v>
      </c>
      <c r="B2555" s="23">
        <v>2</v>
      </c>
      <c r="C2555" s="24" t="str">
        <f t="shared" si="62"/>
        <v>38.02</v>
      </c>
      <c r="D2555" s="18" t="s">
        <v>2148</v>
      </c>
      <c r="E2555" s="64" t="s">
        <v>2161</v>
      </c>
      <c r="F2555" s="85" t="s">
        <v>225</v>
      </c>
      <c r="G2555" s="336" t="s">
        <v>1389</v>
      </c>
      <c r="H2555" s="85" t="s">
        <v>2340</v>
      </c>
      <c r="I2555" s="94" t="s">
        <v>2344</v>
      </c>
      <c r="J2555" s="94" t="s">
        <v>222</v>
      </c>
      <c r="K2555" s="123" t="s">
        <v>222</v>
      </c>
      <c r="L2555" s="4" t="s">
        <v>3</v>
      </c>
      <c r="M2555" s="61" t="s">
        <v>376</v>
      </c>
      <c r="N2555" s="61" t="s">
        <v>2344</v>
      </c>
      <c r="O2555" s="61" t="s">
        <v>2345</v>
      </c>
      <c r="P2555" s="61" t="s">
        <v>2345</v>
      </c>
      <c r="Q2555" s="61"/>
      <c r="R2555" s="61" t="s">
        <v>5</v>
      </c>
      <c r="S2555" s="61"/>
      <c r="T2555" s="57"/>
      <c r="U2555" s="57"/>
      <c r="V2555" s="57"/>
      <c r="W2555" s="57"/>
      <c r="X2555" s="57"/>
      <c r="Y2555" s="57"/>
    </row>
    <row r="2556" spans="1:29" s="1" customFormat="1" ht="33" customHeight="1" x14ac:dyDescent="0.3">
      <c r="A2556" s="11">
        <v>38</v>
      </c>
      <c r="B2556" s="23">
        <v>3</v>
      </c>
      <c r="C2556" s="24" t="str">
        <f t="shared" si="62"/>
        <v>38.03</v>
      </c>
      <c r="D2556" s="18" t="s">
        <v>2148</v>
      </c>
      <c r="E2556" s="64" t="s">
        <v>2161</v>
      </c>
      <c r="F2556" s="85" t="s">
        <v>225</v>
      </c>
      <c r="G2556" s="336" t="s">
        <v>2341</v>
      </c>
      <c r="H2556" s="85" t="s">
        <v>2340</v>
      </c>
      <c r="I2556" s="94" t="s">
        <v>2345</v>
      </c>
      <c r="J2556" s="94" t="s">
        <v>222</v>
      </c>
      <c r="K2556" s="123" t="s">
        <v>222</v>
      </c>
      <c r="L2556" s="4" t="s">
        <v>3</v>
      </c>
      <c r="M2556" s="61" t="s">
        <v>376</v>
      </c>
      <c r="N2556" s="61" t="s">
        <v>2344</v>
      </c>
      <c r="O2556" s="61" t="s">
        <v>2345</v>
      </c>
      <c r="P2556" s="61" t="s">
        <v>2345</v>
      </c>
      <c r="Q2556" s="61"/>
      <c r="R2556" s="61" t="s">
        <v>5</v>
      </c>
      <c r="S2556" s="61"/>
      <c r="T2556" s="57"/>
      <c r="U2556" s="57"/>
      <c r="V2556" s="57"/>
      <c r="W2556" s="57"/>
      <c r="X2556" s="57"/>
      <c r="Y2556" s="57"/>
    </row>
    <row r="2557" spans="1:29" s="1" customFormat="1" ht="33" customHeight="1" x14ac:dyDescent="0.3">
      <c r="A2557" s="11">
        <v>38</v>
      </c>
      <c r="B2557" s="23">
        <v>4</v>
      </c>
      <c r="C2557" s="24" t="str">
        <f t="shared" si="62"/>
        <v>38.04</v>
      </c>
      <c r="D2557" s="18" t="s">
        <v>2148</v>
      </c>
      <c r="E2557" s="64" t="s">
        <v>2161</v>
      </c>
      <c r="F2557" s="85" t="s">
        <v>225</v>
      </c>
      <c r="G2557" s="336" t="s">
        <v>2342</v>
      </c>
      <c r="H2557" s="85" t="s">
        <v>2340</v>
      </c>
      <c r="I2557" s="94" t="s">
        <v>2345</v>
      </c>
      <c r="J2557" s="94" t="s">
        <v>222</v>
      </c>
      <c r="K2557" s="123" t="s">
        <v>222</v>
      </c>
      <c r="L2557" s="4" t="s">
        <v>3</v>
      </c>
      <c r="M2557" s="61" t="s">
        <v>376</v>
      </c>
      <c r="N2557" s="61" t="s">
        <v>2344</v>
      </c>
      <c r="O2557" s="61" t="s">
        <v>2345</v>
      </c>
      <c r="P2557" s="61" t="s">
        <v>2345</v>
      </c>
      <c r="Q2557" s="61"/>
      <c r="R2557" s="61" t="s">
        <v>5</v>
      </c>
      <c r="S2557" s="61"/>
      <c r="T2557" s="57"/>
      <c r="U2557" s="57"/>
      <c r="V2557" s="57"/>
      <c r="W2557" s="57"/>
      <c r="X2557" s="57"/>
      <c r="Y2557" s="57"/>
    </row>
    <row r="2558" spans="1:29" s="1" customFormat="1" ht="33" customHeight="1" x14ac:dyDescent="0.3">
      <c r="A2558" s="11">
        <v>38</v>
      </c>
      <c r="B2558" s="23">
        <v>5</v>
      </c>
      <c r="C2558" s="24" t="str">
        <f t="shared" si="62"/>
        <v>38.05</v>
      </c>
      <c r="D2558" s="18" t="s">
        <v>2148</v>
      </c>
      <c r="E2558" s="64" t="s">
        <v>2161</v>
      </c>
      <c r="F2558" s="85" t="s">
        <v>226</v>
      </c>
      <c r="G2558" s="336" t="s">
        <v>308</v>
      </c>
      <c r="H2558" s="85" t="s">
        <v>2340</v>
      </c>
      <c r="I2558" s="94" t="s">
        <v>240</v>
      </c>
      <c r="J2558" s="94" t="s">
        <v>222</v>
      </c>
      <c r="K2558" s="123" t="s">
        <v>222</v>
      </c>
      <c r="L2558" s="4" t="s">
        <v>3</v>
      </c>
      <c r="M2558" s="61" t="s">
        <v>376</v>
      </c>
      <c r="N2558" s="61" t="s">
        <v>2344</v>
      </c>
      <c r="O2558" s="61" t="s">
        <v>2345</v>
      </c>
      <c r="P2558" s="61" t="s">
        <v>2345</v>
      </c>
      <c r="Q2558" s="61" t="s">
        <v>2370</v>
      </c>
      <c r="R2558" s="61" t="s">
        <v>5</v>
      </c>
      <c r="S2558" s="61"/>
      <c r="T2558" s="57"/>
      <c r="U2558" s="57"/>
      <c r="V2558" s="57"/>
      <c r="W2558" s="57"/>
      <c r="X2558" s="57"/>
      <c r="Y2558" s="57"/>
    </row>
    <row r="2559" spans="1:29" s="1" customFormat="1" ht="33" customHeight="1" x14ac:dyDescent="0.3">
      <c r="A2559" s="11">
        <v>38</v>
      </c>
      <c r="B2559" s="23">
        <v>6</v>
      </c>
      <c r="C2559" s="24" t="str">
        <f t="shared" si="62"/>
        <v>38.06</v>
      </c>
      <c r="D2559" s="18" t="s">
        <v>2148</v>
      </c>
      <c r="E2559" s="64" t="s">
        <v>2161</v>
      </c>
      <c r="F2559" s="85" t="s">
        <v>226</v>
      </c>
      <c r="G2559" s="336" t="s">
        <v>2352</v>
      </c>
      <c r="H2559" s="85" t="s">
        <v>2340</v>
      </c>
      <c r="I2559" s="94" t="s">
        <v>376</v>
      </c>
      <c r="J2559" s="94" t="s">
        <v>222</v>
      </c>
      <c r="K2559" s="123" t="s">
        <v>222</v>
      </c>
      <c r="L2559" s="4" t="s">
        <v>3</v>
      </c>
      <c r="M2559" s="61" t="s">
        <v>376</v>
      </c>
      <c r="N2559" s="61" t="s">
        <v>2344</v>
      </c>
      <c r="O2559" s="61" t="s">
        <v>2345</v>
      </c>
      <c r="P2559" s="61" t="s">
        <v>2345</v>
      </c>
      <c r="Q2559" s="61" t="s">
        <v>2370</v>
      </c>
      <c r="R2559" s="61" t="s">
        <v>5</v>
      </c>
      <c r="S2559" s="61"/>
      <c r="T2559" s="57"/>
      <c r="U2559" s="57"/>
      <c r="V2559" s="57"/>
      <c r="W2559" s="57"/>
      <c r="X2559" s="57"/>
      <c r="Y2559" s="57"/>
    </row>
    <row r="2560" spans="1:29" s="1" customFormat="1" ht="33" customHeight="1" x14ac:dyDescent="0.3">
      <c r="A2560" s="11">
        <v>38</v>
      </c>
      <c r="B2560" s="23">
        <v>7</v>
      </c>
      <c r="C2560" s="24" t="str">
        <f t="shared" si="62"/>
        <v>38.07</v>
      </c>
      <c r="D2560" s="18" t="s">
        <v>2148</v>
      </c>
      <c r="E2560" s="64" t="s">
        <v>2161</v>
      </c>
      <c r="F2560" s="85" t="s">
        <v>226</v>
      </c>
      <c r="G2560" s="336" t="s">
        <v>2353</v>
      </c>
      <c r="H2560" s="85" t="s">
        <v>2340</v>
      </c>
      <c r="I2560" s="94" t="s">
        <v>2344</v>
      </c>
      <c r="J2560" s="94" t="s">
        <v>222</v>
      </c>
      <c r="K2560" s="123" t="s">
        <v>222</v>
      </c>
      <c r="L2560" s="4" t="s">
        <v>3</v>
      </c>
      <c r="M2560" s="61" t="s">
        <v>376</v>
      </c>
      <c r="N2560" s="61" t="s">
        <v>2344</v>
      </c>
      <c r="O2560" s="61" t="s">
        <v>2345</v>
      </c>
      <c r="P2560" s="61" t="s">
        <v>2345</v>
      </c>
      <c r="Q2560" s="61" t="s">
        <v>2370</v>
      </c>
      <c r="R2560" s="61" t="s">
        <v>5</v>
      </c>
      <c r="S2560" s="61"/>
      <c r="T2560" s="57"/>
      <c r="U2560" s="57"/>
      <c r="V2560" s="57"/>
      <c r="W2560" s="57"/>
      <c r="X2560" s="57"/>
      <c r="Y2560" s="57"/>
    </row>
    <row r="2561" spans="1:25" s="1" customFormat="1" ht="33" customHeight="1" x14ac:dyDescent="0.3">
      <c r="A2561" s="11">
        <v>38</v>
      </c>
      <c r="B2561" s="23">
        <v>8</v>
      </c>
      <c r="C2561" s="24" t="str">
        <f t="shared" si="62"/>
        <v>38.08</v>
      </c>
      <c r="D2561" s="18" t="s">
        <v>2148</v>
      </c>
      <c r="E2561" s="64" t="s">
        <v>2161</v>
      </c>
      <c r="F2561" s="85" t="s">
        <v>225</v>
      </c>
      <c r="G2561" s="336" t="s">
        <v>1388</v>
      </c>
      <c r="H2561" s="85" t="s">
        <v>2340</v>
      </c>
      <c r="I2561" s="94" t="s">
        <v>33</v>
      </c>
      <c r="J2561" s="94" t="s">
        <v>222</v>
      </c>
      <c r="K2561" s="123" t="s">
        <v>222</v>
      </c>
      <c r="L2561" s="4" t="s">
        <v>3</v>
      </c>
      <c r="M2561" s="61" t="s">
        <v>33</v>
      </c>
      <c r="N2561" s="61" t="s">
        <v>2347</v>
      </c>
      <c r="O2561" s="61" t="s">
        <v>2345</v>
      </c>
      <c r="P2561" s="61" t="s">
        <v>2345</v>
      </c>
      <c r="Q2561" s="61"/>
      <c r="R2561" s="61" t="s">
        <v>5</v>
      </c>
      <c r="S2561" s="61"/>
      <c r="T2561" s="57"/>
      <c r="U2561" s="57"/>
      <c r="V2561" s="57"/>
      <c r="W2561" s="57"/>
      <c r="X2561" s="57"/>
      <c r="Y2561" s="57"/>
    </row>
    <row r="2562" spans="1:25" s="1" customFormat="1" ht="33" customHeight="1" x14ac:dyDescent="0.3">
      <c r="A2562" s="11">
        <v>38</v>
      </c>
      <c r="B2562" s="23">
        <v>9</v>
      </c>
      <c r="C2562" s="24" t="str">
        <f t="shared" si="62"/>
        <v>38.09</v>
      </c>
      <c r="D2562" s="18" t="s">
        <v>2148</v>
      </c>
      <c r="E2562" s="64" t="s">
        <v>2161</v>
      </c>
      <c r="F2562" s="85" t="s">
        <v>225</v>
      </c>
      <c r="G2562" s="336" t="s">
        <v>1389</v>
      </c>
      <c r="H2562" s="85" t="s">
        <v>2340</v>
      </c>
      <c r="I2562" s="94" t="s">
        <v>2347</v>
      </c>
      <c r="J2562" s="94" t="s">
        <v>222</v>
      </c>
      <c r="K2562" s="123" t="s">
        <v>222</v>
      </c>
      <c r="L2562" s="4" t="s">
        <v>3</v>
      </c>
      <c r="M2562" s="61" t="s">
        <v>33</v>
      </c>
      <c r="N2562" s="61" t="s">
        <v>2347</v>
      </c>
      <c r="O2562" s="61" t="s">
        <v>2345</v>
      </c>
      <c r="P2562" s="61" t="s">
        <v>2345</v>
      </c>
      <c r="Q2562" s="61"/>
      <c r="R2562" s="61" t="s">
        <v>5</v>
      </c>
      <c r="S2562" s="61"/>
      <c r="T2562" s="57"/>
      <c r="U2562" s="57"/>
      <c r="V2562" s="57"/>
      <c r="W2562" s="57"/>
      <c r="X2562" s="57"/>
      <c r="Y2562" s="57"/>
    </row>
    <row r="2563" spans="1:25" s="1" customFormat="1" ht="33" customHeight="1" x14ac:dyDescent="0.3">
      <c r="A2563" s="11">
        <v>38</v>
      </c>
      <c r="B2563" s="23">
        <v>10</v>
      </c>
      <c r="C2563" s="24" t="str">
        <f t="shared" si="62"/>
        <v>38.10</v>
      </c>
      <c r="D2563" s="18" t="s">
        <v>2148</v>
      </c>
      <c r="E2563" s="64" t="s">
        <v>2161</v>
      </c>
      <c r="F2563" s="85" t="s">
        <v>225</v>
      </c>
      <c r="G2563" s="336" t="s">
        <v>2341</v>
      </c>
      <c r="H2563" s="85" t="s">
        <v>2340</v>
      </c>
      <c r="I2563" s="94" t="s">
        <v>2345</v>
      </c>
      <c r="J2563" s="94" t="s">
        <v>222</v>
      </c>
      <c r="K2563" s="123" t="s">
        <v>222</v>
      </c>
      <c r="L2563" s="4" t="s">
        <v>3</v>
      </c>
      <c r="M2563" s="61" t="s">
        <v>33</v>
      </c>
      <c r="N2563" s="61" t="s">
        <v>2347</v>
      </c>
      <c r="O2563" s="61" t="s">
        <v>2345</v>
      </c>
      <c r="P2563" s="61" t="s">
        <v>2345</v>
      </c>
      <c r="Q2563" s="61"/>
      <c r="R2563" s="61" t="s">
        <v>5</v>
      </c>
      <c r="S2563" s="61"/>
      <c r="T2563" s="57"/>
      <c r="U2563" s="57"/>
      <c r="V2563" s="57"/>
      <c r="W2563" s="57"/>
      <c r="X2563" s="57"/>
      <c r="Y2563" s="57"/>
    </row>
    <row r="2564" spans="1:25" s="1" customFormat="1" ht="33" customHeight="1" x14ac:dyDescent="0.3">
      <c r="A2564" s="11">
        <v>38</v>
      </c>
      <c r="B2564" s="23">
        <v>11</v>
      </c>
      <c r="C2564" s="24" t="str">
        <f t="shared" si="62"/>
        <v>38.11</v>
      </c>
      <c r="D2564" s="18" t="s">
        <v>2148</v>
      </c>
      <c r="E2564" s="64" t="s">
        <v>2161</v>
      </c>
      <c r="F2564" s="85" t="s">
        <v>225</v>
      </c>
      <c r="G2564" s="336" t="s">
        <v>2342</v>
      </c>
      <c r="H2564" s="85" t="s">
        <v>2340</v>
      </c>
      <c r="I2564" s="94" t="s">
        <v>2345</v>
      </c>
      <c r="J2564" s="94" t="s">
        <v>222</v>
      </c>
      <c r="K2564" s="123" t="s">
        <v>222</v>
      </c>
      <c r="L2564" s="4" t="s">
        <v>3</v>
      </c>
      <c r="M2564" s="61" t="s">
        <v>33</v>
      </c>
      <c r="N2564" s="61" t="s">
        <v>2347</v>
      </c>
      <c r="O2564" s="61" t="s">
        <v>2345</v>
      </c>
      <c r="P2564" s="61" t="s">
        <v>2345</v>
      </c>
      <c r="Q2564" s="61"/>
      <c r="R2564" s="61" t="s">
        <v>5</v>
      </c>
      <c r="S2564" s="61"/>
      <c r="T2564" s="57"/>
      <c r="U2564" s="57"/>
      <c r="V2564" s="57"/>
      <c r="W2564" s="57"/>
      <c r="X2564" s="57"/>
      <c r="Y2564" s="57"/>
    </row>
    <row r="2565" spans="1:25" s="1" customFormat="1" ht="33" customHeight="1" x14ac:dyDescent="0.3">
      <c r="A2565" s="11">
        <v>38</v>
      </c>
      <c r="B2565" s="23">
        <v>12</v>
      </c>
      <c r="C2565" s="24" t="str">
        <f t="shared" si="62"/>
        <v>38.12</v>
      </c>
      <c r="D2565" s="18" t="s">
        <v>2148</v>
      </c>
      <c r="E2565" s="64" t="s">
        <v>2161</v>
      </c>
      <c r="F2565" s="85" t="s">
        <v>226</v>
      </c>
      <c r="G2565" s="336" t="s">
        <v>308</v>
      </c>
      <c r="H2565" s="85" t="s">
        <v>2340</v>
      </c>
      <c r="I2565" s="94" t="s">
        <v>240</v>
      </c>
      <c r="J2565" s="94" t="s">
        <v>222</v>
      </c>
      <c r="K2565" s="123" t="s">
        <v>222</v>
      </c>
      <c r="L2565" s="4" t="s">
        <v>3</v>
      </c>
      <c r="M2565" s="61" t="s">
        <v>33</v>
      </c>
      <c r="N2565" s="61" t="s">
        <v>2347</v>
      </c>
      <c r="O2565" s="61" t="s">
        <v>2345</v>
      </c>
      <c r="P2565" s="61" t="s">
        <v>2345</v>
      </c>
      <c r="Q2565" s="61" t="s">
        <v>2370</v>
      </c>
      <c r="R2565" s="61" t="s">
        <v>5</v>
      </c>
      <c r="S2565" s="61"/>
      <c r="T2565" s="57"/>
      <c r="U2565" s="57"/>
      <c r="V2565" s="57"/>
      <c r="W2565" s="57"/>
      <c r="X2565" s="57"/>
      <c r="Y2565" s="57"/>
    </row>
    <row r="2566" spans="1:25" s="1" customFormat="1" ht="33" customHeight="1" x14ac:dyDescent="0.3">
      <c r="A2566" s="11">
        <v>38</v>
      </c>
      <c r="B2566" s="23">
        <v>13</v>
      </c>
      <c r="C2566" s="24" t="str">
        <f t="shared" si="62"/>
        <v>38.13</v>
      </c>
      <c r="D2566" s="18" t="s">
        <v>2148</v>
      </c>
      <c r="E2566" s="64" t="s">
        <v>2161</v>
      </c>
      <c r="F2566" s="85" t="s">
        <v>226</v>
      </c>
      <c r="G2566" s="336" t="s">
        <v>2352</v>
      </c>
      <c r="H2566" s="85" t="s">
        <v>2340</v>
      </c>
      <c r="I2566" s="94" t="s">
        <v>33</v>
      </c>
      <c r="J2566" s="94" t="s">
        <v>222</v>
      </c>
      <c r="K2566" s="123" t="s">
        <v>222</v>
      </c>
      <c r="L2566" s="4" t="s">
        <v>3</v>
      </c>
      <c r="M2566" s="61" t="s">
        <v>33</v>
      </c>
      <c r="N2566" s="61" t="s">
        <v>2347</v>
      </c>
      <c r="O2566" s="61" t="s">
        <v>2345</v>
      </c>
      <c r="P2566" s="61" t="s">
        <v>2345</v>
      </c>
      <c r="Q2566" s="61" t="s">
        <v>2370</v>
      </c>
      <c r="R2566" s="61" t="s">
        <v>5</v>
      </c>
      <c r="S2566" s="61"/>
      <c r="T2566" s="57"/>
      <c r="U2566" s="57"/>
      <c r="V2566" s="57"/>
      <c r="W2566" s="57"/>
      <c r="X2566" s="57"/>
      <c r="Y2566" s="57"/>
    </row>
    <row r="2567" spans="1:25" s="1" customFormat="1" ht="33" customHeight="1" x14ac:dyDescent="0.3">
      <c r="A2567" s="11">
        <v>38</v>
      </c>
      <c r="B2567" s="23">
        <v>14</v>
      </c>
      <c r="C2567" s="24" t="str">
        <f t="shared" si="62"/>
        <v>38.14</v>
      </c>
      <c r="D2567" s="18" t="s">
        <v>2148</v>
      </c>
      <c r="E2567" s="64" t="s">
        <v>2161</v>
      </c>
      <c r="F2567" s="85" t="s">
        <v>226</v>
      </c>
      <c r="G2567" s="336" t="s">
        <v>2353</v>
      </c>
      <c r="H2567" s="85" t="s">
        <v>2340</v>
      </c>
      <c r="I2567" s="94" t="s">
        <v>2347</v>
      </c>
      <c r="J2567" s="94" t="s">
        <v>222</v>
      </c>
      <c r="K2567" s="123" t="s">
        <v>222</v>
      </c>
      <c r="L2567" s="4" t="s">
        <v>3</v>
      </c>
      <c r="M2567" s="61" t="s">
        <v>33</v>
      </c>
      <c r="N2567" s="61" t="s">
        <v>2347</v>
      </c>
      <c r="O2567" s="61" t="s">
        <v>2345</v>
      </c>
      <c r="P2567" s="61" t="s">
        <v>2345</v>
      </c>
      <c r="Q2567" s="61" t="s">
        <v>2370</v>
      </c>
      <c r="R2567" s="61" t="s">
        <v>5</v>
      </c>
      <c r="S2567" s="61"/>
      <c r="T2567" s="57"/>
      <c r="U2567" s="57"/>
      <c r="V2567" s="57"/>
      <c r="W2567" s="57"/>
      <c r="X2567" s="57"/>
      <c r="Y2567" s="57"/>
    </row>
    <row r="2568" spans="1:25" s="1" customFormat="1" ht="33" customHeight="1" x14ac:dyDescent="0.3">
      <c r="A2568" s="11">
        <v>38</v>
      </c>
      <c r="B2568" s="23">
        <v>15</v>
      </c>
      <c r="C2568" s="24" t="str">
        <f t="shared" si="62"/>
        <v>38.15</v>
      </c>
      <c r="D2568" s="18" t="s">
        <v>2148</v>
      </c>
      <c r="E2568" s="64" t="s">
        <v>2161</v>
      </c>
      <c r="F2568" s="85" t="s">
        <v>225</v>
      </c>
      <c r="G2568" s="336" t="s">
        <v>1388</v>
      </c>
      <c r="H2568" s="85" t="s">
        <v>2340</v>
      </c>
      <c r="I2568" s="94" t="s">
        <v>33</v>
      </c>
      <c r="J2568" s="94" t="s">
        <v>222</v>
      </c>
      <c r="K2568" s="123" t="s">
        <v>222</v>
      </c>
      <c r="L2568" s="4" t="s">
        <v>3</v>
      </c>
      <c r="M2568" s="61" t="s">
        <v>33</v>
      </c>
      <c r="N2568" s="61" t="s">
        <v>2347</v>
      </c>
      <c r="O2568" s="61" t="s">
        <v>2346</v>
      </c>
      <c r="P2568" s="61" t="s">
        <v>2345</v>
      </c>
      <c r="Q2568" s="61"/>
      <c r="R2568" s="61" t="s">
        <v>5</v>
      </c>
      <c r="S2568" s="61"/>
      <c r="T2568" s="57"/>
      <c r="U2568" s="57"/>
      <c r="V2568" s="57"/>
      <c r="W2568" s="57"/>
      <c r="X2568" s="57"/>
      <c r="Y2568" s="57"/>
    </row>
    <row r="2569" spans="1:25" s="1" customFormat="1" ht="33" customHeight="1" x14ac:dyDescent="0.3">
      <c r="A2569" s="11">
        <v>38</v>
      </c>
      <c r="B2569" s="23">
        <v>16</v>
      </c>
      <c r="C2569" s="24" t="str">
        <f t="shared" si="62"/>
        <v>38.16</v>
      </c>
      <c r="D2569" s="18" t="s">
        <v>2148</v>
      </c>
      <c r="E2569" s="64" t="s">
        <v>2161</v>
      </c>
      <c r="F2569" s="85" t="s">
        <v>225</v>
      </c>
      <c r="G2569" s="336" t="s">
        <v>1389</v>
      </c>
      <c r="H2569" s="85" t="s">
        <v>2340</v>
      </c>
      <c r="I2569" s="94" t="s">
        <v>2347</v>
      </c>
      <c r="J2569" s="94" t="s">
        <v>222</v>
      </c>
      <c r="K2569" s="123" t="s">
        <v>222</v>
      </c>
      <c r="L2569" s="4" t="s">
        <v>3</v>
      </c>
      <c r="M2569" s="61" t="s">
        <v>33</v>
      </c>
      <c r="N2569" s="61" t="s">
        <v>2347</v>
      </c>
      <c r="O2569" s="61" t="s">
        <v>2346</v>
      </c>
      <c r="P2569" s="61" t="s">
        <v>2345</v>
      </c>
      <c r="Q2569" s="61"/>
      <c r="R2569" s="61" t="s">
        <v>5</v>
      </c>
      <c r="S2569" s="61"/>
      <c r="T2569" s="57"/>
      <c r="U2569" s="57"/>
      <c r="V2569" s="57"/>
      <c r="W2569" s="57"/>
      <c r="X2569" s="57"/>
      <c r="Y2569" s="57"/>
    </row>
    <row r="2570" spans="1:25" s="1" customFormat="1" ht="33" customHeight="1" x14ac:dyDescent="0.3">
      <c r="A2570" s="11">
        <v>38</v>
      </c>
      <c r="B2570" s="23">
        <v>17</v>
      </c>
      <c r="C2570" s="24" t="str">
        <f t="shared" si="62"/>
        <v>38.17</v>
      </c>
      <c r="D2570" s="18" t="s">
        <v>2148</v>
      </c>
      <c r="E2570" s="64" t="s">
        <v>2161</v>
      </c>
      <c r="F2570" s="85" t="s">
        <v>225</v>
      </c>
      <c r="G2570" s="336" t="s">
        <v>2341</v>
      </c>
      <c r="H2570" s="85" t="s">
        <v>2340</v>
      </c>
      <c r="I2570" s="94" t="s">
        <v>2346</v>
      </c>
      <c r="J2570" s="94" t="s">
        <v>222</v>
      </c>
      <c r="K2570" s="123" t="s">
        <v>222</v>
      </c>
      <c r="L2570" s="4" t="s">
        <v>3</v>
      </c>
      <c r="M2570" s="61" t="s">
        <v>33</v>
      </c>
      <c r="N2570" s="61" t="s">
        <v>2347</v>
      </c>
      <c r="O2570" s="61" t="s">
        <v>2346</v>
      </c>
      <c r="P2570" s="61" t="s">
        <v>2345</v>
      </c>
      <c r="Q2570" s="61"/>
      <c r="R2570" s="61" t="s">
        <v>5</v>
      </c>
      <c r="S2570" s="61"/>
      <c r="T2570" s="57"/>
      <c r="U2570" s="57"/>
      <c r="V2570" s="57"/>
      <c r="W2570" s="57"/>
      <c r="X2570" s="57"/>
      <c r="Y2570" s="57"/>
    </row>
    <row r="2571" spans="1:25" s="1" customFormat="1" ht="33" customHeight="1" x14ac:dyDescent="0.3">
      <c r="A2571" s="11">
        <v>38</v>
      </c>
      <c r="B2571" s="23">
        <v>18</v>
      </c>
      <c r="C2571" s="24" t="str">
        <f t="shared" si="62"/>
        <v>38.18</v>
      </c>
      <c r="D2571" s="18" t="s">
        <v>2148</v>
      </c>
      <c r="E2571" s="64" t="s">
        <v>2161</v>
      </c>
      <c r="F2571" s="85" t="s">
        <v>225</v>
      </c>
      <c r="G2571" s="336" t="s">
        <v>2342</v>
      </c>
      <c r="H2571" s="85" t="s">
        <v>2340</v>
      </c>
      <c r="I2571" s="94" t="s">
        <v>2345</v>
      </c>
      <c r="J2571" s="94" t="s">
        <v>222</v>
      </c>
      <c r="K2571" s="123" t="s">
        <v>222</v>
      </c>
      <c r="L2571" s="4" t="s">
        <v>3</v>
      </c>
      <c r="M2571" s="61" t="s">
        <v>33</v>
      </c>
      <c r="N2571" s="61" t="s">
        <v>2347</v>
      </c>
      <c r="O2571" s="61" t="s">
        <v>2346</v>
      </c>
      <c r="P2571" s="61" t="s">
        <v>2345</v>
      </c>
      <c r="Q2571" s="61"/>
      <c r="R2571" s="61" t="s">
        <v>5</v>
      </c>
      <c r="S2571" s="61"/>
      <c r="T2571" s="57"/>
      <c r="U2571" s="57"/>
      <c r="V2571" s="57"/>
      <c r="W2571" s="57"/>
      <c r="X2571" s="57"/>
      <c r="Y2571" s="57"/>
    </row>
    <row r="2572" spans="1:25" s="1" customFormat="1" ht="33" customHeight="1" x14ac:dyDescent="0.3">
      <c r="A2572" s="11">
        <v>38</v>
      </c>
      <c r="B2572" s="23">
        <v>19</v>
      </c>
      <c r="C2572" s="24" t="str">
        <f t="shared" si="62"/>
        <v>38.19</v>
      </c>
      <c r="D2572" s="18" t="s">
        <v>2148</v>
      </c>
      <c r="E2572" s="64" t="s">
        <v>2161</v>
      </c>
      <c r="F2572" s="85" t="s">
        <v>226</v>
      </c>
      <c r="G2572" s="336" t="s">
        <v>308</v>
      </c>
      <c r="H2572" s="85" t="s">
        <v>2340</v>
      </c>
      <c r="I2572" s="94" t="s">
        <v>240</v>
      </c>
      <c r="J2572" s="94" t="s">
        <v>222</v>
      </c>
      <c r="K2572" s="123" t="s">
        <v>222</v>
      </c>
      <c r="L2572" s="4" t="s">
        <v>3</v>
      </c>
      <c r="M2572" s="61" t="s">
        <v>33</v>
      </c>
      <c r="N2572" s="61" t="s">
        <v>2347</v>
      </c>
      <c r="O2572" s="61" t="s">
        <v>2346</v>
      </c>
      <c r="P2572" s="61" t="s">
        <v>2345</v>
      </c>
      <c r="Q2572" s="61" t="s">
        <v>2370</v>
      </c>
      <c r="R2572" s="61" t="s">
        <v>5</v>
      </c>
      <c r="S2572" s="61"/>
      <c r="T2572" s="57"/>
      <c r="U2572" s="57"/>
      <c r="V2572" s="57"/>
      <c r="W2572" s="57"/>
      <c r="X2572" s="57"/>
      <c r="Y2572" s="57"/>
    </row>
    <row r="2573" spans="1:25" s="1" customFormat="1" ht="33" customHeight="1" x14ac:dyDescent="0.3">
      <c r="A2573" s="11">
        <v>38</v>
      </c>
      <c r="B2573" s="23">
        <v>20</v>
      </c>
      <c r="C2573" s="24" t="str">
        <f t="shared" si="62"/>
        <v>38.20</v>
      </c>
      <c r="D2573" s="18" t="s">
        <v>2148</v>
      </c>
      <c r="E2573" s="64" t="s">
        <v>2161</v>
      </c>
      <c r="F2573" s="85" t="s">
        <v>226</v>
      </c>
      <c r="G2573" s="336" t="s">
        <v>2352</v>
      </c>
      <c r="H2573" s="85" t="s">
        <v>2340</v>
      </c>
      <c r="I2573" s="94" t="s">
        <v>33</v>
      </c>
      <c r="J2573" s="94" t="s">
        <v>222</v>
      </c>
      <c r="K2573" s="123" t="s">
        <v>222</v>
      </c>
      <c r="L2573" s="4" t="s">
        <v>3</v>
      </c>
      <c r="M2573" s="61" t="s">
        <v>33</v>
      </c>
      <c r="N2573" s="61" t="s">
        <v>2347</v>
      </c>
      <c r="O2573" s="61" t="s">
        <v>2346</v>
      </c>
      <c r="P2573" s="61" t="s">
        <v>2345</v>
      </c>
      <c r="Q2573" s="61" t="s">
        <v>2370</v>
      </c>
      <c r="R2573" s="61" t="s">
        <v>5</v>
      </c>
      <c r="S2573" s="61"/>
      <c r="T2573" s="57"/>
      <c r="U2573" s="57"/>
      <c r="V2573" s="57"/>
      <c r="W2573" s="57"/>
      <c r="X2573" s="57"/>
      <c r="Y2573" s="57"/>
    </row>
    <row r="2574" spans="1:25" s="1" customFormat="1" ht="33" customHeight="1" x14ac:dyDescent="0.3">
      <c r="A2574" s="11">
        <v>38</v>
      </c>
      <c r="B2574" s="23">
        <v>21</v>
      </c>
      <c r="C2574" s="24" t="str">
        <f t="shared" si="62"/>
        <v>38.21</v>
      </c>
      <c r="D2574" s="18" t="s">
        <v>2148</v>
      </c>
      <c r="E2574" s="64" t="s">
        <v>2161</v>
      </c>
      <c r="F2574" s="85" t="s">
        <v>226</v>
      </c>
      <c r="G2574" s="336" t="s">
        <v>2353</v>
      </c>
      <c r="H2574" s="85" t="s">
        <v>2340</v>
      </c>
      <c r="I2574" s="94" t="s">
        <v>2347</v>
      </c>
      <c r="J2574" s="94" t="s">
        <v>222</v>
      </c>
      <c r="K2574" s="123" t="s">
        <v>222</v>
      </c>
      <c r="L2574" s="4" t="s">
        <v>3</v>
      </c>
      <c r="M2574" s="61" t="s">
        <v>33</v>
      </c>
      <c r="N2574" s="61" t="s">
        <v>2347</v>
      </c>
      <c r="O2574" s="61" t="s">
        <v>2346</v>
      </c>
      <c r="P2574" s="61" t="s">
        <v>2345</v>
      </c>
      <c r="Q2574" s="61" t="s">
        <v>2370</v>
      </c>
      <c r="R2574" s="61" t="s">
        <v>5</v>
      </c>
      <c r="S2574" s="61"/>
      <c r="T2574" s="57"/>
      <c r="U2574" s="57"/>
      <c r="V2574" s="57"/>
      <c r="W2574" s="57"/>
      <c r="X2574" s="57"/>
      <c r="Y2574" s="57"/>
    </row>
    <row r="2575" spans="1:25" s="1" customFormat="1" ht="33" customHeight="1" x14ac:dyDescent="0.3">
      <c r="A2575" s="11">
        <v>38</v>
      </c>
      <c r="B2575" s="23">
        <v>22</v>
      </c>
      <c r="C2575" s="24" t="str">
        <f t="shared" si="62"/>
        <v>38.22</v>
      </c>
      <c r="D2575" s="18" t="s">
        <v>2148</v>
      </c>
      <c r="E2575" s="64" t="str">
        <f>IF(ISBLANK(D2575)=TRUE,"",VLOOKUP(D2575,Krav!$C:$F,4,FALSE))</f>
        <v>11.a.2 - Der skal komme en advarsel om det ikke er "normalt" hvis fordringshaver svarer at sidste rettidige betalingsdato kan ligge før forfaldsdatoen</v>
      </c>
      <c r="F2575" s="85" t="s">
        <v>174</v>
      </c>
      <c r="G2575" s="53"/>
      <c r="H2575" s="85" t="s">
        <v>2340</v>
      </c>
      <c r="I2575" s="67" t="s">
        <v>1414</v>
      </c>
      <c r="J2575" s="87" t="s">
        <v>222</v>
      </c>
      <c r="K2575" s="123" t="s">
        <v>222</v>
      </c>
      <c r="L2575" s="4" t="s">
        <v>3</v>
      </c>
      <c r="M2575" s="205" t="s">
        <v>376</v>
      </c>
      <c r="N2575" s="61" t="s">
        <v>2344</v>
      </c>
      <c r="O2575" s="205" t="s">
        <v>2346</v>
      </c>
      <c r="P2575" s="61" t="s">
        <v>2345</v>
      </c>
      <c r="Q2575" s="61"/>
      <c r="R2575" s="61" t="s">
        <v>5</v>
      </c>
      <c r="S2575" s="61"/>
      <c r="T2575" s="57"/>
      <c r="U2575" s="57"/>
      <c r="V2575" s="57"/>
      <c r="W2575" s="57"/>
      <c r="X2575" s="57"/>
      <c r="Y2575" s="57"/>
    </row>
    <row r="2576" spans="1:25" s="1" customFormat="1" ht="33" customHeight="1" x14ac:dyDescent="0.3">
      <c r="A2576" s="11">
        <v>38</v>
      </c>
      <c r="B2576" s="23">
        <v>23</v>
      </c>
      <c r="C2576" s="24" t="str">
        <f t="shared" si="62"/>
        <v>38.23</v>
      </c>
      <c r="D2576" s="18" t="s">
        <v>2148</v>
      </c>
      <c r="E2576" s="64" t="str">
        <f>IF(ISBLANK(D2576)=TRUE,"",VLOOKUP(D2576,Krav!$C:$F,4,FALSE))</f>
        <v>11.a.2 - Der skal komme en advarsel om det ikke er "normalt" hvis fordringshaver svarer at sidste rettidige betalingsdato kan ligge før forfaldsdatoen</v>
      </c>
      <c r="F2576" s="334" t="s">
        <v>418</v>
      </c>
      <c r="G2576" s="334" t="s">
        <v>419</v>
      </c>
      <c r="H2576" s="85" t="s">
        <v>2340</v>
      </c>
      <c r="I2576" s="86" t="s">
        <v>129</v>
      </c>
      <c r="J2576" s="94" t="s">
        <v>222</v>
      </c>
      <c r="K2576" s="123" t="s">
        <v>222</v>
      </c>
      <c r="L2576" s="4" t="s">
        <v>3</v>
      </c>
      <c r="M2576" s="205" t="s">
        <v>376</v>
      </c>
      <c r="N2576" s="61" t="s">
        <v>2344</v>
      </c>
      <c r="O2576" s="205" t="s">
        <v>2346</v>
      </c>
      <c r="P2576" s="61" t="s">
        <v>2345</v>
      </c>
      <c r="Q2576" s="61"/>
      <c r="R2576" s="61" t="s">
        <v>5</v>
      </c>
      <c r="S2576" s="61"/>
      <c r="T2576" s="57"/>
      <c r="U2576" s="57"/>
      <c r="V2576" s="57"/>
      <c r="W2576" s="57"/>
      <c r="X2576" s="57"/>
      <c r="Y2576" s="57"/>
    </row>
    <row r="2577" spans="1:29" s="1" customFormat="1" ht="33" customHeight="1" x14ac:dyDescent="0.3">
      <c r="A2577" s="11">
        <v>38</v>
      </c>
      <c r="B2577" s="23">
        <v>24</v>
      </c>
      <c r="C2577" s="24" t="str">
        <f t="shared" si="62"/>
        <v>38.24</v>
      </c>
      <c r="D2577" s="18" t="s">
        <v>2148</v>
      </c>
      <c r="E2577" s="64" t="str">
        <f>IF(ISBLANK(D2577)=TRUE,"",VLOOKUP(D2577,Krav!$C:$F,4,FALSE))</f>
        <v>11.a.2 - Der skal komme en advarsel om det ikke er "normalt" hvis fordringshaver svarer at sidste rettidige betalingsdato kan ligge før forfaldsdatoen</v>
      </c>
      <c r="F2577" s="85" t="s">
        <v>174</v>
      </c>
      <c r="G2577" s="53"/>
      <c r="H2577" s="85" t="s">
        <v>2340</v>
      </c>
      <c r="I2577" s="67" t="s">
        <v>1414</v>
      </c>
      <c r="J2577" s="87" t="s">
        <v>222</v>
      </c>
      <c r="K2577" s="123" t="s">
        <v>222</v>
      </c>
      <c r="L2577" s="4" t="s">
        <v>3</v>
      </c>
      <c r="M2577" s="205" t="s">
        <v>2344</v>
      </c>
      <c r="N2577" s="205" t="s">
        <v>2343</v>
      </c>
      <c r="O2577" s="205" t="s">
        <v>2346</v>
      </c>
      <c r="P2577" s="205" t="s">
        <v>2346</v>
      </c>
      <c r="Q2577" s="61"/>
      <c r="R2577" s="61" t="s">
        <v>5</v>
      </c>
      <c r="S2577" s="61"/>
      <c r="T2577" s="57"/>
      <c r="U2577" s="57"/>
      <c r="V2577" s="57"/>
      <c r="W2577" s="57"/>
      <c r="X2577" s="57"/>
      <c r="Y2577" s="57"/>
    </row>
    <row r="2578" spans="1:29" s="1" customFormat="1" ht="33" customHeight="1" x14ac:dyDescent="0.3">
      <c r="A2578" s="11">
        <v>38</v>
      </c>
      <c r="B2578" s="23">
        <v>25</v>
      </c>
      <c r="C2578" s="24" t="str">
        <f t="shared" si="62"/>
        <v>38.25</v>
      </c>
      <c r="D2578" s="18" t="s">
        <v>2148</v>
      </c>
      <c r="E2578" s="64" t="str">
        <f>IF(ISBLANK(D2578)=TRUE,"",VLOOKUP(D2578,Krav!$C:$F,4,FALSE))</f>
        <v>11.a.2 - Der skal komme en advarsel om det ikke er "normalt" hvis fordringshaver svarer at sidste rettidige betalingsdato kan ligge før forfaldsdatoen</v>
      </c>
      <c r="F2578" s="334" t="s">
        <v>418</v>
      </c>
      <c r="G2578" s="334" t="s">
        <v>419</v>
      </c>
      <c r="H2578" s="85" t="s">
        <v>2340</v>
      </c>
      <c r="I2578" s="86" t="s">
        <v>129</v>
      </c>
      <c r="J2578" s="94" t="s">
        <v>222</v>
      </c>
      <c r="K2578" s="123" t="s">
        <v>222</v>
      </c>
      <c r="L2578" s="4" t="s">
        <v>3</v>
      </c>
      <c r="M2578" s="205" t="s">
        <v>2344</v>
      </c>
      <c r="N2578" s="205" t="s">
        <v>2343</v>
      </c>
      <c r="O2578" s="205" t="s">
        <v>2346</v>
      </c>
      <c r="P2578" s="205" t="s">
        <v>2346</v>
      </c>
      <c r="Q2578" s="61"/>
      <c r="R2578" s="61" t="s">
        <v>5</v>
      </c>
      <c r="S2578" s="61"/>
      <c r="T2578" s="57"/>
      <c r="U2578" s="57"/>
      <c r="V2578" s="57"/>
      <c r="W2578" s="57"/>
      <c r="X2578" s="57"/>
      <c r="Y2578" s="57"/>
    </row>
    <row r="2579" spans="1:29" s="1" customFormat="1" ht="33" customHeight="1" x14ac:dyDescent="0.3">
      <c r="A2579" s="11">
        <v>38</v>
      </c>
      <c r="B2579" s="23">
        <v>26</v>
      </c>
      <c r="C2579" s="24" t="str">
        <f t="shared" si="62"/>
        <v>38.26</v>
      </c>
      <c r="D2579" s="18" t="s">
        <v>2148</v>
      </c>
      <c r="E2579" s="64" t="str">
        <f>IF(ISBLANK(D2579)=TRUE,"",VLOOKUP(D2579,Krav!$C:$F,4,FALSE))</f>
        <v>11.a.2 - Der skal komme en advarsel om det ikke er "normalt" hvis fordringshaver svarer at sidste rettidige betalingsdato kan ligge før forfaldsdatoen</v>
      </c>
      <c r="F2579" s="85" t="s">
        <v>174</v>
      </c>
      <c r="G2579" s="53"/>
      <c r="H2579" s="85" t="s">
        <v>2340</v>
      </c>
      <c r="I2579" s="67" t="s">
        <v>1414</v>
      </c>
      <c r="J2579" s="87" t="s">
        <v>222</v>
      </c>
      <c r="K2579" s="123" t="s">
        <v>222</v>
      </c>
      <c r="L2579" s="4" t="s">
        <v>3</v>
      </c>
      <c r="M2579" s="363" t="s">
        <v>2344</v>
      </c>
      <c r="N2579" s="205" t="s">
        <v>2343</v>
      </c>
      <c r="O2579" s="61" t="s">
        <v>2345</v>
      </c>
      <c r="P2579" s="205" t="s">
        <v>2346</v>
      </c>
      <c r="Q2579" s="61"/>
      <c r="R2579" s="61" t="s">
        <v>5</v>
      </c>
      <c r="S2579" s="61"/>
      <c r="T2579" s="57"/>
      <c r="U2579" s="57"/>
      <c r="V2579" s="57"/>
      <c r="W2579" s="57"/>
      <c r="X2579" s="57"/>
      <c r="Y2579" s="57"/>
    </row>
    <row r="2580" spans="1:29" s="1" customFormat="1" ht="33" customHeight="1" x14ac:dyDescent="0.3">
      <c r="A2580" s="11">
        <v>38</v>
      </c>
      <c r="B2580" s="23">
        <v>27</v>
      </c>
      <c r="C2580" s="24" t="str">
        <f t="shared" si="62"/>
        <v>38.27</v>
      </c>
      <c r="D2580" s="18" t="s">
        <v>2148</v>
      </c>
      <c r="E2580" s="64" t="str">
        <f>IF(ISBLANK(D2580)=TRUE,"",VLOOKUP(D2580,Krav!$C:$F,4,FALSE))</f>
        <v>11.a.2 - Der skal komme en advarsel om det ikke er "normalt" hvis fordringshaver svarer at sidste rettidige betalingsdato kan ligge før forfaldsdatoen</v>
      </c>
      <c r="F2580" s="334" t="s">
        <v>418</v>
      </c>
      <c r="G2580" s="334" t="s">
        <v>419</v>
      </c>
      <c r="H2580" s="85" t="s">
        <v>2340</v>
      </c>
      <c r="I2580" s="86" t="s">
        <v>129</v>
      </c>
      <c r="J2580" s="87" t="s">
        <v>222</v>
      </c>
      <c r="K2580" s="123" t="s">
        <v>222</v>
      </c>
      <c r="L2580" s="4" t="s">
        <v>3</v>
      </c>
      <c r="M2580" s="363" t="s">
        <v>2344</v>
      </c>
      <c r="N2580" s="205" t="s">
        <v>2343</v>
      </c>
      <c r="O2580" s="61" t="s">
        <v>2345</v>
      </c>
      <c r="P2580" s="205" t="s">
        <v>2346</v>
      </c>
      <c r="Q2580" s="61"/>
      <c r="R2580" s="61" t="s">
        <v>5</v>
      </c>
      <c r="S2580" s="61"/>
      <c r="T2580" s="57"/>
      <c r="U2580" s="57"/>
      <c r="V2580" s="57"/>
      <c r="W2580" s="57"/>
      <c r="X2580" s="57"/>
      <c r="Y2580" s="57"/>
    </row>
    <row r="2581" spans="1:29" s="234" customFormat="1" ht="33" customHeight="1" x14ac:dyDescent="0.3">
      <c r="A2581" s="11">
        <v>38</v>
      </c>
      <c r="B2581" s="23">
        <v>28</v>
      </c>
      <c r="C2581" s="24" t="str">
        <f t="shared" si="62"/>
        <v>38.28</v>
      </c>
      <c r="D2581" s="227" t="s">
        <v>2148</v>
      </c>
      <c r="E2581" s="366" t="str">
        <f>IF(ISBLANK(D2581)=TRUE,"",VLOOKUP(D2581,Krav!$C:$F,4,FALSE))</f>
        <v>11.a.2 - Der skal komme en advarsel om det ikke er "normalt" hvis fordringshaver svarer at sidste rettidige betalingsdato kan ligge før forfaldsdatoen</v>
      </c>
      <c r="F2581" s="367" t="s">
        <v>174</v>
      </c>
      <c r="G2581" s="228"/>
      <c r="H2581" s="367" t="s">
        <v>2340</v>
      </c>
      <c r="I2581" s="230" t="s">
        <v>1414</v>
      </c>
      <c r="J2581" s="368" t="s">
        <v>222</v>
      </c>
      <c r="K2581" s="230" t="s">
        <v>222</v>
      </c>
      <c r="L2581" s="231" t="s">
        <v>3</v>
      </c>
      <c r="M2581" s="241" t="s">
        <v>404</v>
      </c>
      <c r="N2581" s="232" t="s">
        <v>2344</v>
      </c>
      <c r="O2581" s="241" t="s">
        <v>2346</v>
      </c>
      <c r="P2581" s="232" t="s">
        <v>2345</v>
      </c>
      <c r="Q2581" s="232"/>
      <c r="R2581" s="232" t="s">
        <v>33</v>
      </c>
      <c r="S2581" s="232" t="s">
        <v>2354</v>
      </c>
      <c r="T2581" s="369"/>
      <c r="U2581" s="369"/>
      <c r="V2581" s="369"/>
      <c r="W2581" s="369"/>
      <c r="X2581" s="369"/>
      <c r="Y2581" s="369"/>
    </row>
    <row r="2582" spans="1:29" s="234" customFormat="1" ht="33" customHeight="1" x14ac:dyDescent="0.3">
      <c r="A2582" s="11">
        <v>38</v>
      </c>
      <c r="B2582" s="23">
        <v>29</v>
      </c>
      <c r="C2582" s="24" t="str">
        <f t="shared" si="62"/>
        <v>38.29</v>
      </c>
      <c r="D2582" s="227" t="s">
        <v>2148</v>
      </c>
      <c r="E2582" s="366" t="str">
        <f>IF(ISBLANK(D2582)=TRUE,"",VLOOKUP(D2582,Krav!$C:$F,4,FALSE))</f>
        <v>11.a.2 - Der skal komme en advarsel om det ikke er "normalt" hvis fordringshaver svarer at sidste rettidige betalingsdato kan ligge før forfaldsdatoen</v>
      </c>
      <c r="F2582" s="370" t="s">
        <v>418</v>
      </c>
      <c r="G2582" s="370" t="s">
        <v>419</v>
      </c>
      <c r="H2582" s="367" t="s">
        <v>2340</v>
      </c>
      <c r="I2582" s="371" t="s">
        <v>129</v>
      </c>
      <c r="J2582" s="368" t="s">
        <v>222</v>
      </c>
      <c r="K2582" s="230" t="s">
        <v>222</v>
      </c>
      <c r="L2582" s="231" t="s">
        <v>3</v>
      </c>
      <c r="M2582" s="241" t="s">
        <v>404</v>
      </c>
      <c r="N2582" s="232" t="s">
        <v>2344</v>
      </c>
      <c r="O2582" s="241" t="s">
        <v>2346</v>
      </c>
      <c r="P2582" s="232" t="s">
        <v>2345</v>
      </c>
      <c r="Q2582" s="232"/>
      <c r="R2582" s="232" t="s">
        <v>33</v>
      </c>
      <c r="S2582" s="232" t="s">
        <v>2354</v>
      </c>
      <c r="T2582" s="369"/>
      <c r="U2582" s="369"/>
      <c r="V2582" s="369"/>
      <c r="W2582" s="369"/>
      <c r="X2582" s="369"/>
      <c r="Y2582" s="369"/>
    </row>
    <row r="2583" spans="1:29" s="1" customFormat="1" ht="33" customHeight="1" x14ac:dyDescent="0.3">
      <c r="A2583" s="11">
        <v>38</v>
      </c>
      <c r="B2583" s="23">
        <v>30</v>
      </c>
      <c r="C2583" s="24" t="str">
        <f t="shared" si="62"/>
        <v>38.30</v>
      </c>
      <c r="D2583" s="18" t="s">
        <v>2148</v>
      </c>
      <c r="E2583" s="64" t="str">
        <f>IF(ISBLANK(D2583)=TRUE,"",VLOOKUP(D2583,Krav!$C:$F,4,FALSE))</f>
        <v>11.a.2 - Der skal komme en advarsel om det ikke er "normalt" hvis fordringshaver svarer at sidste rettidige betalingsdato kan ligge før forfaldsdatoen</v>
      </c>
      <c r="F2583" s="85" t="s">
        <v>174</v>
      </c>
      <c r="G2583" s="53"/>
      <c r="H2583" s="85" t="s">
        <v>2340</v>
      </c>
      <c r="I2583" s="67" t="s">
        <v>1414</v>
      </c>
      <c r="J2583" s="87" t="s">
        <v>222</v>
      </c>
      <c r="K2583" s="123" t="s">
        <v>222</v>
      </c>
      <c r="L2583" s="4" t="s">
        <v>3</v>
      </c>
      <c r="M2583" s="363" t="s">
        <v>376</v>
      </c>
      <c r="N2583" s="205" t="s">
        <v>2348</v>
      </c>
      <c r="O2583" s="61" t="s">
        <v>2345</v>
      </c>
      <c r="P2583" s="61" t="s">
        <v>2345</v>
      </c>
      <c r="Q2583" s="61"/>
      <c r="R2583" s="61" t="s">
        <v>5</v>
      </c>
      <c r="S2583" s="61"/>
      <c r="T2583" s="57"/>
      <c r="U2583" s="57"/>
      <c r="V2583" s="57"/>
      <c r="W2583" s="57"/>
      <c r="X2583" s="57"/>
      <c r="Y2583" s="57"/>
    </row>
    <row r="2584" spans="1:29" s="1" customFormat="1" ht="33" customHeight="1" x14ac:dyDescent="0.3">
      <c r="A2584" s="11">
        <v>38</v>
      </c>
      <c r="B2584" s="23">
        <v>31</v>
      </c>
      <c r="C2584" s="24" t="str">
        <f t="shared" si="62"/>
        <v>38.31</v>
      </c>
      <c r="D2584" s="18" t="s">
        <v>2148</v>
      </c>
      <c r="E2584" s="64" t="str">
        <f>IF(ISBLANK(D2584)=TRUE,"",VLOOKUP(D2584,Krav!$C:$F,4,FALSE))</f>
        <v>11.a.2 - Der skal komme en advarsel om det ikke er "normalt" hvis fordringshaver svarer at sidste rettidige betalingsdato kan ligge før forfaldsdatoen</v>
      </c>
      <c r="F2584" s="334" t="s">
        <v>418</v>
      </c>
      <c r="G2584" s="334" t="s">
        <v>419</v>
      </c>
      <c r="H2584" s="85" t="s">
        <v>2340</v>
      </c>
      <c r="I2584" s="86" t="s">
        <v>129</v>
      </c>
      <c r="J2584" s="94" t="s">
        <v>222</v>
      </c>
      <c r="K2584" s="123" t="s">
        <v>222</v>
      </c>
      <c r="L2584" s="4" t="s">
        <v>3</v>
      </c>
      <c r="M2584" s="363" t="s">
        <v>376</v>
      </c>
      <c r="N2584" s="205" t="s">
        <v>2348</v>
      </c>
      <c r="O2584" s="61" t="s">
        <v>2345</v>
      </c>
      <c r="P2584" s="61" t="s">
        <v>2345</v>
      </c>
      <c r="Q2584" s="61"/>
      <c r="R2584" s="61" t="s">
        <v>5</v>
      </c>
      <c r="S2584" s="61"/>
      <c r="T2584" s="57"/>
      <c r="U2584" s="57"/>
      <c r="V2584" s="57"/>
      <c r="W2584" s="57"/>
      <c r="X2584" s="57"/>
      <c r="Y2584" s="57"/>
    </row>
    <row r="2585" spans="1:29" s="234" customFormat="1" ht="33" customHeight="1" x14ac:dyDescent="0.3">
      <c r="A2585" s="11">
        <v>38</v>
      </c>
      <c r="B2585" s="23">
        <v>32</v>
      </c>
      <c r="C2585" s="24" t="str">
        <f t="shared" si="62"/>
        <v>38.32</v>
      </c>
      <c r="D2585" s="227" t="s">
        <v>2148</v>
      </c>
      <c r="E2585" s="366" t="str">
        <f>IF(ISBLANK(D2585)=TRUE,"",VLOOKUP(D2585,Krav!$C:$F,4,FALSE))</f>
        <v>11.a.2 - Der skal komme en advarsel om det ikke er "normalt" hvis fordringshaver svarer at sidste rettidige betalingsdato kan ligge før forfaldsdatoen</v>
      </c>
      <c r="F2585" s="367" t="s">
        <v>174</v>
      </c>
      <c r="G2585" s="228"/>
      <c r="H2585" s="367" t="s">
        <v>2340</v>
      </c>
      <c r="I2585" s="230" t="s">
        <v>1414</v>
      </c>
      <c r="J2585" s="368" t="s">
        <v>222</v>
      </c>
      <c r="K2585" s="230" t="s">
        <v>222</v>
      </c>
      <c r="L2585" s="231" t="s">
        <v>3</v>
      </c>
      <c r="M2585" s="372" t="s">
        <v>2344</v>
      </c>
      <c r="N2585" s="241" t="s">
        <v>2349</v>
      </c>
      <c r="O2585" s="232" t="s">
        <v>2345</v>
      </c>
      <c r="P2585" s="241" t="s">
        <v>2346</v>
      </c>
      <c r="Q2585" s="232"/>
      <c r="R2585" s="232" t="s">
        <v>33</v>
      </c>
      <c r="S2585" s="232" t="s">
        <v>2354</v>
      </c>
      <c r="T2585" s="369"/>
      <c r="U2585" s="369"/>
      <c r="V2585" s="369"/>
      <c r="W2585" s="369"/>
      <c r="X2585" s="369"/>
      <c r="Y2585" s="369"/>
    </row>
    <row r="2586" spans="1:29" s="234" customFormat="1" ht="33" customHeight="1" x14ac:dyDescent="0.3">
      <c r="A2586" s="11">
        <v>38</v>
      </c>
      <c r="B2586" s="23">
        <v>33</v>
      </c>
      <c r="C2586" s="24" t="str">
        <f t="shared" si="62"/>
        <v>38.33</v>
      </c>
      <c r="D2586" s="227" t="s">
        <v>2148</v>
      </c>
      <c r="E2586" s="366" t="str">
        <f>IF(ISBLANK(D2586)=TRUE,"",VLOOKUP(D2586,Krav!$C:$F,4,FALSE))</f>
        <v>11.a.2 - Der skal komme en advarsel om det ikke er "normalt" hvis fordringshaver svarer at sidste rettidige betalingsdato kan ligge før forfaldsdatoen</v>
      </c>
      <c r="F2586" s="370" t="s">
        <v>418</v>
      </c>
      <c r="G2586" s="370" t="s">
        <v>419</v>
      </c>
      <c r="H2586" s="367" t="s">
        <v>2340</v>
      </c>
      <c r="I2586" s="371" t="s">
        <v>129</v>
      </c>
      <c r="J2586" s="368" t="s">
        <v>222</v>
      </c>
      <c r="K2586" s="230" t="s">
        <v>222</v>
      </c>
      <c r="L2586" s="231" t="s">
        <v>3</v>
      </c>
      <c r="M2586" s="373" t="s">
        <v>2344</v>
      </c>
      <c r="N2586" s="241" t="s">
        <v>2349</v>
      </c>
      <c r="O2586" s="232" t="s">
        <v>2345</v>
      </c>
      <c r="P2586" s="241" t="s">
        <v>2346</v>
      </c>
      <c r="Q2586" s="232"/>
      <c r="R2586" s="232" t="s">
        <v>33</v>
      </c>
      <c r="S2586" s="232" t="s">
        <v>2354</v>
      </c>
      <c r="T2586" s="369"/>
      <c r="U2586" s="369"/>
      <c r="V2586" s="369"/>
      <c r="W2586" s="369"/>
      <c r="X2586" s="369"/>
      <c r="Y2586" s="369"/>
    </row>
    <row r="2587" spans="1:29" s="1" customFormat="1" ht="33" customHeight="1" x14ac:dyDescent="0.3">
      <c r="A2587" s="11">
        <v>38</v>
      </c>
      <c r="B2587" s="23">
        <v>34</v>
      </c>
      <c r="C2587" s="24" t="str">
        <f t="shared" si="62"/>
        <v>38.34</v>
      </c>
      <c r="D2587" s="18" t="s">
        <v>2148</v>
      </c>
      <c r="E2587" s="64" t="str">
        <f>IF(ISBLANK(D2587)=TRUE,"",VLOOKUP(D2587,Krav!$C:$F,4,FALSE))</f>
        <v>11.a.2 - Der skal komme en advarsel om det ikke er "normalt" hvis fordringshaver svarer at sidste rettidige betalingsdato kan ligge før forfaldsdatoen</v>
      </c>
      <c r="F2587" s="85" t="s">
        <v>174</v>
      </c>
      <c r="G2587" s="53"/>
      <c r="H2587" s="85" t="s">
        <v>2340</v>
      </c>
      <c r="I2587" s="67" t="s">
        <v>1414</v>
      </c>
      <c r="J2587" s="87" t="s">
        <v>222</v>
      </c>
      <c r="K2587" s="123" t="s">
        <v>222</v>
      </c>
      <c r="L2587" s="4" t="s">
        <v>3</v>
      </c>
      <c r="M2587" s="364" t="s">
        <v>2344</v>
      </c>
      <c r="N2587" s="205" t="s">
        <v>97</v>
      </c>
      <c r="O2587" s="61" t="s">
        <v>2345</v>
      </c>
      <c r="P2587" s="205" t="s">
        <v>2346</v>
      </c>
      <c r="Q2587" s="61"/>
      <c r="R2587" s="61" t="s">
        <v>5</v>
      </c>
      <c r="S2587" s="61"/>
      <c r="T2587" s="57"/>
      <c r="U2587" s="57"/>
      <c r="V2587" s="57"/>
      <c r="W2587" s="57"/>
      <c r="X2587" s="57"/>
      <c r="Y2587" s="57"/>
    </row>
    <row r="2588" spans="1:29" s="1" customFormat="1" ht="33" customHeight="1" x14ac:dyDescent="0.3">
      <c r="A2588" s="11">
        <v>38</v>
      </c>
      <c r="B2588" s="23">
        <v>35</v>
      </c>
      <c r="C2588" s="24" t="str">
        <f t="shared" si="62"/>
        <v>38.35</v>
      </c>
      <c r="D2588" s="18" t="s">
        <v>2148</v>
      </c>
      <c r="E2588" s="64" t="str">
        <f>IF(ISBLANK(D2588)=TRUE,"",VLOOKUP(D2588,Krav!$C:$F,4,FALSE))</f>
        <v>11.a.2 - Der skal komme en advarsel om det ikke er "normalt" hvis fordringshaver svarer at sidste rettidige betalingsdato kan ligge før forfaldsdatoen</v>
      </c>
      <c r="F2588" s="334" t="s">
        <v>418</v>
      </c>
      <c r="G2588" s="334" t="s">
        <v>419</v>
      </c>
      <c r="H2588" s="85" t="s">
        <v>2340</v>
      </c>
      <c r="I2588" s="86" t="s">
        <v>129</v>
      </c>
      <c r="J2588" s="87" t="s">
        <v>222</v>
      </c>
      <c r="K2588" s="123" t="s">
        <v>222</v>
      </c>
      <c r="L2588" s="4" t="s">
        <v>3</v>
      </c>
      <c r="M2588" s="363" t="s">
        <v>2344</v>
      </c>
      <c r="N2588" s="205" t="s">
        <v>97</v>
      </c>
      <c r="O2588" s="61" t="s">
        <v>2345</v>
      </c>
      <c r="P2588" s="205" t="s">
        <v>2346</v>
      </c>
      <c r="Q2588" s="61"/>
      <c r="R2588" s="61" t="s">
        <v>5</v>
      </c>
      <c r="S2588" s="61"/>
      <c r="T2588" s="57"/>
      <c r="U2588" s="57"/>
      <c r="V2588" s="57"/>
      <c r="W2588" s="57"/>
      <c r="X2588" s="57"/>
      <c r="Y2588" s="57"/>
    </row>
    <row r="2589" spans="1:29" s="1" customFormat="1" ht="33" customHeight="1" x14ac:dyDescent="0.3">
      <c r="A2589" s="11">
        <v>38</v>
      </c>
      <c r="B2589" s="23">
        <v>36</v>
      </c>
      <c r="C2589" s="24" t="str">
        <f t="shared" si="62"/>
        <v>38.36</v>
      </c>
      <c r="D2589" s="18"/>
      <c r="E2589" s="64"/>
      <c r="F2589" s="334" t="s">
        <v>143</v>
      </c>
      <c r="G2589" s="53"/>
      <c r="H2589" s="85" t="s">
        <v>2350</v>
      </c>
      <c r="I2589" s="86" t="s">
        <v>2071</v>
      </c>
      <c r="J2589" s="87" t="s">
        <v>222</v>
      </c>
      <c r="K2589" s="123" t="s">
        <v>222</v>
      </c>
      <c r="L2589" s="4" t="s">
        <v>3</v>
      </c>
      <c r="M2589" s="61" t="s">
        <v>376</v>
      </c>
      <c r="N2589" s="61" t="s">
        <v>2344</v>
      </c>
      <c r="O2589" s="61" t="s">
        <v>2345</v>
      </c>
      <c r="P2589" s="61" t="s">
        <v>2345</v>
      </c>
      <c r="Q2589" s="61"/>
      <c r="R2589" s="61" t="s">
        <v>5</v>
      </c>
      <c r="S2589" s="61"/>
      <c r="T2589" s="57"/>
      <c r="U2589" s="57"/>
      <c r="V2589" s="57"/>
      <c r="W2589" s="57"/>
      <c r="X2589" s="57"/>
      <c r="Y2589" s="57"/>
    </row>
    <row r="2590" spans="1:29" s="1" customFormat="1" ht="33" customHeight="1" x14ac:dyDescent="0.3">
      <c r="A2590" s="11">
        <v>38</v>
      </c>
      <c r="B2590" s="23">
        <v>37</v>
      </c>
      <c r="C2590" s="24" t="str">
        <f t="shared" si="62"/>
        <v>38.37</v>
      </c>
      <c r="D2590" s="18"/>
      <c r="E2590" s="64"/>
      <c r="F2590" s="85" t="s">
        <v>185</v>
      </c>
      <c r="G2590" s="53"/>
      <c r="H2590" s="25" t="s">
        <v>1585</v>
      </c>
      <c r="I2590" s="86" t="s">
        <v>2052</v>
      </c>
      <c r="J2590" s="87" t="s">
        <v>222</v>
      </c>
      <c r="K2590" s="123" t="s">
        <v>222</v>
      </c>
      <c r="L2590" s="4" t="s">
        <v>3</v>
      </c>
      <c r="M2590" s="61" t="s">
        <v>376</v>
      </c>
      <c r="N2590" s="61" t="s">
        <v>2344</v>
      </c>
      <c r="O2590" s="61" t="s">
        <v>2345</v>
      </c>
      <c r="P2590" s="61" t="s">
        <v>2345</v>
      </c>
      <c r="Q2590" s="61"/>
      <c r="R2590" s="61" t="s">
        <v>5</v>
      </c>
      <c r="S2590" s="61"/>
      <c r="T2590" s="57"/>
      <c r="U2590" s="57"/>
      <c r="V2590" s="57"/>
      <c r="W2590" s="57"/>
      <c r="X2590" s="57"/>
      <c r="Y2590" s="57"/>
    </row>
    <row r="2591" spans="1:29" s="221" customFormat="1" ht="42" customHeight="1" x14ac:dyDescent="0.3">
      <c r="A2591" s="11">
        <v>38</v>
      </c>
      <c r="B2591" s="23">
        <v>38</v>
      </c>
      <c r="C2591" s="24" t="str">
        <f t="shared" si="62"/>
        <v>38.38</v>
      </c>
      <c r="D2591" s="18"/>
      <c r="E2591" s="64"/>
      <c r="F2591" s="84" t="s">
        <v>224</v>
      </c>
      <c r="G2591" s="336" t="s">
        <v>1388</v>
      </c>
      <c r="H2591" s="25" t="s">
        <v>1587</v>
      </c>
      <c r="I2591" s="86" t="s">
        <v>376</v>
      </c>
      <c r="J2591" s="87" t="s">
        <v>222</v>
      </c>
      <c r="K2591" s="123" t="s">
        <v>222</v>
      </c>
      <c r="L2591" s="4" t="s">
        <v>3</v>
      </c>
      <c r="M2591" s="61" t="s">
        <v>376</v>
      </c>
      <c r="N2591" s="61"/>
      <c r="O2591" s="61"/>
      <c r="P2591" s="61"/>
      <c r="Q2591" s="61"/>
      <c r="R2591" s="61" t="s">
        <v>5</v>
      </c>
      <c r="S2591" s="61"/>
      <c r="T2591" s="344"/>
      <c r="U2591" s="344"/>
      <c r="V2591" s="344"/>
      <c r="W2591" s="344"/>
      <c r="X2591" s="344"/>
      <c r="Y2591" s="344"/>
      <c r="Z2591" s="344"/>
      <c r="AA2591" s="344"/>
      <c r="AB2591" s="344"/>
      <c r="AC2591" s="344"/>
    </row>
    <row r="2592" spans="1:29" s="221" customFormat="1" ht="33" customHeight="1" x14ac:dyDescent="0.3">
      <c r="A2592" s="11">
        <v>38</v>
      </c>
      <c r="B2592" s="23">
        <v>39</v>
      </c>
      <c r="C2592" s="24" t="str">
        <f t="shared" si="62"/>
        <v>38.39</v>
      </c>
      <c r="D2592" s="18"/>
      <c r="E2592" s="64"/>
      <c r="F2592" s="84" t="s">
        <v>224</v>
      </c>
      <c r="G2592" s="336" t="s">
        <v>1389</v>
      </c>
      <c r="H2592" s="25" t="s">
        <v>1587</v>
      </c>
      <c r="I2592" s="86" t="s">
        <v>2344</v>
      </c>
      <c r="J2592" s="87" t="s">
        <v>222</v>
      </c>
      <c r="K2592" s="123" t="s">
        <v>222</v>
      </c>
      <c r="L2592" s="4" t="s">
        <v>3</v>
      </c>
      <c r="M2592" s="61"/>
      <c r="N2592" s="61" t="s">
        <v>2344</v>
      </c>
      <c r="O2592" s="61"/>
      <c r="P2592" s="61"/>
      <c r="Q2592" s="61"/>
      <c r="R2592" s="61" t="s">
        <v>5</v>
      </c>
      <c r="S2592" s="61"/>
      <c r="T2592" s="344"/>
      <c r="U2592" s="344"/>
      <c r="V2592" s="344"/>
      <c r="W2592" s="344"/>
      <c r="X2592" s="344"/>
      <c r="Y2592" s="344"/>
      <c r="Z2592" s="344"/>
      <c r="AA2592" s="344"/>
      <c r="AB2592" s="344"/>
      <c r="AC2592" s="344"/>
    </row>
    <row r="2593" spans="1:29" s="221" customFormat="1" ht="33" customHeight="1" x14ac:dyDescent="0.3">
      <c r="A2593" s="11">
        <v>38</v>
      </c>
      <c r="B2593" s="23">
        <v>40</v>
      </c>
      <c r="C2593" s="24" t="str">
        <f t="shared" si="62"/>
        <v>38.40</v>
      </c>
      <c r="D2593" s="18"/>
      <c r="E2593" s="64"/>
      <c r="F2593" s="84" t="s">
        <v>224</v>
      </c>
      <c r="G2593" s="336" t="s">
        <v>2341</v>
      </c>
      <c r="H2593" s="25" t="s">
        <v>1587</v>
      </c>
      <c r="I2593" s="86" t="s">
        <v>2345</v>
      </c>
      <c r="J2593" s="87" t="s">
        <v>222</v>
      </c>
      <c r="K2593" s="123" t="s">
        <v>222</v>
      </c>
      <c r="L2593" s="4" t="s">
        <v>3</v>
      </c>
      <c r="M2593" s="61"/>
      <c r="N2593" s="61"/>
      <c r="O2593" s="61" t="s">
        <v>2345</v>
      </c>
      <c r="P2593" s="61"/>
      <c r="Q2593" s="61"/>
      <c r="R2593" s="61" t="s">
        <v>5</v>
      </c>
      <c r="S2593" s="61"/>
      <c r="T2593" s="344"/>
      <c r="U2593" s="344"/>
      <c r="V2593" s="344"/>
      <c r="W2593" s="344"/>
      <c r="X2593" s="344"/>
      <c r="Y2593" s="344"/>
      <c r="Z2593" s="344"/>
      <c r="AA2593" s="344"/>
      <c r="AB2593" s="344"/>
      <c r="AC2593" s="344"/>
    </row>
    <row r="2594" spans="1:29" s="344" customFormat="1" ht="16.5" customHeight="1" x14ac:dyDescent="0.3">
      <c r="A2594" s="11">
        <v>38</v>
      </c>
      <c r="B2594" s="23">
        <v>41</v>
      </c>
      <c r="C2594" s="24" t="str">
        <f t="shared" si="62"/>
        <v>38.41</v>
      </c>
      <c r="D2594" s="18"/>
      <c r="E2594" s="64"/>
      <c r="F2594" s="84" t="s">
        <v>224</v>
      </c>
      <c r="G2594" s="336" t="s">
        <v>2342</v>
      </c>
      <c r="H2594" s="25" t="s">
        <v>1587</v>
      </c>
      <c r="I2594" s="86" t="s">
        <v>2345</v>
      </c>
      <c r="J2594" s="87" t="s">
        <v>222</v>
      </c>
      <c r="K2594" s="123" t="s">
        <v>222</v>
      </c>
      <c r="L2594" s="4" t="s">
        <v>3</v>
      </c>
      <c r="M2594" s="61"/>
      <c r="N2594" s="61"/>
      <c r="O2594" s="61"/>
      <c r="P2594" s="61" t="s">
        <v>2345</v>
      </c>
      <c r="Q2594" s="61"/>
      <c r="R2594" s="61" t="s">
        <v>5</v>
      </c>
      <c r="S2594" s="61"/>
    </row>
    <row r="2595" spans="1:29" s="221" customFormat="1" ht="42" customHeight="1" x14ac:dyDescent="0.3">
      <c r="A2595" s="11">
        <v>38</v>
      </c>
      <c r="B2595" s="23">
        <v>42</v>
      </c>
      <c r="C2595" s="24" t="str">
        <f t="shared" si="62"/>
        <v>38.42</v>
      </c>
      <c r="D2595" s="18"/>
      <c r="E2595" s="64"/>
      <c r="F2595" s="84" t="s">
        <v>224</v>
      </c>
      <c r="G2595" s="336" t="s">
        <v>1388</v>
      </c>
      <c r="H2595" s="25" t="s">
        <v>1449</v>
      </c>
      <c r="I2595" s="87" t="s">
        <v>469</v>
      </c>
      <c r="J2595" s="87" t="s">
        <v>222</v>
      </c>
      <c r="K2595" s="123" t="s">
        <v>222</v>
      </c>
      <c r="L2595" s="4" t="s">
        <v>3</v>
      </c>
      <c r="M2595" s="61"/>
      <c r="N2595" s="61"/>
      <c r="O2595" s="61"/>
      <c r="P2595" s="61"/>
      <c r="Q2595" s="61"/>
      <c r="R2595" s="61" t="s">
        <v>5</v>
      </c>
      <c r="S2595" s="61"/>
      <c r="T2595" s="344"/>
      <c r="U2595" s="344"/>
      <c r="V2595" s="344"/>
      <c r="W2595" s="344"/>
      <c r="X2595" s="344"/>
      <c r="Y2595" s="344"/>
      <c r="Z2595" s="344"/>
      <c r="AA2595" s="344"/>
      <c r="AB2595" s="344"/>
      <c r="AC2595" s="344"/>
    </row>
    <row r="2596" spans="1:29" s="221" customFormat="1" ht="33" customHeight="1" x14ac:dyDescent="0.3">
      <c r="A2596" s="11">
        <v>38</v>
      </c>
      <c r="B2596" s="23">
        <v>43</v>
      </c>
      <c r="C2596" s="24" t="str">
        <f t="shared" si="62"/>
        <v>38.43</v>
      </c>
      <c r="D2596" s="18"/>
      <c r="E2596" s="64"/>
      <c r="F2596" s="84" t="s">
        <v>224</v>
      </c>
      <c r="G2596" s="336" t="s">
        <v>1389</v>
      </c>
      <c r="H2596" s="25" t="s">
        <v>1449</v>
      </c>
      <c r="I2596" s="87" t="s">
        <v>469</v>
      </c>
      <c r="J2596" s="87" t="s">
        <v>222</v>
      </c>
      <c r="K2596" s="123" t="s">
        <v>222</v>
      </c>
      <c r="L2596" s="4" t="s">
        <v>3</v>
      </c>
      <c r="M2596" s="61"/>
      <c r="N2596" s="61"/>
      <c r="O2596" s="61"/>
      <c r="P2596" s="61"/>
      <c r="Q2596" s="61"/>
      <c r="R2596" s="61" t="s">
        <v>5</v>
      </c>
      <c r="S2596" s="61"/>
      <c r="T2596" s="344"/>
      <c r="U2596" s="344"/>
      <c r="V2596" s="344"/>
      <c r="W2596" s="344"/>
      <c r="X2596" s="344"/>
      <c r="Y2596" s="344"/>
      <c r="Z2596" s="344"/>
      <c r="AA2596" s="344"/>
      <c r="AB2596" s="344"/>
      <c r="AC2596" s="344"/>
    </row>
    <row r="2597" spans="1:29" s="221" customFormat="1" ht="33" customHeight="1" x14ac:dyDescent="0.3">
      <c r="A2597" s="11">
        <v>38</v>
      </c>
      <c r="B2597" s="23">
        <v>44</v>
      </c>
      <c r="C2597" s="24" t="str">
        <f t="shared" si="62"/>
        <v>38.44</v>
      </c>
      <c r="D2597" s="18"/>
      <c r="E2597" s="64"/>
      <c r="F2597" s="84" t="s">
        <v>224</v>
      </c>
      <c r="G2597" s="336" t="s">
        <v>2341</v>
      </c>
      <c r="H2597" s="25" t="s">
        <v>1449</v>
      </c>
      <c r="I2597" s="87" t="s">
        <v>469</v>
      </c>
      <c r="J2597" s="87" t="s">
        <v>222</v>
      </c>
      <c r="K2597" s="123" t="s">
        <v>222</v>
      </c>
      <c r="L2597" s="4" t="s">
        <v>3</v>
      </c>
      <c r="M2597" s="61"/>
      <c r="N2597" s="61"/>
      <c r="O2597" s="61"/>
      <c r="P2597" s="61"/>
      <c r="Q2597" s="61"/>
      <c r="R2597" s="61" t="s">
        <v>5</v>
      </c>
      <c r="S2597" s="61"/>
      <c r="T2597" s="344"/>
      <c r="U2597" s="344"/>
      <c r="V2597" s="344"/>
      <c r="W2597" s="344"/>
      <c r="X2597" s="344"/>
      <c r="Y2597" s="344"/>
      <c r="Z2597" s="344"/>
      <c r="AA2597" s="344"/>
      <c r="AB2597" s="344"/>
      <c r="AC2597" s="344"/>
    </row>
    <row r="2598" spans="1:29" s="344" customFormat="1" ht="16.5" customHeight="1" x14ac:dyDescent="0.3">
      <c r="A2598" s="11">
        <v>38</v>
      </c>
      <c r="B2598" s="23">
        <v>45</v>
      </c>
      <c r="C2598" s="24" t="str">
        <f t="shared" si="62"/>
        <v>38.45</v>
      </c>
      <c r="D2598" s="18"/>
      <c r="E2598" s="64"/>
      <c r="F2598" s="84" t="s">
        <v>224</v>
      </c>
      <c r="G2598" s="336" t="s">
        <v>2342</v>
      </c>
      <c r="H2598" s="25" t="s">
        <v>1449</v>
      </c>
      <c r="I2598" s="87" t="s">
        <v>469</v>
      </c>
      <c r="J2598" s="87" t="s">
        <v>222</v>
      </c>
      <c r="K2598" s="123" t="s">
        <v>222</v>
      </c>
      <c r="L2598" s="4" t="s">
        <v>3</v>
      </c>
      <c r="M2598" s="61"/>
      <c r="N2598" s="61"/>
      <c r="O2598" s="61"/>
      <c r="P2598" s="61"/>
      <c r="Q2598" s="61"/>
      <c r="R2598" s="61" t="s">
        <v>5</v>
      </c>
      <c r="S2598" s="61"/>
    </row>
    <row r="2599" spans="1:29" s="221" customFormat="1" ht="33" customHeight="1" x14ac:dyDescent="0.3">
      <c r="A2599" s="11">
        <v>38</v>
      </c>
      <c r="B2599" s="23">
        <v>46</v>
      </c>
      <c r="C2599" s="24" t="str">
        <f t="shared" si="62"/>
        <v>38.46</v>
      </c>
      <c r="D2599" s="18"/>
      <c r="E2599" s="64"/>
      <c r="F2599" s="84" t="s">
        <v>418</v>
      </c>
      <c r="G2599" s="336" t="s">
        <v>445</v>
      </c>
      <c r="H2599" s="85" t="s">
        <v>2077</v>
      </c>
      <c r="I2599" s="86" t="s">
        <v>129</v>
      </c>
      <c r="J2599" s="94" t="s">
        <v>222</v>
      </c>
      <c r="K2599" s="123" t="s">
        <v>222</v>
      </c>
      <c r="L2599" s="4" t="s">
        <v>3</v>
      </c>
      <c r="M2599" s="61" t="s">
        <v>376</v>
      </c>
      <c r="N2599" s="61" t="s">
        <v>2344</v>
      </c>
      <c r="O2599" s="61" t="s">
        <v>2345</v>
      </c>
      <c r="P2599" s="61" t="s">
        <v>2345</v>
      </c>
      <c r="Q2599" s="61"/>
      <c r="R2599" s="61" t="s">
        <v>5</v>
      </c>
      <c r="S2599" s="61"/>
      <c r="T2599" s="344"/>
      <c r="U2599" s="344"/>
      <c r="V2599" s="344"/>
      <c r="W2599" s="344"/>
      <c r="X2599" s="344"/>
      <c r="Y2599" s="344"/>
      <c r="Z2599" s="344"/>
      <c r="AA2599" s="344"/>
      <c r="AB2599" s="344"/>
      <c r="AC2599" s="344"/>
    </row>
    <row r="2600" spans="1:29" s="344" customFormat="1" ht="16.5" customHeight="1" x14ac:dyDescent="0.3">
      <c r="A2600" s="11">
        <v>38</v>
      </c>
      <c r="B2600" s="23">
        <v>47</v>
      </c>
      <c r="C2600" s="24" t="str">
        <f t="shared" si="62"/>
        <v>38.47</v>
      </c>
      <c r="D2600" s="18"/>
      <c r="E2600" s="64"/>
      <c r="F2600" s="84" t="s">
        <v>418</v>
      </c>
      <c r="G2600" s="336" t="s">
        <v>445</v>
      </c>
      <c r="H2600" s="85" t="s">
        <v>2077</v>
      </c>
      <c r="I2600" s="86" t="s">
        <v>129</v>
      </c>
      <c r="J2600" s="94" t="s">
        <v>222</v>
      </c>
      <c r="K2600" s="123" t="s">
        <v>222</v>
      </c>
      <c r="L2600" s="4" t="s">
        <v>3</v>
      </c>
      <c r="M2600" s="61" t="s">
        <v>33</v>
      </c>
      <c r="N2600" s="61" t="s">
        <v>2347</v>
      </c>
      <c r="O2600" s="61" t="s">
        <v>2346</v>
      </c>
      <c r="P2600" s="61" t="s">
        <v>2345</v>
      </c>
      <c r="Q2600" s="61"/>
      <c r="R2600" s="61" t="s">
        <v>5</v>
      </c>
      <c r="S2600" s="61"/>
    </row>
    <row r="2601" spans="1:29" s="344" customFormat="1" ht="16.5" customHeight="1" x14ac:dyDescent="0.3">
      <c r="A2601" s="345"/>
      <c r="B2601" s="346"/>
      <c r="C2601" s="347"/>
      <c r="D2601" s="211"/>
      <c r="E2601" s="212"/>
      <c r="F2601" s="350"/>
      <c r="G2601" s="215"/>
      <c r="H2601" s="350"/>
      <c r="I2601" s="353"/>
      <c r="J2601" s="216" t="s">
        <v>222</v>
      </c>
      <c r="K2601" s="216" t="s">
        <v>222</v>
      </c>
      <c r="L2601" s="354"/>
      <c r="M2601" s="219"/>
      <c r="N2601" s="219"/>
      <c r="O2601" s="219"/>
      <c r="P2601" s="219"/>
      <c r="Q2601" s="219"/>
      <c r="R2601" s="219"/>
    </row>
    <row r="2602" spans="1:29" s="221" customFormat="1" ht="33" customHeight="1" x14ac:dyDescent="0.3">
      <c r="A2602" s="345"/>
      <c r="B2602" s="346"/>
      <c r="C2602" s="347"/>
      <c r="D2602" s="348"/>
      <c r="E2602" s="349"/>
      <c r="F2602" s="350"/>
      <c r="G2602" s="351"/>
      <c r="H2602" s="350"/>
      <c r="I2602" s="352"/>
      <c r="J2602" s="353" t="s">
        <v>222</v>
      </c>
      <c r="K2602" s="216" t="s">
        <v>222</v>
      </c>
      <c r="L2602" s="354"/>
      <c r="M2602" s="219"/>
      <c r="N2602" s="219"/>
      <c r="O2602" s="219"/>
      <c r="P2602" s="219"/>
      <c r="Q2602" s="219"/>
      <c r="R2602" s="219"/>
      <c r="S2602" s="344"/>
      <c r="T2602" s="344"/>
      <c r="U2602" s="344"/>
      <c r="V2602" s="344"/>
      <c r="W2602" s="344"/>
      <c r="X2602" s="344"/>
      <c r="Y2602" s="344"/>
      <c r="Z2602" s="344"/>
      <c r="AA2602" s="344"/>
      <c r="AB2602" s="344"/>
    </row>
    <row r="2603" spans="1:29" s="221" customFormat="1" ht="33" customHeight="1" x14ac:dyDescent="0.3">
      <c r="A2603" s="345"/>
      <c r="B2603" s="346"/>
      <c r="C2603" s="347"/>
      <c r="D2603" s="348"/>
      <c r="E2603" s="349"/>
      <c r="F2603" s="350"/>
      <c r="G2603" s="223"/>
      <c r="H2603" s="350"/>
      <c r="I2603" s="352"/>
      <c r="J2603" s="353" t="s">
        <v>222</v>
      </c>
      <c r="K2603" s="216" t="s">
        <v>222</v>
      </c>
      <c r="L2603" s="354"/>
      <c r="M2603" s="219"/>
      <c r="N2603" s="219"/>
      <c r="O2603" s="219"/>
      <c r="P2603" s="219"/>
      <c r="Q2603" s="219"/>
      <c r="R2603" s="219"/>
      <c r="S2603" s="344"/>
      <c r="T2603" s="344"/>
      <c r="U2603" s="344"/>
      <c r="V2603" s="344"/>
      <c r="W2603" s="344"/>
      <c r="X2603" s="344"/>
      <c r="Y2603" s="344"/>
      <c r="Z2603" s="344"/>
      <c r="AA2603" s="344"/>
      <c r="AB2603" s="344"/>
    </row>
    <row r="2604" spans="1:29" s="221" customFormat="1" ht="33" customHeight="1" x14ac:dyDescent="0.3">
      <c r="A2604" s="345"/>
      <c r="B2604" s="346"/>
      <c r="C2604" s="347"/>
      <c r="D2604" s="348"/>
      <c r="E2604" s="349"/>
      <c r="F2604" s="350"/>
      <c r="G2604" s="223"/>
      <c r="H2604" s="350"/>
      <c r="I2604" s="352"/>
      <c r="J2604" s="353" t="s">
        <v>222</v>
      </c>
      <c r="K2604" s="216" t="s">
        <v>222</v>
      </c>
      <c r="L2604" s="354"/>
      <c r="M2604" s="219"/>
      <c r="N2604" s="219"/>
      <c r="O2604" s="219"/>
      <c r="P2604" s="219"/>
      <c r="Q2604" s="219"/>
      <c r="R2604" s="219"/>
      <c r="S2604" s="344"/>
      <c r="T2604" s="344"/>
      <c r="U2604" s="344"/>
      <c r="V2604" s="344"/>
      <c r="W2604" s="344"/>
      <c r="X2604" s="344"/>
      <c r="Y2604" s="344"/>
      <c r="Z2604" s="344"/>
      <c r="AA2604" s="344"/>
      <c r="AB2604" s="344"/>
    </row>
    <row r="2605" spans="1:29" s="221" customFormat="1" ht="33" customHeight="1" x14ac:dyDescent="0.3">
      <c r="A2605" s="345"/>
      <c r="B2605" s="346"/>
      <c r="C2605" s="347"/>
      <c r="D2605" s="348"/>
      <c r="E2605" s="349"/>
      <c r="F2605" s="350"/>
      <c r="G2605" s="214"/>
      <c r="H2605" s="350"/>
      <c r="I2605" s="352"/>
      <c r="J2605" s="353" t="s">
        <v>222</v>
      </c>
      <c r="K2605" s="216" t="s">
        <v>222</v>
      </c>
      <c r="L2605" s="354"/>
      <c r="M2605" s="219"/>
      <c r="N2605" s="219"/>
      <c r="O2605" s="219"/>
      <c r="P2605" s="219"/>
      <c r="Q2605" s="219"/>
      <c r="R2605" s="219"/>
      <c r="S2605" s="344"/>
      <c r="T2605" s="344"/>
      <c r="U2605" s="344"/>
      <c r="V2605" s="344"/>
      <c r="W2605" s="344"/>
      <c r="X2605" s="344"/>
      <c r="Y2605" s="344"/>
      <c r="Z2605" s="344"/>
      <c r="AA2605" s="344"/>
      <c r="AB2605" s="344"/>
    </row>
    <row r="2606" spans="1:29" s="221" customFormat="1" ht="33" customHeight="1" x14ac:dyDescent="0.3">
      <c r="A2606" s="345"/>
      <c r="B2606" s="346"/>
      <c r="C2606" s="347"/>
      <c r="D2606" s="348"/>
      <c r="E2606" s="349"/>
      <c r="F2606" s="350"/>
      <c r="G2606" s="214"/>
      <c r="H2606" s="350"/>
      <c r="I2606" s="352"/>
      <c r="J2606" s="353" t="s">
        <v>222</v>
      </c>
      <c r="K2606" s="216" t="s">
        <v>222</v>
      </c>
      <c r="L2606" s="354"/>
      <c r="M2606" s="219"/>
      <c r="N2606" s="219"/>
      <c r="O2606" s="219"/>
      <c r="P2606" s="219"/>
      <c r="Q2606" s="219"/>
      <c r="R2606" s="219"/>
      <c r="S2606" s="344"/>
      <c r="T2606" s="344"/>
      <c r="U2606" s="344"/>
      <c r="V2606" s="344"/>
      <c r="W2606" s="344"/>
      <c r="X2606" s="344"/>
      <c r="Y2606" s="344"/>
      <c r="Z2606" s="344"/>
      <c r="AA2606" s="344"/>
      <c r="AB2606" s="344"/>
    </row>
    <row r="2607" spans="1:29" s="221" customFormat="1" ht="33" customHeight="1" x14ac:dyDescent="0.3">
      <c r="A2607" s="345"/>
      <c r="B2607" s="346"/>
      <c r="C2607" s="347"/>
      <c r="D2607" s="348"/>
      <c r="E2607" s="349"/>
      <c r="F2607" s="350"/>
      <c r="G2607" s="350"/>
      <c r="H2607" s="350"/>
      <c r="I2607" s="352"/>
      <c r="J2607" s="353" t="s">
        <v>222</v>
      </c>
      <c r="K2607" s="216" t="s">
        <v>222</v>
      </c>
      <c r="L2607" s="354"/>
      <c r="M2607" s="219"/>
      <c r="N2607" s="219"/>
      <c r="O2607" s="219"/>
      <c r="P2607" s="219"/>
      <c r="Q2607" s="219"/>
      <c r="R2607" s="219"/>
      <c r="S2607" s="344"/>
      <c r="T2607" s="344"/>
      <c r="U2607" s="344"/>
      <c r="V2607" s="344"/>
      <c r="W2607" s="344"/>
      <c r="X2607" s="344"/>
      <c r="Y2607" s="344"/>
      <c r="Z2607" s="344"/>
      <c r="AA2607" s="344"/>
      <c r="AB2607" s="344"/>
    </row>
    <row r="2608" spans="1:29" s="344" customFormat="1" ht="16.5" customHeight="1" x14ac:dyDescent="0.3">
      <c r="A2608" s="345"/>
      <c r="B2608" s="346"/>
      <c r="C2608" s="347"/>
      <c r="D2608" s="348"/>
      <c r="E2608" s="349"/>
      <c r="F2608" s="350"/>
      <c r="G2608" s="214"/>
      <c r="H2608" s="350"/>
      <c r="I2608" s="353"/>
      <c r="J2608" s="353" t="s">
        <v>222</v>
      </c>
      <c r="K2608" s="216" t="s">
        <v>222</v>
      </c>
      <c r="L2608" s="354"/>
      <c r="M2608" s="219"/>
      <c r="N2608" s="219"/>
      <c r="O2608" s="219"/>
      <c r="P2608" s="219"/>
      <c r="Q2608" s="219"/>
      <c r="R2608" s="219"/>
    </row>
    <row r="2609" spans="1:28" s="344" customFormat="1" ht="16.5" customHeight="1" x14ac:dyDescent="0.3">
      <c r="A2609" s="345"/>
      <c r="B2609" s="346"/>
      <c r="C2609" s="347"/>
      <c r="D2609" s="348"/>
      <c r="E2609" s="349"/>
      <c r="F2609" s="350"/>
      <c r="G2609" s="214"/>
      <c r="H2609" s="350"/>
      <c r="I2609" s="353"/>
      <c r="J2609" s="355" t="s">
        <v>222</v>
      </c>
      <c r="K2609" s="216" t="s">
        <v>222</v>
      </c>
      <c r="L2609" s="354"/>
      <c r="M2609" s="219"/>
      <c r="N2609" s="219"/>
      <c r="O2609" s="219"/>
      <c r="P2609" s="219"/>
      <c r="Q2609" s="219"/>
      <c r="R2609" s="219"/>
    </row>
    <row r="2610" spans="1:28" s="344" customFormat="1" ht="16.5" customHeight="1" x14ac:dyDescent="0.3">
      <c r="A2610" s="345"/>
      <c r="B2610" s="346"/>
      <c r="C2610" s="347"/>
      <c r="D2610" s="211"/>
      <c r="E2610" s="212"/>
      <c r="F2610" s="350"/>
      <c r="G2610" s="215"/>
      <c r="H2610" s="350"/>
      <c r="I2610" s="353"/>
      <c r="J2610" s="216" t="s">
        <v>222</v>
      </c>
      <c r="K2610" s="216" t="s">
        <v>222</v>
      </c>
      <c r="L2610" s="354"/>
      <c r="M2610" s="219"/>
      <c r="N2610" s="219"/>
      <c r="O2610" s="219"/>
      <c r="P2610" s="219"/>
      <c r="Q2610" s="219"/>
      <c r="R2610" s="219"/>
    </row>
    <row r="2611" spans="1:28" s="344" customFormat="1" ht="16.5" customHeight="1" x14ac:dyDescent="0.3">
      <c r="A2611" s="345"/>
      <c r="B2611" s="346"/>
      <c r="C2611" s="347"/>
      <c r="D2611" s="348"/>
      <c r="E2611" s="349"/>
      <c r="F2611" s="356"/>
      <c r="G2611" s="356"/>
      <c r="H2611" s="350"/>
      <c r="I2611" s="216"/>
      <c r="J2611" s="216" t="s">
        <v>222</v>
      </c>
      <c r="K2611" s="216" t="s">
        <v>222</v>
      </c>
      <c r="L2611" s="354"/>
      <c r="M2611" s="357"/>
      <c r="N2611" s="219"/>
      <c r="O2611" s="219"/>
      <c r="P2611" s="219"/>
      <c r="Q2611" s="219"/>
      <c r="R2611" s="219"/>
    </row>
    <row r="2612" spans="1:28" s="344" customFormat="1" ht="16.5" customHeight="1" x14ac:dyDescent="0.3">
      <c r="A2612" s="345"/>
      <c r="B2612" s="346"/>
      <c r="C2612" s="347"/>
      <c r="D2612" s="211"/>
      <c r="E2612" s="212"/>
      <c r="F2612" s="356"/>
      <c r="G2612" s="356"/>
      <c r="H2612" s="350"/>
      <c r="I2612" s="358"/>
      <c r="J2612" s="216" t="s">
        <v>222</v>
      </c>
      <c r="K2612" s="216" t="s">
        <v>222</v>
      </c>
      <c r="L2612" s="354"/>
      <c r="M2612" s="357"/>
      <c r="N2612" s="219"/>
      <c r="O2612" s="219"/>
      <c r="P2612" s="219"/>
      <c r="Q2612" s="219"/>
      <c r="R2612" s="219"/>
    </row>
    <row r="2613" spans="1:28" s="221" customFormat="1" ht="33" customHeight="1" x14ac:dyDescent="0.3">
      <c r="A2613" s="345"/>
      <c r="B2613" s="346"/>
      <c r="C2613" s="347"/>
      <c r="D2613" s="211"/>
      <c r="E2613" s="212"/>
      <c r="F2613" s="356"/>
      <c r="G2613" s="356"/>
      <c r="H2613" s="350"/>
      <c r="I2613" s="216"/>
      <c r="J2613" s="216" t="s">
        <v>222</v>
      </c>
      <c r="K2613" s="216" t="s">
        <v>222</v>
      </c>
      <c r="L2613" s="354"/>
      <c r="M2613" s="357"/>
      <c r="N2613" s="219"/>
      <c r="O2613" s="219"/>
      <c r="P2613" s="219"/>
      <c r="Q2613" s="219"/>
      <c r="R2613" s="219"/>
      <c r="S2613" s="344"/>
      <c r="T2613" s="344"/>
      <c r="U2613" s="344"/>
      <c r="V2613" s="344"/>
      <c r="W2613" s="344"/>
      <c r="X2613" s="344"/>
      <c r="Y2613" s="344"/>
      <c r="Z2613" s="344"/>
      <c r="AA2613" s="344"/>
      <c r="AB2613" s="344"/>
    </row>
    <row r="2614" spans="1:28" s="221" customFormat="1" ht="33" customHeight="1" x14ac:dyDescent="0.3">
      <c r="A2614" s="345"/>
      <c r="B2614" s="346"/>
      <c r="C2614" s="347"/>
      <c r="D2614" s="211"/>
      <c r="E2614" s="212"/>
      <c r="F2614" s="356"/>
      <c r="G2614" s="356"/>
      <c r="H2614" s="350"/>
      <c r="I2614" s="358"/>
      <c r="J2614" s="216" t="s">
        <v>222</v>
      </c>
      <c r="K2614" s="216" t="s">
        <v>222</v>
      </c>
      <c r="L2614" s="354"/>
      <c r="M2614" s="357"/>
      <c r="N2614" s="219"/>
      <c r="O2614" s="219"/>
      <c r="P2614" s="219"/>
      <c r="Q2614" s="219"/>
      <c r="R2614" s="219"/>
      <c r="S2614" s="344"/>
      <c r="T2614" s="344"/>
      <c r="U2614" s="344"/>
      <c r="V2614" s="344"/>
      <c r="W2614" s="344"/>
      <c r="X2614" s="344"/>
      <c r="Y2614" s="344"/>
      <c r="Z2614" s="344"/>
      <c r="AA2614" s="344"/>
      <c r="AB2614" s="344"/>
    </row>
    <row r="2615" spans="1:28" s="221" customFormat="1" ht="33" customHeight="1" x14ac:dyDescent="0.3">
      <c r="A2615" s="345"/>
      <c r="B2615" s="346"/>
      <c r="C2615" s="347"/>
      <c r="D2615" s="211"/>
      <c r="E2615" s="212"/>
      <c r="F2615" s="356"/>
      <c r="G2615" s="356"/>
      <c r="H2615" s="350"/>
      <c r="I2615" s="216"/>
      <c r="J2615" s="216" t="s">
        <v>222</v>
      </c>
      <c r="K2615" s="216" t="s">
        <v>222</v>
      </c>
      <c r="L2615" s="354"/>
      <c r="M2615" s="357"/>
      <c r="N2615" s="219"/>
      <c r="O2615" s="219"/>
      <c r="P2615" s="219"/>
      <c r="Q2615" s="219"/>
      <c r="R2615" s="219"/>
      <c r="S2615" s="344"/>
      <c r="T2615" s="344"/>
      <c r="U2615" s="344"/>
      <c r="V2615" s="344"/>
      <c r="W2615" s="344"/>
      <c r="X2615" s="344"/>
      <c r="Y2615" s="344"/>
      <c r="Z2615" s="344"/>
      <c r="AA2615" s="344"/>
      <c r="AB2615" s="344"/>
    </row>
    <row r="2616" spans="1:28" s="221" customFormat="1" ht="33" customHeight="1" x14ac:dyDescent="0.3">
      <c r="A2616" s="345"/>
      <c r="B2616" s="346"/>
      <c r="C2616" s="347"/>
      <c r="D2616" s="211"/>
      <c r="E2616" s="212"/>
      <c r="F2616" s="356"/>
      <c r="G2616" s="356"/>
      <c r="H2616" s="350"/>
      <c r="I2616" s="358"/>
      <c r="J2616" s="216" t="s">
        <v>222</v>
      </c>
      <c r="K2616" s="216" t="s">
        <v>222</v>
      </c>
      <c r="L2616" s="354"/>
      <c r="M2616" s="357"/>
      <c r="N2616" s="219"/>
      <c r="O2616" s="219"/>
      <c r="P2616" s="219"/>
      <c r="Q2616" s="219"/>
      <c r="R2616" s="219"/>
      <c r="S2616" s="344"/>
      <c r="T2616" s="344"/>
      <c r="U2616" s="344"/>
      <c r="V2616" s="344"/>
      <c r="W2616" s="344"/>
      <c r="X2616" s="344"/>
      <c r="Y2616" s="344"/>
      <c r="Z2616" s="344"/>
      <c r="AA2616" s="344"/>
      <c r="AB2616" s="344"/>
    </row>
    <row r="2617" spans="1:28" s="221" customFormat="1" ht="33" customHeight="1" x14ac:dyDescent="0.3">
      <c r="A2617" s="345"/>
      <c r="B2617" s="346"/>
      <c r="C2617" s="347"/>
      <c r="D2617" s="211"/>
      <c r="E2617" s="349"/>
      <c r="F2617" s="350"/>
      <c r="G2617" s="356"/>
      <c r="H2617" s="350"/>
      <c r="I2617" s="353"/>
      <c r="J2617" s="216" t="s">
        <v>222</v>
      </c>
      <c r="K2617" s="216" t="s">
        <v>222</v>
      </c>
      <c r="L2617" s="354"/>
      <c r="M2617" s="219"/>
      <c r="N2617" s="219"/>
      <c r="O2617" s="219"/>
      <c r="P2617" s="219"/>
      <c r="Q2617" s="219"/>
      <c r="R2617" s="219"/>
      <c r="S2617" s="344"/>
      <c r="T2617" s="344"/>
      <c r="U2617" s="344"/>
      <c r="V2617" s="344"/>
      <c r="W2617" s="344"/>
      <c r="X2617" s="344"/>
      <c r="Y2617" s="344"/>
      <c r="Z2617" s="344"/>
      <c r="AA2617" s="344"/>
      <c r="AB2617" s="344"/>
    </row>
    <row r="2618" spans="1:28" s="221" customFormat="1" ht="33" customHeight="1" x14ac:dyDescent="0.3">
      <c r="A2618" s="345"/>
      <c r="B2618" s="346"/>
      <c r="C2618" s="347"/>
      <c r="D2618" s="211"/>
      <c r="E2618" s="212"/>
      <c r="F2618" s="350"/>
      <c r="G2618" s="356"/>
      <c r="H2618" s="350"/>
      <c r="I2618" s="353"/>
      <c r="J2618" s="216" t="s">
        <v>222</v>
      </c>
      <c r="K2618" s="216" t="s">
        <v>222</v>
      </c>
      <c r="L2618" s="354"/>
      <c r="M2618" s="219"/>
      <c r="N2618" s="219"/>
      <c r="O2618" s="219"/>
      <c r="P2618" s="219"/>
      <c r="Q2618" s="219"/>
      <c r="R2618" s="219"/>
      <c r="S2618" s="344"/>
      <c r="T2618" s="344"/>
      <c r="U2618" s="344"/>
      <c r="V2618" s="344"/>
      <c r="W2618" s="344"/>
      <c r="X2618" s="344"/>
      <c r="Y2618" s="344"/>
      <c r="Z2618" s="344"/>
      <c r="AA2618" s="344"/>
      <c r="AB2618" s="344"/>
    </row>
    <row r="2619" spans="1:28" s="221" customFormat="1" ht="33" customHeight="1" x14ac:dyDescent="0.3">
      <c r="A2619" s="345"/>
      <c r="B2619" s="346"/>
      <c r="C2619" s="347"/>
      <c r="D2619" s="211"/>
      <c r="E2619" s="349"/>
      <c r="F2619" s="350"/>
      <c r="G2619" s="356"/>
      <c r="H2619" s="350"/>
      <c r="I2619" s="353"/>
      <c r="J2619" s="216" t="s">
        <v>222</v>
      </c>
      <c r="K2619" s="216" t="s">
        <v>222</v>
      </c>
      <c r="L2619" s="354"/>
      <c r="M2619" s="219"/>
      <c r="N2619" s="219"/>
      <c r="O2619" s="219"/>
      <c r="P2619" s="219"/>
      <c r="Q2619" s="219"/>
      <c r="R2619" s="219"/>
      <c r="S2619" s="344"/>
      <c r="T2619" s="344"/>
      <c r="U2619" s="344"/>
      <c r="V2619" s="344"/>
      <c r="W2619" s="344"/>
      <c r="X2619" s="344"/>
      <c r="Y2619" s="344"/>
      <c r="Z2619" s="344"/>
      <c r="AA2619" s="344"/>
      <c r="AB2619" s="344"/>
    </row>
    <row r="2620" spans="1:28" s="221" customFormat="1" ht="33" customHeight="1" x14ac:dyDescent="0.3">
      <c r="A2620" s="345"/>
      <c r="B2620" s="346"/>
      <c r="C2620" s="347"/>
      <c r="D2620" s="211"/>
      <c r="E2620" s="212"/>
      <c r="F2620" s="350"/>
      <c r="G2620" s="356"/>
      <c r="H2620" s="350"/>
      <c r="I2620" s="353"/>
      <c r="J2620" s="216" t="s">
        <v>222</v>
      </c>
      <c r="K2620" s="216" t="s">
        <v>222</v>
      </c>
      <c r="L2620" s="354"/>
      <c r="M2620" s="219"/>
      <c r="N2620" s="219"/>
      <c r="O2620" s="219"/>
      <c r="P2620" s="219"/>
      <c r="Q2620" s="219"/>
      <c r="R2620" s="219"/>
      <c r="S2620" s="344"/>
      <c r="T2620" s="344"/>
      <c r="U2620" s="344"/>
      <c r="V2620" s="344"/>
      <c r="W2620" s="344"/>
      <c r="X2620" s="344"/>
      <c r="Y2620" s="344"/>
      <c r="Z2620" s="344"/>
      <c r="AA2620" s="344"/>
      <c r="AB2620" s="344"/>
    </row>
    <row r="2621" spans="1:28" s="221" customFormat="1" ht="33" customHeight="1" x14ac:dyDescent="0.3">
      <c r="A2621" s="345"/>
      <c r="B2621" s="346"/>
      <c r="C2621" s="347"/>
      <c r="D2621" s="211"/>
      <c r="E2621" s="212"/>
      <c r="F2621" s="350"/>
      <c r="G2621" s="356"/>
      <c r="H2621" s="350"/>
      <c r="I2621" s="353"/>
      <c r="J2621" s="216" t="s">
        <v>222</v>
      </c>
      <c r="K2621" s="216" t="s">
        <v>222</v>
      </c>
      <c r="L2621" s="354"/>
      <c r="M2621" s="219"/>
      <c r="N2621" s="219"/>
      <c r="O2621" s="219"/>
      <c r="P2621" s="219"/>
      <c r="Q2621" s="219"/>
      <c r="R2621" s="219"/>
      <c r="S2621" s="344"/>
      <c r="T2621" s="344"/>
      <c r="U2621" s="344"/>
      <c r="V2621" s="344"/>
      <c r="W2621" s="344"/>
      <c r="X2621" s="344"/>
      <c r="Y2621" s="344"/>
      <c r="Z2621" s="344"/>
      <c r="AA2621" s="344"/>
      <c r="AB2621" s="344"/>
    </row>
    <row r="2622" spans="1:28" s="221" customFormat="1" ht="33" customHeight="1" x14ac:dyDescent="0.3">
      <c r="A2622" s="345"/>
      <c r="B2622" s="346"/>
      <c r="C2622" s="347"/>
      <c r="D2622" s="211"/>
      <c r="E2622" s="212"/>
      <c r="F2622" s="350"/>
      <c r="G2622" s="356"/>
      <c r="H2622" s="350"/>
      <c r="I2622" s="353"/>
      <c r="J2622" s="216" t="s">
        <v>222</v>
      </c>
      <c r="K2622" s="216" t="s">
        <v>222</v>
      </c>
      <c r="L2622" s="354"/>
      <c r="M2622" s="219"/>
      <c r="N2622" s="219"/>
      <c r="O2622" s="219"/>
      <c r="P2622" s="219"/>
      <c r="Q2622" s="219"/>
      <c r="R2622" s="219"/>
      <c r="S2622" s="344"/>
      <c r="T2622" s="344"/>
      <c r="U2622" s="344"/>
      <c r="V2622" s="344"/>
      <c r="W2622" s="344"/>
      <c r="X2622" s="344"/>
      <c r="Y2622" s="344"/>
      <c r="Z2622" s="344"/>
      <c r="AA2622" s="344"/>
      <c r="AB2622" s="344"/>
    </row>
    <row r="2623" spans="1:28" s="221" customFormat="1" ht="33" customHeight="1" x14ac:dyDescent="0.3">
      <c r="A2623" s="345"/>
      <c r="B2623" s="346"/>
      <c r="C2623" s="347"/>
      <c r="D2623" s="211"/>
      <c r="E2623" s="212"/>
      <c r="F2623" s="350"/>
      <c r="G2623" s="356"/>
      <c r="H2623" s="350"/>
      <c r="I2623" s="358"/>
      <c r="J2623" s="216" t="s">
        <v>222</v>
      </c>
      <c r="K2623" s="216" t="s">
        <v>222</v>
      </c>
      <c r="L2623" s="354"/>
      <c r="M2623" s="219"/>
      <c r="N2623" s="219"/>
      <c r="O2623" s="219"/>
      <c r="P2623" s="219"/>
      <c r="Q2623" s="219"/>
      <c r="R2623" s="219"/>
      <c r="S2623" s="344"/>
      <c r="T2623" s="344"/>
      <c r="U2623" s="344"/>
      <c r="V2623" s="344"/>
      <c r="W2623" s="344"/>
      <c r="X2623" s="344"/>
      <c r="Y2623" s="344"/>
      <c r="Z2623" s="344"/>
      <c r="AA2623" s="344"/>
      <c r="AB2623" s="344"/>
    </row>
    <row r="2624" spans="1:28" s="221" customFormat="1" ht="33" customHeight="1" x14ac:dyDescent="0.3">
      <c r="A2624" s="345"/>
      <c r="B2624" s="346"/>
      <c r="C2624" s="347"/>
      <c r="D2624" s="211"/>
      <c r="E2624" s="212"/>
      <c r="F2624" s="356"/>
      <c r="G2624" s="356"/>
      <c r="H2624" s="350"/>
      <c r="I2624" s="358"/>
      <c r="J2624" s="216" t="s">
        <v>222</v>
      </c>
      <c r="K2624" s="216" t="s">
        <v>222</v>
      </c>
      <c r="L2624" s="354"/>
      <c r="M2624" s="219"/>
      <c r="N2624" s="219"/>
      <c r="O2624" s="219"/>
      <c r="P2624" s="219"/>
      <c r="Q2624" s="219"/>
      <c r="R2624" s="219"/>
      <c r="S2624" s="344"/>
      <c r="T2624" s="344"/>
      <c r="U2624" s="344"/>
      <c r="V2624" s="344"/>
      <c r="W2624" s="344"/>
      <c r="X2624" s="344"/>
      <c r="Y2624" s="344"/>
      <c r="Z2624" s="344"/>
      <c r="AA2624" s="344"/>
      <c r="AB2624" s="344"/>
    </row>
    <row r="2625" spans="1:28" s="221" customFormat="1" ht="33" customHeight="1" x14ac:dyDescent="0.3">
      <c r="A2625" s="345"/>
      <c r="B2625" s="346"/>
      <c r="C2625" s="347"/>
      <c r="D2625" s="211"/>
      <c r="E2625" s="212"/>
      <c r="F2625" s="356"/>
      <c r="G2625" s="356"/>
      <c r="H2625" s="350"/>
      <c r="I2625" s="358"/>
      <c r="J2625" s="216" t="s">
        <v>222</v>
      </c>
      <c r="K2625" s="216" t="s">
        <v>222</v>
      </c>
      <c r="L2625" s="354"/>
      <c r="M2625" s="219"/>
      <c r="N2625" s="219"/>
      <c r="O2625" s="219"/>
      <c r="P2625" s="219"/>
      <c r="Q2625" s="219"/>
      <c r="R2625" s="219"/>
      <c r="S2625" s="344"/>
      <c r="T2625" s="344"/>
      <c r="U2625" s="344"/>
      <c r="V2625" s="344"/>
      <c r="W2625" s="344"/>
      <c r="X2625" s="344"/>
      <c r="Y2625" s="344"/>
      <c r="Z2625" s="344"/>
      <c r="AA2625" s="344"/>
      <c r="AB2625" s="344"/>
    </row>
    <row r="2626" spans="1:28" s="221" customFormat="1" ht="33" customHeight="1" x14ac:dyDescent="0.3">
      <c r="A2626" s="345"/>
      <c r="B2626" s="346"/>
      <c r="C2626" s="347"/>
      <c r="D2626" s="211"/>
      <c r="E2626" s="212"/>
      <c r="F2626" s="356"/>
      <c r="G2626" s="356"/>
      <c r="H2626" s="359"/>
      <c r="I2626" s="358"/>
      <c r="J2626" s="216" t="s">
        <v>222</v>
      </c>
      <c r="K2626" s="216" t="s">
        <v>222</v>
      </c>
      <c r="L2626" s="354"/>
      <c r="M2626" s="219"/>
      <c r="N2626" s="219"/>
      <c r="O2626" s="219"/>
      <c r="P2626" s="219"/>
      <c r="Q2626" s="219"/>
      <c r="R2626" s="219"/>
      <c r="S2626" s="344"/>
      <c r="T2626" s="344"/>
      <c r="U2626" s="344"/>
      <c r="V2626" s="344"/>
      <c r="W2626" s="344"/>
      <c r="X2626" s="344"/>
      <c r="Y2626" s="344"/>
      <c r="Z2626" s="344"/>
      <c r="AA2626" s="344"/>
      <c r="AB2626" s="344"/>
    </row>
    <row r="2627" spans="1:28" s="221" customFormat="1" ht="33" customHeight="1" x14ac:dyDescent="0.3">
      <c r="A2627" s="345"/>
      <c r="B2627" s="346"/>
      <c r="C2627" s="347"/>
      <c r="D2627" s="211"/>
      <c r="E2627" s="212"/>
      <c r="F2627" s="356"/>
      <c r="G2627" s="356"/>
      <c r="H2627" s="359"/>
      <c r="I2627" s="358"/>
      <c r="J2627" s="216" t="s">
        <v>222</v>
      </c>
      <c r="K2627" s="216" t="s">
        <v>222</v>
      </c>
      <c r="L2627" s="354"/>
      <c r="M2627" s="219"/>
      <c r="N2627" s="219"/>
      <c r="O2627" s="219"/>
      <c r="P2627" s="219"/>
      <c r="Q2627" s="219"/>
      <c r="R2627" s="219"/>
      <c r="S2627" s="344"/>
      <c r="T2627" s="344"/>
      <c r="U2627" s="344"/>
      <c r="V2627" s="344"/>
      <c r="W2627" s="344"/>
      <c r="X2627" s="344"/>
      <c r="Y2627" s="344"/>
      <c r="Z2627" s="344"/>
      <c r="AA2627" s="344"/>
      <c r="AB2627" s="344"/>
    </row>
    <row r="2628" spans="1:28" s="221" customFormat="1" ht="33" customHeight="1" x14ac:dyDescent="0.3">
      <c r="A2628" s="345"/>
      <c r="B2628" s="346"/>
      <c r="C2628" s="347"/>
      <c r="D2628" s="211"/>
      <c r="E2628" s="212"/>
      <c r="F2628" s="356"/>
      <c r="G2628" s="356"/>
      <c r="H2628" s="359"/>
      <c r="I2628" s="358"/>
      <c r="J2628" s="216" t="s">
        <v>222</v>
      </c>
      <c r="K2628" s="216" t="s">
        <v>222</v>
      </c>
      <c r="L2628" s="354"/>
      <c r="M2628" s="219"/>
      <c r="N2628" s="219"/>
      <c r="O2628" s="219"/>
      <c r="P2628" s="219"/>
      <c r="Q2628" s="219"/>
      <c r="R2628" s="219"/>
      <c r="S2628" s="344"/>
      <c r="T2628" s="344"/>
      <c r="U2628" s="344"/>
      <c r="V2628" s="344"/>
      <c r="W2628" s="344"/>
      <c r="X2628" s="344"/>
      <c r="Y2628" s="344"/>
      <c r="Z2628" s="344"/>
      <c r="AA2628" s="344"/>
      <c r="AB2628" s="344"/>
    </row>
    <row r="2629" spans="1:28" s="221" customFormat="1" ht="33" customHeight="1" x14ac:dyDescent="0.3">
      <c r="A2629" s="345"/>
      <c r="B2629" s="346"/>
      <c r="C2629" s="347"/>
      <c r="D2629" s="211"/>
      <c r="E2629" s="212"/>
      <c r="F2629" s="356"/>
      <c r="G2629" s="356"/>
      <c r="H2629" s="359"/>
      <c r="I2629" s="358"/>
      <c r="J2629" s="216" t="s">
        <v>222</v>
      </c>
      <c r="K2629" s="216" t="s">
        <v>222</v>
      </c>
      <c r="L2629" s="354"/>
      <c r="M2629" s="219"/>
      <c r="N2629" s="219"/>
      <c r="O2629" s="219"/>
      <c r="P2629" s="219"/>
      <c r="Q2629" s="219"/>
      <c r="R2629" s="219"/>
      <c r="S2629" s="344"/>
      <c r="T2629" s="344"/>
      <c r="U2629" s="344"/>
      <c r="V2629" s="344"/>
      <c r="W2629" s="344"/>
      <c r="X2629" s="344"/>
      <c r="Y2629" s="344"/>
      <c r="Z2629" s="344"/>
      <c r="AA2629" s="344"/>
      <c r="AB2629" s="344"/>
    </row>
    <row r="2630" spans="1:28" s="221" customFormat="1" ht="33" customHeight="1" x14ac:dyDescent="0.3">
      <c r="A2630" s="345"/>
      <c r="B2630" s="346"/>
      <c r="C2630" s="347"/>
      <c r="D2630" s="211"/>
      <c r="E2630" s="212"/>
      <c r="F2630" s="356"/>
      <c r="G2630" s="356"/>
      <c r="H2630" s="359"/>
      <c r="I2630" s="358"/>
      <c r="J2630" s="216" t="s">
        <v>222</v>
      </c>
      <c r="K2630" s="216" t="s">
        <v>222</v>
      </c>
      <c r="L2630" s="354"/>
      <c r="M2630" s="219"/>
      <c r="N2630" s="219"/>
      <c r="O2630" s="219"/>
      <c r="P2630" s="219"/>
      <c r="Q2630" s="219"/>
      <c r="R2630" s="219"/>
      <c r="S2630" s="344"/>
      <c r="T2630" s="344"/>
      <c r="U2630" s="344"/>
      <c r="V2630" s="344"/>
      <c r="W2630" s="344"/>
      <c r="X2630" s="344"/>
      <c r="Y2630" s="344"/>
      <c r="Z2630" s="344"/>
      <c r="AA2630" s="344"/>
      <c r="AB2630" s="344"/>
    </row>
    <row r="2631" spans="1:28" s="221" customFormat="1" ht="33" customHeight="1" x14ac:dyDescent="0.3">
      <c r="A2631" s="345"/>
      <c r="B2631" s="346"/>
      <c r="C2631" s="347"/>
      <c r="D2631" s="211"/>
      <c r="E2631" s="212"/>
      <c r="F2631" s="356"/>
      <c r="G2631" s="356"/>
      <c r="H2631" s="359"/>
      <c r="I2631" s="358"/>
      <c r="J2631" s="216" t="s">
        <v>222</v>
      </c>
      <c r="K2631" s="216" t="s">
        <v>222</v>
      </c>
      <c r="L2631" s="354"/>
      <c r="M2631" s="219"/>
      <c r="N2631" s="219"/>
      <c r="O2631" s="219"/>
      <c r="P2631" s="219"/>
      <c r="Q2631" s="219"/>
      <c r="R2631" s="219"/>
      <c r="S2631" s="344"/>
      <c r="T2631" s="344"/>
      <c r="U2631" s="344"/>
      <c r="V2631" s="344"/>
      <c r="W2631" s="344"/>
      <c r="X2631" s="344"/>
      <c r="Y2631" s="344"/>
      <c r="Z2631" s="344"/>
      <c r="AA2631" s="344"/>
      <c r="AB2631" s="344"/>
    </row>
    <row r="2632" spans="1:28" s="221" customFormat="1" ht="33" customHeight="1" x14ac:dyDescent="0.3">
      <c r="A2632" s="345"/>
      <c r="B2632" s="346"/>
      <c r="C2632" s="347"/>
      <c r="D2632" s="211"/>
      <c r="E2632" s="212"/>
      <c r="F2632" s="356"/>
      <c r="G2632" s="356"/>
      <c r="H2632" s="350"/>
      <c r="I2632" s="358"/>
      <c r="J2632" s="216" t="s">
        <v>222</v>
      </c>
      <c r="K2632" s="216" t="s">
        <v>222</v>
      </c>
      <c r="L2632" s="354"/>
      <c r="M2632" s="219"/>
      <c r="N2632" s="219"/>
      <c r="O2632" s="219"/>
      <c r="P2632" s="219"/>
      <c r="Q2632" s="219"/>
      <c r="R2632" s="219"/>
      <c r="S2632" s="344"/>
      <c r="T2632" s="344"/>
      <c r="U2632" s="344"/>
      <c r="V2632" s="344"/>
      <c r="W2632" s="344"/>
      <c r="X2632" s="344"/>
      <c r="Y2632" s="344"/>
      <c r="Z2632" s="344"/>
      <c r="AA2632" s="344"/>
      <c r="AB2632" s="344"/>
    </row>
    <row r="2633" spans="1:28" s="221" customFormat="1" ht="33" customHeight="1" x14ac:dyDescent="0.3">
      <c r="A2633" s="345"/>
      <c r="B2633" s="346"/>
      <c r="C2633" s="347"/>
      <c r="D2633" s="348"/>
      <c r="E2633" s="349"/>
      <c r="F2633" s="356"/>
      <c r="G2633" s="356"/>
      <c r="H2633" s="350"/>
      <c r="I2633" s="358"/>
      <c r="J2633" s="216" t="s">
        <v>222</v>
      </c>
      <c r="K2633" s="216" t="s">
        <v>222</v>
      </c>
      <c r="L2633" s="354"/>
      <c r="M2633" s="219"/>
      <c r="N2633" s="219"/>
      <c r="O2633" s="219"/>
      <c r="P2633" s="219"/>
      <c r="Q2633" s="219"/>
      <c r="R2633" s="219"/>
      <c r="S2633" s="344"/>
      <c r="T2633" s="344"/>
      <c r="U2633" s="344"/>
      <c r="V2633" s="344"/>
      <c r="W2633" s="344"/>
      <c r="X2633" s="344"/>
      <c r="Y2633" s="344"/>
      <c r="Z2633" s="344"/>
      <c r="AA2633" s="344"/>
      <c r="AB2633" s="344"/>
    </row>
    <row r="2634" spans="1:28" s="344" customFormat="1" ht="16.5" customHeight="1" x14ac:dyDescent="0.3">
      <c r="E2634" s="360"/>
      <c r="F2634" s="360"/>
      <c r="H2634" s="360"/>
    </row>
  </sheetData>
  <autoFilter ref="A683:AL683" xr:uid="{E47D0FC6-0108-4733-99EB-2ED357163D57}"/>
  <dataConsolidate/>
  <conditionalFormatting sqref="H680:K680 H2243:K2243 H988:K990 H2240 H2634:K1048576">
    <cfRule type="containsText" dxfId="10976" priority="17275" operator="containsText" text="Missing">
      <formula>NOT(ISERROR(SEARCH("Missing",H680)))</formula>
    </cfRule>
  </conditionalFormatting>
  <conditionalFormatting sqref="L680 L2243 L988:L990 L2634:L1048576">
    <cfRule type="containsText" dxfId="10975" priority="17218" operator="containsText" text="Positive">
      <formula>NOT(ISERROR(SEARCH("Positive",L680)))</formula>
    </cfRule>
    <cfRule type="containsText" dxfId="10974" priority="17219" operator="containsText" text="Negative">
      <formula>NOT(ISERROR(SEARCH("Negative",L680)))</formula>
    </cfRule>
  </conditionalFormatting>
  <conditionalFormatting sqref="H300:K300 H82:K88 H354:K354 H38:H41 H46:H49 J70:K73 H70:H73 H143 J121:K146 I70 I196:I197 I316:I322 J442:K449 J475:K475 J424:J425 K425:K426 J148:K152 J36:K41">
    <cfRule type="containsText" dxfId="10973" priority="13486" operator="containsText" text="Missing">
      <formula>NOT(ISERROR(SEARCH("Missing",H36)))</formula>
    </cfRule>
  </conditionalFormatting>
  <conditionalFormatting sqref="H91:K91 H117:K117 H155:K155 H211:K211 H177 J177:K177">
    <cfRule type="containsText" dxfId="10972" priority="13485" operator="containsText" text="Missing">
      <formula>NOT(ISERROR(SEARCH("Missing",H91)))</formula>
    </cfRule>
  </conditionalFormatting>
  <conditionalFormatting sqref="I97:K97 I95:K95">
    <cfRule type="containsText" dxfId="10971" priority="13480" operator="containsText" text="Missing">
      <formula>NOT(ISERROR(SEARCH("Missing",I95)))</formula>
    </cfRule>
  </conditionalFormatting>
  <conditionalFormatting sqref="H99">
    <cfRule type="containsText" dxfId="10970" priority="13475" operator="containsText" text="Missing">
      <formula>NOT(ISERROR(SEARCH("Missing",H99)))</formula>
    </cfRule>
  </conditionalFormatting>
  <conditionalFormatting sqref="I99:K99 J100:K100">
    <cfRule type="containsText" dxfId="10969" priority="13476" operator="containsText" text="Missing">
      <formula>NOT(ISERROR(SEARCH("Missing",I99)))</formula>
    </cfRule>
  </conditionalFormatting>
  <conditionalFormatting sqref="H95 H97">
    <cfRule type="containsText" dxfId="10968" priority="13477" operator="containsText" text="Missing">
      <formula>NOT(ISERROR(SEARCH("Missing",H95)))</formula>
    </cfRule>
  </conditionalFormatting>
  <conditionalFormatting sqref="H100">
    <cfRule type="containsText" dxfId="10967" priority="13466" operator="containsText" text="Missing">
      <formula>NOT(ISERROR(SEARCH("Missing",H100)))</formula>
    </cfRule>
  </conditionalFormatting>
  <conditionalFormatting sqref="L117 L155 L177 M1:M2 M4:M14 L82:L88 L211 L300 L354 L315 L70 L143 L181:L188 L91 L328 L442:L449 L475 L220:L224">
    <cfRule type="containsText" dxfId="10966" priority="13483" operator="containsText" text="Positive">
      <formula>NOT(ISERROR(SEARCH("Positive",L1)))</formula>
    </cfRule>
    <cfRule type="containsText" dxfId="10965" priority="13484" operator="containsText" text="Negative">
      <formula>NOT(ISERROR(SEARCH("Negative",L1)))</formula>
    </cfRule>
  </conditionalFormatting>
  <conditionalFormatting sqref="I102:K102 J103:K103">
    <cfRule type="containsText" dxfId="10964" priority="13474" operator="containsText" text="Missing">
      <formula>NOT(ISERROR(SEARCH("Missing",I102)))</formula>
    </cfRule>
  </conditionalFormatting>
  <conditionalFormatting sqref="H102">
    <cfRule type="containsText" dxfId="10963" priority="13473" operator="containsText" text="Missing">
      <formula>NOT(ISERROR(SEARCH("Missing",H102)))</formula>
    </cfRule>
  </conditionalFormatting>
  <conditionalFormatting sqref="H103">
    <cfRule type="containsText" dxfId="10962" priority="13465" operator="containsText" text="Missing">
      <formula>NOT(ISERROR(SEARCH("Missing",H103)))</formula>
    </cfRule>
  </conditionalFormatting>
  <conditionalFormatting sqref="J98:K98">
    <cfRule type="containsText" dxfId="10961" priority="13452" operator="containsText" text="Missing">
      <formula>NOT(ISERROR(SEARCH("Missing",J98)))</formula>
    </cfRule>
  </conditionalFormatting>
  <conditionalFormatting sqref="I98">
    <cfRule type="containsText" dxfId="10960" priority="13448" operator="containsText" text="Missing">
      <formula>NOT(ISERROR(SEARCH("Missing",I98)))</formula>
    </cfRule>
  </conditionalFormatting>
  <conditionalFormatting sqref="H96">
    <cfRule type="containsText" dxfId="10959" priority="13453" operator="containsText" text="Missing">
      <formula>NOT(ISERROR(SEARCH("Missing",H96)))</formula>
    </cfRule>
  </conditionalFormatting>
  <conditionalFormatting sqref="H101">
    <cfRule type="containsText" dxfId="10958" priority="13444" operator="containsText" text="Missing">
      <formula>NOT(ISERROR(SEARCH("Missing",H101)))</formula>
    </cfRule>
  </conditionalFormatting>
  <conditionalFormatting sqref="J101:K101">
    <cfRule type="containsText" dxfId="10957" priority="13447" operator="containsText" text="Missing">
      <formula>NOT(ISERROR(SEARCH("Missing",J101)))</formula>
    </cfRule>
  </conditionalFormatting>
  <conditionalFormatting sqref="I101">
    <cfRule type="containsText" dxfId="10956" priority="13443" operator="containsText" text="Missing">
      <formula>NOT(ISERROR(SEARCH("Missing",I101)))</formula>
    </cfRule>
  </conditionalFormatting>
  <conditionalFormatting sqref="H161">
    <cfRule type="containsText" dxfId="10955" priority="13406" operator="containsText" text="Missing">
      <formula>NOT(ISERROR(SEARCH("Missing",H161)))</formula>
    </cfRule>
  </conditionalFormatting>
  <conditionalFormatting sqref="H160">
    <cfRule type="containsText" dxfId="10954" priority="13410" operator="containsText" text="Missing">
      <formula>NOT(ISERROR(SEARCH("Missing",H160)))</formula>
    </cfRule>
  </conditionalFormatting>
  <conditionalFormatting sqref="H159">
    <cfRule type="containsText" dxfId="10953" priority="13418" operator="containsText" text="Missing">
      <formula>NOT(ISERROR(SEARCH("Missing",H159)))</formula>
    </cfRule>
  </conditionalFormatting>
  <conditionalFormatting sqref="J161:K161">
    <cfRule type="containsText" dxfId="10952" priority="13409" operator="containsText" text="Missing">
      <formula>NOT(ISERROR(SEARCH("Missing",J161)))</formula>
    </cfRule>
  </conditionalFormatting>
  <conditionalFormatting sqref="J160:K160">
    <cfRule type="containsText" dxfId="10951" priority="13413" operator="containsText" text="Missing">
      <formula>NOT(ISERROR(SEARCH("Missing",J160)))</formula>
    </cfRule>
  </conditionalFormatting>
  <conditionalFormatting sqref="J163:K163">
    <cfRule type="containsText" dxfId="10950" priority="13405" operator="containsText" text="Missing">
      <formula>NOT(ISERROR(SEARCH("Missing",J163)))</formula>
    </cfRule>
  </conditionalFormatting>
  <conditionalFormatting sqref="L163">
    <cfRule type="containsText" dxfId="10949" priority="13403" operator="containsText" text="Positive">
      <formula>NOT(ISERROR(SEARCH("Positive",L163)))</formula>
    </cfRule>
    <cfRule type="containsText" dxfId="10948" priority="13404" operator="containsText" text="Negative">
      <formula>NOT(ISERROR(SEARCH("Negative",L163)))</formula>
    </cfRule>
  </conditionalFormatting>
  <conditionalFormatting sqref="J171:K171 I174">
    <cfRule type="containsText" dxfId="10947" priority="13385" operator="containsText" text="Missing">
      <formula>NOT(ISERROR(SEARCH("Missing",I171)))</formula>
    </cfRule>
  </conditionalFormatting>
  <conditionalFormatting sqref="J174:K174">
    <cfRule type="containsText" dxfId="10946" priority="13373" operator="containsText" text="Missing">
      <formula>NOT(ISERROR(SEARCH("Missing",J174)))</formula>
    </cfRule>
  </conditionalFormatting>
  <conditionalFormatting sqref="H174">
    <cfRule type="containsText" dxfId="10945" priority="13370" operator="containsText" text="Missing">
      <formula>NOT(ISERROR(SEARCH("Missing",H174)))</formula>
    </cfRule>
  </conditionalFormatting>
  <conditionalFormatting sqref="H108">
    <cfRule type="containsText" dxfId="10944" priority="13398" operator="containsText" text="Missing">
      <formula>NOT(ISERROR(SEARCH("Missing",H108)))</formula>
    </cfRule>
  </conditionalFormatting>
  <conditionalFormatting sqref="J166:K167">
    <cfRule type="containsText" dxfId="10943" priority="13430" operator="containsText" text="Missing">
      <formula>NOT(ISERROR(SEARCH("Missing",J166)))</formula>
    </cfRule>
  </conditionalFormatting>
  <conditionalFormatting sqref="L92:L93">
    <cfRule type="containsText" dxfId="10942" priority="13481" operator="containsText" text="Positive">
      <formula>NOT(ISERROR(SEARCH("Positive",L92)))</formula>
    </cfRule>
    <cfRule type="containsText" dxfId="10941" priority="13482" operator="containsText" text="Negative">
      <formula>NOT(ISERROR(SEARCH("Negative",L92)))</formula>
    </cfRule>
  </conditionalFormatting>
  <conditionalFormatting sqref="H166:H167">
    <cfRule type="containsText" dxfId="10940" priority="13429" operator="containsText" text="Missing">
      <formula>NOT(ISERROR(SEARCH("Missing",H166)))</formula>
    </cfRule>
  </conditionalFormatting>
  <conditionalFormatting sqref="H164">
    <cfRule type="containsText" dxfId="10939" priority="13431" operator="containsText" text="Missing">
      <formula>NOT(ISERROR(SEARCH("Missing",H164)))</formula>
    </cfRule>
  </conditionalFormatting>
  <conditionalFormatting sqref="H165">
    <cfRule type="containsText" dxfId="10938" priority="13426" operator="containsText" text="Missing">
      <formula>NOT(ISERROR(SEARCH("Missing",H165)))</formula>
    </cfRule>
  </conditionalFormatting>
  <conditionalFormatting sqref="H162">
    <cfRule type="containsText" dxfId="10937" priority="13433" operator="containsText" text="Missing">
      <formula>NOT(ISERROR(SEARCH("Missing",H162)))</formula>
    </cfRule>
  </conditionalFormatting>
  <conditionalFormatting sqref="H104:H105">
    <cfRule type="containsText" dxfId="10936" priority="13471" operator="containsText" text="Missing">
      <formula>NOT(ISERROR(SEARCH("Missing",H104)))</formula>
    </cfRule>
  </conditionalFormatting>
  <conditionalFormatting sqref="L95 L97">
    <cfRule type="containsText" dxfId="10935" priority="13478" operator="containsText" text="Positive">
      <formula>NOT(ISERROR(SEARCH("Positive",L95)))</formula>
    </cfRule>
    <cfRule type="containsText" dxfId="10934" priority="13479" operator="containsText" text="Negative">
      <formula>NOT(ISERROR(SEARCH("Negative",L95)))</formula>
    </cfRule>
  </conditionalFormatting>
  <conditionalFormatting sqref="L104">
    <cfRule type="containsText" dxfId="10933" priority="13469" operator="containsText" text="Positive">
      <formula>NOT(ISERROR(SEARCH("Positive",L104)))</formula>
    </cfRule>
    <cfRule type="containsText" dxfId="10932" priority="13470" operator="containsText" text="Negative">
      <formula>NOT(ISERROR(SEARCH("Negative",L104)))</formula>
    </cfRule>
  </conditionalFormatting>
  <conditionalFormatting sqref="L102">
    <cfRule type="containsText" dxfId="10931" priority="13459" operator="containsText" text="Positive">
      <formula>NOT(ISERROR(SEARCH("Positive",L102)))</formula>
    </cfRule>
    <cfRule type="containsText" dxfId="10930" priority="13460" operator="containsText" text="Negative">
      <formula>NOT(ISERROR(SEARCH("Negative",L102)))</formula>
    </cfRule>
  </conditionalFormatting>
  <conditionalFormatting sqref="I104:K104 J105:K105">
    <cfRule type="containsText" dxfId="10929" priority="13472" operator="containsText" text="Missing">
      <formula>NOT(ISERROR(SEARCH("Missing",I104)))</formula>
    </cfRule>
  </conditionalFormatting>
  <conditionalFormatting sqref="I100">
    <cfRule type="containsText" dxfId="10928" priority="13468" operator="containsText" text="Missing">
      <formula>NOT(ISERROR(SEARCH("Missing",I100)))</formula>
    </cfRule>
  </conditionalFormatting>
  <conditionalFormatting sqref="I103">
    <cfRule type="containsText" dxfId="10927" priority="13467" operator="containsText" text="Missing">
      <formula>NOT(ISERROR(SEARCH("Missing",I103)))</formula>
    </cfRule>
  </conditionalFormatting>
  <conditionalFormatting sqref="L99">
    <cfRule type="containsText" dxfId="10926" priority="13463" operator="containsText" text="Positive">
      <formula>NOT(ISERROR(SEARCH("Positive",L99)))</formula>
    </cfRule>
    <cfRule type="containsText" dxfId="10925" priority="13464" operator="containsText" text="Negative">
      <formula>NOT(ISERROR(SEARCH("Negative",L99)))</formula>
    </cfRule>
  </conditionalFormatting>
  <conditionalFormatting sqref="L100">
    <cfRule type="containsText" dxfId="10924" priority="13461" operator="containsText" text="Positive">
      <formula>NOT(ISERROR(SEARCH("Positive",L100)))</formula>
    </cfRule>
    <cfRule type="containsText" dxfId="10923" priority="13462" operator="containsText" text="Negative">
      <formula>NOT(ISERROR(SEARCH("Negative",L100)))</formula>
    </cfRule>
  </conditionalFormatting>
  <conditionalFormatting sqref="L103">
    <cfRule type="containsText" dxfId="10922" priority="13457" operator="containsText" text="Positive">
      <formula>NOT(ISERROR(SEARCH("Positive",L103)))</formula>
    </cfRule>
    <cfRule type="containsText" dxfId="10921" priority="13458" operator="containsText" text="Negative">
      <formula>NOT(ISERROR(SEARCH("Negative",L103)))</formula>
    </cfRule>
  </conditionalFormatting>
  <conditionalFormatting sqref="L96">
    <cfRule type="containsText" dxfId="10920" priority="13454" operator="containsText" text="Positive">
      <formula>NOT(ISERROR(SEARCH("Positive",L96)))</formula>
    </cfRule>
    <cfRule type="containsText" dxfId="10919" priority="13455" operator="containsText" text="Negative">
      <formula>NOT(ISERROR(SEARCH("Negative",L96)))</formula>
    </cfRule>
  </conditionalFormatting>
  <conditionalFormatting sqref="I96:K96">
    <cfRule type="containsText" dxfId="10918" priority="13456" operator="containsText" text="Missing">
      <formula>NOT(ISERROR(SEARCH("Missing",I96)))</formula>
    </cfRule>
  </conditionalFormatting>
  <conditionalFormatting sqref="L98">
    <cfRule type="containsText" dxfId="10917" priority="13450" operator="containsText" text="Positive">
      <formula>NOT(ISERROR(SEARCH("Positive",L98)))</formula>
    </cfRule>
    <cfRule type="containsText" dxfId="10916" priority="13451" operator="containsText" text="Negative">
      <formula>NOT(ISERROR(SEARCH("Negative",L98)))</formula>
    </cfRule>
  </conditionalFormatting>
  <conditionalFormatting sqref="H98">
    <cfRule type="containsText" dxfId="10915" priority="13449" operator="containsText" text="Missing">
      <formula>NOT(ISERROR(SEARCH("Missing",H98)))</formula>
    </cfRule>
  </conditionalFormatting>
  <conditionalFormatting sqref="L101">
    <cfRule type="containsText" dxfId="10914" priority="13445" operator="containsText" text="Positive">
      <formula>NOT(ISERROR(SEARCH("Positive",L101)))</formula>
    </cfRule>
    <cfRule type="containsText" dxfId="10913" priority="13446" operator="containsText" text="Negative">
      <formula>NOT(ISERROR(SEARCH("Negative",L101)))</formula>
    </cfRule>
  </conditionalFormatting>
  <conditionalFormatting sqref="L106">
    <cfRule type="containsText" dxfId="10912" priority="13439" operator="containsText" text="Positive">
      <formula>NOT(ISERROR(SEARCH("Positive",L106)))</formula>
    </cfRule>
    <cfRule type="containsText" dxfId="10911" priority="13440" operator="containsText" text="Negative">
      <formula>NOT(ISERROR(SEARCH("Negative",L106)))</formula>
    </cfRule>
  </conditionalFormatting>
  <conditionalFormatting sqref="H106">
    <cfRule type="containsText" dxfId="10910" priority="13441" operator="containsText" text="Missing">
      <formula>NOT(ISERROR(SEARCH("Missing",H106)))</formula>
    </cfRule>
  </conditionalFormatting>
  <conditionalFormatting sqref="I106:K106">
    <cfRule type="containsText" dxfId="10909" priority="13442" operator="containsText" text="Missing">
      <formula>NOT(ISERROR(SEARCH("Missing",I106)))</formula>
    </cfRule>
  </conditionalFormatting>
  <conditionalFormatting sqref="L162">
    <cfRule type="containsText" dxfId="10908" priority="13434" operator="containsText" text="Positive">
      <formula>NOT(ISERROR(SEARCH("Positive",L162)))</formula>
    </cfRule>
    <cfRule type="containsText" dxfId="10907" priority="13435" operator="containsText" text="Negative">
      <formula>NOT(ISERROR(SEARCH("Negative",L162)))</formula>
    </cfRule>
  </conditionalFormatting>
  <conditionalFormatting sqref="J162:K162">
    <cfRule type="containsText" dxfId="10906" priority="13436" operator="containsText" text="Missing">
      <formula>NOT(ISERROR(SEARCH("Missing",J162)))</formula>
    </cfRule>
  </conditionalFormatting>
  <conditionalFormatting sqref="L166">
    <cfRule type="containsText" dxfId="10905" priority="13427" operator="containsText" text="Positive">
      <formula>NOT(ISERROR(SEARCH("Positive",L166)))</formula>
    </cfRule>
    <cfRule type="containsText" dxfId="10904" priority="13428" operator="containsText" text="Negative">
      <formula>NOT(ISERROR(SEARCH("Negative",L166)))</formula>
    </cfRule>
  </conditionalFormatting>
  <conditionalFormatting sqref="J165:K165 J164">
    <cfRule type="containsText" dxfId="10903" priority="13432" operator="containsText" text="Missing">
      <formula>NOT(ISERROR(SEARCH("Missing",J164)))</formula>
    </cfRule>
  </conditionalFormatting>
  <conditionalFormatting sqref="H113">
    <cfRule type="containsText" dxfId="10902" priority="13388" operator="containsText" text="Missing">
      <formula>NOT(ISERROR(SEARCH("Missing",H113)))</formula>
    </cfRule>
  </conditionalFormatting>
  <conditionalFormatting sqref="L164">
    <cfRule type="containsText" dxfId="10901" priority="13424" operator="containsText" text="Positive">
      <formula>NOT(ISERROR(SEARCH("Positive",L164)))</formula>
    </cfRule>
    <cfRule type="containsText" dxfId="10900" priority="13425" operator="containsText" text="Negative">
      <formula>NOT(ISERROR(SEARCH("Negative",L164)))</formula>
    </cfRule>
  </conditionalFormatting>
  <conditionalFormatting sqref="L165">
    <cfRule type="containsText" dxfId="10899" priority="13422" operator="containsText" text="Positive">
      <formula>NOT(ISERROR(SEARCH("Positive",L165)))</formula>
    </cfRule>
    <cfRule type="containsText" dxfId="10898" priority="13423" operator="containsText" text="Negative">
      <formula>NOT(ISERROR(SEARCH("Negative",L165)))</formula>
    </cfRule>
  </conditionalFormatting>
  <conditionalFormatting sqref="L159">
    <cfRule type="containsText" dxfId="10897" priority="13419" operator="containsText" text="Positive">
      <formula>NOT(ISERROR(SEARCH("Positive",L159)))</formula>
    </cfRule>
    <cfRule type="containsText" dxfId="10896" priority="13420" operator="containsText" text="Negative">
      <formula>NOT(ISERROR(SEARCH("Negative",L159)))</formula>
    </cfRule>
  </conditionalFormatting>
  <conditionalFormatting sqref="J159:K159">
    <cfRule type="containsText" dxfId="10895" priority="13421" operator="containsText" text="Missing">
      <formula>NOT(ISERROR(SEARCH("Missing",J159)))</formula>
    </cfRule>
  </conditionalFormatting>
  <conditionalFormatting sqref="L169">
    <cfRule type="containsText" dxfId="10894" priority="13414" operator="containsText" text="Positive">
      <formula>NOT(ISERROR(SEARCH("Positive",L169)))</formula>
    </cfRule>
    <cfRule type="containsText" dxfId="10893" priority="13415" operator="containsText" text="Negative">
      <formula>NOT(ISERROR(SEARCH("Negative",L169)))</formula>
    </cfRule>
  </conditionalFormatting>
  <conditionalFormatting sqref="H169">
    <cfRule type="containsText" dxfId="10892" priority="13416" operator="containsText" text="Missing">
      <formula>NOT(ISERROR(SEARCH("Missing",H169)))</formula>
    </cfRule>
  </conditionalFormatting>
  <conditionalFormatting sqref="J169:K169">
    <cfRule type="containsText" dxfId="10891" priority="13417" operator="containsText" text="Missing">
      <formula>NOT(ISERROR(SEARCH("Missing",J169)))</formula>
    </cfRule>
  </conditionalFormatting>
  <conditionalFormatting sqref="L161">
    <cfRule type="containsText" dxfId="10890" priority="13407" operator="containsText" text="Positive">
      <formula>NOT(ISERROR(SEARCH("Positive",L161)))</formula>
    </cfRule>
    <cfRule type="containsText" dxfId="10889" priority="13408" operator="containsText" text="Negative">
      <formula>NOT(ISERROR(SEARCH("Negative",L161)))</formula>
    </cfRule>
  </conditionalFormatting>
  <conditionalFormatting sqref="L160">
    <cfRule type="containsText" dxfId="10888" priority="13411" operator="containsText" text="Positive">
      <formula>NOT(ISERROR(SEARCH("Positive",L160)))</formula>
    </cfRule>
    <cfRule type="containsText" dxfId="10887" priority="13412" operator="containsText" text="Negative">
      <formula>NOT(ISERROR(SEARCH("Negative",L160)))</formula>
    </cfRule>
  </conditionalFormatting>
  <conditionalFormatting sqref="H171">
    <cfRule type="containsText" dxfId="10886" priority="13384" operator="containsText" text="Missing">
      <formula>NOT(ISERROR(SEARCH("Missing",H171)))</formula>
    </cfRule>
  </conditionalFormatting>
  <conditionalFormatting sqref="H163">
    <cfRule type="containsText" dxfId="10885" priority="13402" operator="containsText" text="Missing">
      <formula>NOT(ISERROR(SEARCH("Missing",H163)))</formula>
    </cfRule>
  </conditionalFormatting>
  <conditionalFormatting sqref="H172">
    <cfRule type="containsText" dxfId="10884" priority="13380" operator="containsText" text="Missing">
      <formula>NOT(ISERROR(SEARCH("Missing",H172)))</formula>
    </cfRule>
  </conditionalFormatting>
  <conditionalFormatting sqref="H173">
    <cfRule type="containsText" dxfId="10883" priority="13376" operator="containsText" text="Missing">
      <formula>NOT(ISERROR(SEARCH("Missing",H173)))</formula>
    </cfRule>
  </conditionalFormatting>
  <conditionalFormatting sqref="J173:K173">
    <cfRule type="containsText" dxfId="10882" priority="13377" operator="containsText" text="Missing">
      <formula>NOT(ISERROR(SEARCH("Missing",J173)))</formula>
    </cfRule>
  </conditionalFormatting>
  <conditionalFormatting sqref="J168:K168">
    <cfRule type="containsText" dxfId="10881" priority="13369" operator="containsText" text="Missing">
      <formula>NOT(ISERROR(SEARCH("Missing",J168)))</formula>
    </cfRule>
  </conditionalFormatting>
  <conditionalFormatting sqref="H109">
    <cfRule type="containsText" dxfId="10880" priority="13396" operator="containsText" text="Missing">
      <formula>NOT(ISERROR(SEARCH("Missing",H109)))</formula>
    </cfRule>
  </conditionalFormatting>
  <conditionalFormatting sqref="H111">
    <cfRule type="containsText" dxfId="10879" priority="13392" operator="containsText" text="Missing">
      <formula>NOT(ISERROR(SEARCH("Missing",H111)))</formula>
    </cfRule>
  </conditionalFormatting>
  <conditionalFormatting sqref="I112">
    <cfRule type="containsText" dxfId="10878" priority="13387" operator="containsText" text="Missing">
      <formula>NOT(ISERROR(SEARCH("Missing",I112)))</formula>
    </cfRule>
  </conditionalFormatting>
  <conditionalFormatting sqref="L171">
    <cfRule type="containsText" dxfId="10877" priority="13382" operator="containsText" text="Positive">
      <formula>NOT(ISERROR(SEARCH("Positive",L171)))</formula>
    </cfRule>
    <cfRule type="containsText" dxfId="10876" priority="13383" operator="containsText" text="Negative">
      <formula>NOT(ISERROR(SEARCH("Negative",L171)))</formula>
    </cfRule>
  </conditionalFormatting>
  <conditionalFormatting sqref="L156:L157">
    <cfRule type="containsText" dxfId="10875" priority="13437" operator="containsText" text="Positive">
      <formula>NOT(ISERROR(SEARCH("Positive",L156)))</formula>
    </cfRule>
    <cfRule type="containsText" dxfId="10874" priority="13438" operator="containsText" text="Negative">
      <formula>NOT(ISERROR(SEARCH("Negative",L156)))</formula>
    </cfRule>
  </conditionalFormatting>
  <conditionalFormatting sqref="J172:K172">
    <cfRule type="containsText" dxfId="10873" priority="13381" operator="containsText" text="Missing">
      <formula>NOT(ISERROR(SEARCH("Missing",J172)))</formula>
    </cfRule>
  </conditionalFormatting>
  <conditionalFormatting sqref="L16:L17">
    <cfRule type="containsText" dxfId="10872" priority="13400" operator="containsText" text="Positive">
      <formula>NOT(ISERROR(SEARCH("Positive",L16)))</formula>
    </cfRule>
    <cfRule type="containsText" dxfId="10871" priority="13401" operator="containsText" text="Negative">
      <formula>NOT(ISERROR(SEARCH("Negative",L16)))</formula>
    </cfRule>
  </conditionalFormatting>
  <conditionalFormatting sqref="H168">
    <cfRule type="containsText" dxfId="10870" priority="13368" operator="containsText" text="Missing">
      <formula>NOT(ISERROR(SEARCH("Missing",H168)))</formula>
    </cfRule>
  </conditionalFormatting>
  <conditionalFormatting sqref="I110:K110">
    <cfRule type="containsText" dxfId="10869" priority="13395" operator="containsText" text="Missing">
      <formula>NOT(ISERROR(SEARCH("Missing",I110)))</formula>
    </cfRule>
  </conditionalFormatting>
  <conditionalFormatting sqref="I109:K109">
    <cfRule type="containsText" dxfId="10868" priority="13397" operator="containsText" text="Missing">
      <formula>NOT(ISERROR(SEARCH("Missing",I109)))</formula>
    </cfRule>
  </conditionalFormatting>
  <conditionalFormatting sqref="I108:K108">
    <cfRule type="containsText" dxfId="10867" priority="13399" operator="containsText" text="Missing">
      <formula>NOT(ISERROR(SEARCH("Missing",I108)))</formula>
    </cfRule>
  </conditionalFormatting>
  <conditionalFormatting sqref="I111:K111">
    <cfRule type="containsText" dxfId="10866" priority="13393" operator="containsText" text="Missing">
      <formula>NOT(ISERROR(SEARCH("Missing",I111)))</formula>
    </cfRule>
  </conditionalFormatting>
  <conditionalFormatting sqref="L174">
    <cfRule type="containsText" dxfId="10865" priority="13371" operator="containsText" text="Positive">
      <formula>NOT(ISERROR(SEARCH("Positive",L174)))</formula>
    </cfRule>
    <cfRule type="containsText" dxfId="10864" priority="13372" operator="containsText" text="Negative">
      <formula>NOT(ISERROR(SEARCH("Negative",L174)))</formula>
    </cfRule>
  </conditionalFormatting>
  <conditionalFormatting sqref="I4:K4 H15:K15 I5:I7">
    <cfRule type="containsText" dxfId="10863" priority="13363" operator="containsText" text="Missing">
      <formula>NOT(ISERROR(SEARCH("Missing",H4)))</formula>
    </cfRule>
  </conditionalFormatting>
  <conditionalFormatting sqref="I5:K5">
    <cfRule type="containsText" dxfId="10862" priority="13360" operator="containsText" text="Missing">
      <formula>NOT(ISERROR(SEARCH("Missing",I5)))</formula>
    </cfRule>
  </conditionalFormatting>
  <conditionalFormatting sqref="L6">
    <cfRule type="containsText" dxfId="10861" priority="13355" operator="containsText" text="Positive">
      <formula>NOT(ISERROR(SEARCH("Positive",L6)))</formula>
    </cfRule>
    <cfRule type="containsText" dxfId="10860" priority="13356" operator="containsText" text="Negative">
      <formula>NOT(ISERROR(SEARCH("Negative",L6)))</formula>
    </cfRule>
  </conditionalFormatting>
  <conditionalFormatting sqref="I7:K7">
    <cfRule type="containsText" dxfId="10859" priority="13354" operator="containsText" text="Missing">
      <formula>NOT(ISERROR(SEARCH("Missing",I7)))</formula>
    </cfRule>
  </conditionalFormatting>
  <conditionalFormatting sqref="L7">
    <cfRule type="containsText" dxfId="10858" priority="13352" operator="containsText" text="Positive">
      <formula>NOT(ISERROR(SEARCH("Positive",L7)))</formula>
    </cfRule>
    <cfRule type="containsText" dxfId="10857" priority="13353" operator="containsText" text="Negative">
      <formula>NOT(ISERROR(SEARCH("Negative",L7)))</formula>
    </cfRule>
  </conditionalFormatting>
  <conditionalFormatting sqref="L8">
    <cfRule type="containsText" dxfId="10856" priority="13348" operator="containsText" text="Positive">
      <formula>NOT(ISERROR(SEARCH("Positive",L8)))</formula>
    </cfRule>
    <cfRule type="containsText" dxfId="10855" priority="13349" operator="containsText" text="Negative">
      <formula>NOT(ISERROR(SEARCH("Negative",L8)))</formula>
    </cfRule>
  </conditionalFormatting>
  <conditionalFormatting sqref="J9:K9">
    <cfRule type="containsText" dxfId="10854" priority="13347" operator="containsText" text="Missing">
      <formula>NOT(ISERROR(SEARCH("Missing",J9)))</formula>
    </cfRule>
  </conditionalFormatting>
  <conditionalFormatting sqref="I10:K10">
    <cfRule type="containsText" dxfId="10853" priority="13343" operator="containsText" text="Missing">
      <formula>NOT(ISERROR(SEARCH("Missing",I10)))</formula>
    </cfRule>
  </conditionalFormatting>
  <conditionalFormatting sqref="L12">
    <cfRule type="containsText" dxfId="10852" priority="13335" operator="containsText" text="Positive">
      <formula>NOT(ISERROR(SEARCH("Positive",L12)))</formula>
    </cfRule>
    <cfRule type="containsText" dxfId="10851" priority="13336" operator="containsText" text="Negative">
      <formula>NOT(ISERROR(SEARCH("Negative",L12)))</formula>
    </cfRule>
  </conditionalFormatting>
  <conditionalFormatting sqref="I12:K12">
    <cfRule type="containsText" dxfId="10850" priority="13337" operator="containsText" text="Missing">
      <formula>NOT(ISERROR(SEARCH("Missing",I12)))</formula>
    </cfRule>
  </conditionalFormatting>
  <conditionalFormatting sqref="I13:K13">
    <cfRule type="containsText" dxfId="10849" priority="13334" operator="containsText" text="Missing">
      <formula>NOT(ISERROR(SEARCH("Missing",I13)))</formula>
    </cfRule>
  </conditionalFormatting>
  <conditionalFormatting sqref="J43:K43">
    <cfRule type="containsText" dxfId="10848" priority="13316" operator="containsText" text="Missing">
      <formula>NOT(ISERROR(SEARCH("Missing",J43)))</formula>
    </cfRule>
  </conditionalFormatting>
  <conditionalFormatting sqref="H43">
    <cfRule type="containsText" dxfId="10847" priority="13313" operator="containsText" text="Missing">
      <formula>NOT(ISERROR(SEARCH("Missing",H43)))</formula>
    </cfRule>
  </conditionalFormatting>
  <conditionalFormatting sqref="L42:L43 L19:L22 L27:L28">
    <cfRule type="containsText" dxfId="10846" priority="13314" operator="containsText" text="Positive">
      <formula>NOT(ISERROR(SEARCH("Positive",L19)))</formula>
    </cfRule>
    <cfRule type="containsText" dxfId="10845" priority="13315" operator="containsText" text="Negative">
      <formula>NOT(ISERROR(SEARCH("Negative",L19)))</formula>
    </cfRule>
  </conditionalFormatting>
  <conditionalFormatting sqref="J54:K54">
    <cfRule type="containsText" dxfId="10844" priority="13299" operator="containsText" text="Missing">
      <formula>NOT(ISERROR(SEARCH("Missing",J54)))</formula>
    </cfRule>
  </conditionalFormatting>
  <conditionalFormatting sqref="H110">
    <cfRule type="containsText" dxfId="10843" priority="13394" operator="containsText" text="Missing">
      <formula>NOT(ISERROR(SEARCH("Missing",H110)))</formula>
    </cfRule>
  </conditionalFormatting>
  <conditionalFormatting sqref="H53">
    <cfRule type="containsText" dxfId="10842" priority="13283" operator="containsText" text="Missing">
      <formula>NOT(ISERROR(SEARCH("Missing",H53)))</formula>
    </cfRule>
  </conditionalFormatting>
  <conditionalFormatting sqref="I8:K8">
    <cfRule type="containsText" dxfId="10841" priority="13350" operator="containsText" text="Missing">
      <formula>NOT(ISERROR(SEARCH("Missing",I8)))</formula>
    </cfRule>
  </conditionalFormatting>
  <conditionalFormatting sqref="J113:K114">
    <cfRule type="containsText" dxfId="10840" priority="13390" operator="containsText" text="Missing">
      <formula>NOT(ISERROR(SEARCH("Missing",J113)))</formula>
    </cfRule>
  </conditionalFormatting>
  <conditionalFormatting sqref="J112:K112">
    <cfRule type="containsText" dxfId="10839" priority="13391" operator="containsText" text="Missing">
      <formula>NOT(ISERROR(SEARCH("Missing",J112)))</formula>
    </cfRule>
  </conditionalFormatting>
  <conditionalFormatting sqref="H112">
    <cfRule type="containsText" dxfId="10838" priority="13389" operator="containsText" text="Missing">
      <formula>NOT(ISERROR(SEARCH("Missing",H112)))</formula>
    </cfRule>
  </conditionalFormatting>
  <conditionalFormatting sqref="I113">
    <cfRule type="containsText" dxfId="10837" priority="13386" operator="containsText" text="Missing">
      <formula>NOT(ISERROR(SEARCH("Missing",I113)))</formula>
    </cfRule>
  </conditionalFormatting>
  <conditionalFormatting sqref="H60">
    <cfRule type="containsText" dxfId="10836" priority="13256" operator="containsText" text="Missing">
      <formula>NOT(ISERROR(SEARCH("Missing",H60)))</formula>
    </cfRule>
  </conditionalFormatting>
  <conditionalFormatting sqref="L172">
    <cfRule type="containsText" dxfId="10835" priority="13378" operator="containsText" text="Positive">
      <formula>NOT(ISERROR(SEARCH("Positive",L172)))</formula>
    </cfRule>
    <cfRule type="containsText" dxfId="10834" priority="13379" operator="containsText" text="Negative">
      <formula>NOT(ISERROR(SEARCH("Negative",L172)))</formula>
    </cfRule>
  </conditionalFormatting>
  <conditionalFormatting sqref="L173">
    <cfRule type="containsText" dxfId="10833" priority="13374" operator="containsText" text="Positive">
      <formula>NOT(ISERROR(SEARCH("Positive",L173)))</formula>
    </cfRule>
    <cfRule type="containsText" dxfId="10832" priority="13375" operator="containsText" text="Negative">
      <formula>NOT(ISERROR(SEARCH("Negative",L173)))</formula>
    </cfRule>
  </conditionalFormatting>
  <conditionalFormatting sqref="J48:K49">
    <cfRule type="containsText" dxfId="10831" priority="13312" operator="containsText" text="Missing">
      <formula>NOT(ISERROR(SEARCH("Missing",J48)))</formula>
    </cfRule>
  </conditionalFormatting>
  <conditionalFormatting sqref="L168">
    <cfRule type="containsText" dxfId="10830" priority="13366" operator="containsText" text="Positive">
      <formula>NOT(ISERROR(SEARCH("Positive",L168)))</formula>
    </cfRule>
    <cfRule type="containsText" dxfId="10829" priority="13367" operator="containsText" text="Negative">
      <formula>NOT(ISERROR(SEARCH("Negative",L168)))</formula>
    </cfRule>
  </conditionalFormatting>
  <conditionalFormatting sqref="L118:L119">
    <cfRule type="containsText" dxfId="10828" priority="13364" operator="containsText" text="Positive">
      <formula>NOT(ISERROR(SEARCH("Positive",L118)))</formula>
    </cfRule>
    <cfRule type="containsText" dxfId="10827" priority="13365" operator="containsText" text="Negative">
      <formula>NOT(ISERROR(SEARCH("Negative",L118)))</formula>
    </cfRule>
  </conditionalFormatting>
  <conditionalFormatting sqref="J53:K53">
    <cfRule type="containsText" dxfId="10826" priority="13302" operator="containsText" text="Missing">
      <formula>NOT(ISERROR(SEARCH("Missing",J53)))</formula>
    </cfRule>
  </conditionalFormatting>
  <conditionalFormatting sqref="J55:K55">
    <cfRule type="containsText" dxfId="10825" priority="13296" operator="containsText" text="Missing">
      <formula>NOT(ISERROR(SEARCH("Missing",J55)))</formula>
    </cfRule>
  </conditionalFormatting>
  <conditionalFormatting sqref="I6:K6">
    <cfRule type="containsText" dxfId="10824" priority="13357" operator="containsText" text="Missing">
      <formula>NOT(ISERROR(SEARCH("Missing",I6)))</formula>
    </cfRule>
  </conditionalFormatting>
  <conditionalFormatting sqref="I8">
    <cfRule type="containsText" dxfId="10823" priority="13351" operator="containsText" text="Missing">
      <formula>NOT(ISERROR(SEARCH("Missing",I8)))</formula>
    </cfRule>
  </conditionalFormatting>
  <conditionalFormatting sqref="L9">
    <cfRule type="containsText" dxfId="10822" priority="13345" operator="containsText" text="Positive">
      <formula>NOT(ISERROR(SEARCH("Positive",L9)))</formula>
    </cfRule>
    <cfRule type="containsText" dxfId="10821" priority="13346" operator="containsText" text="Negative">
      <formula>NOT(ISERROR(SEARCH("Negative",L9)))</formula>
    </cfRule>
  </conditionalFormatting>
  <conditionalFormatting sqref="I10">
    <cfRule type="containsText" dxfId="10820" priority="13344" operator="containsText" text="Missing">
      <formula>NOT(ISERROR(SEARCH("Missing",I10)))</formula>
    </cfRule>
  </conditionalFormatting>
  <conditionalFormatting sqref="I11:K11 I12:I14">
    <cfRule type="containsText" dxfId="10819" priority="13340" operator="containsText" text="Missing">
      <formula>NOT(ISERROR(SEARCH("Missing",I11)))</formula>
    </cfRule>
  </conditionalFormatting>
  <conditionalFormatting sqref="I9">
    <cfRule type="containsText" dxfId="10818" priority="13328" operator="containsText" text="Missing">
      <formula>NOT(ISERROR(SEARCH("Missing",I9)))</formula>
    </cfRule>
  </conditionalFormatting>
  <conditionalFormatting sqref="I14:K14">
    <cfRule type="containsText" dxfId="10817" priority="13331" operator="containsText" text="Missing">
      <formula>NOT(ISERROR(SEARCH("Missing",I14)))</formula>
    </cfRule>
  </conditionalFormatting>
  <conditionalFormatting sqref="H22 J22:K22">
    <cfRule type="containsText" dxfId="10816" priority="13320" operator="containsText" text="Missing">
      <formula>NOT(ISERROR(SEARCH("Missing",H22)))</formula>
    </cfRule>
  </conditionalFormatting>
  <conditionalFormatting sqref="I19 I21">
    <cfRule type="containsText" dxfId="10815" priority="13220" operator="containsText" text="Missing">
      <formula>NOT(ISERROR(SEARCH("Missing",I19)))</formula>
    </cfRule>
  </conditionalFormatting>
  <conditionalFormatting sqref="I27">
    <cfRule type="containsText" dxfId="10814" priority="13219" operator="containsText" text="Missing">
      <formula>NOT(ISERROR(SEARCH("Missing",I27)))</formula>
    </cfRule>
  </conditionalFormatting>
  <conditionalFormatting sqref="I50">
    <cfRule type="containsText" dxfId="10813" priority="13215" operator="containsText" text="Missing">
      <formula>NOT(ISERROR(SEARCH("Missing",I50)))</formula>
    </cfRule>
  </conditionalFormatting>
  <conditionalFormatting sqref="I22">
    <cfRule type="containsText" dxfId="10812" priority="13218" operator="containsText" text="Missing">
      <formula>NOT(ISERROR(SEARCH("Missing",I22)))</formula>
    </cfRule>
  </conditionalFormatting>
  <conditionalFormatting sqref="I78">
    <cfRule type="containsText" dxfId="10811" priority="13205" operator="containsText" text="Missing">
      <formula>NOT(ISERROR(SEARCH("Missing",I78)))</formula>
    </cfRule>
  </conditionalFormatting>
  <conditionalFormatting sqref="I54">
    <cfRule type="containsText" dxfId="10810" priority="13211" operator="containsText" text="Missing">
      <formula>NOT(ISERROR(SEARCH("Missing",I54)))</formula>
    </cfRule>
  </conditionalFormatting>
  <conditionalFormatting sqref="I55">
    <cfRule type="containsText" dxfId="10809" priority="13210" operator="containsText" text="Missing">
      <formula>NOT(ISERROR(SEARCH("Missing",I55)))</formula>
    </cfRule>
  </conditionalFormatting>
  <conditionalFormatting sqref="I80">
    <cfRule type="containsText" dxfId="10808" priority="13203" operator="containsText" text="Missing">
      <formula>NOT(ISERROR(SEARCH("Missing",I80)))</formula>
    </cfRule>
  </conditionalFormatting>
  <conditionalFormatting sqref="I79">
    <cfRule type="containsText" dxfId="10807" priority="13204" operator="containsText" text="Missing">
      <formula>NOT(ISERROR(SEARCH("Missing",I79)))</formula>
    </cfRule>
  </conditionalFormatting>
  <conditionalFormatting sqref="I42">
    <cfRule type="containsText" dxfId="10806" priority="13217" operator="containsText" text="Missing">
      <formula>NOT(ISERROR(SEARCH("Missing",I42)))</formula>
    </cfRule>
  </conditionalFormatting>
  <conditionalFormatting sqref="I43">
    <cfRule type="containsText" dxfId="10805" priority="13216" operator="containsText" text="Missing">
      <formula>NOT(ISERROR(SEARCH("Missing",I43)))</formula>
    </cfRule>
  </conditionalFormatting>
  <conditionalFormatting sqref="I52:I53">
    <cfRule type="containsText" dxfId="10804" priority="13214" operator="containsText" text="Missing">
      <formula>NOT(ISERROR(SEARCH("Missing",I52)))</formula>
    </cfRule>
  </conditionalFormatting>
  <conditionalFormatting sqref="I53">
    <cfRule type="containsText" dxfId="10803" priority="13213" operator="containsText" text="Missing">
      <formula>NOT(ISERROR(SEARCH("Missing",I53)))</formula>
    </cfRule>
  </conditionalFormatting>
  <conditionalFormatting sqref="I75">
    <cfRule type="containsText" dxfId="10802" priority="13206" operator="containsText" text="Missing">
      <formula>NOT(ISERROR(SEARCH("Missing",I75)))</formula>
    </cfRule>
  </conditionalFormatting>
  <conditionalFormatting sqref="L1:L2 L4 L15">
    <cfRule type="containsText" dxfId="10801" priority="13361" operator="containsText" text="Positive">
      <formula>NOT(ISERROR(SEARCH("Positive",L1)))</formula>
    </cfRule>
    <cfRule type="containsText" dxfId="10800" priority="13362" operator="containsText" text="Negative">
      <formula>NOT(ISERROR(SEARCH("Negative",L1)))</formula>
    </cfRule>
  </conditionalFormatting>
  <conditionalFormatting sqref="L5">
    <cfRule type="containsText" dxfId="10799" priority="13358" operator="containsText" text="Positive">
      <formula>NOT(ISERROR(SEARCH("Positive",L5)))</formula>
    </cfRule>
    <cfRule type="containsText" dxfId="10798" priority="13359" operator="containsText" text="Negative">
      <formula>NOT(ISERROR(SEARCH("Negative",L5)))</formula>
    </cfRule>
  </conditionalFormatting>
  <conditionalFormatting sqref="H57">
    <cfRule type="containsText" dxfId="10797" priority="13284" operator="containsText" text="Missing">
      <formula>NOT(ISERROR(SEARCH("Missing",H57)))</formula>
    </cfRule>
  </conditionalFormatting>
  <conditionalFormatting sqref="L10">
    <cfRule type="containsText" dxfId="10796" priority="13341" operator="containsText" text="Positive">
      <formula>NOT(ISERROR(SEARCH("Positive",L10)))</formula>
    </cfRule>
    <cfRule type="containsText" dxfId="10795" priority="13342" operator="containsText" text="Negative">
      <formula>NOT(ISERROR(SEARCH("Negative",L10)))</formula>
    </cfRule>
  </conditionalFormatting>
  <conditionalFormatting sqref="L11">
    <cfRule type="containsText" dxfId="10794" priority="13338" operator="containsText" text="Positive">
      <formula>NOT(ISERROR(SEARCH("Positive",L11)))</formula>
    </cfRule>
    <cfRule type="containsText" dxfId="10793" priority="13339" operator="containsText" text="Negative">
      <formula>NOT(ISERROR(SEARCH("Negative",L11)))</formula>
    </cfRule>
  </conditionalFormatting>
  <conditionalFormatting sqref="L13">
    <cfRule type="containsText" dxfId="10792" priority="13332" operator="containsText" text="Positive">
      <formula>NOT(ISERROR(SEARCH("Positive",L13)))</formula>
    </cfRule>
    <cfRule type="containsText" dxfId="10791" priority="13333" operator="containsText" text="Negative">
      <formula>NOT(ISERROR(SEARCH("Negative",L13)))</formula>
    </cfRule>
  </conditionalFormatting>
  <conditionalFormatting sqref="L14">
    <cfRule type="containsText" dxfId="10790" priority="13329" operator="containsText" text="Positive">
      <formula>NOT(ISERROR(SEARCH("Positive",L14)))</formula>
    </cfRule>
    <cfRule type="containsText" dxfId="10789" priority="13330" operator="containsText" text="Negative">
      <formula>NOT(ISERROR(SEARCH("Negative",L14)))</formula>
    </cfRule>
  </conditionalFormatting>
  <conditionalFormatting sqref="J27:K27">
    <cfRule type="containsText" dxfId="10788" priority="13324" operator="containsText" text="Missing">
      <formula>NOT(ISERROR(SEARCH("Missing",J27)))</formula>
    </cfRule>
  </conditionalFormatting>
  <conditionalFormatting sqref="H42">
    <cfRule type="containsText" dxfId="10787" priority="13318" operator="containsText" text="Missing">
      <formula>NOT(ISERROR(SEARCH("Missing",H42)))</formula>
    </cfRule>
  </conditionalFormatting>
  <conditionalFormatting sqref="H28">
    <cfRule type="containsText" dxfId="10786" priority="13323" operator="containsText" text="Missing">
      <formula>NOT(ISERROR(SEARCH("Missing",H28)))</formula>
    </cfRule>
  </conditionalFormatting>
  <conditionalFormatting sqref="H27">
    <cfRule type="containsText" dxfId="10785" priority="13325" operator="containsText" text="Missing">
      <formula>NOT(ISERROR(SEARCH("Missing",H27)))</formula>
    </cfRule>
  </conditionalFormatting>
  <conditionalFormatting sqref="H25 J25:K25">
    <cfRule type="containsText" dxfId="10784" priority="13326" operator="containsText" text="Missing">
      <formula>NOT(ISERROR(SEARCH("Missing",H25)))</formula>
    </cfRule>
  </conditionalFormatting>
  <conditionalFormatting sqref="H20 J20:K20">
    <cfRule type="containsText" dxfId="10783" priority="13321" operator="containsText" text="Missing">
      <formula>NOT(ISERROR(SEARCH("Missing",H20)))</formula>
    </cfRule>
  </conditionalFormatting>
  <conditionalFormatting sqref="J42:K42">
    <cfRule type="containsText" dxfId="10782" priority="13317" operator="containsText" text="Missing">
      <formula>NOT(ISERROR(SEARCH("Missing",J42)))</formula>
    </cfRule>
  </conditionalFormatting>
  <conditionalFormatting sqref="H52">
    <cfRule type="containsText" dxfId="10781" priority="13282" operator="containsText" text="Missing">
      <formula>NOT(ISERROR(SEARCH("Missing",H52)))</formula>
    </cfRule>
  </conditionalFormatting>
  <conditionalFormatting sqref="L52">
    <cfRule type="containsText" dxfId="10780" priority="13303" operator="containsText" text="Positive">
      <formula>NOT(ISERROR(SEARCH("Positive",L52)))</formula>
    </cfRule>
    <cfRule type="containsText" dxfId="10779" priority="13304" operator="containsText" text="Negative">
      <formula>NOT(ISERROR(SEARCH("Negative",L52)))</formula>
    </cfRule>
  </conditionalFormatting>
  <conditionalFormatting sqref="J50:K50">
    <cfRule type="containsText" dxfId="10778" priority="13311" operator="containsText" text="Missing">
      <formula>NOT(ISERROR(SEARCH("Missing",J50)))</formula>
    </cfRule>
  </conditionalFormatting>
  <conditionalFormatting sqref="J52:K52">
    <cfRule type="containsText" dxfId="10777" priority="13305" operator="containsText" text="Missing">
      <formula>NOT(ISERROR(SEARCH("Missing",J52)))</formula>
    </cfRule>
  </conditionalFormatting>
  <conditionalFormatting sqref="J51:K51">
    <cfRule type="containsText" dxfId="10776" priority="13308" operator="containsText" text="Missing">
      <formula>NOT(ISERROR(SEARCH("Missing",J51)))</formula>
    </cfRule>
  </conditionalFormatting>
  <conditionalFormatting sqref="J28:K28">
    <cfRule type="containsText" dxfId="10775" priority="13322" operator="containsText" text="Missing">
      <formula>NOT(ISERROR(SEARCH("Missing",J28)))</formula>
    </cfRule>
  </conditionalFormatting>
  <conditionalFormatting sqref="H19 H21 J21:K21 J19:K19">
    <cfRule type="containsText" dxfId="10774" priority="13327" operator="containsText" text="Missing">
      <formula>NOT(ISERROR(SEARCH("Missing",H19)))</formula>
    </cfRule>
  </conditionalFormatting>
  <conditionalFormatting sqref="J26:K26">
    <cfRule type="containsText" dxfId="10773" priority="13319" operator="containsText" text="Missing">
      <formula>NOT(ISERROR(SEARCH("Missing",J26)))</formula>
    </cfRule>
  </conditionalFormatting>
  <conditionalFormatting sqref="H75">
    <cfRule type="containsText" dxfId="10772" priority="13274" operator="containsText" text="Missing">
      <formula>NOT(ISERROR(SEARCH("Missing",H75)))</formula>
    </cfRule>
  </conditionalFormatting>
  <conditionalFormatting sqref="L51">
    <cfRule type="containsText" dxfId="10771" priority="13306" operator="containsText" text="Positive">
      <formula>NOT(ISERROR(SEARCH("Positive",L51)))</formula>
    </cfRule>
    <cfRule type="containsText" dxfId="10770" priority="13307" operator="containsText" text="Negative">
      <formula>NOT(ISERROR(SEARCH("Negative",L51)))</formula>
    </cfRule>
  </conditionalFormatting>
  <conditionalFormatting sqref="L54">
    <cfRule type="containsText" dxfId="10769" priority="13297" operator="containsText" text="Positive">
      <formula>NOT(ISERROR(SEARCH("Positive",L54)))</formula>
    </cfRule>
    <cfRule type="containsText" dxfId="10768" priority="13298" operator="containsText" text="Negative">
      <formula>NOT(ISERROR(SEARCH("Negative",L54)))</formula>
    </cfRule>
  </conditionalFormatting>
  <conditionalFormatting sqref="J67:K67 J66">
    <cfRule type="containsText" dxfId="10767" priority="13251" operator="containsText" text="Missing">
      <formula>NOT(ISERROR(SEARCH("Missing",J66)))</formula>
    </cfRule>
  </conditionalFormatting>
  <conditionalFormatting sqref="H55">
    <cfRule type="containsText" dxfId="10766" priority="13286" operator="containsText" text="Missing">
      <formula>NOT(ISERROR(SEARCH("Missing",H55)))</formula>
    </cfRule>
  </conditionalFormatting>
  <conditionalFormatting sqref="H56">
    <cfRule type="containsText" dxfId="10765" priority="13285" operator="containsText" text="Missing">
      <formula>NOT(ISERROR(SEARCH("Missing",H56)))</formula>
    </cfRule>
  </conditionalFormatting>
  <conditionalFormatting sqref="J57:K57">
    <cfRule type="containsText" dxfId="10764" priority="13290" operator="containsText" text="Missing">
      <formula>NOT(ISERROR(SEARCH("Missing",J57)))</formula>
    </cfRule>
  </conditionalFormatting>
  <conditionalFormatting sqref="L53">
    <cfRule type="containsText" dxfId="10763" priority="13300" operator="containsText" text="Positive">
      <formula>NOT(ISERROR(SEARCH("Positive",L53)))</formula>
    </cfRule>
    <cfRule type="containsText" dxfId="10762" priority="13301" operator="containsText" text="Negative">
      <formula>NOT(ISERROR(SEARCH("Negative",L53)))</formula>
    </cfRule>
  </conditionalFormatting>
  <conditionalFormatting sqref="J56:K56">
    <cfRule type="containsText" dxfId="10761" priority="13293" operator="containsText" text="Missing">
      <formula>NOT(ISERROR(SEARCH("Missing",J56)))</formula>
    </cfRule>
  </conditionalFormatting>
  <conditionalFormatting sqref="H76:H77">
    <cfRule type="containsText" dxfId="10760" priority="13270" operator="containsText" text="Missing">
      <formula>NOT(ISERROR(SEARCH("Missing",H76)))</formula>
    </cfRule>
  </conditionalFormatting>
  <conditionalFormatting sqref="J76:K77">
    <cfRule type="containsText" dxfId="10759" priority="13271" operator="containsText" text="Missing">
      <formula>NOT(ISERROR(SEARCH("Missing",J76)))</formula>
    </cfRule>
  </conditionalFormatting>
  <conditionalFormatting sqref="J79:K79">
    <cfRule type="containsText" dxfId="10758" priority="13243" operator="containsText" text="Missing">
      <formula>NOT(ISERROR(SEARCH("Missing",J79)))</formula>
    </cfRule>
  </conditionalFormatting>
  <conditionalFormatting sqref="H54">
    <cfRule type="containsText" dxfId="10757" priority="13287" operator="containsText" text="Missing">
      <formula>NOT(ISERROR(SEARCH("Missing",H54)))</formula>
    </cfRule>
  </conditionalFormatting>
  <conditionalFormatting sqref="L50">
    <cfRule type="containsText" dxfId="10756" priority="13309" operator="containsText" text="Positive">
      <formula>NOT(ISERROR(SEARCH("Positive",L50)))</formula>
    </cfRule>
    <cfRule type="containsText" dxfId="10755" priority="13310" operator="containsText" text="Negative">
      <formula>NOT(ISERROR(SEARCH("Negative",L50)))</formula>
    </cfRule>
  </conditionalFormatting>
  <conditionalFormatting sqref="L75">
    <cfRule type="containsText" dxfId="10754" priority="13272" operator="containsText" text="Positive">
      <formula>NOT(ISERROR(SEARCH("Positive",L75)))</formula>
    </cfRule>
    <cfRule type="containsText" dxfId="10753" priority="13273" operator="containsText" text="Negative">
      <formula>NOT(ISERROR(SEARCH("Negative",L75)))</formula>
    </cfRule>
  </conditionalFormatting>
  <conditionalFormatting sqref="L55">
    <cfRule type="containsText" dxfId="10752" priority="13294" operator="containsText" text="Positive">
      <formula>NOT(ISERROR(SEARCH("Positive",L55)))</formula>
    </cfRule>
    <cfRule type="containsText" dxfId="10751" priority="13295" operator="containsText" text="Negative">
      <formula>NOT(ISERROR(SEARCH("Negative",L55)))</formula>
    </cfRule>
  </conditionalFormatting>
  <conditionalFormatting sqref="L57">
    <cfRule type="containsText" dxfId="10750" priority="13288" operator="containsText" text="Positive">
      <formula>NOT(ISERROR(SEARCH("Positive",L57)))</formula>
    </cfRule>
    <cfRule type="containsText" dxfId="10749" priority="13289" operator="containsText" text="Negative">
      <formula>NOT(ISERROR(SEARCH("Negative",L57)))</formula>
    </cfRule>
  </conditionalFormatting>
  <conditionalFormatting sqref="H50">
    <cfRule type="containsText" dxfId="10748" priority="13281" operator="containsText" text="Missing">
      <formula>NOT(ISERROR(SEARCH("Missing",H50)))</formula>
    </cfRule>
  </conditionalFormatting>
  <conditionalFormatting sqref="H51">
    <cfRule type="containsText" dxfId="10747" priority="13280" operator="containsText" text="Missing">
      <formula>NOT(ISERROR(SEARCH("Missing",H51)))</formula>
    </cfRule>
  </conditionalFormatting>
  <conditionalFormatting sqref="L56">
    <cfRule type="containsText" dxfId="10746" priority="13291" operator="containsText" text="Positive">
      <formula>NOT(ISERROR(SEARCH("Positive",L56)))</formula>
    </cfRule>
    <cfRule type="containsText" dxfId="10745" priority="13292" operator="containsText" text="Negative">
      <formula>NOT(ISERROR(SEARCH("Negative",L56)))</formula>
    </cfRule>
  </conditionalFormatting>
  <conditionalFormatting sqref="J74:K74">
    <cfRule type="containsText" dxfId="10744" priority="13279" operator="containsText" text="Missing">
      <formula>NOT(ISERROR(SEARCH("Missing",J74)))</formula>
    </cfRule>
  </conditionalFormatting>
  <conditionalFormatting sqref="H74">
    <cfRule type="containsText" dxfId="10743" priority="13276" operator="containsText" text="Missing">
      <formula>NOT(ISERROR(SEARCH("Missing",H74)))</formula>
    </cfRule>
  </conditionalFormatting>
  <conditionalFormatting sqref="L74">
    <cfRule type="containsText" dxfId="10742" priority="13277" operator="containsText" text="Positive">
      <formula>NOT(ISERROR(SEARCH("Positive",L74)))</formula>
    </cfRule>
    <cfRule type="containsText" dxfId="10741" priority="13278" operator="containsText" text="Negative">
      <formula>NOT(ISERROR(SEARCH("Negative",L74)))</formula>
    </cfRule>
  </conditionalFormatting>
  <conditionalFormatting sqref="J75:K75">
    <cfRule type="containsText" dxfId="10740" priority="13275" operator="containsText" text="Missing">
      <formula>NOT(ISERROR(SEARCH("Missing",J75)))</formula>
    </cfRule>
  </conditionalFormatting>
  <conditionalFormatting sqref="H78">
    <cfRule type="containsText" dxfId="10739" priority="13246" operator="containsText" text="Missing">
      <formula>NOT(ISERROR(SEARCH("Missing",H78)))</formula>
    </cfRule>
  </conditionalFormatting>
  <conditionalFormatting sqref="L80">
    <cfRule type="containsText" dxfId="10738" priority="13237" operator="containsText" text="Positive">
      <formula>NOT(ISERROR(SEARCH("Positive",L80)))</formula>
    </cfRule>
    <cfRule type="containsText" dxfId="10737" priority="13238" operator="containsText" text="Negative">
      <formula>NOT(ISERROR(SEARCH("Negative",L80)))</formula>
    </cfRule>
  </conditionalFormatting>
  <conditionalFormatting sqref="J31:K32">
    <cfRule type="containsText" dxfId="10736" priority="13261" operator="containsText" text="Missing">
      <formula>NOT(ISERROR(SEARCH("Missing",J31)))</formula>
    </cfRule>
  </conditionalFormatting>
  <conditionalFormatting sqref="H58:H59">
    <cfRule type="containsText" dxfId="10735" priority="13258" operator="containsText" text="Missing">
      <formula>NOT(ISERROR(SEARCH("Missing",H58)))</formula>
    </cfRule>
  </conditionalFormatting>
  <conditionalFormatting sqref="J29:K30">
    <cfRule type="containsText" dxfId="10734" priority="13269" operator="containsText" text="Missing">
      <formula>NOT(ISERROR(SEARCH("Missing",J29)))</formula>
    </cfRule>
  </conditionalFormatting>
  <conditionalFormatting sqref="L29">
    <cfRule type="containsText" dxfId="10733" priority="13266" operator="containsText" text="Positive">
      <formula>NOT(ISERROR(SEARCH("Positive",L29)))</formula>
    </cfRule>
    <cfRule type="containsText" dxfId="10732" priority="13267" operator="containsText" text="Negative">
      <formula>NOT(ISERROR(SEARCH("Negative",L29)))</formula>
    </cfRule>
  </conditionalFormatting>
  <conditionalFormatting sqref="H68">
    <cfRule type="containsText" dxfId="10731" priority="13248" operator="containsText" text="Missing">
      <formula>NOT(ISERROR(SEARCH("Missing",H68)))</formula>
    </cfRule>
  </conditionalFormatting>
  <conditionalFormatting sqref="L34">
    <cfRule type="containsText" dxfId="10730" priority="13262" operator="containsText" text="Positive">
      <formula>NOT(ISERROR(SEARCH("Positive",L34)))</formula>
    </cfRule>
    <cfRule type="containsText" dxfId="10729" priority="13263" operator="containsText" text="Negative">
      <formula>NOT(ISERROR(SEARCH("Negative",L34)))</formula>
    </cfRule>
  </conditionalFormatting>
  <conditionalFormatting sqref="H64">
    <cfRule type="containsText" dxfId="10728" priority="13252" operator="containsText" text="Missing">
      <formula>NOT(ISERROR(SEARCH("Missing",H64)))</formula>
    </cfRule>
  </conditionalFormatting>
  <conditionalFormatting sqref="H29">
    <cfRule type="containsText" dxfId="10727" priority="13268" operator="containsText" text="Missing">
      <formula>NOT(ISERROR(SEARCH("Missing",H29)))</formula>
    </cfRule>
  </conditionalFormatting>
  <conditionalFormatting sqref="H62">
    <cfRule type="containsText" dxfId="10726" priority="13254" operator="containsText" text="Missing">
      <formula>NOT(ISERROR(SEARCH("Missing",H62)))</formula>
    </cfRule>
  </conditionalFormatting>
  <conditionalFormatting sqref="H34">
    <cfRule type="containsText" dxfId="10725" priority="13264" operator="containsText" text="Missing">
      <formula>NOT(ISERROR(SEARCH("Missing",H34)))</formula>
    </cfRule>
  </conditionalFormatting>
  <conditionalFormatting sqref="H66">
    <cfRule type="containsText" dxfId="10724" priority="13250" operator="containsText" text="Missing">
      <formula>NOT(ISERROR(SEARCH("Missing",H66)))</formula>
    </cfRule>
  </conditionalFormatting>
  <conditionalFormatting sqref="J62:K63">
    <cfRule type="containsText" dxfId="10723" priority="13255" operator="containsText" text="Missing">
      <formula>NOT(ISERROR(SEARCH("Missing",J62)))</formula>
    </cfRule>
  </conditionalFormatting>
  <conditionalFormatting sqref="J35:K35 J34">
    <cfRule type="containsText" dxfId="10722" priority="13265" operator="containsText" text="Missing">
      <formula>NOT(ISERROR(SEARCH("Missing",J34)))</formula>
    </cfRule>
  </conditionalFormatting>
  <conditionalFormatting sqref="H31">
    <cfRule type="containsText" dxfId="10721" priority="13260" operator="containsText" text="Missing">
      <formula>NOT(ISERROR(SEARCH("Missing",H31)))</formula>
    </cfRule>
  </conditionalFormatting>
  <conditionalFormatting sqref="J64:K65">
    <cfRule type="containsText" dxfId="10720" priority="13253" operator="containsText" text="Missing">
      <formula>NOT(ISERROR(SEARCH("Missing",J64)))</formula>
    </cfRule>
  </conditionalFormatting>
  <conditionalFormatting sqref="J58:K59">
    <cfRule type="containsText" dxfId="10719" priority="13259" operator="containsText" text="Missing">
      <formula>NOT(ISERROR(SEARCH("Missing",J58)))</formula>
    </cfRule>
  </conditionalFormatting>
  <conditionalFormatting sqref="J60:K61">
    <cfRule type="containsText" dxfId="10718" priority="13257" operator="containsText" text="Missing">
      <formula>NOT(ISERROR(SEARCH("Missing",J60)))</formula>
    </cfRule>
  </conditionalFormatting>
  <conditionalFormatting sqref="J69:K69 J68">
    <cfRule type="containsText" dxfId="10717" priority="13249" operator="containsText" text="Missing">
      <formula>NOT(ISERROR(SEARCH("Missing",J68)))</formula>
    </cfRule>
  </conditionalFormatting>
  <conditionalFormatting sqref="L72:L73">
    <cfRule type="containsText" dxfId="10716" priority="13221" operator="containsText" text="Positive">
      <formula>NOT(ISERROR(SEARCH("Positive",L72)))</formula>
    </cfRule>
    <cfRule type="containsText" dxfId="10715" priority="13222" operator="containsText" text="Negative">
      <formula>NOT(ISERROR(SEARCH("Negative",L72)))</formula>
    </cfRule>
  </conditionalFormatting>
  <conditionalFormatting sqref="L78">
    <cfRule type="containsText" dxfId="10714" priority="13244" operator="containsText" text="Positive">
      <formula>NOT(ISERROR(SEARCH("Positive",L78)))</formula>
    </cfRule>
    <cfRule type="containsText" dxfId="10713" priority="13245" operator="containsText" text="Negative">
      <formula>NOT(ISERROR(SEARCH("Negative",L78)))</formula>
    </cfRule>
  </conditionalFormatting>
  <conditionalFormatting sqref="J78:K78">
    <cfRule type="containsText" dxfId="10712" priority="13247" operator="containsText" text="Missing">
      <formula>NOT(ISERROR(SEARCH("Missing",J78)))</formula>
    </cfRule>
  </conditionalFormatting>
  <conditionalFormatting sqref="L79">
    <cfRule type="containsText" dxfId="10711" priority="13241" operator="containsText" text="Positive">
      <formula>NOT(ISERROR(SEARCH("Positive",L79)))</formula>
    </cfRule>
    <cfRule type="containsText" dxfId="10710" priority="13242" operator="containsText" text="Negative">
      <formula>NOT(ISERROR(SEARCH("Negative",L79)))</formula>
    </cfRule>
  </conditionalFormatting>
  <conditionalFormatting sqref="H80">
    <cfRule type="containsText" dxfId="10709" priority="13239" operator="containsText" text="Missing">
      <formula>NOT(ISERROR(SEARCH("Missing",H80)))</formula>
    </cfRule>
  </conditionalFormatting>
  <conditionalFormatting sqref="J80:K80">
    <cfRule type="containsText" dxfId="10708" priority="13240" operator="containsText" text="Missing">
      <formula>NOT(ISERROR(SEARCH("Missing",J80)))</formula>
    </cfRule>
  </conditionalFormatting>
  <conditionalFormatting sqref="H79">
    <cfRule type="containsText" dxfId="10707" priority="13236" operator="containsText" text="Missing">
      <formula>NOT(ISERROR(SEARCH("Missing",H79)))</formula>
    </cfRule>
  </conditionalFormatting>
  <conditionalFormatting sqref="J44:K45">
    <cfRule type="containsText" dxfId="10706" priority="13235" operator="containsText" text="Missing">
      <formula>NOT(ISERROR(SEARCH("Missing",J44)))</formula>
    </cfRule>
  </conditionalFormatting>
  <conditionalFormatting sqref="H44:H45">
    <cfRule type="containsText" dxfId="10705" priority="13232" operator="containsText" text="Missing">
      <formula>NOT(ISERROR(SEARCH("Missing",H44)))</formula>
    </cfRule>
  </conditionalFormatting>
  <conditionalFormatting sqref="L44:L45">
    <cfRule type="containsText" dxfId="10704" priority="13233" operator="containsText" text="Positive">
      <formula>NOT(ISERROR(SEARCH("Positive",L44)))</formula>
    </cfRule>
    <cfRule type="containsText" dxfId="10703" priority="13234" operator="containsText" text="Negative">
      <formula>NOT(ISERROR(SEARCH("Negative",L44)))</formula>
    </cfRule>
  </conditionalFormatting>
  <conditionalFormatting sqref="J33:K33">
    <cfRule type="containsText" dxfId="10702" priority="13231" operator="containsText" text="Missing">
      <formula>NOT(ISERROR(SEARCH("Missing",J33)))</formula>
    </cfRule>
  </conditionalFormatting>
  <conditionalFormatting sqref="L33">
    <cfRule type="containsText" dxfId="10701" priority="13229" operator="containsText" text="Positive">
      <formula>NOT(ISERROR(SEARCH("Positive",L33)))</formula>
    </cfRule>
    <cfRule type="containsText" dxfId="10700" priority="13230" operator="containsText" text="Negative">
      <formula>NOT(ISERROR(SEARCH("Negative",L33)))</formula>
    </cfRule>
  </conditionalFormatting>
  <conditionalFormatting sqref="J46:K46">
    <cfRule type="containsText" dxfId="10699" priority="13228" operator="containsText" text="Missing">
      <formula>NOT(ISERROR(SEARCH("Missing",J46)))</formula>
    </cfRule>
  </conditionalFormatting>
  <conditionalFormatting sqref="L46">
    <cfRule type="containsText" dxfId="10698" priority="13226" operator="containsText" text="Positive">
      <formula>NOT(ISERROR(SEARCH("Positive",L46)))</formula>
    </cfRule>
    <cfRule type="containsText" dxfId="10697" priority="13227" operator="containsText" text="Negative">
      <formula>NOT(ISERROR(SEARCH("Negative",L46)))</formula>
    </cfRule>
  </conditionalFormatting>
  <conditionalFormatting sqref="J47:K47">
    <cfRule type="containsText" dxfId="10696" priority="13225" operator="containsText" text="Missing">
      <formula>NOT(ISERROR(SEARCH("Missing",J47)))</formula>
    </cfRule>
  </conditionalFormatting>
  <conditionalFormatting sqref="L47">
    <cfRule type="containsText" dxfId="10695" priority="13223" operator="containsText" text="Positive">
      <formula>NOT(ISERROR(SEARCH("Positive",L47)))</formula>
    </cfRule>
    <cfRule type="containsText" dxfId="10694" priority="13224" operator="containsText" text="Negative">
      <formula>NOT(ISERROR(SEARCH("Negative",L47)))</formula>
    </cfRule>
  </conditionalFormatting>
  <conditionalFormatting sqref="H135">
    <cfRule type="containsText" dxfId="10693" priority="13166" operator="containsText" text="Missing">
      <formula>NOT(ISERROR(SEARCH("Missing",H135)))</formula>
    </cfRule>
  </conditionalFormatting>
  <conditionalFormatting sqref="H141">
    <cfRule type="containsText" dxfId="10692" priority="13163" operator="containsText" text="Missing">
      <formula>NOT(ISERROR(SEARCH("Missing",H141)))</formula>
    </cfRule>
  </conditionalFormatting>
  <conditionalFormatting sqref="H137">
    <cfRule type="containsText" dxfId="10691" priority="13165" operator="containsText" text="Missing">
      <formula>NOT(ISERROR(SEARCH("Missing",H137)))</formula>
    </cfRule>
  </conditionalFormatting>
  <conditionalFormatting sqref="H131">
    <cfRule type="containsText" dxfId="10690" priority="13168" operator="containsText" text="Missing">
      <formula>NOT(ISERROR(SEARCH("Missing",H131)))</formula>
    </cfRule>
  </conditionalFormatting>
  <conditionalFormatting sqref="H139">
    <cfRule type="containsText" dxfId="10689" priority="13164" operator="containsText" text="Missing">
      <formula>NOT(ISERROR(SEARCH("Missing",H139)))</formula>
    </cfRule>
  </conditionalFormatting>
  <conditionalFormatting sqref="H133">
    <cfRule type="containsText" dxfId="10688" priority="13167" operator="containsText" text="Missing">
      <formula>NOT(ISERROR(SEARCH("Missing",H133)))</formula>
    </cfRule>
  </conditionalFormatting>
  <conditionalFormatting sqref="I74">
    <cfRule type="containsText" dxfId="10687" priority="13207" operator="containsText" text="Missing">
      <formula>NOT(ISERROR(SEARCH("Missing",I74)))</formula>
    </cfRule>
  </conditionalFormatting>
  <conditionalFormatting sqref="I56">
    <cfRule type="containsText" dxfId="10686" priority="13209" operator="containsText" text="Missing">
      <formula>NOT(ISERROR(SEARCH("Missing",I56)))</formula>
    </cfRule>
  </conditionalFormatting>
  <conditionalFormatting sqref="I57">
    <cfRule type="containsText" dxfId="10685" priority="13208" operator="containsText" text="Missing">
      <formula>NOT(ISERROR(SEARCH("Missing",I57)))</formula>
    </cfRule>
  </conditionalFormatting>
  <conditionalFormatting sqref="I51">
    <cfRule type="containsText" dxfId="10684" priority="13212" operator="containsText" text="Missing">
      <formula>NOT(ISERROR(SEARCH("Missing",I51)))</formula>
    </cfRule>
  </conditionalFormatting>
  <conditionalFormatting sqref="I44">
    <cfRule type="containsText" dxfId="10683" priority="13200" operator="containsText" text="Missing">
      <formula>NOT(ISERROR(SEARCH("Missing",I44)))</formula>
    </cfRule>
  </conditionalFormatting>
  <conditionalFormatting sqref="I28">
    <cfRule type="containsText" dxfId="10682" priority="13202" operator="containsText" text="Missing">
      <formula>NOT(ISERROR(SEARCH("Missing",I28)))</formula>
    </cfRule>
  </conditionalFormatting>
  <conditionalFormatting sqref="H127">
    <cfRule type="containsText" dxfId="10681" priority="13176" operator="containsText" text="Missing">
      <formula>NOT(ISERROR(SEARCH("Missing",H127)))</formula>
    </cfRule>
  </conditionalFormatting>
  <conditionalFormatting sqref="I60">
    <cfRule type="containsText" dxfId="10680" priority="13198" operator="containsText" text="Missing">
      <formula>NOT(ISERROR(SEARCH("Missing",I60)))</formula>
    </cfRule>
  </conditionalFormatting>
  <conditionalFormatting sqref="I29:I30">
    <cfRule type="containsText" dxfId="10679" priority="13201" operator="containsText" text="Missing">
      <formula>NOT(ISERROR(SEARCH("Missing",I29)))</formula>
    </cfRule>
  </conditionalFormatting>
  <conditionalFormatting sqref="I58">
    <cfRule type="containsText" dxfId="10678" priority="13199" operator="containsText" text="Missing">
      <formula>NOT(ISERROR(SEARCH("Missing",I58)))</formula>
    </cfRule>
  </conditionalFormatting>
  <conditionalFormatting sqref="I33">
    <cfRule type="containsText" dxfId="10677" priority="13197" operator="containsText" text="Missing">
      <formula>NOT(ISERROR(SEARCH("Missing",I33)))</formula>
    </cfRule>
  </conditionalFormatting>
  <conditionalFormatting sqref="I46">
    <cfRule type="containsText" dxfId="10676" priority="13196" operator="containsText" text="Missing">
      <formula>NOT(ISERROR(SEARCH("Missing",I46)))</formula>
    </cfRule>
  </conditionalFormatting>
  <conditionalFormatting sqref="I47">
    <cfRule type="containsText" dxfId="10675" priority="13195" operator="containsText" text="Missing">
      <formula>NOT(ISERROR(SEARCH("Missing",I47)))</formula>
    </cfRule>
  </conditionalFormatting>
  <conditionalFormatting sqref="I72:I73">
    <cfRule type="containsText" dxfId="10674" priority="13194" operator="containsText" text="Missing">
      <formula>NOT(ISERROR(SEARCH("Missing",I72)))</formula>
    </cfRule>
  </conditionalFormatting>
  <conditionalFormatting sqref="I145:I146 I148:I152">
    <cfRule type="containsText" dxfId="10673" priority="13151" operator="containsText" text="Missing">
      <formula>NOT(ISERROR(SEARCH("Missing",I145)))</formula>
    </cfRule>
  </conditionalFormatting>
  <conditionalFormatting sqref="L127">
    <cfRule type="containsText" dxfId="10672" priority="13183" operator="containsText" text="Positive">
      <formula>NOT(ISERROR(SEARCH("Positive",L127)))</formula>
    </cfRule>
    <cfRule type="containsText" dxfId="10671" priority="13184" operator="containsText" text="Negative">
      <formula>NOT(ISERROR(SEARCH("Negative",L127)))</formula>
    </cfRule>
  </conditionalFormatting>
  <conditionalFormatting sqref="H130">
    <cfRule type="containsText" dxfId="10670" priority="13173" operator="containsText" text="Missing">
      <formula>NOT(ISERROR(SEARCH("Missing",H130)))</formula>
    </cfRule>
  </conditionalFormatting>
  <conditionalFormatting sqref="H123">
    <cfRule type="containsText" dxfId="10669" priority="13170" operator="containsText" text="Missing">
      <formula>NOT(ISERROR(SEARCH("Missing",H123)))</formula>
    </cfRule>
  </conditionalFormatting>
  <conditionalFormatting sqref="L124">
    <cfRule type="containsText" dxfId="10668" priority="13189" operator="containsText" text="Positive">
      <formula>NOT(ISERROR(SEARCH("Positive",L124)))</formula>
    </cfRule>
    <cfRule type="containsText" dxfId="10667" priority="13190" operator="containsText" text="Negative">
      <formula>NOT(ISERROR(SEARCH("Negative",L124)))</formula>
    </cfRule>
  </conditionalFormatting>
  <conditionalFormatting sqref="H121">
    <cfRule type="containsText" dxfId="10666" priority="13193" operator="containsText" text="Missing">
      <formula>NOT(ISERROR(SEARCH("Missing",H121)))</formula>
    </cfRule>
  </conditionalFormatting>
  <conditionalFormatting sqref="L123">
    <cfRule type="containsText" dxfId="10665" priority="13191" operator="containsText" text="Positive">
      <formula>NOT(ISERROR(SEARCH("Positive",L123)))</formula>
    </cfRule>
    <cfRule type="containsText" dxfId="10664" priority="13192" operator="containsText" text="Negative">
      <formula>NOT(ISERROR(SEARCH("Negative",L123)))</formula>
    </cfRule>
  </conditionalFormatting>
  <conditionalFormatting sqref="H126">
    <cfRule type="containsText" dxfId="10663" priority="13172" operator="containsText" text="Missing">
      <formula>NOT(ISERROR(SEARCH("Missing",H126)))</formula>
    </cfRule>
  </conditionalFormatting>
  <conditionalFormatting sqref="L126">
    <cfRule type="containsText" dxfId="10662" priority="13185" operator="containsText" text="Positive">
      <formula>NOT(ISERROR(SEARCH("Positive",L126)))</formula>
    </cfRule>
    <cfRule type="containsText" dxfId="10661" priority="13186" operator="containsText" text="Negative">
      <formula>NOT(ISERROR(SEARCH("Negative",L126)))</formula>
    </cfRule>
  </conditionalFormatting>
  <conditionalFormatting sqref="L128">
    <cfRule type="containsText" dxfId="10660" priority="13181" operator="containsText" text="Positive">
      <formula>NOT(ISERROR(SEARCH("Positive",L128)))</formula>
    </cfRule>
    <cfRule type="containsText" dxfId="10659" priority="13182" operator="containsText" text="Negative">
      <formula>NOT(ISERROR(SEARCH("Negative",L128)))</formula>
    </cfRule>
  </conditionalFormatting>
  <conditionalFormatting sqref="L125">
    <cfRule type="containsText" dxfId="10658" priority="13187" operator="containsText" text="Positive">
      <formula>NOT(ISERROR(SEARCH("Positive",L125)))</formula>
    </cfRule>
    <cfRule type="containsText" dxfId="10657" priority="13188" operator="containsText" text="Negative">
      <formula>NOT(ISERROR(SEARCH("Negative",L125)))</formula>
    </cfRule>
  </conditionalFormatting>
  <conditionalFormatting sqref="L130">
    <cfRule type="containsText" dxfId="10656" priority="13177" operator="containsText" text="Positive">
      <formula>NOT(ISERROR(SEARCH("Positive",L130)))</formula>
    </cfRule>
    <cfRule type="containsText" dxfId="10655" priority="13178" operator="containsText" text="Negative">
      <formula>NOT(ISERROR(SEARCH("Negative",L130)))</formula>
    </cfRule>
  </conditionalFormatting>
  <conditionalFormatting sqref="H124">
    <cfRule type="containsText" dxfId="10654" priority="13169" operator="containsText" text="Missing">
      <formula>NOT(ISERROR(SEARCH("Missing",H124)))</formula>
    </cfRule>
  </conditionalFormatting>
  <conditionalFormatting sqref="L129">
    <cfRule type="containsText" dxfId="10653" priority="13179" operator="containsText" text="Positive">
      <formula>NOT(ISERROR(SEARCH("Positive",L129)))</formula>
    </cfRule>
    <cfRule type="containsText" dxfId="10652" priority="13180" operator="containsText" text="Negative">
      <formula>NOT(ISERROR(SEARCH("Negative",L129)))</formula>
    </cfRule>
  </conditionalFormatting>
  <conditionalFormatting sqref="H128">
    <cfRule type="containsText" dxfId="10651" priority="13175" operator="containsText" text="Missing">
      <formula>NOT(ISERROR(SEARCH("Missing",H128)))</formula>
    </cfRule>
  </conditionalFormatting>
  <conditionalFormatting sqref="H129">
    <cfRule type="containsText" dxfId="10650" priority="13174" operator="containsText" text="Missing">
      <formula>NOT(ISERROR(SEARCH("Missing",H129)))</formula>
    </cfRule>
  </conditionalFormatting>
  <conditionalFormatting sqref="H125">
    <cfRule type="containsText" dxfId="10649" priority="13171" operator="containsText" text="Missing">
      <formula>NOT(ISERROR(SEARCH("Missing",H125)))</formula>
    </cfRule>
  </conditionalFormatting>
  <conditionalFormatting sqref="H145:H146 H148:H151">
    <cfRule type="containsText" dxfId="10648" priority="13162" operator="containsText" text="Missing">
      <formula>NOT(ISERROR(SEARCH("Missing",H145)))</formula>
    </cfRule>
  </conditionalFormatting>
  <conditionalFormatting sqref="L145:L146 L148:L152">
    <cfRule type="containsText" dxfId="10647" priority="13160" operator="containsText" text="Positive">
      <formula>NOT(ISERROR(SEARCH("Positive",L145)))</formula>
    </cfRule>
    <cfRule type="containsText" dxfId="10646" priority="13161" operator="containsText" text="Negative">
      <formula>NOT(ISERROR(SEARCH("Negative",L145)))</formula>
    </cfRule>
  </conditionalFormatting>
  <conditionalFormatting sqref="I123">
    <cfRule type="containsText" dxfId="10645" priority="13159" operator="containsText" text="Missing">
      <formula>NOT(ISERROR(SEARCH("Missing",I123)))</formula>
    </cfRule>
  </conditionalFormatting>
  <conditionalFormatting sqref="I126">
    <cfRule type="containsText" dxfId="10644" priority="13157" operator="containsText" text="Missing">
      <formula>NOT(ISERROR(SEARCH("Missing",I126)))</formula>
    </cfRule>
  </conditionalFormatting>
  <conditionalFormatting sqref="I125:I126">
    <cfRule type="containsText" dxfId="10643" priority="13158" operator="containsText" text="Missing">
      <formula>NOT(ISERROR(SEARCH("Missing",I125)))</formula>
    </cfRule>
  </conditionalFormatting>
  <conditionalFormatting sqref="I129">
    <cfRule type="containsText" dxfId="10642" priority="13153" operator="containsText" text="Missing">
      <formula>NOT(ISERROR(SEARCH("Missing",I129)))</formula>
    </cfRule>
  </conditionalFormatting>
  <conditionalFormatting sqref="I124">
    <cfRule type="containsText" dxfId="10641" priority="13156" operator="containsText" text="Missing">
      <formula>NOT(ISERROR(SEARCH("Missing",I124)))</formula>
    </cfRule>
  </conditionalFormatting>
  <conditionalFormatting sqref="I127">
    <cfRule type="containsText" dxfId="10640" priority="13155" operator="containsText" text="Missing">
      <formula>NOT(ISERROR(SEARCH("Missing",I127)))</formula>
    </cfRule>
  </conditionalFormatting>
  <conditionalFormatting sqref="I128">
    <cfRule type="containsText" dxfId="10639" priority="13154" operator="containsText" text="Missing">
      <formula>NOT(ISERROR(SEARCH("Missing",I128)))</formula>
    </cfRule>
  </conditionalFormatting>
  <conditionalFormatting sqref="I130">
    <cfRule type="containsText" dxfId="10638" priority="13152" operator="containsText" text="Missing">
      <formula>NOT(ISERROR(SEARCH("Missing",I130)))</formula>
    </cfRule>
  </conditionalFormatting>
  <conditionalFormatting sqref="H4">
    <cfRule type="containsText" dxfId="10637" priority="13150" operator="containsText" text="Missing">
      <formula>NOT(ISERROR(SEARCH("Missing",H4)))</formula>
    </cfRule>
  </conditionalFormatting>
  <conditionalFormatting sqref="H5">
    <cfRule type="containsText" dxfId="10636" priority="13149" operator="containsText" text="Missing">
      <formula>NOT(ISERROR(SEARCH("Missing",H5)))</formula>
    </cfRule>
  </conditionalFormatting>
  <conditionalFormatting sqref="H7">
    <cfRule type="containsText" dxfId="10635" priority="13147" operator="containsText" text="Missing">
      <formula>NOT(ISERROR(SEARCH("Missing",H7)))</formula>
    </cfRule>
  </conditionalFormatting>
  <conditionalFormatting sqref="H9">
    <cfRule type="containsText" dxfId="10634" priority="13145" operator="containsText" text="Missing">
      <formula>NOT(ISERROR(SEARCH("Missing",H9)))</formula>
    </cfRule>
  </conditionalFormatting>
  <conditionalFormatting sqref="H10">
    <cfRule type="containsText" dxfId="10633" priority="13144" operator="containsText" text="Missing">
      <formula>NOT(ISERROR(SEARCH("Missing",H10)))</formula>
    </cfRule>
  </conditionalFormatting>
  <conditionalFormatting sqref="H8">
    <cfRule type="containsText" dxfId="10632" priority="13146" operator="containsText" text="Missing">
      <formula>NOT(ISERROR(SEARCH("Missing",H8)))</formula>
    </cfRule>
  </conditionalFormatting>
  <conditionalFormatting sqref="H6">
    <cfRule type="containsText" dxfId="10631" priority="13148" operator="containsText" text="Missing">
      <formula>NOT(ISERROR(SEARCH("Missing",H6)))</formula>
    </cfRule>
  </conditionalFormatting>
  <conditionalFormatting sqref="H11">
    <cfRule type="containsText" dxfId="10630" priority="13143" operator="containsText" text="Missing">
      <formula>NOT(ISERROR(SEARCH("Missing",H11)))</formula>
    </cfRule>
  </conditionalFormatting>
  <conditionalFormatting sqref="H12">
    <cfRule type="containsText" dxfId="10629" priority="13142" operator="containsText" text="Missing">
      <formula>NOT(ISERROR(SEARCH("Missing",H12)))</formula>
    </cfRule>
  </conditionalFormatting>
  <conditionalFormatting sqref="H13">
    <cfRule type="containsText" dxfId="10628" priority="13141" operator="containsText" text="Missing">
      <formula>NOT(ISERROR(SEARCH("Missing",H13)))</formula>
    </cfRule>
  </conditionalFormatting>
  <conditionalFormatting sqref="H14">
    <cfRule type="containsText" dxfId="10627" priority="13140" operator="containsText" text="Missing">
      <formula>NOT(ISERROR(SEARCH("Missing",H14)))</formula>
    </cfRule>
  </conditionalFormatting>
  <conditionalFormatting sqref="I160">
    <cfRule type="containsText" dxfId="10626" priority="13134" operator="containsText" text="Missing">
      <formula>NOT(ISERROR(SEARCH("Missing",I160)))</formula>
    </cfRule>
  </conditionalFormatting>
  <conditionalFormatting sqref="I163">
    <cfRule type="containsText" dxfId="10625" priority="13133" operator="containsText" text="Missing">
      <formula>NOT(ISERROR(SEARCH("Missing",I163)))</formula>
    </cfRule>
  </conditionalFormatting>
  <conditionalFormatting sqref="I171:I173">
    <cfRule type="containsText" dxfId="10624" priority="13132" operator="containsText" text="Missing">
      <formula>NOT(ISERROR(SEARCH("Missing",I171)))</formula>
    </cfRule>
  </conditionalFormatting>
  <conditionalFormatting sqref="I167">
    <cfRule type="containsText" dxfId="10623" priority="13138" operator="containsText" text="Missing">
      <formula>NOT(ISERROR(SEARCH("Missing",I167)))</formula>
    </cfRule>
  </conditionalFormatting>
  <conditionalFormatting sqref="I162">
    <cfRule type="containsText" dxfId="10622" priority="13139" operator="containsText" text="Missing">
      <formula>NOT(ISERROR(SEARCH("Missing",I162)))</formula>
    </cfRule>
  </conditionalFormatting>
  <conditionalFormatting sqref="I165">
    <cfRule type="containsText" dxfId="10621" priority="13137" operator="containsText" text="Missing">
      <formula>NOT(ISERROR(SEARCH("Missing",I165)))</formula>
    </cfRule>
  </conditionalFormatting>
  <conditionalFormatting sqref="I159">
    <cfRule type="containsText" dxfId="10620" priority="13136" operator="containsText" text="Missing">
      <formula>NOT(ISERROR(SEARCH("Missing",I159)))</formula>
    </cfRule>
  </conditionalFormatting>
  <conditionalFormatting sqref="I169">
    <cfRule type="containsText" dxfId="10619" priority="13135" operator="containsText" text="Missing">
      <formula>NOT(ISERROR(SEARCH("Missing",I169)))</formula>
    </cfRule>
  </conditionalFormatting>
  <conditionalFormatting sqref="I168">
    <cfRule type="containsText" dxfId="10618" priority="13131" operator="containsText" text="Missing">
      <formula>NOT(ISERROR(SEARCH("Missing",I168)))</formula>
    </cfRule>
  </conditionalFormatting>
  <conditionalFormatting sqref="I161">
    <cfRule type="containsText" dxfId="10617" priority="13130" operator="containsText" text="Missing">
      <formula>NOT(ISERROR(SEARCH("Missing",I161)))</formula>
    </cfRule>
  </conditionalFormatting>
  <conditionalFormatting sqref="H33">
    <cfRule type="containsText" dxfId="10616" priority="13129" operator="containsText" text="Missing">
      <formula>NOT(ISERROR(SEARCH("Missing",H33)))</formula>
    </cfRule>
  </conditionalFormatting>
  <conditionalFormatting sqref="L178:L179">
    <cfRule type="containsText" dxfId="10615" priority="13127" operator="containsText" text="Positive">
      <formula>NOT(ISERROR(SEARCH("Positive",L178)))</formula>
    </cfRule>
    <cfRule type="containsText" dxfId="10614" priority="13128" operator="containsText" text="Negative">
      <formula>NOT(ISERROR(SEARCH("Negative",L178)))</formula>
    </cfRule>
  </conditionalFormatting>
  <conditionalFormatting sqref="J183:K183">
    <cfRule type="containsText" dxfId="10613" priority="13111" operator="containsText" text="Missing">
      <formula>NOT(ISERROR(SEARCH("Missing",J183)))</formula>
    </cfRule>
  </conditionalFormatting>
  <conditionalFormatting sqref="H182">
    <cfRule type="containsText" dxfId="10612" priority="13105" operator="containsText" text="Missing">
      <formula>NOT(ISERROR(SEARCH("Missing",H182)))</formula>
    </cfRule>
  </conditionalFormatting>
  <conditionalFormatting sqref="J184:K184">
    <cfRule type="containsText" dxfId="10611" priority="13108" operator="containsText" text="Missing">
      <formula>NOT(ISERROR(SEARCH("Missing",J184)))</formula>
    </cfRule>
  </conditionalFormatting>
  <conditionalFormatting sqref="L195">
    <cfRule type="containsText" dxfId="10610" priority="13119" operator="containsText" text="Positive">
      <formula>NOT(ISERROR(SEARCH("Positive",L195)))</formula>
    </cfRule>
    <cfRule type="containsText" dxfId="10609" priority="13120" operator="containsText" text="Negative">
      <formula>NOT(ISERROR(SEARCH("Negative",L195)))</formula>
    </cfRule>
  </conditionalFormatting>
  <conditionalFormatting sqref="K195">
    <cfRule type="containsText" dxfId="10608" priority="13121" operator="containsText" text="Missing">
      <formula>NOT(ISERROR(SEARCH("Missing",K195)))</formula>
    </cfRule>
  </conditionalFormatting>
  <conditionalFormatting sqref="H183">
    <cfRule type="containsText" dxfId="10607" priority="13104" operator="containsText" text="Missing">
      <formula>NOT(ISERROR(SEARCH("Missing",H183)))</formula>
    </cfRule>
  </conditionalFormatting>
  <conditionalFormatting sqref="J188:K188">
    <cfRule type="containsText" dxfId="10606" priority="13090" operator="containsText" text="Missing">
      <formula>NOT(ISERROR(SEARCH("Missing",J188)))</formula>
    </cfRule>
  </conditionalFormatting>
  <conditionalFormatting sqref="L188">
    <cfRule type="containsText" dxfId="10605" priority="13088" operator="containsText" text="Positive">
      <formula>NOT(ISERROR(SEARCH("Positive",L188)))</formula>
    </cfRule>
    <cfRule type="containsText" dxfId="10604" priority="13089" operator="containsText" text="Negative">
      <formula>NOT(ISERROR(SEARCH("Negative",L188)))</formula>
    </cfRule>
  </conditionalFormatting>
  <conditionalFormatting sqref="I189">
    <cfRule type="containsText" dxfId="10603" priority="13122" operator="containsText" text="Missing">
      <formula>NOT(ISERROR(SEARCH("Missing",I189)))</formula>
    </cfRule>
  </conditionalFormatting>
  <conditionalFormatting sqref="H189">
    <cfRule type="containsText" dxfId="10602" priority="13123" operator="containsText" text="Missing">
      <formula>NOT(ISERROR(SEARCH("Missing",H189)))</formula>
    </cfRule>
  </conditionalFormatting>
  <conditionalFormatting sqref="L189">
    <cfRule type="containsText" dxfId="10601" priority="13124" operator="containsText" text="Positive">
      <formula>NOT(ISERROR(SEARCH("Positive",L189)))</formula>
    </cfRule>
    <cfRule type="containsText" dxfId="10600" priority="13125" operator="containsText" text="Negative">
      <formula>NOT(ISERROR(SEARCH("Negative",L189)))</formula>
    </cfRule>
  </conditionalFormatting>
  <conditionalFormatting sqref="J189:K189">
    <cfRule type="containsText" dxfId="10599" priority="13126" operator="containsText" text="Missing">
      <formula>NOT(ISERROR(SEARCH("Missing",J189)))</formula>
    </cfRule>
  </conditionalFormatting>
  <conditionalFormatting sqref="J181:K181">
    <cfRule type="containsText" dxfId="10598" priority="13118" operator="containsText" text="Missing">
      <formula>NOT(ISERROR(SEARCH("Missing",J181)))</formula>
    </cfRule>
  </conditionalFormatting>
  <conditionalFormatting sqref="H185">
    <cfRule type="containsText" dxfId="10597" priority="13093" operator="containsText" text="Missing">
      <formula>NOT(ISERROR(SEARCH("Missing",H185)))</formula>
    </cfRule>
  </conditionalFormatting>
  <conditionalFormatting sqref="H181">
    <cfRule type="containsText" dxfId="10596" priority="13115" operator="containsText" text="Missing">
      <formula>NOT(ISERROR(SEARCH("Missing",H181)))</formula>
    </cfRule>
  </conditionalFormatting>
  <conditionalFormatting sqref="L181">
    <cfRule type="containsText" dxfId="10595" priority="13116" operator="containsText" text="Positive">
      <formula>NOT(ISERROR(SEARCH("Positive",L181)))</formula>
    </cfRule>
    <cfRule type="containsText" dxfId="10594" priority="13117" operator="containsText" text="Negative">
      <formula>NOT(ISERROR(SEARCH("Negative",L181)))</formula>
    </cfRule>
  </conditionalFormatting>
  <conditionalFormatting sqref="H186">
    <cfRule type="containsText" dxfId="10593" priority="13092" operator="containsText" text="Missing">
      <formula>NOT(ISERROR(SEARCH("Missing",H186)))</formula>
    </cfRule>
  </conditionalFormatting>
  <conditionalFormatting sqref="L183">
    <cfRule type="containsText" dxfId="10592" priority="13109" operator="containsText" text="Positive">
      <formula>NOT(ISERROR(SEARCH("Positive",L183)))</formula>
    </cfRule>
    <cfRule type="containsText" dxfId="10591" priority="13110" operator="containsText" text="Negative">
      <formula>NOT(ISERROR(SEARCH("Negative",L183)))</formula>
    </cfRule>
  </conditionalFormatting>
  <conditionalFormatting sqref="H188">
    <cfRule type="containsText" dxfId="10590" priority="13087" operator="containsText" text="Missing">
      <formula>NOT(ISERROR(SEARCH("Missing",H188)))</formula>
    </cfRule>
  </conditionalFormatting>
  <conditionalFormatting sqref="L182">
    <cfRule type="containsText" dxfId="10589" priority="13112" operator="containsText" text="Positive">
      <formula>NOT(ISERROR(SEARCH("Positive",L182)))</formula>
    </cfRule>
    <cfRule type="containsText" dxfId="10588" priority="13113" operator="containsText" text="Negative">
      <formula>NOT(ISERROR(SEARCH("Negative",L182)))</formula>
    </cfRule>
  </conditionalFormatting>
  <conditionalFormatting sqref="J182:K182">
    <cfRule type="containsText" dxfId="10587" priority="13114" operator="containsText" text="Missing">
      <formula>NOT(ISERROR(SEARCH("Missing",J182)))</formula>
    </cfRule>
  </conditionalFormatting>
  <conditionalFormatting sqref="H193">
    <cfRule type="containsText" dxfId="10586" priority="13069" operator="containsText" text="Missing">
      <formula>NOT(ISERROR(SEARCH("Missing",H193)))</formula>
    </cfRule>
  </conditionalFormatting>
  <conditionalFormatting sqref="I191">
    <cfRule type="containsText" dxfId="10585" priority="13079" operator="containsText" text="Missing">
      <formula>NOT(ISERROR(SEARCH("Missing",I191)))</formula>
    </cfRule>
  </conditionalFormatting>
  <conditionalFormatting sqref="I190">
    <cfRule type="containsText" dxfId="10584" priority="13083" operator="containsText" text="Missing">
      <formula>NOT(ISERROR(SEARCH("Missing",I190)))</formula>
    </cfRule>
  </conditionalFormatting>
  <conditionalFormatting sqref="L190">
    <cfRule type="containsText" dxfId="10583" priority="13084" operator="containsText" text="Positive">
      <formula>NOT(ISERROR(SEARCH("Positive",L190)))</formula>
    </cfRule>
    <cfRule type="containsText" dxfId="10582" priority="13085" operator="containsText" text="Negative">
      <formula>NOT(ISERROR(SEARCH("Negative",L190)))</formula>
    </cfRule>
  </conditionalFormatting>
  <conditionalFormatting sqref="J196:K196">
    <cfRule type="containsText" dxfId="10581" priority="13063" operator="containsText" text="Missing">
      <formula>NOT(ISERROR(SEARCH("Missing",J196)))</formula>
    </cfRule>
  </conditionalFormatting>
  <conditionalFormatting sqref="H184">
    <cfRule type="containsText" dxfId="10580" priority="13103" operator="containsText" text="Missing">
      <formula>NOT(ISERROR(SEARCH("Missing",H184)))</formula>
    </cfRule>
  </conditionalFormatting>
  <conditionalFormatting sqref="L184">
    <cfRule type="containsText" dxfId="10579" priority="13106" operator="containsText" text="Positive">
      <formula>NOT(ISERROR(SEARCH("Positive",L184)))</formula>
    </cfRule>
    <cfRule type="containsText" dxfId="10578" priority="13107" operator="containsText" text="Negative">
      <formula>NOT(ISERROR(SEARCH("Negative",L184)))</formula>
    </cfRule>
  </conditionalFormatting>
  <conditionalFormatting sqref="J190:K190">
    <cfRule type="containsText" dxfId="10577" priority="13086" operator="containsText" text="Missing">
      <formula>NOT(ISERROR(SEARCH("Missing",J190)))</formula>
    </cfRule>
  </conditionalFormatting>
  <conditionalFormatting sqref="H197">
    <cfRule type="containsText" dxfId="10576" priority="13064" operator="containsText" text="Missing">
      <formula>NOT(ISERROR(SEARCH("Missing",H197)))</formula>
    </cfRule>
  </conditionalFormatting>
  <conditionalFormatting sqref="L185">
    <cfRule type="containsText" dxfId="10575" priority="13100" operator="containsText" text="Positive">
      <formula>NOT(ISERROR(SEARCH("Positive",L185)))</formula>
    </cfRule>
    <cfRule type="containsText" dxfId="10574" priority="13101" operator="containsText" text="Negative">
      <formula>NOT(ISERROR(SEARCH("Negative",L185)))</formula>
    </cfRule>
  </conditionalFormatting>
  <conditionalFormatting sqref="J185:K185">
    <cfRule type="containsText" dxfId="10573" priority="13102" operator="containsText" text="Missing">
      <formula>NOT(ISERROR(SEARCH("Missing",J185)))</formula>
    </cfRule>
  </conditionalFormatting>
  <conditionalFormatting sqref="L186">
    <cfRule type="containsText" dxfId="10572" priority="13097" operator="containsText" text="Positive">
      <formula>NOT(ISERROR(SEARCH("Positive",L186)))</formula>
    </cfRule>
    <cfRule type="containsText" dxfId="10571" priority="13098" operator="containsText" text="Negative">
      <formula>NOT(ISERROR(SEARCH("Negative",L186)))</formula>
    </cfRule>
  </conditionalFormatting>
  <conditionalFormatting sqref="J186:K186">
    <cfRule type="containsText" dxfId="10570" priority="13099" operator="containsText" text="Missing">
      <formula>NOT(ISERROR(SEARCH("Missing",J186)))</formula>
    </cfRule>
  </conditionalFormatting>
  <conditionalFormatting sqref="J187:K187">
    <cfRule type="containsText" dxfId="10569" priority="13096" operator="containsText" text="Missing">
      <formula>NOT(ISERROR(SEARCH("Missing",J187)))</formula>
    </cfRule>
  </conditionalFormatting>
  <conditionalFormatting sqref="J197:K197">
    <cfRule type="containsText" dxfId="10568" priority="13067" operator="containsText" text="Missing">
      <formula>NOT(ISERROR(SEARCH("Missing",J197)))</formula>
    </cfRule>
  </conditionalFormatting>
  <conditionalFormatting sqref="L187">
    <cfRule type="containsText" dxfId="10567" priority="13094" operator="containsText" text="Positive">
      <formula>NOT(ISERROR(SEARCH("Positive",L187)))</formula>
    </cfRule>
    <cfRule type="containsText" dxfId="10566" priority="13095" operator="containsText" text="Negative">
      <formula>NOT(ISERROR(SEARCH("Negative",L187)))</formula>
    </cfRule>
  </conditionalFormatting>
  <conditionalFormatting sqref="J202:K202">
    <cfRule type="containsText" dxfId="10565" priority="13043" operator="containsText" text="Missing">
      <formula>NOT(ISERROR(SEARCH("Missing",J202)))</formula>
    </cfRule>
  </conditionalFormatting>
  <conditionalFormatting sqref="I192:I193">
    <cfRule type="containsText" dxfId="10564" priority="13068" operator="containsText" text="Missing">
      <formula>NOT(ISERROR(SEARCH("Missing",I192)))</formula>
    </cfRule>
  </conditionalFormatting>
  <conditionalFormatting sqref="H187">
    <cfRule type="containsText" dxfId="10563" priority="13091" operator="containsText" text="Missing">
      <formula>NOT(ISERROR(SEARCH("Missing",H187)))</formula>
    </cfRule>
  </conditionalFormatting>
  <conditionalFormatting sqref="H201">
    <cfRule type="containsText" dxfId="10562" priority="13044" operator="containsText" text="Missing">
      <formula>NOT(ISERROR(SEARCH("Missing",H201)))</formula>
    </cfRule>
  </conditionalFormatting>
  <conditionalFormatting sqref="H203">
    <cfRule type="containsText" dxfId="10561" priority="13036" operator="containsText" text="Missing">
      <formula>NOT(ISERROR(SEARCH("Missing",H203)))</formula>
    </cfRule>
  </conditionalFormatting>
  <conditionalFormatting sqref="I198:I203">
    <cfRule type="containsText" dxfId="10560" priority="13035" operator="containsText" text="Missing">
      <formula>NOT(ISERROR(SEARCH("Missing",I198)))</formula>
    </cfRule>
  </conditionalFormatting>
  <conditionalFormatting sqref="H190">
    <cfRule type="containsText" dxfId="10559" priority="13078" operator="containsText" text="Missing">
      <formula>NOT(ISERROR(SEARCH("Missing",H190)))</formula>
    </cfRule>
  </conditionalFormatting>
  <conditionalFormatting sqref="L191">
    <cfRule type="containsText" dxfId="10558" priority="13080" operator="containsText" text="Positive">
      <formula>NOT(ISERROR(SEARCH("Positive",L191)))</formula>
    </cfRule>
    <cfRule type="containsText" dxfId="10557" priority="13081" operator="containsText" text="Negative">
      <formula>NOT(ISERROR(SEARCH("Negative",L191)))</formula>
    </cfRule>
  </conditionalFormatting>
  <conditionalFormatting sqref="J191:K191">
    <cfRule type="containsText" dxfId="10556" priority="13082" operator="containsText" text="Missing">
      <formula>NOT(ISERROR(SEARCH("Missing",J191)))</formula>
    </cfRule>
  </conditionalFormatting>
  <conditionalFormatting sqref="H191">
    <cfRule type="containsText" dxfId="10555" priority="13077" operator="containsText" text="Missing">
      <formula>NOT(ISERROR(SEARCH("Missing",H191)))</formula>
    </cfRule>
  </conditionalFormatting>
  <conditionalFormatting sqref="L192">
    <cfRule type="containsText" dxfId="10554" priority="13074" operator="containsText" text="Positive">
      <formula>NOT(ISERROR(SEARCH("Positive",L192)))</formula>
    </cfRule>
    <cfRule type="containsText" dxfId="10553" priority="13075" operator="containsText" text="Negative">
      <formula>NOT(ISERROR(SEARCH("Negative",L192)))</formula>
    </cfRule>
  </conditionalFormatting>
  <conditionalFormatting sqref="J192:K192">
    <cfRule type="containsText" dxfId="10552" priority="13076" operator="containsText" text="Missing">
      <formula>NOT(ISERROR(SEARCH("Missing",J192)))</formula>
    </cfRule>
  </conditionalFormatting>
  <conditionalFormatting sqref="H192">
    <cfRule type="containsText" dxfId="10551" priority="13073" operator="containsText" text="Missing">
      <formula>NOT(ISERROR(SEARCH("Missing",H192)))</formula>
    </cfRule>
  </conditionalFormatting>
  <conditionalFormatting sqref="L193">
    <cfRule type="containsText" dxfId="10550" priority="13070" operator="containsText" text="Positive">
      <formula>NOT(ISERROR(SEARCH("Positive",L193)))</formula>
    </cfRule>
    <cfRule type="containsText" dxfId="10549" priority="13071" operator="containsText" text="Negative">
      <formula>NOT(ISERROR(SEARCH("Negative",L193)))</formula>
    </cfRule>
  </conditionalFormatting>
  <conditionalFormatting sqref="J193:K193">
    <cfRule type="containsText" dxfId="10548" priority="13072" operator="containsText" text="Missing">
      <formula>NOT(ISERROR(SEARCH("Missing",J193)))</formula>
    </cfRule>
  </conditionalFormatting>
  <conditionalFormatting sqref="H202">
    <cfRule type="containsText" dxfId="10547" priority="13040" operator="containsText" text="Missing">
      <formula>NOT(ISERROR(SEARCH("Missing",H202)))</formula>
    </cfRule>
  </conditionalFormatting>
  <conditionalFormatting sqref="L197">
    <cfRule type="containsText" dxfId="10546" priority="13065" operator="containsText" text="Positive">
      <formula>NOT(ISERROR(SEARCH("Positive",L197)))</formula>
    </cfRule>
    <cfRule type="containsText" dxfId="10545" priority="13066" operator="containsText" text="Negative">
      <formula>NOT(ISERROR(SEARCH("Negative",L197)))</formula>
    </cfRule>
  </conditionalFormatting>
  <conditionalFormatting sqref="J203:K205 J208:K208">
    <cfRule type="containsText" dxfId="10544" priority="13039" operator="containsText" text="Missing">
      <formula>NOT(ISERROR(SEARCH("Missing",J203)))</formula>
    </cfRule>
  </conditionalFormatting>
  <conditionalFormatting sqref="L203:L205 L208">
    <cfRule type="containsText" dxfId="10543" priority="13037" operator="containsText" text="Positive">
      <formula>NOT(ISERROR(SEARCH("Positive",L203)))</formula>
    </cfRule>
    <cfRule type="containsText" dxfId="10542" priority="13038" operator="containsText" text="Negative">
      <formula>NOT(ISERROR(SEARCH("Negative",L203)))</formula>
    </cfRule>
  </conditionalFormatting>
  <conditionalFormatting sqref="L196">
    <cfRule type="containsText" dxfId="10541" priority="13061" operator="containsText" text="Positive">
      <formula>NOT(ISERROR(SEARCH("Positive",L196)))</formula>
    </cfRule>
    <cfRule type="containsText" dxfId="10540" priority="13062" operator="containsText" text="Negative">
      <formula>NOT(ISERROR(SEARCH("Negative",L196)))</formula>
    </cfRule>
  </conditionalFormatting>
  <conditionalFormatting sqref="H196">
    <cfRule type="containsText" dxfId="10539" priority="13060" operator="containsText" text="Missing">
      <formula>NOT(ISERROR(SEARCH("Missing",H196)))</formula>
    </cfRule>
  </conditionalFormatting>
  <conditionalFormatting sqref="J198:K198">
    <cfRule type="containsText" dxfId="10538" priority="13059" operator="containsText" text="Missing">
      <formula>NOT(ISERROR(SEARCH("Missing",J198)))</formula>
    </cfRule>
  </conditionalFormatting>
  <conditionalFormatting sqref="L198">
    <cfRule type="containsText" dxfId="10537" priority="13057" operator="containsText" text="Positive">
      <formula>NOT(ISERROR(SEARCH("Positive",L198)))</formula>
    </cfRule>
    <cfRule type="containsText" dxfId="10536" priority="13058" operator="containsText" text="Negative">
      <formula>NOT(ISERROR(SEARCH("Negative",L198)))</formula>
    </cfRule>
  </conditionalFormatting>
  <conditionalFormatting sqref="H198">
    <cfRule type="containsText" dxfId="10535" priority="13056" operator="containsText" text="Missing">
      <formula>NOT(ISERROR(SEARCH("Missing",H198)))</formula>
    </cfRule>
  </conditionalFormatting>
  <conditionalFormatting sqref="J199:K199">
    <cfRule type="containsText" dxfId="10534" priority="13055" operator="containsText" text="Missing">
      <formula>NOT(ISERROR(SEARCH("Missing",J199)))</formula>
    </cfRule>
  </conditionalFormatting>
  <conditionalFormatting sqref="L199">
    <cfRule type="containsText" dxfId="10533" priority="13053" operator="containsText" text="Positive">
      <formula>NOT(ISERROR(SEARCH("Positive",L199)))</formula>
    </cfRule>
    <cfRule type="containsText" dxfId="10532" priority="13054" operator="containsText" text="Negative">
      <formula>NOT(ISERROR(SEARCH("Negative",L199)))</formula>
    </cfRule>
  </conditionalFormatting>
  <conditionalFormatting sqref="H199">
    <cfRule type="containsText" dxfId="10531" priority="13052" operator="containsText" text="Missing">
      <formula>NOT(ISERROR(SEARCH("Missing",H199)))</formula>
    </cfRule>
  </conditionalFormatting>
  <conditionalFormatting sqref="J200:K200">
    <cfRule type="containsText" dxfId="10530" priority="13051" operator="containsText" text="Missing">
      <formula>NOT(ISERROR(SEARCH("Missing",J200)))</formula>
    </cfRule>
  </conditionalFormatting>
  <conditionalFormatting sqref="L200">
    <cfRule type="containsText" dxfId="10529" priority="13049" operator="containsText" text="Positive">
      <formula>NOT(ISERROR(SEARCH("Positive",L200)))</formula>
    </cfRule>
    <cfRule type="containsText" dxfId="10528" priority="13050" operator="containsText" text="Negative">
      <formula>NOT(ISERROR(SEARCH("Negative",L200)))</formula>
    </cfRule>
  </conditionalFormatting>
  <conditionalFormatting sqref="H200">
    <cfRule type="containsText" dxfId="10527" priority="13048" operator="containsText" text="Missing">
      <formula>NOT(ISERROR(SEARCH("Missing",H200)))</formula>
    </cfRule>
  </conditionalFormatting>
  <conditionalFormatting sqref="J201:K201">
    <cfRule type="containsText" dxfId="10526" priority="13047" operator="containsText" text="Missing">
      <formula>NOT(ISERROR(SEARCH("Missing",J201)))</formula>
    </cfRule>
  </conditionalFormatting>
  <conditionalFormatting sqref="L201">
    <cfRule type="containsText" dxfId="10525" priority="13045" operator="containsText" text="Positive">
      <formula>NOT(ISERROR(SEARCH("Positive",L201)))</formula>
    </cfRule>
    <cfRule type="containsText" dxfId="10524" priority="13046" operator="containsText" text="Negative">
      <formula>NOT(ISERROR(SEARCH("Negative",L201)))</formula>
    </cfRule>
  </conditionalFormatting>
  <conditionalFormatting sqref="L202">
    <cfRule type="containsText" dxfId="10523" priority="13041" operator="containsText" text="Positive">
      <formula>NOT(ISERROR(SEARCH("Positive",L202)))</formula>
    </cfRule>
    <cfRule type="containsText" dxfId="10522" priority="13042" operator="containsText" text="Negative">
      <formula>NOT(ISERROR(SEARCH("Negative",L202)))</formula>
    </cfRule>
  </conditionalFormatting>
  <conditionalFormatting sqref="J215:K215">
    <cfRule type="containsText" dxfId="10521" priority="13028" operator="containsText" text="Missing">
      <formula>NOT(ISERROR(SEARCH("Missing",J215)))</formula>
    </cfRule>
  </conditionalFormatting>
  <conditionalFormatting sqref="I177">
    <cfRule type="containsText" dxfId="10520" priority="13034" operator="containsText" text="Missing">
      <formula>NOT(ISERROR(SEARCH("Missing",I177)))</formula>
    </cfRule>
  </conditionalFormatting>
  <conditionalFormatting sqref="H215">
    <cfRule type="containsText" dxfId="10519" priority="13025" operator="containsText" text="Missing">
      <formula>NOT(ISERROR(SEARCH("Missing",H215)))</formula>
    </cfRule>
  </conditionalFormatting>
  <conditionalFormatting sqref="I215">
    <cfRule type="containsText" dxfId="10518" priority="13024" operator="containsText" text="Missing">
      <formula>NOT(ISERROR(SEARCH("Missing",I215)))</formula>
    </cfRule>
  </conditionalFormatting>
  <conditionalFormatting sqref="J227:K228 H227:H228 H231:H232 J231:K232 J235:K235 H235:H236 H239:H240">
    <cfRule type="containsText" dxfId="10517" priority="13033" operator="containsText" text="Missing">
      <formula>NOT(ISERROR(SEARCH("Missing",H227)))</formula>
    </cfRule>
  </conditionalFormatting>
  <conditionalFormatting sqref="L227:L228 L231:L232 L235:L236 L239:L240">
    <cfRule type="containsText" dxfId="10516" priority="13031" operator="containsText" text="Positive">
      <formula>NOT(ISERROR(SEARCH("Positive",L227)))</formula>
    </cfRule>
    <cfRule type="containsText" dxfId="10515" priority="13032" operator="containsText" text="Negative">
      <formula>NOT(ISERROR(SEARCH("Negative",L227)))</formula>
    </cfRule>
  </conditionalFormatting>
  <conditionalFormatting sqref="I220">
    <cfRule type="containsText" dxfId="10514" priority="13011" operator="containsText" text="Missing">
      <formula>NOT(ISERROR(SEARCH("Missing",I220)))</formula>
    </cfRule>
  </conditionalFormatting>
  <conditionalFormatting sqref="J218:K218">
    <cfRule type="containsText" dxfId="10513" priority="13004" operator="containsText" text="Missing">
      <formula>NOT(ISERROR(SEARCH("Missing",J218)))</formula>
    </cfRule>
  </conditionalFormatting>
  <conditionalFormatting sqref="J219:K219 J222:K224">
    <cfRule type="containsText" dxfId="10512" priority="13021" operator="containsText" text="Missing">
      <formula>NOT(ISERROR(SEARCH("Missing",J219)))</formula>
    </cfRule>
  </conditionalFormatting>
  <conditionalFormatting sqref="J217:K217">
    <cfRule type="containsText" dxfId="10511" priority="13023" operator="containsText" text="Missing">
      <formula>NOT(ISERROR(SEARCH("Missing",J217)))</formula>
    </cfRule>
  </conditionalFormatting>
  <conditionalFormatting sqref="I219 I222:I223 I231 I227">
    <cfRule type="containsText" dxfId="10510" priority="13017" operator="containsText" text="Missing">
      <formula>NOT(ISERROR(SEARCH("Missing",I219)))</formula>
    </cfRule>
  </conditionalFormatting>
  <conditionalFormatting sqref="H216">
    <cfRule type="containsText" dxfId="10509" priority="13006" operator="containsText" text="Missing">
      <formula>NOT(ISERROR(SEARCH("Missing",H216)))</formula>
    </cfRule>
  </conditionalFormatting>
  <conditionalFormatting sqref="L217">
    <cfRule type="containsText" dxfId="10508" priority="13015" operator="containsText" text="Positive">
      <formula>NOT(ISERROR(SEARCH("Positive",L217)))</formula>
    </cfRule>
    <cfRule type="containsText" dxfId="10507" priority="13016" operator="containsText" text="Negative">
      <formula>NOT(ISERROR(SEARCH("Negative",L217)))</formula>
    </cfRule>
  </conditionalFormatting>
  <conditionalFormatting sqref="J220:K220">
    <cfRule type="containsText" dxfId="10506" priority="13012" operator="containsText" text="Missing">
      <formula>NOT(ISERROR(SEARCH("Missing",J220)))</formula>
    </cfRule>
  </conditionalFormatting>
  <conditionalFormatting sqref="H218">
    <cfRule type="containsText" dxfId="10505" priority="13001" operator="containsText" text="Missing">
      <formula>NOT(ISERROR(SEARCH("Missing",H218)))</formula>
    </cfRule>
  </conditionalFormatting>
  <conditionalFormatting sqref="H222:H224">
    <cfRule type="containsText" dxfId="10504" priority="13018" operator="containsText" text="Missing">
      <formula>NOT(ISERROR(SEARCH("Missing",H222)))</formula>
    </cfRule>
  </conditionalFormatting>
  <conditionalFormatting sqref="H217">
    <cfRule type="containsText" dxfId="10503" priority="13010" operator="containsText" text="Missing">
      <formula>NOT(ISERROR(SEARCH("Missing",H217)))</formula>
    </cfRule>
  </conditionalFormatting>
  <conditionalFormatting sqref="I216">
    <cfRule type="containsText" dxfId="10502" priority="13005" operator="containsText" text="Missing">
      <formula>NOT(ISERROR(SEARCH("Missing",I216)))</formula>
    </cfRule>
  </conditionalFormatting>
  <conditionalFormatting sqref="I218">
    <cfRule type="containsText" dxfId="10501" priority="13000" operator="containsText" text="Missing">
      <formula>NOT(ISERROR(SEARCH("Missing",I218)))</formula>
    </cfRule>
  </conditionalFormatting>
  <conditionalFormatting sqref="H219">
    <cfRule type="containsText" dxfId="10500" priority="12999" operator="containsText" text="Missing">
      <formula>NOT(ISERROR(SEARCH("Missing",H219)))</formula>
    </cfRule>
  </conditionalFormatting>
  <conditionalFormatting sqref="I217">
    <cfRule type="containsText" dxfId="10499" priority="13022" operator="containsText" text="Missing">
      <formula>NOT(ISERROR(SEARCH("Missing",I217)))</formula>
    </cfRule>
  </conditionalFormatting>
  <conditionalFormatting sqref="L215">
    <cfRule type="containsText" dxfId="10498" priority="13026" operator="containsText" text="Positive">
      <formula>NOT(ISERROR(SEARCH("Positive",L215)))</formula>
    </cfRule>
    <cfRule type="containsText" dxfId="10497" priority="13027" operator="containsText" text="Negative">
      <formula>NOT(ISERROR(SEARCH("Negative",L215)))</formula>
    </cfRule>
  </conditionalFormatting>
  <conditionalFormatting sqref="L212:L213">
    <cfRule type="containsText" dxfId="10496" priority="13029" operator="containsText" text="Positive">
      <formula>NOT(ISERROR(SEARCH("Positive",L212)))</formula>
    </cfRule>
    <cfRule type="containsText" dxfId="10495" priority="13030" operator="containsText" text="Negative">
      <formula>NOT(ISERROR(SEARCH("Negative",L212)))</formula>
    </cfRule>
  </conditionalFormatting>
  <conditionalFormatting sqref="L222:L224">
    <cfRule type="containsText" dxfId="10494" priority="13019" operator="containsText" text="Positive">
      <formula>NOT(ISERROR(SEARCH("Positive",L222)))</formula>
    </cfRule>
    <cfRule type="containsText" dxfId="10493" priority="13020" operator="containsText" text="Negative">
      <formula>NOT(ISERROR(SEARCH("Negative",L222)))</formula>
    </cfRule>
  </conditionalFormatting>
  <conditionalFormatting sqref="J216:K216">
    <cfRule type="containsText" dxfId="10492" priority="13009" operator="containsText" text="Missing">
      <formula>NOT(ISERROR(SEARCH("Missing",J216)))</formula>
    </cfRule>
  </conditionalFormatting>
  <conditionalFormatting sqref="L219">
    <cfRule type="containsText" dxfId="10491" priority="13013" operator="containsText" text="Positive">
      <formula>NOT(ISERROR(SEARCH("Positive",L219)))</formula>
    </cfRule>
    <cfRule type="containsText" dxfId="10490" priority="13014" operator="containsText" text="Negative">
      <formula>NOT(ISERROR(SEARCH("Negative",L219)))</formula>
    </cfRule>
  </conditionalFormatting>
  <conditionalFormatting sqref="H220">
    <cfRule type="containsText" dxfId="10489" priority="12998" operator="containsText" text="Missing">
      <formula>NOT(ISERROR(SEARCH("Missing",H220)))</formula>
    </cfRule>
  </conditionalFormatting>
  <conditionalFormatting sqref="L216">
    <cfRule type="containsText" dxfId="10488" priority="13007" operator="containsText" text="Positive">
      <formula>NOT(ISERROR(SEARCH("Positive",L216)))</formula>
    </cfRule>
    <cfRule type="containsText" dxfId="10487" priority="13008" operator="containsText" text="Negative">
      <formula>NOT(ISERROR(SEARCH("Negative",L216)))</formula>
    </cfRule>
  </conditionalFormatting>
  <conditionalFormatting sqref="L218">
    <cfRule type="containsText" dxfId="10486" priority="13002" operator="containsText" text="Positive">
      <formula>NOT(ISERROR(SEARCH("Positive",L218)))</formula>
    </cfRule>
    <cfRule type="containsText" dxfId="10485" priority="13003" operator="containsText" text="Negative">
      <formula>NOT(ISERROR(SEARCH("Negative",L218)))</formula>
    </cfRule>
  </conditionalFormatting>
  <conditionalFormatting sqref="J236:K236">
    <cfRule type="containsText" dxfId="10484" priority="12997" operator="containsText" text="Missing">
      <formula>NOT(ISERROR(SEARCH("Missing",J236)))</formula>
    </cfRule>
  </conditionalFormatting>
  <conditionalFormatting sqref="H236">
    <cfRule type="containsText" dxfId="10483" priority="12994" operator="containsText" text="Missing">
      <formula>NOT(ISERROR(SEARCH("Missing",H236)))</formula>
    </cfRule>
  </conditionalFormatting>
  <conditionalFormatting sqref="L236">
    <cfRule type="containsText" dxfId="10482" priority="12995" operator="containsText" text="Positive">
      <formula>NOT(ISERROR(SEARCH("Positive",L236)))</formula>
    </cfRule>
    <cfRule type="containsText" dxfId="10481" priority="12996" operator="containsText" text="Negative">
      <formula>NOT(ISERROR(SEARCH("Negative",L236)))</formula>
    </cfRule>
  </conditionalFormatting>
  <conditionalFormatting sqref="I224">
    <cfRule type="containsText" dxfId="10480" priority="12981" operator="containsText" text="Missing">
      <formula>NOT(ISERROR(SEARCH("Missing",I224)))</formula>
    </cfRule>
  </conditionalFormatting>
  <conditionalFormatting sqref="I228">
    <cfRule type="containsText" dxfId="10479" priority="12982" operator="containsText" text="Missing">
      <formula>NOT(ISERROR(SEARCH("Missing",I228)))</formula>
    </cfRule>
  </conditionalFormatting>
  <conditionalFormatting sqref="J239:K239">
    <cfRule type="containsText" dxfId="10478" priority="12993" operator="containsText" text="Missing">
      <formula>NOT(ISERROR(SEARCH("Missing",J239)))</formula>
    </cfRule>
  </conditionalFormatting>
  <conditionalFormatting sqref="I240">
    <cfRule type="containsText" dxfId="10477" priority="12985" operator="containsText" text="Missing">
      <formula>NOT(ISERROR(SEARCH("Missing",I240)))</formula>
    </cfRule>
  </conditionalFormatting>
  <conditionalFormatting sqref="H239">
    <cfRule type="containsText" dxfId="10476" priority="12990" operator="containsText" text="Missing">
      <formula>NOT(ISERROR(SEARCH("Missing",H239)))</formula>
    </cfRule>
  </conditionalFormatting>
  <conditionalFormatting sqref="L239">
    <cfRule type="containsText" dxfId="10475" priority="12991" operator="containsText" text="Positive">
      <formula>NOT(ISERROR(SEARCH("Positive",L239)))</formula>
    </cfRule>
    <cfRule type="containsText" dxfId="10474" priority="12992" operator="containsText" text="Negative">
      <formula>NOT(ISERROR(SEARCH("Negative",L239)))</formula>
    </cfRule>
  </conditionalFormatting>
  <conditionalFormatting sqref="J240:K240">
    <cfRule type="containsText" dxfId="10473" priority="12989" operator="containsText" text="Missing">
      <formula>NOT(ISERROR(SEARCH("Missing",J240)))</formula>
    </cfRule>
  </conditionalFormatting>
  <conditionalFormatting sqref="H240">
    <cfRule type="containsText" dxfId="10472" priority="12986" operator="containsText" text="Missing">
      <formula>NOT(ISERROR(SEARCH("Missing",H240)))</formula>
    </cfRule>
  </conditionalFormatting>
  <conditionalFormatting sqref="L240">
    <cfRule type="containsText" dxfId="10471" priority="12987" operator="containsText" text="Positive">
      <formula>NOT(ISERROR(SEARCH("Positive",L240)))</formula>
    </cfRule>
    <cfRule type="containsText" dxfId="10470" priority="12988" operator="containsText" text="Negative">
      <formula>NOT(ISERROR(SEARCH("Negative",L240)))</formula>
    </cfRule>
  </conditionalFormatting>
  <conditionalFormatting sqref="I236">
    <cfRule type="containsText" dxfId="10469" priority="12984" operator="containsText" text="Missing">
      <formula>NOT(ISERROR(SEARCH("Missing",I236)))</formula>
    </cfRule>
  </conditionalFormatting>
  <conditionalFormatting sqref="I232">
    <cfRule type="containsText" dxfId="10468" priority="12983" operator="containsText" text="Missing">
      <formula>NOT(ISERROR(SEARCH("Missing",I232)))</formula>
    </cfRule>
  </conditionalFormatting>
  <conditionalFormatting sqref="J221:K221">
    <cfRule type="containsText" dxfId="10467" priority="12980" operator="containsText" text="Missing">
      <formula>NOT(ISERROR(SEARCH("Missing",J221)))</formula>
    </cfRule>
  </conditionalFormatting>
  <conditionalFormatting sqref="L221">
    <cfRule type="containsText" dxfId="10466" priority="12978" operator="containsText" text="Positive">
      <formula>NOT(ISERROR(SEARCH("Positive",L221)))</formula>
    </cfRule>
    <cfRule type="containsText" dxfId="10465" priority="12979" operator="containsText" text="Negative">
      <formula>NOT(ISERROR(SEARCH("Negative",L221)))</formula>
    </cfRule>
  </conditionalFormatting>
  <conditionalFormatting sqref="H221">
    <cfRule type="containsText" dxfId="10464" priority="12977" operator="containsText" text="Missing">
      <formula>NOT(ISERROR(SEARCH("Missing",H221)))</formula>
    </cfRule>
  </conditionalFormatting>
  <conditionalFormatting sqref="H243:H244">
    <cfRule type="containsText" dxfId="10463" priority="12976" operator="containsText" text="Missing">
      <formula>NOT(ISERROR(SEARCH("Missing",H243)))</formula>
    </cfRule>
  </conditionalFormatting>
  <conditionalFormatting sqref="L243:L244">
    <cfRule type="containsText" dxfId="10462" priority="12974" operator="containsText" text="Positive">
      <formula>NOT(ISERROR(SEARCH("Positive",L243)))</formula>
    </cfRule>
    <cfRule type="containsText" dxfId="10461" priority="12975" operator="containsText" text="Negative">
      <formula>NOT(ISERROR(SEARCH("Negative",L243)))</formula>
    </cfRule>
  </conditionalFormatting>
  <conditionalFormatting sqref="I243:I244">
    <cfRule type="containsText" dxfId="10460" priority="12970" operator="containsText" text="Missing">
      <formula>NOT(ISERROR(SEARCH("Missing",I243)))</formula>
    </cfRule>
  </conditionalFormatting>
  <conditionalFormatting sqref="H243:H244">
    <cfRule type="containsText" dxfId="10459" priority="12971" operator="containsText" text="Missing">
      <formula>NOT(ISERROR(SEARCH("Missing",H243)))</formula>
    </cfRule>
  </conditionalFormatting>
  <conditionalFormatting sqref="L243:L244">
    <cfRule type="containsText" dxfId="10458" priority="12972" operator="containsText" text="Positive">
      <formula>NOT(ISERROR(SEARCH("Positive",L243)))</formula>
    </cfRule>
    <cfRule type="containsText" dxfId="10457" priority="12973" operator="containsText" text="Negative">
      <formula>NOT(ISERROR(SEARCH("Negative",L243)))</formula>
    </cfRule>
  </conditionalFormatting>
  <conditionalFormatting sqref="L248">
    <cfRule type="containsText" dxfId="10456" priority="12964" operator="containsText" text="Positive">
      <formula>NOT(ISERROR(SEARCH("Positive",L248)))</formula>
    </cfRule>
    <cfRule type="containsText" dxfId="10455" priority="12965" operator="containsText" text="Negative">
      <formula>NOT(ISERROR(SEARCH("Negative",L248)))</formula>
    </cfRule>
  </conditionalFormatting>
  <conditionalFormatting sqref="J248:K248">
    <cfRule type="containsText" dxfId="10454" priority="12966" operator="containsText" text="Missing">
      <formula>NOT(ISERROR(SEARCH("Missing",J248)))</formula>
    </cfRule>
  </conditionalFormatting>
  <conditionalFormatting sqref="J247:K247">
    <cfRule type="containsText" dxfId="10453" priority="12969" operator="containsText" text="Missing">
      <formula>NOT(ISERROR(SEARCH("Missing",J247)))</formula>
    </cfRule>
  </conditionalFormatting>
  <conditionalFormatting sqref="L247">
    <cfRule type="containsText" dxfId="10452" priority="12967" operator="containsText" text="Positive">
      <formula>NOT(ISERROR(SEARCH("Positive",L247)))</formula>
    </cfRule>
    <cfRule type="containsText" dxfId="10451" priority="12968" operator="containsText" text="Negative">
      <formula>NOT(ISERROR(SEARCH("Negative",L247)))</formula>
    </cfRule>
  </conditionalFormatting>
  <conditionalFormatting sqref="I245">
    <cfRule type="containsText" dxfId="10450" priority="12959" operator="containsText" text="Missing">
      <formula>NOT(ISERROR(SEARCH("Missing",I245)))</formula>
    </cfRule>
  </conditionalFormatting>
  <conditionalFormatting sqref="H245">
    <cfRule type="containsText" dxfId="10449" priority="12960" operator="containsText" text="Missing">
      <formula>NOT(ISERROR(SEARCH("Missing",H245)))</formula>
    </cfRule>
  </conditionalFormatting>
  <conditionalFormatting sqref="J245:K245">
    <cfRule type="containsText" dxfId="10448" priority="12963" operator="containsText" text="Missing">
      <formula>NOT(ISERROR(SEARCH("Missing",J245)))</formula>
    </cfRule>
  </conditionalFormatting>
  <conditionalFormatting sqref="H247">
    <cfRule type="containsText" dxfId="10447" priority="12958" operator="containsText" text="Missing">
      <formula>NOT(ISERROR(SEARCH("Missing",H247)))</formula>
    </cfRule>
  </conditionalFormatting>
  <conditionalFormatting sqref="I247">
    <cfRule type="containsText" dxfId="10446" priority="12956" operator="containsText" text="Missing">
      <formula>NOT(ISERROR(SEARCH("Missing",I247)))</formula>
    </cfRule>
  </conditionalFormatting>
  <conditionalFormatting sqref="H248">
    <cfRule type="containsText" dxfId="10445" priority="12957" operator="containsText" text="Missing">
      <formula>NOT(ISERROR(SEARCH("Missing",H248)))</formula>
    </cfRule>
  </conditionalFormatting>
  <conditionalFormatting sqref="L245">
    <cfRule type="containsText" dxfId="10444" priority="12961" operator="containsText" text="Positive">
      <formula>NOT(ISERROR(SEARCH("Positive",L245)))</formula>
    </cfRule>
    <cfRule type="containsText" dxfId="10443" priority="12962" operator="containsText" text="Negative">
      <formula>NOT(ISERROR(SEARCH("Negative",L245)))</formula>
    </cfRule>
  </conditionalFormatting>
  <conditionalFormatting sqref="L249">
    <cfRule type="containsText" dxfId="10442" priority="12953" operator="containsText" text="Positive">
      <formula>NOT(ISERROR(SEARCH("Positive",L249)))</formula>
    </cfRule>
    <cfRule type="containsText" dxfId="10441" priority="12954" operator="containsText" text="Negative">
      <formula>NOT(ISERROR(SEARCH("Negative",L249)))</formula>
    </cfRule>
  </conditionalFormatting>
  <conditionalFormatting sqref="J249:K249">
    <cfRule type="containsText" dxfId="10440" priority="12955" operator="containsText" text="Missing">
      <formula>NOT(ISERROR(SEARCH("Missing",J249)))</formula>
    </cfRule>
  </conditionalFormatting>
  <conditionalFormatting sqref="H249">
    <cfRule type="containsText" dxfId="10439" priority="12952" operator="containsText" text="Missing">
      <formula>NOT(ISERROR(SEARCH("Missing",H249)))</formula>
    </cfRule>
  </conditionalFormatting>
  <conditionalFormatting sqref="H250:K250">
    <cfRule type="containsText" dxfId="10438" priority="12951" operator="containsText" text="Missing">
      <formula>NOT(ISERROR(SEARCH("Missing",H250)))</formula>
    </cfRule>
  </conditionalFormatting>
  <conditionalFormatting sqref="L250">
    <cfRule type="containsText" dxfId="10437" priority="12949" operator="containsText" text="Positive">
      <formula>NOT(ISERROR(SEARCH("Positive",L250)))</formula>
    </cfRule>
    <cfRule type="containsText" dxfId="10436" priority="12950" operator="containsText" text="Negative">
      <formula>NOT(ISERROR(SEARCH("Negative",L250)))</formula>
    </cfRule>
  </conditionalFormatting>
  <conditionalFormatting sqref="H251:K251">
    <cfRule type="containsText" dxfId="10435" priority="12948" operator="containsText" text="Missing">
      <formula>NOT(ISERROR(SEARCH("Missing",H251)))</formula>
    </cfRule>
  </conditionalFormatting>
  <conditionalFormatting sqref="L251">
    <cfRule type="containsText" dxfId="10434" priority="12946" operator="containsText" text="Positive">
      <formula>NOT(ISERROR(SEARCH("Positive",L251)))</formula>
    </cfRule>
    <cfRule type="containsText" dxfId="10433" priority="12947" operator="containsText" text="Negative">
      <formula>NOT(ISERROR(SEARCH("Negative",L251)))</formula>
    </cfRule>
  </conditionalFormatting>
  <conditionalFormatting sqref="H252:K252 I253:K253">
    <cfRule type="containsText" dxfId="10432" priority="12945" operator="containsText" text="Missing">
      <formula>NOT(ISERROR(SEARCH("Missing",H252)))</formula>
    </cfRule>
  </conditionalFormatting>
  <conditionalFormatting sqref="L252:L253">
    <cfRule type="containsText" dxfId="10431" priority="12943" operator="containsText" text="Positive">
      <formula>NOT(ISERROR(SEARCH("Positive",L252)))</formula>
    </cfRule>
    <cfRule type="containsText" dxfId="10430" priority="12944" operator="containsText" text="Negative">
      <formula>NOT(ISERROR(SEARCH("Negative",L252)))</formula>
    </cfRule>
  </conditionalFormatting>
  <conditionalFormatting sqref="J225:K225">
    <cfRule type="containsText" dxfId="10429" priority="12942" operator="containsText" text="Missing">
      <formula>NOT(ISERROR(SEARCH("Missing",J225)))</formula>
    </cfRule>
  </conditionalFormatting>
  <conditionalFormatting sqref="H225">
    <cfRule type="containsText" dxfId="10428" priority="12939" operator="containsText" text="Missing">
      <formula>NOT(ISERROR(SEARCH("Missing",H225)))</formula>
    </cfRule>
  </conditionalFormatting>
  <conditionalFormatting sqref="L225">
    <cfRule type="containsText" dxfId="10427" priority="12937" operator="containsText" text="Positive">
      <formula>NOT(ISERROR(SEARCH("Positive",L225)))</formula>
    </cfRule>
    <cfRule type="containsText" dxfId="10426" priority="12938" operator="containsText" text="Negative">
      <formula>NOT(ISERROR(SEARCH("Negative",L225)))</formula>
    </cfRule>
  </conditionalFormatting>
  <conditionalFormatting sqref="L225">
    <cfRule type="containsText" dxfId="10425" priority="12940" operator="containsText" text="Positive">
      <formula>NOT(ISERROR(SEARCH("Positive",L225)))</formula>
    </cfRule>
    <cfRule type="containsText" dxfId="10424" priority="12941" operator="containsText" text="Negative">
      <formula>NOT(ISERROR(SEARCH("Negative",L225)))</formula>
    </cfRule>
  </conditionalFormatting>
  <conditionalFormatting sqref="I225">
    <cfRule type="containsText" dxfId="10423" priority="12936" operator="containsText" text="Missing">
      <formula>NOT(ISERROR(SEARCH("Missing",I225)))</formula>
    </cfRule>
  </conditionalFormatting>
  <conditionalFormatting sqref="J226:K226">
    <cfRule type="containsText" dxfId="10422" priority="12935" operator="containsText" text="Missing">
      <formula>NOT(ISERROR(SEARCH("Missing",J226)))</formula>
    </cfRule>
  </conditionalFormatting>
  <conditionalFormatting sqref="H226">
    <cfRule type="containsText" dxfId="10421" priority="12932" operator="containsText" text="Missing">
      <formula>NOT(ISERROR(SEARCH("Missing",H226)))</formula>
    </cfRule>
  </conditionalFormatting>
  <conditionalFormatting sqref="L226">
    <cfRule type="containsText" dxfId="10420" priority="12930" operator="containsText" text="Positive">
      <formula>NOT(ISERROR(SEARCH("Positive",L226)))</formula>
    </cfRule>
    <cfRule type="containsText" dxfId="10419" priority="12931" operator="containsText" text="Negative">
      <formula>NOT(ISERROR(SEARCH("Negative",L226)))</formula>
    </cfRule>
  </conditionalFormatting>
  <conditionalFormatting sqref="L226">
    <cfRule type="containsText" dxfId="10418" priority="12933" operator="containsText" text="Positive">
      <formula>NOT(ISERROR(SEARCH("Positive",L226)))</formula>
    </cfRule>
    <cfRule type="containsText" dxfId="10417" priority="12934" operator="containsText" text="Negative">
      <formula>NOT(ISERROR(SEARCH("Negative",L226)))</formula>
    </cfRule>
  </conditionalFormatting>
  <conditionalFormatting sqref="I226">
    <cfRule type="containsText" dxfId="10416" priority="12929" operator="containsText" text="Missing">
      <formula>NOT(ISERROR(SEARCH("Missing",I226)))</formula>
    </cfRule>
  </conditionalFormatting>
  <conditionalFormatting sqref="J229:K229 H229">
    <cfRule type="containsText" dxfId="10415" priority="12928" operator="containsText" text="Missing">
      <formula>NOT(ISERROR(SEARCH("Missing",H229)))</formula>
    </cfRule>
  </conditionalFormatting>
  <conditionalFormatting sqref="L229">
    <cfRule type="containsText" dxfId="10414" priority="12926" operator="containsText" text="Positive">
      <formula>NOT(ISERROR(SEARCH("Positive",L229)))</formula>
    </cfRule>
    <cfRule type="containsText" dxfId="10413" priority="12927" operator="containsText" text="Negative">
      <formula>NOT(ISERROR(SEARCH("Negative",L229)))</formula>
    </cfRule>
  </conditionalFormatting>
  <conditionalFormatting sqref="I229">
    <cfRule type="containsText" dxfId="10412" priority="12925" operator="containsText" text="Missing">
      <formula>NOT(ISERROR(SEARCH("Missing",I229)))</formula>
    </cfRule>
  </conditionalFormatting>
  <conditionalFormatting sqref="J230:K230 H230">
    <cfRule type="containsText" dxfId="10411" priority="12924" operator="containsText" text="Missing">
      <formula>NOT(ISERROR(SEARCH("Missing",H230)))</formula>
    </cfRule>
  </conditionalFormatting>
  <conditionalFormatting sqref="L230">
    <cfRule type="containsText" dxfId="10410" priority="12922" operator="containsText" text="Positive">
      <formula>NOT(ISERROR(SEARCH("Positive",L230)))</formula>
    </cfRule>
    <cfRule type="containsText" dxfId="10409" priority="12923" operator="containsText" text="Negative">
      <formula>NOT(ISERROR(SEARCH("Negative",L230)))</formula>
    </cfRule>
  </conditionalFormatting>
  <conditionalFormatting sqref="I230">
    <cfRule type="containsText" dxfId="10408" priority="12921" operator="containsText" text="Missing">
      <formula>NOT(ISERROR(SEARCH("Missing",I230)))</formula>
    </cfRule>
  </conditionalFormatting>
  <conditionalFormatting sqref="H233 J233:K233">
    <cfRule type="containsText" dxfId="10407" priority="12920" operator="containsText" text="Missing">
      <formula>NOT(ISERROR(SEARCH("Missing",H233)))</formula>
    </cfRule>
  </conditionalFormatting>
  <conditionalFormatting sqref="L233">
    <cfRule type="containsText" dxfId="10406" priority="12918" operator="containsText" text="Positive">
      <formula>NOT(ISERROR(SEARCH("Positive",L233)))</formula>
    </cfRule>
    <cfRule type="containsText" dxfId="10405" priority="12919" operator="containsText" text="Negative">
      <formula>NOT(ISERROR(SEARCH("Negative",L233)))</formula>
    </cfRule>
  </conditionalFormatting>
  <conditionalFormatting sqref="I233">
    <cfRule type="containsText" dxfId="10404" priority="12917" operator="containsText" text="Missing">
      <formula>NOT(ISERROR(SEARCH("Missing",I233)))</formula>
    </cfRule>
  </conditionalFormatting>
  <conditionalFormatting sqref="H234 J234:K234">
    <cfRule type="containsText" dxfId="10403" priority="12916" operator="containsText" text="Missing">
      <formula>NOT(ISERROR(SEARCH("Missing",H234)))</formula>
    </cfRule>
  </conditionalFormatting>
  <conditionalFormatting sqref="L234">
    <cfRule type="containsText" dxfId="10402" priority="12914" operator="containsText" text="Positive">
      <formula>NOT(ISERROR(SEARCH("Positive",L234)))</formula>
    </cfRule>
    <cfRule type="containsText" dxfId="10401" priority="12915" operator="containsText" text="Negative">
      <formula>NOT(ISERROR(SEARCH("Negative",L234)))</formula>
    </cfRule>
  </conditionalFormatting>
  <conditionalFormatting sqref="I234">
    <cfRule type="containsText" dxfId="10400" priority="12913" operator="containsText" text="Missing">
      <formula>NOT(ISERROR(SEARCH("Missing",I234)))</formula>
    </cfRule>
  </conditionalFormatting>
  <conditionalFormatting sqref="H237">
    <cfRule type="containsText" dxfId="10399" priority="12912" operator="containsText" text="Missing">
      <formula>NOT(ISERROR(SEARCH("Missing",H237)))</formula>
    </cfRule>
  </conditionalFormatting>
  <conditionalFormatting sqref="L237">
    <cfRule type="containsText" dxfId="10398" priority="12910" operator="containsText" text="Positive">
      <formula>NOT(ISERROR(SEARCH("Positive",L237)))</formula>
    </cfRule>
    <cfRule type="containsText" dxfId="10397" priority="12911" operator="containsText" text="Negative">
      <formula>NOT(ISERROR(SEARCH("Negative",L237)))</formula>
    </cfRule>
  </conditionalFormatting>
  <conditionalFormatting sqref="J237:K237">
    <cfRule type="containsText" dxfId="10396" priority="12909" operator="containsText" text="Missing">
      <formula>NOT(ISERROR(SEARCH("Missing",J237)))</formula>
    </cfRule>
  </conditionalFormatting>
  <conditionalFormatting sqref="H237">
    <cfRule type="containsText" dxfId="10395" priority="12906" operator="containsText" text="Missing">
      <formula>NOT(ISERROR(SEARCH("Missing",H237)))</formula>
    </cfRule>
  </conditionalFormatting>
  <conditionalFormatting sqref="L237">
    <cfRule type="containsText" dxfId="10394" priority="12907" operator="containsText" text="Positive">
      <formula>NOT(ISERROR(SEARCH("Positive",L237)))</formula>
    </cfRule>
    <cfRule type="containsText" dxfId="10393" priority="12908" operator="containsText" text="Negative">
      <formula>NOT(ISERROR(SEARCH("Negative",L237)))</formula>
    </cfRule>
  </conditionalFormatting>
  <conditionalFormatting sqref="I237">
    <cfRule type="containsText" dxfId="10392" priority="12905" operator="containsText" text="Missing">
      <formula>NOT(ISERROR(SEARCH("Missing",I237)))</formula>
    </cfRule>
  </conditionalFormatting>
  <conditionalFormatting sqref="H238">
    <cfRule type="containsText" dxfId="10391" priority="12904" operator="containsText" text="Missing">
      <formula>NOT(ISERROR(SEARCH("Missing",H238)))</formula>
    </cfRule>
  </conditionalFormatting>
  <conditionalFormatting sqref="L238">
    <cfRule type="containsText" dxfId="10390" priority="12902" operator="containsText" text="Positive">
      <formula>NOT(ISERROR(SEARCH("Positive",L238)))</formula>
    </cfRule>
    <cfRule type="containsText" dxfId="10389" priority="12903" operator="containsText" text="Negative">
      <formula>NOT(ISERROR(SEARCH("Negative",L238)))</formula>
    </cfRule>
  </conditionalFormatting>
  <conditionalFormatting sqref="J238:K238">
    <cfRule type="containsText" dxfId="10388" priority="12901" operator="containsText" text="Missing">
      <formula>NOT(ISERROR(SEARCH("Missing",J238)))</formula>
    </cfRule>
  </conditionalFormatting>
  <conditionalFormatting sqref="H238">
    <cfRule type="containsText" dxfId="10387" priority="12898" operator="containsText" text="Missing">
      <formula>NOT(ISERROR(SEARCH("Missing",H238)))</formula>
    </cfRule>
  </conditionalFormatting>
  <conditionalFormatting sqref="L238">
    <cfRule type="containsText" dxfId="10386" priority="12899" operator="containsText" text="Positive">
      <formula>NOT(ISERROR(SEARCH("Positive",L238)))</formula>
    </cfRule>
    <cfRule type="containsText" dxfId="10385" priority="12900" operator="containsText" text="Negative">
      <formula>NOT(ISERROR(SEARCH("Negative",L238)))</formula>
    </cfRule>
  </conditionalFormatting>
  <conditionalFormatting sqref="I238">
    <cfRule type="containsText" dxfId="10384" priority="12897" operator="containsText" text="Missing">
      <formula>NOT(ISERROR(SEARCH("Missing",I238)))</formula>
    </cfRule>
  </conditionalFormatting>
  <conditionalFormatting sqref="H241:H242">
    <cfRule type="containsText" dxfId="10383" priority="12896" operator="containsText" text="Missing">
      <formula>NOT(ISERROR(SEARCH("Missing",H241)))</formula>
    </cfRule>
  </conditionalFormatting>
  <conditionalFormatting sqref="L241:L242">
    <cfRule type="containsText" dxfId="10382" priority="12894" operator="containsText" text="Positive">
      <formula>NOT(ISERROR(SEARCH("Positive",L241)))</formula>
    </cfRule>
    <cfRule type="containsText" dxfId="10381" priority="12895" operator="containsText" text="Negative">
      <formula>NOT(ISERROR(SEARCH("Negative",L241)))</formula>
    </cfRule>
  </conditionalFormatting>
  <conditionalFormatting sqref="I241:I242">
    <cfRule type="containsText" dxfId="10380" priority="12889" operator="containsText" text="Missing">
      <formula>NOT(ISERROR(SEARCH("Missing",I241)))</formula>
    </cfRule>
  </conditionalFormatting>
  <conditionalFormatting sqref="J241:K242">
    <cfRule type="containsText" dxfId="10379" priority="12893" operator="containsText" text="Missing">
      <formula>NOT(ISERROR(SEARCH("Missing",J241)))</formula>
    </cfRule>
  </conditionalFormatting>
  <conditionalFormatting sqref="H241:H242">
    <cfRule type="containsText" dxfId="10378" priority="12890" operator="containsText" text="Missing">
      <formula>NOT(ISERROR(SEARCH("Missing",H241)))</formula>
    </cfRule>
  </conditionalFormatting>
  <conditionalFormatting sqref="L241:L242">
    <cfRule type="containsText" dxfId="10377" priority="12891" operator="containsText" text="Positive">
      <formula>NOT(ISERROR(SEARCH("Positive",L241)))</formula>
    </cfRule>
    <cfRule type="containsText" dxfId="10376" priority="12892" operator="containsText" text="Negative">
      <formula>NOT(ISERROR(SEARCH("Negative",L241)))</formula>
    </cfRule>
  </conditionalFormatting>
  <conditionalFormatting sqref="I248:I249">
    <cfRule type="containsText" dxfId="10375" priority="12888" operator="containsText" text="Missing">
      <formula>NOT(ISERROR(SEARCH("Missing",I248)))</formula>
    </cfRule>
  </conditionalFormatting>
  <conditionalFormatting sqref="H256:K256">
    <cfRule type="containsText" dxfId="10374" priority="12887" operator="containsText" text="Missing">
      <formula>NOT(ISERROR(SEARCH("Missing",H256)))</formula>
    </cfRule>
  </conditionalFormatting>
  <conditionalFormatting sqref="L256">
    <cfRule type="containsText" dxfId="10373" priority="12885" operator="containsText" text="Positive">
      <formula>NOT(ISERROR(SEARCH("Positive",L256)))</formula>
    </cfRule>
    <cfRule type="containsText" dxfId="10372" priority="12886" operator="containsText" text="Negative">
      <formula>NOT(ISERROR(SEARCH("Negative",L256)))</formula>
    </cfRule>
  </conditionalFormatting>
  <conditionalFormatting sqref="L257:L258">
    <cfRule type="containsText" dxfId="10371" priority="12883" operator="containsText" text="Positive">
      <formula>NOT(ISERROR(SEARCH("Positive",L257)))</formula>
    </cfRule>
    <cfRule type="containsText" dxfId="10370" priority="12884" operator="containsText" text="Negative">
      <formula>NOT(ISERROR(SEARCH("Negative",L257)))</formula>
    </cfRule>
  </conditionalFormatting>
  <conditionalFormatting sqref="I262">
    <cfRule type="containsText" dxfId="10369" priority="12842" operator="containsText" text="Missing">
      <formula>NOT(ISERROR(SEARCH("Missing",I262)))</formula>
    </cfRule>
  </conditionalFormatting>
  <conditionalFormatting sqref="H260">
    <cfRule type="containsText" dxfId="10368" priority="12873" operator="containsText" text="Missing">
      <formula>NOT(ISERROR(SEARCH("Missing",H260)))</formula>
    </cfRule>
  </conditionalFormatting>
  <conditionalFormatting sqref="I260">
    <cfRule type="containsText" dxfId="10367" priority="12874" operator="containsText" text="Missing">
      <formula>NOT(ISERROR(SEARCH("Missing",I260)))</formula>
    </cfRule>
  </conditionalFormatting>
  <conditionalFormatting sqref="H265">
    <cfRule type="containsText" dxfId="10366" priority="12840" operator="containsText" text="Missing">
      <formula>NOT(ISERROR(SEARCH("Missing",H265)))</formula>
    </cfRule>
  </conditionalFormatting>
  <conditionalFormatting sqref="H263:H264">
    <cfRule type="containsText" dxfId="10365" priority="12876" operator="containsText" text="Missing">
      <formula>NOT(ISERROR(SEARCH("Missing",H263)))</formula>
    </cfRule>
  </conditionalFormatting>
  <conditionalFormatting sqref="J262:K262">
    <cfRule type="containsText" dxfId="10364" priority="12845" operator="containsText" text="Missing">
      <formula>NOT(ISERROR(SEARCH("Missing",J262)))</formula>
    </cfRule>
  </conditionalFormatting>
  <conditionalFormatting sqref="J261:K261 J263:K265">
    <cfRule type="containsText" dxfId="10363" priority="12879" operator="containsText" text="Missing">
      <formula>NOT(ISERROR(SEARCH("Missing",J261)))</formula>
    </cfRule>
  </conditionalFormatting>
  <conditionalFormatting sqref="L260">
    <cfRule type="containsText" dxfId="10362" priority="12880" operator="containsText" text="Positive">
      <formula>NOT(ISERROR(SEARCH("Positive",L260)))</formula>
    </cfRule>
    <cfRule type="containsText" dxfId="10361" priority="12881" operator="containsText" text="Negative">
      <formula>NOT(ISERROR(SEARCH("Negative",L260)))</formula>
    </cfRule>
  </conditionalFormatting>
  <conditionalFormatting sqref="J260:K260">
    <cfRule type="containsText" dxfId="10360" priority="12882" operator="containsText" text="Missing">
      <formula>NOT(ISERROR(SEARCH("Missing",J260)))</formula>
    </cfRule>
  </conditionalFormatting>
  <conditionalFormatting sqref="I261 I264">
    <cfRule type="containsText" dxfId="10359" priority="12875" operator="containsText" text="Missing">
      <formula>NOT(ISERROR(SEARCH("Missing",I261)))</formula>
    </cfRule>
  </conditionalFormatting>
  <conditionalFormatting sqref="L261 L263:L265">
    <cfRule type="containsText" dxfId="10358" priority="12877" operator="containsText" text="Positive">
      <formula>NOT(ISERROR(SEARCH("Positive",L261)))</formula>
    </cfRule>
    <cfRule type="containsText" dxfId="10357" priority="12878" operator="containsText" text="Negative">
      <formula>NOT(ISERROR(SEARCH("Negative",L261)))</formula>
    </cfRule>
  </conditionalFormatting>
  <conditionalFormatting sqref="H261">
    <cfRule type="containsText" dxfId="10356" priority="12872" operator="containsText" text="Missing">
      <formula>NOT(ISERROR(SEARCH("Missing",H261)))</formula>
    </cfRule>
  </conditionalFormatting>
  <conditionalFormatting sqref="H266">
    <cfRule type="containsText" dxfId="10355" priority="12868" operator="containsText" text="Missing">
      <formula>NOT(ISERROR(SEARCH("Missing",H266)))</formula>
    </cfRule>
  </conditionalFormatting>
  <conditionalFormatting sqref="J266:K266">
    <cfRule type="containsText" dxfId="10354" priority="12871" operator="containsText" text="Missing">
      <formula>NOT(ISERROR(SEARCH("Missing",J266)))</formula>
    </cfRule>
  </conditionalFormatting>
  <conditionalFormatting sqref="L266">
    <cfRule type="containsText" dxfId="10353" priority="12869" operator="containsText" text="Positive">
      <formula>NOT(ISERROR(SEARCH("Positive",L266)))</formula>
    </cfRule>
    <cfRule type="containsText" dxfId="10352" priority="12870" operator="containsText" text="Negative">
      <formula>NOT(ISERROR(SEARCH("Negative",L266)))</formula>
    </cfRule>
  </conditionalFormatting>
  <conditionalFormatting sqref="I267">
    <cfRule type="containsText" dxfId="10351" priority="12864" operator="containsText" text="Missing">
      <formula>NOT(ISERROR(SEARCH("Missing",I267)))</formula>
    </cfRule>
  </conditionalFormatting>
  <conditionalFormatting sqref="L267">
    <cfRule type="containsText" dxfId="10350" priority="12865" operator="containsText" text="Positive">
      <formula>NOT(ISERROR(SEARCH("Positive",L267)))</formula>
    </cfRule>
    <cfRule type="containsText" dxfId="10349" priority="12866" operator="containsText" text="Negative">
      <formula>NOT(ISERROR(SEARCH("Negative",L267)))</formula>
    </cfRule>
  </conditionalFormatting>
  <conditionalFormatting sqref="J267:K267">
    <cfRule type="containsText" dxfId="10348" priority="12867" operator="containsText" text="Missing">
      <formula>NOT(ISERROR(SEARCH("Missing",J267)))</formula>
    </cfRule>
  </conditionalFormatting>
  <conditionalFormatting sqref="I266">
    <cfRule type="containsText" dxfId="10347" priority="12863" operator="containsText" text="Missing">
      <formula>NOT(ISERROR(SEARCH("Missing",I266)))</formula>
    </cfRule>
  </conditionalFormatting>
  <conditionalFormatting sqref="J268:K268">
    <cfRule type="containsText" dxfId="10346" priority="12860" operator="containsText" text="Missing">
      <formula>NOT(ISERROR(SEARCH("Missing",J268)))</formula>
    </cfRule>
  </conditionalFormatting>
  <conditionalFormatting sqref="I265">
    <cfRule type="containsText" dxfId="10345" priority="12862" operator="containsText" text="Missing">
      <formula>NOT(ISERROR(SEARCH("Missing",I265)))</formula>
    </cfRule>
  </conditionalFormatting>
  <conditionalFormatting sqref="H267">
    <cfRule type="containsText" dxfId="10344" priority="12861" operator="containsText" text="Missing">
      <formula>NOT(ISERROR(SEARCH("Missing",H267)))</formula>
    </cfRule>
  </conditionalFormatting>
  <conditionalFormatting sqref="L269">
    <cfRule type="containsText" dxfId="10343" priority="12855" operator="containsText" text="Positive">
      <formula>NOT(ISERROR(SEARCH("Positive",L269)))</formula>
    </cfRule>
    <cfRule type="containsText" dxfId="10342" priority="12856" operator="containsText" text="Negative">
      <formula>NOT(ISERROR(SEARCH("Negative",L269)))</formula>
    </cfRule>
  </conditionalFormatting>
  <conditionalFormatting sqref="J269:K269">
    <cfRule type="containsText" dxfId="10341" priority="12857" operator="containsText" text="Missing">
      <formula>NOT(ISERROR(SEARCH("Missing",J269)))</formula>
    </cfRule>
  </conditionalFormatting>
  <conditionalFormatting sqref="L268">
    <cfRule type="containsText" dxfId="10340" priority="12858" operator="containsText" text="Positive">
      <formula>NOT(ISERROR(SEARCH("Positive",L268)))</formula>
    </cfRule>
    <cfRule type="containsText" dxfId="10339" priority="12859" operator="containsText" text="Negative">
      <formula>NOT(ISERROR(SEARCH("Negative",L268)))</formula>
    </cfRule>
  </conditionalFormatting>
  <conditionalFormatting sqref="H268">
    <cfRule type="containsText" dxfId="10338" priority="12854" operator="containsText" text="Missing">
      <formula>NOT(ISERROR(SEARCH("Missing",H268)))</formula>
    </cfRule>
  </conditionalFormatting>
  <conditionalFormatting sqref="I268:I269">
    <cfRule type="containsText" dxfId="10337" priority="12852" operator="containsText" text="Missing">
      <formula>NOT(ISERROR(SEARCH("Missing",I268)))</formula>
    </cfRule>
  </conditionalFormatting>
  <conditionalFormatting sqref="H269">
    <cfRule type="containsText" dxfId="10336" priority="12853" operator="containsText" text="Missing">
      <formula>NOT(ISERROR(SEARCH("Missing",H269)))</formula>
    </cfRule>
  </conditionalFormatting>
  <conditionalFormatting sqref="H270:K270">
    <cfRule type="containsText" dxfId="10335" priority="12851" operator="containsText" text="Missing">
      <formula>NOT(ISERROR(SEARCH("Missing",H270)))</formula>
    </cfRule>
  </conditionalFormatting>
  <conditionalFormatting sqref="L270">
    <cfRule type="containsText" dxfId="10334" priority="12849" operator="containsText" text="Positive">
      <formula>NOT(ISERROR(SEARCH("Positive",L270)))</formula>
    </cfRule>
    <cfRule type="containsText" dxfId="10333" priority="12850" operator="containsText" text="Negative">
      <formula>NOT(ISERROR(SEARCH("Negative",L270)))</formula>
    </cfRule>
  </conditionalFormatting>
  <conditionalFormatting sqref="H271:K271">
    <cfRule type="containsText" dxfId="10332" priority="12848" operator="containsText" text="Missing">
      <formula>NOT(ISERROR(SEARCH("Missing",H271)))</formula>
    </cfRule>
  </conditionalFormatting>
  <conditionalFormatting sqref="L271">
    <cfRule type="containsText" dxfId="10331" priority="12846" operator="containsText" text="Positive">
      <formula>NOT(ISERROR(SEARCH("Positive",L271)))</formula>
    </cfRule>
    <cfRule type="containsText" dxfId="10330" priority="12847" operator="containsText" text="Negative">
      <formula>NOT(ISERROR(SEARCH("Negative",L271)))</formula>
    </cfRule>
  </conditionalFormatting>
  <conditionalFormatting sqref="H262">
    <cfRule type="containsText" dxfId="10329" priority="12841" operator="containsText" text="Missing">
      <formula>NOT(ISERROR(SEARCH("Missing",H262)))</formula>
    </cfRule>
  </conditionalFormatting>
  <conditionalFormatting sqref="L262">
    <cfRule type="containsText" dxfId="10328" priority="12843" operator="containsText" text="Positive">
      <formula>NOT(ISERROR(SEARCH("Positive",L262)))</formula>
    </cfRule>
    <cfRule type="containsText" dxfId="10327" priority="12844" operator="containsText" text="Negative">
      <formula>NOT(ISERROR(SEARCH("Negative",L262)))</formula>
    </cfRule>
  </conditionalFormatting>
  <conditionalFormatting sqref="L272">
    <cfRule type="containsText" dxfId="10326" priority="12838" operator="containsText" text="Positive">
      <formula>NOT(ISERROR(SEARCH("Positive",L272)))</formula>
    </cfRule>
    <cfRule type="containsText" dxfId="10325" priority="12839" operator="containsText" text="Negative">
      <formula>NOT(ISERROR(SEARCH("Negative",L272)))</formula>
    </cfRule>
  </conditionalFormatting>
  <conditionalFormatting sqref="I272">
    <cfRule type="containsText" dxfId="10324" priority="12835" operator="containsText" text="Missing">
      <formula>NOT(ISERROR(SEARCH("Missing",I272)))</formula>
    </cfRule>
  </conditionalFormatting>
  <conditionalFormatting sqref="L272">
    <cfRule type="containsText" dxfId="10323" priority="12836" operator="containsText" text="Positive">
      <formula>NOT(ISERROR(SEARCH("Positive",L272)))</formula>
    </cfRule>
    <cfRule type="containsText" dxfId="10322" priority="12837" operator="containsText" text="Negative">
      <formula>NOT(ISERROR(SEARCH("Negative",L272)))</formula>
    </cfRule>
  </conditionalFormatting>
  <conditionalFormatting sqref="J274:K274 J276:K277">
    <cfRule type="containsText" dxfId="10321" priority="12834" operator="containsText" text="Missing">
      <formula>NOT(ISERROR(SEARCH("Missing",J274)))</formula>
    </cfRule>
  </conditionalFormatting>
  <conditionalFormatting sqref="L274 L276:L277">
    <cfRule type="containsText" dxfId="10320" priority="12832" operator="containsText" text="Positive">
      <formula>NOT(ISERROR(SEARCH("Positive",L274)))</formula>
    </cfRule>
    <cfRule type="containsText" dxfId="10319" priority="12833" operator="containsText" text="Negative">
      <formula>NOT(ISERROR(SEARCH("Negative",L274)))</formula>
    </cfRule>
  </conditionalFormatting>
  <conditionalFormatting sqref="J283:K283 J285:K287">
    <cfRule type="containsText" dxfId="10318" priority="12823" operator="containsText" text="Missing">
      <formula>NOT(ISERROR(SEARCH("Missing",J283)))</formula>
    </cfRule>
  </conditionalFormatting>
  <conditionalFormatting sqref="H278:K278">
    <cfRule type="containsText" dxfId="10317" priority="12831" operator="containsText" text="Missing">
      <formula>NOT(ISERROR(SEARCH("Missing",H278)))</formula>
    </cfRule>
  </conditionalFormatting>
  <conditionalFormatting sqref="I284">
    <cfRule type="containsText" dxfId="10316" priority="12786" operator="containsText" text="Missing">
      <formula>NOT(ISERROR(SEARCH("Missing",I284)))</formula>
    </cfRule>
  </conditionalFormatting>
  <conditionalFormatting sqref="H282">
    <cfRule type="containsText" dxfId="10315" priority="12817" operator="containsText" text="Missing">
      <formula>NOT(ISERROR(SEARCH("Missing",H282)))</formula>
    </cfRule>
  </conditionalFormatting>
  <conditionalFormatting sqref="I282">
    <cfRule type="containsText" dxfId="10314" priority="12818" operator="containsText" text="Missing">
      <formula>NOT(ISERROR(SEARCH("Missing",I282)))</formula>
    </cfRule>
  </conditionalFormatting>
  <conditionalFormatting sqref="H287">
    <cfRule type="containsText" dxfId="10313" priority="12784" operator="containsText" text="Missing">
      <formula>NOT(ISERROR(SEARCH("Missing",H287)))</formula>
    </cfRule>
  </conditionalFormatting>
  <conditionalFormatting sqref="H285:H286">
    <cfRule type="containsText" dxfId="10312" priority="12820" operator="containsText" text="Missing">
      <formula>NOT(ISERROR(SEARCH("Missing",H285)))</formula>
    </cfRule>
  </conditionalFormatting>
  <conditionalFormatting sqref="L278">
    <cfRule type="containsText" dxfId="10311" priority="12829" operator="containsText" text="Positive">
      <formula>NOT(ISERROR(SEARCH("Positive",L278)))</formula>
    </cfRule>
    <cfRule type="containsText" dxfId="10310" priority="12830" operator="containsText" text="Negative">
      <formula>NOT(ISERROR(SEARCH("Negative",L278)))</formula>
    </cfRule>
  </conditionalFormatting>
  <conditionalFormatting sqref="L279:L280">
    <cfRule type="containsText" dxfId="10309" priority="12827" operator="containsText" text="Positive">
      <formula>NOT(ISERROR(SEARCH("Positive",L279)))</formula>
    </cfRule>
    <cfRule type="containsText" dxfId="10308" priority="12828" operator="containsText" text="Negative">
      <formula>NOT(ISERROR(SEARCH("Negative",L279)))</formula>
    </cfRule>
  </conditionalFormatting>
  <conditionalFormatting sqref="J284:K284">
    <cfRule type="containsText" dxfId="10307" priority="12789" operator="containsText" text="Missing">
      <formula>NOT(ISERROR(SEARCH("Missing",J284)))</formula>
    </cfRule>
  </conditionalFormatting>
  <conditionalFormatting sqref="L282">
    <cfRule type="containsText" dxfId="10306" priority="12824" operator="containsText" text="Positive">
      <formula>NOT(ISERROR(SEARCH("Positive",L282)))</formula>
    </cfRule>
    <cfRule type="containsText" dxfId="10305" priority="12825" operator="containsText" text="Negative">
      <formula>NOT(ISERROR(SEARCH("Negative",L282)))</formula>
    </cfRule>
  </conditionalFormatting>
  <conditionalFormatting sqref="J282:K282">
    <cfRule type="containsText" dxfId="10304" priority="12826" operator="containsText" text="Missing">
      <formula>NOT(ISERROR(SEARCH("Missing",J282)))</formula>
    </cfRule>
  </conditionalFormatting>
  <conditionalFormatting sqref="I283 I286">
    <cfRule type="containsText" dxfId="10303" priority="12819" operator="containsText" text="Missing">
      <formula>NOT(ISERROR(SEARCH("Missing",I283)))</formula>
    </cfRule>
  </conditionalFormatting>
  <conditionalFormatting sqref="L283 L285:L287">
    <cfRule type="containsText" dxfId="10302" priority="12821" operator="containsText" text="Positive">
      <formula>NOT(ISERROR(SEARCH("Positive",L283)))</formula>
    </cfRule>
    <cfRule type="containsText" dxfId="10301" priority="12822" operator="containsText" text="Negative">
      <formula>NOT(ISERROR(SEARCH("Negative",L283)))</formula>
    </cfRule>
  </conditionalFormatting>
  <conditionalFormatting sqref="H283">
    <cfRule type="containsText" dxfId="10300" priority="12816" operator="containsText" text="Missing">
      <formula>NOT(ISERROR(SEARCH("Missing",H283)))</formula>
    </cfRule>
  </conditionalFormatting>
  <conditionalFormatting sqref="H288">
    <cfRule type="containsText" dxfId="10299" priority="12812" operator="containsText" text="Missing">
      <formula>NOT(ISERROR(SEARCH("Missing",H288)))</formula>
    </cfRule>
  </conditionalFormatting>
  <conditionalFormatting sqref="J288:K288">
    <cfRule type="containsText" dxfId="10298" priority="12815" operator="containsText" text="Missing">
      <formula>NOT(ISERROR(SEARCH("Missing",J288)))</formula>
    </cfRule>
  </conditionalFormatting>
  <conditionalFormatting sqref="L288">
    <cfRule type="containsText" dxfId="10297" priority="12813" operator="containsText" text="Positive">
      <formula>NOT(ISERROR(SEARCH("Positive",L288)))</formula>
    </cfRule>
    <cfRule type="containsText" dxfId="10296" priority="12814" operator="containsText" text="Negative">
      <formula>NOT(ISERROR(SEARCH("Negative",L288)))</formula>
    </cfRule>
  </conditionalFormatting>
  <conditionalFormatting sqref="I289">
    <cfRule type="containsText" dxfId="10295" priority="12808" operator="containsText" text="Missing">
      <formula>NOT(ISERROR(SEARCH("Missing",I289)))</formula>
    </cfRule>
  </conditionalFormatting>
  <conditionalFormatting sqref="L289">
    <cfRule type="containsText" dxfId="10294" priority="12809" operator="containsText" text="Positive">
      <formula>NOT(ISERROR(SEARCH("Positive",L289)))</formula>
    </cfRule>
    <cfRule type="containsText" dxfId="10293" priority="12810" operator="containsText" text="Negative">
      <formula>NOT(ISERROR(SEARCH("Negative",L289)))</formula>
    </cfRule>
  </conditionalFormatting>
  <conditionalFormatting sqref="J289:K289">
    <cfRule type="containsText" dxfId="10292" priority="12811" operator="containsText" text="Missing">
      <formula>NOT(ISERROR(SEARCH("Missing",J289)))</formula>
    </cfRule>
  </conditionalFormatting>
  <conditionalFormatting sqref="I288">
    <cfRule type="containsText" dxfId="10291" priority="12807" operator="containsText" text="Missing">
      <formula>NOT(ISERROR(SEARCH("Missing",I288)))</formula>
    </cfRule>
  </conditionalFormatting>
  <conditionalFormatting sqref="J290:K290">
    <cfRule type="containsText" dxfId="10290" priority="12804" operator="containsText" text="Missing">
      <formula>NOT(ISERROR(SEARCH("Missing",J290)))</formula>
    </cfRule>
  </conditionalFormatting>
  <conditionalFormatting sqref="I287">
    <cfRule type="containsText" dxfId="10289" priority="12806" operator="containsText" text="Missing">
      <formula>NOT(ISERROR(SEARCH("Missing",I287)))</formula>
    </cfRule>
  </conditionalFormatting>
  <conditionalFormatting sqref="H289">
    <cfRule type="containsText" dxfId="10288" priority="12805" operator="containsText" text="Missing">
      <formula>NOT(ISERROR(SEARCH("Missing",H289)))</formula>
    </cfRule>
  </conditionalFormatting>
  <conditionalFormatting sqref="L291">
    <cfRule type="containsText" dxfId="10287" priority="12799" operator="containsText" text="Positive">
      <formula>NOT(ISERROR(SEARCH("Positive",L291)))</formula>
    </cfRule>
    <cfRule type="containsText" dxfId="10286" priority="12800" operator="containsText" text="Negative">
      <formula>NOT(ISERROR(SEARCH("Negative",L291)))</formula>
    </cfRule>
  </conditionalFormatting>
  <conditionalFormatting sqref="J291:K291">
    <cfRule type="containsText" dxfId="10285" priority="12801" operator="containsText" text="Missing">
      <formula>NOT(ISERROR(SEARCH("Missing",J291)))</formula>
    </cfRule>
  </conditionalFormatting>
  <conditionalFormatting sqref="L290">
    <cfRule type="containsText" dxfId="10284" priority="12802" operator="containsText" text="Positive">
      <formula>NOT(ISERROR(SEARCH("Positive",L290)))</formula>
    </cfRule>
    <cfRule type="containsText" dxfId="10283" priority="12803" operator="containsText" text="Negative">
      <formula>NOT(ISERROR(SEARCH("Negative",L290)))</formula>
    </cfRule>
  </conditionalFormatting>
  <conditionalFormatting sqref="H290">
    <cfRule type="containsText" dxfId="10282" priority="12798" operator="containsText" text="Missing">
      <formula>NOT(ISERROR(SEARCH("Missing",H290)))</formula>
    </cfRule>
  </conditionalFormatting>
  <conditionalFormatting sqref="I290:I291">
    <cfRule type="containsText" dxfId="10281" priority="12796" operator="containsText" text="Missing">
      <formula>NOT(ISERROR(SEARCH("Missing",I290)))</formula>
    </cfRule>
  </conditionalFormatting>
  <conditionalFormatting sqref="H291">
    <cfRule type="containsText" dxfId="10280" priority="12797" operator="containsText" text="Missing">
      <formula>NOT(ISERROR(SEARCH("Missing",H291)))</formula>
    </cfRule>
  </conditionalFormatting>
  <conditionalFormatting sqref="H292:K292">
    <cfRule type="containsText" dxfId="10279" priority="12795" operator="containsText" text="Missing">
      <formula>NOT(ISERROR(SEARCH("Missing",H292)))</formula>
    </cfRule>
  </conditionalFormatting>
  <conditionalFormatting sqref="L292">
    <cfRule type="containsText" dxfId="10278" priority="12793" operator="containsText" text="Positive">
      <formula>NOT(ISERROR(SEARCH("Positive",L292)))</formula>
    </cfRule>
    <cfRule type="containsText" dxfId="10277" priority="12794" operator="containsText" text="Negative">
      <formula>NOT(ISERROR(SEARCH("Negative",L292)))</formula>
    </cfRule>
  </conditionalFormatting>
  <conditionalFormatting sqref="H293:K293">
    <cfRule type="containsText" dxfId="10276" priority="12792" operator="containsText" text="Missing">
      <formula>NOT(ISERROR(SEARCH("Missing",H293)))</formula>
    </cfRule>
  </conditionalFormatting>
  <conditionalFormatting sqref="L293">
    <cfRule type="containsText" dxfId="10275" priority="12790" operator="containsText" text="Positive">
      <formula>NOT(ISERROR(SEARCH("Positive",L293)))</formula>
    </cfRule>
    <cfRule type="containsText" dxfId="10274" priority="12791" operator="containsText" text="Negative">
      <formula>NOT(ISERROR(SEARCH("Negative",L293)))</formula>
    </cfRule>
  </conditionalFormatting>
  <conditionalFormatting sqref="H284">
    <cfRule type="containsText" dxfId="10273" priority="12785" operator="containsText" text="Missing">
      <formula>NOT(ISERROR(SEARCH("Missing",H284)))</formula>
    </cfRule>
  </conditionalFormatting>
  <conditionalFormatting sqref="L284">
    <cfRule type="containsText" dxfId="10272" priority="12787" operator="containsText" text="Positive">
      <formula>NOT(ISERROR(SEARCH("Positive",L284)))</formula>
    </cfRule>
    <cfRule type="containsText" dxfId="10271" priority="12788" operator="containsText" text="Negative">
      <formula>NOT(ISERROR(SEARCH("Negative",L284)))</formula>
    </cfRule>
  </conditionalFormatting>
  <conditionalFormatting sqref="H294">
    <cfRule type="containsText" dxfId="10270" priority="12783" operator="containsText" text="Missing">
      <formula>NOT(ISERROR(SEARCH("Missing",H294)))</formula>
    </cfRule>
  </conditionalFormatting>
  <conditionalFormatting sqref="L294">
    <cfRule type="containsText" dxfId="10269" priority="12781" operator="containsText" text="Positive">
      <formula>NOT(ISERROR(SEARCH("Positive",L294)))</formula>
    </cfRule>
    <cfRule type="containsText" dxfId="10268" priority="12782" operator="containsText" text="Negative">
      <formula>NOT(ISERROR(SEARCH("Negative",L294)))</formula>
    </cfRule>
  </conditionalFormatting>
  <conditionalFormatting sqref="I294">
    <cfRule type="containsText" dxfId="10267" priority="12776" operator="containsText" text="Missing">
      <formula>NOT(ISERROR(SEARCH("Missing",I294)))</formula>
    </cfRule>
  </conditionalFormatting>
  <conditionalFormatting sqref="J294:K295">
    <cfRule type="containsText" dxfId="10266" priority="12780" operator="containsText" text="Missing">
      <formula>NOT(ISERROR(SEARCH("Missing",J294)))</formula>
    </cfRule>
  </conditionalFormatting>
  <conditionalFormatting sqref="H294">
    <cfRule type="containsText" dxfId="10265" priority="12777" operator="containsText" text="Missing">
      <formula>NOT(ISERROR(SEARCH("Missing",H294)))</formula>
    </cfRule>
  </conditionalFormatting>
  <conditionalFormatting sqref="L294">
    <cfRule type="containsText" dxfId="10264" priority="12778" operator="containsText" text="Positive">
      <formula>NOT(ISERROR(SEARCH("Positive",L294)))</formula>
    </cfRule>
    <cfRule type="containsText" dxfId="10263" priority="12779" operator="containsText" text="Negative">
      <formula>NOT(ISERROR(SEARCH("Negative",L294)))</formula>
    </cfRule>
  </conditionalFormatting>
  <conditionalFormatting sqref="I296">
    <cfRule type="containsText" dxfId="10262" priority="12772" operator="containsText" text="Missing">
      <formula>NOT(ISERROR(SEARCH("Missing",I296)))</formula>
    </cfRule>
  </conditionalFormatting>
  <conditionalFormatting sqref="J296:K296">
    <cfRule type="containsText" dxfId="10261" priority="12775" operator="containsText" text="Missing">
      <formula>NOT(ISERROR(SEARCH("Missing",J296)))</formula>
    </cfRule>
  </conditionalFormatting>
  <conditionalFormatting sqref="L296">
    <cfRule type="containsText" dxfId="10260" priority="12773" operator="containsText" text="Positive">
      <formula>NOT(ISERROR(SEARCH("Positive",L296)))</formula>
    </cfRule>
    <cfRule type="containsText" dxfId="10259" priority="12774" operator="containsText" text="Negative">
      <formula>NOT(ISERROR(SEARCH("Negative",L296)))</formula>
    </cfRule>
  </conditionalFormatting>
  <conditionalFormatting sqref="H296">
    <cfRule type="containsText" dxfId="10258" priority="12771" operator="containsText" text="Missing">
      <formula>NOT(ISERROR(SEARCH("Missing",H296)))</formula>
    </cfRule>
  </conditionalFormatting>
  <conditionalFormatting sqref="I313">
    <cfRule type="containsText" dxfId="10257" priority="12729" operator="containsText" text="Missing">
      <formula>NOT(ISERROR(SEARCH("Missing",I313)))</formula>
    </cfRule>
  </conditionalFormatting>
  <conditionalFormatting sqref="H309">
    <cfRule type="containsText" dxfId="10256" priority="12736" operator="containsText" text="Missing">
      <formula>NOT(ISERROR(SEARCH("Missing",H309)))</formula>
    </cfRule>
  </conditionalFormatting>
  <conditionalFormatting sqref="H304">
    <cfRule type="containsText" dxfId="10255" priority="12759" operator="containsText" text="Missing">
      <formula>NOT(ISERROR(SEARCH("Missing",H304)))</formula>
    </cfRule>
  </conditionalFormatting>
  <conditionalFormatting sqref="I304">
    <cfRule type="containsText" dxfId="10254" priority="12760" operator="containsText" text="Missing">
      <formula>NOT(ISERROR(SEARCH("Missing",I304)))</formula>
    </cfRule>
  </conditionalFormatting>
  <conditionalFormatting sqref="I331 I333 I335 I337 I339">
    <cfRule type="containsText" dxfId="10253" priority="12717" operator="containsText" text="Missing">
      <formula>NOT(ISERROR(SEARCH("Missing",I331)))</formula>
    </cfRule>
  </conditionalFormatting>
  <conditionalFormatting sqref="H307:H308">
    <cfRule type="containsText" dxfId="10252" priority="12762" operator="containsText" text="Missing">
      <formula>NOT(ISERROR(SEARCH("Missing",H307)))</formula>
    </cfRule>
  </conditionalFormatting>
  <conditionalFormatting sqref="L301:L302">
    <cfRule type="containsText" dxfId="10251" priority="12769" operator="containsText" text="Positive">
      <formula>NOT(ISERROR(SEARCH("Positive",L301)))</formula>
    </cfRule>
    <cfRule type="containsText" dxfId="10250" priority="12770" operator="containsText" text="Negative">
      <formula>NOT(ISERROR(SEARCH("Negative",L301)))</formula>
    </cfRule>
  </conditionalFormatting>
  <conditionalFormatting sqref="J306:K306">
    <cfRule type="containsText" dxfId="10249" priority="12739" operator="containsText" text="Missing">
      <formula>NOT(ISERROR(SEARCH("Missing",J306)))</formula>
    </cfRule>
  </conditionalFormatting>
  <conditionalFormatting sqref="J305:K305 J307:K309">
    <cfRule type="containsText" dxfId="10248" priority="12765" operator="containsText" text="Missing">
      <formula>NOT(ISERROR(SEARCH("Missing",J305)))</formula>
    </cfRule>
  </conditionalFormatting>
  <conditionalFormatting sqref="L304">
    <cfRule type="containsText" dxfId="10247" priority="12766" operator="containsText" text="Positive">
      <formula>NOT(ISERROR(SEARCH("Positive",L304)))</formula>
    </cfRule>
    <cfRule type="containsText" dxfId="10246" priority="12767" operator="containsText" text="Negative">
      <formula>NOT(ISERROR(SEARCH("Negative",L304)))</formula>
    </cfRule>
  </conditionalFormatting>
  <conditionalFormatting sqref="J304:K304">
    <cfRule type="containsText" dxfId="10245" priority="12768" operator="containsText" text="Missing">
      <formula>NOT(ISERROR(SEARCH("Missing",J304)))</formula>
    </cfRule>
  </conditionalFormatting>
  <conditionalFormatting sqref="I305 I307:I311">
    <cfRule type="containsText" dxfId="10244" priority="12761" operator="containsText" text="Missing">
      <formula>NOT(ISERROR(SEARCH("Missing",I305)))</formula>
    </cfRule>
  </conditionalFormatting>
  <conditionalFormatting sqref="L305 L307:L309">
    <cfRule type="containsText" dxfId="10243" priority="12763" operator="containsText" text="Positive">
      <formula>NOT(ISERROR(SEARCH("Positive",L305)))</formula>
    </cfRule>
    <cfRule type="containsText" dxfId="10242" priority="12764" operator="containsText" text="Negative">
      <formula>NOT(ISERROR(SEARCH("Negative",L305)))</formula>
    </cfRule>
  </conditionalFormatting>
  <conditionalFormatting sqref="H305">
    <cfRule type="containsText" dxfId="10241" priority="12758" operator="containsText" text="Missing">
      <formula>NOT(ISERROR(SEARCH("Missing",H305)))</formula>
    </cfRule>
  </conditionalFormatting>
  <conditionalFormatting sqref="J312:K312">
    <cfRule type="containsText" dxfId="10240" priority="12748" operator="containsText" text="Missing">
      <formula>NOT(ISERROR(SEARCH("Missing",J312)))</formula>
    </cfRule>
  </conditionalFormatting>
  <conditionalFormatting sqref="J310:K310">
    <cfRule type="containsText" dxfId="10239" priority="12757" operator="containsText" text="Missing">
      <formula>NOT(ISERROR(SEARCH("Missing",J310)))</formula>
    </cfRule>
  </conditionalFormatting>
  <conditionalFormatting sqref="L310">
    <cfRule type="containsText" dxfId="10238" priority="12755" operator="containsText" text="Positive">
      <formula>NOT(ISERROR(SEARCH("Positive",L310)))</formula>
    </cfRule>
    <cfRule type="containsText" dxfId="10237" priority="12756" operator="containsText" text="Negative">
      <formula>NOT(ISERROR(SEARCH("Negative",L310)))</formula>
    </cfRule>
  </conditionalFormatting>
  <conditionalFormatting sqref="I311">
    <cfRule type="containsText" dxfId="10236" priority="12751" operator="containsText" text="Missing">
      <formula>NOT(ISERROR(SEARCH("Missing",I311)))</formula>
    </cfRule>
  </conditionalFormatting>
  <conditionalFormatting sqref="L311">
    <cfRule type="containsText" dxfId="10235" priority="12752" operator="containsText" text="Positive">
      <formula>NOT(ISERROR(SEARCH("Positive",L311)))</formula>
    </cfRule>
    <cfRule type="containsText" dxfId="10234" priority="12753" operator="containsText" text="Negative">
      <formula>NOT(ISERROR(SEARCH("Negative",L311)))</formula>
    </cfRule>
  </conditionalFormatting>
  <conditionalFormatting sqref="J311:K311">
    <cfRule type="containsText" dxfId="10233" priority="12754" operator="containsText" text="Missing">
      <formula>NOT(ISERROR(SEARCH("Missing",J311)))</formula>
    </cfRule>
  </conditionalFormatting>
  <conditionalFormatting sqref="I310">
    <cfRule type="containsText" dxfId="10232" priority="12750" operator="containsText" text="Missing">
      <formula>NOT(ISERROR(SEARCH("Missing",I310)))</formula>
    </cfRule>
  </conditionalFormatting>
  <conditionalFormatting sqref="H342:H343">
    <cfRule type="containsText" dxfId="10231" priority="12697" operator="containsText" text="Missing">
      <formula>NOT(ISERROR(SEARCH("Missing",H342)))</formula>
    </cfRule>
  </conditionalFormatting>
  <conditionalFormatting sqref="I309">
    <cfRule type="containsText" dxfId="10230" priority="12749" operator="containsText" text="Missing">
      <formula>NOT(ISERROR(SEARCH("Missing",I309)))</formula>
    </cfRule>
  </conditionalFormatting>
  <conditionalFormatting sqref="I314 I329">
    <cfRule type="containsText" dxfId="10229" priority="12730" operator="containsText" text="Missing">
      <formula>NOT(ISERROR(SEARCH("Missing",I314)))</formula>
    </cfRule>
  </conditionalFormatting>
  <conditionalFormatting sqref="L313">
    <cfRule type="containsText" dxfId="10228" priority="12743" operator="containsText" text="Positive">
      <formula>NOT(ISERROR(SEARCH("Positive",L313)))</formula>
    </cfRule>
    <cfRule type="containsText" dxfId="10227" priority="12744" operator="containsText" text="Negative">
      <formula>NOT(ISERROR(SEARCH("Negative",L313)))</formula>
    </cfRule>
  </conditionalFormatting>
  <conditionalFormatting sqref="J313:K313">
    <cfRule type="containsText" dxfId="10226" priority="12745" operator="containsText" text="Missing">
      <formula>NOT(ISERROR(SEARCH("Missing",J313)))</formula>
    </cfRule>
  </conditionalFormatting>
  <conditionalFormatting sqref="L312">
    <cfRule type="containsText" dxfId="10225" priority="12746" operator="containsText" text="Positive">
      <formula>NOT(ISERROR(SEARCH("Positive",L312)))</formula>
    </cfRule>
    <cfRule type="containsText" dxfId="10224" priority="12747" operator="containsText" text="Negative">
      <formula>NOT(ISERROR(SEARCH("Negative",L312)))</formula>
    </cfRule>
  </conditionalFormatting>
  <conditionalFormatting sqref="H306">
    <cfRule type="containsText" dxfId="10223" priority="12728" operator="containsText" text="Missing">
      <formula>NOT(ISERROR(SEARCH("Missing",H306)))</formula>
    </cfRule>
  </conditionalFormatting>
  <conditionalFormatting sqref="H342:H343">
    <cfRule type="containsText" dxfId="10222" priority="12703" operator="containsText" text="Missing">
      <formula>NOT(ISERROR(SEARCH("Missing",H342)))</formula>
    </cfRule>
  </conditionalFormatting>
  <conditionalFormatting sqref="H328">
    <cfRule type="containsText" dxfId="10221" priority="12720" operator="containsText" text="Missing">
      <formula>NOT(ISERROR(SEARCH("Missing",H328)))</formula>
    </cfRule>
  </conditionalFormatting>
  <conditionalFormatting sqref="J314:K314 J329:K329">
    <cfRule type="containsText" dxfId="10220" priority="12742" operator="containsText" text="Missing">
      <formula>NOT(ISERROR(SEARCH("Missing",J314)))</formula>
    </cfRule>
  </conditionalFormatting>
  <conditionalFormatting sqref="L314">
    <cfRule type="containsText" dxfId="10219" priority="12740" operator="containsText" text="Positive">
      <formula>NOT(ISERROR(SEARCH("Positive",L314)))</formula>
    </cfRule>
    <cfRule type="containsText" dxfId="10218" priority="12741" operator="containsText" text="Negative">
      <formula>NOT(ISERROR(SEARCH("Negative",L314)))</formula>
    </cfRule>
  </conditionalFormatting>
  <conditionalFormatting sqref="L328">
    <cfRule type="containsText" dxfId="10217" priority="12722" operator="containsText" text="Positive">
      <formula>NOT(ISERROR(SEARCH("Positive",L328)))</formula>
    </cfRule>
    <cfRule type="containsText" dxfId="10216" priority="12723" operator="containsText" text="Negative">
      <formula>NOT(ISERROR(SEARCH("Negative",L328)))</formula>
    </cfRule>
  </conditionalFormatting>
  <conditionalFormatting sqref="H340:H341">
    <cfRule type="containsText" dxfId="10215" priority="12705" operator="containsText" text="Missing">
      <formula>NOT(ISERROR(SEARCH("Missing",H340)))</formula>
    </cfRule>
  </conditionalFormatting>
  <conditionalFormatting sqref="L306">
    <cfRule type="containsText" dxfId="10214" priority="12737" operator="containsText" text="Positive">
      <formula>NOT(ISERROR(SEARCH("Positive",L306)))</formula>
    </cfRule>
    <cfRule type="containsText" dxfId="10213" priority="12738" operator="containsText" text="Negative">
      <formula>NOT(ISERROR(SEARCH("Negative",L306)))</formula>
    </cfRule>
  </conditionalFormatting>
  <conditionalFormatting sqref="J315:K315">
    <cfRule type="containsText" dxfId="10212" priority="12727" operator="containsText" text="Missing">
      <formula>NOT(ISERROR(SEARCH("Missing",J315)))</formula>
    </cfRule>
  </conditionalFormatting>
  <conditionalFormatting sqref="J328:K328">
    <cfRule type="containsText" dxfId="10211" priority="12724" operator="containsText" text="Missing">
      <formula>NOT(ISERROR(SEARCH("Missing",J328)))</formula>
    </cfRule>
  </conditionalFormatting>
  <conditionalFormatting sqref="H315">
    <cfRule type="containsText" dxfId="10210" priority="12725" operator="containsText" text="Missing">
      <formula>NOT(ISERROR(SEARCH("Missing",H315)))</formula>
    </cfRule>
  </conditionalFormatting>
  <conditionalFormatting sqref="L329:L339">
    <cfRule type="containsText" dxfId="10209" priority="12712" operator="containsText" text="Positive">
      <formula>NOT(ISERROR(SEARCH("Positive",L329)))</formula>
    </cfRule>
    <cfRule type="containsText" dxfId="10208" priority="12713" operator="containsText" text="Negative">
      <formula>NOT(ISERROR(SEARCH("Negative",L329)))</formula>
    </cfRule>
  </conditionalFormatting>
  <conditionalFormatting sqref="J350:K351">
    <cfRule type="containsText" dxfId="10207" priority="12672" operator="containsText" text="Missing">
      <formula>NOT(ISERROR(SEARCH("Missing",J350)))</formula>
    </cfRule>
  </conditionalFormatting>
  <conditionalFormatting sqref="H346:H347">
    <cfRule type="containsText" dxfId="10206" priority="12682" operator="containsText" text="Missing">
      <formula>NOT(ISERROR(SEARCH("Missing",H346)))</formula>
    </cfRule>
  </conditionalFormatting>
  <conditionalFormatting sqref="J330:K339">
    <cfRule type="containsText" dxfId="10205" priority="12719" operator="containsText" text="Missing">
      <formula>NOT(ISERROR(SEARCH("Missing",J330)))</formula>
    </cfRule>
  </conditionalFormatting>
  <conditionalFormatting sqref="H330:H339">
    <cfRule type="containsText" dxfId="10204" priority="12718" operator="containsText" text="Missing">
      <formula>NOT(ISERROR(SEARCH("Missing",H330)))</formula>
    </cfRule>
  </conditionalFormatting>
  <conditionalFormatting sqref="I342">
    <cfRule type="containsText" dxfId="10203" priority="12696" operator="containsText" text="Missing">
      <formula>NOT(ISERROR(SEARCH("Missing",I342)))</formula>
    </cfRule>
  </conditionalFormatting>
  <conditionalFormatting sqref="H310">
    <cfRule type="containsText" dxfId="10202" priority="12735" operator="containsText" text="Missing">
      <formula>NOT(ISERROR(SEARCH("Missing",H310)))</formula>
    </cfRule>
  </conditionalFormatting>
  <conditionalFormatting sqref="H311">
    <cfRule type="containsText" dxfId="10201" priority="12734" operator="containsText" text="Missing">
      <formula>NOT(ISERROR(SEARCH("Missing",H311)))</formula>
    </cfRule>
  </conditionalFormatting>
  <conditionalFormatting sqref="H312">
    <cfRule type="containsText" dxfId="10200" priority="12733" operator="containsText" text="Missing">
      <formula>NOT(ISERROR(SEARCH("Missing",H312)))</formula>
    </cfRule>
  </conditionalFormatting>
  <conditionalFormatting sqref="H313">
    <cfRule type="containsText" dxfId="10199" priority="12732" operator="containsText" text="Missing">
      <formula>NOT(ISERROR(SEARCH("Missing",H313)))</formula>
    </cfRule>
  </conditionalFormatting>
  <conditionalFormatting sqref="H314">
    <cfRule type="containsText" dxfId="10198" priority="12731" operator="containsText" text="Missing">
      <formula>NOT(ISERROR(SEARCH("Missing",H314)))</formula>
    </cfRule>
  </conditionalFormatting>
  <conditionalFormatting sqref="I350">
    <cfRule type="containsText" dxfId="10197" priority="12669" operator="containsText" text="Missing">
      <formula>NOT(ISERROR(SEARCH("Missing",I350)))</formula>
    </cfRule>
  </conditionalFormatting>
  <conditionalFormatting sqref="I315">
    <cfRule type="containsText" dxfId="10196" priority="12726" operator="containsText" text="Missing">
      <formula>NOT(ISERROR(SEARCH("Missing",I315)))</formula>
    </cfRule>
  </conditionalFormatting>
  <conditionalFormatting sqref="I340">
    <cfRule type="containsText" dxfId="10195" priority="12704" operator="containsText" text="Missing">
      <formula>NOT(ISERROR(SEARCH("Missing",I340)))</formula>
    </cfRule>
  </conditionalFormatting>
  <conditionalFormatting sqref="H340:H341">
    <cfRule type="containsText" dxfId="10194" priority="12711" operator="containsText" text="Missing">
      <formula>NOT(ISERROR(SEARCH("Missing",H340)))</formula>
    </cfRule>
  </conditionalFormatting>
  <conditionalFormatting sqref="I328">
    <cfRule type="containsText" dxfId="10193" priority="12721" operator="containsText" text="Missing">
      <formula>NOT(ISERROR(SEARCH("Missing",I328)))</formula>
    </cfRule>
  </conditionalFormatting>
  <conditionalFormatting sqref="H344:H345">
    <cfRule type="containsText" dxfId="10192" priority="12689" operator="containsText" text="Missing">
      <formula>NOT(ISERROR(SEARCH("Missing",H344)))</formula>
    </cfRule>
  </conditionalFormatting>
  <conditionalFormatting sqref="H350">
    <cfRule type="containsText" dxfId="10191" priority="12668" operator="containsText" text="Missing">
      <formula>NOT(ISERROR(SEARCH("Missing",H350)))</formula>
    </cfRule>
  </conditionalFormatting>
  <conditionalFormatting sqref="H329">
    <cfRule type="containsText" dxfId="10190" priority="12716" operator="containsText" text="Missing">
      <formula>NOT(ISERROR(SEARCH("Missing",H329)))</formula>
    </cfRule>
  </conditionalFormatting>
  <conditionalFormatting sqref="L329:L339">
    <cfRule type="containsText" dxfId="10189" priority="12714" operator="containsText" text="Positive">
      <formula>NOT(ISERROR(SEARCH("Positive",L329)))</formula>
    </cfRule>
    <cfRule type="containsText" dxfId="10188" priority="12715" operator="containsText" text="Negative">
      <formula>NOT(ISERROR(SEARCH("Negative",L329)))</formula>
    </cfRule>
  </conditionalFormatting>
  <conditionalFormatting sqref="L342">
    <cfRule type="containsText" dxfId="10187" priority="12701" operator="containsText" text="Positive">
      <formula>NOT(ISERROR(SEARCH("Positive",L342)))</formula>
    </cfRule>
    <cfRule type="containsText" dxfId="10186" priority="12702" operator="containsText" text="Negative">
      <formula>NOT(ISERROR(SEARCH("Negative",L342)))</formula>
    </cfRule>
  </conditionalFormatting>
  <conditionalFormatting sqref="J342:K343">
    <cfRule type="containsText" dxfId="10185" priority="12700" operator="containsText" text="Missing">
      <formula>NOT(ISERROR(SEARCH("Missing",J342)))</formula>
    </cfRule>
  </conditionalFormatting>
  <conditionalFormatting sqref="L340">
    <cfRule type="containsText" dxfId="10184" priority="12709" operator="containsText" text="Positive">
      <formula>NOT(ISERROR(SEARCH("Positive",L340)))</formula>
    </cfRule>
    <cfRule type="containsText" dxfId="10183" priority="12710" operator="containsText" text="Negative">
      <formula>NOT(ISERROR(SEARCH("Negative",L340)))</formula>
    </cfRule>
  </conditionalFormatting>
  <conditionalFormatting sqref="J340:K341">
    <cfRule type="containsText" dxfId="10182" priority="12708" operator="containsText" text="Missing">
      <formula>NOT(ISERROR(SEARCH("Missing",J340)))</formula>
    </cfRule>
  </conditionalFormatting>
  <conditionalFormatting sqref="H348">
    <cfRule type="containsText" dxfId="10181" priority="12674" operator="containsText" text="Missing">
      <formula>NOT(ISERROR(SEARCH("Missing",H348)))</formula>
    </cfRule>
  </conditionalFormatting>
  <conditionalFormatting sqref="L340">
    <cfRule type="containsText" dxfId="10180" priority="12706" operator="containsText" text="Positive">
      <formula>NOT(ISERROR(SEARCH("Positive",L340)))</formula>
    </cfRule>
    <cfRule type="containsText" dxfId="10179" priority="12707" operator="containsText" text="Negative">
      <formula>NOT(ISERROR(SEARCH("Negative",L340)))</formula>
    </cfRule>
  </conditionalFormatting>
  <conditionalFormatting sqref="H344:H345">
    <cfRule type="containsText" dxfId="10178" priority="12695" operator="containsText" text="Missing">
      <formula>NOT(ISERROR(SEARCH("Missing",H344)))</formula>
    </cfRule>
  </conditionalFormatting>
  <conditionalFormatting sqref="L342">
    <cfRule type="containsText" dxfId="10177" priority="12698" operator="containsText" text="Positive">
      <formula>NOT(ISERROR(SEARCH("Positive",L342)))</formula>
    </cfRule>
    <cfRule type="containsText" dxfId="10176" priority="12699" operator="containsText" text="Negative">
      <formula>NOT(ISERROR(SEARCH("Negative",L342)))</formula>
    </cfRule>
  </conditionalFormatting>
  <conditionalFormatting sqref="L350:L351">
    <cfRule type="containsText" dxfId="10175" priority="12670" operator="containsText" text="Positive">
      <formula>NOT(ISERROR(SEARCH("Positive",L350)))</formula>
    </cfRule>
    <cfRule type="containsText" dxfId="10174" priority="12671" operator="containsText" text="Negative">
      <formula>NOT(ISERROR(SEARCH("Negative",L350)))</formula>
    </cfRule>
  </conditionalFormatting>
  <conditionalFormatting sqref="H346:H347">
    <cfRule type="containsText" dxfId="10173" priority="12688" operator="containsText" text="Missing">
      <formula>NOT(ISERROR(SEARCH("Missing",H346)))</formula>
    </cfRule>
  </conditionalFormatting>
  <conditionalFormatting sqref="L344">
    <cfRule type="containsText" dxfId="10172" priority="12693" operator="containsText" text="Positive">
      <formula>NOT(ISERROR(SEARCH("Positive",L344)))</formula>
    </cfRule>
    <cfRule type="containsText" dxfId="10171" priority="12694" operator="containsText" text="Negative">
      <formula>NOT(ISERROR(SEARCH("Negative",L344)))</formula>
    </cfRule>
  </conditionalFormatting>
  <conditionalFormatting sqref="J345:K345 J344">
    <cfRule type="containsText" dxfId="10170" priority="12692" operator="containsText" text="Missing">
      <formula>NOT(ISERROR(SEARCH("Missing",J344)))</formula>
    </cfRule>
  </conditionalFormatting>
  <conditionalFormatting sqref="L344">
    <cfRule type="containsText" dxfId="10169" priority="12690" operator="containsText" text="Positive">
      <formula>NOT(ISERROR(SEARCH("Positive",L344)))</formula>
    </cfRule>
    <cfRule type="containsText" dxfId="10168" priority="12691" operator="containsText" text="Negative">
      <formula>NOT(ISERROR(SEARCH("Negative",L344)))</formula>
    </cfRule>
  </conditionalFormatting>
  <conditionalFormatting sqref="L346">
    <cfRule type="containsText" dxfId="10167" priority="12686" operator="containsText" text="Positive">
      <formula>NOT(ISERROR(SEARCH("Positive",L346)))</formula>
    </cfRule>
    <cfRule type="containsText" dxfId="10166" priority="12687" operator="containsText" text="Negative">
      <formula>NOT(ISERROR(SEARCH("Negative",L346)))</formula>
    </cfRule>
  </conditionalFormatting>
  <conditionalFormatting sqref="I346">
    <cfRule type="containsText" dxfId="10165" priority="12681" operator="containsText" text="Missing">
      <formula>NOT(ISERROR(SEARCH("Missing",I346)))</formula>
    </cfRule>
  </conditionalFormatting>
  <conditionalFormatting sqref="J346:K347">
    <cfRule type="containsText" dxfId="10164" priority="12685" operator="containsText" text="Missing">
      <formula>NOT(ISERROR(SEARCH("Missing",J346)))</formula>
    </cfRule>
  </conditionalFormatting>
  <conditionalFormatting sqref="L346">
    <cfRule type="containsText" dxfId="10163" priority="12683" operator="containsText" text="Positive">
      <formula>NOT(ISERROR(SEARCH("Positive",L346)))</formula>
    </cfRule>
    <cfRule type="containsText" dxfId="10162" priority="12684" operator="containsText" text="Negative">
      <formula>NOT(ISERROR(SEARCH("Negative",L346)))</formula>
    </cfRule>
  </conditionalFormatting>
  <conditionalFormatting sqref="H348">
    <cfRule type="containsText" dxfId="10161" priority="12680" operator="containsText" text="Missing">
      <formula>NOT(ISERROR(SEARCH("Missing",H348)))</formula>
    </cfRule>
  </conditionalFormatting>
  <conditionalFormatting sqref="L348">
    <cfRule type="containsText" dxfId="10160" priority="12678" operator="containsText" text="Positive">
      <formula>NOT(ISERROR(SEARCH("Positive",L348)))</formula>
    </cfRule>
    <cfRule type="containsText" dxfId="10159" priority="12679" operator="containsText" text="Negative">
      <formula>NOT(ISERROR(SEARCH("Negative",L348)))</formula>
    </cfRule>
  </conditionalFormatting>
  <conditionalFormatting sqref="I348">
    <cfRule type="containsText" dxfId="10158" priority="12673" operator="containsText" text="Missing">
      <formula>NOT(ISERROR(SEARCH("Missing",I348)))</formula>
    </cfRule>
  </conditionalFormatting>
  <conditionalFormatting sqref="J348:K349">
    <cfRule type="containsText" dxfId="10157" priority="12677" operator="containsText" text="Missing">
      <formula>NOT(ISERROR(SEARCH("Missing",J348)))</formula>
    </cfRule>
  </conditionalFormatting>
  <conditionalFormatting sqref="L348">
    <cfRule type="containsText" dxfId="10156" priority="12675" operator="containsText" text="Positive">
      <formula>NOT(ISERROR(SEARCH("Positive",L348)))</formula>
    </cfRule>
    <cfRule type="containsText" dxfId="10155" priority="12676" operator="containsText" text="Negative">
      <formula>NOT(ISERROR(SEARCH("Negative",L348)))</formula>
    </cfRule>
  </conditionalFormatting>
  <conditionalFormatting sqref="H30">
    <cfRule type="containsText" dxfId="10154" priority="12667" operator="containsText" text="Missing">
      <formula>NOT(ISERROR(SEARCH("Missing",H30)))</formula>
    </cfRule>
  </conditionalFormatting>
  <conditionalFormatting sqref="I39">
    <cfRule type="containsText" dxfId="10153" priority="12658" operator="containsText" text="Missing">
      <formula>NOT(ISERROR(SEARCH("Missing",I39)))</formula>
    </cfRule>
  </conditionalFormatting>
  <conditionalFormatting sqref="H32">
    <cfRule type="containsText" dxfId="10152" priority="12666" operator="containsText" text="Missing">
      <formula>NOT(ISERROR(SEARCH("Missing",H32)))</formula>
    </cfRule>
  </conditionalFormatting>
  <conditionalFormatting sqref="I32">
    <cfRule type="containsText" dxfId="10151" priority="12665" operator="containsText" text="Missing">
      <formula>NOT(ISERROR(SEARCH("Missing",I32)))</formula>
    </cfRule>
  </conditionalFormatting>
  <conditionalFormatting sqref="H35">
    <cfRule type="containsText" dxfId="10150" priority="12664" operator="containsText" text="Missing">
      <formula>NOT(ISERROR(SEARCH("Missing",H35)))</formula>
    </cfRule>
  </conditionalFormatting>
  <conditionalFormatting sqref="I35">
    <cfRule type="containsText" dxfId="10149" priority="12663" operator="containsText" text="Missing">
      <formula>NOT(ISERROR(SEARCH("Missing",I35)))</formula>
    </cfRule>
  </conditionalFormatting>
  <conditionalFormatting sqref="I41">
    <cfRule type="containsText" dxfId="10148" priority="12657" operator="containsText" text="Missing">
      <formula>NOT(ISERROR(SEARCH("Missing",I41)))</formula>
    </cfRule>
  </conditionalFormatting>
  <conditionalFormatting sqref="H36">
    <cfRule type="containsText" dxfId="10147" priority="12662" operator="containsText" text="Missing">
      <formula>NOT(ISERROR(SEARCH("Missing",H36)))</formula>
    </cfRule>
  </conditionalFormatting>
  <conditionalFormatting sqref="H37">
    <cfRule type="containsText" dxfId="10146" priority="12661" operator="containsText" text="Missing">
      <formula>NOT(ISERROR(SEARCH("Missing",H37)))</formula>
    </cfRule>
  </conditionalFormatting>
  <conditionalFormatting sqref="I36">
    <cfRule type="containsText" dxfId="10145" priority="12660" operator="containsText" text="Missing">
      <formula>NOT(ISERROR(SEARCH("Missing",I36)))</formula>
    </cfRule>
  </conditionalFormatting>
  <conditionalFormatting sqref="I37">
    <cfRule type="containsText" dxfId="10144" priority="12659" operator="containsText" text="Missing">
      <formula>NOT(ISERROR(SEARCH("Missing",I37)))</formula>
    </cfRule>
  </conditionalFormatting>
  <conditionalFormatting sqref="L35">
    <cfRule type="containsText" dxfId="10143" priority="12655" operator="containsText" text="Positive">
      <formula>NOT(ISERROR(SEARCH("Positive",L35)))</formula>
    </cfRule>
    <cfRule type="containsText" dxfId="10142" priority="12656" operator="containsText" text="Negative">
      <formula>NOT(ISERROR(SEARCH("Negative",L35)))</formula>
    </cfRule>
  </conditionalFormatting>
  <conditionalFormatting sqref="L36">
    <cfRule type="containsText" dxfId="10141" priority="12653" operator="containsText" text="Positive">
      <formula>NOT(ISERROR(SEARCH("Positive",L36)))</formula>
    </cfRule>
    <cfRule type="containsText" dxfId="10140" priority="12654" operator="containsText" text="Negative">
      <formula>NOT(ISERROR(SEARCH("Negative",L36)))</formula>
    </cfRule>
  </conditionalFormatting>
  <conditionalFormatting sqref="L37">
    <cfRule type="containsText" dxfId="10139" priority="12651" operator="containsText" text="Positive">
      <formula>NOT(ISERROR(SEARCH("Positive",L37)))</formula>
    </cfRule>
    <cfRule type="containsText" dxfId="10138" priority="12652" operator="containsText" text="Negative">
      <formula>NOT(ISERROR(SEARCH("Negative",L37)))</formula>
    </cfRule>
  </conditionalFormatting>
  <conditionalFormatting sqref="L38">
    <cfRule type="containsText" dxfId="10137" priority="12649" operator="containsText" text="Positive">
      <formula>NOT(ISERROR(SEARCH("Positive",L38)))</formula>
    </cfRule>
    <cfRule type="containsText" dxfId="10136" priority="12650" operator="containsText" text="Negative">
      <formula>NOT(ISERROR(SEARCH("Negative",L38)))</formula>
    </cfRule>
  </conditionalFormatting>
  <conditionalFormatting sqref="L39">
    <cfRule type="containsText" dxfId="10135" priority="12647" operator="containsText" text="Positive">
      <formula>NOT(ISERROR(SEARCH("Positive",L39)))</formula>
    </cfRule>
    <cfRule type="containsText" dxfId="10134" priority="12648" operator="containsText" text="Negative">
      <formula>NOT(ISERROR(SEARCH("Negative",L39)))</formula>
    </cfRule>
  </conditionalFormatting>
  <conditionalFormatting sqref="L35:L41">
    <cfRule type="containsText" dxfId="10133" priority="12645" operator="containsText" text="Positive">
      <formula>NOT(ISERROR(SEARCH("Positive",L35)))</formula>
    </cfRule>
    <cfRule type="containsText" dxfId="10132" priority="12646" operator="containsText" text="Negative">
      <formula>NOT(ISERROR(SEARCH("Negative",L35)))</formula>
    </cfRule>
  </conditionalFormatting>
  <conditionalFormatting sqref="L41">
    <cfRule type="containsText" dxfId="10131" priority="12643" operator="containsText" text="Positive">
      <formula>NOT(ISERROR(SEARCH("Positive",L41)))</formula>
    </cfRule>
    <cfRule type="containsText" dxfId="10130" priority="12644" operator="containsText" text="Negative">
      <formula>NOT(ISERROR(SEARCH("Negative",L41)))</formula>
    </cfRule>
  </conditionalFormatting>
  <conditionalFormatting sqref="L30:L32">
    <cfRule type="containsText" dxfId="10129" priority="12641" operator="containsText" text="Positive">
      <formula>NOT(ISERROR(SEARCH("Positive",L30)))</formula>
    </cfRule>
    <cfRule type="containsText" dxfId="10128" priority="12642" operator="containsText" text="Negative">
      <formula>NOT(ISERROR(SEARCH("Negative",L30)))</formula>
    </cfRule>
  </conditionalFormatting>
  <conditionalFormatting sqref="I45">
    <cfRule type="containsText" dxfId="10127" priority="12640" operator="containsText" text="Missing">
      <formula>NOT(ISERROR(SEARCH("Missing",I45)))</formula>
    </cfRule>
  </conditionalFormatting>
  <conditionalFormatting sqref="I49">
    <cfRule type="containsText" dxfId="10126" priority="12639" operator="containsText" text="Missing">
      <formula>NOT(ISERROR(SEARCH("Missing",I49)))</formula>
    </cfRule>
  </conditionalFormatting>
  <conditionalFormatting sqref="L48:L49">
    <cfRule type="containsText" dxfId="10125" priority="12637" operator="containsText" text="Positive">
      <formula>NOT(ISERROR(SEARCH("Positive",L48)))</formula>
    </cfRule>
    <cfRule type="containsText" dxfId="10124" priority="12638" operator="containsText" text="Negative">
      <formula>NOT(ISERROR(SEARCH("Negative",L48)))</formula>
    </cfRule>
  </conditionalFormatting>
  <conditionalFormatting sqref="L58">
    <cfRule type="containsText" dxfId="10123" priority="12635" operator="containsText" text="Positive">
      <formula>NOT(ISERROR(SEARCH("Positive",L58)))</formula>
    </cfRule>
    <cfRule type="containsText" dxfId="10122" priority="12636" operator="containsText" text="Negative">
      <formula>NOT(ISERROR(SEARCH("Negative",L58)))</formula>
    </cfRule>
  </conditionalFormatting>
  <conditionalFormatting sqref="L59">
    <cfRule type="containsText" dxfId="10121" priority="12633" operator="containsText" text="Positive">
      <formula>NOT(ISERROR(SEARCH("Positive",L59)))</formula>
    </cfRule>
    <cfRule type="containsText" dxfId="10120" priority="12634" operator="containsText" text="Negative">
      <formula>NOT(ISERROR(SEARCH("Negative",L59)))</formula>
    </cfRule>
  </conditionalFormatting>
  <conditionalFormatting sqref="I59">
    <cfRule type="containsText" dxfId="10119" priority="12632" operator="containsText" text="Missing">
      <formula>NOT(ISERROR(SEARCH("Missing",I59)))</formula>
    </cfRule>
  </conditionalFormatting>
  <conditionalFormatting sqref="L60">
    <cfRule type="containsText" dxfId="10118" priority="12630" operator="containsText" text="Positive">
      <formula>NOT(ISERROR(SEARCH("Positive",L60)))</formula>
    </cfRule>
    <cfRule type="containsText" dxfId="10117" priority="12631" operator="containsText" text="Negative">
      <formula>NOT(ISERROR(SEARCH("Negative",L60)))</formula>
    </cfRule>
  </conditionalFormatting>
  <conditionalFormatting sqref="L61">
    <cfRule type="containsText" dxfId="10116" priority="12628" operator="containsText" text="Positive">
      <formula>NOT(ISERROR(SEARCH("Positive",L61)))</formula>
    </cfRule>
    <cfRule type="containsText" dxfId="10115" priority="12629" operator="containsText" text="Negative">
      <formula>NOT(ISERROR(SEARCH("Negative",L61)))</formula>
    </cfRule>
  </conditionalFormatting>
  <conditionalFormatting sqref="H61">
    <cfRule type="containsText" dxfId="10114" priority="12627" operator="containsText" text="Missing">
      <formula>NOT(ISERROR(SEARCH("Missing",H61)))</formula>
    </cfRule>
  </conditionalFormatting>
  <conditionalFormatting sqref="I61">
    <cfRule type="containsText" dxfId="10113" priority="12626" operator="containsText" text="Missing">
      <formula>NOT(ISERROR(SEARCH("Missing",I61)))</formula>
    </cfRule>
  </conditionalFormatting>
  <conditionalFormatting sqref="L62">
    <cfRule type="containsText" dxfId="10112" priority="12624" operator="containsText" text="Positive">
      <formula>NOT(ISERROR(SEARCH("Positive",L62)))</formula>
    </cfRule>
    <cfRule type="containsText" dxfId="10111" priority="12625" operator="containsText" text="Negative">
      <formula>NOT(ISERROR(SEARCH("Negative",L62)))</formula>
    </cfRule>
  </conditionalFormatting>
  <conditionalFormatting sqref="L63">
    <cfRule type="containsText" dxfId="10110" priority="12622" operator="containsText" text="Positive">
      <formula>NOT(ISERROR(SEARCH("Positive",L63)))</formula>
    </cfRule>
    <cfRule type="containsText" dxfId="10109" priority="12623" operator="containsText" text="Negative">
      <formula>NOT(ISERROR(SEARCH("Negative",L63)))</formula>
    </cfRule>
  </conditionalFormatting>
  <conditionalFormatting sqref="H63">
    <cfRule type="containsText" dxfId="10108" priority="12621" operator="containsText" text="Missing">
      <formula>NOT(ISERROR(SEARCH("Missing",H63)))</formula>
    </cfRule>
  </conditionalFormatting>
  <conditionalFormatting sqref="I63">
    <cfRule type="containsText" dxfId="10107" priority="12620" operator="containsText" text="Missing">
      <formula>NOT(ISERROR(SEARCH("Missing",I63)))</formula>
    </cfRule>
  </conditionalFormatting>
  <conditionalFormatting sqref="H65">
    <cfRule type="containsText" dxfId="10106" priority="12619" operator="containsText" text="Missing">
      <formula>NOT(ISERROR(SEARCH("Missing",H65)))</formula>
    </cfRule>
  </conditionalFormatting>
  <conditionalFormatting sqref="I65">
    <cfRule type="containsText" dxfId="10105" priority="12618" operator="containsText" text="Missing">
      <formula>NOT(ISERROR(SEARCH("Missing",I65)))</formula>
    </cfRule>
  </conditionalFormatting>
  <conditionalFormatting sqref="L64">
    <cfRule type="containsText" dxfId="10104" priority="12616" operator="containsText" text="Positive">
      <formula>NOT(ISERROR(SEARCH("Positive",L64)))</formula>
    </cfRule>
    <cfRule type="containsText" dxfId="10103" priority="12617" operator="containsText" text="Negative">
      <formula>NOT(ISERROR(SEARCH("Negative",L64)))</formula>
    </cfRule>
  </conditionalFormatting>
  <conditionalFormatting sqref="L65">
    <cfRule type="containsText" dxfId="10102" priority="12614" operator="containsText" text="Positive">
      <formula>NOT(ISERROR(SEARCH("Positive",L65)))</formula>
    </cfRule>
    <cfRule type="containsText" dxfId="10101" priority="12615" operator="containsText" text="Negative">
      <formula>NOT(ISERROR(SEARCH("Negative",L65)))</formula>
    </cfRule>
  </conditionalFormatting>
  <conditionalFormatting sqref="H67">
    <cfRule type="containsText" dxfId="10100" priority="12613" operator="containsText" text="Missing">
      <formula>NOT(ISERROR(SEARCH("Missing",H67)))</formula>
    </cfRule>
  </conditionalFormatting>
  <conditionalFormatting sqref="I67">
    <cfRule type="containsText" dxfId="10099" priority="12612" operator="containsText" text="Missing">
      <formula>NOT(ISERROR(SEARCH("Missing",I67)))</formula>
    </cfRule>
  </conditionalFormatting>
  <conditionalFormatting sqref="L66">
    <cfRule type="containsText" dxfId="10098" priority="12610" operator="containsText" text="Positive">
      <formula>NOT(ISERROR(SEARCH("Positive",L66)))</formula>
    </cfRule>
    <cfRule type="containsText" dxfId="10097" priority="12611" operator="containsText" text="Negative">
      <formula>NOT(ISERROR(SEARCH("Negative",L66)))</formula>
    </cfRule>
  </conditionalFormatting>
  <conditionalFormatting sqref="L67">
    <cfRule type="containsText" dxfId="10096" priority="12608" operator="containsText" text="Positive">
      <formula>NOT(ISERROR(SEARCH("Positive",L67)))</formula>
    </cfRule>
    <cfRule type="containsText" dxfId="10095" priority="12609" operator="containsText" text="Negative">
      <formula>NOT(ISERROR(SEARCH("Negative",L67)))</formula>
    </cfRule>
  </conditionalFormatting>
  <conditionalFormatting sqref="H69">
    <cfRule type="containsText" dxfId="10094" priority="12607" operator="containsText" text="Missing">
      <formula>NOT(ISERROR(SEARCH("Missing",H69)))</formula>
    </cfRule>
  </conditionalFormatting>
  <conditionalFormatting sqref="I69">
    <cfRule type="containsText" dxfId="10093" priority="12606" operator="containsText" text="Missing">
      <formula>NOT(ISERROR(SEARCH("Missing",I69)))</formula>
    </cfRule>
  </conditionalFormatting>
  <conditionalFormatting sqref="L68">
    <cfRule type="containsText" dxfId="10092" priority="12604" operator="containsText" text="Positive">
      <formula>NOT(ISERROR(SEARCH("Positive",L68)))</formula>
    </cfRule>
    <cfRule type="containsText" dxfId="10091" priority="12605" operator="containsText" text="Negative">
      <formula>NOT(ISERROR(SEARCH("Negative",L68)))</formula>
    </cfRule>
  </conditionalFormatting>
  <conditionalFormatting sqref="L69">
    <cfRule type="containsText" dxfId="10090" priority="12602" operator="containsText" text="Positive">
      <formula>NOT(ISERROR(SEARCH("Positive",L69)))</formula>
    </cfRule>
    <cfRule type="containsText" dxfId="10089" priority="12603" operator="containsText" text="Negative">
      <formula>NOT(ISERROR(SEARCH("Negative",L69)))</formula>
    </cfRule>
  </conditionalFormatting>
  <conditionalFormatting sqref="I71">
    <cfRule type="containsText" dxfId="10088" priority="12601" operator="containsText" text="Missing">
      <formula>NOT(ISERROR(SEARCH("Missing",I71)))</formula>
    </cfRule>
  </conditionalFormatting>
  <conditionalFormatting sqref="L71">
    <cfRule type="containsText" dxfId="10087" priority="12599" operator="containsText" text="Positive">
      <formula>NOT(ISERROR(SEARCH("Positive",L71)))</formula>
    </cfRule>
    <cfRule type="containsText" dxfId="10086" priority="12600" operator="containsText" text="Negative">
      <formula>NOT(ISERROR(SEARCH("Negative",L71)))</formula>
    </cfRule>
  </conditionalFormatting>
  <conditionalFormatting sqref="I77">
    <cfRule type="containsText" dxfId="10085" priority="12598" operator="containsText" text="Missing">
      <formula>NOT(ISERROR(SEARCH("Missing",I77)))</formula>
    </cfRule>
  </conditionalFormatting>
  <conditionalFormatting sqref="L76">
    <cfRule type="containsText" dxfId="10084" priority="12596" operator="containsText" text="Positive">
      <formula>NOT(ISERROR(SEARCH("Positive",L76)))</formula>
    </cfRule>
    <cfRule type="containsText" dxfId="10083" priority="12597" operator="containsText" text="Negative">
      <formula>NOT(ISERROR(SEARCH("Negative",L76)))</formula>
    </cfRule>
  </conditionalFormatting>
  <conditionalFormatting sqref="L77">
    <cfRule type="containsText" dxfId="10082" priority="12594" operator="containsText" text="Positive">
      <formula>NOT(ISERROR(SEARCH("Positive",L77)))</formula>
    </cfRule>
    <cfRule type="containsText" dxfId="10081" priority="12595" operator="containsText" text="Negative">
      <formula>NOT(ISERROR(SEARCH("Negative",L77)))</formula>
    </cfRule>
  </conditionalFormatting>
  <conditionalFormatting sqref="I105">
    <cfRule type="containsText" dxfId="10080" priority="12593" operator="containsText" text="Missing">
      <formula>NOT(ISERROR(SEARCH("Missing",I105)))</formula>
    </cfRule>
  </conditionalFormatting>
  <conditionalFormatting sqref="L105">
    <cfRule type="containsText" dxfId="10079" priority="12591" operator="containsText" text="Positive">
      <formula>NOT(ISERROR(SEARCH("Positive",L105)))</formula>
    </cfRule>
    <cfRule type="containsText" dxfId="10078" priority="12592" operator="containsText" text="Negative">
      <formula>NOT(ISERROR(SEARCH("Negative",L105)))</formula>
    </cfRule>
  </conditionalFormatting>
  <conditionalFormatting sqref="L108:L114">
    <cfRule type="containsText" dxfId="10077" priority="12589" operator="containsText" text="Positive">
      <formula>NOT(ISERROR(SEARCH("Positive",L108)))</formula>
    </cfRule>
    <cfRule type="containsText" dxfId="10076" priority="12590" operator="containsText" text="Negative">
      <formula>NOT(ISERROR(SEARCH("Negative",L108)))</formula>
    </cfRule>
  </conditionalFormatting>
  <conditionalFormatting sqref="L121">
    <cfRule type="containsText" dxfId="10075" priority="12587" operator="containsText" text="Positive">
      <formula>NOT(ISERROR(SEARCH("Positive",L121)))</formula>
    </cfRule>
    <cfRule type="containsText" dxfId="10074" priority="12588" operator="containsText" text="Negative">
      <formula>NOT(ISERROR(SEARCH("Negative",L121)))</formula>
    </cfRule>
  </conditionalFormatting>
  <conditionalFormatting sqref="L122">
    <cfRule type="containsText" dxfId="10073" priority="12585" operator="containsText" text="Positive">
      <formula>NOT(ISERROR(SEARCH("Positive",L122)))</formula>
    </cfRule>
    <cfRule type="containsText" dxfId="10072" priority="12586" operator="containsText" text="Negative">
      <formula>NOT(ISERROR(SEARCH("Negative",L122)))</formula>
    </cfRule>
  </conditionalFormatting>
  <conditionalFormatting sqref="L131">
    <cfRule type="containsText" dxfId="10071" priority="12583" operator="containsText" text="Positive">
      <formula>NOT(ISERROR(SEARCH("Positive",L131)))</formula>
    </cfRule>
    <cfRule type="containsText" dxfId="10070" priority="12584" operator="containsText" text="Negative">
      <formula>NOT(ISERROR(SEARCH("Negative",L131)))</formula>
    </cfRule>
  </conditionalFormatting>
  <conditionalFormatting sqref="L132">
    <cfRule type="containsText" dxfId="10069" priority="12581" operator="containsText" text="Positive">
      <formula>NOT(ISERROR(SEARCH("Positive",L132)))</formula>
    </cfRule>
    <cfRule type="containsText" dxfId="10068" priority="12582" operator="containsText" text="Negative">
      <formula>NOT(ISERROR(SEARCH("Negative",L132)))</formula>
    </cfRule>
  </conditionalFormatting>
  <conditionalFormatting sqref="L133">
    <cfRule type="containsText" dxfId="10067" priority="12579" operator="containsText" text="Positive">
      <formula>NOT(ISERROR(SEARCH("Positive",L133)))</formula>
    </cfRule>
    <cfRule type="containsText" dxfId="10066" priority="12580" operator="containsText" text="Negative">
      <formula>NOT(ISERROR(SEARCH("Negative",L133)))</formula>
    </cfRule>
  </conditionalFormatting>
  <conditionalFormatting sqref="L134">
    <cfRule type="containsText" dxfId="10065" priority="12577" operator="containsText" text="Positive">
      <formula>NOT(ISERROR(SEARCH("Positive",L134)))</formula>
    </cfRule>
    <cfRule type="containsText" dxfId="10064" priority="12578" operator="containsText" text="Negative">
      <formula>NOT(ISERROR(SEARCH("Negative",L134)))</formula>
    </cfRule>
  </conditionalFormatting>
  <conditionalFormatting sqref="L135">
    <cfRule type="containsText" dxfId="10063" priority="12575" operator="containsText" text="Positive">
      <formula>NOT(ISERROR(SEARCH("Positive",L135)))</formula>
    </cfRule>
    <cfRule type="containsText" dxfId="10062" priority="12576" operator="containsText" text="Negative">
      <formula>NOT(ISERROR(SEARCH("Negative",L135)))</formula>
    </cfRule>
  </conditionalFormatting>
  <conditionalFormatting sqref="L136">
    <cfRule type="containsText" dxfId="10061" priority="12573" operator="containsText" text="Positive">
      <formula>NOT(ISERROR(SEARCH("Positive",L136)))</formula>
    </cfRule>
    <cfRule type="containsText" dxfId="10060" priority="12574" operator="containsText" text="Negative">
      <formula>NOT(ISERROR(SEARCH("Negative",L136)))</formula>
    </cfRule>
  </conditionalFormatting>
  <conditionalFormatting sqref="L137">
    <cfRule type="containsText" dxfId="10059" priority="12571" operator="containsText" text="Positive">
      <formula>NOT(ISERROR(SEARCH("Positive",L137)))</formula>
    </cfRule>
    <cfRule type="containsText" dxfId="10058" priority="12572" operator="containsText" text="Negative">
      <formula>NOT(ISERROR(SEARCH("Negative",L137)))</formula>
    </cfRule>
  </conditionalFormatting>
  <conditionalFormatting sqref="L138">
    <cfRule type="containsText" dxfId="10057" priority="12569" operator="containsText" text="Positive">
      <formula>NOT(ISERROR(SEARCH("Positive",L138)))</formula>
    </cfRule>
    <cfRule type="containsText" dxfId="10056" priority="12570" operator="containsText" text="Negative">
      <formula>NOT(ISERROR(SEARCH("Negative",L138)))</formula>
    </cfRule>
  </conditionalFormatting>
  <conditionalFormatting sqref="L139">
    <cfRule type="containsText" dxfId="10055" priority="12567" operator="containsText" text="Positive">
      <formula>NOT(ISERROR(SEARCH("Positive",L139)))</formula>
    </cfRule>
    <cfRule type="containsText" dxfId="10054" priority="12568" operator="containsText" text="Negative">
      <formula>NOT(ISERROR(SEARCH("Negative",L139)))</formula>
    </cfRule>
  </conditionalFormatting>
  <conditionalFormatting sqref="L140">
    <cfRule type="containsText" dxfId="10053" priority="12565" operator="containsText" text="Positive">
      <formula>NOT(ISERROR(SEARCH("Positive",L140)))</formula>
    </cfRule>
    <cfRule type="containsText" dxfId="10052" priority="12566" operator="containsText" text="Negative">
      <formula>NOT(ISERROR(SEARCH("Negative",L140)))</formula>
    </cfRule>
  </conditionalFormatting>
  <conditionalFormatting sqref="L141">
    <cfRule type="containsText" dxfId="10051" priority="12563" operator="containsText" text="Positive">
      <formula>NOT(ISERROR(SEARCH("Positive",L141)))</formula>
    </cfRule>
    <cfRule type="containsText" dxfId="10050" priority="12564" operator="containsText" text="Negative">
      <formula>NOT(ISERROR(SEARCH("Negative",L141)))</formula>
    </cfRule>
  </conditionalFormatting>
  <conditionalFormatting sqref="L142">
    <cfRule type="containsText" dxfId="10049" priority="12561" operator="containsText" text="Positive">
      <formula>NOT(ISERROR(SEARCH("Positive",L142)))</formula>
    </cfRule>
    <cfRule type="containsText" dxfId="10048" priority="12562" operator="containsText" text="Negative">
      <formula>NOT(ISERROR(SEARCH("Negative",L142)))</formula>
    </cfRule>
  </conditionalFormatting>
  <conditionalFormatting sqref="L144">
    <cfRule type="containsText" dxfId="10047" priority="12559" operator="containsText" text="Positive">
      <formula>NOT(ISERROR(SEARCH("Positive",L144)))</formula>
    </cfRule>
    <cfRule type="containsText" dxfId="10046" priority="12560" operator="containsText" text="Negative">
      <formula>NOT(ISERROR(SEARCH("Negative",L144)))</formula>
    </cfRule>
  </conditionalFormatting>
  <conditionalFormatting sqref="H132">
    <cfRule type="containsText" dxfId="10045" priority="12558" operator="containsText" text="Missing">
      <formula>NOT(ISERROR(SEARCH("Missing",H132)))</formula>
    </cfRule>
  </conditionalFormatting>
  <conditionalFormatting sqref="I132">
    <cfRule type="containsText" dxfId="10044" priority="12557" operator="containsText" text="Missing">
      <formula>NOT(ISERROR(SEARCH("Missing",I132)))</formula>
    </cfRule>
  </conditionalFormatting>
  <conditionalFormatting sqref="H134">
    <cfRule type="containsText" dxfId="10043" priority="12556" operator="containsText" text="Missing">
      <formula>NOT(ISERROR(SEARCH("Missing",H134)))</formula>
    </cfRule>
  </conditionalFormatting>
  <conditionalFormatting sqref="I134">
    <cfRule type="containsText" dxfId="10042" priority="12555" operator="containsText" text="Missing">
      <formula>NOT(ISERROR(SEARCH("Missing",I134)))</formula>
    </cfRule>
  </conditionalFormatting>
  <conditionalFormatting sqref="H136">
    <cfRule type="containsText" dxfId="10041" priority="12554" operator="containsText" text="Missing">
      <formula>NOT(ISERROR(SEARCH("Missing",H136)))</formula>
    </cfRule>
  </conditionalFormatting>
  <conditionalFormatting sqref="I136">
    <cfRule type="containsText" dxfId="10040" priority="12553" operator="containsText" text="Missing">
      <formula>NOT(ISERROR(SEARCH("Missing",I136)))</formula>
    </cfRule>
  </conditionalFormatting>
  <conditionalFormatting sqref="H138">
    <cfRule type="containsText" dxfId="10039" priority="12552" operator="containsText" text="Missing">
      <formula>NOT(ISERROR(SEARCH("Missing",H138)))</formula>
    </cfRule>
  </conditionalFormatting>
  <conditionalFormatting sqref="I138">
    <cfRule type="containsText" dxfId="10038" priority="12551" operator="containsText" text="Missing">
      <formula>NOT(ISERROR(SEARCH("Missing",I138)))</formula>
    </cfRule>
  </conditionalFormatting>
  <conditionalFormatting sqref="H140">
    <cfRule type="containsText" dxfId="10037" priority="12550" operator="containsText" text="Missing">
      <formula>NOT(ISERROR(SEARCH("Missing",H140)))</formula>
    </cfRule>
  </conditionalFormatting>
  <conditionalFormatting sqref="I140">
    <cfRule type="containsText" dxfId="10036" priority="12549" operator="containsText" text="Missing">
      <formula>NOT(ISERROR(SEARCH("Missing",I140)))</formula>
    </cfRule>
  </conditionalFormatting>
  <conditionalFormatting sqref="H142">
    <cfRule type="containsText" dxfId="10035" priority="12548" operator="containsText" text="Missing">
      <formula>NOT(ISERROR(SEARCH("Missing",H142)))</formula>
    </cfRule>
  </conditionalFormatting>
  <conditionalFormatting sqref="I142">
    <cfRule type="containsText" dxfId="10034" priority="12547" operator="containsText" text="Missing">
      <formula>NOT(ISERROR(SEARCH("Missing",I142)))</formula>
    </cfRule>
  </conditionalFormatting>
  <conditionalFormatting sqref="H144">
    <cfRule type="containsText" dxfId="10033" priority="12546" operator="containsText" text="Missing">
      <formula>NOT(ISERROR(SEARCH("Missing",H144)))</formula>
    </cfRule>
  </conditionalFormatting>
  <conditionalFormatting sqref="I144">
    <cfRule type="containsText" dxfId="10032" priority="12545" operator="containsText" text="Missing">
      <formula>NOT(ISERROR(SEARCH("Missing",I144)))</formula>
    </cfRule>
  </conditionalFormatting>
  <conditionalFormatting sqref="H122">
    <cfRule type="containsText" dxfId="10031" priority="12544" operator="containsText" text="Missing">
      <formula>NOT(ISERROR(SEARCH("Missing",H122)))</formula>
    </cfRule>
  </conditionalFormatting>
  <conditionalFormatting sqref="I122">
    <cfRule type="containsText" dxfId="10030" priority="12543" operator="containsText" text="Missing">
      <formula>NOT(ISERROR(SEARCH("Missing",I122)))</formula>
    </cfRule>
  </conditionalFormatting>
  <conditionalFormatting sqref="L167">
    <cfRule type="containsText" dxfId="10029" priority="12541" operator="containsText" text="Positive">
      <formula>NOT(ISERROR(SEARCH("Positive",L167)))</formula>
    </cfRule>
    <cfRule type="containsText" dxfId="10028" priority="12542" operator="containsText" text="Negative">
      <formula>NOT(ISERROR(SEARCH("Negative",L167)))</formula>
    </cfRule>
  </conditionalFormatting>
  <conditionalFormatting sqref="H295">
    <cfRule type="containsText" dxfId="10027" priority="12536" operator="containsText" text="Missing">
      <formula>NOT(ISERROR(SEARCH("Missing",H295)))</formula>
    </cfRule>
  </conditionalFormatting>
  <conditionalFormatting sqref="L341">
    <cfRule type="containsText" dxfId="10026" priority="12526" operator="containsText" text="Positive">
      <formula>NOT(ISERROR(SEARCH("Positive",L341)))</formula>
    </cfRule>
    <cfRule type="containsText" dxfId="10025" priority="12527" operator="containsText" text="Negative">
      <formula>NOT(ISERROR(SEARCH("Negative",L341)))</formula>
    </cfRule>
  </conditionalFormatting>
  <conditionalFormatting sqref="L273">
    <cfRule type="containsText" dxfId="10024" priority="12539" operator="containsText" text="Positive">
      <formula>NOT(ISERROR(SEARCH("Positive",L273)))</formula>
    </cfRule>
    <cfRule type="containsText" dxfId="10023" priority="12540" operator="containsText" text="Negative">
      <formula>NOT(ISERROR(SEARCH("Negative",L273)))</formula>
    </cfRule>
  </conditionalFormatting>
  <conditionalFormatting sqref="L341">
    <cfRule type="containsText" dxfId="10022" priority="12528" operator="containsText" text="Positive">
      <formula>NOT(ISERROR(SEARCH("Positive",L341)))</formula>
    </cfRule>
    <cfRule type="containsText" dxfId="10021" priority="12529" operator="containsText" text="Negative">
      <formula>NOT(ISERROR(SEARCH("Negative",L341)))</formula>
    </cfRule>
  </conditionalFormatting>
  <conditionalFormatting sqref="L273">
    <cfRule type="containsText" dxfId="10020" priority="12537" operator="containsText" text="Positive">
      <formula>NOT(ISERROR(SEARCH("Positive",L273)))</formula>
    </cfRule>
    <cfRule type="containsText" dxfId="10019" priority="12538" operator="containsText" text="Negative">
      <formula>NOT(ISERROR(SEARCH("Negative",L273)))</formula>
    </cfRule>
  </conditionalFormatting>
  <conditionalFormatting sqref="H295">
    <cfRule type="containsText" dxfId="10018" priority="12535" operator="containsText" text="Missing">
      <formula>NOT(ISERROR(SEARCH("Missing",H295)))</formula>
    </cfRule>
  </conditionalFormatting>
  <conditionalFormatting sqref="I295">
    <cfRule type="containsText" dxfId="10017" priority="12534" operator="containsText" text="Missing">
      <formula>NOT(ISERROR(SEARCH("Missing",I295)))</formula>
    </cfRule>
  </conditionalFormatting>
  <conditionalFormatting sqref="L295">
    <cfRule type="containsText" dxfId="10016" priority="12532" operator="containsText" text="Positive">
      <formula>NOT(ISERROR(SEARCH("Positive",L295)))</formula>
    </cfRule>
    <cfRule type="containsText" dxfId="10015" priority="12533" operator="containsText" text="Negative">
      <formula>NOT(ISERROR(SEARCH("Negative",L295)))</formula>
    </cfRule>
  </conditionalFormatting>
  <conditionalFormatting sqref="L295">
    <cfRule type="containsText" dxfId="10014" priority="12530" operator="containsText" text="Positive">
      <formula>NOT(ISERROR(SEARCH("Positive",L295)))</formula>
    </cfRule>
    <cfRule type="containsText" dxfId="10013" priority="12531" operator="containsText" text="Negative">
      <formula>NOT(ISERROR(SEARCH("Negative",L295)))</formula>
    </cfRule>
  </conditionalFormatting>
  <conditionalFormatting sqref="L343">
    <cfRule type="containsText" dxfId="10012" priority="12522" operator="containsText" text="Positive">
      <formula>NOT(ISERROR(SEARCH("Positive",L343)))</formula>
    </cfRule>
    <cfRule type="containsText" dxfId="10011" priority="12523" operator="containsText" text="Negative">
      <formula>NOT(ISERROR(SEARCH("Negative",L343)))</formula>
    </cfRule>
  </conditionalFormatting>
  <conditionalFormatting sqref="L343">
    <cfRule type="containsText" dxfId="10010" priority="12520" operator="containsText" text="Positive">
      <formula>NOT(ISERROR(SEARCH("Positive",L343)))</formula>
    </cfRule>
    <cfRule type="containsText" dxfId="10009" priority="12521" operator="containsText" text="Negative">
      <formula>NOT(ISERROR(SEARCH("Negative",L343)))</formula>
    </cfRule>
  </conditionalFormatting>
  <conditionalFormatting sqref="I341">
    <cfRule type="containsText" dxfId="10008" priority="12525" operator="containsText" text="Missing">
      <formula>NOT(ISERROR(SEARCH("Missing",I341)))</formula>
    </cfRule>
  </conditionalFormatting>
  <conditionalFormatting sqref="I343">
    <cfRule type="containsText" dxfId="10007" priority="12524" operator="containsText" text="Missing">
      <formula>NOT(ISERROR(SEARCH("Missing",I343)))</formula>
    </cfRule>
  </conditionalFormatting>
  <conditionalFormatting sqref="L345">
    <cfRule type="containsText" dxfId="10006" priority="12518" operator="containsText" text="Positive">
      <formula>NOT(ISERROR(SEARCH("Positive",L345)))</formula>
    </cfRule>
    <cfRule type="containsText" dxfId="10005" priority="12519" operator="containsText" text="Negative">
      <formula>NOT(ISERROR(SEARCH("Negative",L345)))</formula>
    </cfRule>
  </conditionalFormatting>
  <conditionalFormatting sqref="L345">
    <cfRule type="containsText" dxfId="10004" priority="12516" operator="containsText" text="Positive">
      <formula>NOT(ISERROR(SEARCH("Positive",L345)))</formula>
    </cfRule>
    <cfRule type="containsText" dxfId="10003" priority="12517" operator="containsText" text="Negative">
      <formula>NOT(ISERROR(SEARCH("Negative",L345)))</formula>
    </cfRule>
  </conditionalFormatting>
  <conditionalFormatting sqref="H349">
    <cfRule type="containsText" dxfId="10002" priority="12514" operator="containsText" text="Missing">
      <formula>NOT(ISERROR(SEARCH("Missing",H349)))</formula>
    </cfRule>
  </conditionalFormatting>
  <conditionalFormatting sqref="I90">
    <cfRule type="containsText" dxfId="10001" priority="12478" operator="containsText" text="Missing">
      <formula>NOT(ISERROR(SEARCH("Missing",I90)))</formula>
    </cfRule>
  </conditionalFormatting>
  <conditionalFormatting sqref="I345">
    <cfRule type="containsText" dxfId="10000" priority="12515" operator="containsText" text="Missing">
      <formula>NOT(ISERROR(SEARCH("Missing",I345)))</formula>
    </cfRule>
  </conditionalFormatting>
  <conditionalFormatting sqref="H349">
    <cfRule type="containsText" dxfId="9999" priority="12513" operator="containsText" text="Missing">
      <formula>NOT(ISERROR(SEARCH("Missing",H349)))</formula>
    </cfRule>
  </conditionalFormatting>
  <conditionalFormatting sqref="I347">
    <cfRule type="containsText" dxfId="9998" priority="12512" operator="containsText" text="Missing">
      <formula>NOT(ISERROR(SEARCH("Missing",I347)))</formula>
    </cfRule>
  </conditionalFormatting>
  <conditionalFormatting sqref="I349">
    <cfRule type="containsText" dxfId="9997" priority="12511" operator="containsText" text="Missing">
      <formula>NOT(ISERROR(SEARCH("Missing",I349)))</formula>
    </cfRule>
  </conditionalFormatting>
  <conditionalFormatting sqref="L347">
    <cfRule type="containsText" dxfId="9996" priority="12509" operator="containsText" text="Positive">
      <formula>NOT(ISERROR(SEARCH("Positive",L347)))</formula>
    </cfRule>
    <cfRule type="containsText" dxfId="9995" priority="12510" operator="containsText" text="Negative">
      <formula>NOT(ISERROR(SEARCH("Negative",L347)))</formula>
    </cfRule>
  </conditionalFormatting>
  <conditionalFormatting sqref="L347">
    <cfRule type="containsText" dxfId="9994" priority="12507" operator="containsText" text="Positive">
      <formula>NOT(ISERROR(SEARCH("Positive",L347)))</formula>
    </cfRule>
    <cfRule type="containsText" dxfId="9993" priority="12508" operator="containsText" text="Negative">
      <formula>NOT(ISERROR(SEARCH("Negative",L347)))</formula>
    </cfRule>
  </conditionalFormatting>
  <conditionalFormatting sqref="L349">
    <cfRule type="containsText" dxfId="9992" priority="12505" operator="containsText" text="Positive">
      <formula>NOT(ISERROR(SEARCH("Positive",L349)))</formula>
    </cfRule>
    <cfRule type="containsText" dxfId="9991" priority="12506" operator="containsText" text="Negative">
      <formula>NOT(ISERROR(SEARCH("Negative",L349)))</formula>
    </cfRule>
  </conditionalFormatting>
  <conditionalFormatting sqref="L349">
    <cfRule type="containsText" dxfId="9990" priority="12503" operator="containsText" text="Positive">
      <formula>NOT(ISERROR(SEARCH("Positive",L349)))</formula>
    </cfRule>
    <cfRule type="containsText" dxfId="9989" priority="12504" operator="containsText" text="Negative">
      <formula>NOT(ISERROR(SEARCH("Negative",L349)))</formula>
    </cfRule>
  </conditionalFormatting>
  <conditionalFormatting sqref="J153:K153">
    <cfRule type="containsText" dxfId="9988" priority="12502" operator="containsText" text="Missing">
      <formula>NOT(ISERROR(SEARCH("Missing",J153)))</formula>
    </cfRule>
  </conditionalFormatting>
  <conditionalFormatting sqref="I153">
    <cfRule type="containsText" dxfId="9987" priority="12499" operator="containsText" text="Missing">
      <formula>NOT(ISERROR(SEARCH("Missing",I153)))</formula>
    </cfRule>
  </conditionalFormatting>
  <conditionalFormatting sqref="L153">
    <cfRule type="containsText" dxfId="9986" priority="12500" operator="containsText" text="Positive">
      <formula>NOT(ISERROR(SEARCH("Positive",L153)))</formula>
    </cfRule>
    <cfRule type="containsText" dxfId="9985" priority="12501" operator="containsText" text="Negative">
      <formula>NOT(ISERROR(SEARCH("Negative",L153)))</formula>
    </cfRule>
  </conditionalFormatting>
  <conditionalFormatting sqref="J154:K154">
    <cfRule type="containsText" dxfId="9984" priority="12498" operator="containsText" text="Missing">
      <formula>NOT(ISERROR(SEARCH("Missing",J154)))</formula>
    </cfRule>
  </conditionalFormatting>
  <conditionalFormatting sqref="I154">
    <cfRule type="containsText" dxfId="9983" priority="12495" operator="containsText" text="Missing">
      <formula>NOT(ISERROR(SEARCH("Missing",I154)))</formula>
    </cfRule>
  </conditionalFormatting>
  <conditionalFormatting sqref="L154">
    <cfRule type="containsText" dxfId="9982" priority="12496" operator="containsText" text="Positive">
      <formula>NOT(ISERROR(SEARCH("Positive",L154)))</formula>
    </cfRule>
    <cfRule type="containsText" dxfId="9981" priority="12497" operator="containsText" text="Negative">
      <formula>NOT(ISERROR(SEARCH("Negative",L154)))</formula>
    </cfRule>
  </conditionalFormatting>
  <conditionalFormatting sqref="I114">
    <cfRule type="containsText" dxfId="9980" priority="12494" operator="containsText" text="Missing">
      <formula>NOT(ISERROR(SEARCH("Missing",I114)))</formula>
    </cfRule>
  </conditionalFormatting>
  <conditionalFormatting sqref="J116:K116">
    <cfRule type="containsText" dxfId="9979" priority="12493" operator="containsText" text="Missing">
      <formula>NOT(ISERROR(SEARCH("Missing",J116)))</formula>
    </cfRule>
  </conditionalFormatting>
  <conditionalFormatting sqref="L116">
    <cfRule type="containsText" dxfId="9978" priority="12491" operator="containsText" text="Positive">
      <formula>NOT(ISERROR(SEARCH("Positive",L116)))</formula>
    </cfRule>
    <cfRule type="containsText" dxfId="9977" priority="12492" operator="containsText" text="Negative">
      <formula>NOT(ISERROR(SEARCH("Negative",L116)))</formula>
    </cfRule>
  </conditionalFormatting>
  <conditionalFormatting sqref="I116">
    <cfRule type="containsText" dxfId="9976" priority="12490" operator="containsText" text="Missing">
      <formula>NOT(ISERROR(SEARCH("Missing",I116)))</formula>
    </cfRule>
  </conditionalFormatting>
  <conditionalFormatting sqref="J115:K115">
    <cfRule type="containsText" dxfId="9975" priority="12489" operator="containsText" text="Missing">
      <formula>NOT(ISERROR(SEARCH("Missing",J115)))</formula>
    </cfRule>
  </conditionalFormatting>
  <conditionalFormatting sqref="L115">
    <cfRule type="containsText" dxfId="9974" priority="12487" operator="containsText" text="Positive">
      <formula>NOT(ISERROR(SEARCH("Positive",L115)))</formula>
    </cfRule>
    <cfRule type="containsText" dxfId="9973" priority="12488" operator="containsText" text="Negative">
      <formula>NOT(ISERROR(SEARCH("Negative",L115)))</formula>
    </cfRule>
  </conditionalFormatting>
  <conditionalFormatting sqref="I115">
    <cfRule type="containsText" dxfId="9972" priority="12486" operator="containsText" text="Missing">
      <formula>NOT(ISERROR(SEARCH("Missing",I115)))</formula>
    </cfRule>
  </conditionalFormatting>
  <conditionalFormatting sqref="J89:K89">
    <cfRule type="containsText" dxfId="9971" priority="12485" operator="containsText" text="Missing">
      <formula>NOT(ISERROR(SEARCH("Missing",J89)))</formula>
    </cfRule>
  </conditionalFormatting>
  <conditionalFormatting sqref="L89">
    <cfRule type="containsText" dxfId="9970" priority="12483" operator="containsText" text="Positive">
      <formula>NOT(ISERROR(SEARCH("Positive",L89)))</formula>
    </cfRule>
    <cfRule type="containsText" dxfId="9969" priority="12484" operator="containsText" text="Negative">
      <formula>NOT(ISERROR(SEARCH("Negative",L89)))</formula>
    </cfRule>
  </conditionalFormatting>
  <conditionalFormatting sqref="I89">
    <cfRule type="containsText" dxfId="9968" priority="12482" operator="containsText" text="Missing">
      <formula>NOT(ISERROR(SEARCH("Missing",I89)))</formula>
    </cfRule>
  </conditionalFormatting>
  <conditionalFormatting sqref="J90:K90">
    <cfRule type="containsText" dxfId="9967" priority="12481" operator="containsText" text="Missing">
      <formula>NOT(ISERROR(SEARCH("Missing",J90)))</formula>
    </cfRule>
  </conditionalFormatting>
  <conditionalFormatting sqref="L90">
    <cfRule type="containsText" dxfId="9966" priority="12479" operator="containsText" text="Positive">
      <formula>NOT(ISERROR(SEARCH("Positive",L90)))</formula>
    </cfRule>
    <cfRule type="containsText" dxfId="9965" priority="12480" operator="containsText" text="Negative">
      <formula>NOT(ISERROR(SEARCH("Negative",L90)))</formula>
    </cfRule>
  </conditionalFormatting>
  <conditionalFormatting sqref="J175:K175">
    <cfRule type="containsText" dxfId="9964" priority="12477" operator="containsText" text="Missing">
      <formula>NOT(ISERROR(SEARCH("Missing",J175)))</formula>
    </cfRule>
  </conditionalFormatting>
  <conditionalFormatting sqref="I175">
    <cfRule type="containsText" dxfId="9963" priority="12474" operator="containsText" text="Missing">
      <formula>NOT(ISERROR(SEARCH("Missing",I175)))</formula>
    </cfRule>
  </conditionalFormatting>
  <conditionalFormatting sqref="L176">
    <cfRule type="containsText" dxfId="9962" priority="12471" operator="containsText" text="Positive">
      <formula>NOT(ISERROR(SEARCH("Positive",L176)))</formula>
    </cfRule>
    <cfRule type="containsText" dxfId="9961" priority="12472" operator="containsText" text="Negative">
      <formula>NOT(ISERROR(SEARCH("Negative",L176)))</formula>
    </cfRule>
  </conditionalFormatting>
  <conditionalFormatting sqref="L175">
    <cfRule type="containsText" dxfId="9960" priority="12475" operator="containsText" text="Positive">
      <formula>NOT(ISERROR(SEARCH("Positive",L175)))</formula>
    </cfRule>
    <cfRule type="containsText" dxfId="9959" priority="12476" operator="containsText" text="Negative">
      <formula>NOT(ISERROR(SEARCH("Negative",L175)))</formula>
    </cfRule>
  </conditionalFormatting>
  <conditionalFormatting sqref="I176">
    <cfRule type="containsText" dxfId="9958" priority="12470" operator="containsText" text="Missing">
      <formula>NOT(ISERROR(SEARCH("Missing",I176)))</formula>
    </cfRule>
  </conditionalFormatting>
  <conditionalFormatting sqref="L206:L207">
    <cfRule type="containsText" dxfId="9957" priority="12466" operator="containsText" text="Positive">
      <formula>NOT(ISERROR(SEARCH("Positive",L206)))</formula>
    </cfRule>
    <cfRule type="containsText" dxfId="9956" priority="12467" operator="containsText" text="Negative">
      <formula>NOT(ISERROR(SEARCH("Negative",L206)))</formula>
    </cfRule>
  </conditionalFormatting>
  <conditionalFormatting sqref="J176:K176">
    <cfRule type="containsText" dxfId="9955" priority="12473" operator="containsText" text="Missing">
      <formula>NOT(ISERROR(SEARCH("Missing",J176)))</formula>
    </cfRule>
  </conditionalFormatting>
  <conditionalFormatting sqref="L255">
    <cfRule type="containsText" dxfId="9954" priority="12454" operator="containsText" text="Positive">
      <formula>NOT(ISERROR(SEARCH("Positive",L255)))</formula>
    </cfRule>
    <cfRule type="containsText" dxfId="9953" priority="12455" operator="containsText" text="Negative">
      <formula>NOT(ISERROR(SEARCH("Negative",L255)))</formula>
    </cfRule>
  </conditionalFormatting>
  <conditionalFormatting sqref="I204:I205 I208">
    <cfRule type="containsText" dxfId="9952" priority="12469" operator="containsText" text="Missing">
      <formula>NOT(ISERROR(SEARCH("Missing",I204)))</formula>
    </cfRule>
  </conditionalFormatting>
  <conditionalFormatting sqref="L209">
    <cfRule type="containsText" dxfId="9951" priority="12462" operator="containsText" text="Positive">
      <formula>NOT(ISERROR(SEARCH("Positive",L209)))</formula>
    </cfRule>
    <cfRule type="containsText" dxfId="9950" priority="12463" operator="containsText" text="Negative">
      <formula>NOT(ISERROR(SEARCH("Negative",L209)))</formula>
    </cfRule>
  </conditionalFormatting>
  <conditionalFormatting sqref="J206:K207">
    <cfRule type="containsText" dxfId="9949" priority="12468" operator="containsText" text="Missing">
      <formula>NOT(ISERROR(SEARCH("Missing",J206)))</formula>
    </cfRule>
  </conditionalFormatting>
  <conditionalFormatting sqref="I206:I207">
    <cfRule type="containsText" dxfId="9948" priority="12465" operator="containsText" text="Missing">
      <formula>NOT(ISERROR(SEARCH("Missing",I206)))</formula>
    </cfRule>
  </conditionalFormatting>
  <conditionalFormatting sqref="I209">
    <cfRule type="containsText" dxfId="9947" priority="12461" operator="containsText" text="Missing">
      <formula>NOT(ISERROR(SEARCH("Missing",I209)))</formula>
    </cfRule>
  </conditionalFormatting>
  <conditionalFormatting sqref="L254">
    <cfRule type="containsText" dxfId="9946" priority="12451" operator="containsText" text="Positive">
      <formula>NOT(ISERROR(SEARCH("Positive",L254)))</formula>
    </cfRule>
    <cfRule type="containsText" dxfId="9945" priority="12452" operator="containsText" text="Negative">
      <formula>NOT(ISERROR(SEARCH("Negative",L254)))</formula>
    </cfRule>
  </conditionalFormatting>
  <conditionalFormatting sqref="I210">
    <cfRule type="containsText" dxfId="9944" priority="12457" operator="containsText" text="Missing">
      <formula>NOT(ISERROR(SEARCH("Missing",I210)))</formula>
    </cfRule>
  </conditionalFormatting>
  <conditionalFormatting sqref="J209:K209">
    <cfRule type="containsText" dxfId="9943" priority="12464" operator="containsText" text="Missing">
      <formula>NOT(ISERROR(SEARCH("Missing",J209)))</formula>
    </cfRule>
  </conditionalFormatting>
  <conditionalFormatting sqref="L210">
    <cfRule type="containsText" dxfId="9942" priority="12458" operator="containsText" text="Positive">
      <formula>NOT(ISERROR(SEARCH("Positive",L210)))</formula>
    </cfRule>
    <cfRule type="containsText" dxfId="9941" priority="12459" operator="containsText" text="Negative">
      <formula>NOT(ISERROR(SEARCH("Negative",L210)))</formula>
    </cfRule>
  </conditionalFormatting>
  <conditionalFormatting sqref="J210:K210">
    <cfRule type="containsText" dxfId="9940" priority="12460" operator="containsText" text="Missing">
      <formula>NOT(ISERROR(SEARCH("Missing",J210)))</formula>
    </cfRule>
  </conditionalFormatting>
  <conditionalFormatting sqref="I255:K255">
    <cfRule type="containsText" dxfId="9939" priority="12456" operator="containsText" text="Missing">
      <formula>NOT(ISERROR(SEARCH("Missing",I255)))</formula>
    </cfRule>
  </conditionalFormatting>
  <conditionalFormatting sqref="I254:K254">
    <cfRule type="containsText" dxfId="9938" priority="12453" operator="containsText" text="Missing">
      <formula>NOT(ISERROR(SEARCH("Missing",I254)))</formula>
    </cfRule>
  </conditionalFormatting>
  <conditionalFormatting sqref="J298:K299">
    <cfRule type="containsText" dxfId="9937" priority="12450" operator="containsText" text="Missing">
      <formula>NOT(ISERROR(SEARCH("Missing",J298)))</formula>
    </cfRule>
  </conditionalFormatting>
  <conditionalFormatting sqref="L298:L299">
    <cfRule type="containsText" dxfId="9936" priority="12448" operator="containsText" text="Positive">
      <formula>NOT(ISERROR(SEARCH("Positive",L298)))</formula>
    </cfRule>
    <cfRule type="containsText" dxfId="9935" priority="12449" operator="containsText" text="Negative">
      <formula>NOT(ISERROR(SEARCH("Negative",L298)))</formula>
    </cfRule>
  </conditionalFormatting>
  <conditionalFormatting sqref="I298:I299">
    <cfRule type="containsText" dxfId="9934" priority="12447" operator="containsText" text="Missing">
      <formula>NOT(ISERROR(SEARCH("Missing",I298)))</formula>
    </cfRule>
  </conditionalFormatting>
  <conditionalFormatting sqref="J352:K352">
    <cfRule type="containsText" dxfId="9933" priority="12446" operator="containsText" text="Missing">
      <formula>NOT(ISERROR(SEARCH("Missing",J352)))</formula>
    </cfRule>
  </conditionalFormatting>
  <conditionalFormatting sqref="L352">
    <cfRule type="containsText" dxfId="9932" priority="12444" operator="containsText" text="Positive">
      <formula>NOT(ISERROR(SEARCH("Positive",L352)))</formula>
    </cfRule>
    <cfRule type="containsText" dxfId="9931" priority="12445" operator="containsText" text="Negative">
      <formula>NOT(ISERROR(SEARCH("Negative",L352)))</formula>
    </cfRule>
  </conditionalFormatting>
  <conditionalFormatting sqref="I352">
    <cfRule type="containsText" dxfId="9930" priority="12443" operator="containsText" text="Missing">
      <formula>NOT(ISERROR(SEARCH("Missing",I352)))</formula>
    </cfRule>
  </conditionalFormatting>
  <conditionalFormatting sqref="J353:K353">
    <cfRule type="containsText" dxfId="9929" priority="12442" operator="containsText" text="Missing">
      <formula>NOT(ISERROR(SEARCH("Missing",J353)))</formula>
    </cfRule>
  </conditionalFormatting>
  <conditionalFormatting sqref="L353">
    <cfRule type="containsText" dxfId="9928" priority="12440" operator="containsText" text="Positive">
      <formula>NOT(ISERROR(SEARCH("Positive",L353)))</formula>
    </cfRule>
    <cfRule type="containsText" dxfId="9927" priority="12441" operator="containsText" text="Negative">
      <formula>NOT(ISERROR(SEARCH("Negative",L353)))</formula>
    </cfRule>
  </conditionalFormatting>
  <conditionalFormatting sqref="I353">
    <cfRule type="containsText" dxfId="9926" priority="12439" operator="containsText" text="Missing">
      <formula>NOT(ISERROR(SEARCH("Missing",I353)))</formula>
    </cfRule>
  </conditionalFormatting>
  <conditionalFormatting sqref="H352:H353">
    <cfRule type="containsText" dxfId="9925" priority="12438" operator="containsText" text="Missing">
      <formula>NOT(ISERROR(SEARCH("Missing",H352)))</formula>
    </cfRule>
  </conditionalFormatting>
  <conditionalFormatting sqref="H298:H299">
    <cfRule type="containsText" dxfId="9924" priority="12437" operator="containsText" text="Missing">
      <formula>NOT(ISERROR(SEARCH("Missing",H298)))</formula>
    </cfRule>
  </conditionalFormatting>
  <conditionalFormatting sqref="H89:H90">
    <cfRule type="containsText" dxfId="9923" priority="12429" operator="containsText" text="Missing">
      <formula>NOT(ISERROR(SEARCH("Missing",H89)))</formula>
    </cfRule>
  </conditionalFormatting>
  <conditionalFormatting sqref="H253:H254">
    <cfRule type="containsText" dxfId="9922" priority="12436" operator="containsText" text="Missing">
      <formula>NOT(ISERROR(SEARCH("Missing",H253)))</formula>
    </cfRule>
  </conditionalFormatting>
  <conditionalFormatting sqref="H255">
    <cfRule type="containsText" dxfId="9921" priority="12435" operator="containsText" text="Missing">
      <formula>NOT(ISERROR(SEARCH("Missing",H255)))</formula>
    </cfRule>
  </conditionalFormatting>
  <conditionalFormatting sqref="H204">
    <cfRule type="containsText" dxfId="9920" priority="12434" operator="containsText" text="Missing">
      <formula>NOT(ISERROR(SEARCH("Missing",H204)))</formula>
    </cfRule>
  </conditionalFormatting>
  <conditionalFormatting sqref="H205:H210">
    <cfRule type="containsText" dxfId="9919" priority="12433" operator="containsText" text="Missing">
      <formula>NOT(ISERROR(SEARCH("Missing",H205)))</formula>
    </cfRule>
  </conditionalFormatting>
  <conditionalFormatting sqref="H175:H176">
    <cfRule type="containsText" dxfId="9918" priority="12432" operator="containsText" text="Missing">
      <formula>NOT(ISERROR(SEARCH("Missing",H175)))</formula>
    </cfRule>
  </conditionalFormatting>
  <conditionalFormatting sqref="H152:H154">
    <cfRule type="containsText" dxfId="9917" priority="12431" operator="containsText" text="Missing">
      <formula>NOT(ISERROR(SEARCH("Missing",H152)))</formula>
    </cfRule>
  </conditionalFormatting>
  <conditionalFormatting sqref="H114:H116">
    <cfRule type="containsText" dxfId="9916" priority="12430" operator="containsText" text="Missing">
      <formula>NOT(ISERROR(SEARCH("Missing",H114)))</formula>
    </cfRule>
  </conditionalFormatting>
  <conditionalFormatting sqref="I20">
    <cfRule type="containsText" dxfId="9915" priority="12428" operator="containsText" text="Missing">
      <formula>NOT(ISERROR(SEARCH("Missing",I20)))</formula>
    </cfRule>
  </conditionalFormatting>
  <conditionalFormatting sqref="L25:L26">
    <cfRule type="containsText" dxfId="9914" priority="12426" operator="containsText" text="Positive">
      <formula>NOT(ISERROR(SEARCH("Positive",L25)))</formula>
    </cfRule>
    <cfRule type="containsText" dxfId="9913" priority="12427" operator="containsText" text="Negative">
      <formula>NOT(ISERROR(SEARCH("Negative",L25)))</formula>
    </cfRule>
  </conditionalFormatting>
  <conditionalFormatting sqref="I332">
    <cfRule type="containsText" dxfId="9912" priority="12405" operator="containsText" text="Missing">
      <formula>NOT(ISERROR(SEARCH("Missing",I332)))</formula>
    </cfRule>
  </conditionalFormatting>
  <conditionalFormatting sqref="I26">
    <cfRule type="containsText" dxfId="9911" priority="12425" operator="containsText" text="Missing">
      <formula>NOT(ISERROR(SEARCH("Missing",I26)))</formula>
    </cfRule>
  </conditionalFormatting>
  <conditionalFormatting sqref="H26">
    <cfRule type="containsText" dxfId="9910" priority="12424" operator="containsText" text="Missing">
      <formula>NOT(ISERROR(SEARCH("Missing",H26)))</formula>
    </cfRule>
  </conditionalFormatting>
  <conditionalFormatting sqref="H23 J23:K23">
    <cfRule type="containsText" dxfId="9909" priority="12423" operator="containsText" text="Missing">
      <formula>NOT(ISERROR(SEARCH("Missing",H23)))</formula>
    </cfRule>
  </conditionalFormatting>
  <conditionalFormatting sqref="J24:K24">
    <cfRule type="containsText" dxfId="9908" priority="12422" operator="containsText" text="Missing">
      <formula>NOT(ISERROR(SEARCH("Missing",J24)))</formula>
    </cfRule>
  </conditionalFormatting>
  <conditionalFormatting sqref="L23:L24">
    <cfRule type="containsText" dxfId="9907" priority="12420" operator="containsText" text="Positive">
      <formula>NOT(ISERROR(SEARCH("Positive",L23)))</formula>
    </cfRule>
    <cfRule type="containsText" dxfId="9906" priority="12421" operator="containsText" text="Negative">
      <formula>NOT(ISERROR(SEARCH("Negative",L23)))</formula>
    </cfRule>
  </conditionalFormatting>
  <conditionalFormatting sqref="I131">
    <cfRule type="containsText" dxfId="9905" priority="12414" operator="containsText" text="Missing">
      <formula>NOT(ISERROR(SEARCH("Missing",I131)))</formula>
    </cfRule>
  </conditionalFormatting>
  <conditionalFormatting sqref="I24">
    <cfRule type="containsText" dxfId="9904" priority="12419" operator="containsText" text="Missing">
      <formula>NOT(ISERROR(SEARCH("Missing",I24)))</formula>
    </cfRule>
  </conditionalFormatting>
  <conditionalFormatting sqref="H24">
    <cfRule type="containsText" dxfId="9903" priority="12418" operator="containsText" text="Missing">
      <formula>NOT(ISERROR(SEARCH("Missing",H24)))</formula>
    </cfRule>
  </conditionalFormatting>
  <conditionalFormatting sqref="I334">
    <cfRule type="containsText" dxfId="9902" priority="12403" operator="containsText" text="Missing">
      <formula>NOT(ISERROR(SEARCH("Missing",I334)))</formula>
    </cfRule>
  </conditionalFormatting>
  <conditionalFormatting sqref="I62">
    <cfRule type="containsText" dxfId="9901" priority="12417" operator="containsText" text="Missing">
      <formula>NOT(ISERROR(SEARCH("Missing",I62)))</formula>
    </cfRule>
  </conditionalFormatting>
  <conditionalFormatting sqref="I64">
    <cfRule type="containsText" dxfId="9900" priority="12416" operator="containsText" text="Missing">
      <formula>NOT(ISERROR(SEARCH("Missing",I64)))</formula>
    </cfRule>
  </conditionalFormatting>
  <conditionalFormatting sqref="I76">
    <cfRule type="containsText" dxfId="9899" priority="12415" operator="containsText" text="Missing">
      <formula>NOT(ISERROR(SEARCH("Missing",I76)))</formula>
    </cfRule>
  </conditionalFormatting>
  <conditionalFormatting sqref="I133">
    <cfRule type="containsText" dxfId="9898" priority="12413" operator="containsText" text="Missing">
      <formula>NOT(ISERROR(SEARCH("Missing",I133)))</formula>
    </cfRule>
  </conditionalFormatting>
  <conditionalFormatting sqref="I135">
    <cfRule type="containsText" dxfId="9897" priority="12412" operator="containsText" text="Missing">
      <formula>NOT(ISERROR(SEARCH("Missing",I135)))</formula>
    </cfRule>
  </conditionalFormatting>
  <conditionalFormatting sqref="I137">
    <cfRule type="containsText" dxfId="9896" priority="12411" operator="containsText" text="Missing">
      <formula>NOT(ISERROR(SEARCH("Missing",I137)))</formula>
    </cfRule>
  </conditionalFormatting>
  <conditionalFormatting sqref="I139">
    <cfRule type="containsText" dxfId="9895" priority="12410" operator="containsText" text="Missing">
      <formula>NOT(ISERROR(SEARCH("Missing",I139)))</formula>
    </cfRule>
  </conditionalFormatting>
  <conditionalFormatting sqref="I141">
    <cfRule type="containsText" dxfId="9894" priority="12409" operator="containsText" text="Missing">
      <formula>NOT(ISERROR(SEARCH("Missing",I141)))</formula>
    </cfRule>
  </conditionalFormatting>
  <conditionalFormatting sqref="I143">
    <cfRule type="containsText" dxfId="9893" priority="12408" operator="containsText" text="Missing">
      <formula>NOT(ISERROR(SEARCH("Missing",I143)))</formula>
    </cfRule>
  </conditionalFormatting>
  <conditionalFormatting sqref="I25">
    <cfRule type="containsText" dxfId="9892" priority="12407" operator="containsText" text="Missing">
      <formula>NOT(ISERROR(SEARCH("Missing",I25)))</formula>
    </cfRule>
  </conditionalFormatting>
  <conditionalFormatting sqref="I23">
    <cfRule type="containsText" dxfId="9891" priority="12406" operator="containsText" text="Missing">
      <formula>NOT(ISERROR(SEARCH("Missing",I23)))</formula>
    </cfRule>
  </conditionalFormatting>
  <conditionalFormatting sqref="I330">
    <cfRule type="containsText" dxfId="9890" priority="12404" operator="containsText" text="Missing">
      <formula>NOT(ISERROR(SEARCH("Missing",I330)))</formula>
    </cfRule>
  </conditionalFormatting>
  <conditionalFormatting sqref="I336">
    <cfRule type="containsText" dxfId="9889" priority="12402" operator="containsText" text="Missing">
      <formula>NOT(ISERROR(SEARCH("Missing",I336)))</formula>
    </cfRule>
  </conditionalFormatting>
  <conditionalFormatting sqref="I306">
    <cfRule type="containsText" dxfId="9888" priority="12399" operator="containsText" text="Missing">
      <formula>NOT(ISERROR(SEARCH("Missing",I306)))</formula>
    </cfRule>
  </conditionalFormatting>
  <conditionalFormatting sqref="I338">
    <cfRule type="containsText" dxfId="9887" priority="12401" operator="containsText" text="Missing">
      <formula>NOT(ISERROR(SEARCH("Missing",I338)))</formula>
    </cfRule>
  </conditionalFormatting>
  <conditionalFormatting sqref="I312">
    <cfRule type="containsText" dxfId="9886" priority="12400" operator="containsText" text="Missing">
      <formula>NOT(ISERROR(SEARCH("Missing",I312)))</formula>
    </cfRule>
  </conditionalFormatting>
  <conditionalFormatting sqref="J322:K324">
    <cfRule type="containsText" dxfId="9885" priority="12379" operator="containsText" text="Missing">
      <formula>NOT(ISERROR(SEARCH("Missing",J322)))</formula>
    </cfRule>
  </conditionalFormatting>
  <conditionalFormatting sqref="I327">
    <cfRule type="containsText" dxfId="9884" priority="12363" operator="containsText" text="Missing">
      <formula>NOT(ISERROR(SEARCH("Missing",I327)))</formula>
    </cfRule>
  </conditionalFormatting>
  <conditionalFormatting sqref="L321">
    <cfRule type="containsText" dxfId="9883" priority="12397" operator="containsText" text="Positive">
      <formula>NOT(ISERROR(SEARCH("Positive",L321)))</formula>
    </cfRule>
    <cfRule type="containsText" dxfId="9882" priority="12398" operator="containsText" text="Negative">
      <formula>NOT(ISERROR(SEARCH("Negative",L321)))</formula>
    </cfRule>
  </conditionalFormatting>
  <conditionalFormatting sqref="H318">
    <cfRule type="containsText" dxfId="9881" priority="12386" operator="containsText" text="Missing">
      <formula>NOT(ISERROR(SEARCH("Missing",H318)))</formula>
    </cfRule>
  </conditionalFormatting>
  <conditionalFormatting sqref="H316:H317">
    <cfRule type="containsText" dxfId="9880" priority="12393" operator="containsText" text="Missing">
      <formula>NOT(ISERROR(SEARCH("Missing",H316)))</formula>
    </cfRule>
  </conditionalFormatting>
  <conditionalFormatting sqref="J316:K318">
    <cfRule type="containsText" dxfId="9879" priority="12396" operator="containsText" text="Missing">
      <formula>NOT(ISERROR(SEARCH("Missing",J316)))</formula>
    </cfRule>
  </conditionalFormatting>
  <conditionalFormatting sqref="L316:L318">
    <cfRule type="containsText" dxfId="9878" priority="12394" operator="containsText" text="Positive">
      <formula>NOT(ISERROR(SEARCH("Positive",L316)))</formula>
    </cfRule>
    <cfRule type="containsText" dxfId="9877" priority="12395" operator="containsText" text="Negative">
      <formula>NOT(ISERROR(SEARCH("Negative",L316)))</formula>
    </cfRule>
  </conditionalFormatting>
  <conditionalFormatting sqref="J319:K319">
    <cfRule type="containsText" dxfId="9876" priority="12392" operator="containsText" text="Missing">
      <formula>NOT(ISERROR(SEARCH("Missing",J319)))</formula>
    </cfRule>
  </conditionalFormatting>
  <conditionalFormatting sqref="L319">
    <cfRule type="containsText" dxfId="9875" priority="12390" operator="containsText" text="Positive">
      <formula>NOT(ISERROR(SEARCH("Positive",L319)))</formula>
    </cfRule>
    <cfRule type="containsText" dxfId="9874" priority="12391" operator="containsText" text="Negative">
      <formula>NOT(ISERROR(SEARCH("Negative",L319)))</formula>
    </cfRule>
  </conditionalFormatting>
  <conditionalFormatting sqref="L320">
    <cfRule type="containsText" dxfId="9873" priority="12387" operator="containsText" text="Positive">
      <formula>NOT(ISERROR(SEARCH("Positive",L320)))</formula>
    </cfRule>
    <cfRule type="containsText" dxfId="9872" priority="12388" operator="containsText" text="Negative">
      <formula>NOT(ISERROR(SEARCH("Negative",L320)))</formula>
    </cfRule>
  </conditionalFormatting>
  <conditionalFormatting sqref="J320:K320">
    <cfRule type="containsText" dxfId="9871" priority="12389" operator="containsText" text="Missing">
      <formula>NOT(ISERROR(SEARCH("Missing",J320)))</formula>
    </cfRule>
  </conditionalFormatting>
  <conditionalFormatting sqref="J321:K321">
    <cfRule type="containsText" dxfId="9870" priority="12383" operator="containsText" text="Missing">
      <formula>NOT(ISERROR(SEARCH("Missing",J321)))</formula>
    </cfRule>
  </conditionalFormatting>
  <conditionalFormatting sqref="H321">
    <cfRule type="containsText" dxfId="9869" priority="12382" operator="containsText" text="Missing">
      <formula>NOT(ISERROR(SEARCH("Missing",H321)))</formula>
    </cfRule>
  </conditionalFormatting>
  <conditionalFormatting sqref="H319">
    <cfRule type="containsText" dxfId="9868" priority="12385" operator="containsText" text="Missing">
      <formula>NOT(ISERROR(SEARCH("Missing",H319)))</formula>
    </cfRule>
  </conditionalFormatting>
  <conditionalFormatting sqref="H320">
    <cfRule type="containsText" dxfId="9867" priority="12384" operator="containsText" text="Missing">
      <formula>NOT(ISERROR(SEARCH("Missing",H320)))</formula>
    </cfRule>
  </conditionalFormatting>
  <conditionalFormatting sqref="L327">
    <cfRule type="containsText" dxfId="9866" priority="12380" operator="containsText" text="Positive">
      <formula>NOT(ISERROR(SEARCH("Positive",L327)))</formula>
    </cfRule>
    <cfRule type="containsText" dxfId="9865" priority="12381" operator="containsText" text="Negative">
      <formula>NOT(ISERROR(SEARCH("Negative",L327)))</formula>
    </cfRule>
  </conditionalFormatting>
  <conditionalFormatting sqref="H324">
    <cfRule type="containsText" dxfId="9864" priority="12369" operator="containsText" text="Missing">
      <formula>NOT(ISERROR(SEARCH("Missing",H324)))</formula>
    </cfRule>
  </conditionalFormatting>
  <conditionalFormatting sqref="H322:H323">
    <cfRule type="containsText" dxfId="9863" priority="12376" operator="containsText" text="Missing">
      <formula>NOT(ISERROR(SEARCH("Missing",H322)))</formula>
    </cfRule>
  </conditionalFormatting>
  <conditionalFormatting sqref="L322:L324">
    <cfRule type="containsText" dxfId="9862" priority="12377" operator="containsText" text="Positive">
      <formula>NOT(ISERROR(SEARCH("Positive",L322)))</formula>
    </cfRule>
    <cfRule type="containsText" dxfId="9861" priority="12378" operator="containsText" text="Negative">
      <formula>NOT(ISERROR(SEARCH("Negative",L322)))</formula>
    </cfRule>
  </conditionalFormatting>
  <conditionalFormatting sqref="J325:K325">
    <cfRule type="containsText" dxfId="9860" priority="12375" operator="containsText" text="Missing">
      <formula>NOT(ISERROR(SEARCH("Missing",J325)))</formula>
    </cfRule>
  </conditionalFormatting>
  <conditionalFormatting sqref="L325">
    <cfRule type="containsText" dxfId="9859" priority="12373" operator="containsText" text="Positive">
      <formula>NOT(ISERROR(SEARCH("Positive",L325)))</formula>
    </cfRule>
    <cfRule type="containsText" dxfId="9858" priority="12374" operator="containsText" text="Negative">
      <formula>NOT(ISERROR(SEARCH("Negative",L325)))</formula>
    </cfRule>
  </conditionalFormatting>
  <conditionalFormatting sqref="L326">
    <cfRule type="containsText" dxfId="9857" priority="12370" operator="containsText" text="Positive">
      <formula>NOT(ISERROR(SEARCH("Positive",L326)))</formula>
    </cfRule>
    <cfRule type="containsText" dxfId="9856" priority="12371" operator="containsText" text="Negative">
      <formula>NOT(ISERROR(SEARCH("Negative",L326)))</formula>
    </cfRule>
  </conditionalFormatting>
  <conditionalFormatting sqref="J326:K326">
    <cfRule type="containsText" dxfId="9855" priority="12372" operator="containsText" text="Missing">
      <formula>NOT(ISERROR(SEARCH("Missing",J326)))</formula>
    </cfRule>
  </conditionalFormatting>
  <conditionalFormatting sqref="J327:K327">
    <cfRule type="containsText" dxfId="9854" priority="12366" operator="containsText" text="Missing">
      <formula>NOT(ISERROR(SEARCH("Missing",J327)))</formula>
    </cfRule>
  </conditionalFormatting>
  <conditionalFormatting sqref="H327">
    <cfRule type="containsText" dxfId="9853" priority="12365" operator="containsText" text="Missing">
      <formula>NOT(ISERROR(SEARCH("Missing",H327)))</formula>
    </cfRule>
  </conditionalFormatting>
  <conditionalFormatting sqref="H325">
    <cfRule type="containsText" dxfId="9852" priority="12368" operator="containsText" text="Missing">
      <formula>NOT(ISERROR(SEARCH("Missing",H325)))</formula>
    </cfRule>
  </conditionalFormatting>
  <conditionalFormatting sqref="H326">
    <cfRule type="containsText" dxfId="9851" priority="12367" operator="containsText" text="Missing">
      <formula>NOT(ISERROR(SEARCH("Missing",H326)))</formula>
    </cfRule>
  </conditionalFormatting>
  <conditionalFormatting sqref="I323:I326">
    <cfRule type="containsText" dxfId="9850" priority="12364" operator="containsText" text="Missing">
      <formula>NOT(ISERROR(SEARCH("Missing",I323)))</formula>
    </cfRule>
  </conditionalFormatting>
  <conditionalFormatting sqref="I221">
    <cfRule type="containsText" dxfId="9849" priority="12362" operator="containsText" text="Missing">
      <formula>NOT(ISERROR(SEARCH("Missing",I221)))</formula>
    </cfRule>
  </conditionalFormatting>
  <conditionalFormatting sqref="I239 I235">
    <cfRule type="containsText" dxfId="9848" priority="12361" operator="containsText" text="Missing">
      <formula>NOT(ISERROR(SEARCH("Missing",I235)))</formula>
    </cfRule>
  </conditionalFormatting>
  <conditionalFormatting sqref="H357">
    <cfRule type="containsText" dxfId="9847" priority="12346" operator="containsText" text="Missing">
      <formula>NOT(ISERROR(SEARCH("Missing",H357)))</formula>
    </cfRule>
  </conditionalFormatting>
  <conditionalFormatting sqref="I263">
    <cfRule type="containsText" dxfId="9846" priority="12360" operator="containsText" text="Missing">
      <formula>NOT(ISERROR(SEARCH("Missing",I263)))</formula>
    </cfRule>
  </conditionalFormatting>
  <conditionalFormatting sqref="I285">
    <cfRule type="containsText" dxfId="9845" priority="12359" operator="containsText" text="Missing">
      <formula>NOT(ISERROR(SEARCH("Missing",I285)))</formula>
    </cfRule>
  </conditionalFormatting>
  <conditionalFormatting sqref="H372:K372 H359 J359:K360">
    <cfRule type="containsText" dxfId="9844" priority="12358" operator="containsText" text="Missing">
      <formula>NOT(ISERROR(SEARCH("Missing",H359)))</formula>
    </cfRule>
  </conditionalFormatting>
  <conditionalFormatting sqref="L372 L359:L360">
    <cfRule type="containsText" dxfId="9843" priority="12356" operator="containsText" text="Positive">
      <formula>NOT(ISERROR(SEARCH("Positive",L359)))</formula>
    </cfRule>
    <cfRule type="containsText" dxfId="9842" priority="12357" operator="containsText" text="Negative">
      <formula>NOT(ISERROR(SEARCH("Negative",L359)))</formula>
    </cfRule>
  </conditionalFormatting>
  <conditionalFormatting sqref="I358">
    <cfRule type="containsText" dxfId="9841" priority="12321" operator="containsText" text="Missing">
      <formula>NOT(ISERROR(SEARCH("Missing",I358)))</formula>
    </cfRule>
  </conditionalFormatting>
  <conditionalFormatting sqref="H356">
    <cfRule type="containsText" dxfId="9840" priority="12347" operator="containsText" text="Missing">
      <formula>NOT(ISERROR(SEARCH("Missing",H356)))</formula>
    </cfRule>
  </conditionalFormatting>
  <conditionalFormatting sqref="I356">
    <cfRule type="containsText" dxfId="9839" priority="12348" operator="containsText" text="Missing">
      <formula>NOT(ISERROR(SEARCH("Missing",I356)))</formula>
    </cfRule>
  </conditionalFormatting>
  <conditionalFormatting sqref="H360">
    <cfRule type="containsText" dxfId="9838" priority="12319" operator="containsText" text="Missing">
      <formula>NOT(ISERROR(SEARCH("Missing",H360)))</formula>
    </cfRule>
  </conditionalFormatting>
  <conditionalFormatting sqref="J358:K358">
    <cfRule type="containsText" dxfId="9837" priority="12324" operator="containsText" text="Missing">
      <formula>NOT(ISERROR(SEARCH("Missing",J358)))</formula>
    </cfRule>
  </conditionalFormatting>
  <conditionalFormatting sqref="J357:K357">
    <cfRule type="containsText" dxfId="9836" priority="12352" operator="containsText" text="Missing">
      <formula>NOT(ISERROR(SEARCH("Missing",J357)))</formula>
    </cfRule>
  </conditionalFormatting>
  <conditionalFormatting sqref="L356">
    <cfRule type="containsText" dxfId="9835" priority="12353" operator="containsText" text="Positive">
      <formula>NOT(ISERROR(SEARCH("Positive",L356)))</formula>
    </cfRule>
    <cfRule type="containsText" dxfId="9834" priority="12354" operator="containsText" text="Negative">
      <formula>NOT(ISERROR(SEARCH("Negative",L356)))</formula>
    </cfRule>
  </conditionalFormatting>
  <conditionalFormatting sqref="J356:K356">
    <cfRule type="containsText" dxfId="9833" priority="12355" operator="containsText" text="Missing">
      <formula>NOT(ISERROR(SEARCH("Missing",J356)))</formula>
    </cfRule>
  </conditionalFormatting>
  <conditionalFormatting sqref="I357 I359">
    <cfRule type="containsText" dxfId="9832" priority="12349" operator="containsText" text="Missing">
      <formula>NOT(ISERROR(SEARCH("Missing",I357)))</formula>
    </cfRule>
  </conditionalFormatting>
  <conditionalFormatting sqref="L357">
    <cfRule type="containsText" dxfId="9831" priority="12350" operator="containsText" text="Positive">
      <formula>NOT(ISERROR(SEARCH("Positive",L357)))</formula>
    </cfRule>
    <cfRule type="containsText" dxfId="9830" priority="12351" operator="containsText" text="Negative">
      <formula>NOT(ISERROR(SEARCH("Negative",L357)))</formula>
    </cfRule>
  </conditionalFormatting>
  <conditionalFormatting sqref="H361">
    <cfRule type="containsText" dxfId="9829" priority="12342" operator="containsText" text="Missing">
      <formula>NOT(ISERROR(SEARCH("Missing",H361)))</formula>
    </cfRule>
  </conditionalFormatting>
  <conditionalFormatting sqref="J361:K361">
    <cfRule type="containsText" dxfId="9828" priority="12345" operator="containsText" text="Missing">
      <formula>NOT(ISERROR(SEARCH("Missing",J361)))</formula>
    </cfRule>
  </conditionalFormatting>
  <conditionalFormatting sqref="L361">
    <cfRule type="containsText" dxfId="9827" priority="12343" operator="containsText" text="Positive">
      <formula>NOT(ISERROR(SEARCH("Positive",L361)))</formula>
    </cfRule>
    <cfRule type="containsText" dxfId="9826" priority="12344" operator="containsText" text="Negative">
      <formula>NOT(ISERROR(SEARCH("Negative",L361)))</formula>
    </cfRule>
  </conditionalFormatting>
  <conditionalFormatting sqref="I377 I379">
    <cfRule type="containsText" dxfId="9825" priority="12290" operator="containsText" text="Missing">
      <formula>NOT(ISERROR(SEARCH("Missing",I377)))</formula>
    </cfRule>
  </conditionalFormatting>
  <conditionalFormatting sqref="L377">
    <cfRule type="containsText" dxfId="9824" priority="12291" operator="containsText" text="Positive">
      <formula>NOT(ISERROR(SEARCH("Positive",L377)))</formula>
    </cfRule>
    <cfRule type="containsText" dxfId="9823" priority="12292" operator="containsText" text="Negative">
      <formula>NOT(ISERROR(SEARCH("Negative",L377)))</formula>
    </cfRule>
  </conditionalFormatting>
  <conditionalFormatting sqref="J377:K377">
    <cfRule type="containsText" dxfId="9822" priority="12293" operator="containsText" text="Missing">
      <formula>NOT(ISERROR(SEARCH("Missing",J377)))</formula>
    </cfRule>
  </conditionalFormatting>
  <conditionalFormatting sqref="I361">
    <cfRule type="containsText" dxfId="9821" priority="12341" operator="containsText" text="Missing">
      <formula>NOT(ISERROR(SEARCH("Missing",I361)))</formula>
    </cfRule>
  </conditionalFormatting>
  <conditionalFormatting sqref="J362:K362">
    <cfRule type="containsText" dxfId="9820" priority="12339" operator="containsText" text="Missing">
      <formula>NOT(ISERROR(SEARCH("Missing",J362)))</formula>
    </cfRule>
  </conditionalFormatting>
  <conditionalFormatting sqref="I360">
    <cfRule type="containsText" dxfId="9819" priority="12340" operator="containsText" text="Missing">
      <formula>NOT(ISERROR(SEARCH("Missing",I360)))</formula>
    </cfRule>
  </conditionalFormatting>
  <conditionalFormatting sqref="H377">
    <cfRule type="containsText" dxfId="9818" priority="12288" operator="containsText" text="Missing">
      <formula>NOT(ISERROR(SEARCH("Missing",H377)))</formula>
    </cfRule>
  </conditionalFormatting>
  <conditionalFormatting sqref="L363">
    <cfRule type="containsText" dxfId="9817" priority="12334" operator="containsText" text="Positive">
      <formula>NOT(ISERROR(SEARCH("Positive",L363)))</formula>
    </cfRule>
    <cfRule type="containsText" dxfId="9816" priority="12335" operator="containsText" text="Negative">
      <formula>NOT(ISERROR(SEARCH("Negative",L363)))</formula>
    </cfRule>
  </conditionalFormatting>
  <conditionalFormatting sqref="J363:K363">
    <cfRule type="containsText" dxfId="9815" priority="12336" operator="containsText" text="Missing">
      <formula>NOT(ISERROR(SEARCH("Missing",J363)))</formula>
    </cfRule>
  </conditionalFormatting>
  <conditionalFormatting sqref="L362">
    <cfRule type="containsText" dxfId="9814" priority="12337" operator="containsText" text="Positive">
      <formula>NOT(ISERROR(SEARCH("Positive",L362)))</formula>
    </cfRule>
    <cfRule type="containsText" dxfId="9813" priority="12338" operator="containsText" text="Negative">
      <formula>NOT(ISERROR(SEARCH("Negative",L362)))</formula>
    </cfRule>
  </conditionalFormatting>
  <conditionalFormatting sqref="H362">
    <cfRule type="containsText" dxfId="9812" priority="12333" operator="containsText" text="Missing">
      <formula>NOT(ISERROR(SEARCH("Missing",H362)))</formula>
    </cfRule>
  </conditionalFormatting>
  <conditionalFormatting sqref="I362:I363">
    <cfRule type="containsText" dxfId="9811" priority="12331" operator="containsText" text="Missing">
      <formula>NOT(ISERROR(SEARCH("Missing",I362)))</formula>
    </cfRule>
  </conditionalFormatting>
  <conditionalFormatting sqref="H363">
    <cfRule type="containsText" dxfId="9810" priority="12332" operator="containsText" text="Missing">
      <formula>NOT(ISERROR(SEARCH("Missing",H363)))</formula>
    </cfRule>
  </conditionalFormatting>
  <conditionalFormatting sqref="H364:K364">
    <cfRule type="containsText" dxfId="9809" priority="12330" operator="containsText" text="Missing">
      <formula>NOT(ISERROR(SEARCH("Missing",H364)))</formula>
    </cfRule>
  </conditionalFormatting>
  <conditionalFormatting sqref="L364">
    <cfRule type="containsText" dxfId="9808" priority="12328" operator="containsText" text="Positive">
      <formula>NOT(ISERROR(SEARCH("Positive",L364)))</formula>
    </cfRule>
    <cfRule type="containsText" dxfId="9807" priority="12329" operator="containsText" text="Negative">
      <formula>NOT(ISERROR(SEARCH("Negative",L364)))</formula>
    </cfRule>
  </conditionalFormatting>
  <conditionalFormatting sqref="H365:K365">
    <cfRule type="containsText" dxfId="9806" priority="12327" operator="containsText" text="Missing">
      <formula>NOT(ISERROR(SEARCH("Missing",H365)))</formula>
    </cfRule>
  </conditionalFormatting>
  <conditionalFormatting sqref="L365">
    <cfRule type="containsText" dxfId="9805" priority="12325" operator="containsText" text="Positive">
      <formula>NOT(ISERROR(SEARCH("Positive",L365)))</formula>
    </cfRule>
    <cfRule type="containsText" dxfId="9804" priority="12326" operator="containsText" text="Negative">
      <formula>NOT(ISERROR(SEARCH("Negative",L365)))</formula>
    </cfRule>
  </conditionalFormatting>
  <conditionalFormatting sqref="H358">
    <cfRule type="containsText" dxfId="9803" priority="12320" operator="containsText" text="Missing">
      <formula>NOT(ISERROR(SEARCH("Missing",H358)))</formula>
    </cfRule>
  </conditionalFormatting>
  <conditionalFormatting sqref="L358">
    <cfRule type="containsText" dxfId="9802" priority="12322" operator="containsText" text="Positive">
      <formula>NOT(ISERROR(SEARCH("Positive",L358)))</formula>
    </cfRule>
    <cfRule type="containsText" dxfId="9801" priority="12323" operator="containsText" text="Negative">
      <formula>NOT(ISERROR(SEARCH("Negative",L358)))</formula>
    </cfRule>
  </conditionalFormatting>
  <conditionalFormatting sqref="J378:K378">
    <cfRule type="containsText" dxfId="9800" priority="12266" operator="containsText" text="Missing">
      <formula>NOT(ISERROR(SEARCH("Missing",J378)))</formula>
    </cfRule>
  </conditionalFormatting>
  <conditionalFormatting sqref="L366">
    <cfRule type="containsText" dxfId="9799" priority="12317" operator="containsText" text="Positive">
      <formula>NOT(ISERROR(SEARCH("Positive",L366)))</formula>
    </cfRule>
    <cfRule type="containsText" dxfId="9798" priority="12318" operator="containsText" text="Negative">
      <formula>NOT(ISERROR(SEARCH("Negative",L366)))</formula>
    </cfRule>
  </conditionalFormatting>
  <conditionalFormatting sqref="J366:K367">
    <cfRule type="containsText" dxfId="9797" priority="12316" operator="containsText" text="Missing">
      <formula>NOT(ISERROR(SEARCH("Missing",J366)))</formula>
    </cfRule>
  </conditionalFormatting>
  <conditionalFormatting sqref="L366">
    <cfRule type="containsText" dxfId="9796" priority="12314" operator="containsText" text="Positive">
      <formula>NOT(ISERROR(SEARCH("Positive",L366)))</formula>
    </cfRule>
    <cfRule type="containsText" dxfId="9795" priority="12315" operator="containsText" text="Negative">
      <formula>NOT(ISERROR(SEARCH("Negative",L366)))</formula>
    </cfRule>
  </conditionalFormatting>
  <conditionalFormatting sqref="I368">
    <cfRule type="containsText" dxfId="9794" priority="12310" operator="containsText" text="Missing">
      <formula>NOT(ISERROR(SEARCH("Missing",I368)))</formula>
    </cfRule>
  </conditionalFormatting>
  <conditionalFormatting sqref="J368:K369">
    <cfRule type="containsText" dxfId="9793" priority="12313" operator="containsText" text="Missing">
      <formula>NOT(ISERROR(SEARCH("Missing",J368)))</formula>
    </cfRule>
  </conditionalFormatting>
  <conditionalFormatting sqref="L368">
    <cfRule type="containsText" dxfId="9792" priority="12311" operator="containsText" text="Positive">
      <formula>NOT(ISERROR(SEARCH("Positive",L368)))</formula>
    </cfRule>
    <cfRule type="containsText" dxfId="9791" priority="12312" operator="containsText" text="Negative">
      <formula>NOT(ISERROR(SEARCH("Negative",L368)))</formula>
    </cfRule>
  </conditionalFormatting>
  <conditionalFormatting sqref="H368">
    <cfRule type="containsText" dxfId="9790" priority="12309" operator="containsText" text="Missing">
      <formula>NOT(ISERROR(SEARCH("Missing",H368)))</formula>
    </cfRule>
  </conditionalFormatting>
  <conditionalFormatting sqref="I388">
    <cfRule type="containsText" dxfId="9789" priority="12252" operator="containsText" text="Missing">
      <formula>NOT(ISERROR(SEARCH("Missing",I388)))</formula>
    </cfRule>
  </conditionalFormatting>
  <conditionalFormatting sqref="H388">
    <cfRule type="containsText" dxfId="9788" priority="12251" operator="containsText" text="Missing">
      <formula>NOT(ISERROR(SEARCH("Missing",H388)))</formula>
    </cfRule>
  </conditionalFormatting>
  <conditionalFormatting sqref="L367">
    <cfRule type="containsText" dxfId="9787" priority="12307" operator="containsText" text="Positive">
      <formula>NOT(ISERROR(SEARCH("Positive",L367)))</formula>
    </cfRule>
    <cfRule type="containsText" dxfId="9786" priority="12308" operator="containsText" text="Negative">
      <formula>NOT(ISERROR(SEARCH("Negative",L367)))</formula>
    </cfRule>
  </conditionalFormatting>
  <conditionalFormatting sqref="L367">
    <cfRule type="containsText" dxfId="9785" priority="12305" operator="containsText" text="Positive">
      <formula>NOT(ISERROR(SEARCH("Positive",L367)))</formula>
    </cfRule>
    <cfRule type="containsText" dxfId="9784" priority="12306" operator="containsText" text="Negative">
      <formula>NOT(ISERROR(SEARCH("Negative",L367)))</formula>
    </cfRule>
  </conditionalFormatting>
  <conditionalFormatting sqref="J390:K391">
    <cfRule type="containsText" dxfId="9783" priority="12246" operator="containsText" text="Missing">
      <formula>NOT(ISERROR(SEARCH("Missing",J390)))</formula>
    </cfRule>
  </conditionalFormatting>
  <conditionalFormatting sqref="L390:L391">
    <cfRule type="containsText" dxfId="9782" priority="12244" operator="containsText" text="Positive">
      <formula>NOT(ISERROR(SEARCH("Positive",L390)))</formula>
    </cfRule>
    <cfRule type="containsText" dxfId="9781" priority="12245" operator="containsText" text="Negative">
      <formula>NOT(ISERROR(SEARCH("Negative",L390)))</formula>
    </cfRule>
  </conditionalFormatting>
  <conditionalFormatting sqref="J370:K371">
    <cfRule type="containsText" dxfId="9780" priority="12304" operator="containsText" text="Missing">
      <formula>NOT(ISERROR(SEARCH("Missing",J370)))</formula>
    </cfRule>
  </conditionalFormatting>
  <conditionalFormatting sqref="L370:L371">
    <cfRule type="containsText" dxfId="9779" priority="12302" operator="containsText" text="Positive">
      <formula>NOT(ISERROR(SEARCH("Positive",L370)))</formula>
    </cfRule>
    <cfRule type="containsText" dxfId="9778" priority="12303" operator="containsText" text="Negative">
      <formula>NOT(ISERROR(SEARCH("Negative",L370)))</formula>
    </cfRule>
  </conditionalFormatting>
  <conditionalFormatting sqref="L370:L371">
    <cfRule type="containsText" dxfId="9777" priority="12300" operator="containsText" text="Positive">
      <formula>NOT(ISERROR(SEARCH("Positive",L370)))</formula>
    </cfRule>
    <cfRule type="containsText" dxfId="9776" priority="12301" operator="containsText" text="Negative">
      <formula>NOT(ISERROR(SEARCH("Negative",L370)))</formula>
    </cfRule>
  </conditionalFormatting>
  <conditionalFormatting sqref="H373:K374 H379 J379:K380">
    <cfRule type="containsText" dxfId="9775" priority="12299" operator="containsText" text="Missing">
      <formula>NOT(ISERROR(SEARCH("Missing",H373)))</formula>
    </cfRule>
  </conditionalFormatting>
  <conditionalFormatting sqref="L373:L374 L379:L380">
    <cfRule type="containsText" dxfId="9774" priority="12297" operator="containsText" text="Positive">
      <formula>NOT(ISERROR(SEARCH("Positive",L373)))</formula>
    </cfRule>
    <cfRule type="containsText" dxfId="9773" priority="12298" operator="containsText" text="Negative">
      <formula>NOT(ISERROR(SEARCH("Negative",L373)))</formula>
    </cfRule>
  </conditionalFormatting>
  <conditionalFormatting sqref="I378">
    <cfRule type="containsText" dxfId="9772" priority="12263" operator="containsText" text="Missing">
      <formula>NOT(ISERROR(SEARCH("Missing",I378)))</formula>
    </cfRule>
  </conditionalFormatting>
  <conditionalFormatting sqref="I376">
    <cfRule type="containsText" dxfId="9771" priority="12289" operator="containsText" text="Missing">
      <formula>NOT(ISERROR(SEARCH("Missing",I376)))</formula>
    </cfRule>
  </conditionalFormatting>
  <conditionalFormatting sqref="H380">
    <cfRule type="containsText" dxfId="9770" priority="12261" operator="containsText" text="Missing">
      <formula>NOT(ISERROR(SEARCH("Missing",H380)))</formula>
    </cfRule>
  </conditionalFormatting>
  <conditionalFormatting sqref="L376">
    <cfRule type="containsText" dxfId="9769" priority="12294" operator="containsText" text="Positive">
      <formula>NOT(ISERROR(SEARCH("Positive",L376)))</formula>
    </cfRule>
    <cfRule type="containsText" dxfId="9768" priority="12295" operator="containsText" text="Negative">
      <formula>NOT(ISERROR(SEARCH("Negative",L376)))</formula>
    </cfRule>
  </conditionalFormatting>
  <conditionalFormatting sqref="J376:K376">
    <cfRule type="containsText" dxfId="9767" priority="12296" operator="containsText" text="Missing">
      <formula>NOT(ISERROR(SEARCH("Missing",J376)))</formula>
    </cfRule>
  </conditionalFormatting>
  <conditionalFormatting sqref="L387">
    <cfRule type="containsText" dxfId="9766" priority="12247" operator="containsText" text="Positive">
      <formula>NOT(ISERROR(SEARCH("Positive",L387)))</formula>
    </cfRule>
    <cfRule type="containsText" dxfId="9765" priority="12248" operator="containsText" text="Negative">
      <formula>NOT(ISERROR(SEARCH("Negative",L387)))</formula>
    </cfRule>
  </conditionalFormatting>
  <conditionalFormatting sqref="H381">
    <cfRule type="containsText" dxfId="9764" priority="12284" operator="containsText" text="Missing">
      <formula>NOT(ISERROR(SEARCH("Missing",H381)))</formula>
    </cfRule>
  </conditionalFormatting>
  <conditionalFormatting sqref="J381:K381">
    <cfRule type="containsText" dxfId="9763" priority="12287" operator="containsText" text="Missing">
      <formula>NOT(ISERROR(SEARCH("Missing",J381)))</formula>
    </cfRule>
  </conditionalFormatting>
  <conditionalFormatting sqref="L381">
    <cfRule type="containsText" dxfId="9762" priority="12285" operator="containsText" text="Positive">
      <formula>NOT(ISERROR(SEARCH("Positive",L381)))</formula>
    </cfRule>
    <cfRule type="containsText" dxfId="9761" priority="12286" operator="containsText" text="Negative">
      <formula>NOT(ISERROR(SEARCH("Negative",L381)))</formula>
    </cfRule>
  </conditionalFormatting>
  <conditionalFormatting sqref="I381">
    <cfRule type="containsText" dxfId="9760" priority="12283" operator="containsText" text="Missing">
      <formula>NOT(ISERROR(SEARCH("Missing",I381)))</formula>
    </cfRule>
  </conditionalFormatting>
  <conditionalFormatting sqref="J382:K382">
    <cfRule type="containsText" dxfId="9759" priority="12281" operator="containsText" text="Missing">
      <formula>NOT(ISERROR(SEARCH("Missing",J382)))</formula>
    </cfRule>
  </conditionalFormatting>
  <conditionalFormatting sqref="I380">
    <cfRule type="containsText" dxfId="9758" priority="12282" operator="containsText" text="Missing">
      <formula>NOT(ISERROR(SEARCH("Missing",I380)))</formula>
    </cfRule>
  </conditionalFormatting>
  <conditionalFormatting sqref="L383">
    <cfRule type="containsText" dxfId="9757" priority="12276" operator="containsText" text="Positive">
      <formula>NOT(ISERROR(SEARCH("Positive",L383)))</formula>
    </cfRule>
    <cfRule type="containsText" dxfId="9756" priority="12277" operator="containsText" text="Negative">
      <formula>NOT(ISERROR(SEARCH("Negative",L383)))</formula>
    </cfRule>
  </conditionalFormatting>
  <conditionalFormatting sqref="J383:K383">
    <cfRule type="containsText" dxfId="9755" priority="12278" operator="containsText" text="Missing">
      <formula>NOT(ISERROR(SEARCH("Missing",J383)))</formula>
    </cfRule>
  </conditionalFormatting>
  <conditionalFormatting sqref="L382">
    <cfRule type="containsText" dxfId="9754" priority="12279" operator="containsText" text="Positive">
      <formula>NOT(ISERROR(SEARCH("Positive",L382)))</formula>
    </cfRule>
    <cfRule type="containsText" dxfId="9753" priority="12280" operator="containsText" text="Negative">
      <formula>NOT(ISERROR(SEARCH("Negative",L382)))</formula>
    </cfRule>
  </conditionalFormatting>
  <conditionalFormatting sqref="H382">
    <cfRule type="containsText" dxfId="9752" priority="12275" operator="containsText" text="Missing">
      <formula>NOT(ISERROR(SEARCH("Missing",H382)))</formula>
    </cfRule>
  </conditionalFormatting>
  <conditionalFormatting sqref="I382:I383">
    <cfRule type="containsText" dxfId="9751" priority="12273" operator="containsText" text="Missing">
      <formula>NOT(ISERROR(SEARCH("Missing",I382)))</formula>
    </cfRule>
  </conditionalFormatting>
  <conditionalFormatting sqref="H383">
    <cfRule type="containsText" dxfId="9750" priority="12274" operator="containsText" text="Missing">
      <formula>NOT(ISERROR(SEARCH("Missing",H383)))</formula>
    </cfRule>
  </conditionalFormatting>
  <conditionalFormatting sqref="H384:K384">
    <cfRule type="containsText" dxfId="9749" priority="12272" operator="containsText" text="Missing">
      <formula>NOT(ISERROR(SEARCH("Missing",H384)))</formula>
    </cfRule>
  </conditionalFormatting>
  <conditionalFormatting sqref="L384">
    <cfRule type="containsText" dxfId="9748" priority="12270" operator="containsText" text="Positive">
      <formula>NOT(ISERROR(SEARCH("Positive",L384)))</formula>
    </cfRule>
    <cfRule type="containsText" dxfId="9747" priority="12271" operator="containsText" text="Negative">
      <formula>NOT(ISERROR(SEARCH("Negative",L384)))</formula>
    </cfRule>
  </conditionalFormatting>
  <conditionalFormatting sqref="H385:K385">
    <cfRule type="containsText" dxfId="9746" priority="12269" operator="containsText" text="Missing">
      <formula>NOT(ISERROR(SEARCH("Missing",H385)))</formula>
    </cfRule>
  </conditionalFormatting>
  <conditionalFormatting sqref="L385">
    <cfRule type="containsText" dxfId="9745" priority="12267" operator="containsText" text="Positive">
      <formula>NOT(ISERROR(SEARCH("Positive",L385)))</formula>
    </cfRule>
    <cfRule type="containsText" dxfId="9744" priority="12268" operator="containsText" text="Negative">
      <formula>NOT(ISERROR(SEARCH("Negative",L385)))</formula>
    </cfRule>
  </conditionalFormatting>
  <conditionalFormatting sqref="H378">
    <cfRule type="containsText" dxfId="9743" priority="12262" operator="containsText" text="Missing">
      <formula>NOT(ISERROR(SEARCH("Missing",H378)))</formula>
    </cfRule>
  </conditionalFormatting>
  <conditionalFormatting sqref="L378">
    <cfRule type="containsText" dxfId="9742" priority="12264" operator="containsText" text="Positive">
      <formula>NOT(ISERROR(SEARCH("Positive",L378)))</formula>
    </cfRule>
    <cfRule type="containsText" dxfId="9741" priority="12265" operator="containsText" text="Negative">
      <formula>NOT(ISERROR(SEARCH("Negative",L378)))</formula>
    </cfRule>
  </conditionalFormatting>
  <conditionalFormatting sqref="L386">
    <cfRule type="containsText" dxfId="9740" priority="12259" operator="containsText" text="Positive">
      <formula>NOT(ISERROR(SEARCH("Positive",L386)))</formula>
    </cfRule>
    <cfRule type="containsText" dxfId="9739" priority="12260" operator="containsText" text="Negative">
      <formula>NOT(ISERROR(SEARCH("Negative",L386)))</formula>
    </cfRule>
  </conditionalFormatting>
  <conditionalFormatting sqref="J386:K387">
    <cfRule type="containsText" dxfId="9738" priority="12258" operator="containsText" text="Missing">
      <formula>NOT(ISERROR(SEARCH("Missing",J386)))</formula>
    </cfRule>
  </conditionalFormatting>
  <conditionalFormatting sqref="L386">
    <cfRule type="containsText" dxfId="9737" priority="12256" operator="containsText" text="Positive">
      <formula>NOT(ISERROR(SEARCH("Positive",L386)))</formula>
    </cfRule>
    <cfRule type="containsText" dxfId="9736" priority="12257" operator="containsText" text="Negative">
      <formula>NOT(ISERROR(SEARCH("Negative",L386)))</formula>
    </cfRule>
  </conditionalFormatting>
  <conditionalFormatting sqref="J388:K388">
    <cfRule type="containsText" dxfId="9735" priority="12255" operator="containsText" text="Missing">
      <formula>NOT(ISERROR(SEARCH("Missing",J388)))</formula>
    </cfRule>
  </conditionalFormatting>
  <conditionalFormatting sqref="L388">
    <cfRule type="containsText" dxfId="9734" priority="12253" operator="containsText" text="Positive">
      <formula>NOT(ISERROR(SEARCH("Positive",L388)))</formula>
    </cfRule>
    <cfRule type="containsText" dxfId="9733" priority="12254" operator="containsText" text="Negative">
      <formula>NOT(ISERROR(SEARCH("Negative",L388)))</formula>
    </cfRule>
  </conditionalFormatting>
  <conditionalFormatting sqref="L387">
    <cfRule type="containsText" dxfId="9732" priority="12249" operator="containsText" text="Positive">
      <formula>NOT(ISERROR(SEARCH("Positive",L387)))</formula>
    </cfRule>
    <cfRule type="containsText" dxfId="9731" priority="12250" operator="containsText" text="Negative">
      <formula>NOT(ISERROR(SEARCH("Negative",L387)))</formula>
    </cfRule>
  </conditionalFormatting>
  <conditionalFormatting sqref="L390:L391">
    <cfRule type="containsText" dxfId="9730" priority="12242" operator="containsText" text="Positive">
      <formula>NOT(ISERROR(SEARCH("Positive",L390)))</formula>
    </cfRule>
    <cfRule type="containsText" dxfId="9729" priority="12243" operator="containsText" text="Negative">
      <formula>NOT(ISERROR(SEARCH("Negative",L390)))</formula>
    </cfRule>
  </conditionalFormatting>
  <conditionalFormatting sqref="H376">
    <cfRule type="containsText" dxfId="9728" priority="12241" operator="containsText" text="Missing">
      <formula>NOT(ISERROR(SEARCH("Missing",H376)))</formula>
    </cfRule>
  </conditionalFormatting>
  <conditionalFormatting sqref="H440:J440">
    <cfRule type="containsText" dxfId="9727" priority="12232" operator="containsText" text="Missing">
      <formula>NOT(ISERROR(SEARCH("Missing",H440)))</formula>
    </cfRule>
  </conditionalFormatting>
  <conditionalFormatting sqref="L440">
    <cfRule type="containsText" dxfId="9726" priority="12230" operator="containsText" text="Positive">
      <formula>NOT(ISERROR(SEARCH("Positive",L440)))</formula>
    </cfRule>
    <cfRule type="containsText" dxfId="9725" priority="12231" operator="containsText" text="Negative">
      <formula>NOT(ISERROR(SEARCH("Negative",L440)))</formula>
    </cfRule>
  </conditionalFormatting>
  <conditionalFormatting sqref="J392:K392">
    <cfRule type="containsText" dxfId="9724" priority="12240" operator="containsText" text="Missing">
      <formula>NOT(ISERROR(SEARCH("Missing",J392)))</formula>
    </cfRule>
  </conditionalFormatting>
  <conditionalFormatting sqref="L392">
    <cfRule type="containsText" dxfId="9723" priority="12238" operator="containsText" text="Positive">
      <formula>NOT(ISERROR(SEARCH("Positive",L392)))</formula>
    </cfRule>
    <cfRule type="containsText" dxfId="9722" priority="12239" operator="containsText" text="Negative">
      <formula>NOT(ISERROR(SEARCH("Negative",L392)))</formula>
    </cfRule>
  </conditionalFormatting>
  <conditionalFormatting sqref="I392">
    <cfRule type="containsText" dxfId="9721" priority="12237" operator="containsText" text="Missing">
      <formula>NOT(ISERROR(SEARCH("Missing",I392)))</formula>
    </cfRule>
  </conditionalFormatting>
  <conditionalFormatting sqref="H392">
    <cfRule type="containsText" dxfId="9720" priority="12236" operator="containsText" text="Missing">
      <formula>NOT(ISERROR(SEARCH("Missing",H392)))</formula>
    </cfRule>
  </conditionalFormatting>
  <conditionalFormatting sqref="I448">
    <cfRule type="containsText" dxfId="9719" priority="12154" operator="containsText" text="Missing">
      <formula>NOT(ISERROR(SEARCH("Missing",I448)))</formula>
    </cfRule>
  </conditionalFormatting>
  <conditionalFormatting sqref="H514">
    <cfRule type="containsText" dxfId="9718" priority="12157" operator="containsText" text="Missing">
      <formula>NOT(ISERROR(SEARCH("Missing",H514)))</formula>
    </cfRule>
  </conditionalFormatting>
  <conditionalFormatting sqref="I619">
    <cfRule type="containsText" dxfId="9717" priority="12152" operator="containsText" text="Missing">
      <formula>NOT(ISERROR(SEARCH("Missing",I619)))</formula>
    </cfRule>
  </conditionalFormatting>
  <conditionalFormatting sqref="L608:L616">
    <cfRule type="containsText" dxfId="9716" priority="12146" operator="containsText" text="Positive">
      <formula>NOT(ISERROR(SEARCH("Positive",L608)))</formula>
    </cfRule>
    <cfRule type="containsText" dxfId="9715" priority="12147" operator="containsText" text="Negative">
      <formula>NOT(ISERROR(SEARCH("Negative",L608)))</formula>
    </cfRule>
  </conditionalFormatting>
  <conditionalFormatting sqref="I617:I618">
    <cfRule type="containsText" dxfId="9714" priority="12145" operator="containsText" text="Missing">
      <formula>NOT(ISERROR(SEARCH("Missing",I617)))</formula>
    </cfRule>
  </conditionalFormatting>
  <conditionalFormatting sqref="J660:K661">
    <cfRule type="containsText" dxfId="9713" priority="12143" operator="containsText" text="Missing">
      <formula>NOT(ISERROR(SEARCH("Missing",J660)))</formula>
    </cfRule>
  </conditionalFormatting>
  <conditionalFormatting sqref="J575:K579 J581:K581">
    <cfRule type="containsText" dxfId="9712" priority="12187" operator="containsText" text="Missing">
      <formula>NOT(ISERROR(SEARCH("Missing",J575)))</formula>
    </cfRule>
  </conditionalFormatting>
  <conditionalFormatting sqref="I542:I546">
    <cfRule type="containsText" dxfId="9711" priority="12193" operator="containsText" text="Missing">
      <formula>NOT(ISERROR(SEARCH("Missing",I542)))</formula>
    </cfRule>
  </conditionalFormatting>
  <conditionalFormatting sqref="H656">
    <cfRule type="containsText" dxfId="9710" priority="12210" operator="containsText" text="Missing">
      <formula>NOT(ISERROR(SEARCH("Missing",H656)))</formula>
    </cfRule>
  </conditionalFormatting>
  <conditionalFormatting sqref="H655">
    <cfRule type="containsText" dxfId="9709" priority="12211" operator="containsText" text="Missing">
      <formula>NOT(ISERROR(SEARCH("Missing",H655)))</formula>
    </cfRule>
  </conditionalFormatting>
  <conditionalFormatting sqref="J620:K624 J653:K653">
    <cfRule type="containsText" dxfId="9708" priority="12180" operator="containsText" text="Missing">
      <formula>NOT(ISERROR(SEARCH("Missing",J620)))</formula>
    </cfRule>
  </conditionalFormatting>
  <conditionalFormatting sqref="I654:I657">
    <cfRule type="containsText" dxfId="9707" priority="12212" operator="containsText" text="Missing">
      <formula>NOT(ISERROR(SEARCH("Missing",I654)))</formula>
    </cfRule>
  </conditionalFormatting>
  <conditionalFormatting sqref="L658:L659">
    <cfRule type="containsText" dxfId="9706" priority="12217" operator="containsText" text="Positive">
      <formula>NOT(ISERROR(SEARCH("Positive",L658)))</formula>
    </cfRule>
    <cfRule type="containsText" dxfId="9705" priority="12218" operator="containsText" text="Negative">
      <formula>NOT(ISERROR(SEARCH("Negative",L658)))</formula>
    </cfRule>
  </conditionalFormatting>
  <conditionalFormatting sqref="J476:K482">
    <cfRule type="containsText" dxfId="9704" priority="12208" operator="containsText" text="Missing">
      <formula>NOT(ISERROR(SEARCH("Missing",J476)))</formula>
    </cfRule>
  </conditionalFormatting>
  <conditionalFormatting sqref="H657">
    <cfRule type="containsText" dxfId="9703" priority="12209" operator="containsText" text="Missing">
      <formula>NOT(ISERROR(SEARCH("Missing",H657)))</formula>
    </cfRule>
  </conditionalFormatting>
  <conditionalFormatting sqref="H509:H513">
    <cfRule type="containsText" dxfId="9702" priority="12199" operator="containsText" text="Missing">
      <formula>NOT(ISERROR(SEARCH("Missing",H509)))</formula>
    </cfRule>
  </conditionalFormatting>
  <conditionalFormatting sqref="H476:H480">
    <cfRule type="containsText" dxfId="9701" priority="12206" operator="containsText" text="Missing">
      <formula>NOT(ISERROR(SEARCH("Missing",H476)))</formula>
    </cfRule>
  </conditionalFormatting>
  <conditionalFormatting sqref="J509:K515">
    <cfRule type="containsText" dxfId="9700" priority="12201" operator="containsText" text="Missing">
      <formula>NOT(ISERROR(SEARCH("Missing",J509)))</formula>
    </cfRule>
  </conditionalFormatting>
  <conditionalFormatting sqref="I509:I513">
    <cfRule type="containsText" dxfId="9699" priority="12200" operator="containsText" text="Missing">
      <formula>NOT(ISERROR(SEARCH("Missing",I509)))</formula>
    </cfRule>
  </conditionalFormatting>
  <conditionalFormatting sqref="H542:H546">
    <cfRule type="containsText" dxfId="9698" priority="12192" operator="containsText" text="Missing">
      <formula>NOT(ISERROR(SEARCH("Missing",H542)))</formula>
    </cfRule>
  </conditionalFormatting>
  <conditionalFormatting sqref="L509:L515">
    <cfRule type="containsText" dxfId="9697" priority="12197" operator="containsText" text="Positive">
      <formula>NOT(ISERROR(SEARCH("Positive",L509)))</formula>
    </cfRule>
    <cfRule type="containsText" dxfId="9696" priority="12198" operator="containsText" text="Negative">
      <formula>NOT(ISERROR(SEARCH("Negative",L509)))</formula>
    </cfRule>
  </conditionalFormatting>
  <conditionalFormatting sqref="I620:I624">
    <cfRule type="containsText" dxfId="9695" priority="12179" operator="containsText" text="Missing">
      <formula>NOT(ISERROR(SEARCH("Missing",I620)))</formula>
    </cfRule>
  </conditionalFormatting>
  <conditionalFormatting sqref="L575:L579 L581">
    <cfRule type="containsText" dxfId="9694" priority="12181" operator="containsText" text="Positive">
      <formula>NOT(ISERROR(SEARCH("Positive",L575)))</formula>
    </cfRule>
    <cfRule type="containsText" dxfId="9693" priority="12182" operator="containsText" text="Negative">
      <formula>NOT(ISERROR(SEARCH("Negative",L575)))</formula>
    </cfRule>
  </conditionalFormatting>
  <conditionalFormatting sqref="I575:I579">
    <cfRule type="containsText" dxfId="9692" priority="12186" operator="containsText" text="Missing">
      <formula>NOT(ISERROR(SEARCH("Missing",I575)))</formula>
    </cfRule>
  </conditionalFormatting>
  <conditionalFormatting sqref="H620:H624">
    <cfRule type="containsText" dxfId="9691" priority="12178" operator="containsText" text="Missing">
      <formula>NOT(ISERROR(SEARCH("Missing",H620)))</formula>
    </cfRule>
  </conditionalFormatting>
  <conditionalFormatting sqref="H575:H579">
    <cfRule type="containsText" dxfId="9690" priority="12185" operator="containsText" text="Missing">
      <formula>NOT(ISERROR(SEARCH("Missing",H575)))</formula>
    </cfRule>
  </conditionalFormatting>
  <conditionalFormatting sqref="J542:K548">
    <cfRule type="containsText" dxfId="9689" priority="12194" operator="containsText" text="Missing">
      <formula>NOT(ISERROR(SEARCH("Missing",J542)))</formula>
    </cfRule>
  </conditionalFormatting>
  <conditionalFormatting sqref="I625">
    <cfRule type="containsText" dxfId="9688" priority="12173" operator="containsText" text="Missing">
      <formula>NOT(ISERROR(SEARCH("Missing",I625)))</formula>
    </cfRule>
  </conditionalFormatting>
  <conditionalFormatting sqref="H625">
    <cfRule type="containsText" dxfId="9687" priority="12172" operator="containsText" text="Missing">
      <formula>NOT(ISERROR(SEARCH("Missing",H625)))</formula>
    </cfRule>
  </conditionalFormatting>
  <conditionalFormatting sqref="J580:K580">
    <cfRule type="containsText" dxfId="9686" priority="12167" operator="containsText" text="Missing">
      <formula>NOT(ISERROR(SEARCH("Missing",J580)))</formula>
    </cfRule>
  </conditionalFormatting>
  <conditionalFormatting sqref="I547">
    <cfRule type="containsText" dxfId="9685" priority="12160" operator="containsText" text="Missing">
      <formula>NOT(ISERROR(SEARCH("Missing",I547)))</formula>
    </cfRule>
  </conditionalFormatting>
  <conditionalFormatting sqref="I580">
    <cfRule type="containsText" dxfId="9684" priority="12166" operator="containsText" text="Missing">
      <formula>NOT(ISERROR(SEARCH("Missing",I580)))</formula>
    </cfRule>
  </conditionalFormatting>
  <conditionalFormatting sqref="J674:K679">
    <cfRule type="containsText" dxfId="9683" priority="12124" operator="containsText" text="Missing">
      <formula>NOT(ISERROR(SEARCH("Missing",J674)))</formula>
    </cfRule>
  </conditionalFormatting>
  <conditionalFormatting sqref="L625">
    <cfRule type="containsText" dxfId="9682" priority="12168" operator="containsText" text="Positive">
      <formula>NOT(ISERROR(SEARCH("Positive",L625)))</formula>
    </cfRule>
    <cfRule type="containsText" dxfId="9681" priority="12169" operator="containsText" text="Negative">
      <formula>NOT(ISERROR(SEARCH("Negative",L625)))</formula>
    </cfRule>
  </conditionalFormatting>
  <conditionalFormatting sqref="L580">
    <cfRule type="containsText" dxfId="9680" priority="12161" operator="containsText" text="Positive">
      <formula>NOT(ISERROR(SEARCH("Positive",L580)))</formula>
    </cfRule>
    <cfRule type="containsText" dxfId="9679" priority="12162" operator="containsText" text="Negative">
      <formula>NOT(ISERROR(SEARCH("Negative",L580)))</formula>
    </cfRule>
  </conditionalFormatting>
  <conditionalFormatting sqref="H547">
    <cfRule type="containsText" dxfId="9678" priority="12159" operator="containsText" text="Missing">
      <formula>NOT(ISERROR(SEARCH("Missing",H547)))</formula>
    </cfRule>
  </conditionalFormatting>
  <conditionalFormatting sqref="L608:L616">
    <cfRule type="containsText" dxfId="9677" priority="12148" operator="containsText" text="Positive">
      <formula>NOT(ISERROR(SEARCH("Positive",L608)))</formula>
    </cfRule>
    <cfRule type="containsText" dxfId="9676" priority="12149" operator="containsText" text="Negative">
      <formula>NOT(ISERROR(SEARCH("Negative",L608)))</formula>
    </cfRule>
  </conditionalFormatting>
  <conditionalFormatting sqref="H448">
    <cfRule type="containsText" dxfId="9675" priority="12153" operator="containsText" text="Missing">
      <formula>NOT(ISERROR(SEARCH("Missing",H448)))</formula>
    </cfRule>
  </conditionalFormatting>
  <conditionalFormatting sqref="H617:H618">
    <cfRule type="containsText" dxfId="9674" priority="12144" operator="containsText" text="Missing">
      <formula>NOT(ISERROR(SEARCH("Missing",H617)))</formula>
    </cfRule>
  </conditionalFormatting>
  <conditionalFormatting sqref="J662:K667">
    <cfRule type="containsText" dxfId="9673" priority="12134" operator="containsText" text="Missing">
      <formula>NOT(ISERROR(SEARCH("Missing",J662)))</formula>
    </cfRule>
  </conditionalFormatting>
  <conditionalFormatting sqref="J668:K673">
    <cfRule type="containsText" dxfId="9672" priority="12129" operator="containsText" text="Missing">
      <formula>NOT(ISERROR(SEARCH("Missing",J668)))</formula>
    </cfRule>
  </conditionalFormatting>
  <conditionalFormatting sqref="I674:I679">
    <cfRule type="containsText" dxfId="9671" priority="12121" operator="containsText" text="Missing">
      <formula>NOT(ISERROR(SEARCH("Missing",I674)))</formula>
    </cfRule>
  </conditionalFormatting>
  <conditionalFormatting sqref="J615:K616">
    <cfRule type="containsText" dxfId="9670" priority="12120" operator="containsText" text="Missing">
      <formula>NOT(ISERROR(SEARCH("Missing",J615)))</formula>
    </cfRule>
  </conditionalFormatting>
  <conditionalFormatting sqref="L674:L679">
    <cfRule type="containsText" dxfId="9669" priority="12125" operator="containsText" text="Positive">
      <formula>NOT(ISERROR(SEARCH("Positive",L674)))</formula>
    </cfRule>
    <cfRule type="containsText" dxfId="9668" priority="12126" operator="containsText" text="Negative">
      <formula>NOT(ISERROR(SEARCH("Negative",L674)))</formula>
    </cfRule>
  </conditionalFormatting>
  <conditionalFormatting sqref="I615:I616">
    <cfRule type="containsText" dxfId="9667" priority="12118" operator="containsText" text="Missing">
      <formula>NOT(ISERROR(SEARCH("Missing",I615)))</formula>
    </cfRule>
  </conditionalFormatting>
  <conditionalFormatting sqref="I610:I614">
    <cfRule type="containsText" dxfId="9666" priority="12123" operator="containsText" text="Missing">
      <formula>NOT(ISERROR(SEARCH("Missing",I610)))</formula>
    </cfRule>
  </conditionalFormatting>
  <conditionalFormatting sqref="H615:H616">
    <cfRule type="containsText" dxfId="9665" priority="12117" operator="containsText" text="Missing">
      <formula>NOT(ISERROR(SEARCH("Missing",H615)))</formula>
    </cfRule>
  </conditionalFormatting>
  <conditionalFormatting sqref="I615:I616">
    <cfRule type="containsText" dxfId="9664" priority="12119" operator="containsText" text="Missing">
      <formula>NOT(ISERROR(SEARCH("Missing",I615)))</formula>
    </cfRule>
  </conditionalFormatting>
  <conditionalFormatting sqref="K440">
    <cfRule type="containsText" dxfId="9663" priority="12112" operator="containsText" text="Missing">
      <formula>NOT(ISERROR(SEARCH("Missing",K440)))</formula>
    </cfRule>
  </conditionalFormatting>
  <conditionalFormatting sqref="J404:K404 H404 J431:K436 H430:H436 H425 J430">
    <cfRule type="containsText" dxfId="9662" priority="12111" operator="containsText" text="Missing">
      <formula>NOT(ISERROR(SEARCH("Missing",H404)))</formula>
    </cfRule>
  </conditionalFormatting>
  <conditionalFormatting sqref="J508:K508 J541:K541 J574:K574 J654:K655 I626:I627 H627 J625:K627 J607:K614 J617:K619">
    <cfRule type="containsText" dxfId="9661" priority="12235" operator="containsText" text="Missing">
      <formula>NOT(ISERROR(SEARCH("Missing",H508)))</formula>
    </cfRule>
  </conditionalFormatting>
  <conditionalFormatting sqref="L655 L626:L627 L619">
    <cfRule type="containsText" dxfId="9660" priority="12233" operator="containsText" text="Positive">
      <formula>NOT(ISERROR(SEARCH("Positive",L619)))</formula>
    </cfRule>
    <cfRule type="containsText" dxfId="9659" priority="12234" operator="containsText" text="Negative">
      <formula>NOT(ISERROR(SEARCH("Negative",L619)))</formula>
    </cfRule>
  </conditionalFormatting>
  <conditionalFormatting sqref="I442:I447 I475 I508 I541 I574 I608">
    <cfRule type="containsText" dxfId="9658" priority="12228" operator="containsText" text="Missing">
      <formula>NOT(ISERROR(SEARCH("Missing",I442)))</formula>
    </cfRule>
  </conditionalFormatting>
  <conditionalFormatting sqref="L658:L659">
    <cfRule type="containsText" dxfId="9657" priority="12219" operator="containsText" text="Positive">
      <formula>NOT(ISERROR(SEARCH("Positive",L658)))</formula>
    </cfRule>
    <cfRule type="containsText" dxfId="9656" priority="12220" operator="containsText" text="Negative">
      <formula>NOT(ISERROR(SEARCH("Negative",L658)))</formula>
    </cfRule>
  </conditionalFormatting>
  <conditionalFormatting sqref="J658:K659">
    <cfRule type="containsText" dxfId="9655" priority="12221" operator="containsText" text="Missing">
      <formula>NOT(ISERROR(SEARCH("Missing",J658)))</formula>
    </cfRule>
  </conditionalFormatting>
  <conditionalFormatting sqref="H442:H447 H475 H508 H541 H574 H654">
    <cfRule type="containsText" dxfId="9654" priority="12227" operator="containsText" text="Missing">
      <formula>NOT(ISERROR(SEARCH("Missing",H442)))</formula>
    </cfRule>
  </conditionalFormatting>
  <conditionalFormatting sqref="J657:K657">
    <cfRule type="containsText" dxfId="9653" priority="12229" operator="containsText" text="Missing">
      <formula>NOT(ISERROR(SEARCH("Missing",J657)))</formula>
    </cfRule>
  </conditionalFormatting>
  <conditionalFormatting sqref="L508 L541 L574 L654 L607">
    <cfRule type="containsText" dxfId="9652" priority="12225" operator="containsText" text="Positive">
      <formula>NOT(ISERROR(SEARCH("Positive",L508)))</formula>
    </cfRule>
    <cfRule type="containsText" dxfId="9651" priority="12226" operator="containsText" text="Negative">
      <formula>NOT(ISERROR(SEARCH("Negative",L508)))</formula>
    </cfRule>
  </conditionalFormatting>
  <conditionalFormatting sqref="L508 L541 L574 L654 L607">
    <cfRule type="containsText" dxfId="9650" priority="12223" operator="containsText" text="Positive">
      <formula>NOT(ISERROR(SEARCH("Positive",L508)))</formula>
    </cfRule>
    <cfRule type="containsText" dxfId="9649" priority="12224" operator="containsText" text="Negative">
      <formula>NOT(ISERROR(SEARCH("Negative",L508)))</formula>
    </cfRule>
  </conditionalFormatting>
  <conditionalFormatting sqref="J656:K656">
    <cfRule type="containsText" dxfId="9648" priority="12222" operator="containsText" text="Missing">
      <formula>NOT(ISERROR(SEARCH("Missing",J656)))</formula>
    </cfRule>
  </conditionalFormatting>
  <conditionalFormatting sqref="L656:L657">
    <cfRule type="containsText" dxfId="9647" priority="12213" operator="containsText" text="Positive">
      <formula>NOT(ISERROR(SEARCH("Positive",L656)))</formula>
    </cfRule>
    <cfRule type="containsText" dxfId="9646" priority="12214" operator="containsText" text="Negative">
      <formula>NOT(ISERROR(SEARCH("Negative",L656)))</formula>
    </cfRule>
  </conditionalFormatting>
  <conditionalFormatting sqref="L656:L657">
    <cfRule type="containsText" dxfId="9645" priority="12215" operator="containsText" text="Positive">
      <formula>NOT(ISERROR(SEARCH("Positive",L656)))</formula>
    </cfRule>
    <cfRule type="containsText" dxfId="9644" priority="12216" operator="containsText" text="Negative">
      <formula>NOT(ISERROR(SEARCH("Negative",L656)))</formula>
    </cfRule>
  </conditionalFormatting>
  <conditionalFormatting sqref="I476:I480">
    <cfRule type="containsText" dxfId="9643" priority="12207" operator="containsText" text="Missing">
      <formula>NOT(ISERROR(SEARCH("Missing",I476)))</formula>
    </cfRule>
  </conditionalFormatting>
  <conditionalFormatting sqref="L476:L482">
    <cfRule type="containsText" dxfId="9642" priority="12204" operator="containsText" text="Positive">
      <formula>NOT(ISERROR(SEARCH("Positive",L476)))</formula>
    </cfRule>
    <cfRule type="containsText" dxfId="9641" priority="12205" operator="containsText" text="Negative">
      <formula>NOT(ISERROR(SEARCH("Negative",L476)))</formula>
    </cfRule>
  </conditionalFormatting>
  <conditionalFormatting sqref="L476:L482">
    <cfRule type="containsText" dxfId="9640" priority="12202" operator="containsText" text="Positive">
      <formula>NOT(ISERROR(SEARCH("Positive",L476)))</formula>
    </cfRule>
    <cfRule type="containsText" dxfId="9639" priority="12203" operator="containsText" text="Negative">
      <formula>NOT(ISERROR(SEARCH("Negative",L476)))</formula>
    </cfRule>
  </conditionalFormatting>
  <conditionalFormatting sqref="L542:L548">
    <cfRule type="containsText" dxfId="9638" priority="12190" operator="containsText" text="Positive">
      <formula>NOT(ISERROR(SEARCH("Positive",L542)))</formula>
    </cfRule>
    <cfRule type="containsText" dxfId="9637" priority="12191" operator="containsText" text="Negative">
      <formula>NOT(ISERROR(SEARCH("Negative",L542)))</formula>
    </cfRule>
  </conditionalFormatting>
  <conditionalFormatting sqref="L509:L515">
    <cfRule type="containsText" dxfId="9636" priority="12195" operator="containsText" text="Positive">
      <formula>NOT(ISERROR(SEARCH("Positive",L509)))</formula>
    </cfRule>
    <cfRule type="containsText" dxfId="9635" priority="12196" operator="containsText" text="Negative">
      <formula>NOT(ISERROR(SEARCH("Negative",L509)))</formula>
    </cfRule>
  </conditionalFormatting>
  <conditionalFormatting sqref="L542:L548">
    <cfRule type="containsText" dxfId="9634" priority="12188" operator="containsText" text="Positive">
      <formula>NOT(ISERROR(SEARCH("Positive",L542)))</formula>
    </cfRule>
    <cfRule type="containsText" dxfId="9633" priority="12189" operator="containsText" text="Negative">
      <formula>NOT(ISERROR(SEARCH("Negative",L542)))</formula>
    </cfRule>
  </conditionalFormatting>
  <conditionalFormatting sqref="L575:L579 L581">
    <cfRule type="containsText" dxfId="9632" priority="12183" operator="containsText" text="Positive">
      <formula>NOT(ISERROR(SEARCH("Positive",L575)))</formula>
    </cfRule>
    <cfRule type="containsText" dxfId="9631" priority="12184" operator="containsText" text="Negative">
      <formula>NOT(ISERROR(SEARCH("Negative",L575)))</formula>
    </cfRule>
  </conditionalFormatting>
  <conditionalFormatting sqref="L620:L624 L653">
    <cfRule type="containsText" dxfId="9630" priority="12174" operator="containsText" text="Positive">
      <formula>NOT(ISERROR(SEARCH("Positive",L620)))</formula>
    </cfRule>
    <cfRule type="containsText" dxfId="9629" priority="12175" operator="containsText" text="Negative">
      <formula>NOT(ISERROR(SEARCH("Negative",L620)))</formula>
    </cfRule>
  </conditionalFormatting>
  <conditionalFormatting sqref="L620:L624 L653">
    <cfRule type="containsText" dxfId="9628" priority="12176" operator="containsText" text="Positive">
      <formula>NOT(ISERROR(SEARCH("Positive",L620)))</formula>
    </cfRule>
    <cfRule type="containsText" dxfId="9627" priority="12177" operator="containsText" text="Negative">
      <formula>NOT(ISERROR(SEARCH("Negative",L620)))</formula>
    </cfRule>
  </conditionalFormatting>
  <conditionalFormatting sqref="L625">
    <cfRule type="containsText" dxfId="9626" priority="12170" operator="containsText" text="Positive">
      <formula>NOT(ISERROR(SEARCH("Positive",L625)))</formula>
    </cfRule>
    <cfRule type="containsText" dxfId="9625" priority="12171" operator="containsText" text="Negative">
      <formula>NOT(ISERROR(SEARCH("Negative",L625)))</formula>
    </cfRule>
  </conditionalFormatting>
  <conditionalFormatting sqref="I481">
    <cfRule type="containsText" dxfId="9624" priority="12156" operator="containsText" text="Missing">
      <formula>NOT(ISERROR(SEARCH("Missing",I481)))</formula>
    </cfRule>
  </conditionalFormatting>
  <conditionalFormatting sqref="H580">
    <cfRule type="containsText" dxfId="9623" priority="12165" operator="containsText" text="Missing">
      <formula>NOT(ISERROR(SEARCH("Missing",H580)))</formula>
    </cfRule>
  </conditionalFormatting>
  <conditionalFormatting sqref="L580">
    <cfRule type="containsText" dxfId="9622" priority="12163" operator="containsText" text="Positive">
      <formula>NOT(ISERROR(SEARCH("Positive",L580)))</formula>
    </cfRule>
    <cfRule type="containsText" dxfId="9621" priority="12164" operator="containsText" text="Negative">
      <formula>NOT(ISERROR(SEARCH("Negative",L580)))</formula>
    </cfRule>
  </conditionalFormatting>
  <conditionalFormatting sqref="I514">
    <cfRule type="containsText" dxfId="9620" priority="12158" operator="containsText" text="Missing">
      <formula>NOT(ISERROR(SEARCH("Missing",I514)))</formula>
    </cfRule>
  </conditionalFormatting>
  <conditionalFormatting sqref="I609">
    <cfRule type="containsText" dxfId="9619" priority="12150" operator="containsText" text="Missing">
      <formula>NOT(ISERROR(SEARCH("Missing",I609)))</formula>
    </cfRule>
  </conditionalFormatting>
  <conditionalFormatting sqref="H481">
    <cfRule type="containsText" dxfId="9618" priority="12155" operator="containsText" text="Missing">
      <formula>NOT(ISERROR(SEARCH("Missing",H481)))</formula>
    </cfRule>
  </conditionalFormatting>
  <conditionalFormatting sqref="H619">
    <cfRule type="containsText" dxfId="9617" priority="12151" operator="containsText" text="Missing">
      <formula>NOT(ISERROR(SEARCH("Missing",H619)))</formula>
    </cfRule>
  </conditionalFormatting>
  <conditionalFormatting sqref="L662:L667">
    <cfRule type="containsText" dxfId="9616" priority="12139" operator="containsText" text="Positive">
      <formula>NOT(ISERROR(SEARCH("Positive",L662)))</formula>
    </cfRule>
    <cfRule type="containsText" dxfId="9615" priority="12140" operator="containsText" text="Negative">
      <formula>NOT(ISERROR(SEARCH("Negative",L662)))</formula>
    </cfRule>
  </conditionalFormatting>
  <conditionalFormatting sqref="L662:L667">
    <cfRule type="containsText" dxfId="9614" priority="12141" operator="containsText" text="Positive">
      <formula>NOT(ISERROR(SEARCH("Positive",L662)))</formula>
    </cfRule>
    <cfRule type="containsText" dxfId="9613" priority="12142" operator="containsText" text="Negative">
      <formula>NOT(ISERROR(SEARCH("Negative",L662)))</formula>
    </cfRule>
  </conditionalFormatting>
  <conditionalFormatting sqref="L660:L661">
    <cfRule type="containsText" dxfId="9612" priority="12135" operator="containsText" text="Positive">
      <formula>NOT(ISERROR(SEARCH("Positive",L660)))</formula>
    </cfRule>
    <cfRule type="containsText" dxfId="9611" priority="12136" operator="containsText" text="Negative">
      <formula>NOT(ISERROR(SEARCH("Negative",L660)))</formula>
    </cfRule>
  </conditionalFormatting>
  <conditionalFormatting sqref="L660:L661">
    <cfRule type="containsText" dxfId="9610" priority="12137" operator="containsText" text="Positive">
      <formula>NOT(ISERROR(SEARCH("Positive",L660)))</formula>
    </cfRule>
    <cfRule type="containsText" dxfId="9609" priority="12138" operator="containsText" text="Negative">
      <formula>NOT(ISERROR(SEARCH("Negative",L660)))</formula>
    </cfRule>
  </conditionalFormatting>
  <conditionalFormatting sqref="L668:L673">
    <cfRule type="containsText" dxfId="9608" priority="12130" operator="containsText" text="Positive">
      <formula>NOT(ISERROR(SEARCH("Positive",L668)))</formula>
    </cfRule>
    <cfRule type="containsText" dxfId="9607" priority="12131" operator="containsText" text="Negative">
      <formula>NOT(ISERROR(SEARCH("Negative",L668)))</formula>
    </cfRule>
  </conditionalFormatting>
  <conditionalFormatting sqref="L668:L673">
    <cfRule type="containsText" dxfId="9606" priority="12132" operator="containsText" text="Positive">
      <formula>NOT(ISERROR(SEARCH("Positive",L668)))</formula>
    </cfRule>
    <cfRule type="containsText" dxfId="9605" priority="12133" operator="containsText" text="Negative">
      <formula>NOT(ISERROR(SEARCH("Negative",L668)))</formula>
    </cfRule>
  </conditionalFormatting>
  <conditionalFormatting sqref="I673">
    <cfRule type="containsText" dxfId="9604" priority="12122" operator="containsText" text="Missing">
      <formula>NOT(ISERROR(SEARCH("Missing",I673)))</formula>
    </cfRule>
  </conditionalFormatting>
  <conditionalFormatting sqref="L674:L679">
    <cfRule type="containsText" dxfId="9603" priority="12127" operator="containsText" text="Positive">
      <formula>NOT(ISERROR(SEARCH("Positive",L674)))</formula>
    </cfRule>
    <cfRule type="containsText" dxfId="9602" priority="12128" operator="containsText" text="Negative">
      <formula>NOT(ISERROR(SEARCH("Negative",L674)))</formula>
    </cfRule>
  </conditionalFormatting>
  <conditionalFormatting sqref="J397:K399 I397:I401 I412:K412">
    <cfRule type="containsText" dxfId="9601" priority="12108" operator="containsText" text="Missing">
      <formula>NOT(ISERROR(SEARCH("Missing",I397)))</formula>
    </cfRule>
  </conditionalFormatting>
  <conditionalFormatting sqref="L617:L618">
    <cfRule type="containsText" dxfId="9600" priority="12115" operator="containsText" text="Positive">
      <formula>NOT(ISERROR(SEARCH("Positive",L617)))</formula>
    </cfRule>
    <cfRule type="containsText" dxfId="9599" priority="12116" operator="containsText" text="Negative">
      <formula>NOT(ISERROR(SEARCH("Negative",L617)))</formula>
    </cfRule>
  </conditionalFormatting>
  <conditionalFormatting sqref="L617:L618">
    <cfRule type="containsText" dxfId="9598" priority="12113" operator="containsText" text="Positive">
      <formula>NOT(ISERROR(SEARCH("Positive",L617)))</formula>
    </cfRule>
    <cfRule type="containsText" dxfId="9597" priority="12114" operator="containsText" text="Negative">
      <formula>NOT(ISERROR(SEARCH("Negative",L617)))</formula>
    </cfRule>
  </conditionalFormatting>
  <conditionalFormatting sqref="I415:I416">
    <cfRule type="containsText" dxfId="9596" priority="12105" operator="containsText" text="Missing">
      <formula>NOT(ISERROR(SEARCH("Missing",I415)))</formula>
    </cfRule>
  </conditionalFormatting>
  <conditionalFormatting sqref="L404 L429:L436 L425">
    <cfRule type="containsText" dxfId="9595" priority="12109" operator="containsText" text="Positive">
      <formula>NOT(ISERROR(SEARCH("Positive",L404)))</formula>
    </cfRule>
    <cfRule type="containsText" dxfId="9594" priority="12110" operator="containsText" text="Negative">
      <formula>NOT(ISERROR(SEARCH("Negative",L404)))</formula>
    </cfRule>
  </conditionalFormatting>
  <conditionalFormatting sqref="L397:L399 L412">
    <cfRule type="containsText" dxfId="9593" priority="12106" operator="containsText" text="Positive">
      <formula>NOT(ISERROR(SEARCH("Positive",L397)))</formula>
    </cfRule>
    <cfRule type="containsText" dxfId="9592" priority="12107" operator="containsText" text="Negative">
      <formula>NOT(ISERROR(SEARCH("Negative",L397)))</formula>
    </cfRule>
  </conditionalFormatting>
  <conditionalFormatting sqref="J421:K423">
    <cfRule type="containsText" dxfId="9591" priority="12043" operator="containsText" text="Missing">
      <formula>NOT(ISERROR(SEARCH("Missing",J421)))</formula>
    </cfRule>
  </conditionalFormatting>
  <conditionalFormatting sqref="J420:K420">
    <cfRule type="containsText" dxfId="9590" priority="12046" operator="containsText" text="Missing">
      <formula>NOT(ISERROR(SEARCH("Missing",J420)))</formula>
    </cfRule>
  </conditionalFormatting>
  <conditionalFormatting sqref="L424:L425">
    <cfRule type="containsText" dxfId="9589" priority="12039" operator="containsText" text="Positive">
      <formula>NOT(ISERROR(SEARCH("Positive",L424)))</formula>
    </cfRule>
    <cfRule type="containsText" dxfId="9588" priority="12040" operator="containsText" text="Negative">
      <formula>NOT(ISERROR(SEARCH("Negative",L424)))</formula>
    </cfRule>
  </conditionalFormatting>
  <conditionalFormatting sqref="J427">
    <cfRule type="containsText" dxfId="9587" priority="12034" operator="containsText" text="Missing">
      <formula>NOT(ISERROR(SEARCH("Missing",J427)))</formula>
    </cfRule>
  </conditionalFormatting>
  <conditionalFormatting sqref="J426:K426">
    <cfRule type="containsText" dxfId="9586" priority="12038" operator="containsText" text="Missing">
      <formula>NOT(ISERROR(SEARCH("Missing",J426)))</formula>
    </cfRule>
  </conditionalFormatting>
  <conditionalFormatting sqref="H426">
    <cfRule type="containsText" dxfId="9585" priority="12035" operator="containsText" text="Missing">
      <formula>NOT(ISERROR(SEARCH("Missing",H426)))</formula>
    </cfRule>
  </conditionalFormatting>
  <conditionalFormatting sqref="I427">
    <cfRule type="containsText" dxfId="9584" priority="12032" operator="containsText" text="Missing">
      <formula>NOT(ISERROR(SEARCH("Missing",I427)))</formula>
    </cfRule>
  </conditionalFormatting>
  <conditionalFormatting sqref="L414 L428">
    <cfRule type="containsText" dxfId="9583" priority="12103" operator="containsText" text="Positive">
      <formula>NOT(ISERROR(SEARCH("Positive",L414)))</formula>
    </cfRule>
    <cfRule type="containsText" dxfId="9582" priority="12104" operator="containsText" text="Negative">
      <formula>NOT(ISERROR(SEARCH("Negative",L414)))</formula>
    </cfRule>
  </conditionalFormatting>
  <conditionalFormatting sqref="I402:I404 I412">
    <cfRule type="containsText" dxfId="9581" priority="12073" operator="containsText" text="Missing">
      <formula>NOT(ISERROR(SEARCH("Missing",I402)))</formula>
    </cfRule>
  </conditionalFormatting>
  <conditionalFormatting sqref="H399">
    <cfRule type="containsText" dxfId="9580" priority="12078" operator="containsText" text="Missing">
      <formula>NOT(ISERROR(SEARCH("Missing",H399)))</formula>
    </cfRule>
  </conditionalFormatting>
  <conditionalFormatting sqref="H396">
    <cfRule type="containsText" dxfId="9579" priority="12095" operator="containsText" text="Missing">
      <formula>NOT(ISERROR(SEARCH("Missing",H396)))</formula>
    </cfRule>
  </conditionalFormatting>
  <conditionalFormatting sqref="I396">
    <cfRule type="containsText" dxfId="9578" priority="12096" operator="containsText" text="Missing">
      <formula>NOT(ISERROR(SEARCH("Missing",I396)))</formula>
    </cfRule>
  </conditionalFormatting>
  <conditionalFormatting sqref="I431 I433 I435 I404">
    <cfRule type="containsText" dxfId="9577" priority="12064" operator="containsText" text="Missing">
      <formula>NOT(ISERROR(SEARCH("Missing",I404)))</formula>
    </cfRule>
  </conditionalFormatting>
  <conditionalFormatting sqref="H397:H398">
    <cfRule type="containsText" dxfId="9576" priority="12097" operator="containsText" text="Missing">
      <formula>NOT(ISERROR(SEARCH("Missing",H397)))</formula>
    </cfRule>
  </conditionalFormatting>
  <conditionalFormatting sqref="L393:L394">
    <cfRule type="containsText" dxfId="9575" priority="12101" operator="containsText" text="Positive">
      <formula>NOT(ISERROR(SEARCH("Positive",L393)))</formula>
    </cfRule>
    <cfRule type="containsText" dxfId="9574" priority="12102" operator="containsText" text="Negative">
      <formula>NOT(ISERROR(SEARCH("Negative",L393)))</formula>
    </cfRule>
  </conditionalFormatting>
  <conditionalFormatting sqref="L396">
    <cfRule type="containsText" dxfId="9573" priority="12098" operator="containsText" text="Positive">
      <formula>NOT(ISERROR(SEARCH("Positive",L396)))</formula>
    </cfRule>
    <cfRule type="containsText" dxfId="9572" priority="12099" operator="containsText" text="Negative">
      <formula>NOT(ISERROR(SEARCH("Negative",L396)))</formula>
    </cfRule>
  </conditionalFormatting>
  <conditionalFormatting sqref="J396:K396">
    <cfRule type="containsText" dxfId="9571" priority="12100" operator="containsText" text="Missing">
      <formula>NOT(ISERROR(SEARCH("Missing",J396)))</formula>
    </cfRule>
  </conditionalFormatting>
  <conditionalFormatting sqref="H412">
    <cfRule type="containsText" dxfId="9570" priority="12094" operator="containsText" text="Missing">
      <formula>NOT(ISERROR(SEARCH("Missing",H412)))</formula>
    </cfRule>
  </conditionalFormatting>
  <conditionalFormatting sqref="J402:K404 J412:K412">
    <cfRule type="containsText" dxfId="9569" priority="12084" operator="containsText" text="Missing">
      <formula>NOT(ISERROR(SEARCH("Missing",J402)))</formula>
    </cfRule>
  </conditionalFormatting>
  <conditionalFormatting sqref="J400:K400">
    <cfRule type="containsText" dxfId="9568" priority="12093" operator="containsText" text="Missing">
      <formula>NOT(ISERROR(SEARCH("Missing",J400)))</formula>
    </cfRule>
  </conditionalFormatting>
  <conditionalFormatting sqref="L400">
    <cfRule type="containsText" dxfId="9567" priority="12091" operator="containsText" text="Positive">
      <formula>NOT(ISERROR(SEARCH("Positive",L400)))</formula>
    </cfRule>
    <cfRule type="containsText" dxfId="9566" priority="12092" operator="containsText" text="Negative">
      <formula>NOT(ISERROR(SEARCH("Negative",L400)))</formula>
    </cfRule>
  </conditionalFormatting>
  <conditionalFormatting sqref="I401">
    <cfRule type="containsText" dxfId="9565" priority="12087" operator="containsText" text="Missing">
      <formula>NOT(ISERROR(SEARCH("Missing",I401)))</formula>
    </cfRule>
  </conditionalFormatting>
  <conditionalFormatting sqref="L401">
    <cfRule type="containsText" dxfId="9564" priority="12088" operator="containsText" text="Positive">
      <formula>NOT(ISERROR(SEARCH("Positive",L401)))</formula>
    </cfRule>
    <cfRule type="containsText" dxfId="9563" priority="12089" operator="containsText" text="Negative">
      <formula>NOT(ISERROR(SEARCH("Negative",L401)))</formula>
    </cfRule>
  </conditionalFormatting>
  <conditionalFormatting sqref="J401:K401">
    <cfRule type="containsText" dxfId="9562" priority="12090" operator="containsText" text="Missing">
      <formula>NOT(ISERROR(SEARCH("Missing",J401)))</formula>
    </cfRule>
  </conditionalFormatting>
  <conditionalFormatting sqref="I400">
    <cfRule type="containsText" dxfId="9561" priority="12086" operator="containsText" text="Missing">
      <formula>NOT(ISERROR(SEARCH("Missing",I400)))</formula>
    </cfRule>
  </conditionalFormatting>
  <conditionalFormatting sqref="I399">
    <cfRule type="containsText" dxfId="9560" priority="12085" operator="containsText" text="Missing">
      <formula>NOT(ISERROR(SEARCH("Missing",I399)))</formula>
    </cfRule>
  </conditionalFormatting>
  <conditionalFormatting sqref="I429">
    <cfRule type="containsText" dxfId="9559" priority="12074" operator="containsText" text="Missing">
      <formula>NOT(ISERROR(SEARCH("Missing",I429)))</formula>
    </cfRule>
  </conditionalFormatting>
  <conditionalFormatting sqref="L402">
    <cfRule type="containsText" dxfId="9558" priority="12082" operator="containsText" text="Positive">
      <formula>NOT(ISERROR(SEARCH("Positive",L402)))</formula>
    </cfRule>
    <cfRule type="containsText" dxfId="9557" priority="12083" operator="containsText" text="Negative">
      <formula>NOT(ISERROR(SEARCH("Negative",L402)))</formula>
    </cfRule>
  </conditionalFormatting>
  <conditionalFormatting sqref="H414">
    <cfRule type="containsText" dxfId="9556" priority="12070" operator="containsText" text="Missing">
      <formula>NOT(ISERROR(SEARCH("Missing",H414)))</formula>
    </cfRule>
  </conditionalFormatting>
  <conditionalFormatting sqref="H428">
    <cfRule type="containsText" dxfId="9555" priority="12065" operator="containsText" text="Missing">
      <formula>NOT(ISERROR(SEARCH("Missing",H428)))</formula>
    </cfRule>
  </conditionalFormatting>
  <conditionalFormatting sqref="J413:K413 J429:K429">
    <cfRule type="containsText" dxfId="9554" priority="12081" operator="containsText" text="Missing">
      <formula>NOT(ISERROR(SEARCH("Missing",J413)))</formula>
    </cfRule>
  </conditionalFormatting>
  <conditionalFormatting sqref="L413">
    <cfRule type="containsText" dxfId="9553" priority="12079" operator="containsText" text="Positive">
      <formula>NOT(ISERROR(SEARCH("Positive",L413)))</formula>
    </cfRule>
    <cfRule type="containsText" dxfId="9552" priority="12080" operator="containsText" text="Negative">
      <formula>NOT(ISERROR(SEARCH("Negative",L413)))</formula>
    </cfRule>
  </conditionalFormatting>
  <conditionalFormatting sqref="L428">
    <cfRule type="containsText" dxfId="9551" priority="12067" operator="containsText" text="Positive">
      <formula>NOT(ISERROR(SEARCH("Positive",L428)))</formula>
    </cfRule>
    <cfRule type="containsText" dxfId="9550" priority="12068" operator="containsText" text="Negative">
      <formula>NOT(ISERROR(SEARCH("Negative",L428)))</formula>
    </cfRule>
  </conditionalFormatting>
  <conditionalFormatting sqref="J414:K414">
    <cfRule type="containsText" dxfId="9549" priority="12072" operator="containsText" text="Missing">
      <formula>NOT(ISERROR(SEARCH("Missing",J414)))</formula>
    </cfRule>
  </conditionalFormatting>
  <conditionalFormatting sqref="J428:K428">
    <cfRule type="containsText" dxfId="9548" priority="12069" operator="containsText" text="Missing">
      <formula>NOT(ISERROR(SEARCH("Missing",J428)))</formula>
    </cfRule>
  </conditionalFormatting>
  <conditionalFormatting sqref="H400">
    <cfRule type="containsText" dxfId="9547" priority="12077" operator="containsText" text="Missing">
      <formula>NOT(ISERROR(SEARCH("Missing",H400)))</formula>
    </cfRule>
  </conditionalFormatting>
  <conditionalFormatting sqref="H401">
    <cfRule type="containsText" dxfId="9546" priority="12076" operator="containsText" text="Missing">
      <formula>NOT(ISERROR(SEARCH("Missing",H401)))</formula>
    </cfRule>
  </conditionalFormatting>
  <conditionalFormatting sqref="H402">
    <cfRule type="containsText" dxfId="9545" priority="12075" operator="containsText" text="Missing">
      <formula>NOT(ISERROR(SEARCH("Missing",H402)))</formula>
    </cfRule>
  </conditionalFormatting>
  <conditionalFormatting sqref="I414">
    <cfRule type="containsText" dxfId="9544" priority="12071" operator="containsText" text="Missing">
      <formula>NOT(ISERROR(SEARCH("Missing",I414)))</formula>
    </cfRule>
  </conditionalFormatting>
  <conditionalFormatting sqref="I428">
    <cfRule type="containsText" dxfId="9543" priority="12066" operator="containsText" text="Missing">
      <formula>NOT(ISERROR(SEARCH("Missing",I428)))</formula>
    </cfRule>
  </conditionalFormatting>
  <conditionalFormatting sqref="H429">
    <cfRule type="containsText" dxfId="9542" priority="12063" operator="containsText" text="Missing">
      <formula>NOT(ISERROR(SEARCH("Missing",H429)))</formula>
    </cfRule>
  </conditionalFormatting>
  <conditionalFormatting sqref="I432">
    <cfRule type="containsText" dxfId="9541" priority="12062" operator="containsText" text="Missing">
      <formula>NOT(ISERROR(SEARCH("Missing",I432)))</formula>
    </cfRule>
  </conditionalFormatting>
  <conditionalFormatting sqref="I425">
    <cfRule type="containsText" dxfId="9540" priority="12059" operator="containsText" text="Missing">
      <formula>NOT(ISERROR(SEARCH("Missing",I425)))</formula>
    </cfRule>
  </conditionalFormatting>
  <conditionalFormatting sqref="I434">
    <cfRule type="containsText" dxfId="9539" priority="12061" operator="containsText" text="Missing">
      <formula>NOT(ISERROR(SEARCH("Missing",I434)))</formula>
    </cfRule>
  </conditionalFormatting>
  <conditionalFormatting sqref="I436">
    <cfRule type="containsText" dxfId="9538" priority="12060" operator="containsText" text="Missing">
      <formula>NOT(ISERROR(SEARCH("Missing",I436)))</formula>
    </cfRule>
  </conditionalFormatting>
  <conditionalFormatting sqref="J415:K417">
    <cfRule type="containsText" dxfId="9537" priority="12056" operator="containsText" text="Missing">
      <formula>NOT(ISERROR(SEARCH("Missing",J415)))</formula>
    </cfRule>
  </conditionalFormatting>
  <conditionalFormatting sqref="H415:H416">
    <cfRule type="containsText" dxfId="9536" priority="12053" operator="containsText" text="Missing">
      <formula>NOT(ISERROR(SEARCH("Missing",H415)))</formula>
    </cfRule>
  </conditionalFormatting>
  <conditionalFormatting sqref="I421:I422">
    <cfRule type="containsText" dxfId="9535" priority="12024" operator="containsText" text="Missing">
      <formula>NOT(ISERROR(SEARCH("Missing",I421)))</formula>
    </cfRule>
  </conditionalFormatting>
  <conditionalFormatting sqref="L420">
    <cfRule type="containsText" dxfId="9534" priority="12057" operator="containsText" text="Positive">
      <formula>NOT(ISERROR(SEARCH("Positive",L420)))</formula>
    </cfRule>
    <cfRule type="containsText" dxfId="9533" priority="12058" operator="containsText" text="Negative">
      <formula>NOT(ISERROR(SEARCH("Negative",L420)))</formula>
    </cfRule>
  </conditionalFormatting>
  <conditionalFormatting sqref="L415:L417">
    <cfRule type="containsText" dxfId="9532" priority="12054" operator="containsText" text="Positive">
      <formula>NOT(ISERROR(SEARCH("Positive",L415)))</formula>
    </cfRule>
    <cfRule type="containsText" dxfId="9531" priority="12055" operator="containsText" text="Negative">
      <formula>NOT(ISERROR(SEARCH("Negative",L415)))</formula>
    </cfRule>
  </conditionalFormatting>
  <conditionalFormatting sqref="J418:K418">
    <cfRule type="containsText" dxfId="9530" priority="12052" operator="containsText" text="Missing">
      <formula>NOT(ISERROR(SEARCH("Missing",J418)))</formula>
    </cfRule>
  </conditionalFormatting>
  <conditionalFormatting sqref="L418">
    <cfRule type="containsText" dxfId="9529" priority="12050" operator="containsText" text="Positive">
      <formula>NOT(ISERROR(SEARCH("Positive",L418)))</formula>
    </cfRule>
    <cfRule type="containsText" dxfId="9528" priority="12051" operator="containsText" text="Negative">
      <formula>NOT(ISERROR(SEARCH("Negative",L418)))</formula>
    </cfRule>
  </conditionalFormatting>
  <conditionalFormatting sqref="L419">
    <cfRule type="containsText" dxfId="9527" priority="12047" operator="containsText" text="Positive">
      <formula>NOT(ISERROR(SEARCH("Positive",L419)))</formula>
    </cfRule>
    <cfRule type="containsText" dxfId="9526" priority="12048" operator="containsText" text="Negative">
      <formula>NOT(ISERROR(SEARCH("Negative",L419)))</formula>
    </cfRule>
  </conditionalFormatting>
  <conditionalFormatting sqref="J419:K419">
    <cfRule type="containsText" dxfId="9525" priority="12049" operator="containsText" text="Missing">
      <formula>NOT(ISERROR(SEARCH("Missing",J419)))</formula>
    </cfRule>
  </conditionalFormatting>
  <conditionalFormatting sqref="I417:I418">
    <cfRule type="containsText" dxfId="9524" priority="12028" operator="containsText" text="Missing">
      <formula>NOT(ISERROR(SEARCH("Missing",I417)))</formula>
    </cfRule>
  </conditionalFormatting>
  <conditionalFormatting sqref="L427">
    <cfRule type="containsText" dxfId="9523" priority="12044" operator="containsText" text="Positive">
      <formula>NOT(ISERROR(SEARCH("Positive",L427)))</formula>
    </cfRule>
    <cfRule type="containsText" dxfId="9522" priority="12045" operator="containsText" text="Negative">
      <formula>NOT(ISERROR(SEARCH("Negative",L427)))</formula>
    </cfRule>
  </conditionalFormatting>
  <conditionalFormatting sqref="L421:L423">
    <cfRule type="containsText" dxfId="9521" priority="12041" operator="containsText" text="Positive">
      <formula>NOT(ISERROR(SEARCH("Positive",L421)))</formula>
    </cfRule>
    <cfRule type="containsText" dxfId="9520" priority="12042" operator="containsText" text="Negative">
      <formula>NOT(ISERROR(SEARCH("Negative",L421)))</formula>
    </cfRule>
  </conditionalFormatting>
  <conditionalFormatting sqref="L426">
    <cfRule type="containsText" dxfId="9519" priority="12036" operator="containsText" text="Positive">
      <formula>NOT(ISERROR(SEARCH("Positive",L426)))</formula>
    </cfRule>
    <cfRule type="containsText" dxfId="9518" priority="12037" operator="containsText" text="Negative">
      <formula>NOT(ISERROR(SEARCH("Negative",L426)))</formula>
    </cfRule>
  </conditionalFormatting>
  <conditionalFormatting sqref="H427">
    <cfRule type="containsText" dxfId="9517" priority="12033" operator="containsText" text="Missing">
      <formula>NOT(ISERROR(SEARCH("Missing",H427)))</formula>
    </cfRule>
  </conditionalFormatting>
  <conditionalFormatting sqref="H403:H404 H412">
    <cfRule type="containsText" dxfId="9516" priority="12031" operator="containsText" text="Missing">
      <formula>NOT(ISERROR(SEARCH("Missing",H403)))</formula>
    </cfRule>
  </conditionalFormatting>
  <conditionalFormatting sqref="L403:L404 L412">
    <cfRule type="containsText" dxfId="9515" priority="12029" operator="containsText" text="Positive">
      <formula>NOT(ISERROR(SEARCH("Positive",L403)))</formula>
    </cfRule>
    <cfRule type="containsText" dxfId="9514" priority="12030" operator="containsText" text="Negative">
      <formula>NOT(ISERROR(SEARCH("Negative",L403)))</formula>
    </cfRule>
  </conditionalFormatting>
  <conditionalFormatting sqref="H417:H418">
    <cfRule type="containsText" dxfId="9513" priority="12027" operator="containsText" text="Missing">
      <formula>NOT(ISERROR(SEARCH("Missing",H417)))</formula>
    </cfRule>
  </conditionalFormatting>
  <conditionalFormatting sqref="I419:I420">
    <cfRule type="containsText" dxfId="9512" priority="12026" operator="containsText" text="Missing">
      <formula>NOT(ISERROR(SEARCH("Missing",I419)))</formula>
    </cfRule>
  </conditionalFormatting>
  <conditionalFormatting sqref="H419:H420">
    <cfRule type="containsText" dxfId="9511" priority="12025" operator="containsText" text="Missing">
      <formula>NOT(ISERROR(SEARCH("Missing",H419)))</formula>
    </cfRule>
  </conditionalFormatting>
  <conditionalFormatting sqref="H421:H422">
    <cfRule type="containsText" dxfId="9510" priority="12023" operator="containsText" text="Missing">
      <formula>NOT(ISERROR(SEARCH("Missing",H421)))</formula>
    </cfRule>
  </conditionalFormatting>
  <conditionalFormatting sqref="I423:I425">
    <cfRule type="containsText" dxfId="9509" priority="12022" operator="containsText" text="Missing">
      <formula>NOT(ISERROR(SEARCH("Missing",I423)))</formula>
    </cfRule>
  </conditionalFormatting>
  <conditionalFormatting sqref="H423:H425">
    <cfRule type="containsText" dxfId="9508" priority="12021" operator="containsText" text="Missing">
      <formula>NOT(ISERROR(SEARCH("Missing",H423)))</formula>
    </cfRule>
  </conditionalFormatting>
  <conditionalFormatting sqref="J405:K407 I405:I409">
    <cfRule type="containsText" dxfId="9507" priority="12020" operator="containsText" text="Missing">
      <formula>NOT(ISERROR(SEARCH("Missing",I405)))</formula>
    </cfRule>
  </conditionalFormatting>
  <conditionalFormatting sqref="L405:L407">
    <cfRule type="containsText" dxfId="9506" priority="12018" operator="containsText" text="Positive">
      <formula>NOT(ISERROR(SEARCH("Positive",L405)))</formula>
    </cfRule>
    <cfRule type="containsText" dxfId="9505" priority="12019" operator="containsText" text="Negative">
      <formula>NOT(ISERROR(SEARCH("Negative",L405)))</formula>
    </cfRule>
  </conditionalFormatting>
  <conditionalFormatting sqref="H407">
    <cfRule type="containsText" dxfId="9504" priority="12007" operator="containsText" text="Missing">
      <formula>NOT(ISERROR(SEARCH("Missing",H407)))</formula>
    </cfRule>
  </conditionalFormatting>
  <conditionalFormatting sqref="H405:H406">
    <cfRule type="containsText" dxfId="9503" priority="12017" operator="containsText" text="Missing">
      <formula>NOT(ISERROR(SEARCH("Missing",H405)))</formula>
    </cfRule>
  </conditionalFormatting>
  <conditionalFormatting sqref="J408:K408">
    <cfRule type="containsText" dxfId="9502" priority="12016" operator="containsText" text="Missing">
      <formula>NOT(ISERROR(SEARCH("Missing",J408)))</formula>
    </cfRule>
  </conditionalFormatting>
  <conditionalFormatting sqref="L408">
    <cfRule type="containsText" dxfId="9501" priority="12014" operator="containsText" text="Positive">
      <formula>NOT(ISERROR(SEARCH("Positive",L408)))</formula>
    </cfRule>
    <cfRule type="containsText" dxfId="9500" priority="12015" operator="containsText" text="Negative">
      <formula>NOT(ISERROR(SEARCH("Negative",L408)))</formula>
    </cfRule>
  </conditionalFormatting>
  <conditionalFormatting sqref="I409">
    <cfRule type="containsText" dxfId="9499" priority="12010" operator="containsText" text="Missing">
      <formula>NOT(ISERROR(SEARCH("Missing",I409)))</formula>
    </cfRule>
  </conditionalFormatting>
  <conditionalFormatting sqref="L409">
    <cfRule type="containsText" dxfId="9498" priority="12011" operator="containsText" text="Positive">
      <formula>NOT(ISERROR(SEARCH("Positive",L409)))</formula>
    </cfRule>
    <cfRule type="containsText" dxfId="9497" priority="12012" operator="containsText" text="Negative">
      <formula>NOT(ISERROR(SEARCH("Negative",L409)))</formula>
    </cfRule>
  </conditionalFormatting>
  <conditionalFormatting sqref="J409:K409">
    <cfRule type="containsText" dxfId="9496" priority="12013" operator="containsText" text="Missing">
      <formula>NOT(ISERROR(SEARCH("Missing",J409)))</formula>
    </cfRule>
  </conditionalFormatting>
  <conditionalFormatting sqref="I408">
    <cfRule type="containsText" dxfId="9495" priority="12009" operator="containsText" text="Missing">
      <formula>NOT(ISERROR(SEARCH("Missing",I408)))</formula>
    </cfRule>
  </conditionalFormatting>
  <conditionalFormatting sqref="I407">
    <cfRule type="containsText" dxfId="9494" priority="12008" operator="containsText" text="Missing">
      <formula>NOT(ISERROR(SEARCH("Missing",I407)))</formula>
    </cfRule>
  </conditionalFormatting>
  <conditionalFormatting sqref="H408">
    <cfRule type="containsText" dxfId="9493" priority="12006" operator="containsText" text="Missing">
      <formula>NOT(ISERROR(SEARCH("Missing",H408)))</formula>
    </cfRule>
  </conditionalFormatting>
  <conditionalFormatting sqref="H409">
    <cfRule type="containsText" dxfId="9492" priority="12005" operator="containsText" text="Missing">
      <formula>NOT(ISERROR(SEARCH("Missing",H409)))</formula>
    </cfRule>
  </conditionalFormatting>
  <conditionalFormatting sqref="J410:K410">
    <cfRule type="containsText" dxfId="9491" priority="12004" operator="containsText" text="Missing">
      <formula>NOT(ISERROR(SEARCH("Missing",J410)))</formula>
    </cfRule>
  </conditionalFormatting>
  <conditionalFormatting sqref="I410">
    <cfRule type="containsText" dxfId="9490" priority="12003" operator="containsText" text="Missing">
      <formula>NOT(ISERROR(SEARCH("Missing",I410)))</formula>
    </cfRule>
  </conditionalFormatting>
  <conditionalFormatting sqref="H410">
    <cfRule type="containsText" dxfId="9489" priority="12002" operator="containsText" text="Missing">
      <formula>NOT(ISERROR(SEARCH("Missing",H410)))</formula>
    </cfRule>
  </conditionalFormatting>
  <conditionalFormatting sqref="L410">
    <cfRule type="containsText" dxfId="9488" priority="12000" operator="containsText" text="Positive">
      <formula>NOT(ISERROR(SEARCH("Positive",L410)))</formula>
    </cfRule>
    <cfRule type="containsText" dxfId="9487" priority="12001" operator="containsText" text="Negative">
      <formula>NOT(ISERROR(SEARCH("Negative",L410)))</formula>
    </cfRule>
  </conditionalFormatting>
  <conditionalFormatting sqref="I411">
    <cfRule type="containsText" dxfId="9486" priority="11995" operator="containsText" text="Missing">
      <formula>NOT(ISERROR(SEARCH("Missing",I411)))</formula>
    </cfRule>
  </conditionalFormatting>
  <conditionalFormatting sqref="J411:K411">
    <cfRule type="containsText" dxfId="9485" priority="11999" operator="containsText" text="Missing">
      <formula>NOT(ISERROR(SEARCH("Missing",J411)))</formula>
    </cfRule>
  </conditionalFormatting>
  <conditionalFormatting sqref="L411">
    <cfRule type="containsText" dxfId="9484" priority="11997" operator="containsText" text="Positive">
      <formula>NOT(ISERROR(SEARCH("Positive",L411)))</formula>
    </cfRule>
    <cfRule type="containsText" dxfId="9483" priority="11998" operator="containsText" text="Negative">
      <formula>NOT(ISERROR(SEARCH("Negative",L411)))</formula>
    </cfRule>
  </conditionalFormatting>
  <conditionalFormatting sqref="H411">
    <cfRule type="containsText" dxfId="9482" priority="11996" operator="containsText" text="Missing">
      <formula>NOT(ISERROR(SEARCH("Missing",H411)))</formula>
    </cfRule>
  </conditionalFormatting>
  <conditionalFormatting sqref="I413">
    <cfRule type="containsText" dxfId="9481" priority="11992" operator="containsText" text="Missing">
      <formula>NOT(ISERROR(SEARCH("Missing",I413)))</formula>
    </cfRule>
  </conditionalFormatting>
  <conditionalFormatting sqref="H413">
    <cfRule type="containsText" dxfId="9480" priority="11994" operator="containsText" text="Missing">
      <formula>NOT(ISERROR(SEARCH("Missing",H413)))</formula>
    </cfRule>
  </conditionalFormatting>
  <conditionalFormatting sqref="I413">
    <cfRule type="containsText" dxfId="9479" priority="11993" operator="containsText" text="Missing">
      <formula>NOT(ISERROR(SEARCH("Missing",I413)))</formula>
    </cfRule>
  </conditionalFormatting>
  <conditionalFormatting sqref="H438:K438">
    <cfRule type="containsText" dxfId="9478" priority="11991" operator="containsText" text="Missing">
      <formula>NOT(ISERROR(SEARCH("Missing",H438)))</formula>
    </cfRule>
  </conditionalFormatting>
  <conditionalFormatting sqref="L438">
    <cfRule type="containsText" dxfId="9477" priority="11989" operator="containsText" text="Positive">
      <formula>NOT(ISERROR(SEARCH("Positive",L438)))</formula>
    </cfRule>
    <cfRule type="containsText" dxfId="9476" priority="11990" operator="containsText" text="Negative">
      <formula>NOT(ISERROR(SEARCH("Negative",L438)))</formula>
    </cfRule>
  </conditionalFormatting>
  <conditionalFormatting sqref="H439:J439">
    <cfRule type="containsText" dxfId="9475" priority="11988" operator="containsText" text="Missing">
      <formula>NOT(ISERROR(SEARCH("Missing",H439)))</formula>
    </cfRule>
  </conditionalFormatting>
  <conditionalFormatting sqref="L439">
    <cfRule type="containsText" dxfId="9474" priority="11986" operator="containsText" text="Positive">
      <formula>NOT(ISERROR(SEARCH("Positive",L439)))</formula>
    </cfRule>
    <cfRule type="containsText" dxfId="9473" priority="11987" operator="containsText" text="Negative">
      <formula>NOT(ISERROR(SEARCH("Negative",L439)))</formula>
    </cfRule>
  </conditionalFormatting>
  <conditionalFormatting sqref="K439">
    <cfRule type="containsText" dxfId="9472" priority="11985" operator="containsText" text="Missing">
      <formula>NOT(ISERROR(SEARCH("Missing",K439)))</formula>
    </cfRule>
  </conditionalFormatting>
  <conditionalFormatting sqref="J450:K454">
    <cfRule type="containsText" dxfId="9471" priority="11984" operator="containsText" text="Missing">
      <formula>NOT(ISERROR(SEARCH("Missing",J450)))</formula>
    </cfRule>
  </conditionalFormatting>
  <conditionalFormatting sqref="H450:H454">
    <cfRule type="containsText" dxfId="9470" priority="11982" operator="containsText" text="Missing">
      <formula>NOT(ISERROR(SEARCH("Missing",H450)))</formula>
    </cfRule>
  </conditionalFormatting>
  <conditionalFormatting sqref="I450:I454">
    <cfRule type="containsText" dxfId="9469" priority="11983" operator="containsText" text="Missing">
      <formula>NOT(ISERROR(SEARCH("Missing",I450)))</formula>
    </cfRule>
  </conditionalFormatting>
  <conditionalFormatting sqref="J488:K492">
    <cfRule type="containsText" dxfId="9468" priority="11981" operator="containsText" text="Missing">
      <formula>NOT(ISERROR(SEARCH("Missing",J488)))</formula>
    </cfRule>
  </conditionalFormatting>
  <conditionalFormatting sqref="H488:H492">
    <cfRule type="containsText" dxfId="9467" priority="11979" operator="containsText" text="Missing">
      <formula>NOT(ISERROR(SEARCH("Missing",H488)))</formula>
    </cfRule>
  </conditionalFormatting>
  <conditionalFormatting sqref="I488:I492">
    <cfRule type="containsText" dxfId="9466" priority="11980" operator="containsText" text="Missing">
      <formula>NOT(ISERROR(SEARCH("Missing",I488)))</formula>
    </cfRule>
  </conditionalFormatting>
  <conditionalFormatting sqref="L526:L530">
    <cfRule type="containsText" dxfId="9465" priority="11970" operator="containsText" text="Positive">
      <formula>NOT(ISERROR(SEARCH("Positive",L526)))</formula>
    </cfRule>
    <cfRule type="containsText" dxfId="9464" priority="11971" operator="containsText" text="Negative">
      <formula>NOT(ISERROR(SEARCH("Negative",L526)))</formula>
    </cfRule>
  </conditionalFormatting>
  <conditionalFormatting sqref="L526:L530">
    <cfRule type="containsText" dxfId="9463" priority="11968" operator="containsText" text="Positive">
      <formula>NOT(ISERROR(SEARCH("Positive",L526)))</formula>
    </cfRule>
    <cfRule type="containsText" dxfId="9462" priority="11969" operator="containsText" text="Negative">
      <formula>NOT(ISERROR(SEARCH("Negative",L526)))</formula>
    </cfRule>
  </conditionalFormatting>
  <conditionalFormatting sqref="J526:K530">
    <cfRule type="containsText" dxfId="9461" priority="11978" operator="containsText" text="Missing">
      <formula>NOT(ISERROR(SEARCH("Missing",J526)))</formula>
    </cfRule>
  </conditionalFormatting>
  <conditionalFormatting sqref="H526:H530">
    <cfRule type="containsText" dxfId="9460" priority="11976" operator="containsText" text="Missing">
      <formula>NOT(ISERROR(SEARCH("Missing",H526)))</formula>
    </cfRule>
  </conditionalFormatting>
  <conditionalFormatting sqref="I526:I530">
    <cfRule type="containsText" dxfId="9459" priority="11977" operator="containsText" text="Missing">
      <formula>NOT(ISERROR(SEARCH("Missing",I526)))</formula>
    </cfRule>
  </conditionalFormatting>
  <conditionalFormatting sqref="L488:L492">
    <cfRule type="containsText" dxfId="9458" priority="11974" operator="containsText" text="Positive">
      <formula>NOT(ISERROR(SEARCH("Positive",L488)))</formula>
    </cfRule>
    <cfRule type="containsText" dxfId="9457" priority="11975" operator="containsText" text="Negative">
      <formula>NOT(ISERROR(SEARCH("Negative",L488)))</formula>
    </cfRule>
  </conditionalFormatting>
  <conditionalFormatting sqref="L488:L492">
    <cfRule type="containsText" dxfId="9456" priority="11972" operator="containsText" text="Positive">
      <formula>NOT(ISERROR(SEARCH("Positive",L488)))</formula>
    </cfRule>
    <cfRule type="containsText" dxfId="9455" priority="11973" operator="containsText" text="Negative">
      <formula>NOT(ISERROR(SEARCH("Negative",L488)))</formula>
    </cfRule>
  </conditionalFormatting>
  <conditionalFormatting sqref="L643:L647">
    <cfRule type="containsText" dxfId="9454" priority="11944" operator="containsText" text="Positive">
      <formula>NOT(ISERROR(SEARCH("Positive",L643)))</formula>
    </cfRule>
    <cfRule type="containsText" dxfId="9453" priority="11945" operator="containsText" text="Negative">
      <formula>NOT(ISERROR(SEARCH("Negative",L643)))</formula>
    </cfRule>
  </conditionalFormatting>
  <conditionalFormatting sqref="L564:L568">
    <cfRule type="containsText" dxfId="9452" priority="11963" operator="containsText" text="Positive">
      <formula>NOT(ISERROR(SEARCH("Positive",L564)))</formula>
    </cfRule>
    <cfRule type="containsText" dxfId="9451" priority="11964" operator="containsText" text="Negative">
      <formula>NOT(ISERROR(SEARCH("Negative",L564)))</formula>
    </cfRule>
  </conditionalFormatting>
  <conditionalFormatting sqref="L564:L568">
    <cfRule type="containsText" dxfId="9450" priority="11961" operator="containsText" text="Positive">
      <formula>NOT(ISERROR(SEARCH("Positive",L564)))</formula>
    </cfRule>
    <cfRule type="containsText" dxfId="9449" priority="11962" operator="containsText" text="Negative">
      <formula>NOT(ISERROR(SEARCH("Negative",L564)))</formula>
    </cfRule>
  </conditionalFormatting>
  <conditionalFormatting sqref="J564:K568">
    <cfRule type="containsText" dxfId="9448" priority="11967" operator="containsText" text="Missing">
      <formula>NOT(ISERROR(SEARCH("Missing",J564)))</formula>
    </cfRule>
  </conditionalFormatting>
  <conditionalFormatting sqref="H564:H568">
    <cfRule type="containsText" dxfId="9447" priority="11965" operator="containsText" text="Missing">
      <formula>NOT(ISERROR(SEARCH("Missing",H564)))</formula>
    </cfRule>
  </conditionalFormatting>
  <conditionalFormatting sqref="I564:I568">
    <cfRule type="containsText" dxfId="9446" priority="11966" operator="containsText" text="Missing">
      <formula>NOT(ISERROR(SEARCH("Missing",I564)))</formula>
    </cfRule>
  </conditionalFormatting>
  <conditionalFormatting sqref="L602:L606">
    <cfRule type="containsText" dxfId="9445" priority="11956" operator="containsText" text="Positive">
      <formula>NOT(ISERROR(SEARCH("Positive",L602)))</formula>
    </cfRule>
    <cfRule type="containsText" dxfId="9444" priority="11957" operator="containsText" text="Negative">
      <formula>NOT(ISERROR(SEARCH("Negative",L602)))</formula>
    </cfRule>
  </conditionalFormatting>
  <conditionalFormatting sqref="L602:L606">
    <cfRule type="containsText" dxfId="9443" priority="11954" operator="containsText" text="Positive">
      <formula>NOT(ISERROR(SEARCH("Positive",L602)))</formula>
    </cfRule>
    <cfRule type="containsText" dxfId="9442" priority="11955" operator="containsText" text="Negative">
      <formula>NOT(ISERROR(SEARCH("Negative",L602)))</formula>
    </cfRule>
  </conditionalFormatting>
  <conditionalFormatting sqref="J602:K606">
    <cfRule type="containsText" dxfId="9441" priority="11960" operator="containsText" text="Missing">
      <formula>NOT(ISERROR(SEARCH("Missing",J602)))</formula>
    </cfRule>
  </conditionalFormatting>
  <conditionalFormatting sqref="H602:H606">
    <cfRule type="containsText" dxfId="9440" priority="11958" operator="containsText" text="Missing">
      <formula>NOT(ISERROR(SEARCH("Missing",H602)))</formula>
    </cfRule>
  </conditionalFormatting>
  <conditionalFormatting sqref="I602:I606">
    <cfRule type="containsText" dxfId="9439" priority="11959" operator="containsText" text="Missing">
      <formula>NOT(ISERROR(SEARCH("Missing",I602)))</formula>
    </cfRule>
  </conditionalFormatting>
  <conditionalFormatting sqref="L648:L652">
    <cfRule type="containsText" dxfId="9438" priority="11947" operator="containsText" text="Positive">
      <formula>NOT(ISERROR(SEARCH("Positive",L648)))</formula>
    </cfRule>
    <cfRule type="containsText" dxfId="9437" priority="11948" operator="containsText" text="Negative">
      <formula>NOT(ISERROR(SEARCH("Negative",L648)))</formula>
    </cfRule>
  </conditionalFormatting>
  <conditionalFormatting sqref="J648:K652">
    <cfRule type="containsText" dxfId="9436" priority="11953" operator="containsText" text="Missing">
      <formula>NOT(ISERROR(SEARCH("Missing",J648)))</formula>
    </cfRule>
  </conditionalFormatting>
  <conditionalFormatting sqref="H648:H652">
    <cfRule type="containsText" dxfId="9435" priority="11951" operator="containsText" text="Missing">
      <formula>NOT(ISERROR(SEARCH("Missing",H648)))</formula>
    </cfRule>
  </conditionalFormatting>
  <conditionalFormatting sqref="I648:I652">
    <cfRule type="containsText" dxfId="9434" priority="11952" operator="containsText" text="Missing">
      <formula>NOT(ISERROR(SEARCH("Missing",I648)))</formula>
    </cfRule>
  </conditionalFormatting>
  <conditionalFormatting sqref="L648:L652">
    <cfRule type="containsText" dxfId="9433" priority="11949" operator="containsText" text="Positive">
      <formula>NOT(ISERROR(SEARCH("Positive",L648)))</formula>
    </cfRule>
    <cfRule type="containsText" dxfId="9432" priority="11950" operator="containsText" text="Negative">
      <formula>NOT(ISERROR(SEARCH("Negative",L648)))</formula>
    </cfRule>
  </conditionalFormatting>
  <conditionalFormatting sqref="L643:L647">
    <cfRule type="containsText" dxfId="9431" priority="11942" operator="containsText" text="Positive">
      <formula>NOT(ISERROR(SEARCH("Positive",L643)))</formula>
    </cfRule>
    <cfRule type="containsText" dxfId="9430" priority="11943" operator="containsText" text="Negative">
      <formula>NOT(ISERROR(SEARCH("Negative",L643)))</formula>
    </cfRule>
  </conditionalFormatting>
  <conditionalFormatting sqref="J643:K647">
    <cfRule type="containsText" dxfId="9429" priority="11946" operator="containsText" text="Missing">
      <formula>NOT(ISERROR(SEARCH("Missing",J643)))</formula>
    </cfRule>
  </conditionalFormatting>
  <conditionalFormatting sqref="I643:I647">
    <cfRule type="containsText" dxfId="9428" priority="11941" operator="containsText" text="Missing">
      <formula>NOT(ISERROR(SEARCH("Missing",I643)))</formula>
    </cfRule>
  </conditionalFormatting>
  <conditionalFormatting sqref="H643:H647">
    <cfRule type="containsText" dxfId="9427" priority="11940" operator="containsText" text="Missing">
      <formula>NOT(ISERROR(SEARCH("Missing",H643)))</formula>
    </cfRule>
  </conditionalFormatting>
  <conditionalFormatting sqref="L638:L642">
    <cfRule type="containsText" dxfId="9426" priority="11937" operator="containsText" text="Positive">
      <formula>NOT(ISERROR(SEARCH("Positive",L638)))</formula>
    </cfRule>
    <cfRule type="containsText" dxfId="9425" priority="11938" operator="containsText" text="Negative">
      <formula>NOT(ISERROR(SEARCH("Negative",L638)))</formula>
    </cfRule>
  </conditionalFormatting>
  <conditionalFormatting sqref="L638:L642">
    <cfRule type="containsText" dxfId="9424" priority="11935" operator="containsText" text="Positive">
      <formula>NOT(ISERROR(SEARCH("Positive",L638)))</formula>
    </cfRule>
    <cfRule type="containsText" dxfId="9423" priority="11936" operator="containsText" text="Negative">
      <formula>NOT(ISERROR(SEARCH("Negative",L638)))</formula>
    </cfRule>
  </conditionalFormatting>
  <conditionalFormatting sqref="J638:K642">
    <cfRule type="containsText" dxfId="9422" priority="11939" operator="containsText" text="Missing">
      <formula>NOT(ISERROR(SEARCH("Missing",J638)))</formula>
    </cfRule>
  </conditionalFormatting>
  <conditionalFormatting sqref="I638:I642">
    <cfRule type="containsText" dxfId="9421" priority="11934" operator="containsText" text="Missing">
      <formula>NOT(ISERROR(SEARCH("Missing",I638)))</formula>
    </cfRule>
  </conditionalFormatting>
  <conditionalFormatting sqref="H642">
    <cfRule type="containsText" dxfId="9420" priority="11933" operator="containsText" text="Missing">
      <formula>NOT(ISERROR(SEARCH("Missing",H642)))</formula>
    </cfRule>
  </conditionalFormatting>
  <conditionalFormatting sqref="H638:H641">
    <cfRule type="containsText" dxfId="9419" priority="11932" operator="containsText" text="Missing">
      <formula>NOT(ISERROR(SEARCH("Missing",H638)))</formula>
    </cfRule>
  </conditionalFormatting>
  <conditionalFormatting sqref="J633:K637">
    <cfRule type="containsText" dxfId="9418" priority="11931" operator="containsText" text="Missing">
      <formula>NOT(ISERROR(SEARCH("Missing",J633)))</formula>
    </cfRule>
  </conditionalFormatting>
  <conditionalFormatting sqref="L633:L637">
    <cfRule type="containsText" dxfId="9417" priority="11929" operator="containsText" text="Positive">
      <formula>NOT(ISERROR(SEARCH("Positive",L633)))</formula>
    </cfRule>
    <cfRule type="containsText" dxfId="9416" priority="11930" operator="containsText" text="Negative">
      <formula>NOT(ISERROR(SEARCH("Negative",L633)))</formula>
    </cfRule>
  </conditionalFormatting>
  <conditionalFormatting sqref="L633:L637">
    <cfRule type="containsText" dxfId="9415" priority="11927" operator="containsText" text="Positive">
      <formula>NOT(ISERROR(SEARCH("Positive",L633)))</formula>
    </cfRule>
    <cfRule type="containsText" dxfId="9414" priority="11928" operator="containsText" text="Negative">
      <formula>NOT(ISERROR(SEARCH("Negative",L633)))</formula>
    </cfRule>
  </conditionalFormatting>
  <conditionalFormatting sqref="I633:I637">
    <cfRule type="containsText" dxfId="9413" priority="11926" operator="containsText" text="Missing">
      <formula>NOT(ISERROR(SEARCH("Missing",I633)))</formula>
    </cfRule>
  </conditionalFormatting>
  <conditionalFormatting sqref="H637">
    <cfRule type="containsText" dxfId="9412" priority="11925" operator="containsText" text="Missing">
      <formula>NOT(ISERROR(SEARCH("Missing",H637)))</formula>
    </cfRule>
  </conditionalFormatting>
  <conditionalFormatting sqref="H633:H636">
    <cfRule type="containsText" dxfId="9411" priority="11924" operator="containsText" text="Missing">
      <formula>NOT(ISERROR(SEARCH("Missing",H633)))</formula>
    </cfRule>
  </conditionalFormatting>
  <conditionalFormatting sqref="J628:K632">
    <cfRule type="containsText" dxfId="9410" priority="11923" operator="containsText" text="Missing">
      <formula>NOT(ISERROR(SEARCH("Missing",J628)))</formula>
    </cfRule>
  </conditionalFormatting>
  <conditionalFormatting sqref="L628:L632">
    <cfRule type="containsText" dxfId="9409" priority="11921" operator="containsText" text="Positive">
      <formula>NOT(ISERROR(SEARCH("Positive",L628)))</formula>
    </cfRule>
    <cfRule type="containsText" dxfId="9408" priority="11922" operator="containsText" text="Negative">
      <formula>NOT(ISERROR(SEARCH("Negative",L628)))</formula>
    </cfRule>
  </conditionalFormatting>
  <conditionalFormatting sqref="H632">
    <cfRule type="containsText" dxfId="9407" priority="11920" operator="containsText" text="Missing">
      <formula>NOT(ISERROR(SEARCH("Missing",H632)))</formula>
    </cfRule>
  </conditionalFormatting>
  <conditionalFormatting sqref="H628:H631">
    <cfRule type="containsText" dxfId="9406" priority="11919" operator="containsText" text="Missing">
      <formula>NOT(ISERROR(SEARCH("Missing",H628)))</formula>
    </cfRule>
  </conditionalFormatting>
  <conditionalFormatting sqref="I628:I632">
    <cfRule type="containsText" dxfId="9405" priority="11918" operator="containsText" text="Missing">
      <formula>NOT(ISERROR(SEARCH("Missing",I628)))</formula>
    </cfRule>
  </conditionalFormatting>
  <conditionalFormatting sqref="L450:L454">
    <cfRule type="containsText" dxfId="9404" priority="11916" operator="containsText" text="Positive">
      <formula>NOT(ISERROR(SEARCH("Positive",L450)))</formula>
    </cfRule>
    <cfRule type="containsText" dxfId="9403" priority="11917" operator="containsText" text="Negative">
      <formula>NOT(ISERROR(SEARCH("Negative",L450)))</formula>
    </cfRule>
  </conditionalFormatting>
  <conditionalFormatting sqref="L465:L469">
    <cfRule type="containsText" dxfId="9402" priority="11906" operator="containsText" text="Positive">
      <formula>NOT(ISERROR(SEARCH("Positive",L465)))</formula>
    </cfRule>
    <cfRule type="containsText" dxfId="9401" priority="11907" operator="containsText" text="Negative">
      <formula>NOT(ISERROR(SEARCH("Negative",L465)))</formula>
    </cfRule>
  </conditionalFormatting>
  <conditionalFormatting sqref="L470:L474">
    <cfRule type="containsText" dxfId="9400" priority="11909" operator="containsText" text="Positive">
      <formula>NOT(ISERROR(SEARCH("Positive",L470)))</formula>
    </cfRule>
    <cfRule type="containsText" dxfId="9399" priority="11910" operator="containsText" text="Negative">
      <formula>NOT(ISERROR(SEARCH("Negative",L470)))</formula>
    </cfRule>
  </conditionalFormatting>
  <conditionalFormatting sqref="J470:K474">
    <cfRule type="containsText" dxfId="9398" priority="11915" operator="containsText" text="Missing">
      <formula>NOT(ISERROR(SEARCH("Missing",J470)))</formula>
    </cfRule>
  </conditionalFormatting>
  <conditionalFormatting sqref="H470:H474">
    <cfRule type="containsText" dxfId="9397" priority="11913" operator="containsText" text="Missing">
      <formula>NOT(ISERROR(SEARCH("Missing",H470)))</formula>
    </cfRule>
  </conditionalFormatting>
  <conditionalFormatting sqref="I470:I474">
    <cfRule type="containsText" dxfId="9396" priority="11914" operator="containsText" text="Missing">
      <formula>NOT(ISERROR(SEARCH("Missing",I470)))</formula>
    </cfRule>
  </conditionalFormatting>
  <conditionalFormatting sqref="L470:L474">
    <cfRule type="containsText" dxfId="9395" priority="11911" operator="containsText" text="Positive">
      <formula>NOT(ISERROR(SEARCH("Positive",L470)))</formula>
    </cfRule>
    <cfRule type="containsText" dxfId="9394" priority="11912" operator="containsText" text="Negative">
      <formula>NOT(ISERROR(SEARCH("Negative",L470)))</formula>
    </cfRule>
  </conditionalFormatting>
  <conditionalFormatting sqref="L465:L469">
    <cfRule type="containsText" dxfId="9393" priority="11904" operator="containsText" text="Positive">
      <formula>NOT(ISERROR(SEARCH("Positive",L465)))</formula>
    </cfRule>
    <cfRule type="containsText" dxfId="9392" priority="11905" operator="containsText" text="Negative">
      <formula>NOT(ISERROR(SEARCH("Negative",L465)))</formula>
    </cfRule>
  </conditionalFormatting>
  <conditionalFormatting sqref="J465:K469">
    <cfRule type="containsText" dxfId="9391" priority="11908" operator="containsText" text="Missing">
      <formula>NOT(ISERROR(SEARCH("Missing",J465)))</formula>
    </cfRule>
  </conditionalFormatting>
  <conditionalFormatting sqref="I465:I469">
    <cfRule type="containsText" dxfId="9390" priority="11903" operator="containsText" text="Missing">
      <formula>NOT(ISERROR(SEARCH("Missing",I465)))</formula>
    </cfRule>
  </conditionalFormatting>
  <conditionalFormatting sqref="H465:H469">
    <cfRule type="containsText" dxfId="9389" priority="11902" operator="containsText" text="Missing">
      <formula>NOT(ISERROR(SEARCH("Missing",H465)))</formula>
    </cfRule>
  </conditionalFormatting>
  <conditionalFormatting sqref="L460:L464">
    <cfRule type="containsText" dxfId="9388" priority="11899" operator="containsText" text="Positive">
      <formula>NOT(ISERROR(SEARCH("Positive",L460)))</formula>
    </cfRule>
    <cfRule type="containsText" dxfId="9387" priority="11900" operator="containsText" text="Negative">
      <formula>NOT(ISERROR(SEARCH("Negative",L460)))</formula>
    </cfRule>
  </conditionalFormatting>
  <conditionalFormatting sqref="L460:L464">
    <cfRule type="containsText" dxfId="9386" priority="11897" operator="containsText" text="Positive">
      <formula>NOT(ISERROR(SEARCH("Positive",L460)))</formula>
    </cfRule>
    <cfRule type="containsText" dxfId="9385" priority="11898" operator="containsText" text="Negative">
      <formula>NOT(ISERROR(SEARCH("Negative",L460)))</formula>
    </cfRule>
  </conditionalFormatting>
  <conditionalFormatting sqref="J460:K464">
    <cfRule type="containsText" dxfId="9384" priority="11901" operator="containsText" text="Missing">
      <formula>NOT(ISERROR(SEARCH("Missing",J460)))</formula>
    </cfRule>
  </conditionalFormatting>
  <conditionalFormatting sqref="I460:I464">
    <cfRule type="containsText" dxfId="9383" priority="11896" operator="containsText" text="Missing">
      <formula>NOT(ISERROR(SEARCH("Missing",I460)))</formula>
    </cfRule>
  </conditionalFormatting>
  <conditionalFormatting sqref="H464">
    <cfRule type="containsText" dxfId="9382" priority="11895" operator="containsText" text="Missing">
      <formula>NOT(ISERROR(SEARCH("Missing",H464)))</formula>
    </cfRule>
  </conditionalFormatting>
  <conditionalFormatting sqref="H460:H463">
    <cfRule type="containsText" dxfId="9381" priority="11894" operator="containsText" text="Missing">
      <formula>NOT(ISERROR(SEARCH("Missing",H460)))</formula>
    </cfRule>
  </conditionalFormatting>
  <conditionalFormatting sqref="J455:K459">
    <cfRule type="containsText" dxfId="9380" priority="11893" operator="containsText" text="Missing">
      <formula>NOT(ISERROR(SEARCH("Missing",J455)))</formula>
    </cfRule>
  </conditionalFormatting>
  <conditionalFormatting sqref="L455:L459">
    <cfRule type="containsText" dxfId="9379" priority="11891" operator="containsText" text="Positive">
      <formula>NOT(ISERROR(SEARCH("Positive",L455)))</formula>
    </cfRule>
    <cfRule type="containsText" dxfId="9378" priority="11892" operator="containsText" text="Negative">
      <formula>NOT(ISERROR(SEARCH("Negative",L455)))</formula>
    </cfRule>
  </conditionalFormatting>
  <conditionalFormatting sqref="L455:L459">
    <cfRule type="containsText" dxfId="9377" priority="11889" operator="containsText" text="Positive">
      <formula>NOT(ISERROR(SEARCH("Positive",L455)))</formula>
    </cfRule>
    <cfRule type="containsText" dxfId="9376" priority="11890" operator="containsText" text="Negative">
      <formula>NOT(ISERROR(SEARCH("Negative",L455)))</formula>
    </cfRule>
  </conditionalFormatting>
  <conditionalFormatting sqref="I455:I459">
    <cfRule type="containsText" dxfId="9375" priority="11888" operator="containsText" text="Missing">
      <formula>NOT(ISERROR(SEARCH("Missing",I455)))</formula>
    </cfRule>
  </conditionalFormatting>
  <conditionalFormatting sqref="H459">
    <cfRule type="containsText" dxfId="9374" priority="11887" operator="containsText" text="Missing">
      <formula>NOT(ISERROR(SEARCH("Missing",H459)))</formula>
    </cfRule>
  </conditionalFormatting>
  <conditionalFormatting sqref="H455:H458">
    <cfRule type="containsText" dxfId="9373" priority="11886" operator="containsText" text="Missing">
      <formula>NOT(ISERROR(SEARCH("Missing",H455)))</formula>
    </cfRule>
  </conditionalFormatting>
  <conditionalFormatting sqref="J483:K492">
    <cfRule type="containsText" dxfId="9372" priority="11885" operator="containsText" text="Missing">
      <formula>NOT(ISERROR(SEARCH("Missing",J483)))</formula>
    </cfRule>
  </conditionalFormatting>
  <conditionalFormatting sqref="L483:L492">
    <cfRule type="containsText" dxfId="9371" priority="11883" operator="containsText" text="Positive">
      <formula>NOT(ISERROR(SEARCH("Positive",L483)))</formula>
    </cfRule>
    <cfRule type="containsText" dxfId="9370" priority="11884" operator="containsText" text="Negative">
      <formula>NOT(ISERROR(SEARCH("Negative",L483)))</formula>
    </cfRule>
  </conditionalFormatting>
  <conditionalFormatting sqref="H487:H492">
    <cfRule type="containsText" dxfId="9369" priority="11882" operator="containsText" text="Missing">
      <formula>NOT(ISERROR(SEARCH("Missing",H487)))</formula>
    </cfRule>
  </conditionalFormatting>
  <conditionalFormatting sqref="H483:H486">
    <cfRule type="containsText" dxfId="9368" priority="11881" operator="containsText" text="Missing">
      <formula>NOT(ISERROR(SEARCH("Missing",H483)))</formula>
    </cfRule>
  </conditionalFormatting>
  <conditionalFormatting sqref="I483:I492">
    <cfRule type="containsText" dxfId="9367" priority="11880" operator="containsText" text="Missing">
      <formula>NOT(ISERROR(SEARCH("Missing",I483)))</formula>
    </cfRule>
  </conditionalFormatting>
  <conditionalFormatting sqref="L498:L502">
    <cfRule type="containsText" dxfId="9366" priority="11870" operator="containsText" text="Positive">
      <formula>NOT(ISERROR(SEARCH("Positive",L498)))</formula>
    </cfRule>
    <cfRule type="containsText" dxfId="9365" priority="11871" operator="containsText" text="Negative">
      <formula>NOT(ISERROR(SEARCH("Negative",L498)))</formula>
    </cfRule>
  </conditionalFormatting>
  <conditionalFormatting sqref="L503:L507">
    <cfRule type="containsText" dxfId="9364" priority="11873" operator="containsText" text="Positive">
      <formula>NOT(ISERROR(SEARCH("Positive",L503)))</formula>
    </cfRule>
    <cfRule type="containsText" dxfId="9363" priority="11874" operator="containsText" text="Negative">
      <formula>NOT(ISERROR(SEARCH("Negative",L503)))</formula>
    </cfRule>
  </conditionalFormatting>
  <conditionalFormatting sqref="J503:K507">
    <cfRule type="containsText" dxfId="9362" priority="11879" operator="containsText" text="Missing">
      <formula>NOT(ISERROR(SEARCH("Missing",J503)))</formula>
    </cfRule>
  </conditionalFormatting>
  <conditionalFormatting sqref="H503:H507">
    <cfRule type="containsText" dxfId="9361" priority="11877" operator="containsText" text="Missing">
      <formula>NOT(ISERROR(SEARCH("Missing",H503)))</formula>
    </cfRule>
  </conditionalFormatting>
  <conditionalFormatting sqref="I503:I507">
    <cfRule type="containsText" dxfId="9360" priority="11878" operator="containsText" text="Missing">
      <formula>NOT(ISERROR(SEARCH("Missing",I503)))</formula>
    </cfRule>
  </conditionalFormatting>
  <conditionalFormatting sqref="L503:L507">
    <cfRule type="containsText" dxfId="9359" priority="11875" operator="containsText" text="Positive">
      <formula>NOT(ISERROR(SEARCH("Positive",L503)))</formula>
    </cfRule>
    <cfRule type="containsText" dxfId="9358" priority="11876" operator="containsText" text="Negative">
      <formula>NOT(ISERROR(SEARCH("Negative",L503)))</formula>
    </cfRule>
  </conditionalFormatting>
  <conditionalFormatting sqref="L498:L502">
    <cfRule type="containsText" dxfId="9357" priority="11868" operator="containsText" text="Positive">
      <formula>NOT(ISERROR(SEARCH("Positive",L498)))</formula>
    </cfRule>
    <cfRule type="containsText" dxfId="9356" priority="11869" operator="containsText" text="Negative">
      <formula>NOT(ISERROR(SEARCH("Negative",L498)))</formula>
    </cfRule>
  </conditionalFormatting>
  <conditionalFormatting sqref="J498:K502">
    <cfRule type="containsText" dxfId="9355" priority="11872" operator="containsText" text="Missing">
      <formula>NOT(ISERROR(SEARCH("Missing",J498)))</formula>
    </cfRule>
  </conditionalFormatting>
  <conditionalFormatting sqref="I498:I502">
    <cfRule type="containsText" dxfId="9354" priority="11867" operator="containsText" text="Missing">
      <formula>NOT(ISERROR(SEARCH("Missing",I498)))</formula>
    </cfRule>
  </conditionalFormatting>
  <conditionalFormatting sqref="H498:H502">
    <cfRule type="containsText" dxfId="9353" priority="11866" operator="containsText" text="Missing">
      <formula>NOT(ISERROR(SEARCH("Missing",H498)))</formula>
    </cfRule>
  </conditionalFormatting>
  <conditionalFormatting sqref="L493:L497">
    <cfRule type="containsText" dxfId="9352" priority="11863" operator="containsText" text="Positive">
      <formula>NOT(ISERROR(SEARCH("Positive",L493)))</formula>
    </cfRule>
    <cfRule type="containsText" dxfId="9351" priority="11864" operator="containsText" text="Negative">
      <formula>NOT(ISERROR(SEARCH("Negative",L493)))</formula>
    </cfRule>
  </conditionalFormatting>
  <conditionalFormatting sqref="L493:L497">
    <cfRule type="containsText" dxfId="9350" priority="11861" operator="containsText" text="Positive">
      <formula>NOT(ISERROR(SEARCH("Positive",L493)))</formula>
    </cfRule>
    <cfRule type="containsText" dxfId="9349" priority="11862" operator="containsText" text="Negative">
      <formula>NOT(ISERROR(SEARCH("Negative",L493)))</formula>
    </cfRule>
  </conditionalFormatting>
  <conditionalFormatting sqref="J493:K497">
    <cfRule type="containsText" dxfId="9348" priority="11865" operator="containsText" text="Missing">
      <formula>NOT(ISERROR(SEARCH("Missing",J493)))</formula>
    </cfRule>
  </conditionalFormatting>
  <conditionalFormatting sqref="I493:I497">
    <cfRule type="containsText" dxfId="9347" priority="11860" operator="containsText" text="Missing">
      <formula>NOT(ISERROR(SEARCH("Missing",I493)))</formula>
    </cfRule>
  </conditionalFormatting>
  <conditionalFormatting sqref="H497">
    <cfRule type="containsText" dxfId="9346" priority="11859" operator="containsText" text="Missing">
      <formula>NOT(ISERROR(SEARCH("Missing",H497)))</formula>
    </cfRule>
  </conditionalFormatting>
  <conditionalFormatting sqref="H493:H496">
    <cfRule type="containsText" dxfId="9345" priority="11858" operator="containsText" text="Missing">
      <formula>NOT(ISERROR(SEARCH("Missing",H493)))</formula>
    </cfRule>
  </conditionalFormatting>
  <conditionalFormatting sqref="J521:K525">
    <cfRule type="containsText" dxfId="9344" priority="11857" operator="containsText" text="Missing">
      <formula>NOT(ISERROR(SEARCH("Missing",J521)))</formula>
    </cfRule>
  </conditionalFormatting>
  <conditionalFormatting sqref="L521:L525">
    <cfRule type="containsText" dxfId="9343" priority="11855" operator="containsText" text="Positive">
      <formula>NOT(ISERROR(SEARCH("Positive",L521)))</formula>
    </cfRule>
    <cfRule type="containsText" dxfId="9342" priority="11856" operator="containsText" text="Negative">
      <formula>NOT(ISERROR(SEARCH("Negative",L521)))</formula>
    </cfRule>
  </conditionalFormatting>
  <conditionalFormatting sqref="L521:L525">
    <cfRule type="containsText" dxfId="9341" priority="11853" operator="containsText" text="Positive">
      <formula>NOT(ISERROR(SEARCH("Positive",L521)))</formula>
    </cfRule>
    <cfRule type="containsText" dxfId="9340" priority="11854" operator="containsText" text="Negative">
      <formula>NOT(ISERROR(SEARCH("Negative",L521)))</formula>
    </cfRule>
  </conditionalFormatting>
  <conditionalFormatting sqref="I521:I525">
    <cfRule type="containsText" dxfId="9339" priority="11852" operator="containsText" text="Missing">
      <formula>NOT(ISERROR(SEARCH("Missing",I521)))</formula>
    </cfRule>
  </conditionalFormatting>
  <conditionalFormatting sqref="H525">
    <cfRule type="containsText" dxfId="9338" priority="11851" operator="containsText" text="Missing">
      <formula>NOT(ISERROR(SEARCH("Missing",H525)))</formula>
    </cfRule>
  </conditionalFormatting>
  <conditionalFormatting sqref="H521:H524">
    <cfRule type="containsText" dxfId="9337" priority="11850" operator="containsText" text="Missing">
      <formula>NOT(ISERROR(SEARCH("Missing",H521)))</formula>
    </cfRule>
  </conditionalFormatting>
  <conditionalFormatting sqref="J516:K520">
    <cfRule type="containsText" dxfId="9336" priority="11849" operator="containsText" text="Missing">
      <formula>NOT(ISERROR(SEARCH("Missing",J516)))</formula>
    </cfRule>
  </conditionalFormatting>
  <conditionalFormatting sqref="L516:L520">
    <cfRule type="containsText" dxfId="9335" priority="11847" operator="containsText" text="Positive">
      <formula>NOT(ISERROR(SEARCH("Positive",L516)))</formula>
    </cfRule>
    <cfRule type="containsText" dxfId="9334" priority="11848" operator="containsText" text="Negative">
      <formula>NOT(ISERROR(SEARCH("Negative",L516)))</formula>
    </cfRule>
  </conditionalFormatting>
  <conditionalFormatting sqref="H520">
    <cfRule type="containsText" dxfId="9333" priority="11846" operator="containsText" text="Missing">
      <formula>NOT(ISERROR(SEARCH("Missing",H520)))</formula>
    </cfRule>
  </conditionalFormatting>
  <conditionalFormatting sqref="H516:H519">
    <cfRule type="containsText" dxfId="9332" priority="11845" operator="containsText" text="Missing">
      <formula>NOT(ISERROR(SEARCH("Missing",H516)))</formula>
    </cfRule>
  </conditionalFormatting>
  <conditionalFormatting sqref="I516:I520">
    <cfRule type="containsText" dxfId="9331" priority="11844" operator="containsText" text="Missing">
      <formula>NOT(ISERROR(SEARCH("Missing",I516)))</formula>
    </cfRule>
  </conditionalFormatting>
  <conditionalFormatting sqref="L531:L535">
    <cfRule type="containsText" dxfId="9330" priority="11834" operator="containsText" text="Positive">
      <formula>NOT(ISERROR(SEARCH("Positive",L531)))</formula>
    </cfRule>
    <cfRule type="containsText" dxfId="9329" priority="11835" operator="containsText" text="Negative">
      <formula>NOT(ISERROR(SEARCH("Negative",L531)))</formula>
    </cfRule>
  </conditionalFormatting>
  <conditionalFormatting sqref="L536:L540">
    <cfRule type="containsText" dxfId="9328" priority="11837" operator="containsText" text="Positive">
      <formula>NOT(ISERROR(SEARCH("Positive",L536)))</formula>
    </cfRule>
    <cfRule type="containsText" dxfId="9327" priority="11838" operator="containsText" text="Negative">
      <formula>NOT(ISERROR(SEARCH("Negative",L536)))</formula>
    </cfRule>
  </conditionalFormatting>
  <conditionalFormatting sqref="J536:K540">
    <cfRule type="containsText" dxfId="9326" priority="11843" operator="containsText" text="Missing">
      <formula>NOT(ISERROR(SEARCH("Missing",J536)))</formula>
    </cfRule>
  </conditionalFormatting>
  <conditionalFormatting sqref="H536:H540">
    <cfRule type="containsText" dxfId="9325" priority="11841" operator="containsText" text="Missing">
      <formula>NOT(ISERROR(SEARCH("Missing",H536)))</formula>
    </cfRule>
  </conditionalFormatting>
  <conditionalFormatting sqref="I536:I540">
    <cfRule type="containsText" dxfId="9324" priority="11842" operator="containsText" text="Missing">
      <formula>NOT(ISERROR(SEARCH("Missing",I536)))</formula>
    </cfRule>
  </conditionalFormatting>
  <conditionalFormatting sqref="L536:L540">
    <cfRule type="containsText" dxfId="9323" priority="11839" operator="containsText" text="Positive">
      <formula>NOT(ISERROR(SEARCH("Positive",L536)))</formula>
    </cfRule>
    <cfRule type="containsText" dxfId="9322" priority="11840" operator="containsText" text="Negative">
      <formula>NOT(ISERROR(SEARCH("Negative",L536)))</formula>
    </cfRule>
  </conditionalFormatting>
  <conditionalFormatting sqref="L531:L535">
    <cfRule type="containsText" dxfId="9321" priority="11832" operator="containsText" text="Positive">
      <formula>NOT(ISERROR(SEARCH("Positive",L531)))</formula>
    </cfRule>
    <cfRule type="containsText" dxfId="9320" priority="11833" operator="containsText" text="Negative">
      <formula>NOT(ISERROR(SEARCH("Negative",L531)))</formula>
    </cfRule>
  </conditionalFormatting>
  <conditionalFormatting sqref="J531:K535">
    <cfRule type="containsText" dxfId="9319" priority="11836" operator="containsText" text="Missing">
      <formula>NOT(ISERROR(SEARCH("Missing",J531)))</formula>
    </cfRule>
  </conditionalFormatting>
  <conditionalFormatting sqref="I531:I535">
    <cfRule type="containsText" dxfId="9318" priority="11831" operator="containsText" text="Missing">
      <formula>NOT(ISERROR(SEARCH("Missing",I531)))</formula>
    </cfRule>
  </conditionalFormatting>
  <conditionalFormatting sqref="H531:H535">
    <cfRule type="containsText" dxfId="9317" priority="11830" operator="containsText" text="Missing">
      <formula>NOT(ISERROR(SEARCH("Missing",H531)))</formula>
    </cfRule>
  </conditionalFormatting>
  <conditionalFormatting sqref="L559:L563">
    <cfRule type="containsText" dxfId="9316" priority="11827" operator="containsText" text="Positive">
      <formula>NOT(ISERROR(SEARCH("Positive",L559)))</formula>
    </cfRule>
    <cfRule type="containsText" dxfId="9315" priority="11828" operator="containsText" text="Negative">
      <formula>NOT(ISERROR(SEARCH("Negative",L559)))</formula>
    </cfRule>
  </conditionalFormatting>
  <conditionalFormatting sqref="L559:L563">
    <cfRule type="containsText" dxfId="9314" priority="11825" operator="containsText" text="Positive">
      <formula>NOT(ISERROR(SEARCH("Positive",L559)))</formula>
    </cfRule>
    <cfRule type="containsText" dxfId="9313" priority="11826" operator="containsText" text="Negative">
      <formula>NOT(ISERROR(SEARCH("Negative",L559)))</formula>
    </cfRule>
  </conditionalFormatting>
  <conditionalFormatting sqref="J559:K563">
    <cfRule type="containsText" dxfId="9312" priority="11829" operator="containsText" text="Missing">
      <formula>NOT(ISERROR(SEARCH("Missing",J559)))</formula>
    </cfRule>
  </conditionalFormatting>
  <conditionalFormatting sqref="I559:I563">
    <cfRule type="containsText" dxfId="9311" priority="11824" operator="containsText" text="Missing">
      <formula>NOT(ISERROR(SEARCH("Missing",I559)))</formula>
    </cfRule>
  </conditionalFormatting>
  <conditionalFormatting sqref="H563">
    <cfRule type="containsText" dxfId="9310" priority="11823" operator="containsText" text="Missing">
      <formula>NOT(ISERROR(SEARCH("Missing",H563)))</formula>
    </cfRule>
  </conditionalFormatting>
  <conditionalFormatting sqref="H559:H562">
    <cfRule type="containsText" dxfId="9309" priority="11822" operator="containsText" text="Missing">
      <formula>NOT(ISERROR(SEARCH("Missing",H559)))</formula>
    </cfRule>
  </conditionalFormatting>
  <conditionalFormatting sqref="J554:K558">
    <cfRule type="containsText" dxfId="9308" priority="11821" operator="containsText" text="Missing">
      <formula>NOT(ISERROR(SEARCH("Missing",J554)))</formula>
    </cfRule>
  </conditionalFormatting>
  <conditionalFormatting sqref="L554:L558">
    <cfRule type="containsText" dxfId="9307" priority="11819" operator="containsText" text="Positive">
      <formula>NOT(ISERROR(SEARCH("Positive",L554)))</formula>
    </cfRule>
    <cfRule type="containsText" dxfId="9306" priority="11820" operator="containsText" text="Negative">
      <formula>NOT(ISERROR(SEARCH("Negative",L554)))</formula>
    </cfRule>
  </conditionalFormatting>
  <conditionalFormatting sqref="L554:L558">
    <cfRule type="containsText" dxfId="9305" priority="11817" operator="containsText" text="Positive">
      <formula>NOT(ISERROR(SEARCH("Positive",L554)))</formula>
    </cfRule>
    <cfRule type="containsText" dxfId="9304" priority="11818" operator="containsText" text="Negative">
      <formula>NOT(ISERROR(SEARCH("Negative",L554)))</formula>
    </cfRule>
  </conditionalFormatting>
  <conditionalFormatting sqref="I554:I558">
    <cfRule type="containsText" dxfId="9303" priority="11816" operator="containsText" text="Missing">
      <formula>NOT(ISERROR(SEARCH("Missing",I554)))</formula>
    </cfRule>
  </conditionalFormatting>
  <conditionalFormatting sqref="H558">
    <cfRule type="containsText" dxfId="9302" priority="11815" operator="containsText" text="Missing">
      <formula>NOT(ISERROR(SEARCH("Missing",H558)))</formula>
    </cfRule>
  </conditionalFormatting>
  <conditionalFormatting sqref="H554:H557">
    <cfRule type="containsText" dxfId="9301" priority="11814" operator="containsText" text="Missing">
      <formula>NOT(ISERROR(SEARCH("Missing",H554)))</formula>
    </cfRule>
  </conditionalFormatting>
  <conditionalFormatting sqref="J549:K553">
    <cfRule type="containsText" dxfId="9300" priority="11813" operator="containsText" text="Missing">
      <formula>NOT(ISERROR(SEARCH("Missing",J549)))</formula>
    </cfRule>
  </conditionalFormatting>
  <conditionalFormatting sqref="L549:L553">
    <cfRule type="containsText" dxfId="9299" priority="11811" operator="containsText" text="Positive">
      <formula>NOT(ISERROR(SEARCH("Positive",L549)))</formula>
    </cfRule>
    <cfRule type="containsText" dxfId="9298" priority="11812" operator="containsText" text="Negative">
      <formula>NOT(ISERROR(SEARCH("Negative",L549)))</formula>
    </cfRule>
  </conditionalFormatting>
  <conditionalFormatting sqref="H553">
    <cfRule type="containsText" dxfId="9297" priority="11810" operator="containsText" text="Missing">
      <formula>NOT(ISERROR(SEARCH("Missing",H553)))</formula>
    </cfRule>
  </conditionalFormatting>
  <conditionalFormatting sqref="H549:H552">
    <cfRule type="containsText" dxfId="9296" priority="11809" operator="containsText" text="Missing">
      <formula>NOT(ISERROR(SEARCH("Missing",H549)))</formula>
    </cfRule>
  </conditionalFormatting>
  <conditionalFormatting sqref="I549:I553">
    <cfRule type="containsText" dxfId="9295" priority="11808" operator="containsText" text="Missing">
      <formula>NOT(ISERROR(SEARCH("Missing",I549)))</formula>
    </cfRule>
  </conditionalFormatting>
  <conditionalFormatting sqref="L569:L573">
    <cfRule type="containsText" dxfId="9294" priority="11801" operator="containsText" text="Positive">
      <formula>NOT(ISERROR(SEARCH("Positive",L569)))</formula>
    </cfRule>
    <cfRule type="containsText" dxfId="9293" priority="11802" operator="containsText" text="Negative">
      <formula>NOT(ISERROR(SEARCH("Negative",L569)))</formula>
    </cfRule>
  </conditionalFormatting>
  <conditionalFormatting sqref="J569:K573">
    <cfRule type="containsText" dxfId="9292" priority="11807" operator="containsText" text="Missing">
      <formula>NOT(ISERROR(SEARCH("Missing",J569)))</formula>
    </cfRule>
  </conditionalFormatting>
  <conditionalFormatting sqref="H569:H573">
    <cfRule type="containsText" dxfId="9291" priority="11805" operator="containsText" text="Missing">
      <formula>NOT(ISERROR(SEARCH("Missing",H569)))</formula>
    </cfRule>
  </conditionalFormatting>
  <conditionalFormatting sqref="I569:I573">
    <cfRule type="containsText" dxfId="9290" priority="11806" operator="containsText" text="Missing">
      <formula>NOT(ISERROR(SEARCH("Missing",I569)))</formula>
    </cfRule>
  </conditionalFormatting>
  <conditionalFormatting sqref="L569:L573">
    <cfRule type="containsText" dxfId="9289" priority="11803" operator="containsText" text="Positive">
      <formula>NOT(ISERROR(SEARCH("Positive",L569)))</formula>
    </cfRule>
    <cfRule type="containsText" dxfId="9288" priority="11804" operator="containsText" text="Negative">
      <formula>NOT(ISERROR(SEARCH("Negative",L569)))</formula>
    </cfRule>
  </conditionalFormatting>
  <conditionalFormatting sqref="L597:L601">
    <cfRule type="containsText" dxfId="9287" priority="11798" operator="containsText" text="Positive">
      <formula>NOT(ISERROR(SEARCH("Positive",L597)))</formula>
    </cfRule>
    <cfRule type="containsText" dxfId="9286" priority="11799" operator="containsText" text="Negative">
      <formula>NOT(ISERROR(SEARCH("Negative",L597)))</formula>
    </cfRule>
  </conditionalFormatting>
  <conditionalFormatting sqref="L597:L601">
    <cfRule type="containsText" dxfId="9285" priority="11796" operator="containsText" text="Positive">
      <formula>NOT(ISERROR(SEARCH("Positive",L597)))</formula>
    </cfRule>
    <cfRule type="containsText" dxfId="9284" priority="11797" operator="containsText" text="Negative">
      <formula>NOT(ISERROR(SEARCH("Negative",L597)))</formula>
    </cfRule>
  </conditionalFormatting>
  <conditionalFormatting sqref="J597:K601">
    <cfRule type="containsText" dxfId="9283" priority="11800" operator="containsText" text="Missing">
      <formula>NOT(ISERROR(SEARCH("Missing",J597)))</formula>
    </cfRule>
  </conditionalFormatting>
  <conditionalFormatting sqref="I597:I601">
    <cfRule type="containsText" dxfId="9282" priority="11795" operator="containsText" text="Missing">
      <formula>NOT(ISERROR(SEARCH("Missing",I597)))</formula>
    </cfRule>
  </conditionalFormatting>
  <conditionalFormatting sqref="H597:H601">
    <cfRule type="containsText" dxfId="9281" priority="11794" operator="containsText" text="Missing">
      <formula>NOT(ISERROR(SEARCH("Missing",H597)))</formula>
    </cfRule>
  </conditionalFormatting>
  <conditionalFormatting sqref="L592:L596">
    <cfRule type="containsText" dxfId="9280" priority="11791" operator="containsText" text="Positive">
      <formula>NOT(ISERROR(SEARCH("Positive",L592)))</formula>
    </cfRule>
    <cfRule type="containsText" dxfId="9279" priority="11792" operator="containsText" text="Negative">
      <formula>NOT(ISERROR(SEARCH("Negative",L592)))</formula>
    </cfRule>
  </conditionalFormatting>
  <conditionalFormatting sqref="L592:L596">
    <cfRule type="containsText" dxfId="9278" priority="11789" operator="containsText" text="Positive">
      <formula>NOT(ISERROR(SEARCH("Positive",L592)))</formula>
    </cfRule>
    <cfRule type="containsText" dxfId="9277" priority="11790" operator="containsText" text="Negative">
      <formula>NOT(ISERROR(SEARCH("Negative",L592)))</formula>
    </cfRule>
  </conditionalFormatting>
  <conditionalFormatting sqref="J592:K596">
    <cfRule type="containsText" dxfId="9276" priority="11793" operator="containsText" text="Missing">
      <formula>NOT(ISERROR(SEARCH("Missing",J592)))</formula>
    </cfRule>
  </conditionalFormatting>
  <conditionalFormatting sqref="I592:I596">
    <cfRule type="containsText" dxfId="9275" priority="11788" operator="containsText" text="Missing">
      <formula>NOT(ISERROR(SEARCH("Missing",I592)))</formula>
    </cfRule>
  </conditionalFormatting>
  <conditionalFormatting sqref="H596">
    <cfRule type="containsText" dxfId="9274" priority="11787" operator="containsText" text="Missing">
      <formula>NOT(ISERROR(SEARCH("Missing",H596)))</formula>
    </cfRule>
  </conditionalFormatting>
  <conditionalFormatting sqref="H592:H595">
    <cfRule type="containsText" dxfId="9273" priority="11786" operator="containsText" text="Missing">
      <formula>NOT(ISERROR(SEARCH("Missing",H592)))</formula>
    </cfRule>
  </conditionalFormatting>
  <conditionalFormatting sqref="J587:K591">
    <cfRule type="containsText" dxfId="9272" priority="11785" operator="containsText" text="Missing">
      <formula>NOT(ISERROR(SEARCH("Missing",J587)))</formula>
    </cfRule>
  </conditionalFormatting>
  <conditionalFormatting sqref="L587:L591">
    <cfRule type="containsText" dxfId="9271" priority="11783" operator="containsText" text="Positive">
      <formula>NOT(ISERROR(SEARCH("Positive",L587)))</formula>
    </cfRule>
    <cfRule type="containsText" dxfId="9270" priority="11784" operator="containsText" text="Negative">
      <formula>NOT(ISERROR(SEARCH("Negative",L587)))</formula>
    </cfRule>
  </conditionalFormatting>
  <conditionalFormatting sqref="L587:L591">
    <cfRule type="containsText" dxfId="9269" priority="11781" operator="containsText" text="Positive">
      <formula>NOT(ISERROR(SEARCH("Positive",L587)))</formula>
    </cfRule>
    <cfRule type="containsText" dxfId="9268" priority="11782" operator="containsText" text="Negative">
      <formula>NOT(ISERROR(SEARCH("Negative",L587)))</formula>
    </cfRule>
  </conditionalFormatting>
  <conditionalFormatting sqref="I587:I591">
    <cfRule type="containsText" dxfId="9267" priority="11780" operator="containsText" text="Missing">
      <formula>NOT(ISERROR(SEARCH("Missing",I587)))</formula>
    </cfRule>
  </conditionalFormatting>
  <conditionalFormatting sqref="H591">
    <cfRule type="containsText" dxfId="9266" priority="11779" operator="containsText" text="Missing">
      <formula>NOT(ISERROR(SEARCH("Missing",H591)))</formula>
    </cfRule>
  </conditionalFormatting>
  <conditionalFormatting sqref="H587:H590">
    <cfRule type="containsText" dxfId="9265" priority="11778" operator="containsText" text="Missing">
      <formula>NOT(ISERROR(SEARCH("Missing",H587)))</formula>
    </cfRule>
  </conditionalFormatting>
  <conditionalFormatting sqref="J582:K586">
    <cfRule type="containsText" dxfId="9264" priority="11777" operator="containsText" text="Missing">
      <formula>NOT(ISERROR(SEARCH("Missing",J582)))</formula>
    </cfRule>
  </conditionalFormatting>
  <conditionalFormatting sqref="L582:L586">
    <cfRule type="containsText" dxfId="9263" priority="11775" operator="containsText" text="Positive">
      <formula>NOT(ISERROR(SEARCH("Positive",L582)))</formula>
    </cfRule>
    <cfRule type="containsText" dxfId="9262" priority="11776" operator="containsText" text="Negative">
      <formula>NOT(ISERROR(SEARCH("Negative",L582)))</formula>
    </cfRule>
  </conditionalFormatting>
  <conditionalFormatting sqref="H586">
    <cfRule type="containsText" dxfId="9261" priority="11774" operator="containsText" text="Missing">
      <formula>NOT(ISERROR(SEARCH("Missing",H586)))</formula>
    </cfRule>
  </conditionalFormatting>
  <conditionalFormatting sqref="H582:H585">
    <cfRule type="containsText" dxfId="9260" priority="11773" operator="containsText" text="Missing">
      <formula>NOT(ISERROR(SEARCH("Missing",H582)))</formula>
    </cfRule>
  </conditionalFormatting>
  <conditionalFormatting sqref="I582:I586">
    <cfRule type="containsText" dxfId="9259" priority="11772" operator="containsText" text="Missing">
      <formula>NOT(ISERROR(SEARCH("Missing",I582)))</formula>
    </cfRule>
  </conditionalFormatting>
  <conditionalFormatting sqref="H626">
    <cfRule type="containsText" dxfId="9258" priority="11771" operator="containsText" text="Missing">
      <formula>NOT(ISERROR(SEARCH("Missing",H626)))</formula>
    </cfRule>
  </conditionalFormatting>
  <conditionalFormatting sqref="I658">
    <cfRule type="containsText" dxfId="9257" priority="11770" operator="containsText" text="Missing">
      <formula>NOT(ISERROR(SEARCH("Missing",I658)))</formula>
    </cfRule>
  </conditionalFormatting>
  <conditionalFormatting sqref="I426">
    <cfRule type="containsText" dxfId="9256" priority="11769" operator="containsText" text="Missing">
      <formula>NOT(ISERROR(SEARCH("Missing",I426)))</formula>
    </cfRule>
  </conditionalFormatting>
  <conditionalFormatting sqref="K424">
    <cfRule type="containsText" dxfId="9255" priority="11768" operator="containsText" text="Missing">
      <formula>NOT(ISERROR(SEARCH("Missing",K424)))</formula>
    </cfRule>
  </conditionalFormatting>
  <conditionalFormatting sqref="K424">
    <cfRule type="containsText" dxfId="9254" priority="11767" operator="containsText" text="Missing">
      <formula>NOT(ISERROR(SEARCH("Missing",K424)))</formula>
    </cfRule>
  </conditionalFormatting>
  <conditionalFormatting sqref="K427">
    <cfRule type="containsText" dxfId="9253" priority="11766" operator="containsText" text="Missing">
      <formula>NOT(ISERROR(SEARCH("Missing",K427)))</formula>
    </cfRule>
  </conditionalFormatting>
  <conditionalFormatting sqref="K427">
    <cfRule type="containsText" dxfId="9252" priority="11765" operator="containsText" text="Missing">
      <formula>NOT(ISERROR(SEARCH("Missing",K427)))</formula>
    </cfRule>
  </conditionalFormatting>
  <conditionalFormatting sqref="I430">
    <cfRule type="containsText" dxfId="9251" priority="11764" operator="containsText" text="Missing">
      <formula>NOT(ISERROR(SEARCH("Missing",I430)))</formula>
    </cfRule>
  </conditionalFormatting>
  <conditionalFormatting sqref="K430">
    <cfRule type="containsText" dxfId="9250" priority="11763" operator="containsText" text="Missing">
      <formula>NOT(ISERROR(SEARCH("Missing",K430)))</formula>
    </cfRule>
  </conditionalFormatting>
  <conditionalFormatting sqref="K430">
    <cfRule type="containsText" dxfId="9249" priority="11762" operator="containsText" text="Missing">
      <formula>NOT(ISERROR(SEARCH("Missing",K430)))</formula>
    </cfRule>
  </conditionalFormatting>
  <conditionalFormatting sqref="H389">
    <cfRule type="containsText" dxfId="9248" priority="11758" operator="containsText" text="Missing">
      <formula>NOT(ISERROR(SEARCH("Missing",H389)))</formula>
    </cfRule>
  </conditionalFormatting>
  <conditionalFormatting sqref="H661">
    <cfRule type="containsText" dxfId="9247" priority="11749" operator="containsText" text="Missing">
      <formula>NOT(ISERROR(SEARCH("Missing",H661)))</formula>
    </cfRule>
  </conditionalFormatting>
  <conditionalFormatting sqref="J389:K389">
    <cfRule type="containsText" dxfId="9246" priority="11761" operator="containsText" text="Missing">
      <formula>NOT(ISERROR(SEARCH("Missing",J389)))</formula>
    </cfRule>
  </conditionalFormatting>
  <conditionalFormatting sqref="L389">
    <cfRule type="containsText" dxfId="9245" priority="11759" operator="containsText" text="Positive">
      <formula>NOT(ISERROR(SEARCH("Positive",L389)))</formula>
    </cfRule>
    <cfRule type="containsText" dxfId="9244" priority="11760" operator="containsText" text="Negative">
      <formula>NOT(ISERROR(SEARCH("Negative",L389)))</formula>
    </cfRule>
  </conditionalFormatting>
  <conditionalFormatting sqref="H369">
    <cfRule type="containsText" dxfId="9243" priority="11757" operator="containsText" text="Missing">
      <formula>NOT(ISERROR(SEARCH("Missing",H369)))</formula>
    </cfRule>
  </conditionalFormatting>
  <conditionalFormatting sqref="H351">
    <cfRule type="containsText" dxfId="9242" priority="11756" operator="containsText" text="Missing">
      <formula>NOT(ISERROR(SEARCH("Missing",H351)))</formula>
    </cfRule>
  </conditionalFormatting>
  <conditionalFormatting sqref="L369">
    <cfRule type="containsText" dxfId="9241" priority="11754" operator="containsText" text="Positive">
      <formula>NOT(ISERROR(SEARCH("Positive",L369)))</formula>
    </cfRule>
    <cfRule type="containsText" dxfId="9240" priority="11755" operator="containsText" text="Negative">
      <formula>NOT(ISERROR(SEARCH("Negative",L369)))</formula>
    </cfRule>
  </conditionalFormatting>
  <conditionalFormatting sqref="I661">
    <cfRule type="containsText" dxfId="9239" priority="11748" operator="containsText" text="Missing">
      <formula>NOT(ISERROR(SEARCH("Missing",I661)))</formula>
    </cfRule>
  </conditionalFormatting>
  <conditionalFormatting sqref="J437:K437 H437">
    <cfRule type="containsText" dxfId="9238" priority="11753" operator="containsText" text="Missing">
      <formula>NOT(ISERROR(SEARCH("Missing",H437)))</formula>
    </cfRule>
  </conditionalFormatting>
  <conditionalFormatting sqref="I437">
    <cfRule type="containsText" dxfId="9237" priority="11752" operator="containsText" text="Missing">
      <formula>NOT(ISERROR(SEARCH("Missing",I437)))</formula>
    </cfRule>
  </conditionalFormatting>
  <conditionalFormatting sqref="L437">
    <cfRule type="containsText" dxfId="9236" priority="11750" operator="containsText" text="Positive">
      <formula>NOT(ISERROR(SEARCH("Positive",L437)))</formula>
    </cfRule>
    <cfRule type="containsText" dxfId="9235" priority="11751" operator="containsText" text="Negative">
      <formula>NOT(ISERROR(SEARCH("Negative",L437)))</formula>
    </cfRule>
  </conditionalFormatting>
  <conditionalFormatting sqref="J297:K297">
    <cfRule type="containsText" dxfId="9234" priority="11747" operator="containsText" text="Missing">
      <formula>NOT(ISERROR(SEARCH("Missing",J297)))</formula>
    </cfRule>
  </conditionalFormatting>
  <conditionalFormatting sqref="H297">
    <cfRule type="containsText" dxfId="9233" priority="11746" operator="containsText" text="Missing">
      <formula>NOT(ISERROR(SEARCH("Missing",H297)))</formula>
    </cfRule>
  </conditionalFormatting>
  <conditionalFormatting sqref="L297">
    <cfRule type="containsText" dxfId="9232" priority="11744" operator="containsText" text="Positive">
      <formula>NOT(ISERROR(SEARCH("Positive",L297)))</formula>
    </cfRule>
    <cfRule type="containsText" dxfId="9231" priority="11745" operator="containsText" text="Negative">
      <formula>NOT(ISERROR(SEARCH("Negative",L297)))</formula>
    </cfRule>
  </conditionalFormatting>
  <conditionalFormatting sqref="J275:K275">
    <cfRule type="containsText" dxfId="9230" priority="11743" operator="containsText" text="Missing">
      <formula>NOT(ISERROR(SEARCH("Missing",J275)))</formula>
    </cfRule>
  </conditionalFormatting>
  <conditionalFormatting sqref="L275">
    <cfRule type="containsText" dxfId="9229" priority="11741" operator="containsText" text="Positive">
      <formula>NOT(ISERROR(SEARCH("Positive",L275)))</formula>
    </cfRule>
    <cfRule type="containsText" dxfId="9228" priority="11742" operator="containsText" text="Negative">
      <formula>NOT(ISERROR(SEARCH("Negative",L275)))</formula>
    </cfRule>
  </conditionalFormatting>
  <conditionalFormatting sqref="J246:K246">
    <cfRule type="containsText" dxfId="9227" priority="11740" operator="containsText" text="Missing">
      <formula>NOT(ISERROR(SEARCH("Missing",J246)))</formula>
    </cfRule>
  </conditionalFormatting>
  <conditionalFormatting sqref="H246">
    <cfRule type="containsText" dxfId="9226" priority="11739" operator="containsText" text="Missing">
      <formula>NOT(ISERROR(SEARCH("Missing",H246)))</formula>
    </cfRule>
  </conditionalFormatting>
  <conditionalFormatting sqref="L246">
    <cfRule type="containsText" dxfId="9225" priority="11737" operator="containsText" text="Positive">
      <formula>NOT(ISERROR(SEARCH("Positive",L246)))</formula>
    </cfRule>
    <cfRule type="containsText" dxfId="9224" priority="11738" operator="containsText" text="Negative">
      <formula>NOT(ISERROR(SEARCH("Negative",L246)))</formula>
    </cfRule>
  </conditionalFormatting>
  <conditionalFormatting sqref="J194:K194">
    <cfRule type="containsText" dxfId="9223" priority="11736" operator="containsText" text="Missing">
      <formula>NOT(ISERROR(SEARCH("Missing",J194)))</formula>
    </cfRule>
  </conditionalFormatting>
  <conditionalFormatting sqref="H194">
    <cfRule type="containsText" dxfId="9222" priority="11735" operator="containsText" text="Missing">
      <formula>NOT(ISERROR(SEARCH("Missing",H194)))</formula>
    </cfRule>
  </conditionalFormatting>
  <conditionalFormatting sqref="L194">
    <cfRule type="containsText" dxfId="9221" priority="11733" operator="containsText" text="Positive">
      <formula>NOT(ISERROR(SEARCH("Positive",L194)))</formula>
    </cfRule>
    <cfRule type="containsText" dxfId="9220" priority="11734" operator="containsText" text="Negative">
      <formula>NOT(ISERROR(SEARCH("Negative",L194)))</formula>
    </cfRule>
  </conditionalFormatting>
  <conditionalFormatting sqref="J170:K170">
    <cfRule type="containsText" dxfId="9219" priority="11732" operator="containsText" text="Missing">
      <formula>NOT(ISERROR(SEARCH("Missing",J170)))</formula>
    </cfRule>
  </conditionalFormatting>
  <conditionalFormatting sqref="H170">
    <cfRule type="containsText" dxfId="9218" priority="11731" operator="containsText" text="Missing">
      <formula>NOT(ISERROR(SEARCH("Missing",H170)))</formula>
    </cfRule>
  </conditionalFormatting>
  <conditionalFormatting sqref="L170">
    <cfRule type="containsText" dxfId="9217" priority="11729" operator="containsText" text="Positive">
      <formula>NOT(ISERROR(SEARCH("Positive",L170)))</formula>
    </cfRule>
    <cfRule type="containsText" dxfId="9216" priority="11730" operator="containsText" text="Negative">
      <formula>NOT(ISERROR(SEARCH("Negative",L170)))</formula>
    </cfRule>
  </conditionalFormatting>
  <conditionalFormatting sqref="J147:K147">
    <cfRule type="containsText" dxfId="9215" priority="11728" operator="containsText" text="Missing">
      <formula>NOT(ISERROR(SEARCH("Missing",J147)))</formula>
    </cfRule>
  </conditionalFormatting>
  <conditionalFormatting sqref="H147">
    <cfRule type="containsText" dxfId="9214" priority="11727" operator="containsText" text="Missing">
      <formula>NOT(ISERROR(SEARCH("Missing",H147)))</formula>
    </cfRule>
  </conditionalFormatting>
  <conditionalFormatting sqref="L147">
    <cfRule type="containsText" dxfId="9213" priority="11725" operator="containsText" text="Positive">
      <formula>NOT(ISERROR(SEARCH("Positive",L147)))</formula>
    </cfRule>
    <cfRule type="containsText" dxfId="9212" priority="11726" operator="containsText" text="Negative">
      <formula>NOT(ISERROR(SEARCH("Negative",L147)))</formula>
    </cfRule>
  </conditionalFormatting>
  <conditionalFormatting sqref="J107:K107">
    <cfRule type="containsText" dxfId="9211" priority="11724" operator="containsText" text="Missing">
      <formula>NOT(ISERROR(SEARCH("Missing",J107)))</formula>
    </cfRule>
  </conditionalFormatting>
  <conditionalFormatting sqref="H107">
    <cfRule type="containsText" dxfId="9210" priority="11723" operator="containsText" text="Missing">
      <formula>NOT(ISERROR(SEARCH("Missing",H107)))</formula>
    </cfRule>
  </conditionalFormatting>
  <conditionalFormatting sqref="L107">
    <cfRule type="containsText" dxfId="9209" priority="11721" operator="containsText" text="Positive">
      <formula>NOT(ISERROR(SEARCH("Positive",L107)))</formula>
    </cfRule>
    <cfRule type="containsText" dxfId="9208" priority="11722" operator="containsText" text="Negative">
      <formula>NOT(ISERROR(SEARCH("Negative",L107)))</formula>
    </cfRule>
  </conditionalFormatting>
  <conditionalFormatting sqref="J81:K81">
    <cfRule type="containsText" dxfId="9207" priority="11720" operator="containsText" text="Missing">
      <formula>NOT(ISERROR(SEARCH("Missing",J81)))</formula>
    </cfRule>
  </conditionalFormatting>
  <conditionalFormatting sqref="H81">
    <cfRule type="containsText" dxfId="9206" priority="11719" operator="containsText" text="Missing">
      <formula>NOT(ISERROR(SEARCH("Missing",H81)))</formula>
    </cfRule>
  </conditionalFormatting>
  <conditionalFormatting sqref="L81">
    <cfRule type="containsText" dxfId="9205" priority="11717" operator="containsText" text="Positive">
      <formula>NOT(ISERROR(SEARCH("Positive",L81)))</formula>
    </cfRule>
    <cfRule type="containsText" dxfId="9204" priority="11718" operator="containsText" text="Negative">
      <formula>NOT(ISERROR(SEARCH("Negative",L81)))</formula>
    </cfRule>
  </conditionalFormatting>
  <conditionalFormatting sqref="K344">
    <cfRule type="containsText" dxfId="9203" priority="11690" operator="containsText" text="Missing">
      <formula>NOT(ISERROR(SEARCH("Missing",K344)))</formula>
    </cfRule>
  </conditionalFormatting>
  <conditionalFormatting sqref="I31">
    <cfRule type="containsText" dxfId="9202" priority="11716" operator="containsText" text="Missing">
      <formula>NOT(ISERROR(SEARCH("Missing",I31)))</formula>
    </cfRule>
  </conditionalFormatting>
  <conditionalFormatting sqref="I34">
    <cfRule type="containsText" dxfId="9201" priority="11715" operator="containsText" text="Missing">
      <formula>NOT(ISERROR(SEARCH("Missing",I34)))</formula>
    </cfRule>
  </conditionalFormatting>
  <conditionalFormatting sqref="K34">
    <cfRule type="containsText" dxfId="9200" priority="11714" operator="containsText" text="Missing">
      <formula>NOT(ISERROR(SEARCH("Missing",K34)))</formula>
    </cfRule>
  </conditionalFormatting>
  <conditionalFormatting sqref="I38">
    <cfRule type="containsText" dxfId="9199" priority="11713" operator="containsText" text="Missing">
      <formula>NOT(ISERROR(SEARCH("Missing",I38)))</formula>
    </cfRule>
  </conditionalFormatting>
  <conditionalFormatting sqref="I40">
    <cfRule type="containsText" dxfId="9198" priority="11712" operator="containsText" text="Missing">
      <formula>NOT(ISERROR(SEARCH("Missing",I40)))</formula>
    </cfRule>
  </conditionalFormatting>
  <conditionalFormatting sqref="I48">
    <cfRule type="containsText" dxfId="9197" priority="11711" operator="containsText" text="Missing">
      <formula>NOT(ISERROR(SEARCH("Missing",I48)))</formula>
    </cfRule>
  </conditionalFormatting>
  <conditionalFormatting sqref="I66">
    <cfRule type="containsText" dxfId="9196" priority="11710" operator="containsText" text="Missing">
      <formula>NOT(ISERROR(SEARCH("Missing",I66)))</formula>
    </cfRule>
  </conditionalFormatting>
  <conditionalFormatting sqref="I68">
    <cfRule type="containsText" dxfId="9195" priority="11709" operator="containsText" text="Missing">
      <formula>NOT(ISERROR(SEARCH("Missing",I68)))</formula>
    </cfRule>
  </conditionalFormatting>
  <conditionalFormatting sqref="K66">
    <cfRule type="containsText" dxfId="9194" priority="11708" operator="containsText" text="Missing">
      <formula>NOT(ISERROR(SEARCH("Missing",K66)))</formula>
    </cfRule>
  </conditionalFormatting>
  <conditionalFormatting sqref="K68">
    <cfRule type="containsText" dxfId="9193" priority="11707" operator="containsText" text="Missing">
      <formula>NOT(ISERROR(SEARCH("Missing",K68)))</formula>
    </cfRule>
  </conditionalFormatting>
  <conditionalFormatting sqref="I121">
    <cfRule type="containsText" dxfId="9192" priority="11706" operator="containsText" text="Missing">
      <formula>NOT(ISERROR(SEARCH("Missing",I121)))</formula>
    </cfRule>
  </conditionalFormatting>
  <conditionalFormatting sqref="I164">
    <cfRule type="containsText" dxfId="9191" priority="11705" operator="containsText" text="Missing">
      <formula>NOT(ISERROR(SEARCH("Missing",I164)))</formula>
    </cfRule>
  </conditionalFormatting>
  <conditionalFormatting sqref="K164">
    <cfRule type="containsText" dxfId="9190" priority="11704" operator="containsText" text="Missing">
      <formula>NOT(ISERROR(SEARCH("Missing",K164)))</formula>
    </cfRule>
  </conditionalFormatting>
  <conditionalFormatting sqref="I166">
    <cfRule type="containsText" dxfId="9189" priority="11703" operator="containsText" text="Missing">
      <formula>NOT(ISERROR(SEARCH("Missing",I166)))</formula>
    </cfRule>
  </conditionalFormatting>
  <conditionalFormatting sqref="I195">
    <cfRule type="containsText" dxfId="9188" priority="11702" operator="containsText" text="Missing">
      <formula>NOT(ISERROR(SEARCH("Missing",I195)))</formula>
    </cfRule>
  </conditionalFormatting>
  <conditionalFormatting sqref="J195">
    <cfRule type="containsText" dxfId="9187" priority="11701" operator="containsText" text="Missing">
      <formula>NOT(ISERROR(SEARCH("Missing",J195)))</formula>
    </cfRule>
  </conditionalFormatting>
  <conditionalFormatting sqref="H195">
    <cfRule type="containsText" dxfId="9186" priority="11700" operator="containsText" text="Missing">
      <formula>NOT(ISERROR(SEARCH("Missing",H195)))</formula>
    </cfRule>
  </conditionalFormatting>
  <conditionalFormatting sqref="I181:I188">
    <cfRule type="containsText" dxfId="9185" priority="11699" operator="containsText" text="Missing">
      <formula>NOT(ISERROR(SEARCH("Missing",I181)))</formula>
    </cfRule>
  </conditionalFormatting>
  <conditionalFormatting sqref="H272:H277">
    <cfRule type="containsText" dxfId="9184" priority="11698" operator="containsText" text="Missing">
      <formula>NOT(ISERROR(SEARCH("Missing",H272)))</formula>
    </cfRule>
  </conditionalFormatting>
  <conditionalFormatting sqref="I273:I277">
    <cfRule type="containsText" dxfId="9183" priority="11697" operator="containsText" text="Missing">
      <formula>NOT(ISERROR(SEARCH("Missing",I273)))</formula>
    </cfRule>
  </conditionalFormatting>
  <conditionalFormatting sqref="J272:J273">
    <cfRule type="containsText" dxfId="9182" priority="11696" operator="containsText" text="Missing">
      <formula>NOT(ISERROR(SEARCH("Missing",J272)))</formula>
    </cfRule>
  </conditionalFormatting>
  <conditionalFormatting sqref="K272:K273">
    <cfRule type="containsText" dxfId="9181" priority="11695" operator="containsText" text="Missing">
      <formula>NOT(ISERROR(SEARCH("Missing",K272)))</formula>
    </cfRule>
  </conditionalFormatting>
  <conditionalFormatting sqref="J244">
    <cfRule type="containsText" dxfId="9180" priority="11694" operator="containsText" text="Missing">
      <formula>NOT(ISERROR(SEARCH("Missing",J244)))</formula>
    </cfRule>
  </conditionalFormatting>
  <conditionalFormatting sqref="J243">
    <cfRule type="containsText" dxfId="9179" priority="11693" operator="containsText" text="Missing">
      <formula>NOT(ISERROR(SEARCH("Missing",J243)))</formula>
    </cfRule>
  </conditionalFormatting>
  <conditionalFormatting sqref="K243:K244">
    <cfRule type="containsText" dxfId="9178" priority="11692" operator="containsText" text="Missing">
      <formula>NOT(ISERROR(SEARCH("Missing",K243)))</formula>
    </cfRule>
  </conditionalFormatting>
  <conditionalFormatting sqref="J1148:K1148">
    <cfRule type="containsText" dxfId="9177" priority="11575" operator="containsText" text="Missing">
      <formula>NOT(ISERROR(SEARCH("Missing",J1148)))</formula>
    </cfRule>
  </conditionalFormatting>
  <conditionalFormatting sqref="H991:K992 J994:K994 J1057:K1061 J1168:K1171 J1198:K1201 H1057:H1059 H1087:H1089 H1168:H1170 H1201 H1173:K1176 H1203:K1205 H1062:K1064 J1087:K1095 H1092:I1095 J1223:K1223 H1050:K1050 I1067:I1069 H1066:K1066 I1013:K1025 H1015:H1025 H1079:K1081 H1030:K1038 H1112:K1114 H1115 J1115:K1115 H1318:K1322 H1423:K1426 H1565:K1567 H1659:K1660 H1794:K1795 H2122:K2123 H2004:K2010">
    <cfRule type="containsText" dxfId="9176" priority="11689" operator="containsText" text="Missing">
      <formula>NOT(ISERROR(SEARCH("Missing",H991)))</formula>
    </cfRule>
  </conditionalFormatting>
  <conditionalFormatting sqref="L991:L992 L994 L1055 L1168:L1171 L1057:L1060 L1087:L1090 L1198:L1201 L1094:L1095 L1083 L1112:L1115 L1013:L1025 L1030:L1050 L1318:L1334 L1423:L1426 L1565:L1579 L1659:L1660 L1794:L1807 L2122:L2123 L2004:L2022">
    <cfRule type="containsText" dxfId="9175" priority="11687" operator="containsText" text="Positive">
      <formula>NOT(ISERROR(SEARCH("Positive",L991)))</formula>
    </cfRule>
    <cfRule type="containsText" dxfId="9174" priority="11688" operator="containsText" text="Negative">
      <formula>NOT(ISERROR(SEARCH("Negative",L991)))</formula>
    </cfRule>
  </conditionalFormatting>
  <conditionalFormatting sqref="I1039:I1041 I1001:I1005">
    <cfRule type="containsText" dxfId="9173" priority="11686" operator="containsText" text="Missing">
      <formula>NOT(ISERROR(SEARCH("Missing",I1001)))</formula>
    </cfRule>
  </conditionalFormatting>
  <conditionalFormatting sqref="L1002 L1051:L1054">
    <cfRule type="containsText" dxfId="9172" priority="11684" operator="containsText" text="Positive">
      <formula>NOT(ISERROR(SEARCH("Positive",L1002)))</formula>
    </cfRule>
    <cfRule type="containsText" dxfId="9171" priority="11685" operator="containsText" text="Negative">
      <formula>NOT(ISERROR(SEARCH("Negative",L1002)))</formula>
    </cfRule>
  </conditionalFormatting>
  <conditionalFormatting sqref="H1051:H1054">
    <cfRule type="containsText" dxfId="9170" priority="11673" operator="containsText" text="Missing">
      <formula>NOT(ISERROR(SEARCH("Missing",H1051)))</formula>
    </cfRule>
  </conditionalFormatting>
  <conditionalFormatting sqref="I1057 I1059">
    <cfRule type="containsText" dxfId="9169" priority="11672" operator="containsText" text="Missing">
      <formula>NOT(ISERROR(SEARCH("Missing",I1057)))</formula>
    </cfRule>
  </conditionalFormatting>
  <conditionalFormatting sqref="J1001:K1001 J1055:K1056">
    <cfRule type="containsText" dxfId="9168" priority="11683" operator="containsText" text="Missing">
      <formula>NOT(ISERROR(SEARCH("Missing",J1001)))</formula>
    </cfRule>
  </conditionalFormatting>
  <conditionalFormatting sqref="I1055">
    <cfRule type="containsText" dxfId="9167" priority="11679" operator="containsText" text="Missing">
      <formula>NOT(ISERROR(SEARCH("Missing",I1055)))</formula>
    </cfRule>
  </conditionalFormatting>
  <conditionalFormatting sqref="L1001">
    <cfRule type="containsText" dxfId="9166" priority="11681" operator="containsText" text="Positive">
      <formula>NOT(ISERROR(SEARCH("Positive",L1001)))</formula>
    </cfRule>
    <cfRule type="containsText" dxfId="9165" priority="11682" operator="containsText" text="Negative">
      <formula>NOT(ISERROR(SEARCH("Negative",L1001)))</formula>
    </cfRule>
  </conditionalFormatting>
  <conditionalFormatting sqref="L1051:L1054">
    <cfRule type="containsText" dxfId="9164" priority="11675" operator="containsText" text="Positive">
      <formula>NOT(ISERROR(SEARCH("Positive",L1051)))</formula>
    </cfRule>
    <cfRule type="containsText" dxfId="9163" priority="11676" operator="containsText" text="Negative">
      <formula>NOT(ISERROR(SEARCH("Negative",L1051)))</formula>
    </cfRule>
  </conditionalFormatting>
  <conditionalFormatting sqref="J1002:K1002">
    <cfRule type="containsText" dxfId="9162" priority="11678" operator="containsText" text="Missing">
      <formula>NOT(ISERROR(SEARCH("Missing",J1002)))</formula>
    </cfRule>
  </conditionalFormatting>
  <conditionalFormatting sqref="J1051:K1054">
    <cfRule type="containsText" dxfId="9161" priority="11677" operator="containsText" text="Missing">
      <formula>NOT(ISERROR(SEARCH("Missing",J1051)))</formula>
    </cfRule>
  </conditionalFormatting>
  <conditionalFormatting sqref="J1039:K1039">
    <cfRule type="containsText" dxfId="9160" priority="11649" operator="containsText" text="Missing">
      <formula>NOT(ISERROR(SEARCH("Missing",J1039)))</formula>
    </cfRule>
  </conditionalFormatting>
  <conditionalFormatting sqref="J1228:K1228">
    <cfRule type="containsText" dxfId="9159" priority="11668" operator="containsText" text="Missing">
      <formula>NOT(ISERROR(SEARCH("Missing",J1228)))</formula>
    </cfRule>
  </conditionalFormatting>
  <conditionalFormatting sqref="J1229:K1229">
    <cfRule type="containsText" dxfId="9158" priority="11664" operator="containsText" text="Missing">
      <formula>NOT(ISERROR(SEARCH("Missing",J1229)))</formula>
    </cfRule>
  </conditionalFormatting>
  <conditionalFormatting sqref="I1042">
    <cfRule type="containsText" dxfId="9157" priority="11629" operator="containsText" text="Missing">
      <formula>NOT(ISERROR(SEARCH("Missing",I1042)))</formula>
    </cfRule>
  </conditionalFormatting>
  <conditionalFormatting sqref="H1001">
    <cfRule type="containsText" dxfId="9156" priority="11680" operator="containsText" text="Missing">
      <formula>NOT(ISERROR(SEARCH("Missing",H1001)))</formula>
    </cfRule>
  </conditionalFormatting>
  <conditionalFormatting sqref="J1230:K1230">
    <cfRule type="containsText" dxfId="9155" priority="11661" operator="containsText" text="Missing">
      <formula>NOT(ISERROR(SEARCH("Missing",J1230)))</formula>
    </cfRule>
  </conditionalFormatting>
  <conditionalFormatting sqref="I1051 I1053:I1054">
    <cfRule type="containsText" dxfId="9154" priority="11674" operator="containsText" text="Missing">
      <formula>NOT(ISERROR(SEARCH("Missing",I1051)))</formula>
    </cfRule>
  </conditionalFormatting>
  <conditionalFormatting sqref="H1228">
    <cfRule type="containsText" dxfId="9153" priority="11665" operator="containsText" text="Missing">
      <formula>NOT(ISERROR(SEARCH("Missing",H1228)))</formula>
    </cfRule>
  </conditionalFormatting>
  <conditionalFormatting sqref="H1055">
    <cfRule type="containsText" dxfId="9152" priority="11671" operator="containsText" text="Missing">
      <formula>NOT(ISERROR(SEARCH("Missing",H1055)))</formula>
    </cfRule>
  </conditionalFormatting>
  <conditionalFormatting sqref="J1003:K1005">
    <cfRule type="containsText" dxfId="9151" priority="11655" operator="containsText" text="Missing">
      <formula>NOT(ISERROR(SEARCH("Missing",J1003)))</formula>
    </cfRule>
  </conditionalFormatting>
  <conditionalFormatting sqref="L1228 L1063 L1226">
    <cfRule type="containsText" dxfId="9150" priority="11666" operator="containsText" text="Positive">
      <formula>NOT(ISERROR(SEARCH("Positive",L1063)))</formula>
    </cfRule>
    <cfRule type="containsText" dxfId="9149" priority="11667" operator="containsText" text="Negative">
      <formula>NOT(ISERROR(SEARCH("Negative",L1063)))</formula>
    </cfRule>
  </conditionalFormatting>
  <conditionalFormatting sqref="H1026">
    <cfRule type="containsText" dxfId="9148" priority="11646" operator="containsText" text="Missing">
      <formula>NOT(ISERROR(SEARCH("Missing",H1026)))</formula>
    </cfRule>
  </conditionalFormatting>
  <conditionalFormatting sqref="I1168 I1170">
    <cfRule type="containsText" dxfId="9147" priority="11605" operator="containsText" text="Missing">
      <formula>NOT(ISERROR(SEARCH("Missing",I1168)))</formula>
    </cfRule>
  </conditionalFormatting>
  <conditionalFormatting sqref="J1224:K1225">
    <cfRule type="containsText" dxfId="9146" priority="11670" operator="containsText" text="Missing">
      <formula>NOT(ISERROR(SEARCH("Missing",J1224)))</formula>
    </cfRule>
  </conditionalFormatting>
  <conditionalFormatting sqref="I1058">
    <cfRule type="containsText" dxfId="9145" priority="11658" operator="containsText" text="Missing">
      <formula>NOT(ISERROR(SEARCH("Missing",I1058)))</formula>
    </cfRule>
  </conditionalFormatting>
  <conditionalFormatting sqref="H1039">
    <cfRule type="containsText" dxfId="9144" priority="11645" operator="containsText" text="Missing">
      <formula>NOT(ISERROR(SEARCH("Missing",H1039)))</formula>
    </cfRule>
  </conditionalFormatting>
  <conditionalFormatting sqref="J1226:K1227">
    <cfRule type="containsText" dxfId="9143" priority="11669" operator="containsText" text="Missing">
      <formula>NOT(ISERROR(SEARCH("Missing",J1226)))</formula>
    </cfRule>
  </conditionalFormatting>
  <conditionalFormatting sqref="L1229 L1064 L1223">
    <cfRule type="containsText" dxfId="9142" priority="11662" operator="containsText" text="Positive">
      <formula>NOT(ISERROR(SEARCH("Positive",L1064)))</formula>
    </cfRule>
    <cfRule type="containsText" dxfId="9141" priority="11663" operator="containsText" text="Negative">
      <formula>NOT(ISERROR(SEARCH("Negative",L1064)))</formula>
    </cfRule>
  </conditionalFormatting>
  <conditionalFormatting sqref="J1026:K1027">
    <cfRule type="containsText" dxfId="9140" priority="11652" operator="containsText" text="Missing">
      <formula>NOT(ISERROR(SEARCH("Missing",J1026)))</formula>
    </cfRule>
  </conditionalFormatting>
  <conditionalFormatting sqref="H1040">
    <cfRule type="containsText" dxfId="9139" priority="11643" operator="containsText" text="Missing">
      <formula>NOT(ISERROR(SEARCH("Missing",H1040)))</formula>
    </cfRule>
  </conditionalFormatting>
  <conditionalFormatting sqref="L1224 L1230">
    <cfRule type="containsText" dxfId="9138" priority="11659" operator="containsText" text="Positive">
      <formula>NOT(ISERROR(SEARCH("Positive",L1224)))</formula>
    </cfRule>
    <cfRule type="containsText" dxfId="9137" priority="11660" operator="containsText" text="Negative">
      <formula>NOT(ISERROR(SEARCH("Negative",L1224)))</formula>
    </cfRule>
  </conditionalFormatting>
  <conditionalFormatting sqref="J1045:K1045">
    <cfRule type="containsText" dxfId="9136" priority="11634" operator="containsText" text="Missing">
      <formula>NOT(ISERROR(SEARCH("Missing",J1045)))</formula>
    </cfRule>
  </conditionalFormatting>
  <conditionalFormatting sqref="J1123:K1123 J1166:K1166">
    <cfRule type="containsText" dxfId="9135" priority="11614" operator="containsText" text="Missing">
      <formula>NOT(ISERROR(SEARCH("Missing",J1123)))</formula>
    </cfRule>
  </conditionalFormatting>
  <conditionalFormatting sqref="I1138">
    <cfRule type="containsText" dxfId="9134" priority="11573" operator="containsText" text="Missing">
      <formula>NOT(ISERROR(SEARCH("Missing",I1138)))</formula>
    </cfRule>
  </conditionalFormatting>
  <conditionalFormatting sqref="J1041:K1043">
    <cfRule type="containsText" dxfId="9133" priority="11640" operator="containsText" text="Missing">
      <formula>NOT(ISERROR(SEARCH("Missing",J1041)))</formula>
    </cfRule>
  </conditionalFormatting>
  <conditionalFormatting sqref="L1040">
    <cfRule type="containsText" dxfId="9132" priority="11656" operator="containsText" text="Positive">
      <formula>NOT(ISERROR(SEARCH("Positive",L1040)))</formula>
    </cfRule>
    <cfRule type="containsText" dxfId="9131" priority="11657" operator="containsText" text="Negative">
      <formula>NOT(ISERROR(SEARCH("Negative",L1040)))</formula>
    </cfRule>
  </conditionalFormatting>
  <conditionalFormatting sqref="J1044:K1044">
    <cfRule type="containsText" dxfId="9130" priority="11637" operator="containsText" text="Missing">
      <formula>NOT(ISERROR(SEARCH("Missing",J1044)))</formula>
    </cfRule>
  </conditionalFormatting>
  <conditionalFormatting sqref="J1162:K1162">
    <cfRule type="containsText" dxfId="9129" priority="11609" operator="containsText" text="Missing">
      <formula>NOT(ISERROR(SEARCH("Missing",J1162)))</formula>
    </cfRule>
  </conditionalFormatting>
  <conditionalFormatting sqref="J1124:K1124">
    <cfRule type="containsText" dxfId="9128" priority="11610" operator="containsText" text="Missing">
      <formula>NOT(ISERROR(SEARCH("Missing",J1124)))</formula>
    </cfRule>
  </conditionalFormatting>
  <conditionalFormatting sqref="L1003:L1005">
    <cfRule type="containsText" dxfId="9127" priority="11653" operator="containsText" text="Positive">
      <formula>NOT(ISERROR(SEARCH("Positive",L1003)))</formula>
    </cfRule>
    <cfRule type="containsText" dxfId="9126" priority="11654" operator="containsText" text="Negative">
      <formula>NOT(ISERROR(SEARCH("Negative",L1003)))</formula>
    </cfRule>
  </conditionalFormatting>
  <conditionalFormatting sqref="L1026">
    <cfRule type="containsText" dxfId="9125" priority="11650" operator="containsText" text="Positive">
      <formula>NOT(ISERROR(SEARCH("Positive",L1026)))</formula>
    </cfRule>
    <cfRule type="containsText" dxfId="9124" priority="11651" operator="containsText" text="Negative">
      <formula>NOT(ISERROR(SEARCH("Negative",L1026)))</formula>
    </cfRule>
  </conditionalFormatting>
  <conditionalFormatting sqref="L1039">
    <cfRule type="containsText" dxfId="9123" priority="11647" operator="containsText" text="Positive">
      <formula>NOT(ISERROR(SEARCH("Positive",L1039)))</formula>
    </cfRule>
    <cfRule type="containsText" dxfId="9122" priority="11648" operator="containsText" text="Negative">
      <formula>NOT(ISERROR(SEARCH("Negative",L1039)))</formula>
    </cfRule>
  </conditionalFormatting>
  <conditionalFormatting sqref="I1046">
    <cfRule type="containsText" dxfId="9121" priority="11627" operator="containsText" text="Missing">
      <formula>NOT(ISERROR(SEARCH("Missing",I1046)))</formula>
    </cfRule>
  </conditionalFormatting>
  <conditionalFormatting sqref="J1040:K1040">
    <cfRule type="containsText" dxfId="9120" priority="11644" operator="containsText" text="Missing">
      <formula>NOT(ISERROR(SEARCH("Missing",J1040)))</formula>
    </cfRule>
  </conditionalFormatting>
  <conditionalFormatting sqref="I1044">
    <cfRule type="containsText" dxfId="9119" priority="11628" operator="containsText" text="Missing">
      <formula>NOT(ISERROR(SEARCH("Missing",I1044)))</formula>
    </cfRule>
  </conditionalFormatting>
  <conditionalFormatting sqref="L1046">
    <cfRule type="containsText" dxfId="9118" priority="11641" operator="containsText" text="Positive">
      <formula>NOT(ISERROR(SEARCH("Positive",L1046)))</formula>
    </cfRule>
    <cfRule type="containsText" dxfId="9117" priority="11642" operator="containsText" text="Negative">
      <formula>NOT(ISERROR(SEARCH("Negative",L1046)))</formula>
    </cfRule>
  </conditionalFormatting>
  <conditionalFormatting sqref="J1046:K1046">
    <cfRule type="containsText" dxfId="9116" priority="11633" operator="containsText" text="Missing">
      <formula>NOT(ISERROR(SEARCH("Missing",J1046)))</formula>
    </cfRule>
  </conditionalFormatting>
  <conditionalFormatting sqref="L1042:L1043">
    <cfRule type="containsText" dxfId="9115" priority="11638" operator="containsText" text="Positive">
      <formula>NOT(ISERROR(SEARCH("Positive",L1042)))</formula>
    </cfRule>
    <cfRule type="containsText" dxfId="9114" priority="11639" operator="containsText" text="Negative">
      <formula>NOT(ISERROR(SEARCH("Negative",L1042)))</formula>
    </cfRule>
  </conditionalFormatting>
  <conditionalFormatting sqref="I1060:I1061">
    <cfRule type="containsText" dxfId="9113" priority="11624" operator="containsText" text="Missing">
      <formula>NOT(ISERROR(SEARCH("Missing",I1060)))</formula>
    </cfRule>
  </conditionalFormatting>
  <conditionalFormatting sqref="L1044">
    <cfRule type="containsText" dxfId="9112" priority="11635" operator="containsText" text="Positive">
      <formula>NOT(ISERROR(SEARCH("Positive",L1044)))</formula>
    </cfRule>
    <cfRule type="containsText" dxfId="9111" priority="11636" operator="containsText" text="Negative">
      <formula>NOT(ISERROR(SEARCH("Negative",L1044)))</formula>
    </cfRule>
  </conditionalFormatting>
  <conditionalFormatting sqref="I1026:I1027">
    <cfRule type="containsText" dxfId="9110" priority="11632" operator="containsText" text="Missing">
      <formula>NOT(ISERROR(SEARCH("Missing",I1026)))</formula>
    </cfRule>
  </conditionalFormatting>
  <conditionalFormatting sqref="I1043">
    <cfRule type="containsText" dxfId="9109" priority="11631" operator="containsText" text="Missing">
      <formula>NOT(ISERROR(SEARCH("Missing",I1043)))</formula>
    </cfRule>
  </conditionalFormatting>
  <conditionalFormatting sqref="I1045">
    <cfRule type="containsText" dxfId="9108" priority="11630" operator="containsText" text="Missing">
      <formula>NOT(ISERROR(SEARCH("Missing",I1045)))</formula>
    </cfRule>
  </conditionalFormatting>
  <conditionalFormatting sqref="J1083:K1083">
    <cfRule type="containsText" dxfId="9107" priority="11558" operator="containsText" text="Missing">
      <formula>NOT(ISERROR(SEARCH("Missing",J1083)))</formula>
    </cfRule>
  </conditionalFormatting>
  <conditionalFormatting sqref="J1144:K1146">
    <cfRule type="containsText" dxfId="9106" priority="11581" operator="containsText" text="Missing">
      <formula>NOT(ISERROR(SEARCH("Missing",J1144)))</formula>
    </cfRule>
  </conditionalFormatting>
  <conditionalFormatting sqref="I1169">
    <cfRule type="containsText" dxfId="9105" priority="11596" operator="containsText" text="Missing">
      <formula>NOT(ISERROR(SEARCH("Missing",I1169)))</formula>
    </cfRule>
  </conditionalFormatting>
  <conditionalFormatting sqref="I994">
    <cfRule type="containsText" dxfId="9104" priority="11626" operator="containsText" text="Missing">
      <formula>NOT(ISERROR(SEARCH("Missing",I994)))</formula>
    </cfRule>
  </conditionalFormatting>
  <conditionalFormatting sqref="I1112">
    <cfRule type="containsText" dxfId="9103" priority="11625" operator="containsText" text="Missing">
      <formula>NOT(ISERROR(SEARCH("Missing",I1112)))</formula>
    </cfRule>
  </conditionalFormatting>
  <conditionalFormatting sqref="L1041">
    <cfRule type="containsText" dxfId="9102" priority="11622" operator="containsText" text="Positive">
      <formula>NOT(ISERROR(SEARCH("Positive",L1041)))</formula>
    </cfRule>
    <cfRule type="containsText" dxfId="9101" priority="11623" operator="containsText" text="Negative">
      <formula>NOT(ISERROR(SEARCH("Negative",L1041)))</formula>
    </cfRule>
  </conditionalFormatting>
  <conditionalFormatting sqref="L1112">
    <cfRule type="containsText" dxfId="9100" priority="11620" operator="containsText" text="Positive">
      <formula>NOT(ISERROR(SEARCH("Positive",L1112)))</formula>
    </cfRule>
    <cfRule type="containsText" dxfId="9099" priority="11621" operator="containsText" text="Negative">
      <formula>NOT(ISERROR(SEARCH("Negative",L1112)))</formula>
    </cfRule>
  </conditionalFormatting>
  <conditionalFormatting sqref="L1227 L1062 L1225">
    <cfRule type="containsText" dxfId="9098" priority="11618" operator="containsText" text="Positive">
      <formula>NOT(ISERROR(SEARCH("Positive",L1062)))</formula>
    </cfRule>
    <cfRule type="containsText" dxfId="9097" priority="11619" operator="containsText" text="Negative">
      <formula>NOT(ISERROR(SEARCH("Negative",L1062)))</formula>
    </cfRule>
  </conditionalFormatting>
  <conditionalFormatting sqref="L1166">
    <cfRule type="containsText" dxfId="9096" priority="11603" operator="containsText" text="Positive">
      <formula>NOT(ISERROR(SEARCH("Positive",L1166)))</formula>
    </cfRule>
    <cfRule type="containsText" dxfId="9095" priority="11604" operator="containsText" text="Negative">
      <formula>NOT(ISERROR(SEARCH("Negative",L1166)))</formula>
    </cfRule>
  </conditionalFormatting>
  <conditionalFormatting sqref="I1142:I1144 I1123:I1127">
    <cfRule type="containsText" dxfId="9094" priority="11617" operator="containsText" text="Missing">
      <formula>NOT(ISERROR(SEARCH("Missing",I1123)))</formula>
    </cfRule>
  </conditionalFormatting>
  <conditionalFormatting sqref="L1124 L1162">
    <cfRule type="containsText" dxfId="9093" priority="11615" operator="containsText" text="Positive">
      <formula>NOT(ISERROR(SEARCH("Positive",L1124)))</formula>
    </cfRule>
    <cfRule type="containsText" dxfId="9092" priority="11616" operator="containsText" text="Negative">
      <formula>NOT(ISERROR(SEARCH("Negative",L1124)))</formula>
    </cfRule>
  </conditionalFormatting>
  <conditionalFormatting sqref="J1149:K1149">
    <cfRule type="containsText" dxfId="9091" priority="11574" operator="containsText" text="Missing">
      <formula>NOT(ISERROR(SEARCH("Missing",J1149)))</formula>
    </cfRule>
  </conditionalFormatting>
  <conditionalFormatting sqref="J1125:K1127">
    <cfRule type="containsText" dxfId="9090" priority="11593" operator="containsText" text="Missing">
      <formula>NOT(ISERROR(SEARCH("Missing",J1125)))</formula>
    </cfRule>
  </conditionalFormatting>
  <conditionalFormatting sqref="L1162">
    <cfRule type="containsText" dxfId="9089" priority="11607" operator="containsText" text="Positive">
      <formula>NOT(ISERROR(SEARCH("Positive",L1162)))</formula>
    </cfRule>
    <cfRule type="containsText" dxfId="9088" priority="11608" operator="containsText" text="Negative">
      <formula>NOT(ISERROR(SEARCH("Negative",L1162)))</formula>
    </cfRule>
  </conditionalFormatting>
  <conditionalFormatting sqref="L1143">
    <cfRule type="containsText" dxfId="9087" priority="11594" operator="containsText" text="Positive">
      <formula>NOT(ISERROR(SEARCH("Positive",L1143)))</formula>
    </cfRule>
    <cfRule type="containsText" dxfId="9086" priority="11595" operator="containsText" text="Negative">
      <formula>NOT(ISERROR(SEARCH("Negative",L1143)))</formula>
    </cfRule>
  </conditionalFormatting>
  <conditionalFormatting sqref="I1162">
    <cfRule type="containsText" dxfId="9085" priority="11606" operator="containsText" text="Missing">
      <formula>NOT(ISERROR(SEARCH("Missing",I1162)))</formula>
    </cfRule>
  </conditionalFormatting>
  <conditionalFormatting sqref="J1147:K1147">
    <cfRule type="containsText" dxfId="9084" priority="11578" operator="containsText" text="Missing">
      <formula>NOT(ISERROR(SEARCH("Missing",J1147)))</formula>
    </cfRule>
  </conditionalFormatting>
  <conditionalFormatting sqref="I1166">
    <cfRule type="containsText" dxfId="9083" priority="11611" operator="containsText" text="Missing">
      <formula>NOT(ISERROR(SEARCH("Missing",I1166)))</formula>
    </cfRule>
  </conditionalFormatting>
  <conditionalFormatting sqref="L1138">
    <cfRule type="containsText" dxfId="9082" priority="11588" operator="containsText" text="Positive">
      <formula>NOT(ISERROR(SEARCH("Positive",L1138)))</formula>
    </cfRule>
    <cfRule type="containsText" dxfId="9081" priority="11589" operator="containsText" text="Negative">
      <formula>NOT(ISERROR(SEARCH("Negative",L1138)))</formula>
    </cfRule>
  </conditionalFormatting>
  <conditionalFormatting sqref="J1138:K1138">
    <cfRule type="containsText" dxfId="9080" priority="11590" operator="containsText" text="Missing">
      <formula>NOT(ISERROR(SEARCH("Missing",J1138)))</formula>
    </cfRule>
  </conditionalFormatting>
  <conditionalFormatting sqref="L1166">
    <cfRule type="containsText" dxfId="9079" priority="11601" operator="containsText" text="Positive">
      <formula>NOT(ISERROR(SEARCH("Positive",L1166)))</formula>
    </cfRule>
    <cfRule type="containsText" dxfId="9078" priority="11602" operator="containsText" text="Negative">
      <formula>NOT(ISERROR(SEARCH("Negative",L1166)))</formula>
    </cfRule>
  </conditionalFormatting>
  <conditionalFormatting sqref="I1147">
    <cfRule type="containsText" dxfId="9077" priority="11569" operator="containsText" text="Missing">
      <formula>NOT(ISERROR(SEARCH("Missing",I1147)))</formula>
    </cfRule>
  </conditionalFormatting>
  <conditionalFormatting sqref="I1088">
    <cfRule type="containsText" dxfId="9076" priority="11549" operator="containsText" text="Missing">
      <formula>NOT(ISERROR(SEARCH("Missing",I1088)))</formula>
    </cfRule>
  </conditionalFormatting>
  <conditionalFormatting sqref="L1123">
    <cfRule type="containsText" dxfId="9075" priority="11612" operator="containsText" text="Positive">
      <formula>NOT(ISERROR(SEARCH("Positive",L1123)))</formula>
    </cfRule>
    <cfRule type="containsText" dxfId="9074" priority="11613" operator="containsText" text="Negative">
      <formula>NOT(ISERROR(SEARCH("Negative",L1123)))</formula>
    </cfRule>
  </conditionalFormatting>
  <conditionalFormatting sqref="I1148">
    <cfRule type="containsText" dxfId="9073" priority="11571" operator="containsText" text="Missing">
      <formula>NOT(ISERROR(SEARCH("Missing",I1148)))</formula>
    </cfRule>
  </conditionalFormatting>
  <conditionalFormatting sqref="I1241">
    <cfRule type="containsText" dxfId="9072" priority="11379" operator="containsText" text="Missing">
      <formula>NOT(ISERROR(SEARCH("Missing",I1241)))</formula>
    </cfRule>
  </conditionalFormatting>
  <conditionalFormatting sqref="L1174">
    <cfRule type="containsText" dxfId="9071" priority="11599" operator="containsText" text="Positive">
      <formula>NOT(ISERROR(SEARCH("Positive",L1174)))</formula>
    </cfRule>
    <cfRule type="containsText" dxfId="9070" priority="11600" operator="containsText" text="Negative">
      <formula>NOT(ISERROR(SEARCH("Negative",L1174)))</formula>
    </cfRule>
  </conditionalFormatting>
  <conditionalFormatting sqref="I1149">
    <cfRule type="containsText" dxfId="9069" priority="11568" operator="containsText" text="Missing">
      <formula>NOT(ISERROR(SEARCH("Missing",I1149)))</formula>
    </cfRule>
  </conditionalFormatting>
  <conditionalFormatting sqref="J1142:K1142">
    <cfRule type="containsText" dxfId="9068" priority="11587" operator="containsText" text="Missing">
      <formula>NOT(ISERROR(SEARCH("Missing",J1142)))</formula>
    </cfRule>
  </conditionalFormatting>
  <conditionalFormatting sqref="L1125:L1127">
    <cfRule type="containsText" dxfId="9067" priority="11591" operator="containsText" text="Positive">
      <formula>NOT(ISERROR(SEARCH("Positive",L1125)))</formula>
    </cfRule>
    <cfRule type="containsText" dxfId="9066" priority="11592" operator="containsText" text="Negative">
      <formula>NOT(ISERROR(SEARCH("Negative",L1125)))</formula>
    </cfRule>
  </conditionalFormatting>
  <conditionalFormatting sqref="L1175:L1176">
    <cfRule type="containsText" dxfId="9065" priority="11597" operator="containsText" text="Positive">
      <formula>NOT(ISERROR(SEARCH("Positive",L1175)))</formula>
    </cfRule>
    <cfRule type="containsText" dxfId="9064" priority="11598" operator="containsText" text="Negative">
      <formula>NOT(ISERROR(SEARCH("Negative",L1175)))</formula>
    </cfRule>
  </conditionalFormatting>
  <conditionalFormatting sqref="L1142">
    <cfRule type="containsText" dxfId="9063" priority="11585" operator="containsText" text="Positive">
      <formula>NOT(ISERROR(SEARCH("Positive",L1142)))</formula>
    </cfRule>
    <cfRule type="containsText" dxfId="9062" priority="11586" operator="containsText" text="Negative">
      <formula>NOT(ISERROR(SEARCH("Negative",L1142)))</formula>
    </cfRule>
  </conditionalFormatting>
  <conditionalFormatting sqref="I1083">
    <cfRule type="containsText" dxfId="9061" priority="11557" operator="containsText" text="Missing">
      <formula>NOT(ISERROR(SEARCH("Missing",I1083)))</formula>
    </cfRule>
  </conditionalFormatting>
  <conditionalFormatting sqref="J1143:K1143">
    <cfRule type="containsText" dxfId="9060" priority="11584" operator="containsText" text="Missing">
      <formula>NOT(ISERROR(SEARCH("Missing",J1143)))</formula>
    </cfRule>
  </conditionalFormatting>
  <conditionalFormatting sqref="I1087 I1089">
    <cfRule type="containsText" dxfId="9059" priority="11552" operator="containsText" text="Missing">
      <formula>NOT(ISERROR(SEARCH("Missing",I1087)))</formula>
    </cfRule>
  </conditionalFormatting>
  <conditionalFormatting sqref="L1149">
    <cfRule type="containsText" dxfId="9058" priority="11582" operator="containsText" text="Positive">
      <formula>NOT(ISERROR(SEARCH("Positive",L1149)))</formula>
    </cfRule>
    <cfRule type="containsText" dxfId="9057" priority="11583" operator="containsText" text="Negative">
      <formula>NOT(ISERROR(SEARCH("Negative",L1149)))</formula>
    </cfRule>
  </conditionalFormatting>
  <conditionalFormatting sqref="I1199">
    <cfRule type="containsText" dxfId="9056" priority="11540" operator="containsText" text="Missing">
      <formula>NOT(ISERROR(SEARCH("Missing",I1199)))</formula>
    </cfRule>
  </conditionalFormatting>
  <conditionalFormatting sqref="I1082">
    <cfRule type="containsText" dxfId="9055" priority="11553" operator="containsText" text="Missing">
      <formula>NOT(ISERROR(SEARCH("Missing",I1082)))</formula>
    </cfRule>
  </conditionalFormatting>
  <conditionalFormatting sqref="L1145:L1146">
    <cfRule type="containsText" dxfId="9054" priority="11579" operator="containsText" text="Positive">
      <formula>NOT(ISERROR(SEARCH("Positive",L1145)))</formula>
    </cfRule>
    <cfRule type="containsText" dxfId="9053" priority="11580" operator="containsText" text="Negative">
      <formula>NOT(ISERROR(SEARCH("Negative",L1145)))</formula>
    </cfRule>
  </conditionalFormatting>
  <conditionalFormatting sqref="L1147">
    <cfRule type="containsText" dxfId="9052" priority="11576" operator="containsText" text="Positive">
      <formula>NOT(ISERROR(SEARCH("Positive",L1147)))</formula>
    </cfRule>
    <cfRule type="containsText" dxfId="9051" priority="11577" operator="containsText" text="Negative">
      <formula>NOT(ISERROR(SEARCH("Negative",L1147)))</formula>
    </cfRule>
  </conditionalFormatting>
  <conditionalFormatting sqref="J1082:K1082">
    <cfRule type="containsText" dxfId="9050" priority="11556" operator="containsText" text="Missing">
      <formula>NOT(ISERROR(SEARCH("Missing",J1082)))</formula>
    </cfRule>
  </conditionalFormatting>
  <conditionalFormatting sqref="I1145">
    <cfRule type="containsText" dxfId="9049" priority="11570" operator="containsText" text="Missing">
      <formula>NOT(ISERROR(SEARCH("Missing",I1145)))</formula>
    </cfRule>
  </conditionalFormatting>
  <conditionalFormatting sqref="I1146">
    <cfRule type="containsText" dxfId="9048" priority="11572" operator="containsText" text="Missing">
      <formula>NOT(ISERROR(SEARCH("Missing",I1146)))</formula>
    </cfRule>
  </conditionalFormatting>
  <conditionalFormatting sqref="I1171">
    <cfRule type="containsText" dxfId="9047" priority="11567" operator="containsText" text="Missing">
      <formula>NOT(ISERROR(SEARCH("Missing",I1171)))</formula>
    </cfRule>
  </conditionalFormatting>
  <conditionalFormatting sqref="L1144">
    <cfRule type="containsText" dxfId="9046" priority="11565" operator="containsText" text="Positive">
      <formula>NOT(ISERROR(SEARCH("Positive",L1144)))</formula>
    </cfRule>
    <cfRule type="containsText" dxfId="9045" priority="11566" operator="containsText" text="Negative">
      <formula>NOT(ISERROR(SEARCH("Negative",L1144)))</formula>
    </cfRule>
  </conditionalFormatting>
  <conditionalFormatting sqref="L1148">
    <cfRule type="containsText" dxfId="9044" priority="11563" operator="containsText" text="Positive">
      <formula>NOT(ISERROR(SEARCH("Positive",L1148)))</formula>
    </cfRule>
    <cfRule type="containsText" dxfId="9043" priority="11564" operator="containsText" text="Negative">
      <formula>NOT(ISERROR(SEARCH("Negative",L1148)))</formula>
    </cfRule>
  </conditionalFormatting>
  <conditionalFormatting sqref="L1173">
    <cfRule type="containsText" dxfId="9042" priority="11561" operator="containsText" text="Positive">
      <formula>NOT(ISERROR(SEARCH("Positive",L1173)))</formula>
    </cfRule>
    <cfRule type="containsText" dxfId="9041" priority="11562" operator="containsText" text="Negative">
      <formula>NOT(ISERROR(SEARCH("Negative",L1173)))</formula>
    </cfRule>
  </conditionalFormatting>
  <conditionalFormatting sqref="L1082">
    <cfRule type="containsText" dxfId="9040" priority="11559" operator="containsText" text="Positive">
      <formula>NOT(ISERROR(SEARCH("Positive",L1082)))</formula>
    </cfRule>
    <cfRule type="containsText" dxfId="9039" priority="11560" operator="containsText" text="Negative">
      <formula>NOT(ISERROR(SEARCH("Negative",L1082)))</formula>
    </cfRule>
  </conditionalFormatting>
  <conditionalFormatting sqref="I1090">
    <cfRule type="containsText" dxfId="9038" priority="11548" operator="containsText" text="Missing">
      <formula>NOT(ISERROR(SEARCH("Missing",I1090)))</formula>
    </cfRule>
  </conditionalFormatting>
  <conditionalFormatting sqref="I1201">
    <cfRule type="containsText" dxfId="9037" priority="11539" operator="containsText" text="Missing">
      <formula>NOT(ISERROR(SEARCH("Missing",I1201)))</formula>
    </cfRule>
  </conditionalFormatting>
  <conditionalFormatting sqref="L1082">
    <cfRule type="containsText" dxfId="9036" priority="11554" operator="containsText" text="Positive">
      <formula>NOT(ISERROR(SEARCH("Positive",L1082)))</formula>
    </cfRule>
    <cfRule type="containsText" dxfId="9035" priority="11555" operator="containsText" text="Negative">
      <formula>NOT(ISERROR(SEARCH("Negative",L1082)))</formula>
    </cfRule>
  </conditionalFormatting>
  <conditionalFormatting sqref="L1093">
    <cfRule type="containsText" dxfId="9034" priority="11550" operator="containsText" text="Positive">
      <formula>NOT(ISERROR(SEARCH("Positive",L1093)))</formula>
    </cfRule>
    <cfRule type="containsText" dxfId="9033" priority="11551" operator="containsText" text="Negative">
      <formula>NOT(ISERROR(SEARCH("Negative",L1093)))</formula>
    </cfRule>
  </conditionalFormatting>
  <conditionalFormatting sqref="J1031:K1032">
    <cfRule type="containsText" dxfId="9032" priority="11536" operator="containsText" text="Missing">
      <formula>NOT(ISERROR(SEARCH("Missing",J1031)))</formula>
    </cfRule>
  </conditionalFormatting>
  <conditionalFormatting sqref="L1092">
    <cfRule type="containsText" dxfId="9031" priority="11546" operator="containsText" text="Positive">
      <formula>NOT(ISERROR(SEARCH("Positive",L1092)))</formula>
    </cfRule>
    <cfRule type="containsText" dxfId="9030" priority="11547" operator="containsText" text="Negative">
      <formula>NOT(ISERROR(SEARCH("Negative",L1092)))</formula>
    </cfRule>
  </conditionalFormatting>
  <conditionalFormatting sqref="I1198 I1200">
    <cfRule type="containsText" dxfId="9029" priority="11545" operator="containsText" text="Missing">
      <formula>NOT(ISERROR(SEARCH("Missing",I1198)))</formula>
    </cfRule>
  </conditionalFormatting>
  <conditionalFormatting sqref="L1204">
    <cfRule type="containsText" dxfId="9028" priority="11543" operator="containsText" text="Positive">
      <formula>NOT(ISERROR(SEARCH("Positive",L1204)))</formula>
    </cfRule>
    <cfRule type="containsText" dxfId="9027" priority="11544" operator="containsText" text="Negative">
      <formula>NOT(ISERROR(SEARCH("Negative",L1204)))</formula>
    </cfRule>
  </conditionalFormatting>
  <conditionalFormatting sqref="L1205">
    <cfRule type="containsText" dxfId="9026" priority="11541" operator="containsText" text="Positive">
      <formula>NOT(ISERROR(SEARCH("Positive",L1205)))</formula>
    </cfRule>
    <cfRule type="containsText" dxfId="9025" priority="11542" operator="containsText" text="Negative">
      <formula>NOT(ISERROR(SEARCH("Negative",L1205)))</formula>
    </cfRule>
  </conditionalFormatting>
  <conditionalFormatting sqref="L1203">
    <cfRule type="containsText" dxfId="9024" priority="11537" operator="containsText" text="Positive">
      <formula>NOT(ISERROR(SEARCH("Positive",L1203)))</formula>
    </cfRule>
    <cfRule type="containsText" dxfId="9023" priority="11538" operator="containsText" text="Negative">
      <formula>NOT(ISERROR(SEARCH("Negative",L1203)))</formula>
    </cfRule>
  </conditionalFormatting>
  <conditionalFormatting sqref="I1031">
    <cfRule type="containsText" dxfId="9022" priority="11535" operator="containsText" text="Missing">
      <formula>NOT(ISERROR(SEARCH("Missing",I1031)))</formula>
    </cfRule>
  </conditionalFormatting>
  <conditionalFormatting sqref="L1031">
    <cfRule type="containsText" dxfId="9021" priority="11533" operator="containsText" text="Positive">
      <formula>NOT(ISERROR(SEARCH("Positive",L1031)))</formula>
    </cfRule>
    <cfRule type="containsText" dxfId="9020" priority="11534" operator="containsText" text="Negative">
      <formula>NOT(ISERROR(SEARCH("Negative",L1031)))</formula>
    </cfRule>
  </conditionalFormatting>
  <conditionalFormatting sqref="L1032">
    <cfRule type="containsText" dxfId="9019" priority="11531" operator="containsText" text="Positive">
      <formula>NOT(ISERROR(SEARCH("Positive",L1032)))</formula>
    </cfRule>
    <cfRule type="containsText" dxfId="9018" priority="11532" operator="containsText" text="Negative">
      <formula>NOT(ISERROR(SEARCH("Negative",L1032)))</formula>
    </cfRule>
  </conditionalFormatting>
  <conditionalFormatting sqref="L1033">
    <cfRule type="containsText" dxfId="9017" priority="11529" operator="containsText" text="Positive">
      <formula>NOT(ISERROR(SEARCH("Positive",L1033)))</formula>
    </cfRule>
    <cfRule type="containsText" dxfId="9016" priority="11530" operator="containsText" text="Negative">
      <formula>NOT(ISERROR(SEARCH("Negative",L1033)))</formula>
    </cfRule>
  </conditionalFormatting>
  <conditionalFormatting sqref="I1032">
    <cfRule type="containsText" dxfId="9015" priority="11528" operator="containsText" text="Missing">
      <formula>NOT(ISERROR(SEARCH("Missing",I1032)))</formula>
    </cfRule>
  </conditionalFormatting>
  <conditionalFormatting sqref="I1033">
    <cfRule type="containsText" dxfId="9014" priority="11527" operator="containsText" text="Missing">
      <formula>NOT(ISERROR(SEARCH("Missing",I1033)))</formula>
    </cfRule>
  </conditionalFormatting>
  <conditionalFormatting sqref="H1045">
    <cfRule type="containsText" dxfId="9013" priority="11510" operator="containsText" text="Missing">
      <formula>NOT(ISERROR(SEARCH("Missing",H1045)))</formula>
    </cfRule>
  </conditionalFormatting>
  <conditionalFormatting sqref="I1224">
    <cfRule type="containsText" dxfId="9012" priority="11525" operator="containsText" text="Missing">
      <formula>NOT(ISERROR(SEARCH("Missing",I1224)))</formula>
    </cfRule>
  </conditionalFormatting>
  <conditionalFormatting sqref="I1227">
    <cfRule type="containsText" dxfId="9011" priority="11522" operator="containsText" text="Missing">
      <formula>NOT(ISERROR(SEARCH("Missing",I1227)))</formula>
    </cfRule>
  </conditionalFormatting>
  <conditionalFormatting sqref="H1477">
    <cfRule type="containsText" dxfId="9010" priority="10966" operator="containsText" text="Missing">
      <formula>NOT(ISERROR(SEARCH("Missing",H1477)))</formula>
    </cfRule>
  </conditionalFormatting>
  <conditionalFormatting sqref="H994">
    <cfRule type="containsText" dxfId="9009" priority="11520" operator="containsText" text="Missing">
      <formula>NOT(ISERROR(SEARCH("Missing",H994)))</formula>
    </cfRule>
  </conditionalFormatting>
  <conditionalFormatting sqref="I1223">
    <cfRule type="containsText" dxfId="9008" priority="11526" operator="containsText" text="Missing">
      <formula>NOT(ISERROR(SEARCH("Missing",I1223)))</formula>
    </cfRule>
  </conditionalFormatting>
  <conditionalFormatting sqref="H1003">
    <cfRule type="containsText" dxfId="9007" priority="11518" operator="containsText" text="Missing">
      <formula>NOT(ISERROR(SEARCH("Missing",H1003)))</formula>
    </cfRule>
  </conditionalFormatting>
  <conditionalFormatting sqref="H1041">
    <cfRule type="containsText" dxfId="9006" priority="11515" operator="containsText" text="Missing">
      <formula>NOT(ISERROR(SEARCH("Missing",H1041)))</formula>
    </cfRule>
  </conditionalFormatting>
  <conditionalFormatting sqref="J1478:K1478">
    <cfRule type="containsText" dxfId="9005" priority="10965" operator="containsText" text="Missing">
      <formula>NOT(ISERROR(SEARCH("Missing",J1478)))</formula>
    </cfRule>
  </conditionalFormatting>
  <conditionalFormatting sqref="I1225">
    <cfRule type="containsText" dxfId="9004" priority="11524" operator="containsText" text="Missing">
      <formula>NOT(ISERROR(SEARCH("Missing",I1225)))</formula>
    </cfRule>
  </conditionalFormatting>
  <conditionalFormatting sqref="I1226">
    <cfRule type="containsText" dxfId="9003" priority="11523" operator="containsText" text="Missing">
      <formula>NOT(ISERROR(SEARCH("Missing",I1226)))</formula>
    </cfRule>
  </conditionalFormatting>
  <conditionalFormatting sqref="I1229">
    <cfRule type="containsText" dxfId="9002" priority="11521" operator="containsText" text="Missing">
      <formula>NOT(ISERROR(SEARCH("Missing",I1229)))</formula>
    </cfRule>
  </conditionalFormatting>
  <conditionalFormatting sqref="H1004">
    <cfRule type="containsText" dxfId="9001" priority="11517" operator="containsText" text="Missing">
      <formula>NOT(ISERROR(SEARCH("Missing",H1004)))</formula>
    </cfRule>
  </conditionalFormatting>
  <conditionalFormatting sqref="H1002">
    <cfRule type="containsText" dxfId="9000" priority="11519" operator="containsText" text="Missing">
      <formula>NOT(ISERROR(SEARCH("Missing",H1002)))</formula>
    </cfRule>
  </conditionalFormatting>
  <conditionalFormatting sqref="H1005">
    <cfRule type="containsText" dxfId="8999" priority="11516" operator="containsText" text="Missing">
      <formula>NOT(ISERROR(SEARCH("Missing",H1005)))</formula>
    </cfRule>
  </conditionalFormatting>
  <conditionalFormatting sqref="J1324:K1324">
    <cfRule type="containsText" dxfId="8998" priority="10945" operator="containsText" text="Missing">
      <formula>NOT(ISERROR(SEARCH("Missing",J1324)))</formula>
    </cfRule>
  </conditionalFormatting>
  <conditionalFormatting sqref="H1042">
    <cfRule type="containsText" dxfId="8997" priority="11514" operator="containsText" text="Missing">
      <formula>NOT(ISERROR(SEARCH("Missing",H1042)))</formula>
    </cfRule>
  </conditionalFormatting>
  <conditionalFormatting sqref="H1044">
    <cfRule type="containsText" dxfId="8996" priority="11512" operator="containsText" text="Missing">
      <formula>NOT(ISERROR(SEARCH("Missing",H1044)))</formula>
    </cfRule>
  </conditionalFormatting>
  <conditionalFormatting sqref="H1043">
    <cfRule type="containsText" dxfId="8995" priority="11513" operator="containsText" text="Missing">
      <formula>NOT(ISERROR(SEARCH("Missing",H1043)))</formula>
    </cfRule>
  </conditionalFormatting>
  <conditionalFormatting sqref="H1046">
    <cfRule type="containsText" dxfId="8994" priority="11511" operator="containsText" text="Missing">
      <formula>NOT(ISERROR(SEARCH("Missing",H1046)))</formula>
    </cfRule>
  </conditionalFormatting>
  <conditionalFormatting sqref="I1330">
    <cfRule type="containsText" dxfId="8993" priority="10928" operator="containsText" text="Missing">
      <formula>NOT(ISERROR(SEARCH("Missing",I1330)))</formula>
    </cfRule>
  </conditionalFormatting>
  <conditionalFormatting sqref="J1231:K1231">
    <cfRule type="containsText" dxfId="8992" priority="11507" operator="containsText" text="Missing">
      <formula>NOT(ISERROR(SEARCH("Missing",J1231)))</formula>
    </cfRule>
  </conditionalFormatting>
  <conditionalFormatting sqref="I1314:I1315">
    <cfRule type="containsText" dxfId="8991" priority="10933" operator="containsText" text="Missing">
      <formula>NOT(ISERROR(SEARCH("Missing",I1314)))</formula>
    </cfRule>
  </conditionalFormatting>
  <conditionalFormatting sqref="I1282">
    <cfRule type="containsText" dxfId="8990" priority="10927" operator="containsText" text="Missing">
      <formula>NOT(ISERROR(SEARCH("Missing",I1282)))</formula>
    </cfRule>
  </conditionalFormatting>
  <conditionalFormatting sqref="I1326">
    <cfRule type="containsText" dxfId="8989" priority="10930" operator="containsText" text="Missing">
      <formula>NOT(ISERROR(SEARCH("Missing",I1326)))</formula>
    </cfRule>
  </conditionalFormatting>
  <conditionalFormatting sqref="I1328">
    <cfRule type="containsText" dxfId="8988" priority="10929" operator="containsText" text="Missing">
      <formula>NOT(ISERROR(SEARCH("Missing",I1328)))</formula>
    </cfRule>
  </conditionalFormatting>
  <conditionalFormatting sqref="H1147">
    <cfRule type="containsText" dxfId="8987" priority="11489" operator="containsText" text="Missing">
      <formula>NOT(ISERROR(SEARCH("Missing",H1147)))</formula>
    </cfRule>
  </conditionalFormatting>
  <conditionalFormatting sqref="J1232:K1233">
    <cfRule type="containsText" dxfId="8986" priority="11506" operator="containsText" text="Missing">
      <formula>NOT(ISERROR(SEARCH("Missing",J1232)))</formula>
    </cfRule>
  </conditionalFormatting>
  <conditionalFormatting sqref="I1232 I1236">
    <cfRule type="containsText" dxfId="8985" priority="11505" operator="containsText" text="Missing">
      <formula>NOT(ISERROR(SEARCH("Missing",I1232)))</formula>
    </cfRule>
  </conditionalFormatting>
  <conditionalFormatting sqref="L1231:L1233">
    <cfRule type="containsText" dxfId="8984" priority="11508" operator="containsText" text="Positive">
      <formula>NOT(ISERROR(SEARCH("Positive",L1231)))</formula>
    </cfRule>
    <cfRule type="containsText" dxfId="8983" priority="11509" operator="containsText" text="Negative">
      <formula>NOT(ISERROR(SEARCH("Negative",L1231)))</formula>
    </cfRule>
  </conditionalFormatting>
  <conditionalFormatting sqref="I1231 I1233 I1237 I1235">
    <cfRule type="containsText" dxfId="8982" priority="11504" operator="containsText" text="Missing">
      <formula>NOT(ISERROR(SEARCH("Missing",I1231)))</formula>
    </cfRule>
  </conditionalFormatting>
  <conditionalFormatting sqref="H1225">
    <cfRule type="containsText" dxfId="8981" priority="11480" operator="containsText" text="Missing">
      <formula>NOT(ISERROR(SEARCH("Missing",H1225)))</formula>
    </cfRule>
  </conditionalFormatting>
  <conditionalFormatting sqref="H1162">
    <cfRule type="containsText" dxfId="8980" priority="11486" operator="containsText" text="Missing">
      <formula>NOT(ISERROR(SEARCH("Missing",H1162)))</formula>
    </cfRule>
  </conditionalFormatting>
  <conditionalFormatting sqref="H1082">
    <cfRule type="containsText" dxfId="8979" priority="11503" operator="containsText" text="Missing">
      <formula>NOT(ISERROR(SEARCH("Missing",H1082)))</formula>
    </cfRule>
  </conditionalFormatting>
  <conditionalFormatting sqref="H1083">
    <cfRule type="containsText" dxfId="8978" priority="11502" operator="containsText" text="Missing">
      <formula>NOT(ISERROR(SEARCH("Missing",H1083)))</formula>
    </cfRule>
  </conditionalFormatting>
  <conditionalFormatting sqref="H1198:H1200">
    <cfRule type="containsText" dxfId="8977" priority="11484" operator="containsText" text="Missing">
      <formula>NOT(ISERROR(SEARCH("Missing",H1198)))</formula>
    </cfRule>
  </conditionalFormatting>
  <conditionalFormatting sqref="H1090">
    <cfRule type="containsText" dxfId="8976" priority="11501" operator="containsText" text="Missing">
      <formula>NOT(ISERROR(SEARCH("Missing",H1090)))</formula>
    </cfRule>
  </conditionalFormatting>
  <conditionalFormatting sqref="H1149">
    <cfRule type="containsText" dxfId="8975" priority="11488" operator="containsText" text="Missing">
      <formula>NOT(ISERROR(SEARCH("Missing",H1149)))</formula>
    </cfRule>
  </conditionalFormatting>
  <conditionalFormatting sqref="H1125">
    <cfRule type="containsText" dxfId="8974" priority="11498" operator="containsText" text="Missing">
      <formula>NOT(ISERROR(SEARCH("Missing",H1125)))</formula>
    </cfRule>
  </conditionalFormatting>
  <conditionalFormatting sqref="H1148">
    <cfRule type="containsText" dxfId="8973" priority="11487" operator="containsText" text="Missing">
      <formula>NOT(ISERROR(SEARCH("Missing",H1148)))</formula>
    </cfRule>
  </conditionalFormatting>
  <conditionalFormatting sqref="H1226">
    <cfRule type="containsText" dxfId="8972" priority="11482" operator="containsText" text="Missing">
      <formula>NOT(ISERROR(SEARCH("Missing",H1226)))</formula>
    </cfRule>
  </conditionalFormatting>
  <conditionalFormatting sqref="H1166">
    <cfRule type="containsText" dxfId="8971" priority="11485" operator="containsText" text="Missing">
      <formula>NOT(ISERROR(SEARCH("Missing",H1166)))</formula>
    </cfRule>
  </conditionalFormatting>
  <conditionalFormatting sqref="H1123">
    <cfRule type="containsText" dxfId="8970" priority="11500" operator="containsText" text="Missing">
      <formula>NOT(ISERROR(SEARCH("Missing",H1123)))</formula>
    </cfRule>
  </conditionalFormatting>
  <conditionalFormatting sqref="H1126">
    <cfRule type="containsText" dxfId="8969" priority="11497" operator="containsText" text="Missing">
      <formula>NOT(ISERROR(SEARCH("Missing",H1126)))</formula>
    </cfRule>
  </conditionalFormatting>
  <conditionalFormatting sqref="H1124">
    <cfRule type="containsText" dxfId="8968" priority="11499" operator="containsText" text="Missing">
      <formula>NOT(ISERROR(SEARCH("Missing",H1124)))</formula>
    </cfRule>
  </conditionalFormatting>
  <conditionalFormatting sqref="H1138">
    <cfRule type="containsText" dxfId="8967" priority="11495" operator="containsText" text="Missing">
      <formula>NOT(ISERROR(SEARCH("Missing",H1138)))</formula>
    </cfRule>
  </conditionalFormatting>
  <conditionalFormatting sqref="H1127">
    <cfRule type="containsText" dxfId="8966" priority="11496" operator="containsText" text="Missing">
      <formula>NOT(ISERROR(SEARCH("Missing",H1127)))</formula>
    </cfRule>
  </conditionalFormatting>
  <conditionalFormatting sqref="H1146">
    <cfRule type="containsText" dxfId="8965" priority="11490" operator="containsText" text="Missing">
      <formula>NOT(ISERROR(SEARCH("Missing",H1146)))</formula>
    </cfRule>
  </conditionalFormatting>
  <conditionalFormatting sqref="H1142">
    <cfRule type="containsText" dxfId="8964" priority="11494" operator="containsText" text="Missing">
      <formula>NOT(ISERROR(SEARCH("Missing",H1142)))</formula>
    </cfRule>
  </conditionalFormatting>
  <conditionalFormatting sqref="H1143">
    <cfRule type="containsText" dxfId="8963" priority="11493" operator="containsText" text="Missing">
      <formula>NOT(ISERROR(SEARCH("Missing",H1143)))</formula>
    </cfRule>
  </conditionalFormatting>
  <conditionalFormatting sqref="H1145">
    <cfRule type="containsText" dxfId="8962" priority="11491" operator="containsText" text="Missing">
      <formula>NOT(ISERROR(SEARCH("Missing",H1145)))</formula>
    </cfRule>
  </conditionalFormatting>
  <conditionalFormatting sqref="H1144">
    <cfRule type="containsText" dxfId="8961" priority="11492" operator="containsText" text="Missing">
      <formula>NOT(ISERROR(SEARCH("Missing",H1144)))</formula>
    </cfRule>
  </conditionalFormatting>
  <conditionalFormatting sqref="H1227">
    <cfRule type="containsText" dxfId="8960" priority="11479" operator="containsText" text="Missing">
      <formula>NOT(ISERROR(SEARCH("Missing",H1227)))</formula>
    </cfRule>
  </conditionalFormatting>
  <conditionalFormatting sqref="H1224">
    <cfRule type="containsText" dxfId="8959" priority="11481" operator="containsText" text="Missing">
      <formula>NOT(ISERROR(SEARCH("Missing",H1224)))</formula>
    </cfRule>
  </conditionalFormatting>
  <conditionalFormatting sqref="H1223">
    <cfRule type="containsText" dxfId="8958" priority="11483" operator="containsText" text="Missing">
      <formula>NOT(ISERROR(SEARCH("Missing",H1223)))</formula>
    </cfRule>
  </conditionalFormatting>
  <conditionalFormatting sqref="H1229">
    <cfRule type="containsText" dxfId="8957" priority="11477" operator="containsText" text="Missing">
      <formula>NOT(ISERROR(SEARCH("Missing",H1229)))</formula>
    </cfRule>
  </conditionalFormatting>
  <conditionalFormatting sqref="J1242:K1242">
    <cfRule type="containsText" dxfId="8956" priority="11464" operator="containsText" text="Missing">
      <formula>NOT(ISERROR(SEARCH("Missing",J1242)))</formula>
    </cfRule>
  </conditionalFormatting>
  <conditionalFormatting sqref="H1230">
    <cfRule type="containsText" dxfId="8955" priority="11478" operator="containsText" text="Missing">
      <formula>NOT(ISERROR(SEARCH("Missing",H1230)))</formula>
    </cfRule>
  </conditionalFormatting>
  <conditionalFormatting sqref="J1235:K1235">
    <cfRule type="containsText" dxfId="8954" priority="11474" operator="containsText" text="Missing">
      <formula>NOT(ISERROR(SEARCH("Missing",J1235)))</formula>
    </cfRule>
  </conditionalFormatting>
  <conditionalFormatting sqref="J1236:K1237">
    <cfRule type="containsText" dxfId="8953" priority="11473" operator="containsText" text="Missing">
      <formula>NOT(ISERROR(SEARCH("Missing",J1236)))</formula>
    </cfRule>
  </conditionalFormatting>
  <conditionalFormatting sqref="J1239:K1240">
    <cfRule type="containsText" dxfId="8952" priority="11467" operator="containsText" text="Missing">
      <formula>NOT(ISERROR(SEARCH("Missing",J1239)))</formula>
    </cfRule>
  </conditionalFormatting>
  <conditionalFormatting sqref="L1235:L1237">
    <cfRule type="containsText" dxfId="8951" priority="11475" operator="containsText" text="Positive">
      <formula>NOT(ISERROR(SEARCH("Positive",L1235)))</formula>
    </cfRule>
    <cfRule type="containsText" dxfId="8950" priority="11476" operator="containsText" text="Negative">
      <formula>NOT(ISERROR(SEARCH("Negative",L1235)))</formula>
    </cfRule>
  </conditionalFormatting>
  <conditionalFormatting sqref="I1239">
    <cfRule type="containsText" dxfId="8949" priority="11472" operator="containsText" text="Missing">
      <formula>NOT(ISERROR(SEARCH("Missing",I1239)))</formula>
    </cfRule>
  </conditionalFormatting>
  <conditionalFormatting sqref="I1238 I1240">
    <cfRule type="containsText" dxfId="8948" priority="11471" operator="containsText" text="Missing">
      <formula>NOT(ISERROR(SEARCH("Missing",I1238)))</formula>
    </cfRule>
  </conditionalFormatting>
  <conditionalFormatting sqref="J1238:K1238">
    <cfRule type="containsText" dxfId="8947" priority="11468" operator="containsText" text="Missing">
      <formula>NOT(ISERROR(SEARCH("Missing",J1238)))</formula>
    </cfRule>
  </conditionalFormatting>
  <conditionalFormatting sqref="L1238:L1240">
    <cfRule type="containsText" dxfId="8946" priority="11469" operator="containsText" text="Positive">
      <formula>NOT(ISERROR(SEARCH("Positive",L1238)))</formula>
    </cfRule>
    <cfRule type="containsText" dxfId="8945" priority="11470" operator="containsText" text="Negative">
      <formula>NOT(ISERROR(SEARCH("Negative",L1238)))</formula>
    </cfRule>
  </conditionalFormatting>
  <conditionalFormatting sqref="L1242:L1244">
    <cfRule type="containsText" dxfId="8944" priority="11465" operator="containsText" text="Positive">
      <formula>NOT(ISERROR(SEARCH("Positive",L1242)))</formula>
    </cfRule>
    <cfRule type="containsText" dxfId="8943" priority="11466" operator="containsText" text="Negative">
      <formula>NOT(ISERROR(SEARCH("Negative",L1242)))</formula>
    </cfRule>
  </conditionalFormatting>
  <conditionalFormatting sqref="I1243 I1247">
    <cfRule type="containsText" dxfId="8942" priority="11462" operator="containsText" text="Missing">
      <formula>NOT(ISERROR(SEARCH("Missing",I1243)))</formula>
    </cfRule>
  </conditionalFormatting>
  <conditionalFormatting sqref="J1243:K1244">
    <cfRule type="containsText" dxfId="8941" priority="11463" operator="containsText" text="Missing">
      <formula>NOT(ISERROR(SEARCH("Missing",J1243)))</formula>
    </cfRule>
  </conditionalFormatting>
  <conditionalFormatting sqref="I1242 I1248 I1244:I1246">
    <cfRule type="containsText" dxfId="8940" priority="11461" operator="containsText" text="Missing">
      <formula>NOT(ISERROR(SEARCH("Missing",I1242)))</formula>
    </cfRule>
  </conditionalFormatting>
  <conditionalFormatting sqref="J1247:K1248">
    <cfRule type="containsText" dxfId="8939" priority="11457" operator="containsText" text="Missing">
      <formula>NOT(ISERROR(SEARCH("Missing",J1247)))</formula>
    </cfRule>
  </conditionalFormatting>
  <conditionalFormatting sqref="J1250:K1251">
    <cfRule type="containsText" dxfId="8938" priority="11451" operator="containsText" text="Missing">
      <formula>NOT(ISERROR(SEARCH("Missing",J1250)))</formula>
    </cfRule>
  </conditionalFormatting>
  <conditionalFormatting sqref="J1246:K1246">
    <cfRule type="containsText" dxfId="8937" priority="11458" operator="containsText" text="Missing">
      <formula>NOT(ISERROR(SEARCH("Missing",J1246)))</formula>
    </cfRule>
  </conditionalFormatting>
  <conditionalFormatting sqref="L1246:L1248">
    <cfRule type="containsText" dxfId="8936" priority="11459" operator="containsText" text="Positive">
      <formula>NOT(ISERROR(SEARCH("Positive",L1246)))</formula>
    </cfRule>
    <cfRule type="containsText" dxfId="8935" priority="11460" operator="containsText" text="Negative">
      <formula>NOT(ISERROR(SEARCH("Negative",L1246)))</formula>
    </cfRule>
  </conditionalFormatting>
  <conditionalFormatting sqref="I1250">
    <cfRule type="containsText" dxfId="8934" priority="11456" operator="containsText" text="Missing">
      <formula>NOT(ISERROR(SEARCH("Missing",I1250)))</formula>
    </cfRule>
  </conditionalFormatting>
  <conditionalFormatting sqref="I1249 I1251">
    <cfRule type="containsText" dxfId="8933" priority="11455" operator="containsText" text="Missing">
      <formula>NOT(ISERROR(SEARCH("Missing",I1249)))</formula>
    </cfRule>
  </conditionalFormatting>
  <conditionalFormatting sqref="J1249:K1249">
    <cfRule type="containsText" dxfId="8932" priority="11452" operator="containsText" text="Missing">
      <formula>NOT(ISERROR(SEARCH("Missing",J1249)))</formula>
    </cfRule>
  </conditionalFormatting>
  <conditionalFormatting sqref="L1249:L1251">
    <cfRule type="containsText" dxfId="8931" priority="11453" operator="containsText" text="Positive">
      <formula>NOT(ISERROR(SEARCH("Positive",L1249)))</formula>
    </cfRule>
    <cfRule type="containsText" dxfId="8930" priority="11454" operator="containsText" text="Negative">
      <formula>NOT(ISERROR(SEARCH("Negative",L1249)))</formula>
    </cfRule>
  </conditionalFormatting>
  <conditionalFormatting sqref="H1231:H1233 H1242:H1244 H1235:H1240 H1246:H1251">
    <cfRule type="containsText" dxfId="8929" priority="11450" operator="containsText" text="Missing">
      <formula>NOT(ISERROR(SEARCH("Missing",H1231)))</formula>
    </cfRule>
  </conditionalFormatting>
  <conditionalFormatting sqref="J1049:K1049">
    <cfRule type="containsText" dxfId="8928" priority="11443" operator="containsText" text="Missing">
      <formula>NOT(ISERROR(SEARCH("Missing",J1049)))</formula>
    </cfRule>
  </conditionalFormatting>
  <conditionalFormatting sqref="J1047:K1047">
    <cfRule type="containsText" dxfId="8927" priority="11449" operator="containsText" text="Missing">
      <formula>NOT(ISERROR(SEARCH("Missing",J1047)))</formula>
    </cfRule>
  </conditionalFormatting>
  <conditionalFormatting sqref="J1048:K1048">
    <cfRule type="containsText" dxfId="8926" priority="11446" operator="containsText" text="Missing">
      <formula>NOT(ISERROR(SEARCH("Missing",J1048)))</formula>
    </cfRule>
  </conditionalFormatting>
  <conditionalFormatting sqref="I1048">
    <cfRule type="containsText" dxfId="8925" priority="11440" operator="containsText" text="Missing">
      <formula>NOT(ISERROR(SEARCH("Missing",I1048)))</formula>
    </cfRule>
  </conditionalFormatting>
  <conditionalFormatting sqref="L1047">
    <cfRule type="containsText" dxfId="8924" priority="11447" operator="containsText" text="Positive">
      <formula>NOT(ISERROR(SEARCH("Positive",L1047)))</formula>
    </cfRule>
    <cfRule type="containsText" dxfId="8923" priority="11448" operator="containsText" text="Negative">
      <formula>NOT(ISERROR(SEARCH("Negative",L1047)))</formula>
    </cfRule>
  </conditionalFormatting>
  <conditionalFormatting sqref="L1048">
    <cfRule type="containsText" dxfId="8922" priority="11444" operator="containsText" text="Positive">
      <formula>NOT(ISERROR(SEARCH("Positive",L1048)))</formula>
    </cfRule>
    <cfRule type="containsText" dxfId="8921" priority="11445" operator="containsText" text="Negative">
      <formula>NOT(ISERROR(SEARCH("Negative",L1048)))</formula>
    </cfRule>
  </conditionalFormatting>
  <conditionalFormatting sqref="I1047">
    <cfRule type="containsText" dxfId="8920" priority="11442" operator="containsText" text="Missing">
      <formula>NOT(ISERROR(SEARCH("Missing",I1047)))</formula>
    </cfRule>
  </conditionalFormatting>
  <conditionalFormatting sqref="I1049">
    <cfRule type="containsText" dxfId="8919" priority="11441" operator="containsText" text="Missing">
      <formula>NOT(ISERROR(SEARCH("Missing",I1049)))</formula>
    </cfRule>
  </conditionalFormatting>
  <conditionalFormatting sqref="L1049">
    <cfRule type="containsText" dxfId="8918" priority="11438" operator="containsText" text="Positive">
      <formula>NOT(ISERROR(SEARCH("Positive",L1049)))</formula>
    </cfRule>
    <cfRule type="containsText" dxfId="8917" priority="11439" operator="containsText" text="Negative">
      <formula>NOT(ISERROR(SEARCH("Negative",L1049)))</formula>
    </cfRule>
  </conditionalFormatting>
  <conditionalFormatting sqref="H1049">
    <cfRule type="containsText" dxfId="8916" priority="11435" operator="containsText" text="Missing">
      <formula>NOT(ISERROR(SEARCH("Missing",H1049)))</formula>
    </cfRule>
  </conditionalFormatting>
  <conditionalFormatting sqref="H1048">
    <cfRule type="containsText" dxfId="8915" priority="11436" operator="containsText" text="Missing">
      <formula>NOT(ISERROR(SEARCH("Missing",H1048)))</formula>
    </cfRule>
  </conditionalFormatting>
  <conditionalFormatting sqref="H1047">
    <cfRule type="containsText" dxfId="8914" priority="11437" operator="containsText" text="Missing">
      <formula>NOT(ISERROR(SEARCH("Missing",H1047)))</formula>
    </cfRule>
  </conditionalFormatting>
  <conditionalFormatting sqref="H1012">
    <cfRule type="containsText" dxfId="8913" priority="11413" operator="containsText" text="Missing">
      <formula>NOT(ISERROR(SEARCH("Missing",H1012)))</formula>
    </cfRule>
  </conditionalFormatting>
  <conditionalFormatting sqref="L1007">
    <cfRule type="containsText" dxfId="8912" priority="11433" operator="containsText" text="Positive">
      <formula>NOT(ISERROR(SEARCH("Positive",L1007)))</formula>
    </cfRule>
    <cfRule type="containsText" dxfId="8911" priority="11434" operator="containsText" text="Negative">
      <formula>NOT(ISERROR(SEARCH("Negative",L1007)))</formula>
    </cfRule>
  </conditionalFormatting>
  <conditionalFormatting sqref="J1006:K1006">
    <cfRule type="containsText" dxfId="8910" priority="11432" operator="containsText" text="Missing">
      <formula>NOT(ISERROR(SEARCH("Missing",J1006)))</formula>
    </cfRule>
  </conditionalFormatting>
  <conditionalFormatting sqref="L1006">
    <cfRule type="containsText" dxfId="8909" priority="11430" operator="containsText" text="Positive">
      <formula>NOT(ISERROR(SEARCH("Positive",L1006)))</formula>
    </cfRule>
    <cfRule type="containsText" dxfId="8908" priority="11431" operator="containsText" text="Negative">
      <formula>NOT(ISERROR(SEARCH("Negative",L1006)))</formula>
    </cfRule>
  </conditionalFormatting>
  <conditionalFormatting sqref="J1007:K1007">
    <cfRule type="containsText" dxfId="8907" priority="11428" operator="containsText" text="Missing">
      <formula>NOT(ISERROR(SEARCH("Missing",J1007)))</formula>
    </cfRule>
  </conditionalFormatting>
  <conditionalFormatting sqref="H1006">
    <cfRule type="containsText" dxfId="8906" priority="11429" operator="containsText" text="Missing">
      <formula>NOT(ISERROR(SEARCH("Missing",H1006)))</formula>
    </cfRule>
  </conditionalFormatting>
  <conditionalFormatting sqref="J1008:K1010">
    <cfRule type="containsText" dxfId="8905" priority="11427" operator="containsText" text="Missing">
      <formula>NOT(ISERROR(SEARCH("Missing",J1008)))</formula>
    </cfRule>
  </conditionalFormatting>
  <conditionalFormatting sqref="L1008:L1010">
    <cfRule type="containsText" dxfId="8904" priority="11425" operator="containsText" text="Positive">
      <formula>NOT(ISERROR(SEARCH("Positive",L1008)))</formula>
    </cfRule>
    <cfRule type="containsText" dxfId="8903" priority="11426" operator="containsText" text="Negative">
      <formula>NOT(ISERROR(SEARCH("Negative",L1008)))</formula>
    </cfRule>
  </conditionalFormatting>
  <conditionalFormatting sqref="H1008">
    <cfRule type="containsText" dxfId="8902" priority="11423" operator="containsText" text="Missing">
      <formula>NOT(ISERROR(SEARCH("Missing",H1008)))</formula>
    </cfRule>
  </conditionalFormatting>
  <conditionalFormatting sqref="H1009">
    <cfRule type="containsText" dxfId="8901" priority="11422" operator="containsText" text="Missing">
      <formula>NOT(ISERROR(SEARCH("Missing",H1009)))</formula>
    </cfRule>
  </conditionalFormatting>
  <conditionalFormatting sqref="H1007">
    <cfRule type="containsText" dxfId="8900" priority="11424" operator="containsText" text="Missing">
      <formula>NOT(ISERROR(SEARCH("Missing",H1007)))</formula>
    </cfRule>
  </conditionalFormatting>
  <conditionalFormatting sqref="H1010">
    <cfRule type="containsText" dxfId="8899" priority="11421" operator="containsText" text="Missing">
      <formula>NOT(ISERROR(SEARCH("Missing",H1010)))</formula>
    </cfRule>
  </conditionalFormatting>
  <conditionalFormatting sqref="J1011:K1011">
    <cfRule type="containsText" dxfId="8898" priority="11418" operator="containsText" text="Missing">
      <formula>NOT(ISERROR(SEARCH("Missing",J1011)))</formula>
    </cfRule>
  </conditionalFormatting>
  <conditionalFormatting sqref="L1012">
    <cfRule type="containsText" dxfId="8897" priority="11419" operator="containsText" text="Positive">
      <formula>NOT(ISERROR(SEARCH("Positive",L1012)))</formula>
    </cfRule>
    <cfRule type="containsText" dxfId="8896" priority="11420" operator="containsText" text="Negative">
      <formula>NOT(ISERROR(SEARCH("Negative",L1012)))</formula>
    </cfRule>
  </conditionalFormatting>
  <conditionalFormatting sqref="J1172:K1172">
    <cfRule type="containsText" dxfId="8895" priority="11400" operator="containsText" text="Missing">
      <formula>NOT(ISERROR(SEARCH("Missing",J1172)))</formula>
    </cfRule>
  </conditionalFormatting>
  <conditionalFormatting sqref="L1011">
    <cfRule type="containsText" dxfId="8894" priority="11416" operator="containsText" text="Positive">
      <formula>NOT(ISERROR(SEARCH("Positive",L1011)))</formula>
    </cfRule>
    <cfRule type="containsText" dxfId="8893" priority="11417" operator="containsText" text="Negative">
      <formula>NOT(ISERROR(SEARCH("Negative",L1011)))</formula>
    </cfRule>
  </conditionalFormatting>
  <conditionalFormatting sqref="J1012:K1012">
    <cfRule type="containsText" dxfId="8892" priority="11414" operator="containsText" text="Missing">
      <formula>NOT(ISERROR(SEARCH("Missing",J1012)))</formula>
    </cfRule>
  </conditionalFormatting>
  <conditionalFormatting sqref="H1011">
    <cfRule type="containsText" dxfId="8891" priority="11415" operator="containsText" text="Missing">
      <formula>NOT(ISERROR(SEARCH("Missing",H1011)))</formula>
    </cfRule>
  </conditionalFormatting>
  <conditionalFormatting sqref="H1013">
    <cfRule type="containsText" dxfId="8890" priority="11412" operator="containsText" text="Missing">
      <formula>NOT(ISERROR(SEARCH("Missing",H1013)))</formula>
    </cfRule>
  </conditionalFormatting>
  <conditionalFormatting sqref="H1014">
    <cfRule type="containsText" dxfId="8889" priority="11411" operator="containsText" text="Missing">
      <formula>NOT(ISERROR(SEARCH("Missing",H1014)))</formula>
    </cfRule>
  </conditionalFormatting>
  <conditionalFormatting sqref="L1091">
    <cfRule type="containsText" dxfId="8888" priority="11409" operator="containsText" text="Positive">
      <formula>NOT(ISERROR(SEARCH("Positive",L1091)))</formula>
    </cfRule>
    <cfRule type="containsText" dxfId="8887" priority="11410" operator="containsText" text="Negative">
      <formula>NOT(ISERROR(SEARCH("Negative",L1091)))</formula>
    </cfRule>
  </conditionalFormatting>
  <conditionalFormatting sqref="I1091">
    <cfRule type="containsText" dxfId="8886" priority="11408" operator="containsText" text="Missing">
      <formula>NOT(ISERROR(SEARCH("Missing",I1091)))</formula>
    </cfRule>
  </conditionalFormatting>
  <conditionalFormatting sqref="H1091">
    <cfRule type="containsText" dxfId="8885" priority="11407" operator="containsText" text="Missing">
      <formula>NOT(ISERROR(SEARCH("Missing",H1091)))</formula>
    </cfRule>
  </conditionalFormatting>
  <conditionalFormatting sqref="L1066">
    <cfRule type="containsText" dxfId="8884" priority="11405" operator="containsText" text="Positive">
      <formula>NOT(ISERROR(SEARCH("Positive",L1066)))</formula>
    </cfRule>
    <cfRule type="containsText" dxfId="8883" priority="11406" operator="containsText" text="Negative">
      <formula>NOT(ISERROR(SEARCH("Negative",L1066)))</formula>
    </cfRule>
  </conditionalFormatting>
  <conditionalFormatting sqref="L1061">
    <cfRule type="containsText" dxfId="8882" priority="11403" operator="containsText" text="Positive">
      <formula>NOT(ISERROR(SEARCH("Positive",L1061)))</formula>
    </cfRule>
    <cfRule type="containsText" dxfId="8881" priority="11404" operator="containsText" text="Negative">
      <formula>NOT(ISERROR(SEARCH("Negative",L1061)))</formula>
    </cfRule>
  </conditionalFormatting>
  <conditionalFormatting sqref="H1060">
    <cfRule type="containsText" dxfId="8880" priority="11402" operator="containsText" text="Missing">
      <formula>NOT(ISERROR(SEARCH("Missing",H1060)))</formula>
    </cfRule>
  </conditionalFormatting>
  <conditionalFormatting sqref="H1061">
    <cfRule type="containsText" dxfId="8879" priority="11401" operator="containsText" text="Missing">
      <formula>NOT(ISERROR(SEARCH("Missing",H1061)))</formula>
    </cfRule>
  </conditionalFormatting>
  <conditionalFormatting sqref="L1206">
    <cfRule type="containsText" dxfId="8878" priority="11392" operator="containsText" text="Positive">
      <formula>NOT(ISERROR(SEARCH("Positive",L1206)))</formula>
    </cfRule>
    <cfRule type="containsText" dxfId="8877" priority="11393" operator="containsText" text="Negative">
      <formula>NOT(ISERROR(SEARCH("Negative",L1206)))</formula>
    </cfRule>
  </conditionalFormatting>
  <conditionalFormatting sqref="L1172">
    <cfRule type="containsText" dxfId="8876" priority="11398" operator="containsText" text="Positive">
      <formula>NOT(ISERROR(SEARCH("Positive",L1172)))</formula>
    </cfRule>
    <cfRule type="containsText" dxfId="8875" priority="11399" operator="containsText" text="Negative">
      <formula>NOT(ISERROR(SEARCH("Negative",L1172)))</formula>
    </cfRule>
  </conditionalFormatting>
  <conditionalFormatting sqref="I1172">
    <cfRule type="containsText" dxfId="8874" priority="11397" operator="containsText" text="Missing">
      <formula>NOT(ISERROR(SEARCH("Missing",I1172)))</formula>
    </cfRule>
  </conditionalFormatting>
  <conditionalFormatting sqref="H1172">
    <cfRule type="containsText" dxfId="8873" priority="11395" operator="containsText" text="Missing">
      <formula>NOT(ISERROR(SEARCH("Missing",H1172)))</formula>
    </cfRule>
  </conditionalFormatting>
  <conditionalFormatting sqref="H1202">
    <cfRule type="containsText" dxfId="8872" priority="11387" operator="containsText" text="Missing">
      <formula>NOT(ISERROR(SEARCH("Missing",H1202)))</formula>
    </cfRule>
  </conditionalFormatting>
  <conditionalFormatting sqref="H1171">
    <cfRule type="containsText" dxfId="8871" priority="11396" operator="containsText" text="Missing">
      <formula>NOT(ISERROR(SEARCH("Missing",H1171)))</formula>
    </cfRule>
  </conditionalFormatting>
  <conditionalFormatting sqref="I1252">
    <cfRule type="containsText" dxfId="8870" priority="11377" operator="containsText" text="Missing">
      <formula>NOT(ISERROR(SEARCH("Missing",I1252)))</formula>
    </cfRule>
  </conditionalFormatting>
  <conditionalFormatting sqref="H1206:K1206">
    <cfRule type="containsText" dxfId="8869" priority="11394" operator="containsText" text="Missing">
      <formula>NOT(ISERROR(SEARCH("Missing",H1206)))</formula>
    </cfRule>
  </conditionalFormatting>
  <conditionalFormatting sqref="L1241">
    <cfRule type="containsText" dxfId="8868" priority="11384" operator="containsText" text="Positive">
      <formula>NOT(ISERROR(SEARCH("Positive",L1241)))</formula>
    </cfRule>
    <cfRule type="containsText" dxfId="8867" priority="11385" operator="containsText" text="Negative">
      <formula>NOT(ISERROR(SEARCH("Negative",L1241)))</formula>
    </cfRule>
  </conditionalFormatting>
  <conditionalFormatting sqref="J1202:K1202">
    <cfRule type="containsText" dxfId="8866" priority="11391" operator="containsText" text="Missing">
      <formula>NOT(ISERROR(SEARCH("Missing",J1202)))</formula>
    </cfRule>
  </conditionalFormatting>
  <conditionalFormatting sqref="L1202">
    <cfRule type="containsText" dxfId="8865" priority="11389" operator="containsText" text="Positive">
      <formula>NOT(ISERROR(SEARCH("Positive",L1202)))</formula>
    </cfRule>
    <cfRule type="containsText" dxfId="8864" priority="11390" operator="containsText" text="Negative">
      <formula>NOT(ISERROR(SEARCH("Negative",L1202)))</formula>
    </cfRule>
  </conditionalFormatting>
  <conditionalFormatting sqref="I1202">
    <cfRule type="containsText" dxfId="8863" priority="11388" operator="containsText" text="Missing">
      <formula>NOT(ISERROR(SEARCH("Missing",I1202)))</formula>
    </cfRule>
  </conditionalFormatting>
  <conditionalFormatting sqref="I1056">
    <cfRule type="containsText" dxfId="8862" priority="11373" operator="containsText" text="Missing">
      <formula>NOT(ISERROR(SEARCH("Missing",I1056)))</formula>
    </cfRule>
  </conditionalFormatting>
  <conditionalFormatting sqref="J1241:K1241">
    <cfRule type="containsText" dxfId="8861" priority="11386" operator="containsText" text="Missing">
      <formula>NOT(ISERROR(SEARCH("Missing",J1241)))</formula>
    </cfRule>
  </conditionalFormatting>
  <conditionalFormatting sqref="L1252">
    <cfRule type="containsText" dxfId="8860" priority="11381" operator="containsText" text="Positive">
      <formula>NOT(ISERROR(SEARCH("Positive",L1252)))</formula>
    </cfRule>
    <cfRule type="containsText" dxfId="8859" priority="11382" operator="containsText" text="Negative">
      <formula>NOT(ISERROR(SEARCH("Negative",L1252)))</formula>
    </cfRule>
  </conditionalFormatting>
  <conditionalFormatting sqref="J1252:K1252">
    <cfRule type="containsText" dxfId="8858" priority="11383" operator="containsText" text="Missing">
      <formula>NOT(ISERROR(SEARCH("Missing",J1252)))</formula>
    </cfRule>
  </conditionalFormatting>
  <conditionalFormatting sqref="H1241">
    <cfRule type="containsText" dxfId="8857" priority="11380" operator="containsText" text="Missing">
      <formula>NOT(ISERROR(SEARCH("Missing",H1241)))</formula>
    </cfRule>
  </conditionalFormatting>
  <conditionalFormatting sqref="H1252">
    <cfRule type="containsText" dxfId="8856" priority="11378" operator="containsText" text="Missing">
      <formula>NOT(ISERROR(SEARCH("Missing",H1252)))</formula>
    </cfRule>
  </conditionalFormatting>
  <conditionalFormatting sqref="I1086">
    <cfRule type="containsText" dxfId="8855" priority="11368" operator="containsText" text="Missing">
      <formula>NOT(ISERROR(SEARCH("Missing",I1086)))</formula>
    </cfRule>
  </conditionalFormatting>
  <conditionalFormatting sqref="L1056">
    <cfRule type="containsText" dxfId="8854" priority="11375" operator="containsText" text="Positive">
      <formula>NOT(ISERROR(SEARCH("Positive",L1056)))</formula>
    </cfRule>
    <cfRule type="containsText" dxfId="8853" priority="11376" operator="containsText" text="Negative">
      <formula>NOT(ISERROR(SEARCH("Negative",L1056)))</formula>
    </cfRule>
  </conditionalFormatting>
  <conditionalFormatting sqref="J1086:K1086">
    <cfRule type="containsText" dxfId="8852" priority="11372" operator="containsText" text="Missing">
      <formula>NOT(ISERROR(SEARCH("Missing",J1086)))</formula>
    </cfRule>
  </conditionalFormatting>
  <conditionalFormatting sqref="L1086">
    <cfRule type="containsText" dxfId="8851" priority="11370" operator="containsText" text="Positive">
      <formula>NOT(ISERROR(SEARCH("Positive",L1086)))</formula>
    </cfRule>
    <cfRule type="containsText" dxfId="8850" priority="11371" operator="containsText" text="Negative">
      <formula>NOT(ISERROR(SEARCH("Negative",L1086)))</formula>
    </cfRule>
  </conditionalFormatting>
  <conditionalFormatting sqref="H1056">
    <cfRule type="containsText" dxfId="8849" priority="11374" operator="containsText" text="Missing">
      <formula>NOT(ISERROR(SEARCH("Missing",H1056)))</formula>
    </cfRule>
  </conditionalFormatting>
  <conditionalFormatting sqref="I1167">
    <cfRule type="containsText" dxfId="8848" priority="11363" operator="containsText" text="Missing">
      <formula>NOT(ISERROR(SEARCH("Missing",I1167)))</formula>
    </cfRule>
  </conditionalFormatting>
  <conditionalFormatting sqref="J1234:K1234">
    <cfRule type="containsText" dxfId="8847" priority="11357" operator="containsText" text="Missing">
      <formula>NOT(ISERROR(SEARCH("Missing",J1234)))</formula>
    </cfRule>
  </conditionalFormatting>
  <conditionalFormatting sqref="J1167:K1167">
    <cfRule type="containsText" dxfId="8846" priority="11367" operator="containsText" text="Missing">
      <formula>NOT(ISERROR(SEARCH("Missing",J1167)))</formula>
    </cfRule>
  </conditionalFormatting>
  <conditionalFormatting sqref="L1167">
    <cfRule type="containsText" dxfId="8845" priority="11365" operator="containsText" text="Positive">
      <formula>NOT(ISERROR(SEARCH("Positive",L1167)))</formula>
    </cfRule>
    <cfRule type="containsText" dxfId="8844" priority="11366" operator="containsText" text="Negative">
      <formula>NOT(ISERROR(SEARCH("Negative",L1167)))</formula>
    </cfRule>
  </conditionalFormatting>
  <conditionalFormatting sqref="H1086">
    <cfRule type="containsText" dxfId="8843" priority="11369" operator="containsText" text="Missing">
      <formula>NOT(ISERROR(SEARCH("Missing",H1086)))</formula>
    </cfRule>
  </conditionalFormatting>
  <conditionalFormatting sqref="I1197">
    <cfRule type="containsText" dxfId="8842" priority="11358" operator="containsText" text="Missing">
      <formula>NOT(ISERROR(SEARCH("Missing",I1197)))</formula>
    </cfRule>
  </conditionalFormatting>
  <conditionalFormatting sqref="J1197:K1197">
    <cfRule type="containsText" dxfId="8841" priority="11362" operator="containsText" text="Missing">
      <formula>NOT(ISERROR(SEARCH("Missing",J1197)))</formula>
    </cfRule>
  </conditionalFormatting>
  <conditionalFormatting sqref="H1234">
    <cfRule type="containsText" dxfId="8840" priority="11353" operator="containsText" text="Missing">
      <formula>NOT(ISERROR(SEARCH("Missing",H1234)))</formula>
    </cfRule>
  </conditionalFormatting>
  <conditionalFormatting sqref="L1197">
    <cfRule type="containsText" dxfId="8839" priority="11360" operator="containsText" text="Positive">
      <formula>NOT(ISERROR(SEARCH("Positive",L1197)))</formula>
    </cfRule>
    <cfRule type="containsText" dxfId="8838" priority="11361" operator="containsText" text="Negative">
      <formula>NOT(ISERROR(SEARCH("Negative",L1197)))</formula>
    </cfRule>
  </conditionalFormatting>
  <conditionalFormatting sqref="I1234">
    <cfRule type="containsText" dxfId="8837" priority="11354" operator="containsText" text="Missing">
      <formula>NOT(ISERROR(SEARCH("Missing",I1234)))</formula>
    </cfRule>
  </conditionalFormatting>
  <conditionalFormatting sqref="J1245:K1245">
    <cfRule type="containsText" dxfId="8836" priority="11352" operator="containsText" text="Missing">
      <formula>NOT(ISERROR(SEARCH("Missing",J1245)))</formula>
    </cfRule>
  </conditionalFormatting>
  <conditionalFormatting sqref="H1245">
    <cfRule type="containsText" dxfId="8835" priority="11349" operator="containsText" text="Missing">
      <formula>NOT(ISERROR(SEARCH("Missing",H1245)))</formula>
    </cfRule>
  </conditionalFormatting>
  <conditionalFormatting sqref="L1245">
    <cfRule type="containsText" dxfId="8834" priority="11350" operator="containsText" text="Positive">
      <formula>NOT(ISERROR(SEARCH("Positive",L1245)))</formula>
    </cfRule>
    <cfRule type="containsText" dxfId="8833" priority="11351" operator="containsText" text="Negative">
      <formula>NOT(ISERROR(SEARCH("Negative",L1245)))</formula>
    </cfRule>
  </conditionalFormatting>
  <conditionalFormatting sqref="H1197">
    <cfRule type="containsText" dxfId="8832" priority="11359" operator="containsText" text="Missing">
      <formula>NOT(ISERROR(SEARCH("Missing",H1197)))</formula>
    </cfRule>
  </conditionalFormatting>
  <conditionalFormatting sqref="I1490">
    <cfRule type="containsText" dxfId="8831" priority="10686" operator="containsText" text="Missing">
      <formula>NOT(ISERROR(SEARCH("Missing",I1490)))</formula>
    </cfRule>
  </conditionalFormatting>
  <conditionalFormatting sqref="L1234">
    <cfRule type="containsText" dxfId="8830" priority="11355" operator="containsText" text="Positive">
      <formula>NOT(ISERROR(SEARCH("Positive",L1234)))</formula>
    </cfRule>
    <cfRule type="containsText" dxfId="8829" priority="11356" operator="containsText" text="Negative">
      <formula>NOT(ISERROR(SEARCH("Negative",L1234)))</formula>
    </cfRule>
  </conditionalFormatting>
  <conditionalFormatting sqref="H1028:K1029">
    <cfRule type="containsText" dxfId="8828" priority="11348" operator="containsText" text="Missing">
      <formula>NOT(ISERROR(SEARCH("Missing",H1028)))</formula>
    </cfRule>
  </conditionalFormatting>
  <conditionalFormatting sqref="L1028:L1029">
    <cfRule type="containsText" dxfId="8827" priority="11346" operator="containsText" text="Positive">
      <formula>NOT(ISERROR(SEARCH("Positive",L1028)))</formula>
    </cfRule>
    <cfRule type="containsText" dxfId="8826" priority="11347" operator="containsText" text="Negative">
      <formula>NOT(ISERROR(SEARCH("Negative",L1028)))</formula>
    </cfRule>
  </conditionalFormatting>
  <conditionalFormatting sqref="J1028:K1029">
    <cfRule type="containsText" dxfId="8825" priority="11343" operator="containsText" text="Missing">
      <formula>NOT(ISERROR(SEARCH("Missing",J1028)))</formula>
    </cfRule>
  </conditionalFormatting>
  <conditionalFormatting sqref="L1028:L1029">
    <cfRule type="containsText" dxfId="8824" priority="11344" operator="containsText" text="Positive">
      <formula>NOT(ISERROR(SEARCH("Positive",L1028)))</formula>
    </cfRule>
    <cfRule type="containsText" dxfId="8823" priority="11345" operator="containsText" text="Negative">
      <formula>NOT(ISERROR(SEARCH("Negative",L1028)))</formula>
    </cfRule>
  </conditionalFormatting>
  <conditionalFormatting sqref="H1028:H1029">
    <cfRule type="containsText" dxfId="8822" priority="11340" operator="containsText" text="Missing">
      <formula>NOT(ISERROR(SEARCH("Missing",H1028)))</formula>
    </cfRule>
  </conditionalFormatting>
  <conditionalFormatting sqref="L1028:L1029">
    <cfRule type="containsText" dxfId="8821" priority="11341" operator="containsText" text="Positive">
      <formula>NOT(ISERROR(SEARCH("Positive",L1028)))</formula>
    </cfRule>
    <cfRule type="containsText" dxfId="8820" priority="11342" operator="containsText" text="Negative">
      <formula>NOT(ISERROR(SEARCH("Negative",L1028)))</formula>
    </cfRule>
  </conditionalFormatting>
  <conditionalFormatting sqref="I1028:I1029">
    <cfRule type="containsText" dxfId="8819" priority="11339" operator="containsText" text="Missing">
      <formula>NOT(ISERROR(SEARCH("Missing",I1028)))</formula>
    </cfRule>
  </conditionalFormatting>
  <conditionalFormatting sqref="J1028:K1029">
    <cfRule type="containsText" dxfId="8818" priority="11338" operator="containsText" text="Missing">
      <formula>NOT(ISERROR(SEARCH("Missing",J1028)))</formula>
    </cfRule>
  </conditionalFormatting>
  <conditionalFormatting sqref="L1028:L1029">
    <cfRule type="containsText" dxfId="8817" priority="11336" operator="containsText" text="Positive">
      <formula>NOT(ISERROR(SEARCH("Positive",L1028)))</formula>
    </cfRule>
    <cfRule type="containsText" dxfId="8816" priority="11337" operator="containsText" text="Negative">
      <formula>NOT(ISERROR(SEARCH("Negative",L1028)))</formula>
    </cfRule>
  </conditionalFormatting>
  <conditionalFormatting sqref="I1028:I1029">
    <cfRule type="containsText" dxfId="8815" priority="11335" operator="containsText" text="Missing">
      <formula>NOT(ISERROR(SEARCH("Missing",I1028)))</formula>
    </cfRule>
  </conditionalFormatting>
  <conditionalFormatting sqref="H1028:H1029">
    <cfRule type="containsText" dxfId="8814" priority="11333" operator="containsText" text="Missing">
      <formula>NOT(ISERROR(SEARCH("Missing",H1028)))</formula>
    </cfRule>
  </conditionalFormatting>
  <conditionalFormatting sqref="H1028:H1029">
    <cfRule type="containsText" dxfId="8813" priority="11334" operator="containsText" text="Missing">
      <formula>NOT(ISERROR(SEARCH("Missing",H1028)))</formula>
    </cfRule>
  </conditionalFormatting>
  <conditionalFormatting sqref="L1084">
    <cfRule type="containsText" dxfId="8812" priority="11331" operator="containsText" text="Positive">
      <formula>NOT(ISERROR(SEARCH("Positive",L1084)))</formula>
    </cfRule>
    <cfRule type="containsText" dxfId="8811" priority="11332" operator="containsText" text="Negative">
      <formula>NOT(ISERROR(SEARCH("Negative",L1084)))</formula>
    </cfRule>
  </conditionalFormatting>
  <conditionalFormatting sqref="I1084">
    <cfRule type="containsText" dxfId="8810" priority="11329" operator="containsText" text="Missing">
      <formula>NOT(ISERROR(SEARCH("Missing",I1084)))</formula>
    </cfRule>
  </conditionalFormatting>
  <conditionalFormatting sqref="J1084:K1084">
    <cfRule type="containsText" dxfId="8809" priority="11330" operator="containsText" text="Missing">
      <formula>NOT(ISERROR(SEARCH("Missing",J1084)))</formula>
    </cfRule>
  </conditionalFormatting>
  <conditionalFormatting sqref="H1084">
    <cfRule type="containsText" dxfId="8808" priority="11328" operator="containsText" text="Missing">
      <formula>NOT(ISERROR(SEARCH("Missing",H1084)))</formula>
    </cfRule>
  </conditionalFormatting>
  <conditionalFormatting sqref="H1027">
    <cfRule type="containsText" dxfId="8807" priority="11327" operator="containsText" text="Missing">
      <formula>NOT(ISERROR(SEARCH("Missing",H1027)))</formula>
    </cfRule>
  </conditionalFormatting>
  <conditionalFormatting sqref="H1027">
    <cfRule type="containsText" dxfId="8806" priority="11326" operator="containsText" text="Missing">
      <formula>NOT(ISERROR(SEARCH("Missing",H1027)))</formula>
    </cfRule>
  </conditionalFormatting>
  <conditionalFormatting sqref="H1027">
    <cfRule type="containsText" dxfId="8805" priority="11324" operator="containsText" text="Missing">
      <formula>NOT(ISERROR(SEARCH("Missing",H1027)))</formula>
    </cfRule>
  </conditionalFormatting>
  <conditionalFormatting sqref="H1027">
    <cfRule type="containsText" dxfId="8804" priority="11325" operator="containsText" text="Missing">
      <formula>NOT(ISERROR(SEARCH("Missing",H1027)))</formula>
    </cfRule>
  </conditionalFormatting>
  <conditionalFormatting sqref="J1139:K1139">
    <cfRule type="containsText" dxfId="8803" priority="11323" operator="containsText" text="Missing">
      <formula>NOT(ISERROR(SEARCH("Missing",J1139)))</formula>
    </cfRule>
  </conditionalFormatting>
  <conditionalFormatting sqref="L1140:L1141">
    <cfRule type="containsText" dxfId="8802" priority="11309" operator="containsText" text="Positive">
      <formula>NOT(ISERROR(SEARCH("Positive",L1140)))</formula>
    </cfRule>
    <cfRule type="containsText" dxfId="8801" priority="11310" operator="containsText" text="Negative">
      <formula>NOT(ISERROR(SEARCH("Negative",L1140)))</formula>
    </cfRule>
  </conditionalFormatting>
  <conditionalFormatting sqref="I1139">
    <cfRule type="containsText" dxfId="8800" priority="11322" operator="containsText" text="Missing">
      <formula>NOT(ISERROR(SEARCH("Missing",I1139)))</formula>
    </cfRule>
  </conditionalFormatting>
  <conditionalFormatting sqref="H1140:K1141">
    <cfRule type="containsText" dxfId="8799" priority="11321" operator="containsText" text="Missing">
      <formula>NOT(ISERROR(SEARCH("Missing",H1140)))</formula>
    </cfRule>
  </conditionalFormatting>
  <conditionalFormatting sqref="L1140:L1141">
    <cfRule type="containsText" dxfId="8798" priority="11319" operator="containsText" text="Positive">
      <formula>NOT(ISERROR(SEARCH("Positive",L1140)))</formula>
    </cfRule>
    <cfRule type="containsText" dxfId="8797" priority="11320" operator="containsText" text="Negative">
      <formula>NOT(ISERROR(SEARCH("Negative",L1140)))</formula>
    </cfRule>
  </conditionalFormatting>
  <conditionalFormatting sqref="J1140:K1141">
    <cfRule type="containsText" dxfId="8796" priority="11316" operator="containsText" text="Missing">
      <formula>NOT(ISERROR(SEARCH("Missing",J1140)))</formula>
    </cfRule>
  </conditionalFormatting>
  <conditionalFormatting sqref="L1140:L1141">
    <cfRule type="containsText" dxfId="8795" priority="11317" operator="containsText" text="Positive">
      <formula>NOT(ISERROR(SEARCH("Positive",L1140)))</formula>
    </cfRule>
    <cfRule type="containsText" dxfId="8794" priority="11318" operator="containsText" text="Negative">
      <formula>NOT(ISERROR(SEARCH("Negative",L1140)))</formula>
    </cfRule>
  </conditionalFormatting>
  <conditionalFormatting sqref="H1140:H1141">
    <cfRule type="containsText" dxfId="8793" priority="11313" operator="containsText" text="Missing">
      <formula>NOT(ISERROR(SEARCH("Missing",H1140)))</formula>
    </cfRule>
  </conditionalFormatting>
  <conditionalFormatting sqref="L1140:L1141">
    <cfRule type="containsText" dxfId="8792" priority="11314" operator="containsText" text="Positive">
      <formula>NOT(ISERROR(SEARCH("Positive",L1140)))</formula>
    </cfRule>
    <cfRule type="containsText" dxfId="8791" priority="11315" operator="containsText" text="Negative">
      <formula>NOT(ISERROR(SEARCH("Negative",L1140)))</formula>
    </cfRule>
  </conditionalFormatting>
  <conditionalFormatting sqref="I1140:I1141">
    <cfRule type="containsText" dxfId="8790" priority="11312" operator="containsText" text="Missing">
      <formula>NOT(ISERROR(SEARCH("Missing",I1140)))</formula>
    </cfRule>
  </conditionalFormatting>
  <conditionalFormatting sqref="J1140:K1141">
    <cfRule type="containsText" dxfId="8789" priority="11311" operator="containsText" text="Missing">
      <formula>NOT(ISERROR(SEARCH("Missing",J1140)))</formula>
    </cfRule>
  </conditionalFormatting>
  <conditionalFormatting sqref="I1140:I1141">
    <cfRule type="containsText" dxfId="8788" priority="11308" operator="containsText" text="Missing">
      <formula>NOT(ISERROR(SEARCH("Missing",I1140)))</formula>
    </cfRule>
  </conditionalFormatting>
  <conditionalFormatting sqref="H1140:H1141">
    <cfRule type="containsText" dxfId="8787" priority="11306" operator="containsText" text="Missing">
      <formula>NOT(ISERROR(SEARCH("Missing",H1140)))</formula>
    </cfRule>
  </conditionalFormatting>
  <conditionalFormatting sqref="H1140:H1141">
    <cfRule type="containsText" dxfId="8786" priority="11307" operator="containsText" text="Missing">
      <formula>NOT(ISERROR(SEARCH("Missing",H1140)))</formula>
    </cfRule>
  </conditionalFormatting>
  <conditionalFormatting sqref="H1139">
    <cfRule type="containsText" dxfId="8785" priority="11305" operator="containsText" text="Missing">
      <formula>NOT(ISERROR(SEARCH("Missing",H1139)))</formula>
    </cfRule>
  </conditionalFormatting>
  <conditionalFormatting sqref="H1139">
    <cfRule type="containsText" dxfId="8784" priority="11304" operator="containsText" text="Missing">
      <formula>NOT(ISERROR(SEARCH("Missing",H1139)))</formula>
    </cfRule>
  </conditionalFormatting>
  <conditionalFormatting sqref="H1139">
    <cfRule type="containsText" dxfId="8783" priority="11302" operator="containsText" text="Missing">
      <formula>NOT(ISERROR(SEARCH("Missing",H1139)))</formula>
    </cfRule>
  </conditionalFormatting>
  <conditionalFormatting sqref="H1139">
    <cfRule type="containsText" dxfId="8782" priority="11303" operator="containsText" text="Missing">
      <formula>NOT(ISERROR(SEARCH("Missing",H1139)))</formula>
    </cfRule>
  </conditionalFormatting>
  <conditionalFormatting sqref="L1139">
    <cfRule type="containsText" dxfId="8781" priority="11300" operator="containsText" text="Positive">
      <formula>NOT(ISERROR(SEARCH("Positive",L1139)))</formula>
    </cfRule>
    <cfRule type="containsText" dxfId="8780" priority="11301" operator="containsText" text="Negative">
      <formula>NOT(ISERROR(SEARCH("Negative",L1139)))</formula>
    </cfRule>
  </conditionalFormatting>
  <conditionalFormatting sqref="L1027">
    <cfRule type="containsText" dxfId="8779" priority="11298" operator="containsText" text="Positive">
      <formula>NOT(ISERROR(SEARCH("Positive",L1027)))</formula>
    </cfRule>
    <cfRule type="containsText" dxfId="8778" priority="11299" operator="containsText" text="Negative">
      <formula>NOT(ISERROR(SEARCH("Negative",L1027)))</formula>
    </cfRule>
  </conditionalFormatting>
  <conditionalFormatting sqref="L1027">
    <cfRule type="containsText" dxfId="8777" priority="11296" operator="containsText" text="Positive">
      <formula>NOT(ISERROR(SEARCH("Positive",L1027)))</formula>
    </cfRule>
    <cfRule type="containsText" dxfId="8776" priority="11297" operator="containsText" text="Negative">
      <formula>NOT(ISERROR(SEARCH("Negative",L1027)))</formula>
    </cfRule>
  </conditionalFormatting>
  <conditionalFormatting sqref="L1027">
    <cfRule type="containsText" dxfId="8775" priority="11294" operator="containsText" text="Positive">
      <formula>NOT(ISERROR(SEARCH("Positive",L1027)))</formula>
    </cfRule>
    <cfRule type="containsText" dxfId="8774" priority="11295" operator="containsText" text="Negative">
      <formula>NOT(ISERROR(SEARCH("Negative",L1027)))</formula>
    </cfRule>
  </conditionalFormatting>
  <conditionalFormatting sqref="L1027">
    <cfRule type="containsText" dxfId="8773" priority="11292" operator="containsText" text="Positive">
      <formula>NOT(ISERROR(SEARCH("Positive",L1027)))</formula>
    </cfRule>
    <cfRule type="containsText" dxfId="8772" priority="11293" operator="containsText" text="Negative">
      <formula>NOT(ISERROR(SEARCH("Negative",L1027)))</formula>
    </cfRule>
  </conditionalFormatting>
  <conditionalFormatting sqref="I1052">
    <cfRule type="containsText" dxfId="8771" priority="11291" operator="containsText" text="Missing">
      <formula>NOT(ISERROR(SEARCH("Missing",I1052)))</formula>
    </cfRule>
  </conditionalFormatting>
  <conditionalFormatting sqref="L1150:L1153">
    <cfRule type="containsText" dxfId="8770" priority="11289" operator="containsText" text="Positive">
      <formula>NOT(ISERROR(SEARCH("Positive",L1150)))</formula>
    </cfRule>
    <cfRule type="containsText" dxfId="8769" priority="11290" operator="containsText" text="Negative">
      <formula>NOT(ISERROR(SEARCH("Negative",L1150)))</formula>
    </cfRule>
  </conditionalFormatting>
  <conditionalFormatting sqref="J1152:K1152">
    <cfRule type="containsText" dxfId="8768" priority="11280" operator="containsText" text="Missing">
      <formula>NOT(ISERROR(SEARCH("Missing",J1152)))</formula>
    </cfRule>
  </conditionalFormatting>
  <conditionalFormatting sqref="J1150:K1150">
    <cfRule type="containsText" dxfId="8767" priority="11286" operator="containsText" text="Missing">
      <formula>NOT(ISERROR(SEARCH("Missing",J1150)))</formula>
    </cfRule>
  </conditionalFormatting>
  <conditionalFormatting sqref="J1151:K1151">
    <cfRule type="containsText" dxfId="8766" priority="11283" operator="containsText" text="Missing">
      <formula>NOT(ISERROR(SEARCH("Missing",J1151)))</formula>
    </cfRule>
  </conditionalFormatting>
  <conditionalFormatting sqref="I1151">
    <cfRule type="containsText" dxfId="8765" priority="11276" operator="containsText" text="Missing">
      <formula>NOT(ISERROR(SEARCH("Missing",I1151)))</formula>
    </cfRule>
  </conditionalFormatting>
  <conditionalFormatting sqref="L1153">
    <cfRule type="containsText" dxfId="8764" priority="11287" operator="containsText" text="Positive">
      <formula>NOT(ISERROR(SEARCH("Positive",L1153)))</formula>
    </cfRule>
    <cfRule type="containsText" dxfId="8763" priority="11288" operator="containsText" text="Negative">
      <formula>NOT(ISERROR(SEARCH("Negative",L1153)))</formula>
    </cfRule>
  </conditionalFormatting>
  <conditionalFormatting sqref="J1153:K1153">
    <cfRule type="containsText" dxfId="8762" priority="11279" operator="containsText" text="Missing">
      <formula>NOT(ISERROR(SEARCH("Missing",J1153)))</formula>
    </cfRule>
  </conditionalFormatting>
  <conditionalFormatting sqref="L1150">
    <cfRule type="containsText" dxfId="8761" priority="11284" operator="containsText" text="Positive">
      <formula>NOT(ISERROR(SEARCH("Positive",L1150)))</formula>
    </cfRule>
    <cfRule type="containsText" dxfId="8760" priority="11285" operator="containsText" text="Negative">
      <formula>NOT(ISERROR(SEARCH("Negative",L1150)))</formula>
    </cfRule>
  </conditionalFormatting>
  <conditionalFormatting sqref="L1151">
    <cfRule type="containsText" dxfId="8759" priority="11281" operator="containsText" text="Positive">
      <formula>NOT(ISERROR(SEARCH("Positive",L1151)))</formula>
    </cfRule>
    <cfRule type="containsText" dxfId="8758" priority="11282" operator="containsText" text="Negative">
      <formula>NOT(ISERROR(SEARCH("Negative",L1151)))</formula>
    </cfRule>
  </conditionalFormatting>
  <conditionalFormatting sqref="I1150">
    <cfRule type="containsText" dxfId="8757" priority="11278" operator="containsText" text="Missing">
      <formula>NOT(ISERROR(SEARCH("Missing",I1150)))</formula>
    </cfRule>
  </conditionalFormatting>
  <conditionalFormatting sqref="I1153">
    <cfRule type="containsText" dxfId="8756" priority="11275" operator="containsText" text="Missing">
      <formula>NOT(ISERROR(SEARCH("Missing",I1153)))</formula>
    </cfRule>
  </conditionalFormatting>
  <conditionalFormatting sqref="I1152">
    <cfRule type="containsText" dxfId="8755" priority="11277" operator="containsText" text="Missing">
      <formula>NOT(ISERROR(SEARCH("Missing",I1152)))</formula>
    </cfRule>
  </conditionalFormatting>
  <conditionalFormatting sqref="L1152">
    <cfRule type="containsText" dxfId="8754" priority="11273" operator="containsText" text="Positive">
      <formula>NOT(ISERROR(SEARCH("Positive",L1152)))</formula>
    </cfRule>
    <cfRule type="containsText" dxfId="8753" priority="11274" operator="containsText" text="Negative">
      <formula>NOT(ISERROR(SEARCH("Negative",L1152)))</formula>
    </cfRule>
  </conditionalFormatting>
  <conditionalFormatting sqref="H1152">
    <cfRule type="containsText" dxfId="8752" priority="11269" operator="containsText" text="Missing">
      <formula>NOT(ISERROR(SEARCH("Missing",H1152)))</formula>
    </cfRule>
  </conditionalFormatting>
  <conditionalFormatting sqref="H1151">
    <cfRule type="containsText" dxfId="8751" priority="11271" operator="containsText" text="Missing">
      <formula>NOT(ISERROR(SEARCH("Missing",H1151)))</formula>
    </cfRule>
  </conditionalFormatting>
  <conditionalFormatting sqref="H1150">
    <cfRule type="containsText" dxfId="8750" priority="11272" operator="containsText" text="Missing">
      <formula>NOT(ISERROR(SEARCH("Missing",H1150)))</formula>
    </cfRule>
  </conditionalFormatting>
  <conditionalFormatting sqref="H1153">
    <cfRule type="containsText" dxfId="8749" priority="11270" operator="containsText" text="Missing">
      <formula>NOT(ISERROR(SEARCH("Missing",H1153)))</formula>
    </cfRule>
  </conditionalFormatting>
  <conditionalFormatting sqref="J1163:K1163">
    <cfRule type="containsText" dxfId="8748" priority="11268" operator="containsText" text="Missing">
      <formula>NOT(ISERROR(SEARCH("Missing",J1163)))</formula>
    </cfRule>
  </conditionalFormatting>
  <conditionalFormatting sqref="L1164:L1166">
    <cfRule type="containsText" dxfId="8747" priority="11254" operator="containsText" text="Positive">
      <formula>NOT(ISERROR(SEARCH("Positive",L1164)))</formula>
    </cfRule>
    <cfRule type="containsText" dxfId="8746" priority="11255" operator="containsText" text="Negative">
      <formula>NOT(ISERROR(SEARCH("Negative",L1164)))</formula>
    </cfRule>
  </conditionalFormatting>
  <conditionalFormatting sqref="I1163">
    <cfRule type="containsText" dxfId="8745" priority="11267" operator="containsText" text="Missing">
      <formula>NOT(ISERROR(SEARCH("Missing",I1163)))</formula>
    </cfRule>
  </conditionalFormatting>
  <conditionalFormatting sqref="H1164:K1166">
    <cfRule type="containsText" dxfId="8744" priority="11266" operator="containsText" text="Missing">
      <formula>NOT(ISERROR(SEARCH("Missing",H1164)))</formula>
    </cfRule>
  </conditionalFormatting>
  <conditionalFormatting sqref="L1164:L1166">
    <cfRule type="containsText" dxfId="8743" priority="11264" operator="containsText" text="Positive">
      <formula>NOT(ISERROR(SEARCH("Positive",L1164)))</formula>
    </cfRule>
    <cfRule type="containsText" dxfId="8742" priority="11265" operator="containsText" text="Negative">
      <formula>NOT(ISERROR(SEARCH("Negative",L1164)))</formula>
    </cfRule>
  </conditionalFormatting>
  <conditionalFormatting sqref="J1164:K1166">
    <cfRule type="containsText" dxfId="8741" priority="11261" operator="containsText" text="Missing">
      <formula>NOT(ISERROR(SEARCH("Missing",J1164)))</formula>
    </cfRule>
  </conditionalFormatting>
  <conditionalFormatting sqref="L1164:L1166">
    <cfRule type="containsText" dxfId="8740" priority="11262" operator="containsText" text="Positive">
      <formula>NOT(ISERROR(SEARCH("Positive",L1164)))</formula>
    </cfRule>
    <cfRule type="containsText" dxfId="8739" priority="11263" operator="containsText" text="Negative">
      <formula>NOT(ISERROR(SEARCH("Negative",L1164)))</formula>
    </cfRule>
  </conditionalFormatting>
  <conditionalFormatting sqref="H1164:H1166">
    <cfRule type="containsText" dxfId="8738" priority="11258" operator="containsText" text="Missing">
      <formula>NOT(ISERROR(SEARCH("Missing",H1164)))</formula>
    </cfRule>
  </conditionalFormatting>
  <conditionalFormatting sqref="L1164:L1166">
    <cfRule type="containsText" dxfId="8737" priority="11259" operator="containsText" text="Positive">
      <formula>NOT(ISERROR(SEARCH("Positive",L1164)))</formula>
    </cfRule>
    <cfRule type="containsText" dxfId="8736" priority="11260" operator="containsText" text="Negative">
      <formula>NOT(ISERROR(SEARCH("Negative",L1164)))</formula>
    </cfRule>
  </conditionalFormatting>
  <conditionalFormatting sqref="I1164:I1166">
    <cfRule type="containsText" dxfId="8735" priority="11257" operator="containsText" text="Missing">
      <formula>NOT(ISERROR(SEARCH("Missing",I1164)))</formula>
    </cfRule>
  </conditionalFormatting>
  <conditionalFormatting sqref="J1164:K1166">
    <cfRule type="containsText" dxfId="8734" priority="11256" operator="containsText" text="Missing">
      <formula>NOT(ISERROR(SEARCH("Missing",J1164)))</formula>
    </cfRule>
  </conditionalFormatting>
  <conditionalFormatting sqref="I1164:I1166">
    <cfRule type="containsText" dxfId="8733" priority="11253" operator="containsText" text="Missing">
      <formula>NOT(ISERROR(SEARCH("Missing",I1164)))</formula>
    </cfRule>
  </conditionalFormatting>
  <conditionalFormatting sqref="H1164:H1166">
    <cfRule type="containsText" dxfId="8732" priority="11251" operator="containsText" text="Missing">
      <formula>NOT(ISERROR(SEARCH("Missing",H1164)))</formula>
    </cfRule>
  </conditionalFormatting>
  <conditionalFormatting sqref="H1164:H1166">
    <cfRule type="containsText" dxfId="8731" priority="11252" operator="containsText" text="Missing">
      <formula>NOT(ISERROR(SEARCH("Missing",H1164)))</formula>
    </cfRule>
  </conditionalFormatting>
  <conditionalFormatting sqref="H1163">
    <cfRule type="containsText" dxfId="8730" priority="11250" operator="containsText" text="Missing">
      <formula>NOT(ISERROR(SEARCH("Missing",H1163)))</formula>
    </cfRule>
  </conditionalFormatting>
  <conditionalFormatting sqref="H1163">
    <cfRule type="containsText" dxfId="8729" priority="11249" operator="containsText" text="Missing">
      <formula>NOT(ISERROR(SEARCH("Missing",H1163)))</formula>
    </cfRule>
  </conditionalFormatting>
  <conditionalFormatting sqref="H1163">
    <cfRule type="containsText" dxfId="8728" priority="11247" operator="containsText" text="Missing">
      <formula>NOT(ISERROR(SEARCH("Missing",H1163)))</formula>
    </cfRule>
  </conditionalFormatting>
  <conditionalFormatting sqref="H1163">
    <cfRule type="containsText" dxfId="8727" priority="11248" operator="containsText" text="Missing">
      <formula>NOT(ISERROR(SEARCH("Missing",H1163)))</formula>
    </cfRule>
  </conditionalFormatting>
  <conditionalFormatting sqref="L1163">
    <cfRule type="containsText" dxfId="8726" priority="11245" operator="containsText" text="Positive">
      <formula>NOT(ISERROR(SEARCH("Positive",L1163)))</formula>
    </cfRule>
    <cfRule type="containsText" dxfId="8725" priority="11246" operator="containsText" text="Negative">
      <formula>NOT(ISERROR(SEARCH("Negative",L1163)))</formula>
    </cfRule>
  </conditionalFormatting>
  <conditionalFormatting sqref="H1038:K1038">
    <cfRule type="containsText" dxfId="8724" priority="11244" operator="containsText" text="Missing">
      <formula>NOT(ISERROR(SEARCH("Missing",H1038)))</formula>
    </cfRule>
  </conditionalFormatting>
  <conditionalFormatting sqref="L1038">
    <cfRule type="containsText" dxfId="8723" priority="11242" operator="containsText" text="Positive">
      <formula>NOT(ISERROR(SEARCH("Positive",L1038)))</formula>
    </cfRule>
    <cfRule type="containsText" dxfId="8722" priority="11243" operator="containsText" text="Negative">
      <formula>NOT(ISERROR(SEARCH("Negative",L1038)))</formula>
    </cfRule>
  </conditionalFormatting>
  <conditionalFormatting sqref="K1116">
    <cfRule type="containsText" dxfId="8721" priority="11240" operator="containsText" text="Missing">
      <formula>NOT(ISERROR(SEARCH("Missing",K1116)))</formula>
    </cfRule>
  </conditionalFormatting>
  <conditionalFormatting sqref="I1116">
    <cfRule type="containsText" dxfId="8720" priority="11241" operator="containsText" text="Missing">
      <formula>NOT(ISERROR(SEARCH("Missing",I1116)))</formula>
    </cfRule>
  </conditionalFormatting>
  <conditionalFormatting sqref="L1116">
    <cfRule type="containsText" dxfId="8719" priority="11238" operator="containsText" text="Positive">
      <formula>NOT(ISERROR(SEARCH("Positive",L1116)))</formula>
    </cfRule>
    <cfRule type="containsText" dxfId="8718" priority="11239" operator="containsText" text="Negative">
      <formula>NOT(ISERROR(SEARCH("Negative",L1116)))</formula>
    </cfRule>
  </conditionalFormatting>
  <conditionalFormatting sqref="H1116">
    <cfRule type="containsText" dxfId="8717" priority="11237" operator="containsText" text="Missing">
      <formula>NOT(ISERROR(SEARCH("Missing",H1116)))</formula>
    </cfRule>
  </conditionalFormatting>
  <conditionalFormatting sqref="L1154:L1158">
    <cfRule type="containsText" dxfId="8716" priority="11235" operator="containsText" text="Positive">
      <formula>NOT(ISERROR(SEARCH("Positive",L1154)))</formula>
    </cfRule>
    <cfRule type="containsText" dxfId="8715" priority="11236" operator="containsText" text="Negative">
      <formula>NOT(ISERROR(SEARCH("Negative",L1154)))</formula>
    </cfRule>
  </conditionalFormatting>
  <conditionalFormatting sqref="L1154:L1158">
    <cfRule type="containsText" dxfId="8714" priority="11233" operator="containsText" text="Positive">
      <formula>NOT(ISERROR(SEARCH("Positive",L1154)))</formula>
    </cfRule>
    <cfRule type="containsText" dxfId="8713" priority="11234" operator="containsText" text="Negative">
      <formula>NOT(ISERROR(SEARCH("Negative",L1154)))</formula>
    </cfRule>
  </conditionalFormatting>
  <conditionalFormatting sqref="J1154:K1158">
    <cfRule type="containsText" dxfId="8712" priority="11232" operator="containsText" text="Missing">
      <formula>NOT(ISERROR(SEARCH("Missing",J1154)))</formula>
    </cfRule>
  </conditionalFormatting>
  <conditionalFormatting sqref="I1154:I1158">
    <cfRule type="containsText" dxfId="8711" priority="11231" operator="containsText" text="Missing">
      <formula>NOT(ISERROR(SEARCH("Missing",I1154)))</formula>
    </cfRule>
  </conditionalFormatting>
  <conditionalFormatting sqref="H1154:H1158">
    <cfRule type="containsText" dxfId="8710" priority="11230" operator="containsText" text="Missing">
      <formula>NOT(ISERROR(SEARCH("Missing",H1154)))</formula>
    </cfRule>
  </conditionalFormatting>
  <conditionalFormatting sqref="H1322:K1322">
    <cfRule type="containsText" dxfId="8709" priority="10551" operator="containsText" text="Missing">
      <formula>NOT(ISERROR(SEARCH("Missing",H1322)))</formula>
    </cfRule>
  </conditionalFormatting>
  <conditionalFormatting sqref="L1322">
    <cfRule type="containsText" dxfId="8708" priority="10549" operator="containsText" text="Positive">
      <formula>NOT(ISERROR(SEARCH("Positive",L1322)))</formula>
    </cfRule>
    <cfRule type="containsText" dxfId="8707" priority="10550" operator="containsText" text="Negative">
      <formula>NOT(ISERROR(SEARCH("Negative",L1322)))</formula>
    </cfRule>
  </conditionalFormatting>
  <conditionalFormatting sqref="I1385">
    <cfRule type="containsText" dxfId="8706" priority="10548" operator="containsText" text="Missing">
      <formula>NOT(ISERROR(SEARCH("Missing",I1385)))</formula>
    </cfRule>
  </conditionalFormatting>
  <conditionalFormatting sqref="K1385">
    <cfRule type="containsText" dxfId="8705" priority="10547" operator="containsText" text="Missing">
      <formula>NOT(ISERROR(SEARCH("Missing",K1385)))</formula>
    </cfRule>
  </conditionalFormatting>
  <conditionalFormatting sqref="J1085:K1085">
    <cfRule type="containsText" dxfId="8704" priority="11227" operator="containsText" text="Missing">
      <formula>NOT(ISERROR(SEARCH("Missing",J1085)))</formula>
    </cfRule>
  </conditionalFormatting>
  <conditionalFormatting sqref="I1085">
    <cfRule type="containsText" dxfId="8703" priority="11226" operator="containsText" text="Missing">
      <formula>NOT(ISERROR(SEARCH("Missing",I1085)))</formula>
    </cfRule>
  </conditionalFormatting>
  <conditionalFormatting sqref="L1085">
    <cfRule type="containsText" dxfId="8702" priority="11228" operator="containsText" text="Positive">
      <formula>NOT(ISERROR(SEARCH("Positive",L1085)))</formula>
    </cfRule>
    <cfRule type="containsText" dxfId="8701" priority="11229" operator="containsText" text="Negative">
      <formula>NOT(ISERROR(SEARCH("Negative",L1085)))</formula>
    </cfRule>
  </conditionalFormatting>
  <conditionalFormatting sqref="H1085">
    <cfRule type="containsText" dxfId="8700" priority="11225" operator="containsText" text="Missing">
      <formula>NOT(ISERROR(SEARCH("Missing",H1085)))</formula>
    </cfRule>
  </conditionalFormatting>
  <conditionalFormatting sqref="H1067:H1069 J1067:K1069">
    <cfRule type="containsText" dxfId="8699" priority="11224" operator="containsText" text="Missing">
      <formula>NOT(ISERROR(SEARCH("Missing",H1067)))</formula>
    </cfRule>
  </conditionalFormatting>
  <conditionalFormatting sqref="L1068">
    <cfRule type="containsText" dxfId="8698" priority="11222" operator="containsText" text="Positive">
      <formula>NOT(ISERROR(SEARCH("Positive",L1068)))</formula>
    </cfRule>
    <cfRule type="containsText" dxfId="8697" priority="11223" operator="containsText" text="Negative">
      <formula>NOT(ISERROR(SEARCH("Negative",L1068)))</formula>
    </cfRule>
  </conditionalFormatting>
  <conditionalFormatting sqref="L1069">
    <cfRule type="containsText" dxfId="8696" priority="11220" operator="containsText" text="Positive">
      <formula>NOT(ISERROR(SEARCH("Positive",L1069)))</formula>
    </cfRule>
    <cfRule type="containsText" dxfId="8695" priority="11221" operator="containsText" text="Negative">
      <formula>NOT(ISERROR(SEARCH("Negative",L1069)))</formula>
    </cfRule>
  </conditionalFormatting>
  <conditionalFormatting sqref="L1067">
    <cfRule type="containsText" dxfId="8694" priority="11218" operator="containsText" text="Positive">
      <formula>NOT(ISERROR(SEARCH("Positive",L1067)))</formula>
    </cfRule>
    <cfRule type="containsText" dxfId="8693" priority="11219" operator="containsText" text="Negative">
      <formula>NOT(ISERROR(SEARCH("Negative",L1067)))</formula>
    </cfRule>
  </conditionalFormatting>
  <conditionalFormatting sqref="H1070:K1070 I1071:I1073">
    <cfRule type="containsText" dxfId="8692" priority="11217" operator="containsText" text="Missing">
      <formula>NOT(ISERROR(SEARCH("Missing",H1070)))</formula>
    </cfRule>
  </conditionalFormatting>
  <conditionalFormatting sqref="L1070">
    <cfRule type="containsText" dxfId="8691" priority="11215" operator="containsText" text="Positive">
      <formula>NOT(ISERROR(SEARCH("Positive",L1070)))</formula>
    </cfRule>
    <cfRule type="containsText" dxfId="8690" priority="11216" operator="containsText" text="Negative">
      <formula>NOT(ISERROR(SEARCH("Negative",L1070)))</formula>
    </cfRule>
  </conditionalFormatting>
  <conditionalFormatting sqref="H1071:H1073 J1071:K1073">
    <cfRule type="containsText" dxfId="8689" priority="11214" operator="containsText" text="Missing">
      <formula>NOT(ISERROR(SEARCH("Missing",H1071)))</formula>
    </cfRule>
  </conditionalFormatting>
  <conditionalFormatting sqref="L1072">
    <cfRule type="containsText" dxfId="8688" priority="11212" operator="containsText" text="Positive">
      <formula>NOT(ISERROR(SEARCH("Positive",L1072)))</formula>
    </cfRule>
    <cfRule type="containsText" dxfId="8687" priority="11213" operator="containsText" text="Negative">
      <formula>NOT(ISERROR(SEARCH("Negative",L1072)))</formula>
    </cfRule>
  </conditionalFormatting>
  <conditionalFormatting sqref="L1073">
    <cfRule type="containsText" dxfId="8686" priority="11210" operator="containsText" text="Positive">
      <formula>NOT(ISERROR(SEARCH("Positive",L1073)))</formula>
    </cfRule>
    <cfRule type="containsText" dxfId="8685" priority="11211" operator="containsText" text="Negative">
      <formula>NOT(ISERROR(SEARCH("Negative",L1073)))</formula>
    </cfRule>
  </conditionalFormatting>
  <conditionalFormatting sqref="L1071">
    <cfRule type="containsText" dxfId="8684" priority="11208" operator="containsText" text="Positive">
      <formula>NOT(ISERROR(SEARCH("Positive",L1071)))</formula>
    </cfRule>
    <cfRule type="containsText" dxfId="8683" priority="11209" operator="containsText" text="Negative">
      <formula>NOT(ISERROR(SEARCH("Negative",L1071)))</formula>
    </cfRule>
  </conditionalFormatting>
  <conditionalFormatting sqref="H1074:K1074 I1075:I1077">
    <cfRule type="containsText" dxfId="8682" priority="11207" operator="containsText" text="Missing">
      <formula>NOT(ISERROR(SEARCH("Missing",H1074)))</formula>
    </cfRule>
  </conditionalFormatting>
  <conditionalFormatting sqref="L1074">
    <cfRule type="containsText" dxfId="8681" priority="11205" operator="containsText" text="Positive">
      <formula>NOT(ISERROR(SEARCH("Positive",L1074)))</formula>
    </cfRule>
    <cfRule type="containsText" dxfId="8680" priority="11206" operator="containsText" text="Negative">
      <formula>NOT(ISERROR(SEARCH("Negative",L1074)))</formula>
    </cfRule>
  </conditionalFormatting>
  <conditionalFormatting sqref="H1075:H1077 J1075:K1077">
    <cfRule type="containsText" dxfId="8679" priority="11204" operator="containsText" text="Missing">
      <formula>NOT(ISERROR(SEARCH("Missing",H1075)))</formula>
    </cfRule>
  </conditionalFormatting>
  <conditionalFormatting sqref="L1076">
    <cfRule type="containsText" dxfId="8678" priority="11202" operator="containsText" text="Positive">
      <formula>NOT(ISERROR(SEARCH("Positive",L1076)))</formula>
    </cfRule>
    <cfRule type="containsText" dxfId="8677" priority="11203" operator="containsText" text="Negative">
      <formula>NOT(ISERROR(SEARCH("Negative",L1076)))</formula>
    </cfRule>
  </conditionalFormatting>
  <conditionalFormatting sqref="L1077">
    <cfRule type="containsText" dxfId="8676" priority="11200" operator="containsText" text="Positive">
      <formula>NOT(ISERROR(SEARCH("Positive",L1077)))</formula>
    </cfRule>
    <cfRule type="containsText" dxfId="8675" priority="11201" operator="containsText" text="Negative">
      <formula>NOT(ISERROR(SEARCH("Negative",L1077)))</formula>
    </cfRule>
  </conditionalFormatting>
  <conditionalFormatting sqref="L1075">
    <cfRule type="containsText" dxfId="8674" priority="11198" operator="containsText" text="Positive">
      <formula>NOT(ISERROR(SEARCH("Positive",L1075)))</formula>
    </cfRule>
    <cfRule type="containsText" dxfId="8673" priority="11199" operator="containsText" text="Negative">
      <formula>NOT(ISERROR(SEARCH("Negative",L1075)))</formula>
    </cfRule>
  </conditionalFormatting>
  <conditionalFormatting sqref="H1078:K1078">
    <cfRule type="containsText" dxfId="8672" priority="11197" operator="containsText" text="Missing">
      <formula>NOT(ISERROR(SEARCH("Missing",H1078)))</formula>
    </cfRule>
  </conditionalFormatting>
  <conditionalFormatting sqref="L1078">
    <cfRule type="containsText" dxfId="8671" priority="11195" operator="containsText" text="Positive">
      <formula>NOT(ISERROR(SEARCH("Positive",L1078)))</formula>
    </cfRule>
    <cfRule type="containsText" dxfId="8670" priority="11196" operator="containsText" text="Negative">
      <formula>NOT(ISERROR(SEARCH("Negative",L1078)))</formula>
    </cfRule>
  </conditionalFormatting>
  <conditionalFormatting sqref="L1080">
    <cfRule type="containsText" dxfId="8669" priority="11193" operator="containsText" text="Positive">
      <formula>NOT(ISERROR(SEARCH("Positive",L1080)))</formula>
    </cfRule>
    <cfRule type="containsText" dxfId="8668" priority="11194" operator="containsText" text="Negative">
      <formula>NOT(ISERROR(SEARCH("Negative",L1080)))</formula>
    </cfRule>
  </conditionalFormatting>
  <conditionalFormatting sqref="L1081">
    <cfRule type="containsText" dxfId="8667" priority="11191" operator="containsText" text="Positive">
      <formula>NOT(ISERROR(SEARCH("Positive",L1081)))</formula>
    </cfRule>
    <cfRule type="containsText" dxfId="8666" priority="11192" operator="containsText" text="Negative">
      <formula>NOT(ISERROR(SEARCH("Negative",L1081)))</formula>
    </cfRule>
  </conditionalFormatting>
  <conditionalFormatting sqref="L1079">
    <cfRule type="containsText" dxfId="8665" priority="11189" operator="containsText" text="Positive">
      <formula>NOT(ISERROR(SEARCH("Positive",L1079)))</formula>
    </cfRule>
    <cfRule type="containsText" dxfId="8664" priority="11190" operator="containsText" text="Negative">
      <formula>NOT(ISERROR(SEARCH("Negative",L1079)))</formula>
    </cfRule>
  </conditionalFormatting>
  <conditionalFormatting sqref="H1096:H1099 J1096:K1099">
    <cfRule type="containsText" dxfId="8663" priority="11188" operator="containsText" text="Missing">
      <formula>NOT(ISERROR(SEARCH("Missing",H1096)))</formula>
    </cfRule>
  </conditionalFormatting>
  <conditionalFormatting sqref="L1098:L1099">
    <cfRule type="containsText" dxfId="8662" priority="11186" operator="containsText" text="Positive">
      <formula>NOT(ISERROR(SEARCH("Positive",L1098)))</formula>
    </cfRule>
    <cfRule type="containsText" dxfId="8661" priority="11187" operator="containsText" text="Negative">
      <formula>NOT(ISERROR(SEARCH("Negative",L1098)))</formula>
    </cfRule>
  </conditionalFormatting>
  <conditionalFormatting sqref="L1097">
    <cfRule type="containsText" dxfId="8660" priority="11184" operator="containsText" text="Positive">
      <formula>NOT(ISERROR(SEARCH("Positive",L1097)))</formula>
    </cfRule>
    <cfRule type="containsText" dxfId="8659" priority="11185" operator="containsText" text="Negative">
      <formula>NOT(ISERROR(SEARCH("Negative",L1097)))</formula>
    </cfRule>
  </conditionalFormatting>
  <conditionalFormatting sqref="L1096">
    <cfRule type="containsText" dxfId="8658" priority="11182" operator="containsText" text="Positive">
      <formula>NOT(ISERROR(SEARCH("Positive",L1096)))</formula>
    </cfRule>
    <cfRule type="containsText" dxfId="8657" priority="11183" operator="containsText" text="Negative">
      <formula>NOT(ISERROR(SEARCH("Negative",L1096)))</formula>
    </cfRule>
  </conditionalFormatting>
  <conditionalFormatting sqref="H1100:H1103 J1100:K1103">
    <cfRule type="containsText" dxfId="8656" priority="11181" operator="containsText" text="Missing">
      <formula>NOT(ISERROR(SEARCH("Missing",H1100)))</formula>
    </cfRule>
  </conditionalFormatting>
  <conditionalFormatting sqref="L1102:L1103">
    <cfRule type="containsText" dxfId="8655" priority="11179" operator="containsText" text="Positive">
      <formula>NOT(ISERROR(SEARCH("Positive",L1102)))</formula>
    </cfRule>
    <cfRule type="containsText" dxfId="8654" priority="11180" operator="containsText" text="Negative">
      <formula>NOT(ISERROR(SEARCH("Negative",L1102)))</formula>
    </cfRule>
  </conditionalFormatting>
  <conditionalFormatting sqref="L1101">
    <cfRule type="containsText" dxfId="8653" priority="11177" operator="containsText" text="Positive">
      <formula>NOT(ISERROR(SEARCH("Positive",L1101)))</formula>
    </cfRule>
    <cfRule type="containsText" dxfId="8652" priority="11178" operator="containsText" text="Negative">
      <formula>NOT(ISERROR(SEARCH("Negative",L1101)))</formula>
    </cfRule>
  </conditionalFormatting>
  <conditionalFormatting sqref="L1100">
    <cfRule type="containsText" dxfId="8651" priority="11175" operator="containsText" text="Positive">
      <formula>NOT(ISERROR(SEARCH("Positive",L1100)))</formula>
    </cfRule>
    <cfRule type="containsText" dxfId="8650" priority="11176" operator="containsText" text="Negative">
      <formula>NOT(ISERROR(SEARCH("Negative",L1100)))</formula>
    </cfRule>
  </conditionalFormatting>
  <conditionalFormatting sqref="H1104:H1107 J1104:K1107">
    <cfRule type="containsText" dxfId="8649" priority="11174" operator="containsText" text="Missing">
      <formula>NOT(ISERROR(SEARCH("Missing",H1104)))</formula>
    </cfRule>
  </conditionalFormatting>
  <conditionalFormatting sqref="L1106:L1107">
    <cfRule type="containsText" dxfId="8648" priority="11172" operator="containsText" text="Positive">
      <formula>NOT(ISERROR(SEARCH("Positive",L1106)))</formula>
    </cfRule>
    <cfRule type="containsText" dxfId="8647" priority="11173" operator="containsText" text="Negative">
      <formula>NOT(ISERROR(SEARCH("Negative",L1106)))</formula>
    </cfRule>
  </conditionalFormatting>
  <conditionalFormatting sqref="L1105">
    <cfRule type="containsText" dxfId="8646" priority="11170" operator="containsText" text="Positive">
      <formula>NOT(ISERROR(SEARCH("Positive",L1105)))</formula>
    </cfRule>
    <cfRule type="containsText" dxfId="8645" priority="11171" operator="containsText" text="Negative">
      <formula>NOT(ISERROR(SEARCH("Negative",L1105)))</formula>
    </cfRule>
  </conditionalFormatting>
  <conditionalFormatting sqref="L1104">
    <cfRule type="containsText" dxfId="8644" priority="11168" operator="containsText" text="Positive">
      <formula>NOT(ISERROR(SEARCH("Positive",L1104)))</formula>
    </cfRule>
    <cfRule type="containsText" dxfId="8643" priority="11169" operator="containsText" text="Negative">
      <formula>NOT(ISERROR(SEARCH("Negative",L1104)))</formula>
    </cfRule>
  </conditionalFormatting>
  <conditionalFormatting sqref="H1108:H1111 J1108:K1111">
    <cfRule type="containsText" dxfId="8642" priority="11167" operator="containsText" text="Missing">
      <formula>NOT(ISERROR(SEARCH("Missing",H1108)))</formula>
    </cfRule>
  </conditionalFormatting>
  <conditionalFormatting sqref="L1110:L1111">
    <cfRule type="containsText" dxfId="8641" priority="11165" operator="containsText" text="Positive">
      <formula>NOT(ISERROR(SEARCH("Positive",L1110)))</formula>
    </cfRule>
    <cfRule type="containsText" dxfId="8640" priority="11166" operator="containsText" text="Negative">
      <formula>NOT(ISERROR(SEARCH("Negative",L1110)))</formula>
    </cfRule>
  </conditionalFormatting>
  <conditionalFormatting sqref="L1109">
    <cfRule type="containsText" dxfId="8639" priority="11163" operator="containsText" text="Positive">
      <formula>NOT(ISERROR(SEARCH("Positive",L1109)))</formula>
    </cfRule>
    <cfRule type="containsText" dxfId="8638" priority="11164" operator="containsText" text="Negative">
      <formula>NOT(ISERROR(SEARCH("Negative",L1109)))</formula>
    </cfRule>
  </conditionalFormatting>
  <conditionalFormatting sqref="L1108">
    <cfRule type="containsText" dxfId="8637" priority="11161" operator="containsText" text="Positive">
      <formula>NOT(ISERROR(SEARCH("Positive",L1108)))</formula>
    </cfRule>
    <cfRule type="containsText" dxfId="8636" priority="11162" operator="containsText" text="Negative">
      <formula>NOT(ISERROR(SEARCH("Negative",L1108)))</formula>
    </cfRule>
  </conditionalFormatting>
  <conditionalFormatting sqref="H1065:K1065">
    <cfRule type="containsText" dxfId="8635" priority="11160" operator="containsText" text="Missing">
      <formula>NOT(ISERROR(SEARCH("Missing",H1065)))</formula>
    </cfRule>
  </conditionalFormatting>
  <conditionalFormatting sqref="L1065">
    <cfRule type="containsText" dxfId="8634" priority="11158" operator="containsText" text="Positive">
      <formula>NOT(ISERROR(SEARCH("Positive",L1065)))</formula>
    </cfRule>
    <cfRule type="containsText" dxfId="8633" priority="11159" operator="containsText" text="Negative">
      <formula>NOT(ISERROR(SEARCH("Negative",L1065)))</formula>
    </cfRule>
  </conditionalFormatting>
  <conditionalFormatting sqref="I1096:I1099">
    <cfRule type="containsText" dxfId="8632" priority="11157" operator="containsText" text="Missing">
      <formula>NOT(ISERROR(SEARCH("Missing",I1096)))</formula>
    </cfRule>
  </conditionalFormatting>
  <conditionalFormatting sqref="I1100:I1103">
    <cfRule type="containsText" dxfId="8631" priority="11156" operator="containsText" text="Missing">
      <formula>NOT(ISERROR(SEARCH("Missing",I1100)))</formula>
    </cfRule>
  </conditionalFormatting>
  <conditionalFormatting sqref="I1104:I1107">
    <cfRule type="containsText" dxfId="8630" priority="11155" operator="containsText" text="Missing">
      <formula>NOT(ISERROR(SEARCH("Missing",I1104)))</formula>
    </cfRule>
  </conditionalFormatting>
  <conditionalFormatting sqref="I1108:I1111">
    <cfRule type="containsText" dxfId="8629" priority="11154" operator="containsText" text="Missing">
      <formula>NOT(ISERROR(SEARCH("Missing",I1108)))</formula>
    </cfRule>
  </conditionalFormatting>
  <conditionalFormatting sqref="H1177:H1180 J1177:K1180">
    <cfRule type="containsText" dxfId="8628" priority="11153" operator="containsText" text="Missing">
      <formula>NOT(ISERROR(SEARCH("Missing",H1177)))</formula>
    </cfRule>
  </conditionalFormatting>
  <conditionalFormatting sqref="L1178">
    <cfRule type="containsText" dxfId="8627" priority="11151" operator="containsText" text="Positive">
      <formula>NOT(ISERROR(SEARCH("Positive",L1178)))</formula>
    </cfRule>
    <cfRule type="containsText" dxfId="8626" priority="11152" operator="containsText" text="Negative">
      <formula>NOT(ISERROR(SEARCH("Negative",L1178)))</formula>
    </cfRule>
  </conditionalFormatting>
  <conditionalFormatting sqref="L1179:L1180">
    <cfRule type="containsText" dxfId="8625" priority="11149" operator="containsText" text="Positive">
      <formula>NOT(ISERROR(SEARCH("Positive",L1179)))</formula>
    </cfRule>
    <cfRule type="containsText" dxfId="8624" priority="11150" operator="containsText" text="Negative">
      <formula>NOT(ISERROR(SEARCH("Negative",L1179)))</formula>
    </cfRule>
  </conditionalFormatting>
  <conditionalFormatting sqref="L1177">
    <cfRule type="containsText" dxfId="8623" priority="11147" operator="containsText" text="Positive">
      <formula>NOT(ISERROR(SEARCH("Positive",L1177)))</formula>
    </cfRule>
    <cfRule type="containsText" dxfId="8622" priority="11148" operator="containsText" text="Negative">
      <formula>NOT(ISERROR(SEARCH("Negative",L1177)))</formula>
    </cfRule>
  </conditionalFormatting>
  <conditionalFormatting sqref="H1181:H1184 J1181:K1184">
    <cfRule type="containsText" dxfId="8621" priority="11146" operator="containsText" text="Missing">
      <formula>NOT(ISERROR(SEARCH("Missing",H1181)))</formula>
    </cfRule>
  </conditionalFormatting>
  <conditionalFormatting sqref="L1182">
    <cfRule type="containsText" dxfId="8620" priority="11144" operator="containsText" text="Positive">
      <formula>NOT(ISERROR(SEARCH("Positive",L1182)))</formula>
    </cfRule>
    <cfRule type="containsText" dxfId="8619" priority="11145" operator="containsText" text="Negative">
      <formula>NOT(ISERROR(SEARCH("Negative",L1182)))</formula>
    </cfRule>
  </conditionalFormatting>
  <conditionalFormatting sqref="L1183:L1184">
    <cfRule type="containsText" dxfId="8618" priority="11142" operator="containsText" text="Positive">
      <formula>NOT(ISERROR(SEARCH("Positive",L1183)))</formula>
    </cfRule>
    <cfRule type="containsText" dxfId="8617" priority="11143" operator="containsText" text="Negative">
      <formula>NOT(ISERROR(SEARCH("Negative",L1183)))</formula>
    </cfRule>
  </conditionalFormatting>
  <conditionalFormatting sqref="L1181">
    <cfRule type="containsText" dxfId="8616" priority="11140" operator="containsText" text="Positive">
      <formula>NOT(ISERROR(SEARCH("Positive",L1181)))</formula>
    </cfRule>
    <cfRule type="containsText" dxfId="8615" priority="11141" operator="containsText" text="Negative">
      <formula>NOT(ISERROR(SEARCH("Negative",L1181)))</formula>
    </cfRule>
  </conditionalFormatting>
  <conditionalFormatting sqref="H1185:H1188 J1185:K1188">
    <cfRule type="containsText" dxfId="8614" priority="11139" operator="containsText" text="Missing">
      <formula>NOT(ISERROR(SEARCH("Missing",H1185)))</formula>
    </cfRule>
  </conditionalFormatting>
  <conditionalFormatting sqref="L1186">
    <cfRule type="containsText" dxfId="8613" priority="11137" operator="containsText" text="Positive">
      <formula>NOT(ISERROR(SEARCH("Positive",L1186)))</formula>
    </cfRule>
    <cfRule type="containsText" dxfId="8612" priority="11138" operator="containsText" text="Negative">
      <formula>NOT(ISERROR(SEARCH("Negative",L1186)))</formula>
    </cfRule>
  </conditionalFormatting>
  <conditionalFormatting sqref="L1187:L1188">
    <cfRule type="containsText" dxfId="8611" priority="11135" operator="containsText" text="Positive">
      <formula>NOT(ISERROR(SEARCH("Positive",L1187)))</formula>
    </cfRule>
    <cfRule type="containsText" dxfId="8610" priority="11136" operator="containsText" text="Negative">
      <formula>NOT(ISERROR(SEARCH("Negative",L1187)))</formula>
    </cfRule>
  </conditionalFormatting>
  <conditionalFormatting sqref="L1185">
    <cfRule type="containsText" dxfId="8609" priority="11133" operator="containsText" text="Positive">
      <formula>NOT(ISERROR(SEARCH("Positive",L1185)))</formula>
    </cfRule>
    <cfRule type="containsText" dxfId="8608" priority="11134" operator="containsText" text="Negative">
      <formula>NOT(ISERROR(SEARCH("Negative",L1185)))</formula>
    </cfRule>
  </conditionalFormatting>
  <conditionalFormatting sqref="H1189:H1192 J1189:K1192">
    <cfRule type="containsText" dxfId="8607" priority="11132" operator="containsText" text="Missing">
      <formula>NOT(ISERROR(SEARCH("Missing",H1189)))</formula>
    </cfRule>
  </conditionalFormatting>
  <conditionalFormatting sqref="L1190">
    <cfRule type="containsText" dxfId="8606" priority="11130" operator="containsText" text="Positive">
      <formula>NOT(ISERROR(SEARCH("Positive",L1190)))</formula>
    </cfRule>
    <cfRule type="containsText" dxfId="8605" priority="11131" operator="containsText" text="Negative">
      <formula>NOT(ISERROR(SEARCH("Negative",L1190)))</formula>
    </cfRule>
  </conditionalFormatting>
  <conditionalFormatting sqref="L1191:L1192">
    <cfRule type="containsText" dxfId="8604" priority="11128" operator="containsText" text="Positive">
      <formula>NOT(ISERROR(SEARCH("Positive",L1191)))</formula>
    </cfRule>
    <cfRule type="containsText" dxfId="8603" priority="11129" operator="containsText" text="Negative">
      <formula>NOT(ISERROR(SEARCH("Negative",L1191)))</formula>
    </cfRule>
  </conditionalFormatting>
  <conditionalFormatting sqref="L1189">
    <cfRule type="containsText" dxfId="8602" priority="11126" operator="containsText" text="Positive">
      <formula>NOT(ISERROR(SEARCH("Positive",L1189)))</formula>
    </cfRule>
    <cfRule type="containsText" dxfId="8601" priority="11127" operator="containsText" text="Negative">
      <formula>NOT(ISERROR(SEARCH("Negative",L1189)))</formula>
    </cfRule>
  </conditionalFormatting>
  <conditionalFormatting sqref="H1207:H1209 J1207:K1209">
    <cfRule type="containsText" dxfId="8600" priority="11125" operator="containsText" text="Missing">
      <formula>NOT(ISERROR(SEARCH("Missing",H1207)))</formula>
    </cfRule>
  </conditionalFormatting>
  <conditionalFormatting sqref="L1208">
    <cfRule type="containsText" dxfId="8599" priority="11123" operator="containsText" text="Positive">
      <formula>NOT(ISERROR(SEARCH("Positive",L1208)))</formula>
    </cfRule>
    <cfRule type="containsText" dxfId="8598" priority="11124" operator="containsText" text="Negative">
      <formula>NOT(ISERROR(SEARCH("Negative",L1208)))</formula>
    </cfRule>
  </conditionalFormatting>
  <conditionalFormatting sqref="L1209">
    <cfRule type="containsText" dxfId="8597" priority="11121" operator="containsText" text="Positive">
      <formula>NOT(ISERROR(SEARCH("Positive",L1209)))</formula>
    </cfRule>
    <cfRule type="containsText" dxfId="8596" priority="11122" operator="containsText" text="Negative">
      <formula>NOT(ISERROR(SEARCH("Negative",L1209)))</formula>
    </cfRule>
  </conditionalFormatting>
  <conditionalFormatting sqref="L1207">
    <cfRule type="containsText" dxfId="8595" priority="11119" operator="containsText" text="Positive">
      <formula>NOT(ISERROR(SEARCH("Positive",L1207)))</formula>
    </cfRule>
    <cfRule type="containsText" dxfId="8594" priority="11120" operator="containsText" text="Negative">
      <formula>NOT(ISERROR(SEARCH("Negative",L1207)))</formula>
    </cfRule>
  </conditionalFormatting>
  <conditionalFormatting sqref="L1210">
    <cfRule type="containsText" dxfId="8593" priority="11116" operator="containsText" text="Positive">
      <formula>NOT(ISERROR(SEARCH("Positive",L1210)))</formula>
    </cfRule>
    <cfRule type="containsText" dxfId="8592" priority="11117" operator="containsText" text="Negative">
      <formula>NOT(ISERROR(SEARCH("Negative",L1210)))</formula>
    </cfRule>
  </conditionalFormatting>
  <conditionalFormatting sqref="H1210 J1210:K1210">
    <cfRule type="containsText" dxfId="8591" priority="11118" operator="containsText" text="Missing">
      <formula>NOT(ISERROR(SEARCH("Missing",H1210)))</formula>
    </cfRule>
  </conditionalFormatting>
  <conditionalFormatting sqref="H1211:H1213 J1211:K1213">
    <cfRule type="containsText" dxfId="8590" priority="11115" operator="containsText" text="Missing">
      <formula>NOT(ISERROR(SEARCH("Missing",H1211)))</formula>
    </cfRule>
  </conditionalFormatting>
  <conditionalFormatting sqref="L1212">
    <cfRule type="containsText" dxfId="8589" priority="11113" operator="containsText" text="Positive">
      <formula>NOT(ISERROR(SEARCH("Positive",L1212)))</formula>
    </cfRule>
    <cfRule type="containsText" dxfId="8588" priority="11114" operator="containsText" text="Negative">
      <formula>NOT(ISERROR(SEARCH("Negative",L1212)))</formula>
    </cfRule>
  </conditionalFormatting>
  <conditionalFormatting sqref="L1213">
    <cfRule type="containsText" dxfId="8587" priority="11111" operator="containsText" text="Positive">
      <formula>NOT(ISERROR(SEARCH("Positive",L1213)))</formula>
    </cfRule>
    <cfRule type="containsText" dxfId="8586" priority="11112" operator="containsText" text="Negative">
      <formula>NOT(ISERROR(SEARCH("Negative",L1213)))</formula>
    </cfRule>
  </conditionalFormatting>
  <conditionalFormatting sqref="L1211">
    <cfRule type="containsText" dxfId="8585" priority="11109" operator="containsText" text="Positive">
      <formula>NOT(ISERROR(SEARCH("Positive",L1211)))</formula>
    </cfRule>
    <cfRule type="containsText" dxfId="8584" priority="11110" operator="containsText" text="Negative">
      <formula>NOT(ISERROR(SEARCH("Negative",L1211)))</formula>
    </cfRule>
  </conditionalFormatting>
  <conditionalFormatting sqref="L1214">
    <cfRule type="containsText" dxfId="8583" priority="11106" operator="containsText" text="Positive">
      <formula>NOT(ISERROR(SEARCH("Positive",L1214)))</formula>
    </cfRule>
    <cfRule type="containsText" dxfId="8582" priority="11107" operator="containsText" text="Negative">
      <formula>NOT(ISERROR(SEARCH("Negative",L1214)))</formula>
    </cfRule>
  </conditionalFormatting>
  <conditionalFormatting sqref="H1214 J1214:K1214">
    <cfRule type="containsText" dxfId="8581" priority="11108" operator="containsText" text="Missing">
      <formula>NOT(ISERROR(SEARCH("Missing",H1214)))</formula>
    </cfRule>
  </conditionalFormatting>
  <conditionalFormatting sqref="H1215:H1217 J1215:K1217">
    <cfRule type="containsText" dxfId="8580" priority="11105" operator="containsText" text="Missing">
      <formula>NOT(ISERROR(SEARCH("Missing",H1215)))</formula>
    </cfRule>
  </conditionalFormatting>
  <conditionalFormatting sqref="L1216">
    <cfRule type="containsText" dxfId="8579" priority="11103" operator="containsText" text="Positive">
      <formula>NOT(ISERROR(SEARCH("Positive",L1216)))</formula>
    </cfRule>
    <cfRule type="containsText" dxfId="8578" priority="11104" operator="containsText" text="Negative">
      <formula>NOT(ISERROR(SEARCH("Negative",L1216)))</formula>
    </cfRule>
  </conditionalFormatting>
  <conditionalFormatting sqref="L1217">
    <cfRule type="containsText" dxfId="8577" priority="11101" operator="containsText" text="Positive">
      <formula>NOT(ISERROR(SEARCH("Positive",L1217)))</formula>
    </cfRule>
    <cfRule type="containsText" dxfId="8576" priority="11102" operator="containsText" text="Negative">
      <formula>NOT(ISERROR(SEARCH("Negative",L1217)))</formula>
    </cfRule>
  </conditionalFormatting>
  <conditionalFormatting sqref="L1215">
    <cfRule type="containsText" dxfId="8575" priority="11099" operator="containsText" text="Positive">
      <formula>NOT(ISERROR(SEARCH("Positive",L1215)))</formula>
    </cfRule>
    <cfRule type="containsText" dxfId="8574" priority="11100" operator="containsText" text="Negative">
      <formula>NOT(ISERROR(SEARCH("Negative",L1215)))</formula>
    </cfRule>
  </conditionalFormatting>
  <conditionalFormatting sqref="L1218">
    <cfRule type="containsText" dxfId="8573" priority="11096" operator="containsText" text="Positive">
      <formula>NOT(ISERROR(SEARCH("Positive",L1218)))</formula>
    </cfRule>
    <cfRule type="containsText" dxfId="8572" priority="11097" operator="containsText" text="Negative">
      <formula>NOT(ISERROR(SEARCH("Negative",L1218)))</formula>
    </cfRule>
  </conditionalFormatting>
  <conditionalFormatting sqref="H1218 J1218:K1218">
    <cfRule type="containsText" dxfId="8571" priority="11098" operator="containsText" text="Missing">
      <formula>NOT(ISERROR(SEARCH("Missing",H1218)))</formula>
    </cfRule>
  </conditionalFormatting>
  <conditionalFormatting sqref="H1219:H1221 J1219:K1221">
    <cfRule type="containsText" dxfId="8570" priority="11095" operator="containsText" text="Missing">
      <formula>NOT(ISERROR(SEARCH("Missing",H1219)))</formula>
    </cfRule>
  </conditionalFormatting>
  <conditionalFormatting sqref="L1220">
    <cfRule type="containsText" dxfId="8569" priority="11093" operator="containsText" text="Positive">
      <formula>NOT(ISERROR(SEARCH("Positive",L1220)))</formula>
    </cfRule>
    <cfRule type="containsText" dxfId="8568" priority="11094" operator="containsText" text="Negative">
      <formula>NOT(ISERROR(SEARCH("Negative",L1220)))</formula>
    </cfRule>
  </conditionalFormatting>
  <conditionalFormatting sqref="L1221">
    <cfRule type="containsText" dxfId="8567" priority="11091" operator="containsText" text="Positive">
      <formula>NOT(ISERROR(SEARCH("Positive",L1221)))</formula>
    </cfRule>
    <cfRule type="containsText" dxfId="8566" priority="11092" operator="containsText" text="Negative">
      <formula>NOT(ISERROR(SEARCH("Negative",L1221)))</formula>
    </cfRule>
  </conditionalFormatting>
  <conditionalFormatting sqref="L1219">
    <cfRule type="containsText" dxfId="8565" priority="11089" operator="containsText" text="Positive">
      <formula>NOT(ISERROR(SEARCH("Positive",L1219)))</formula>
    </cfRule>
    <cfRule type="containsText" dxfId="8564" priority="11090" operator="containsText" text="Negative">
      <formula>NOT(ISERROR(SEARCH("Negative",L1219)))</formula>
    </cfRule>
  </conditionalFormatting>
  <conditionalFormatting sqref="L1222">
    <cfRule type="containsText" dxfId="8563" priority="11086" operator="containsText" text="Positive">
      <formula>NOT(ISERROR(SEARCH("Positive",L1222)))</formula>
    </cfRule>
    <cfRule type="containsText" dxfId="8562" priority="11087" operator="containsText" text="Negative">
      <formula>NOT(ISERROR(SEARCH("Negative",L1222)))</formula>
    </cfRule>
  </conditionalFormatting>
  <conditionalFormatting sqref="H1222 J1222:K1222">
    <cfRule type="containsText" dxfId="8561" priority="11088" operator="containsText" text="Missing">
      <formula>NOT(ISERROR(SEARCH("Missing",H1222)))</formula>
    </cfRule>
  </conditionalFormatting>
  <conditionalFormatting sqref="H1196">
    <cfRule type="containsText" dxfId="8560" priority="11053" operator="containsText" text="Missing">
      <formula>NOT(ISERROR(SEARCH("Missing",H1196)))</formula>
    </cfRule>
  </conditionalFormatting>
  <conditionalFormatting sqref="I1177:I1180">
    <cfRule type="containsText" dxfId="8559" priority="11085" operator="containsText" text="Missing">
      <formula>NOT(ISERROR(SEARCH("Missing",I1177)))</formula>
    </cfRule>
  </conditionalFormatting>
  <conditionalFormatting sqref="I1181:I1184">
    <cfRule type="containsText" dxfId="8558" priority="11084" operator="containsText" text="Missing">
      <formula>NOT(ISERROR(SEARCH("Missing",I1181)))</formula>
    </cfRule>
  </conditionalFormatting>
  <conditionalFormatting sqref="I1185:I1188">
    <cfRule type="containsText" dxfId="8557" priority="11083" operator="containsText" text="Missing">
      <formula>NOT(ISERROR(SEARCH("Missing",I1185)))</formula>
    </cfRule>
  </conditionalFormatting>
  <conditionalFormatting sqref="I1189:I1192">
    <cfRule type="containsText" dxfId="8556" priority="11082" operator="containsText" text="Missing">
      <formula>NOT(ISERROR(SEARCH("Missing",I1189)))</formula>
    </cfRule>
  </conditionalFormatting>
  <conditionalFormatting sqref="I1207:I1210">
    <cfRule type="containsText" dxfId="8555" priority="11081" operator="containsText" text="Missing">
      <formula>NOT(ISERROR(SEARCH("Missing",I1207)))</formula>
    </cfRule>
  </conditionalFormatting>
  <conditionalFormatting sqref="I1211:I1214">
    <cfRule type="containsText" dxfId="8554" priority="11080" operator="containsText" text="Missing">
      <formula>NOT(ISERROR(SEARCH("Missing",I1211)))</formula>
    </cfRule>
  </conditionalFormatting>
  <conditionalFormatting sqref="I1215:I1218">
    <cfRule type="containsText" dxfId="8553" priority="11079" operator="containsText" text="Missing">
      <formula>NOT(ISERROR(SEARCH("Missing",I1215)))</formula>
    </cfRule>
  </conditionalFormatting>
  <conditionalFormatting sqref="I1219:I1222">
    <cfRule type="containsText" dxfId="8552" priority="11078" operator="containsText" text="Missing">
      <formula>NOT(ISERROR(SEARCH("Missing",I1219)))</formula>
    </cfRule>
  </conditionalFormatting>
  <conditionalFormatting sqref="I1006:I1010">
    <cfRule type="containsText" dxfId="8551" priority="11077" operator="containsText" text="Missing">
      <formula>NOT(ISERROR(SEARCH("Missing",I1006)))</formula>
    </cfRule>
  </conditionalFormatting>
  <conditionalFormatting sqref="I1011">
    <cfRule type="containsText" dxfId="8550" priority="11076" operator="containsText" text="Missing">
      <formula>NOT(ISERROR(SEARCH("Missing",I1011)))</formula>
    </cfRule>
  </conditionalFormatting>
  <conditionalFormatting sqref="I1012">
    <cfRule type="containsText" dxfId="8549" priority="11075" operator="containsText" text="Missing">
      <formula>NOT(ISERROR(SEARCH("Missing",I1012)))</formula>
    </cfRule>
  </conditionalFormatting>
  <conditionalFormatting sqref="L1194">
    <cfRule type="containsText" dxfId="8548" priority="11073" operator="containsText" text="Positive">
      <formula>NOT(ISERROR(SEARCH("Positive",L1194)))</formula>
    </cfRule>
    <cfRule type="containsText" dxfId="8547" priority="11074" operator="containsText" text="Negative">
      <formula>NOT(ISERROR(SEARCH("Negative",L1194)))</formula>
    </cfRule>
  </conditionalFormatting>
  <conditionalFormatting sqref="J1194:K1194">
    <cfRule type="containsText" dxfId="8546" priority="11070" operator="containsText" text="Missing">
      <formula>NOT(ISERROR(SEARCH("Missing",J1194)))</formula>
    </cfRule>
  </conditionalFormatting>
  <conditionalFormatting sqref="I1194">
    <cfRule type="containsText" dxfId="8545" priority="11069" operator="containsText" text="Missing">
      <formula>NOT(ISERROR(SEARCH("Missing",I1194)))</formula>
    </cfRule>
  </conditionalFormatting>
  <conditionalFormatting sqref="I1193">
    <cfRule type="containsText" dxfId="8544" priority="11065" operator="containsText" text="Missing">
      <formula>NOT(ISERROR(SEARCH("Missing",I1193)))</formula>
    </cfRule>
  </conditionalFormatting>
  <conditionalFormatting sqref="J1193:K1193">
    <cfRule type="containsText" dxfId="8543" priority="11068" operator="containsText" text="Missing">
      <formula>NOT(ISERROR(SEARCH("Missing",J1193)))</formula>
    </cfRule>
  </conditionalFormatting>
  <conditionalFormatting sqref="L1193">
    <cfRule type="containsText" dxfId="8542" priority="11071" operator="containsText" text="Positive">
      <formula>NOT(ISERROR(SEARCH("Positive",L1193)))</formula>
    </cfRule>
    <cfRule type="containsText" dxfId="8541" priority="11072" operator="containsText" text="Negative">
      <formula>NOT(ISERROR(SEARCH("Negative",L1193)))</formula>
    </cfRule>
  </conditionalFormatting>
  <conditionalFormatting sqref="L1193">
    <cfRule type="containsText" dxfId="8540" priority="11066" operator="containsText" text="Positive">
      <formula>NOT(ISERROR(SEARCH("Positive",L1193)))</formula>
    </cfRule>
    <cfRule type="containsText" dxfId="8539" priority="11067" operator="containsText" text="Negative">
      <formula>NOT(ISERROR(SEARCH("Negative",L1193)))</formula>
    </cfRule>
  </conditionalFormatting>
  <conditionalFormatting sqref="H1193">
    <cfRule type="containsText" dxfId="8538" priority="11064" operator="containsText" text="Missing">
      <formula>NOT(ISERROR(SEARCH("Missing",H1193)))</formula>
    </cfRule>
  </conditionalFormatting>
  <conditionalFormatting sqref="H1194">
    <cfRule type="containsText" dxfId="8537" priority="11063" operator="containsText" text="Missing">
      <formula>NOT(ISERROR(SEARCH("Missing",H1194)))</formula>
    </cfRule>
  </conditionalFormatting>
  <conditionalFormatting sqref="L1195">
    <cfRule type="containsText" dxfId="8536" priority="11061" operator="containsText" text="Positive">
      <formula>NOT(ISERROR(SEARCH("Positive",L1195)))</formula>
    </cfRule>
    <cfRule type="containsText" dxfId="8535" priority="11062" operator="containsText" text="Negative">
      <formula>NOT(ISERROR(SEARCH("Negative",L1195)))</formula>
    </cfRule>
  </conditionalFormatting>
  <conditionalFormatting sqref="I1195">
    <cfRule type="containsText" dxfId="8534" priority="11059" operator="containsText" text="Missing">
      <formula>NOT(ISERROR(SEARCH("Missing",I1195)))</formula>
    </cfRule>
  </conditionalFormatting>
  <conditionalFormatting sqref="J1195:K1195">
    <cfRule type="containsText" dxfId="8533" priority="11060" operator="containsText" text="Missing">
      <formula>NOT(ISERROR(SEARCH("Missing",J1195)))</formula>
    </cfRule>
  </conditionalFormatting>
  <conditionalFormatting sqref="H1195">
    <cfRule type="containsText" dxfId="8532" priority="11058" operator="containsText" text="Missing">
      <formula>NOT(ISERROR(SEARCH("Missing",H1195)))</formula>
    </cfRule>
  </conditionalFormatting>
  <conditionalFormatting sqref="L1196">
    <cfRule type="containsText" dxfId="8531" priority="11056" operator="containsText" text="Positive">
      <formula>NOT(ISERROR(SEARCH("Positive",L1196)))</formula>
    </cfRule>
    <cfRule type="containsText" dxfId="8530" priority="11057" operator="containsText" text="Negative">
      <formula>NOT(ISERROR(SEARCH("Negative",L1196)))</formula>
    </cfRule>
  </conditionalFormatting>
  <conditionalFormatting sqref="I1196">
    <cfRule type="containsText" dxfId="8529" priority="11054" operator="containsText" text="Missing">
      <formula>NOT(ISERROR(SEARCH("Missing",I1196)))</formula>
    </cfRule>
  </conditionalFormatting>
  <conditionalFormatting sqref="J1196:K1196">
    <cfRule type="containsText" dxfId="8528" priority="11055" operator="containsText" text="Missing">
      <formula>NOT(ISERROR(SEARCH("Missing",J1196)))</formula>
    </cfRule>
  </conditionalFormatting>
  <conditionalFormatting sqref="L995">
    <cfRule type="containsText" dxfId="8527" priority="11051" operator="containsText" text="Positive">
      <formula>NOT(ISERROR(SEARCH("Positive",L995)))</formula>
    </cfRule>
    <cfRule type="containsText" dxfId="8526" priority="11052" operator="containsText" text="Negative">
      <formula>NOT(ISERROR(SEARCH("Negative",L995)))</formula>
    </cfRule>
  </conditionalFormatting>
  <conditionalFormatting sqref="J995:K995">
    <cfRule type="containsText" dxfId="8525" priority="11050" operator="containsText" text="Missing">
      <formula>NOT(ISERROR(SEARCH("Missing",J995)))</formula>
    </cfRule>
  </conditionalFormatting>
  <conditionalFormatting sqref="I995">
    <cfRule type="containsText" dxfId="8524" priority="11049" operator="containsText" text="Missing">
      <formula>NOT(ISERROR(SEARCH("Missing",I995)))</formula>
    </cfRule>
  </conditionalFormatting>
  <conditionalFormatting sqref="H995">
    <cfRule type="containsText" dxfId="8523" priority="11045" operator="containsText" text="Missing">
      <formula>NOT(ISERROR(SEARCH("Missing",H995)))</formula>
    </cfRule>
  </conditionalFormatting>
  <conditionalFormatting sqref="H995">
    <cfRule type="containsText" dxfId="8522" priority="11048" operator="containsText" text="Missing">
      <formula>NOT(ISERROR(SEARCH("Missing",H995)))</formula>
    </cfRule>
  </conditionalFormatting>
  <conditionalFormatting sqref="H995">
    <cfRule type="containsText" dxfId="8521" priority="11047" operator="containsText" text="Missing">
      <formula>NOT(ISERROR(SEARCH("Missing",H995)))</formula>
    </cfRule>
  </conditionalFormatting>
  <conditionalFormatting sqref="H1000">
    <cfRule type="containsText" dxfId="8520" priority="11030" operator="containsText" text="Missing">
      <formula>NOT(ISERROR(SEARCH("Missing",H1000)))</formula>
    </cfRule>
  </conditionalFormatting>
  <conditionalFormatting sqref="H995">
    <cfRule type="containsText" dxfId="8519" priority="11046" operator="containsText" text="Missing">
      <formula>NOT(ISERROR(SEARCH("Missing",H995)))</formula>
    </cfRule>
  </conditionalFormatting>
  <conditionalFormatting sqref="I996:I1000">
    <cfRule type="containsText" dxfId="8518" priority="11044" operator="containsText" text="Missing">
      <formula>NOT(ISERROR(SEARCH("Missing",I996)))</formula>
    </cfRule>
  </conditionalFormatting>
  <conditionalFormatting sqref="L997">
    <cfRule type="containsText" dxfId="8517" priority="11042" operator="containsText" text="Positive">
      <formula>NOT(ISERROR(SEARCH("Positive",L997)))</formula>
    </cfRule>
    <cfRule type="containsText" dxfId="8516" priority="11043" operator="containsText" text="Negative">
      <formula>NOT(ISERROR(SEARCH("Negative",L997)))</formula>
    </cfRule>
  </conditionalFormatting>
  <conditionalFormatting sqref="J996:K996">
    <cfRule type="containsText" dxfId="8515" priority="11041" operator="containsText" text="Missing">
      <formula>NOT(ISERROR(SEARCH("Missing",J996)))</formula>
    </cfRule>
  </conditionalFormatting>
  <conditionalFormatting sqref="L996">
    <cfRule type="containsText" dxfId="8514" priority="11039" operator="containsText" text="Positive">
      <formula>NOT(ISERROR(SEARCH("Positive",L996)))</formula>
    </cfRule>
    <cfRule type="containsText" dxfId="8513" priority="11040" operator="containsText" text="Negative">
      <formula>NOT(ISERROR(SEARCH("Negative",L996)))</formula>
    </cfRule>
  </conditionalFormatting>
  <conditionalFormatting sqref="J997:K997">
    <cfRule type="containsText" dxfId="8512" priority="11037" operator="containsText" text="Missing">
      <formula>NOT(ISERROR(SEARCH("Missing",J997)))</formula>
    </cfRule>
  </conditionalFormatting>
  <conditionalFormatting sqref="H996">
    <cfRule type="containsText" dxfId="8511" priority="11038" operator="containsText" text="Missing">
      <formula>NOT(ISERROR(SEARCH("Missing",H996)))</formula>
    </cfRule>
  </conditionalFormatting>
  <conditionalFormatting sqref="J998:K1000">
    <cfRule type="containsText" dxfId="8510" priority="11036" operator="containsText" text="Missing">
      <formula>NOT(ISERROR(SEARCH("Missing",J998)))</formula>
    </cfRule>
  </conditionalFormatting>
  <conditionalFormatting sqref="L998:L1000">
    <cfRule type="containsText" dxfId="8509" priority="11034" operator="containsText" text="Positive">
      <formula>NOT(ISERROR(SEARCH("Positive",L998)))</formula>
    </cfRule>
    <cfRule type="containsText" dxfId="8508" priority="11035" operator="containsText" text="Negative">
      <formula>NOT(ISERROR(SEARCH("Negative",L998)))</formula>
    </cfRule>
  </conditionalFormatting>
  <conditionalFormatting sqref="H998">
    <cfRule type="containsText" dxfId="8507" priority="11032" operator="containsText" text="Missing">
      <formula>NOT(ISERROR(SEARCH("Missing",H998)))</formula>
    </cfRule>
  </conditionalFormatting>
  <conditionalFormatting sqref="H999">
    <cfRule type="containsText" dxfId="8506" priority="11031" operator="containsText" text="Missing">
      <formula>NOT(ISERROR(SEARCH("Missing",H999)))</formula>
    </cfRule>
  </conditionalFormatting>
  <conditionalFormatting sqref="H997">
    <cfRule type="containsText" dxfId="8505" priority="11033" operator="containsText" text="Missing">
      <formula>NOT(ISERROR(SEARCH("Missing",H997)))</formula>
    </cfRule>
  </conditionalFormatting>
  <conditionalFormatting sqref="H1122">
    <cfRule type="containsText" dxfId="8504" priority="11007" operator="containsText" text="Missing">
      <formula>NOT(ISERROR(SEARCH("Missing",H1122)))</formula>
    </cfRule>
  </conditionalFormatting>
  <conditionalFormatting sqref="L1117">
    <cfRule type="containsText" dxfId="8503" priority="11028" operator="containsText" text="Positive">
      <formula>NOT(ISERROR(SEARCH("Positive",L1117)))</formula>
    </cfRule>
    <cfRule type="containsText" dxfId="8502" priority="11029" operator="containsText" text="Negative">
      <formula>NOT(ISERROR(SEARCH("Negative",L1117)))</formula>
    </cfRule>
  </conditionalFormatting>
  <conditionalFormatting sqref="J1117:K1117">
    <cfRule type="containsText" dxfId="8501" priority="11027" operator="containsText" text="Missing">
      <formula>NOT(ISERROR(SEARCH("Missing",J1117)))</formula>
    </cfRule>
  </conditionalFormatting>
  <conditionalFormatting sqref="I1117">
    <cfRule type="containsText" dxfId="8500" priority="11026" operator="containsText" text="Missing">
      <formula>NOT(ISERROR(SEARCH("Missing",I1117)))</formula>
    </cfRule>
  </conditionalFormatting>
  <conditionalFormatting sqref="H1117">
    <cfRule type="containsText" dxfId="8499" priority="11022" operator="containsText" text="Missing">
      <formula>NOT(ISERROR(SEARCH("Missing",H1117)))</formula>
    </cfRule>
  </conditionalFormatting>
  <conditionalFormatting sqref="H1117">
    <cfRule type="containsText" dxfId="8498" priority="11025" operator="containsText" text="Missing">
      <formula>NOT(ISERROR(SEARCH("Missing",H1117)))</formula>
    </cfRule>
  </conditionalFormatting>
  <conditionalFormatting sqref="H1117">
    <cfRule type="containsText" dxfId="8497" priority="11024" operator="containsText" text="Missing">
      <formula>NOT(ISERROR(SEARCH("Missing",H1117)))</formula>
    </cfRule>
  </conditionalFormatting>
  <conditionalFormatting sqref="H1117">
    <cfRule type="containsText" dxfId="8496" priority="11023" operator="containsText" text="Missing">
      <formula>NOT(ISERROR(SEARCH("Missing",H1117)))</formula>
    </cfRule>
  </conditionalFormatting>
  <conditionalFormatting sqref="I1118:I1122">
    <cfRule type="containsText" dxfId="8495" priority="11021" operator="containsText" text="Missing">
      <formula>NOT(ISERROR(SEARCH("Missing",I1118)))</formula>
    </cfRule>
  </conditionalFormatting>
  <conditionalFormatting sqref="L1119">
    <cfRule type="containsText" dxfId="8494" priority="11019" operator="containsText" text="Positive">
      <formula>NOT(ISERROR(SEARCH("Positive",L1119)))</formula>
    </cfRule>
    <cfRule type="containsText" dxfId="8493" priority="11020" operator="containsText" text="Negative">
      <formula>NOT(ISERROR(SEARCH("Negative",L1119)))</formula>
    </cfRule>
  </conditionalFormatting>
  <conditionalFormatting sqref="J1118:K1118">
    <cfRule type="containsText" dxfId="8492" priority="11018" operator="containsText" text="Missing">
      <formula>NOT(ISERROR(SEARCH("Missing",J1118)))</formula>
    </cfRule>
  </conditionalFormatting>
  <conditionalFormatting sqref="L1118">
    <cfRule type="containsText" dxfId="8491" priority="11016" operator="containsText" text="Positive">
      <formula>NOT(ISERROR(SEARCH("Positive",L1118)))</formula>
    </cfRule>
    <cfRule type="containsText" dxfId="8490" priority="11017" operator="containsText" text="Negative">
      <formula>NOT(ISERROR(SEARCH("Negative",L1118)))</formula>
    </cfRule>
  </conditionalFormatting>
  <conditionalFormatting sqref="J1119:K1119">
    <cfRule type="containsText" dxfId="8489" priority="11015" operator="containsText" text="Missing">
      <formula>NOT(ISERROR(SEARCH("Missing",J1119)))</formula>
    </cfRule>
  </conditionalFormatting>
  <conditionalFormatting sqref="J1120:K1122">
    <cfRule type="containsText" dxfId="8488" priority="11014" operator="containsText" text="Missing">
      <formula>NOT(ISERROR(SEARCH("Missing",J1120)))</formula>
    </cfRule>
  </conditionalFormatting>
  <conditionalFormatting sqref="L1120:L1122">
    <cfRule type="containsText" dxfId="8487" priority="11012" operator="containsText" text="Positive">
      <formula>NOT(ISERROR(SEARCH("Positive",L1120)))</formula>
    </cfRule>
    <cfRule type="containsText" dxfId="8486" priority="11013" operator="containsText" text="Negative">
      <formula>NOT(ISERROR(SEARCH("Negative",L1120)))</formula>
    </cfRule>
  </conditionalFormatting>
  <conditionalFormatting sqref="H1120">
    <cfRule type="containsText" dxfId="8485" priority="11009" operator="containsText" text="Missing">
      <formula>NOT(ISERROR(SEARCH("Missing",H1120)))</formula>
    </cfRule>
  </conditionalFormatting>
  <conditionalFormatting sqref="H1121">
    <cfRule type="containsText" dxfId="8484" priority="11008" operator="containsText" text="Missing">
      <formula>NOT(ISERROR(SEARCH("Missing",H1121)))</formula>
    </cfRule>
  </conditionalFormatting>
  <conditionalFormatting sqref="H1119">
    <cfRule type="containsText" dxfId="8483" priority="11010" operator="containsText" text="Missing">
      <formula>NOT(ISERROR(SEARCH("Missing",H1119)))</formula>
    </cfRule>
  </conditionalFormatting>
  <conditionalFormatting sqref="H1118">
    <cfRule type="containsText" dxfId="8482" priority="11011" operator="containsText" text="Missing">
      <formula>NOT(ISERROR(SEARCH("Missing",H1118)))</formula>
    </cfRule>
  </conditionalFormatting>
  <conditionalFormatting sqref="H1128:K1137">
    <cfRule type="containsText" dxfId="8481" priority="11006" operator="containsText" text="Missing">
      <formula>NOT(ISERROR(SEARCH("Missing",H1128)))</formula>
    </cfRule>
  </conditionalFormatting>
  <conditionalFormatting sqref="L1128:L1137">
    <cfRule type="containsText" dxfId="8480" priority="11004" operator="containsText" text="Positive">
      <formula>NOT(ISERROR(SEARCH("Positive",L1128)))</formula>
    </cfRule>
    <cfRule type="containsText" dxfId="8479" priority="11005" operator="containsText" text="Negative">
      <formula>NOT(ISERROR(SEARCH("Negative",L1128)))</formula>
    </cfRule>
  </conditionalFormatting>
  <conditionalFormatting sqref="I1035">
    <cfRule type="containsText" dxfId="8478" priority="11003" operator="containsText" text="Missing">
      <formula>NOT(ISERROR(SEARCH("Missing",I1035)))</formula>
    </cfRule>
  </conditionalFormatting>
  <conditionalFormatting sqref="I1036">
    <cfRule type="containsText" dxfId="8477" priority="11002" operator="containsText" text="Missing">
      <formula>NOT(ISERROR(SEARCH("Missing",I1036)))</formula>
    </cfRule>
  </conditionalFormatting>
  <conditionalFormatting sqref="I1037">
    <cfRule type="containsText" dxfId="8476" priority="11001" operator="containsText" text="Missing">
      <formula>NOT(ISERROR(SEARCH("Missing",I1037)))</formula>
    </cfRule>
  </conditionalFormatting>
  <conditionalFormatting sqref="H1159:K1161">
    <cfRule type="containsText" dxfId="8475" priority="11000" operator="containsText" text="Missing">
      <formula>NOT(ISERROR(SEARCH("Missing",H1159)))</formula>
    </cfRule>
  </conditionalFormatting>
  <conditionalFormatting sqref="L1159:L1161">
    <cfRule type="containsText" dxfId="8474" priority="10998" operator="containsText" text="Positive">
      <formula>NOT(ISERROR(SEARCH("Positive",L1159)))</formula>
    </cfRule>
    <cfRule type="containsText" dxfId="8473" priority="10999" operator="containsText" text="Negative">
      <formula>NOT(ISERROR(SEARCH("Negative",L1159)))</formula>
    </cfRule>
  </conditionalFormatting>
  <conditionalFormatting sqref="I1159">
    <cfRule type="containsText" dxfId="8472" priority="10997" operator="containsText" text="Missing">
      <formula>NOT(ISERROR(SEARCH("Missing",I1159)))</formula>
    </cfRule>
  </conditionalFormatting>
  <conditionalFormatting sqref="I1160">
    <cfRule type="containsText" dxfId="8471" priority="10996" operator="containsText" text="Missing">
      <formula>NOT(ISERROR(SEARCH("Missing",I1160)))</formula>
    </cfRule>
  </conditionalFormatting>
  <conditionalFormatting sqref="I1161">
    <cfRule type="containsText" dxfId="8470" priority="10995" operator="containsText" text="Missing">
      <formula>NOT(ISERROR(SEARCH("Missing",I1161)))</formula>
    </cfRule>
  </conditionalFormatting>
  <conditionalFormatting sqref="J1116">
    <cfRule type="containsText" dxfId="8469" priority="10994" operator="containsText" text="Missing">
      <formula>NOT(ISERROR(SEARCH("Missing",J1116)))</formula>
    </cfRule>
  </conditionalFormatting>
  <conditionalFormatting sqref="I1115">
    <cfRule type="containsText" dxfId="8468" priority="10993" operator="containsText" text="Missing">
      <formula>NOT(ISERROR(SEARCH("Missing",I1115)))</formula>
    </cfRule>
  </conditionalFormatting>
  <conditionalFormatting sqref="I1228">
    <cfRule type="containsText" dxfId="8467" priority="10992" operator="containsText" text="Missing">
      <formula>NOT(ISERROR(SEARCH("Missing",I1228)))</formula>
    </cfRule>
  </conditionalFormatting>
  <conditionalFormatting sqref="I1230">
    <cfRule type="containsText" dxfId="8466" priority="10991" operator="containsText" text="Missing">
      <formula>NOT(ISERROR(SEARCH("Missing",I1230)))</formula>
    </cfRule>
  </conditionalFormatting>
  <conditionalFormatting sqref="J1282:K1282 J1341:K1345 J1433:K1436 J1455:K1458 H1341:H1343 H1363:H1365 H1433:H1435 H1458 H1438:K1441 H1460:K1462 H1346:K1348 J1363:K1371 H1368:I1371 J1472:K1472 H1334:K1334 I1301:K1313 H1303:H1313 H1381:K1383 H1384 J1384:K1384">
    <cfRule type="containsText" dxfId="8465" priority="10990" operator="containsText" text="Missing">
      <formula>NOT(ISERROR(SEARCH("Missing",H1282)))</formula>
    </cfRule>
  </conditionalFormatting>
  <conditionalFormatting sqref="L1282 L1339 L1433:L1436 L1341:L1344 L1363:L1366 L1455:L1458 L1370:L1371 L1359 L1381:L1384 L1301:L1313">
    <cfRule type="containsText" dxfId="8464" priority="10988" operator="containsText" text="Positive">
      <formula>NOT(ISERROR(SEARCH("Positive",L1282)))</formula>
    </cfRule>
    <cfRule type="containsText" dxfId="8463" priority="10989" operator="containsText" text="Negative">
      <formula>NOT(ISERROR(SEARCH("Negative",L1282)))</formula>
    </cfRule>
  </conditionalFormatting>
  <conditionalFormatting sqref="I1323:I1325 I1289:I1293">
    <cfRule type="containsText" dxfId="8462" priority="10987" operator="containsText" text="Missing">
      <formula>NOT(ISERROR(SEARCH("Missing",I1289)))</formula>
    </cfRule>
  </conditionalFormatting>
  <conditionalFormatting sqref="L1290 L1335:L1338">
    <cfRule type="containsText" dxfId="8461" priority="10985" operator="containsText" text="Positive">
      <formula>NOT(ISERROR(SEARCH("Positive",L1290)))</formula>
    </cfRule>
    <cfRule type="containsText" dxfId="8460" priority="10986" operator="containsText" text="Negative">
      <formula>NOT(ISERROR(SEARCH("Negative",L1290)))</formula>
    </cfRule>
  </conditionalFormatting>
  <conditionalFormatting sqref="H1335:H1338">
    <cfRule type="containsText" dxfId="8459" priority="10974" operator="containsText" text="Missing">
      <formula>NOT(ISERROR(SEARCH("Missing",H1335)))</formula>
    </cfRule>
  </conditionalFormatting>
  <conditionalFormatting sqref="I1341 I1343">
    <cfRule type="containsText" dxfId="8458" priority="10973" operator="containsText" text="Missing">
      <formula>NOT(ISERROR(SEARCH("Missing",I1341)))</formula>
    </cfRule>
  </conditionalFormatting>
  <conditionalFormatting sqref="J1289:K1289 J1339:K1340">
    <cfRule type="containsText" dxfId="8457" priority="10984" operator="containsText" text="Missing">
      <formula>NOT(ISERROR(SEARCH("Missing",J1289)))</formula>
    </cfRule>
  </conditionalFormatting>
  <conditionalFormatting sqref="I1339">
    <cfRule type="containsText" dxfId="8456" priority="10980" operator="containsText" text="Missing">
      <formula>NOT(ISERROR(SEARCH("Missing",I1339)))</formula>
    </cfRule>
  </conditionalFormatting>
  <conditionalFormatting sqref="L1289">
    <cfRule type="containsText" dxfId="8455" priority="10982" operator="containsText" text="Positive">
      <formula>NOT(ISERROR(SEARCH("Positive",L1289)))</formula>
    </cfRule>
    <cfRule type="containsText" dxfId="8454" priority="10983" operator="containsText" text="Negative">
      <formula>NOT(ISERROR(SEARCH("Negative",L1289)))</formula>
    </cfRule>
  </conditionalFormatting>
  <conditionalFormatting sqref="L1335:L1338">
    <cfRule type="containsText" dxfId="8453" priority="10976" operator="containsText" text="Positive">
      <formula>NOT(ISERROR(SEARCH("Positive",L1335)))</formula>
    </cfRule>
    <cfRule type="containsText" dxfId="8452" priority="10977" operator="containsText" text="Negative">
      <formula>NOT(ISERROR(SEARCH("Negative",L1335)))</formula>
    </cfRule>
  </conditionalFormatting>
  <conditionalFormatting sqref="J1290:K1290">
    <cfRule type="containsText" dxfId="8451" priority="10979" operator="containsText" text="Missing">
      <formula>NOT(ISERROR(SEARCH("Missing",J1290)))</formula>
    </cfRule>
  </conditionalFormatting>
  <conditionalFormatting sqref="J1335:K1338">
    <cfRule type="containsText" dxfId="8450" priority="10978" operator="containsText" text="Missing">
      <formula>NOT(ISERROR(SEARCH("Missing",J1335)))</formula>
    </cfRule>
  </conditionalFormatting>
  <conditionalFormatting sqref="J1323:K1323">
    <cfRule type="containsText" dxfId="8449" priority="10950" operator="containsText" text="Missing">
      <formula>NOT(ISERROR(SEARCH("Missing",J1323)))</formula>
    </cfRule>
  </conditionalFormatting>
  <conditionalFormatting sqref="J1477:K1477">
    <cfRule type="containsText" dxfId="8448" priority="10969" operator="containsText" text="Missing">
      <formula>NOT(ISERROR(SEARCH("Missing",J1477)))</formula>
    </cfRule>
  </conditionalFormatting>
  <conditionalFormatting sqref="H1289">
    <cfRule type="containsText" dxfId="8447" priority="10981" operator="containsText" text="Missing">
      <formula>NOT(ISERROR(SEARCH("Missing",H1289)))</formula>
    </cfRule>
  </conditionalFormatting>
  <conditionalFormatting sqref="J1479:K1479">
    <cfRule type="containsText" dxfId="8446" priority="10962" operator="containsText" text="Missing">
      <formula>NOT(ISERROR(SEARCH("Missing",J1479)))</formula>
    </cfRule>
  </conditionalFormatting>
  <conditionalFormatting sqref="I1335 I1337:I1338">
    <cfRule type="containsText" dxfId="8445" priority="10975" operator="containsText" text="Missing">
      <formula>NOT(ISERROR(SEARCH("Missing",I1335)))</formula>
    </cfRule>
  </conditionalFormatting>
  <conditionalFormatting sqref="H1339">
    <cfRule type="containsText" dxfId="8444" priority="10972" operator="containsText" text="Missing">
      <formula>NOT(ISERROR(SEARCH("Missing",H1339)))</formula>
    </cfRule>
  </conditionalFormatting>
  <conditionalFormatting sqref="J1291:K1293">
    <cfRule type="containsText" dxfId="8443" priority="10956" operator="containsText" text="Missing">
      <formula>NOT(ISERROR(SEARCH("Missing",J1291)))</formula>
    </cfRule>
  </conditionalFormatting>
  <conditionalFormatting sqref="L1477 L1347 L1475">
    <cfRule type="containsText" dxfId="8442" priority="10967" operator="containsText" text="Positive">
      <formula>NOT(ISERROR(SEARCH("Positive",L1347)))</formula>
    </cfRule>
    <cfRule type="containsText" dxfId="8441" priority="10968" operator="containsText" text="Negative">
      <formula>NOT(ISERROR(SEARCH("Negative",L1347)))</formula>
    </cfRule>
  </conditionalFormatting>
  <conditionalFormatting sqref="H1314">
    <cfRule type="containsText" dxfId="8440" priority="10947" operator="containsText" text="Missing">
      <formula>NOT(ISERROR(SEARCH("Missing",H1314)))</formula>
    </cfRule>
  </conditionalFormatting>
  <conditionalFormatting sqref="I1433 I1435">
    <cfRule type="containsText" dxfId="8439" priority="10906" operator="containsText" text="Missing">
      <formula>NOT(ISERROR(SEARCH("Missing",I1433)))</formula>
    </cfRule>
  </conditionalFormatting>
  <conditionalFormatting sqref="J1473:K1474">
    <cfRule type="containsText" dxfId="8438" priority="10971" operator="containsText" text="Missing">
      <formula>NOT(ISERROR(SEARCH("Missing",J1473)))</formula>
    </cfRule>
  </conditionalFormatting>
  <conditionalFormatting sqref="I1342">
    <cfRule type="containsText" dxfId="8437" priority="10959" operator="containsText" text="Missing">
      <formula>NOT(ISERROR(SEARCH("Missing",I1342)))</formula>
    </cfRule>
  </conditionalFormatting>
  <conditionalFormatting sqref="H1323">
    <cfRule type="containsText" dxfId="8436" priority="10946" operator="containsText" text="Missing">
      <formula>NOT(ISERROR(SEARCH("Missing",H1323)))</formula>
    </cfRule>
  </conditionalFormatting>
  <conditionalFormatting sqref="J1475:K1476">
    <cfRule type="containsText" dxfId="8435" priority="10970" operator="containsText" text="Missing">
      <formula>NOT(ISERROR(SEARCH("Missing",J1475)))</formula>
    </cfRule>
  </conditionalFormatting>
  <conditionalFormatting sqref="L1478 L1348 L1472">
    <cfRule type="containsText" dxfId="8434" priority="10963" operator="containsText" text="Positive">
      <formula>NOT(ISERROR(SEARCH("Positive",L1348)))</formula>
    </cfRule>
    <cfRule type="containsText" dxfId="8433" priority="10964" operator="containsText" text="Negative">
      <formula>NOT(ISERROR(SEARCH("Negative",L1348)))</formula>
    </cfRule>
  </conditionalFormatting>
  <conditionalFormatting sqref="J1314:K1315">
    <cfRule type="containsText" dxfId="8432" priority="10953" operator="containsText" text="Missing">
      <formula>NOT(ISERROR(SEARCH("Missing",J1314)))</formula>
    </cfRule>
  </conditionalFormatting>
  <conditionalFormatting sqref="H1324">
    <cfRule type="containsText" dxfId="8431" priority="10944" operator="containsText" text="Missing">
      <formula>NOT(ISERROR(SEARCH("Missing",H1324)))</formula>
    </cfRule>
  </conditionalFormatting>
  <conditionalFormatting sqref="L1473 L1479">
    <cfRule type="containsText" dxfId="8430" priority="10960" operator="containsText" text="Positive">
      <formula>NOT(ISERROR(SEARCH("Positive",L1473)))</formula>
    </cfRule>
    <cfRule type="containsText" dxfId="8429" priority="10961" operator="containsText" text="Negative">
      <formula>NOT(ISERROR(SEARCH("Negative",L1473)))</formula>
    </cfRule>
  </conditionalFormatting>
  <conditionalFormatting sqref="J1329:K1329">
    <cfRule type="containsText" dxfId="8428" priority="10935" operator="containsText" text="Missing">
      <formula>NOT(ISERROR(SEARCH("Missing",J1329)))</formula>
    </cfRule>
  </conditionalFormatting>
  <conditionalFormatting sqref="J1392:K1392 J1431:K1431">
    <cfRule type="containsText" dxfId="8427" priority="10915" operator="containsText" text="Missing">
      <formula>NOT(ISERROR(SEARCH("Missing",J1392)))</formula>
    </cfRule>
  </conditionalFormatting>
  <conditionalFormatting sqref="I1407">
    <cfRule type="containsText" dxfId="8426" priority="10874" operator="containsText" text="Missing">
      <formula>NOT(ISERROR(SEARCH("Missing",I1407)))</formula>
    </cfRule>
  </conditionalFormatting>
  <conditionalFormatting sqref="J1325:K1327">
    <cfRule type="containsText" dxfId="8425" priority="10941" operator="containsText" text="Missing">
      <formula>NOT(ISERROR(SEARCH("Missing",J1325)))</formula>
    </cfRule>
  </conditionalFormatting>
  <conditionalFormatting sqref="L1324">
    <cfRule type="containsText" dxfId="8424" priority="10957" operator="containsText" text="Positive">
      <formula>NOT(ISERROR(SEARCH("Positive",L1324)))</formula>
    </cfRule>
    <cfRule type="containsText" dxfId="8423" priority="10958" operator="containsText" text="Negative">
      <formula>NOT(ISERROR(SEARCH("Negative",L1324)))</formula>
    </cfRule>
  </conditionalFormatting>
  <conditionalFormatting sqref="J1328:K1328">
    <cfRule type="containsText" dxfId="8422" priority="10938" operator="containsText" text="Missing">
      <formula>NOT(ISERROR(SEARCH("Missing",J1328)))</formula>
    </cfRule>
  </conditionalFormatting>
  <conditionalFormatting sqref="J1427:K1427">
    <cfRule type="containsText" dxfId="8421" priority="10910" operator="containsText" text="Missing">
      <formula>NOT(ISERROR(SEARCH("Missing",J1427)))</formula>
    </cfRule>
  </conditionalFormatting>
  <conditionalFormatting sqref="J1393:K1393">
    <cfRule type="containsText" dxfId="8420" priority="10911" operator="containsText" text="Missing">
      <formula>NOT(ISERROR(SEARCH("Missing",J1393)))</formula>
    </cfRule>
  </conditionalFormatting>
  <conditionalFormatting sqref="L1291:L1293">
    <cfRule type="containsText" dxfId="8419" priority="10954" operator="containsText" text="Positive">
      <formula>NOT(ISERROR(SEARCH("Positive",L1291)))</formula>
    </cfRule>
    <cfRule type="containsText" dxfId="8418" priority="10955" operator="containsText" text="Negative">
      <formula>NOT(ISERROR(SEARCH("Negative",L1291)))</formula>
    </cfRule>
  </conditionalFormatting>
  <conditionalFormatting sqref="L1314">
    <cfRule type="containsText" dxfId="8417" priority="10951" operator="containsText" text="Positive">
      <formula>NOT(ISERROR(SEARCH("Positive",L1314)))</formula>
    </cfRule>
    <cfRule type="containsText" dxfId="8416" priority="10952" operator="containsText" text="Negative">
      <formula>NOT(ISERROR(SEARCH("Negative",L1314)))</formula>
    </cfRule>
  </conditionalFormatting>
  <conditionalFormatting sqref="L1323">
    <cfRule type="containsText" dxfId="8415" priority="10948" operator="containsText" text="Positive">
      <formula>NOT(ISERROR(SEARCH("Positive",L1323)))</formula>
    </cfRule>
    <cfRule type="containsText" dxfId="8414" priority="10949" operator="containsText" text="Negative">
      <formula>NOT(ISERROR(SEARCH("Negative",L1323)))</formula>
    </cfRule>
  </conditionalFormatting>
  <conditionalFormatting sqref="L1330">
    <cfRule type="containsText" dxfId="8413" priority="10942" operator="containsText" text="Positive">
      <formula>NOT(ISERROR(SEARCH("Positive",L1330)))</formula>
    </cfRule>
    <cfRule type="containsText" dxfId="8412" priority="10943" operator="containsText" text="Negative">
      <formula>NOT(ISERROR(SEARCH("Negative",L1330)))</formula>
    </cfRule>
  </conditionalFormatting>
  <conditionalFormatting sqref="J1330:K1330">
    <cfRule type="containsText" dxfId="8411" priority="10934" operator="containsText" text="Missing">
      <formula>NOT(ISERROR(SEARCH("Missing",J1330)))</formula>
    </cfRule>
  </conditionalFormatting>
  <conditionalFormatting sqref="L1326:L1327">
    <cfRule type="containsText" dxfId="8410" priority="10939" operator="containsText" text="Positive">
      <formula>NOT(ISERROR(SEARCH("Positive",L1326)))</formula>
    </cfRule>
    <cfRule type="containsText" dxfId="8409" priority="10940" operator="containsText" text="Negative">
      <formula>NOT(ISERROR(SEARCH("Negative",L1326)))</formula>
    </cfRule>
  </conditionalFormatting>
  <conditionalFormatting sqref="I1344:I1345">
    <cfRule type="containsText" dxfId="8408" priority="10925" operator="containsText" text="Missing">
      <formula>NOT(ISERROR(SEARCH("Missing",I1344)))</formula>
    </cfRule>
  </conditionalFormatting>
  <conditionalFormatting sqref="L1328">
    <cfRule type="containsText" dxfId="8407" priority="10936" operator="containsText" text="Positive">
      <formula>NOT(ISERROR(SEARCH("Positive",L1328)))</formula>
    </cfRule>
    <cfRule type="containsText" dxfId="8406" priority="10937" operator="containsText" text="Negative">
      <formula>NOT(ISERROR(SEARCH("Negative",L1328)))</formula>
    </cfRule>
  </conditionalFormatting>
  <conditionalFormatting sqref="I1327">
    <cfRule type="containsText" dxfId="8405" priority="10932" operator="containsText" text="Missing">
      <formula>NOT(ISERROR(SEARCH("Missing",I1327)))</formula>
    </cfRule>
  </conditionalFormatting>
  <conditionalFormatting sqref="I1329">
    <cfRule type="containsText" dxfId="8404" priority="10931" operator="containsText" text="Missing">
      <formula>NOT(ISERROR(SEARCH("Missing",I1329)))</formula>
    </cfRule>
  </conditionalFormatting>
  <conditionalFormatting sqref="J1359:K1359">
    <cfRule type="containsText" dxfId="8403" priority="10859" operator="containsText" text="Missing">
      <formula>NOT(ISERROR(SEARCH("Missing",J1359)))</formula>
    </cfRule>
  </conditionalFormatting>
  <conditionalFormatting sqref="J1413:K1415">
    <cfRule type="containsText" dxfId="8402" priority="10882" operator="containsText" text="Missing">
      <formula>NOT(ISERROR(SEARCH("Missing",J1413)))</formula>
    </cfRule>
  </conditionalFormatting>
  <conditionalFormatting sqref="I1434">
    <cfRule type="containsText" dxfId="8401" priority="10897" operator="containsText" text="Missing">
      <formula>NOT(ISERROR(SEARCH("Missing",I1434)))</formula>
    </cfRule>
  </conditionalFormatting>
  <conditionalFormatting sqref="I1381">
    <cfRule type="containsText" dxfId="8400" priority="10926" operator="containsText" text="Missing">
      <formula>NOT(ISERROR(SEARCH("Missing",I1381)))</formula>
    </cfRule>
  </conditionalFormatting>
  <conditionalFormatting sqref="L1325">
    <cfRule type="containsText" dxfId="8399" priority="10923" operator="containsText" text="Positive">
      <formula>NOT(ISERROR(SEARCH("Positive",L1325)))</formula>
    </cfRule>
    <cfRule type="containsText" dxfId="8398" priority="10924" operator="containsText" text="Negative">
      <formula>NOT(ISERROR(SEARCH("Negative",L1325)))</formula>
    </cfRule>
  </conditionalFormatting>
  <conditionalFormatting sqref="L1381">
    <cfRule type="containsText" dxfId="8397" priority="10921" operator="containsText" text="Positive">
      <formula>NOT(ISERROR(SEARCH("Positive",L1381)))</formula>
    </cfRule>
    <cfRule type="containsText" dxfId="8396" priority="10922" operator="containsText" text="Negative">
      <formula>NOT(ISERROR(SEARCH("Negative",L1381)))</formula>
    </cfRule>
  </conditionalFormatting>
  <conditionalFormatting sqref="L1476 L1346 L1474">
    <cfRule type="containsText" dxfId="8395" priority="10919" operator="containsText" text="Positive">
      <formula>NOT(ISERROR(SEARCH("Positive",L1346)))</formula>
    </cfRule>
    <cfRule type="containsText" dxfId="8394" priority="10920" operator="containsText" text="Negative">
      <formula>NOT(ISERROR(SEARCH("Negative",L1346)))</formula>
    </cfRule>
  </conditionalFormatting>
  <conditionalFormatting sqref="L1431">
    <cfRule type="containsText" dxfId="8393" priority="10904" operator="containsText" text="Positive">
      <formula>NOT(ISERROR(SEARCH("Positive",L1431)))</formula>
    </cfRule>
    <cfRule type="containsText" dxfId="8392" priority="10905" operator="containsText" text="Negative">
      <formula>NOT(ISERROR(SEARCH("Negative",L1431)))</formula>
    </cfRule>
  </conditionalFormatting>
  <conditionalFormatting sqref="I1411:I1413 I1392:I1396">
    <cfRule type="containsText" dxfId="8391" priority="10918" operator="containsText" text="Missing">
      <formula>NOT(ISERROR(SEARCH("Missing",I1392)))</formula>
    </cfRule>
  </conditionalFormatting>
  <conditionalFormatting sqref="L1393 L1427">
    <cfRule type="containsText" dxfId="8390" priority="10916" operator="containsText" text="Positive">
      <formula>NOT(ISERROR(SEARCH("Positive",L1393)))</formula>
    </cfRule>
    <cfRule type="containsText" dxfId="8389" priority="10917" operator="containsText" text="Negative">
      <formula>NOT(ISERROR(SEARCH("Negative",L1393)))</formula>
    </cfRule>
  </conditionalFormatting>
  <conditionalFormatting sqref="J1418:K1418">
    <cfRule type="containsText" dxfId="8388" priority="10875" operator="containsText" text="Missing">
      <formula>NOT(ISERROR(SEARCH("Missing",J1418)))</formula>
    </cfRule>
  </conditionalFormatting>
  <conditionalFormatting sqref="J1394:K1396">
    <cfRule type="containsText" dxfId="8387" priority="10894" operator="containsText" text="Missing">
      <formula>NOT(ISERROR(SEARCH("Missing",J1394)))</formula>
    </cfRule>
  </conditionalFormatting>
  <conditionalFormatting sqref="L1427">
    <cfRule type="containsText" dxfId="8386" priority="10908" operator="containsText" text="Positive">
      <formula>NOT(ISERROR(SEARCH("Positive",L1427)))</formula>
    </cfRule>
    <cfRule type="containsText" dxfId="8385" priority="10909" operator="containsText" text="Negative">
      <formula>NOT(ISERROR(SEARCH("Negative",L1427)))</formula>
    </cfRule>
  </conditionalFormatting>
  <conditionalFormatting sqref="L1412">
    <cfRule type="containsText" dxfId="8384" priority="10895" operator="containsText" text="Positive">
      <formula>NOT(ISERROR(SEARCH("Positive",L1412)))</formula>
    </cfRule>
    <cfRule type="containsText" dxfId="8383" priority="10896" operator="containsText" text="Negative">
      <formula>NOT(ISERROR(SEARCH("Negative",L1412)))</formula>
    </cfRule>
  </conditionalFormatting>
  <conditionalFormatting sqref="I1427">
    <cfRule type="containsText" dxfId="8382" priority="10907" operator="containsText" text="Missing">
      <formula>NOT(ISERROR(SEARCH("Missing",I1427)))</formula>
    </cfRule>
  </conditionalFormatting>
  <conditionalFormatting sqref="J1416:K1416">
    <cfRule type="containsText" dxfId="8381" priority="10879" operator="containsText" text="Missing">
      <formula>NOT(ISERROR(SEARCH("Missing",J1416)))</formula>
    </cfRule>
  </conditionalFormatting>
  <conditionalFormatting sqref="I1431">
    <cfRule type="containsText" dxfId="8380" priority="10912" operator="containsText" text="Missing">
      <formula>NOT(ISERROR(SEARCH("Missing",I1431)))</formula>
    </cfRule>
  </conditionalFormatting>
  <conditionalFormatting sqref="L1407">
    <cfRule type="containsText" dxfId="8379" priority="10889" operator="containsText" text="Positive">
      <formula>NOT(ISERROR(SEARCH("Positive",L1407)))</formula>
    </cfRule>
    <cfRule type="containsText" dxfId="8378" priority="10890" operator="containsText" text="Negative">
      <formula>NOT(ISERROR(SEARCH("Negative",L1407)))</formula>
    </cfRule>
  </conditionalFormatting>
  <conditionalFormatting sqref="J1407:K1407">
    <cfRule type="containsText" dxfId="8377" priority="10891" operator="containsText" text="Missing">
      <formula>NOT(ISERROR(SEARCH("Missing",J1407)))</formula>
    </cfRule>
  </conditionalFormatting>
  <conditionalFormatting sqref="L1431">
    <cfRule type="containsText" dxfId="8376" priority="10902" operator="containsText" text="Positive">
      <formula>NOT(ISERROR(SEARCH("Positive",L1431)))</formula>
    </cfRule>
    <cfRule type="containsText" dxfId="8375" priority="10903" operator="containsText" text="Negative">
      <formula>NOT(ISERROR(SEARCH("Negative",L1431)))</formula>
    </cfRule>
  </conditionalFormatting>
  <conditionalFormatting sqref="I1416">
    <cfRule type="containsText" dxfId="8374" priority="10870" operator="containsText" text="Missing">
      <formula>NOT(ISERROR(SEARCH("Missing",I1416)))</formula>
    </cfRule>
  </conditionalFormatting>
  <conditionalFormatting sqref="I1364">
    <cfRule type="containsText" dxfId="8373" priority="10850" operator="containsText" text="Missing">
      <formula>NOT(ISERROR(SEARCH("Missing",I1364)))</formula>
    </cfRule>
  </conditionalFormatting>
  <conditionalFormatting sqref="L1392">
    <cfRule type="containsText" dxfId="8372" priority="10913" operator="containsText" text="Positive">
      <formula>NOT(ISERROR(SEARCH("Positive",L1392)))</formula>
    </cfRule>
    <cfRule type="containsText" dxfId="8371" priority="10914" operator="containsText" text="Negative">
      <formula>NOT(ISERROR(SEARCH("Negative",L1392)))</formula>
    </cfRule>
  </conditionalFormatting>
  <conditionalFormatting sqref="I1417">
    <cfRule type="containsText" dxfId="8370" priority="10872" operator="containsText" text="Missing">
      <formula>NOT(ISERROR(SEARCH("Missing",I1417)))</formula>
    </cfRule>
  </conditionalFormatting>
  <conditionalFormatting sqref="J1417:K1417">
    <cfRule type="containsText" dxfId="8369" priority="10876" operator="containsText" text="Missing">
      <formula>NOT(ISERROR(SEARCH("Missing",J1417)))</formula>
    </cfRule>
  </conditionalFormatting>
  <conditionalFormatting sqref="L1439">
    <cfRule type="containsText" dxfId="8368" priority="10900" operator="containsText" text="Positive">
      <formula>NOT(ISERROR(SEARCH("Positive",L1439)))</formula>
    </cfRule>
    <cfRule type="containsText" dxfId="8367" priority="10901" operator="containsText" text="Negative">
      <formula>NOT(ISERROR(SEARCH("Negative",L1439)))</formula>
    </cfRule>
  </conditionalFormatting>
  <conditionalFormatting sqref="I1418">
    <cfRule type="containsText" dxfId="8366" priority="10869" operator="containsText" text="Missing">
      <formula>NOT(ISERROR(SEARCH("Missing",I1418)))</formula>
    </cfRule>
  </conditionalFormatting>
  <conditionalFormatting sqref="J1411:K1411">
    <cfRule type="containsText" dxfId="8365" priority="10888" operator="containsText" text="Missing">
      <formula>NOT(ISERROR(SEARCH("Missing",J1411)))</formula>
    </cfRule>
  </conditionalFormatting>
  <conditionalFormatting sqref="L1394:L1396">
    <cfRule type="containsText" dxfId="8364" priority="10892" operator="containsText" text="Positive">
      <formula>NOT(ISERROR(SEARCH("Positive",L1394)))</formula>
    </cfRule>
    <cfRule type="containsText" dxfId="8363" priority="10893" operator="containsText" text="Negative">
      <formula>NOT(ISERROR(SEARCH("Negative",L1394)))</formula>
    </cfRule>
  </conditionalFormatting>
  <conditionalFormatting sqref="L1440:L1441">
    <cfRule type="containsText" dxfId="8362" priority="10898" operator="containsText" text="Positive">
      <formula>NOT(ISERROR(SEARCH("Positive",L1440)))</formula>
    </cfRule>
    <cfRule type="containsText" dxfId="8361" priority="10899" operator="containsText" text="Negative">
      <formula>NOT(ISERROR(SEARCH("Negative",L1440)))</formula>
    </cfRule>
  </conditionalFormatting>
  <conditionalFormatting sqref="L1411">
    <cfRule type="containsText" dxfId="8360" priority="10886" operator="containsText" text="Positive">
      <formula>NOT(ISERROR(SEARCH("Positive",L1411)))</formula>
    </cfRule>
    <cfRule type="containsText" dxfId="8359" priority="10887" operator="containsText" text="Negative">
      <formula>NOT(ISERROR(SEARCH("Negative",L1411)))</formula>
    </cfRule>
  </conditionalFormatting>
  <conditionalFormatting sqref="I1359">
    <cfRule type="containsText" dxfId="8358" priority="10858" operator="containsText" text="Missing">
      <formula>NOT(ISERROR(SEARCH("Missing",I1359)))</formula>
    </cfRule>
  </conditionalFormatting>
  <conditionalFormatting sqref="J1412:K1412">
    <cfRule type="containsText" dxfId="8357" priority="10885" operator="containsText" text="Missing">
      <formula>NOT(ISERROR(SEARCH("Missing",J1412)))</formula>
    </cfRule>
  </conditionalFormatting>
  <conditionalFormatting sqref="I1363 I1365">
    <cfRule type="containsText" dxfId="8356" priority="10853" operator="containsText" text="Missing">
      <formula>NOT(ISERROR(SEARCH("Missing",I1363)))</formula>
    </cfRule>
  </conditionalFormatting>
  <conditionalFormatting sqref="L1418">
    <cfRule type="containsText" dxfId="8355" priority="10883" operator="containsText" text="Positive">
      <formula>NOT(ISERROR(SEARCH("Positive",L1418)))</formula>
    </cfRule>
    <cfRule type="containsText" dxfId="8354" priority="10884" operator="containsText" text="Negative">
      <formula>NOT(ISERROR(SEARCH("Negative",L1418)))</formula>
    </cfRule>
  </conditionalFormatting>
  <conditionalFormatting sqref="I1456">
    <cfRule type="containsText" dxfId="8353" priority="10841" operator="containsText" text="Missing">
      <formula>NOT(ISERROR(SEARCH("Missing",I1456)))</formula>
    </cfRule>
  </conditionalFormatting>
  <conditionalFormatting sqref="I1358">
    <cfRule type="containsText" dxfId="8352" priority="10854" operator="containsText" text="Missing">
      <formula>NOT(ISERROR(SEARCH("Missing",I1358)))</formula>
    </cfRule>
  </conditionalFormatting>
  <conditionalFormatting sqref="L1414:L1415">
    <cfRule type="containsText" dxfId="8351" priority="10880" operator="containsText" text="Positive">
      <formula>NOT(ISERROR(SEARCH("Positive",L1414)))</formula>
    </cfRule>
    <cfRule type="containsText" dxfId="8350" priority="10881" operator="containsText" text="Negative">
      <formula>NOT(ISERROR(SEARCH("Negative",L1414)))</formula>
    </cfRule>
  </conditionalFormatting>
  <conditionalFormatting sqref="L1416">
    <cfRule type="containsText" dxfId="8349" priority="10877" operator="containsText" text="Positive">
      <formula>NOT(ISERROR(SEARCH("Positive",L1416)))</formula>
    </cfRule>
    <cfRule type="containsText" dxfId="8348" priority="10878" operator="containsText" text="Negative">
      <formula>NOT(ISERROR(SEARCH("Negative",L1416)))</formula>
    </cfRule>
  </conditionalFormatting>
  <conditionalFormatting sqref="J1358:K1358">
    <cfRule type="containsText" dxfId="8347" priority="10857" operator="containsText" text="Missing">
      <formula>NOT(ISERROR(SEARCH("Missing",J1358)))</formula>
    </cfRule>
  </conditionalFormatting>
  <conditionalFormatting sqref="I1414">
    <cfRule type="containsText" dxfId="8346" priority="10871" operator="containsText" text="Missing">
      <formula>NOT(ISERROR(SEARCH("Missing",I1414)))</formula>
    </cfRule>
  </conditionalFormatting>
  <conditionalFormatting sqref="I1415">
    <cfRule type="containsText" dxfId="8345" priority="10873" operator="containsText" text="Missing">
      <formula>NOT(ISERROR(SEARCH("Missing",I1415)))</formula>
    </cfRule>
  </conditionalFormatting>
  <conditionalFormatting sqref="I1436">
    <cfRule type="containsText" dxfId="8344" priority="10868" operator="containsText" text="Missing">
      <formula>NOT(ISERROR(SEARCH("Missing",I1436)))</formula>
    </cfRule>
  </conditionalFormatting>
  <conditionalFormatting sqref="L1413">
    <cfRule type="containsText" dxfId="8343" priority="10866" operator="containsText" text="Positive">
      <formula>NOT(ISERROR(SEARCH("Positive",L1413)))</formula>
    </cfRule>
    <cfRule type="containsText" dxfId="8342" priority="10867" operator="containsText" text="Negative">
      <formula>NOT(ISERROR(SEARCH("Negative",L1413)))</formula>
    </cfRule>
  </conditionalFormatting>
  <conditionalFormatting sqref="L1417">
    <cfRule type="containsText" dxfId="8341" priority="10864" operator="containsText" text="Positive">
      <formula>NOT(ISERROR(SEARCH("Positive",L1417)))</formula>
    </cfRule>
    <cfRule type="containsText" dxfId="8340" priority="10865" operator="containsText" text="Negative">
      <formula>NOT(ISERROR(SEARCH("Negative",L1417)))</formula>
    </cfRule>
  </conditionalFormatting>
  <conditionalFormatting sqref="L1438">
    <cfRule type="containsText" dxfId="8339" priority="10862" operator="containsText" text="Positive">
      <formula>NOT(ISERROR(SEARCH("Positive",L1438)))</formula>
    </cfRule>
    <cfRule type="containsText" dxfId="8338" priority="10863" operator="containsText" text="Negative">
      <formula>NOT(ISERROR(SEARCH("Negative",L1438)))</formula>
    </cfRule>
  </conditionalFormatting>
  <conditionalFormatting sqref="L1358">
    <cfRule type="containsText" dxfId="8337" priority="10860" operator="containsText" text="Positive">
      <formula>NOT(ISERROR(SEARCH("Positive",L1358)))</formula>
    </cfRule>
    <cfRule type="containsText" dxfId="8336" priority="10861" operator="containsText" text="Negative">
      <formula>NOT(ISERROR(SEARCH("Negative",L1358)))</formula>
    </cfRule>
  </conditionalFormatting>
  <conditionalFormatting sqref="I1366">
    <cfRule type="containsText" dxfId="8335" priority="10849" operator="containsText" text="Missing">
      <formula>NOT(ISERROR(SEARCH("Missing",I1366)))</formula>
    </cfRule>
  </conditionalFormatting>
  <conditionalFormatting sqref="I1458">
    <cfRule type="containsText" dxfId="8334" priority="10840" operator="containsText" text="Missing">
      <formula>NOT(ISERROR(SEARCH("Missing",I1458)))</formula>
    </cfRule>
  </conditionalFormatting>
  <conditionalFormatting sqref="L1358">
    <cfRule type="containsText" dxfId="8333" priority="10855" operator="containsText" text="Positive">
      <formula>NOT(ISERROR(SEARCH("Positive",L1358)))</formula>
    </cfRule>
    <cfRule type="containsText" dxfId="8332" priority="10856" operator="containsText" text="Negative">
      <formula>NOT(ISERROR(SEARCH("Negative",L1358)))</formula>
    </cfRule>
  </conditionalFormatting>
  <conditionalFormatting sqref="L1369">
    <cfRule type="containsText" dxfId="8331" priority="10851" operator="containsText" text="Positive">
      <formula>NOT(ISERROR(SEARCH("Positive",L1369)))</formula>
    </cfRule>
    <cfRule type="containsText" dxfId="8330" priority="10852" operator="containsText" text="Negative">
      <formula>NOT(ISERROR(SEARCH("Negative",L1369)))</formula>
    </cfRule>
  </conditionalFormatting>
  <conditionalFormatting sqref="L1368">
    <cfRule type="containsText" dxfId="8329" priority="10847" operator="containsText" text="Positive">
      <formula>NOT(ISERROR(SEARCH("Positive",L1368)))</formula>
    </cfRule>
    <cfRule type="containsText" dxfId="8328" priority="10848" operator="containsText" text="Negative">
      <formula>NOT(ISERROR(SEARCH("Negative",L1368)))</formula>
    </cfRule>
  </conditionalFormatting>
  <conditionalFormatting sqref="I1455 I1457">
    <cfRule type="containsText" dxfId="8327" priority="10846" operator="containsText" text="Missing">
      <formula>NOT(ISERROR(SEARCH("Missing",I1455)))</formula>
    </cfRule>
  </conditionalFormatting>
  <conditionalFormatting sqref="L1461">
    <cfRule type="containsText" dxfId="8326" priority="10844" operator="containsText" text="Positive">
      <formula>NOT(ISERROR(SEARCH("Positive",L1461)))</formula>
    </cfRule>
    <cfRule type="containsText" dxfId="8325" priority="10845" operator="containsText" text="Negative">
      <formula>NOT(ISERROR(SEARCH("Negative",L1461)))</formula>
    </cfRule>
  </conditionalFormatting>
  <conditionalFormatting sqref="L1462">
    <cfRule type="containsText" dxfId="8324" priority="10842" operator="containsText" text="Positive">
      <formula>NOT(ISERROR(SEARCH("Positive",L1462)))</formula>
    </cfRule>
    <cfRule type="containsText" dxfId="8323" priority="10843" operator="containsText" text="Negative">
      <formula>NOT(ISERROR(SEARCH("Negative",L1462)))</formula>
    </cfRule>
  </conditionalFormatting>
  <conditionalFormatting sqref="L1460">
    <cfRule type="containsText" dxfId="8322" priority="10838" operator="containsText" text="Positive">
      <formula>NOT(ISERROR(SEARCH("Positive",L1460)))</formula>
    </cfRule>
    <cfRule type="containsText" dxfId="8321" priority="10839" operator="containsText" text="Negative">
      <formula>NOT(ISERROR(SEARCH("Negative",L1460)))</formula>
    </cfRule>
  </conditionalFormatting>
  <conditionalFormatting sqref="L1319">
    <cfRule type="containsText" dxfId="8320" priority="10836" operator="containsText" text="Positive">
      <formula>NOT(ISERROR(SEARCH("Positive",L1319)))</formula>
    </cfRule>
    <cfRule type="containsText" dxfId="8319" priority="10837" operator="containsText" text="Negative">
      <formula>NOT(ISERROR(SEARCH("Negative",L1319)))</formula>
    </cfRule>
  </conditionalFormatting>
  <conditionalFormatting sqref="L1320">
    <cfRule type="containsText" dxfId="8318" priority="10834" operator="containsText" text="Positive">
      <formula>NOT(ISERROR(SEARCH("Positive",L1320)))</formula>
    </cfRule>
    <cfRule type="containsText" dxfId="8317" priority="10835" operator="containsText" text="Negative">
      <formula>NOT(ISERROR(SEARCH("Negative",L1320)))</formula>
    </cfRule>
  </conditionalFormatting>
  <conditionalFormatting sqref="I1319">
    <cfRule type="containsText" dxfId="8316" priority="10833" operator="containsText" text="Missing">
      <formula>NOT(ISERROR(SEARCH("Missing",I1319)))</formula>
    </cfRule>
  </conditionalFormatting>
  <conditionalFormatting sqref="I1320">
    <cfRule type="containsText" dxfId="8315" priority="10832" operator="containsText" text="Missing">
      <formula>NOT(ISERROR(SEARCH("Missing",I1320)))</formula>
    </cfRule>
  </conditionalFormatting>
  <conditionalFormatting sqref="H1329">
    <cfRule type="containsText" dxfId="8314" priority="10815" operator="containsText" text="Missing">
      <formula>NOT(ISERROR(SEARCH("Missing",H1329)))</formula>
    </cfRule>
  </conditionalFormatting>
  <conditionalFormatting sqref="I1473">
    <cfRule type="containsText" dxfId="8313" priority="10830" operator="containsText" text="Missing">
      <formula>NOT(ISERROR(SEARCH("Missing",I1473)))</formula>
    </cfRule>
  </conditionalFormatting>
  <conditionalFormatting sqref="I1476">
    <cfRule type="containsText" dxfId="8312" priority="10827" operator="containsText" text="Missing">
      <formula>NOT(ISERROR(SEARCH("Missing",I1476)))</formula>
    </cfRule>
  </conditionalFormatting>
  <conditionalFormatting sqref="H1282">
    <cfRule type="containsText" dxfId="8311" priority="10825" operator="containsText" text="Missing">
      <formula>NOT(ISERROR(SEARCH("Missing",H1282)))</formula>
    </cfRule>
  </conditionalFormatting>
  <conditionalFormatting sqref="I1472">
    <cfRule type="containsText" dxfId="8310" priority="10831" operator="containsText" text="Missing">
      <formula>NOT(ISERROR(SEARCH("Missing",I1472)))</formula>
    </cfRule>
  </conditionalFormatting>
  <conditionalFormatting sqref="H1291">
    <cfRule type="containsText" dxfId="8309" priority="10823" operator="containsText" text="Missing">
      <formula>NOT(ISERROR(SEARCH("Missing",H1291)))</formula>
    </cfRule>
  </conditionalFormatting>
  <conditionalFormatting sqref="H1325">
    <cfRule type="containsText" dxfId="8308" priority="10820" operator="containsText" text="Missing">
      <formula>NOT(ISERROR(SEARCH("Missing",H1325)))</formula>
    </cfRule>
  </conditionalFormatting>
  <conditionalFormatting sqref="I1474">
    <cfRule type="containsText" dxfId="8307" priority="10829" operator="containsText" text="Missing">
      <formula>NOT(ISERROR(SEARCH("Missing",I1474)))</formula>
    </cfRule>
  </conditionalFormatting>
  <conditionalFormatting sqref="I1475">
    <cfRule type="containsText" dxfId="8306" priority="10828" operator="containsText" text="Missing">
      <formula>NOT(ISERROR(SEARCH("Missing",I1475)))</formula>
    </cfRule>
  </conditionalFormatting>
  <conditionalFormatting sqref="I1478">
    <cfRule type="containsText" dxfId="8305" priority="10826" operator="containsText" text="Missing">
      <formula>NOT(ISERROR(SEARCH("Missing",I1478)))</formula>
    </cfRule>
  </conditionalFormatting>
  <conditionalFormatting sqref="H1292">
    <cfRule type="containsText" dxfId="8304" priority="10822" operator="containsText" text="Missing">
      <formula>NOT(ISERROR(SEARCH("Missing",H1292)))</formula>
    </cfRule>
  </conditionalFormatting>
  <conditionalFormatting sqref="H1290">
    <cfRule type="containsText" dxfId="8303" priority="10824" operator="containsText" text="Missing">
      <formula>NOT(ISERROR(SEARCH("Missing",H1290)))</formula>
    </cfRule>
  </conditionalFormatting>
  <conditionalFormatting sqref="H1293">
    <cfRule type="containsText" dxfId="8302" priority="10821" operator="containsText" text="Missing">
      <formula>NOT(ISERROR(SEARCH("Missing",H1293)))</formula>
    </cfRule>
  </conditionalFormatting>
  <conditionalFormatting sqref="H1326">
    <cfRule type="containsText" dxfId="8301" priority="10819" operator="containsText" text="Missing">
      <formula>NOT(ISERROR(SEARCH("Missing",H1326)))</formula>
    </cfRule>
  </conditionalFormatting>
  <conditionalFormatting sqref="H1328">
    <cfRule type="containsText" dxfId="8300" priority="10817" operator="containsText" text="Missing">
      <formula>NOT(ISERROR(SEARCH("Missing",H1328)))</formula>
    </cfRule>
  </conditionalFormatting>
  <conditionalFormatting sqref="H1327">
    <cfRule type="containsText" dxfId="8299" priority="10818" operator="containsText" text="Missing">
      <formula>NOT(ISERROR(SEARCH("Missing",H1327)))</formula>
    </cfRule>
  </conditionalFormatting>
  <conditionalFormatting sqref="H1330">
    <cfRule type="containsText" dxfId="8298" priority="10816" operator="containsText" text="Missing">
      <formula>NOT(ISERROR(SEARCH("Missing",H1330)))</formula>
    </cfRule>
  </conditionalFormatting>
  <conditionalFormatting sqref="J1480:K1480">
    <cfRule type="containsText" dxfId="8297" priority="10812" operator="containsText" text="Missing">
      <formula>NOT(ISERROR(SEARCH("Missing",J1480)))</formula>
    </cfRule>
  </conditionalFormatting>
  <conditionalFormatting sqref="H1416">
    <cfRule type="containsText" dxfId="8296" priority="10794" operator="containsText" text="Missing">
      <formula>NOT(ISERROR(SEARCH("Missing",H1416)))</formula>
    </cfRule>
  </conditionalFormatting>
  <conditionalFormatting sqref="J1481:K1482">
    <cfRule type="containsText" dxfId="8295" priority="10811" operator="containsText" text="Missing">
      <formula>NOT(ISERROR(SEARCH("Missing",J1481)))</formula>
    </cfRule>
  </conditionalFormatting>
  <conditionalFormatting sqref="I1481 I1485">
    <cfRule type="containsText" dxfId="8294" priority="10810" operator="containsText" text="Missing">
      <formula>NOT(ISERROR(SEARCH("Missing",I1481)))</formula>
    </cfRule>
  </conditionalFormatting>
  <conditionalFormatting sqref="L1480:L1482">
    <cfRule type="containsText" dxfId="8293" priority="10813" operator="containsText" text="Positive">
      <formula>NOT(ISERROR(SEARCH("Positive",L1480)))</formula>
    </cfRule>
    <cfRule type="containsText" dxfId="8292" priority="10814" operator="containsText" text="Negative">
      <formula>NOT(ISERROR(SEARCH("Negative",L1480)))</formula>
    </cfRule>
  </conditionalFormatting>
  <conditionalFormatting sqref="I1480 I1482 I1486 I1484">
    <cfRule type="containsText" dxfId="8291" priority="10809" operator="containsText" text="Missing">
      <formula>NOT(ISERROR(SEARCH("Missing",I1480)))</formula>
    </cfRule>
  </conditionalFormatting>
  <conditionalFormatting sqref="H1474">
    <cfRule type="containsText" dxfId="8290" priority="10785" operator="containsText" text="Missing">
      <formula>NOT(ISERROR(SEARCH("Missing",H1474)))</formula>
    </cfRule>
  </conditionalFormatting>
  <conditionalFormatting sqref="H1427">
    <cfRule type="containsText" dxfId="8289" priority="10791" operator="containsText" text="Missing">
      <formula>NOT(ISERROR(SEARCH("Missing",H1427)))</formula>
    </cfRule>
  </conditionalFormatting>
  <conditionalFormatting sqref="H1358">
    <cfRule type="containsText" dxfId="8288" priority="10808" operator="containsText" text="Missing">
      <formula>NOT(ISERROR(SEARCH("Missing",H1358)))</formula>
    </cfRule>
  </conditionalFormatting>
  <conditionalFormatting sqref="H1359">
    <cfRule type="containsText" dxfId="8287" priority="10807" operator="containsText" text="Missing">
      <formula>NOT(ISERROR(SEARCH("Missing",H1359)))</formula>
    </cfRule>
  </conditionalFormatting>
  <conditionalFormatting sqref="H1455:H1457">
    <cfRule type="containsText" dxfId="8286" priority="10789" operator="containsText" text="Missing">
      <formula>NOT(ISERROR(SEARCH("Missing",H1455)))</formula>
    </cfRule>
  </conditionalFormatting>
  <conditionalFormatting sqref="H1366">
    <cfRule type="containsText" dxfId="8285" priority="10806" operator="containsText" text="Missing">
      <formula>NOT(ISERROR(SEARCH("Missing",H1366)))</formula>
    </cfRule>
  </conditionalFormatting>
  <conditionalFormatting sqref="H1418">
    <cfRule type="containsText" dxfId="8284" priority="10793" operator="containsText" text="Missing">
      <formula>NOT(ISERROR(SEARCH("Missing",H1418)))</formula>
    </cfRule>
  </conditionalFormatting>
  <conditionalFormatting sqref="H1394">
    <cfRule type="containsText" dxfId="8283" priority="10803" operator="containsText" text="Missing">
      <formula>NOT(ISERROR(SEARCH("Missing",H1394)))</formula>
    </cfRule>
  </conditionalFormatting>
  <conditionalFormatting sqref="H1417">
    <cfRule type="containsText" dxfId="8282" priority="10792" operator="containsText" text="Missing">
      <formula>NOT(ISERROR(SEARCH("Missing",H1417)))</formula>
    </cfRule>
  </conditionalFormatting>
  <conditionalFormatting sqref="H1475">
    <cfRule type="containsText" dxfId="8281" priority="10787" operator="containsText" text="Missing">
      <formula>NOT(ISERROR(SEARCH("Missing",H1475)))</formula>
    </cfRule>
  </conditionalFormatting>
  <conditionalFormatting sqref="H1431">
    <cfRule type="containsText" dxfId="8280" priority="10790" operator="containsText" text="Missing">
      <formula>NOT(ISERROR(SEARCH("Missing",H1431)))</formula>
    </cfRule>
  </conditionalFormatting>
  <conditionalFormatting sqref="H1392">
    <cfRule type="containsText" dxfId="8279" priority="10805" operator="containsText" text="Missing">
      <formula>NOT(ISERROR(SEARCH("Missing",H1392)))</formula>
    </cfRule>
  </conditionalFormatting>
  <conditionalFormatting sqref="H1395">
    <cfRule type="containsText" dxfId="8278" priority="10802" operator="containsText" text="Missing">
      <formula>NOT(ISERROR(SEARCH("Missing",H1395)))</formula>
    </cfRule>
  </conditionalFormatting>
  <conditionalFormatting sqref="H1393">
    <cfRule type="containsText" dxfId="8277" priority="10804" operator="containsText" text="Missing">
      <formula>NOT(ISERROR(SEARCH("Missing",H1393)))</formula>
    </cfRule>
  </conditionalFormatting>
  <conditionalFormatting sqref="H1407">
    <cfRule type="containsText" dxfId="8276" priority="10800" operator="containsText" text="Missing">
      <formula>NOT(ISERROR(SEARCH("Missing",H1407)))</formula>
    </cfRule>
  </conditionalFormatting>
  <conditionalFormatting sqref="H1396">
    <cfRule type="containsText" dxfId="8275" priority="10801" operator="containsText" text="Missing">
      <formula>NOT(ISERROR(SEARCH("Missing",H1396)))</formula>
    </cfRule>
  </conditionalFormatting>
  <conditionalFormatting sqref="H1415">
    <cfRule type="containsText" dxfId="8274" priority="10795" operator="containsText" text="Missing">
      <formula>NOT(ISERROR(SEARCH("Missing",H1415)))</formula>
    </cfRule>
  </conditionalFormatting>
  <conditionalFormatting sqref="H1411">
    <cfRule type="containsText" dxfId="8273" priority="10799" operator="containsText" text="Missing">
      <formula>NOT(ISERROR(SEARCH("Missing",H1411)))</formula>
    </cfRule>
  </conditionalFormatting>
  <conditionalFormatting sqref="H1412">
    <cfRule type="containsText" dxfId="8272" priority="10798" operator="containsText" text="Missing">
      <formula>NOT(ISERROR(SEARCH("Missing",H1412)))</formula>
    </cfRule>
  </conditionalFormatting>
  <conditionalFormatting sqref="H1414">
    <cfRule type="containsText" dxfId="8271" priority="10796" operator="containsText" text="Missing">
      <formula>NOT(ISERROR(SEARCH("Missing",H1414)))</formula>
    </cfRule>
  </conditionalFormatting>
  <conditionalFormatting sqref="H1413">
    <cfRule type="containsText" dxfId="8270" priority="10797" operator="containsText" text="Missing">
      <formula>NOT(ISERROR(SEARCH("Missing",H1413)))</formula>
    </cfRule>
  </conditionalFormatting>
  <conditionalFormatting sqref="H1476">
    <cfRule type="containsText" dxfId="8269" priority="10784" operator="containsText" text="Missing">
      <formula>NOT(ISERROR(SEARCH("Missing",H1476)))</formula>
    </cfRule>
  </conditionalFormatting>
  <conditionalFormatting sqref="H1473">
    <cfRule type="containsText" dxfId="8268" priority="10786" operator="containsText" text="Missing">
      <formula>NOT(ISERROR(SEARCH("Missing",H1473)))</formula>
    </cfRule>
  </conditionalFormatting>
  <conditionalFormatting sqref="H1472">
    <cfRule type="containsText" dxfId="8267" priority="10788" operator="containsText" text="Missing">
      <formula>NOT(ISERROR(SEARCH("Missing",H1472)))</formula>
    </cfRule>
  </conditionalFormatting>
  <conditionalFormatting sqref="H1478">
    <cfRule type="containsText" dxfId="8266" priority="10782" operator="containsText" text="Missing">
      <formula>NOT(ISERROR(SEARCH("Missing",H1478)))</formula>
    </cfRule>
  </conditionalFormatting>
  <conditionalFormatting sqref="J1491:K1491">
    <cfRule type="containsText" dxfId="8265" priority="10769" operator="containsText" text="Missing">
      <formula>NOT(ISERROR(SEARCH("Missing",J1491)))</formula>
    </cfRule>
  </conditionalFormatting>
  <conditionalFormatting sqref="H1479">
    <cfRule type="containsText" dxfId="8264" priority="10783" operator="containsText" text="Missing">
      <formula>NOT(ISERROR(SEARCH("Missing",H1479)))</formula>
    </cfRule>
  </conditionalFormatting>
  <conditionalFormatting sqref="J1484:K1484">
    <cfRule type="containsText" dxfId="8263" priority="10779" operator="containsText" text="Missing">
      <formula>NOT(ISERROR(SEARCH("Missing",J1484)))</formula>
    </cfRule>
  </conditionalFormatting>
  <conditionalFormatting sqref="J1485:K1486">
    <cfRule type="containsText" dxfId="8262" priority="10778" operator="containsText" text="Missing">
      <formula>NOT(ISERROR(SEARCH("Missing",J1485)))</formula>
    </cfRule>
  </conditionalFormatting>
  <conditionalFormatting sqref="J1488:K1489">
    <cfRule type="containsText" dxfId="8261" priority="10772" operator="containsText" text="Missing">
      <formula>NOT(ISERROR(SEARCH("Missing",J1488)))</formula>
    </cfRule>
  </conditionalFormatting>
  <conditionalFormatting sqref="L1484:L1486">
    <cfRule type="containsText" dxfId="8260" priority="10780" operator="containsText" text="Positive">
      <formula>NOT(ISERROR(SEARCH("Positive",L1484)))</formula>
    </cfRule>
    <cfRule type="containsText" dxfId="8259" priority="10781" operator="containsText" text="Negative">
      <formula>NOT(ISERROR(SEARCH("Negative",L1484)))</formula>
    </cfRule>
  </conditionalFormatting>
  <conditionalFormatting sqref="I1488">
    <cfRule type="containsText" dxfId="8258" priority="10777" operator="containsText" text="Missing">
      <formula>NOT(ISERROR(SEARCH("Missing",I1488)))</formula>
    </cfRule>
  </conditionalFormatting>
  <conditionalFormatting sqref="I1487 I1489">
    <cfRule type="containsText" dxfId="8257" priority="10776" operator="containsText" text="Missing">
      <formula>NOT(ISERROR(SEARCH("Missing",I1487)))</formula>
    </cfRule>
  </conditionalFormatting>
  <conditionalFormatting sqref="J1487:K1487">
    <cfRule type="containsText" dxfId="8256" priority="10773" operator="containsText" text="Missing">
      <formula>NOT(ISERROR(SEARCH("Missing",J1487)))</formula>
    </cfRule>
  </conditionalFormatting>
  <conditionalFormatting sqref="L1487:L1489">
    <cfRule type="containsText" dxfId="8255" priority="10774" operator="containsText" text="Positive">
      <formula>NOT(ISERROR(SEARCH("Positive",L1487)))</formula>
    </cfRule>
    <cfRule type="containsText" dxfId="8254" priority="10775" operator="containsText" text="Negative">
      <formula>NOT(ISERROR(SEARCH("Negative",L1487)))</formula>
    </cfRule>
  </conditionalFormatting>
  <conditionalFormatting sqref="L1491:L1493">
    <cfRule type="containsText" dxfId="8253" priority="10770" operator="containsText" text="Positive">
      <formula>NOT(ISERROR(SEARCH("Positive",L1491)))</formula>
    </cfRule>
    <cfRule type="containsText" dxfId="8252" priority="10771" operator="containsText" text="Negative">
      <formula>NOT(ISERROR(SEARCH("Negative",L1491)))</formula>
    </cfRule>
  </conditionalFormatting>
  <conditionalFormatting sqref="I1492 I1496">
    <cfRule type="containsText" dxfId="8251" priority="10767" operator="containsText" text="Missing">
      <formula>NOT(ISERROR(SEARCH("Missing",I1492)))</formula>
    </cfRule>
  </conditionalFormatting>
  <conditionalFormatting sqref="J1492:K1493">
    <cfRule type="containsText" dxfId="8250" priority="10768" operator="containsText" text="Missing">
      <formula>NOT(ISERROR(SEARCH("Missing",J1492)))</formula>
    </cfRule>
  </conditionalFormatting>
  <conditionalFormatting sqref="I1491 I1497 I1493:I1495">
    <cfRule type="containsText" dxfId="8249" priority="10766" operator="containsText" text="Missing">
      <formula>NOT(ISERROR(SEARCH("Missing",I1491)))</formula>
    </cfRule>
  </conditionalFormatting>
  <conditionalFormatting sqref="J1496:K1497">
    <cfRule type="containsText" dxfId="8248" priority="10762" operator="containsText" text="Missing">
      <formula>NOT(ISERROR(SEARCH("Missing",J1496)))</formula>
    </cfRule>
  </conditionalFormatting>
  <conditionalFormatting sqref="J1499:K1500">
    <cfRule type="containsText" dxfId="8247" priority="10756" operator="containsText" text="Missing">
      <formula>NOT(ISERROR(SEARCH("Missing",J1499)))</formula>
    </cfRule>
  </conditionalFormatting>
  <conditionalFormatting sqref="J1495:K1495">
    <cfRule type="containsText" dxfId="8246" priority="10763" operator="containsText" text="Missing">
      <formula>NOT(ISERROR(SEARCH("Missing",J1495)))</formula>
    </cfRule>
  </conditionalFormatting>
  <conditionalFormatting sqref="L1495:L1497">
    <cfRule type="containsText" dxfId="8245" priority="10764" operator="containsText" text="Positive">
      <formula>NOT(ISERROR(SEARCH("Positive",L1495)))</formula>
    </cfRule>
    <cfRule type="containsText" dxfId="8244" priority="10765" operator="containsText" text="Negative">
      <formula>NOT(ISERROR(SEARCH("Negative",L1495)))</formula>
    </cfRule>
  </conditionalFormatting>
  <conditionalFormatting sqref="I1499">
    <cfRule type="containsText" dxfId="8243" priority="10761" operator="containsText" text="Missing">
      <formula>NOT(ISERROR(SEARCH("Missing",I1499)))</formula>
    </cfRule>
  </conditionalFormatting>
  <conditionalFormatting sqref="I1498 I1500">
    <cfRule type="containsText" dxfId="8242" priority="10760" operator="containsText" text="Missing">
      <formula>NOT(ISERROR(SEARCH("Missing",I1498)))</formula>
    </cfRule>
  </conditionalFormatting>
  <conditionalFormatting sqref="J1498:K1498">
    <cfRule type="containsText" dxfId="8241" priority="10757" operator="containsText" text="Missing">
      <formula>NOT(ISERROR(SEARCH("Missing",J1498)))</formula>
    </cfRule>
  </conditionalFormatting>
  <conditionalFormatting sqref="L1498:L1500">
    <cfRule type="containsText" dxfId="8240" priority="10758" operator="containsText" text="Positive">
      <formula>NOT(ISERROR(SEARCH("Positive",L1498)))</formula>
    </cfRule>
    <cfRule type="containsText" dxfId="8239" priority="10759" operator="containsText" text="Negative">
      <formula>NOT(ISERROR(SEARCH("Negative",L1498)))</formula>
    </cfRule>
  </conditionalFormatting>
  <conditionalFormatting sqref="H1480:H1482 H1491:H1493 H1484:H1489 H1495:H1500">
    <cfRule type="containsText" dxfId="8238" priority="10755" operator="containsText" text="Missing">
      <formula>NOT(ISERROR(SEARCH("Missing",H1480)))</formula>
    </cfRule>
  </conditionalFormatting>
  <conditionalFormatting sqref="J1333:K1333">
    <cfRule type="containsText" dxfId="8237" priority="10748" operator="containsText" text="Missing">
      <formula>NOT(ISERROR(SEARCH("Missing",J1333)))</formula>
    </cfRule>
  </conditionalFormatting>
  <conditionalFormatting sqref="J1331:K1331">
    <cfRule type="containsText" dxfId="8236" priority="10754" operator="containsText" text="Missing">
      <formula>NOT(ISERROR(SEARCH("Missing",J1331)))</formula>
    </cfRule>
  </conditionalFormatting>
  <conditionalFormatting sqref="J1332:K1332">
    <cfRule type="containsText" dxfId="8235" priority="10751" operator="containsText" text="Missing">
      <formula>NOT(ISERROR(SEARCH("Missing",J1332)))</formula>
    </cfRule>
  </conditionalFormatting>
  <conditionalFormatting sqref="I1332">
    <cfRule type="containsText" dxfId="8234" priority="10745" operator="containsText" text="Missing">
      <formula>NOT(ISERROR(SEARCH("Missing",I1332)))</formula>
    </cfRule>
  </conditionalFormatting>
  <conditionalFormatting sqref="L1331">
    <cfRule type="containsText" dxfId="8233" priority="10752" operator="containsText" text="Positive">
      <formula>NOT(ISERROR(SEARCH("Positive",L1331)))</formula>
    </cfRule>
    <cfRule type="containsText" dxfId="8232" priority="10753" operator="containsText" text="Negative">
      <formula>NOT(ISERROR(SEARCH("Negative",L1331)))</formula>
    </cfRule>
  </conditionalFormatting>
  <conditionalFormatting sqref="L1332">
    <cfRule type="containsText" dxfId="8231" priority="10749" operator="containsText" text="Positive">
      <formula>NOT(ISERROR(SEARCH("Positive",L1332)))</formula>
    </cfRule>
    <cfRule type="containsText" dxfId="8230" priority="10750" operator="containsText" text="Negative">
      <formula>NOT(ISERROR(SEARCH("Negative",L1332)))</formula>
    </cfRule>
  </conditionalFormatting>
  <conditionalFormatting sqref="I1331">
    <cfRule type="containsText" dxfId="8229" priority="10747" operator="containsText" text="Missing">
      <formula>NOT(ISERROR(SEARCH("Missing",I1331)))</formula>
    </cfRule>
  </conditionalFormatting>
  <conditionalFormatting sqref="I1333">
    <cfRule type="containsText" dxfId="8228" priority="10746" operator="containsText" text="Missing">
      <formula>NOT(ISERROR(SEARCH("Missing",I1333)))</formula>
    </cfRule>
  </conditionalFormatting>
  <conditionalFormatting sqref="L1333">
    <cfRule type="containsText" dxfId="8227" priority="10743" operator="containsText" text="Positive">
      <formula>NOT(ISERROR(SEARCH("Positive",L1333)))</formula>
    </cfRule>
    <cfRule type="containsText" dxfId="8226" priority="10744" operator="containsText" text="Negative">
      <formula>NOT(ISERROR(SEARCH("Negative",L1333)))</formula>
    </cfRule>
  </conditionalFormatting>
  <conditionalFormatting sqref="H1333">
    <cfRule type="containsText" dxfId="8225" priority="10740" operator="containsText" text="Missing">
      <formula>NOT(ISERROR(SEARCH("Missing",H1333)))</formula>
    </cfRule>
  </conditionalFormatting>
  <conditionalFormatting sqref="H1332">
    <cfRule type="containsText" dxfId="8224" priority="10741" operator="containsText" text="Missing">
      <formula>NOT(ISERROR(SEARCH("Missing",H1332)))</formula>
    </cfRule>
  </conditionalFormatting>
  <conditionalFormatting sqref="H1331">
    <cfRule type="containsText" dxfId="8223" priority="10742" operator="containsText" text="Missing">
      <formula>NOT(ISERROR(SEARCH("Missing",H1331)))</formula>
    </cfRule>
  </conditionalFormatting>
  <conditionalFormatting sqref="H1300">
    <cfRule type="containsText" dxfId="8222" priority="10718" operator="containsText" text="Missing">
      <formula>NOT(ISERROR(SEARCH("Missing",H1300)))</formula>
    </cfRule>
  </conditionalFormatting>
  <conditionalFormatting sqref="L1295">
    <cfRule type="containsText" dxfId="8221" priority="10738" operator="containsText" text="Positive">
      <formula>NOT(ISERROR(SEARCH("Positive",L1295)))</formula>
    </cfRule>
    <cfRule type="containsText" dxfId="8220" priority="10739" operator="containsText" text="Negative">
      <formula>NOT(ISERROR(SEARCH("Negative",L1295)))</formula>
    </cfRule>
  </conditionalFormatting>
  <conditionalFormatting sqref="J1294:K1294">
    <cfRule type="containsText" dxfId="8219" priority="10737" operator="containsText" text="Missing">
      <formula>NOT(ISERROR(SEARCH("Missing",J1294)))</formula>
    </cfRule>
  </conditionalFormatting>
  <conditionalFormatting sqref="L1294">
    <cfRule type="containsText" dxfId="8218" priority="10735" operator="containsText" text="Positive">
      <formula>NOT(ISERROR(SEARCH("Positive",L1294)))</formula>
    </cfRule>
    <cfRule type="containsText" dxfId="8217" priority="10736" operator="containsText" text="Negative">
      <formula>NOT(ISERROR(SEARCH("Negative",L1294)))</formula>
    </cfRule>
  </conditionalFormatting>
  <conditionalFormatting sqref="J1295:K1295">
    <cfRule type="containsText" dxfId="8216" priority="10733" operator="containsText" text="Missing">
      <formula>NOT(ISERROR(SEARCH("Missing",J1295)))</formula>
    </cfRule>
  </conditionalFormatting>
  <conditionalFormatting sqref="H1294">
    <cfRule type="containsText" dxfId="8215" priority="10734" operator="containsText" text="Missing">
      <formula>NOT(ISERROR(SEARCH("Missing",H1294)))</formula>
    </cfRule>
  </conditionalFormatting>
  <conditionalFormatting sqref="J1296:K1298">
    <cfRule type="containsText" dxfId="8214" priority="10732" operator="containsText" text="Missing">
      <formula>NOT(ISERROR(SEARCH("Missing",J1296)))</formula>
    </cfRule>
  </conditionalFormatting>
  <conditionalFormatting sqref="L1296:L1298">
    <cfRule type="containsText" dxfId="8213" priority="10730" operator="containsText" text="Positive">
      <formula>NOT(ISERROR(SEARCH("Positive",L1296)))</formula>
    </cfRule>
    <cfRule type="containsText" dxfId="8212" priority="10731" operator="containsText" text="Negative">
      <formula>NOT(ISERROR(SEARCH("Negative",L1296)))</formula>
    </cfRule>
  </conditionalFormatting>
  <conditionalFormatting sqref="H1296">
    <cfRule type="containsText" dxfId="8211" priority="10728" operator="containsText" text="Missing">
      <formula>NOT(ISERROR(SEARCH("Missing",H1296)))</formula>
    </cfRule>
  </conditionalFormatting>
  <conditionalFormatting sqref="H1297">
    <cfRule type="containsText" dxfId="8210" priority="10727" operator="containsText" text="Missing">
      <formula>NOT(ISERROR(SEARCH("Missing",H1297)))</formula>
    </cfRule>
  </conditionalFormatting>
  <conditionalFormatting sqref="H1295">
    <cfRule type="containsText" dxfId="8209" priority="10729" operator="containsText" text="Missing">
      <formula>NOT(ISERROR(SEARCH("Missing",H1295)))</formula>
    </cfRule>
  </conditionalFormatting>
  <conditionalFormatting sqref="H1298">
    <cfRule type="containsText" dxfId="8208" priority="10726" operator="containsText" text="Missing">
      <formula>NOT(ISERROR(SEARCH("Missing",H1298)))</formula>
    </cfRule>
  </conditionalFormatting>
  <conditionalFormatting sqref="J1299:K1299">
    <cfRule type="containsText" dxfId="8207" priority="10723" operator="containsText" text="Missing">
      <formula>NOT(ISERROR(SEARCH("Missing",J1299)))</formula>
    </cfRule>
  </conditionalFormatting>
  <conditionalFormatting sqref="L1300">
    <cfRule type="containsText" dxfId="8206" priority="10724" operator="containsText" text="Positive">
      <formula>NOT(ISERROR(SEARCH("Positive",L1300)))</formula>
    </cfRule>
    <cfRule type="containsText" dxfId="8205" priority="10725" operator="containsText" text="Negative">
      <formula>NOT(ISERROR(SEARCH("Negative",L1300)))</formula>
    </cfRule>
  </conditionalFormatting>
  <conditionalFormatting sqref="J1437:K1437">
    <cfRule type="containsText" dxfId="8204" priority="10707" operator="containsText" text="Missing">
      <formula>NOT(ISERROR(SEARCH("Missing",J1437)))</formula>
    </cfRule>
  </conditionalFormatting>
  <conditionalFormatting sqref="L1299">
    <cfRule type="containsText" dxfId="8203" priority="10721" operator="containsText" text="Positive">
      <formula>NOT(ISERROR(SEARCH("Positive",L1299)))</formula>
    </cfRule>
    <cfRule type="containsText" dxfId="8202" priority="10722" operator="containsText" text="Negative">
      <formula>NOT(ISERROR(SEARCH("Negative",L1299)))</formula>
    </cfRule>
  </conditionalFormatting>
  <conditionalFormatting sqref="J1300:K1300">
    <cfRule type="containsText" dxfId="8201" priority="10719" operator="containsText" text="Missing">
      <formula>NOT(ISERROR(SEARCH("Missing",J1300)))</formula>
    </cfRule>
  </conditionalFormatting>
  <conditionalFormatting sqref="H1299">
    <cfRule type="containsText" dxfId="8200" priority="10720" operator="containsText" text="Missing">
      <formula>NOT(ISERROR(SEARCH("Missing",H1299)))</formula>
    </cfRule>
  </conditionalFormatting>
  <conditionalFormatting sqref="H1301">
    <cfRule type="containsText" dxfId="8199" priority="10717" operator="containsText" text="Missing">
      <formula>NOT(ISERROR(SEARCH("Missing",H1301)))</formula>
    </cfRule>
  </conditionalFormatting>
  <conditionalFormatting sqref="H1302">
    <cfRule type="containsText" dxfId="8198" priority="10716" operator="containsText" text="Missing">
      <formula>NOT(ISERROR(SEARCH("Missing",H1302)))</formula>
    </cfRule>
  </conditionalFormatting>
  <conditionalFormatting sqref="L1367">
    <cfRule type="containsText" dxfId="8197" priority="10714" operator="containsText" text="Positive">
      <formula>NOT(ISERROR(SEARCH("Positive",L1367)))</formula>
    </cfRule>
    <cfRule type="containsText" dxfId="8196" priority="10715" operator="containsText" text="Negative">
      <formula>NOT(ISERROR(SEARCH("Negative",L1367)))</formula>
    </cfRule>
  </conditionalFormatting>
  <conditionalFormatting sqref="I1367">
    <cfRule type="containsText" dxfId="8195" priority="10713" operator="containsText" text="Missing">
      <formula>NOT(ISERROR(SEARCH("Missing",I1367)))</formula>
    </cfRule>
  </conditionalFormatting>
  <conditionalFormatting sqref="H1367">
    <cfRule type="containsText" dxfId="8194" priority="10712" operator="containsText" text="Missing">
      <formula>NOT(ISERROR(SEARCH("Missing",H1367)))</formula>
    </cfRule>
  </conditionalFormatting>
  <conditionalFormatting sqref="L1345">
    <cfRule type="containsText" dxfId="8193" priority="10710" operator="containsText" text="Positive">
      <formula>NOT(ISERROR(SEARCH("Positive",L1345)))</formula>
    </cfRule>
    <cfRule type="containsText" dxfId="8192" priority="10711" operator="containsText" text="Negative">
      <formula>NOT(ISERROR(SEARCH("Negative",L1345)))</formula>
    </cfRule>
  </conditionalFormatting>
  <conditionalFormatting sqref="H1344">
    <cfRule type="containsText" dxfId="8191" priority="10709" operator="containsText" text="Missing">
      <formula>NOT(ISERROR(SEARCH("Missing",H1344)))</formula>
    </cfRule>
  </conditionalFormatting>
  <conditionalFormatting sqref="H1345">
    <cfRule type="containsText" dxfId="8190" priority="10708" operator="containsText" text="Missing">
      <formula>NOT(ISERROR(SEARCH("Missing",H1345)))</formula>
    </cfRule>
  </conditionalFormatting>
  <conditionalFormatting sqref="L1463">
    <cfRule type="containsText" dxfId="8189" priority="10699" operator="containsText" text="Positive">
      <formula>NOT(ISERROR(SEARCH("Positive",L1463)))</formula>
    </cfRule>
    <cfRule type="containsText" dxfId="8188" priority="10700" operator="containsText" text="Negative">
      <formula>NOT(ISERROR(SEARCH("Negative",L1463)))</formula>
    </cfRule>
  </conditionalFormatting>
  <conditionalFormatting sqref="L1437">
    <cfRule type="containsText" dxfId="8187" priority="10705" operator="containsText" text="Positive">
      <formula>NOT(ISERROR(SEARCH("Positive",L1437)))</formula>
    </cfRule>
    <cfRule type="containsText" dxfId="8186" priority="10706" operator="containsText" text="Negative">
      <formula>NOT(ISERROR(SEARCH("Negative",L1437)))</formula>
    </cfRule>
  </conditionalFormatting>
  <conditionalFormatting sqref="I1437">
    <cfRule type="containsText" dxfId="8185" priority="10704" operator="containsText" text="Missing">
      <formula>NOT(ISERROR(SEARCH("Missing",I1437)))</formula>
    </cfRule>
  </conditionalFormatting>
  <conditionalFormatting sqref="H1437">
    <cfRule type="containsText" dxfId="8184" priority="10702" operator="containsText" text="Missing">
      <formula>NOT(ISERROR(SEARCH("Missing",H1437)))</formula>
    </cfRule>
  </conditionalFormatting>
  <conditionalFormatting sqref="H1459">
    <cfRule type="containsText" dxfId="8183" priority="10694" operator="containsText" text="Missing">
      <formula>NOT(ISERROR(SEARCH("Missing",H1459)))</formula>
    </cfRule>
  </conditionalFormatting>
  <conditionalFormatting sqref="H1436">
    <cfRule type="containsText" dxfId="8182" priority="10703" operator="containsText" text="Missing">
      <formula>NOT(ISERROR(SEARCH("Missing",H1436)))</formula>
    </cfRule>
  </conditionalFormatting>
  <conditionalFormatting sqref="I1501">
    <cfRule type="containsText" dxfId="8181" priority="10684" operator="containsText" text="Missing">
      <formula>NOT(ISERROR(SEARCH("Missing",I1501)))</formula>
    </cfRule>
  </conditionalFormatting>
  <conditionalFormatting sqref="H1463:K1463">
    <cfRule type="containsText" dxfId="8180" priority="10701" operator="containsText" text="Missing">
      <formula>NOT(ISERROR(SEARCH("Missing",H1463)))</formula>
    </cfRule>
  </conditionalFormatting>
  <conditionalFormatting sqref="L1490">
    <cfRule type="containsText" dxfId="8179" priority="10691" operator="containsText" text="Positive">
      <formula>NOT(ISERROR(SEARCH("Positive",L1490)))</formula>
    </cfRule>
    <cfRule type="containsText" dxfId="8178" priority="10692" operator="containsText" text="Negative">
      <formula>NOT(ISERROR(SEARCH("Negative",L1490)))</formula>
    </cfRule>
  </conditionalFormatting>
  <conditionalFormatting sqref="J1459:K1459">
    <cfRule type="containsText" dxfId="8177" priority="10698" operator="containsText" text="Missing">
      <formula>NOT(ISERROR(SEARCH("Missing",J1459)))</formula>
    </cfRule>
  </conditionalFormatting>
  <conditionalFormatting sqref="L1459">
    <cfRule type="containsText" dxfId="8176" priority="10696" operator="containsText" text="Positive">
      <formula>NOT(ISERROR(SEARCH("Positive",L1459)))</formula>
    </cfRule>
    <cfRule type="containsText" dxfId="8175" priority="10697" operator="containsText" text="Negative">
      <formula>NOT(ISERROR(SEARCH("Negative",L1459)))</formula>
    </cfRule>
  </conditionalFormatting>
  <conditionalFormatting sqref="I1459">
    <cfRule type="containsText" dxfId="8174" priority="10695" operator="containsText" text="Missing">
      <formula>NOT(ISERROR(SEARCH("Missing",I1459)))</formula>
    </cfRule>
  </conditionalFormatting>
  <conditionalFormatting sqref="I1340">
    <cfRule type="containsText" dxfId="8173" priority="10680" operator="containsText" text="Missing">
      <formula>NOT(ISERROR(SEARCH("Missing",I1340)))</formula>
    </cfRule>
  </conditionalFormatting>
  <conditionalFormatting sqref="J1490:K1490">
    <cfRule type="containsText" dxfId="8172" priority="10693" operator="containsText" text="Missing">
      <formula>NOT(ISERROR(SEARCH("Missing",J1490)))</formula>
    </cfRule>
  </conditionalFormatting>
  <conditionalFormatting sqref="L1501">
    <cfRule type="containsText" dxfId="8171" priority="10688" operator="containsText" text="Positive">
      <formula>NOT(ISERROR(SEARCH("Positive",L1501)))</formula>
    </cfRule>
    <cfRule type="containsText" dxfId="8170" priority="10689" operator="containsText" text="Negative">
      <formula>NOT(ISERROR(SEARCH("Negative",L1501)))</formula>
    </cfRule>
  </conditionalFormatting>
  <conditionalFormatting sqref="J1501:K1501">
    <cfRule type="containsText" dxfId="8169" priority="10690" operator="containsText" text="Missing">
      <formula>NOT(ISERROR(SEARCH("Missing",J1501)))</formula>
    </cfRule>
  </conditionalFormatting>
  <conditionalFormatting sqref="H1490">
    <cfRule type="containsText" dxfId="8168" priority="10687" operator="containsText" text="Missing">
      <formula>NOT(ISERROR(SEARCH("Missing",H1490)))</formula>
    </cfRule>
  </conditionalFormatting>
  <conditionalFormatting sqref="H1501">
    <cfRule type="containsText" dxfId="8167" priority="10685" operator="containsText" text="Missing">
      <formula>NOT(ISERROR(SEARCH("Missing",H1501)))</formula>
    </cfRule>
  </conditionalFormatting>
  <conditionalFormatting sqref="I1362">
    <cfRule type="containsText" dxfId="8166" priority="10675" operator="containsText" text="Missing">
      <formula>NOT(ISERROR(SEARCH("Missing",I1362)))</formula>
    </cfRule>
  </conditionalFormatting>
  <conditionalFormatting sqref="L1340">
    <cfRule type="containsText" dxfId="8165" priority="10682" operator="containsText" text="Positive">
      <formula>NOT(ISERROR(SEARCH("Positive",L1340)))</formula>
    </cfRule>
    <cfRule type="containsText" dxfId="8164" priority="10683" operator="containsText" text="Negative">
      <formula>NOT(ISERROR(SEARCH("Negative",L1340)))</formula>
    </cfRule>
  </conditionalFormatting>
  <conditionalFormatting sqref="J1362:K1362">
    <cfRule type="containsText" dxfId="8163" priority="10679" operator="containsText" text="Missing">
      <formula>NOT(ISERROR(SEARCH("Missing",J1362)))</formula>
    </cfRule>
  </conditionalFormatting>
  <conditionalFormatting sqref="L1362">
    <cfRule type="containsText" dxfId="8162" priority="10677" operator="containsText" text="Positive">
      <formula>NOT(ISERROR(SEARCH("Positive",L1362)))</formula>
    </cfRule>
    <cfRule type="containsText" dxfId="8161" priority="10678" operator="containsText" text="Negative">
      <formula>NOT(ISERROR(SEARCH("Negative",L1362)))</formula>
    </cfRule>
  </conditionalFormatting>
  <conditionalFormatting sqref="H1340">
    <cfRule type="containsText" dxfId="8160" priority="10681" operator="containsText" text="Missing">
      <formula>NOT(ISERROR(SEARCH("Missing",H1340)))</formula>
    </cfRule>
  </conditionalFormatting>
  <conditionalFormatting sqref="I1432">
    <cfRule type="containsText" dxfId="8159" priority="10670" operator="containsText" text="Missing">
      <formula>NOT(ISERROR(SEARCH("Missing",I1432)))</formula>
    </cfRule>
  </conditionalFormatting>
  <conditionalFormatting sqref="J1483:K1483">
    <cfRule type="containsText" dxfId="8158" priority="10664" operator="containsText" text="Missing">
      <formula>NOT(ISERROR(SEARCH("Missing",J1483)))</formula>
    </cfRule>
  </conditionalFormatting>
  <conditionalFormatting sqref="J1432:K1432">
    <cfRule type="containsText" dxfId="8157" priority="10674" operator="containsText" text="Missing">
      <formula>NOT(ISERROR(SEARCH("Missing",J1432)))</formula>
    </cfRule>
  </conditionalFormatting>
  <conditionalFormatting sqref="L1432">
    <cfRule type="containsText" dxfId="8156" priority="10672" operator="containsText" text="Positive">
      <formula>NOT(ISERROR(SEARCH("Positive",L1432)))</formula>
    </cfRule>
    <cfRule type="containsText" dxfId="8155" priority="10673" operator="containsText" text="Negative">
      <formula>NOT(ISERROR(SEARCH("Negative",L1432)))</formula>
    </cfRule>
  </conditionalFormatting>
  <conditionalFormatting sqref="H1362">
    <cfRule type="containsText" dxfId="8154" priority="10676" operator="containsText" text="Missing">
      <formula>NOT(ISERROR(SEARCH("Missing",H1362)))</formula>
    </cfRule>
  </conditionalFormatting>
  <conditionalFormatting sqref="H1432">
    <cfRule type="containsText" dxfId="8153" priority="10671" operator="containsText" text="Missing">
      <formula>NOT(ISERROR(SEARCH("Missing",H1432)))</formula>
    </cfRule>
  </conditionalFormatting>
  <conditionalFormatting sqref="I1454">
    <cfRule type="containsText" dxfId="8152" priority="10665" operator="containsText" text="Missing">
      <formula>NOT(ISERROR(SEARCH("Missing",I1454)))</formula>
    </cfRule>
  </conditionalFormatting>
  <conditionalFormatting sqref="J1454:K1454">
    <cfRule type="containsText" dxfId="8151" priority="10669" operator="containsText" text="Missing">
      <formula>NOT(ISERROR(SEARCH("Missing",J1454)))</formula>
    </cfRule>
  </conditionalFormatting>
  <conditionalFormatting sqref="H1483">
    <cfRule type="containsText" dxfId="8150" priority="10660" operator="containsText" text="Missing">
      <formula>NOT(ISERROR(SEARCH("Missing",H1483)))</formula>
    </cfRule>
  </conditionalFormatting>
  <conditionalFormatting sqref="L1454">
    <cfRule type="containsText" dxfId="8149" priority="10667" operator="containsText" text="Positive">
      <formula>NOT(ISERROR(SEARCH("Positive",L1454)))</formula>
    </cfRule>
    <cfRule type="containsText" dxfId="8148" priority="10668" operator="containsText" text="Negative">
      <formula>NOT(ISERROR(SEARCH("Negative",L1454)))</formula>
    </cfRule>
  </conditionalFormatting>
  <conditionalFormatting sqref="I1483">
    <cfRule type="containsText" dxfId="8147" priority="10661" operator="containsText" text="Missing">
      <formula>NOT(ISERROR(SEARCH("Missing",I1483)))</formula>
    </cfRule>
  </conditionalFormatting>
  <conditionalFormatting sqref="J1494:K1494">
    <cfRule type="containsText" dxfId="8146" priority="10659" operator="containsText" text="Missing">
      <formula>NOT(ISERROR(SEARCH("Missing",J1494)))</formula>
    </cfRule>
  </conditionalFormatting>
  <conditionalFormatting sqref="H1494">
    <cfRule type="containsText" dxfId="8145" priority="10656" operator="containsText" text="Missing">
      <formula>NOT(ISERROR(SEARCH("Missing",H1494)))</formula>
    </cfRule>
  </conditionalFormatting>
  <conditionalFormatting sqref="L1494">
    <cfRule type="containsText" dxfId="8144" priority="10657" operator="containsText" text="Positive">
      <formula>NOT(ISERROR(SEARCH("Positive",L1494)))</formula>
    </cfRule>
    <cfRule type="containsText" dxfId="8143" priority="10658" operator="containsText" text="Negative">
      <formula>NOT(ISERROR(SEARCH("Negative",L1494)))</formula>
    </cfRule>
  </conditionalFormatting>
  <conditionalFormatting sqref="H1454">
    <cfRule type="containsText" dxfId="8142" priority="10666" operator="containsText" text="Missing">
      <formula>NOT(ISERROR(SEARCH("Missing",H1454)))</formula>
    </cfRule>
  </conditionalFormatting>
  <conditionalFormatting sqref="L1483">
    <cfRule type="containsText" dxfId="8141" priority="10662" operator="containsText" text="Positive">
      <formula>NOT(ISERROR(SEARCH("Positive",L1483)))</formula>
    </cfRule>
    <cfRule type="containsText" dxfId="8140" priority="10663" operator="containsText" text="Negative">
      <formula>NOT(ISERROR(SEARCH("Negative",L1483)))</formula>
    </cfRule>
  </conditionalFormatting>
  <conditionalFormatting sqref="H1316:K1317">
    <cfRule type="containsText" dxfId="8139" priority="10655" operator="containsText" text="Missing">
      <formula>NOT(ISERROR(SEARCH("Missing",H1316)))</formula>
    </cfRule>
  </conditionalFormatting>
  <conditionalFormatting sqref="L1316:L1317">
    <cfRule type="containsText" dxfId="8138" priority="10653" operator="containsText" text="Positive">
      <formula>NOT(ISERROR(SEARCH("Positive",L1316)))</formula>
    </cfRule>
    <cfRule type="containsText" dxfId="8137" priority="10654" operator="containsText" text="Negative">
      <formula>NOT(ISERROR(SEARCH("Negative",L1316)))</formula>
    </cfRule>
  </conditionalFormatting>
  <conditionalFormatting sqref="J1316:K1317">
    <cfRule type="containsText" dxfId="8136" priority="10650" operator="containsText" text="Missing">
      <formula>NOT(ISERROR(SEARCH("Missing",J1316)))</formula>
    </cfRule>
  </conditionalFormatting>
  <conditionalFormatting sqref="L1316:L1317">
    <cfRule type="containsText" dxfId="8135" priority="10651" operator="containsText" text="Positive">
      <formula>NOT(ISERROR(SEARCH("Positive",L1316)))</formula>
    </cfRule>
    <cfRule type="containsText" dxfId="8134" priority="10652" operator="containsText" text="Negative">
      <formula>NOT(ISERROR(SEARCH("Negative",L1316)))</formula>
    </cfRule>
  </conditionalFormatting>
  <conditionalFormatting sqref="H1316:H1317">
    <cfRule type="containsText" dxfId="8133" priority="10647" operator="containsText" text="Missing">
      <formula>NOT(ISERROR(SEARCH("Missing",H1316)))</formula>
    </cfRule>
  </conditionalFormatting>
  <conditionalFormatting sqref="L1316:L1317">
    <cfRule type="containsText" dxfId="8132" priority="10648" operator="containsText" text="Positive">
      <formula>NOT(ISERROR(SEARCH("Positive",L1316)))</formula>
    </cfRule>
    <cfRule type="containsText" dxfId="8131" priority="10649" operator="containsText" text="Negative">
      <formula>NOT(ISERROR(SEARCH("Negative",L1316)))</formula>
    </cfRule>
  </conditionalFormatting>
  <conditionalFormatting sqref="I1316:I1317">
    <cfRule type="containsText" dxfId="8130" priority="10646" operator="containsText" text="Missing">
      <formula>NOT(ISERROR(SEARCH("Missing",I1316)))</formula>
    </cfRule>
  </conditionalFormatting>
  <conditionalFormatting sqref="J1316:K1317">
    <cfRule type="containsText" dxfId="8129" priority="10645" operator="containsText" text="Missing">
      <formula>NOT(ISERROR(SEARCH("Missing",J1316)))</formula>
    </cfRule>
  </conditionalFormatting>
  <conditionalFormatting sqref="L1316:L1317">
    <cfRule type="containsText" dxfId="8128" priority="10643" operator="containsText" text="Positive">
      <formula>NOT(ISERROR(SEARCH("Positive",L1316)))</formula>
    </cfRule>
    <cfRule type="containsText" dxfId="8127" priority="10644" operator="containsText" text="Negative">
      <formula>NOT(ISERROR(SEARCH("Negative",L1316)))</formula>
    </cfRule>
  </conditionalFormatting>
  <conditionalFormatting sqref="I1316:I1317">
    <cfRule type="containsText" dxfId="8126" priority="10642" operator="containsText" text="Missing">
      <formula>NOT(ISERROR(SEARCH("Missing",I1316)))</formula>
    </cfRule>
  </conditionalFormatting>
  <conditionalFormatting sqref="H1316:H1317">
    <cfRule type="containsText" dxfId="8125" priority="10640" operator="containsText" text="Missing">
      <formula>NOT(ISERROR(SEARCH("Missing",H1316)))</formula>
    </cfRule>
  </conditionalFormatting>
  <conditionalFormatting sqref="H1316:H1317">
    <cfRule type="containsText" dxfId="8124" priority="10641" operator="containsText" text="Missing">
      <formula>NOT(ISERROR(SEARCH("Missing",H1316)))</formula>
    </cfRule>
  </conditionalFormatting>
  <conditionalFormatting sqref="L1360">
    <cfRule type="containsText" dxfId="8123" priority="10638" operator="containsText" text="Positive">
      <formula>NOT(ISERROR(SEARCH("Positive",L1360)))</formula>
    </cfRule>
    <cfRule type="containsText" dxfId="8122" priority="10639" operator="containsText" text="Negative">
      <formula>NOT(ISERROR(SEARCH("Negative",L1360)))</formula>
    </cfRule>
  </conditionalFormatting>
  <conditionalFormatting sqref="I1360">
    <cfRule type="containsText" dxfId="8121" priority="10636" operator="containsText" text="Missing">
      <formula>NOT(ISERROR(SEARCH("Missing",I1360)))</formula>
    </cfRule>
  </conditionalFormatting>
  <conditionalFormatting sqref="J1360:K1360">
    <cfRule type="containsText" dxfId="8120" priority="10637" operator="containsText" text="Missing">
      <formula>NOT(ISERROR(SEARCH("Missing",J1360)))</formula>
    </cfRule>
  </conditionalFormatting>
  <conditionalFormatting sqref="H1360">
    <cfRule type="containsText" dxfId="8119" priority="10635" operator="containsText" text="Missing">
      <formula>NOT(ISERROR(SEARCH("Missing",H1360)))</formula>
    </cfRule>
  </conditionalFormatting>
  <conditionalFormatting sqref="H1315">
    <cfRule type="containsText" dxfId="8118" priority="10634" operator="containsText" text="Missing">
      <formula>NOT(ISERROR(SEARCH("Missing",H1315)))</formula>
    </cfRule>
  </conditionalFormatting>
  <conditionalFormatting sqref="H1315">
    <cfRule type="containsText" dxfId="8117" priority="10633" operator="containsText" text="Missing">
      <formula>NOT(ISERROR(SEARCH("Missing",H1315)))</formula>
    </cfRule>
  </conditionalFormatting>
  <conditionalFormatting sqref="H1315">
    <cfRule type="containsText" dxfId="8116" priority="10631" operator="containsText" text="Missing">
      <formula>NOT(ISERROR(SEARCH("Missing",H1315)))</formula>
    </cfRule>
  </conditionalFormatting>
  <conditionalFormatting sqref="H1315">
    <cfRule type="containsText" dxfId="8115" priority="10632" operator="containsText" text="Missing">
      <formula>NOT(ISERROR(SEARCH("Missing",H1315)))</formula>
    </cfRule>
  </conditionalFormatting>
  <conditionalFormatting sqref="J1408:K1408">
    <cfRule type="containsText" dxfId="8114" priority="10630" operator="containsText" text="Missing">
      <formula>NOT(ISERROR(SEARCH("Missing",J1408)))</formula>
    </cfRule>
  </conditionalFormatting>
  <conditionalFormatting sqref="L1409:L1410">
    <cfRule type="containsText" dxfId="8113" priority="10616" operator="containsText" text="Positive">
      <formula>NOT(ISERROR(SEARCH("Positive",L1409)))</formula>
    </cfRule>
    <cfRule type="containsText" dxfId="8112" priority="10617" operator="containsText" text="Negative">
      <formula>NOT(ISERROR(SEARCH("Negative",L1409)))</formula>
    </cfRule>
  </conditionalFormatting>
  <conditionalFormatting sqref="I1408">
    <cfRule type="containsText" dxfId="8111" priority="10629" operator="containsText" text="Missing">
      <formula>NOT(ISERROR(SEARCH("Missing",I1408)))</formula>
    </cfRule>
  </conditionalFormatting>
  <conditionalFormatting sqref="H1409:K1410">
    <cfRule type="containsText" dxfId="8110" priority="10628" operator="containsText" text="Missing">
      <formula>NOT(ISERROR(SEARCH("Missing",H1409)))</formula>
    </cfRule>
  </conditionalFormatting>
  <conditionalFormatting sqref="L1409:L1410">
    <cfRule type="containsText" dxfId="8109" priority="10626" operator="containsText" text="Positive">
      <formula>NOT(ISERROR(SEARCH("Positive",L1409)))</formula>
    </cfRule>
    <cfRule type="containsText" dxfId="8108" priority="10627" operator="containsText" text="Negative">
      <formula>NOT(ISERROR(SEARCH("Negative",L1409)))</formula>
    </cfRule>
  </conditionalFormatting>
  <conditionalFormatting sqref="J1409:K1410">
    <cfRule type="containsText" dxfId="8107" priority="10623" operator="containsText" text="Missing">
      <formula>NOT(ISERROR(SEARCH("Missing",J1409)))</formula>
    </cfRule>
  </conditionalFormatting>
  <conditionalFormatting sqref="L1409:L1410">
    <cfRule type="containsText" dxfId="8106" priority="10624" operator="containsText" text="Positive">
      <formula>NOT(ISERROR(SEARCH("Positive",L1409)))</formula>
    </cfRule>
    <cfRule type="containsText" dxfId="8105" priority="10625" operator="containsText" text="Negative">
      <formula>NOT(ISERROR(SEARCH("Negative",L1409)))</formula>
    </cfRule>
  </conditionalFormatting>
  <conditionalFormatting sqref="H1409:H1410">
    <cfRule type="containsText" dxfId="8104" priority="10620" operator="containsText" text="Missing">
      <formula>NOT(ISERROR(SEARCH("Missing",H1409)))</formula>
    </cfRule>
  </conditionalFormatting>
  <conditionalFormatting sqref="L1409:L1410">
    <cfRule type="containsText" dxfId="8103" priority="10621" operator="containsText" text="Positive">
      <formula>NOT(ISERROR(SEARCH("Positive",L1409)))</formula>
    </cfRule>
    <cfRule type="containsText" dxfId="8102" priority="10622" operator="containsText" text="Negative">
      <formula>NOT(ISERROR(SEARCH("Negative",L1409)))</formula>
    </cfRule>
  </conditionalFormatting>
  <conditionalFormatting sqref="I1409:I1410">
    <cfRule type="containsText" dxfId="8101" priority="10619" operator="containsText" text="Missing">
      <formula>NOT(ISERROR(SEARCH("Missing",I1409)))</formula>
    </cfRule>
  </conditionalFormatting>
  <conditionalFormatting sqref="J1409:K1410">
    <cfRule type="containsText" dxfId="8100" priority="10618" operator="containsText" text="Missing">
      <formula>NOT(ISERROR(SEARCH("Missing",J1409)))</formula>
    </cfRule>
  </conditionalFormatting>
  <conditionalFormatting sqref="I1409:I1410">
    <cfRule type="containsText" dxfId="8099" priority="10615" operator="containsText" text="Missing">
      <formula>NOT(ISERROR(SEARCH("Missing",I1409)))</formula>
    </cfRule>
  </conditionalFormatting>
  <conditionalFormatting sqref="H1409:H1410">
    <cfRule type="containsText" dxfId="8098" priority="10613" operator="containsText" text="Missing">
      <formula>NOT(ISERROR(SEARCH("Missing",H1409)))</formula>
    </cfRule>
  </conditionalFormatting>
  <conditionalFormatting sqref="H1409:H1410">
    <cfRule type="containsText" dxfId="8097" priority="10614" operator="containsText" text="Missing">
      <formula>NOT(ISERROR(SEARCH("Missing",H1409)))</formula>
    </cfRule>
  </conditionalFormatting>
  <conditionalFormatting sqref="H1408">
    <cfRule type="containsText" dxfId="8096" priority="10612" operator="containsText" text="Missing">
      <formula>NOT(ISERROR(SEARCH("Missing",H1408)))</formula>
    </cfRule>
  </conditionalFormatting>
  <conditionalFormatting sqref="H1408">
    <cfRule type="containsText" dxfId="8095" priority="10611" operator="containsText" text="Missing">
      <formula>NOT(ISERROR(SEARCH("Missing",H1408)))</formula>
    </cfRule>
  </conditionalFormatting>
  <conditionalFormatting sqref="H1408">
    <cfRule type="containsText" dxfId="8094" priority="10609" operator="containsText" text="Missing">
      <formula>NOT(ISERROR(SEARCH("Missing",H1408)))</formula>
    </cfRule>
  </conditionalFormatting>
  <conditionalFormatting sqref="H1408">
    <cfRule type="containsText" dxfId="8093" priority="10610" operator="containsText" text="Missing">
      <formula>NOT(ISERROR(SEARCH("Missing",H1408)))</formula>
    </cfRule>
  </conditionalFormatting>
  <conditionalFormatting sqref="L1408">
    <cfRule type="containsText" dxfId="8092" priority="10607" operator="containsText" text="Positive">
      <formula>NOT(ISERROR(SEARCH("Positive",L1408)))</formula>
    </cfRule>
    <cfRule type="containsText" dxfId="8091" priority="10608" operator="containsText" text="Negative">
      <formula>NOT(ISERROR(SEARCH("Negative",L1408)))</formula>
    </cfRule>
  </conditionalFormatting>
  <conditionalFormatting sqref="L1315">
    <cfRule type="containsText" dxfId="8090" priority="10605" operator="containsText" text="Positive">
      <formula>NOT(ISERROR(SEARCH("Positive",L1315)))</formula>
    </cfRule>
    <cfRule type="containsText" dxfId="8089" priority="10606" operator="containsText" text="Negative">
      <formula>NOT(ISERROR(SEARCH("Negative",L1315)))</formula>
    </cfRule>
  </conditionalFormatting>
  <conditionalFormatting sqref="L1315">
    <cfRule type="containsText" dxfId="8088" priority="10603" operator="containsText" text="Positive">
      <formula>NOT(ISERROR(SEARCH("Positive",L1315)))</formula>
    </cfRule>
    <cfRule type="containsText" dxfId="8087" priority="10604" operator="containsText" text="Negative">
      <formula>NOT(ISERROR(SEARCH("Negative",L1315)))</formula>
    </cfRule>
  </conditionalFormatting>
  <conditionalFormatting sqref="L1315">
    <cfRule type="containsText" dxfId="8086" priority="10601" operator="containsText" text="Positive">
      <formula>NOT(ISERROR(SEARCH("Positive",L1315)))</formula>
    </cfRule>
    <cfRule type="containsText" dxfId="8085" priority="10602" operator="containsText" text="Negative">
      <formula>NOT(ISERROR(SEARCH("Negative",L1315)))</formula>
    </cfRule>
  </conditionalFormatting>
  <conditionalFormatting sqref="L1315">
    <cfRule type="containsText" dxfId="8084" priority="10599" operator="containsText" text="Positive">
      <formula>NOT(ISERROR(SEARCH("Positive",L1315)))</formula>
    </cfRule>
    <cfRule type="containsText" dxfId="8083" priority="10600" operator="containsText" text="Negative">
      <formula>NOT(ISERROR(SEARCH("Negative",L1315)))</formula>
    </cfRule>
  </conditionalFormatting>
  <conditionalFormatting sqref="I1336">
    <cfRule type="containsText" dxfId="8082" priority="10598" operator="containsText" text="Missing">
      <formula>NOT(ISERROR(SEARCH("Missing",I1336)))</formula>
    </cfRule>
  </conditionalFormatting>
  <conditionalFormatting sqref="L1419:L1422">
    <cfRule type="containsText" dxfId="8081" priority="10596" operator="containsText" text="Positive">
      <formula>NOT(ISERROR(SEARCH("Positive",L1419)))</formula>
    </cfRule>
    <cfRule type="containsText" dxfId="8080" priority="10597" operator="containsText" text="Negative">
      <formula>NOT(ISERROR(SEARCH("Negative",L1419)))</formula>
    </cfRule>
  </conditionalFormatting>
  <conditionalFormatting sqref="J1421:K1421">
    <cfRule type="containsText" dxfId="8079" priority="10587" operator="containsText" text="Missing">
      <formula>NOT(ISERROR(SEARCH("Missing",J1421)))</formula>
    </cfRule>
  </conditionalFormatting>
  <conditionalFormatting sqref="J1419:K1419">
    <cfRule type="containsText" dxfId="8078" priority="10593" operator="containsText" text="Missing">
      <formula>NOT(ISERROR(SEARCH("Missing",J1419)))</formula>
    </cfRule>
  </conditionalFormatting>
  <conditionalFormatting sqref="J1420:K1420">
    <cfRule type="containsText" dxfId="8077" priority="10590" operator="containsText" text="Missing">
      <formula>NOT(ISERROR(SEARCH("Missing",J1420)))</formula>
    </cfRule>
  </conditionalFormatting>
  <conditionalFormatting sqref="I1420">
    <cfRule type="containsText" dxfId="8076" priority="10583" operator="containsText" text="Missing">
      <formula>NOT(ISERROR(SEARCH("Missing",I1420)))</formula>
    </cfRule>
  </conditionalFormatting>
  <conditionalFormatting sqref="L1422">
    <cfRule type="containsText" dxfId="8075" priority="10594" operator="containsText" text="Positive">
      <formula>NOT(ISERROR(SEARCH("Positive",L1422)))</formula>
    </cfRule>
    <cfRule type="containsText" dxfId="8074" priority="10595" operator="containsText" text="Negative">
      <formula>NOT(ISERROR(SEARCH("Negative",L1422)))</formula>
    </cfRule>
  </conditionalFormatting>
  <conditionalFormatting sqref="J1422:K1422">
    <cfRule type="containsText" dxfId="8073" priority="10586" operator="containsText" text="Missing">
      <formula>NOT(ISERROR(SEARCH("Missing",J1422)))</formula>
    </cfRule>
  </conditionalFormatting>
  <conditionalFormatting sqref="L1419">
    <cfRule type="containsText" dxfId="8072" priority="10591" operator="containsText" text="Positive">
      <formula>NOT(ISERROR(SEARCH("Positive",L1419)))</formula>
    </cfRule>
    <cfRule type="containsText" dxfId="8071" priority="10592" operator="containsText" text="Negative">
      <formula>NOT(ISERROR(SEARCH("Negative",L1419)))</formula>
    </cfRule>
  </conditionalFormatting>
  <conditionalFormatting sqref="L1420">
    <cfRule type="containsText" dxfId="8070" priority="10588" operator="containsText" text="Positive">
      <formula>NOT(ISERROR(SEARCH("Positive",L1420)))</formula>
    </cfRule>
    <cfRule type="containsText" dxfId="8069" priority="10589" operator="containsText" text="Negative">
      <formula>NOT(ISERROR(SEARCH("Negative",L1420)))</formula>
    </cfRule>
  </conditionalFormatting>
  <conditionalFormatting sqref="I1419">
    <cfRule type="containsText" dxfId="8068" priority="10585" operator="containsText" text="Missing">
      <formula>NOT(ISERROR(SEARCH("Missing",I1419)))</formula>
    </cfRule>
  </conditionalFormatting>
  <conditionalFormatting sqref="I1422">
    <cfRule type="containsText" dxfId="8067" priority="10582" operator="containsText" text="Missing">
      <formula>NOT(ISERROR(SEARCH("Missing",I1422)))</formula>
    </cfRule>
  </conditionalFormatting>
  <conditionalFormatting sqref="I1421">
    <cfRule type="containsText" dxfId="8066" priority="10584" operator="containsText" text="Missing">
      <formula>NOT(ISERROR(SEARCH("Missing",I1421)))</formula>
    </cfRule>
  </conditionalFormatting>
  <conditionalFormatting sqref="L1421">
    <cfRule type="containsText" dxfId="8065" priority="10580" operator="containsText" text="Positive">
      <formula>NOT(ISERROR(SEARCH("Positive",L1421)))</formula>
    </cfRule>
    <cfRule type="containsText" dxfId="8064" priority="10581" operator="containsText" text="Negative">
      <formula>NOT(ISERROR(SEARCH("Negative",L1421)))</formula>
    </cfRule>
  </conditionalFormatting>
  <conditionalFormatting sqref="H1421">
    <cfRule type="containsText" dxfId="8063" priority="10576" operator="containsText" text="Missing">
      <formula>NOT(ISERROR(SEARCH("Missing",H1421)))</formula>
    </cfRule>
  </conditionalFormatting>
  <conditionalFormatting sqref="H1420">
    <cfRule type="containsText" dxfId="8062" priority="10578" operator="containsText" text="Missing">
      <formula>NOT(ISERROR(SEARCH("Missing",H1420)))</formula>
    </cfRule>
  </conditionalFormatting>
  <conditionalFormatting sqref="H1419">
    <cfRule type="containsText" dxfId="8061" priority="10579" operator="containsText" text="Missing">
      <formula>NOT(ISERROR(SEARCH("Missing",H1419)))</formula>
    </cfRule>
  </conditionalFormatting>
  <conditionalFormatting sqref="H1422">
    <cfRule type="containsText" dxfId="8060" priority="10577" operator="containsText" text="Missing">
      <formula>NOT(ISERROR(SEARCH("Missing",H1422)))</formula>
    </cfRule>
  </conditionalFormatting>
  <conditionalFormatting sqref="J1428:K1428">
    <cfRule type="containsText" dxfId="8059" priority="10575" operator="containsText" text="Missing">
      <formula>NOT(ISERROR(SEARCH("Missing",J1428)))</formula>
    </cfRule>
  </conditionalFormatting>
  <conditionalFormatting sqref="L1429:L1431">
    <cfRule type="containsText" dxfId="8058" priority="10561" operator="containsText" text="Positive">
      <formula>NOT(ISERROR(SEARCH("Positive",L1429)))</formula>
    </cfRule>
    <cfRule type="containsText" dxfId="8057" priority="10562" operator="containsText" text="Negative">
      <formula>NOT(ISERROR(SEARCH("Negative",L1429)))</formula>
    </cfRule>
  </conditionalFormatting>
  <conditionalFormatting sqref="I1428">
    <cfRule type="containsText" dxfId="8056" priority="10574" operator="containsText" text="Missing">
      <formula>NOT(ISERROR(SEARCH("Missing",I1428)))</formula>
    </cfRule>
  </conditionalFormatting>
  <conditionalFormatting sqref="H1429:K1431">
    <cfRule type="containsText" dxfId="8055" priority="10573" operator="containsText" text="Missing">
      <formula>NOT(ISERROR(SEARCH("Missing",H1429)))</formula>
    </cfRule>
  </conditionalFormatting>
  <conditionalFormatting sqref="L1429:L1431">
    <cfRule type="containsText" dxfId="8054" priority="10571" operator="containsText" text="Positive">
      <formula>NOT(ISERROR(SEARCH("Positive",L1429)))</formula>
    </cfRule>
    <cfRule type="containsText" dxfId="8053" priority="10572" operator="containsText" text="Negative">
      <formula>NOT(ISERROR(SEARCH("Negative",L1429)))</formula>
    </cfRule>
  </conditionalFormatting>
  <conditionalFormatting sqref="J1429:K1431">
    <cfRule type="containsText" dxfId="8052" priority="10568" operator="containsText" text="Missing">
      <formula>NOT(ISERROR(SEARCH("Missing",J1429)))</formula>
    </cfRule>
  </conditionalFormatting>
  <conditionalFormatting sqref="L1429:L1431">
    <cfRule type="containsText" dxfId="8051" priority="10569" operator="containsText" text="Positive">
      <formula>NOT(ISERROR(SEARCH("Positive",L1429)))</formula>
    </cfRule>
    <cfRule type="containsText" dxfId="8050" priority="10570" operator="containsText" text="Negative">
      <formula>NOT(ISERROR(SEARCH("Negative",L1429)))</formula>
    </cfRule>
  </conditionalFormatting>
  <conditionalFormatting sqref="H1429:H1431">
    <cfRule type="containsText" dxfId="8049" priority="10565" operator="containsText" text="Missing">
      <formula>NOT(ISERROR(SEARCH("Missing",H1429)))</formula>
    </cfRule>
  </conditionalFormatting>
  <conditionalFormatting sqref="L1429:L1431">
    <cfRule type="containsText" dxfId="8048" priority="10566" operator="containsText" text="Positive">
      <formula>NOT(ISERROR(SEARCH("Positive",L1429)))</formula>
    </cfRule>
    <cfRule type="containsText" dxfId="8047" priority="10567" operator="containsText" text="Negative">
      <formula>NOT(ISERROR(SEARCH("Negative",L1429)))</formula>
    </cfRule>
  </conditionalFormatting>
  <conditionalFormatting sqref="I1429:I1431">
    <cfRule type="containsText" dxfId="8046" priority="10564" operator="containsText" text="Missing">
      <formula>NOT(ISERROR(SEARCH("Missing",I1429)))</formula>
    </cfRule>
  </conditionalFormatting>
  <conditionalFormatting sqref="J1429:K1431">
    <cfRule type="containsText" dxfId="8045" priority="10563" operator="containsText" text="Missing">
      <formula>NOT(ISERROR(SEARCH("Missing",J1429)))</formula>
    </cfRule>
  </conditionalFormatting>
  <conditionalFormatting sqref="I1429:I1431">
    <cfRule type="containsText" dxfId="8044" priority="10560" operator="containsText" text="Missing">
      <formula>NOT(ISERROR(SEARCH("Missing",I1429)))</formula>
    </cfRule>
  </conditionalFormatting>
  <conditionalFormatting sqref="H1429:H1431">
    <cfRule type="containsText" dxfId="8043" priority="10558" operator="containsText" text="Missing">
      <formula>NOT(ISERROR(SEARCH("Missing",H1429)))</formula>
    </cfRule>
  </conditionalFormatting>
  <conditionalFormatting sqref="H1429:H1431">
    <cfRule type="containsText" dxfId="8042" priority="10559" operator="containsText" text="Missing">
      <formula>NOT(ISERROR(SEARCH("Missing",H1429)))</formula>
    </cfRule>
  </conditionalFormatting>
  <conditionalFormatting sqref="H1428">
    <cfRule type="containsText" dxfId="8041" priority="10557" operator="containsText" text="Missing">
      <formula>NOT(ISERROR(SEARCH("Missing",H1428)))</formula>
    </cfRule>
  </conditionalFormatting>
  <conditionalFormatting sqref="H1428">
    <cfRule type="containsText" dxfId="8040" priority="10556" operator="containsText" text="Missing">
      <formula>NOT(ISERROR(SEARCH("Missing",H1428)))</formula>
    </cfRule>
  </conditionalFormatting>
  <conditionalFormatting sqref="H1428">
    <cfRule type="containsText" dxfId="8039" priority="10554" operator="containsText" text="Missing">
      <formula>NOT(ISERROR(SEARCH("Missing",H1428)))</formula>
    </cfRule>
  </conditionalFormatting>
  <conditionalFormatting sqref="H1428">
    <cfRule type="containsText" dxfId="8038" priority="10555" operator="containsText" text="Missing">
      <formula>NOT(ISERROR(SEARCH("Missing",H1428)))</formula>
    </cfRule>
  </conditionalFormatting>
  <conditionalFormatting sqref="L1428">
    <cfRule type="containsText" dxfId="8037" priority="10552" operator="containsText" text="Positive">
      <formula>NOT(ISERROR(SEARCH("Positive",L1428)))</formula>
    </cfRule>
    <cfRule type="containsText" dxfId="8036" priority="10553" operator="containsText" text="Negative">
      <formula>NOT(ISERROR(SEARCH("Negative",L1428)))</formula>
    </cfRule>
  </conditionalFormatting>
  <conditionalFormatting sqref="L1385">
    <cfRule type="containsText" dxfId="8035" priority="10545" operator="containsText" text="Positive">
      <formula>NOT(ISERROR(SEARCH("Positive",L1385)))</formula>
    </cfRule>
    <cfRule type="containsText" dxfId="8034" priority="10546" operator="containsText" text="Negative">
      <formula>NOT(ISERROR(SEARCH("Negative",L1385)))</formula>
    </cfRule>
  </conditionalFormatting>
  <conditionalFormatting sqref="H1385">
    <cfRule type="containsText" dxfId="8033" priority="10544" operator="containsText" text="Missing">
      <formula>NOT(ISERROR(SEARCH("Missing",H1385)))</formula>
    </cfRule>
  </conditionalFormatting>
  <conditionalFormatting sqref="J1361:K1361">
    <cfRule type="containsText" dxfId="8032" priority="10541" operator="containsText" text="Missing">
      <formula>NOT(ISERROR(SEARCH("Missing",J1361)))</formula>
    </cfRule>
  </conditionalFormatting>
  <conditionalFormatting sqref="I1361">
    <cfRule type="containsText" dxfId="8031" priority="10540" operator="containsText" text="Missing">
      <formula>NOT(ISERROR(SEARCH("Missing",I1361)))</formula>
    </cfRule>
  </conditionalFormatting>
  <conditionalFormatting sqref="L1361">
    <cfRule type="containsText" dxfId="8030" priority="10542" operator="containsText" text="Positive">
      <formula>NOT(ISERROR(SEARCH("Positive",L1361)))</formula>
    </cfRule>
    <cfRule type="containsText" dxfId="8029" priority="10543" operator="containsText" text="Negative">
      <formula>NOT(ISERROR(SEARCH("Negative",L1361)))</formula>
    </cfRule>
  </conditionalFormatting>
  <conditionalFormatting sqref="H1361">
    <cfRule type="containsText" dxfId="8028" priority="10539" operator="containsText" text="Missing">
      <formula>NOT(ISERROR(SEARCH("Missing",H1361)))</formula>
    </cfRule>
  </conditionalFormatting>
  <conditionalFormatting sqref="H1350:K1350 I1351:I1353">
    <cfRule type="containsText" dxfId="8027" priority="10538" operator="containsText" text="Missing">
      <formula>NOT(ISERROR(SEARCH("Missing",H1350)))</formula>
    </cfRule>
  </conditionalFormatting>
  <conditionalFormatting sqref="L1350">
    <cfRule type="containsText" dxfId="8026" priority="10536" operator="containsText" text="Positive">
      <formula>NOT(ISERROR(SEARCH("Positive",L1350)))</formula>
    </cfRule>
    <cfRule type="containsText" dxfId="8025" priority="10537" operator="containsText" text="Negative">
      <formula>NOT(ISERROR(SEARCH("Negative",L1350)))</formula>
    </cfRule>
  </conditionalFormatting>
  <conditionalFormatting sqref="H1351:H1353 J1351:K1353">
    <cfRule type="containsText" dxfId="8024" priority="10535" operator="containsText" text="Missing">
      <formula>NOT(ISERROR(SEARCH("Missing",H1351)))</formula>
    </cfRule>
  </conditionalFormatting>
  <conditionalFormatting sqref="L1352">
    <cfRule type="containsText" dxfId="8023" priority="10533" operator="containsText" text="Positive">
      <formula>NOT(ISERROR(SEARCH("Positive",L1352)))</formula>
    </cfRule>
    <cfRule type="containsText" dxfId="8022" priority="10534" operator="containsText" text="Negative">
      <formula>NOT(ISERROR(SEARCH("Negative",L1352)))</formula>
    </cfRule>
  </conditionalFormatting>
  <conditionalFormatting sqref="L1353">
    <cfRule type="containsText" dxfId="8021" priority="10531" operator="containsText" text="Positive">
      <formula>NOT(ISERROR(SEARCH("Positive",L1353)))</formula>
    </cfRule>
    <cfRule type="containsText" dxfId="8020" priority="10532" operator="containsText" text="Negative">
      <formula>NOT(ISERROR(SEARCH("Negative",L1353)))</formula>
    </cfRule>
  </conditionalFormatting>
  <conditionalFormatting sqref="L1351">
    <cfRule type="containsText" dxfId="8019" priority="10529" operator="containsText" text="Positive">
      <formula>NOT(ISERROR(SEARCH("Positive",L1351)))</formula>
    </cfRule>
    <cfRule type="containsText" dxfId="8018" priority="10530" operator="containsText" text="Negative">
      <formula>NOT(ISERROR(SEARCH("Negative",L1351)))</formula>
    </cfRule>
  </conditionalFormatting>
  <conditionalFormatting sqref="H1354:K1354 I1355:I1357">
    <cfRule type="containsText" dxfId="8017" priority="10528" operator="containsText" text="Missing">
      <formula>NOT(ISERROR(SEARCH("Missing",H1354)))</formula>
    </cfRule>
  </conditionalFormatting>
  <conditionalFormatting sqref="L1354">
    <cfRule type="containsText" dxfId="8016" priority="10526" operator="containsText" text="Positive">
      <formula>NOT(ISERROR(SEARCH("Positive",L1354)))</formula>
    </cfRule>
    <cfRule type="containsText" dxfId="8015" priority="10527" operator="containsText" text="Negative">
      <formula>NOT(ISERROR(SEARCH("Negative",L1354)))</formula>
    </cfRule>
  </conditionalFormatting>
  <conditionalFormatting sqref="H1355:H1357 J1355:K1357">
    <cfRule type="containsText" dxfId="8014" priority="10525" operator="containsText" text="Missing">
      <formula>NOT(ISERROR(SEARCH("Missing",H1355)))</formula>
    </cfRule>
  </conditionalFormatting>
  <conditionalFormatting sqref="L1356">
    <cfRule type="containsText" dxfId="8013" priority="10523" operator="containsText" text="Positive">
      <formula>NOT(ISERROR(SEARCH("Positive",L1356)))</formula>
    </cfRule>
    <cfRule type="containsText" dxfId="8012" priority="10524" operator="containsText" text="Negative">
      <formula>NOT(ISERROR(SEARCH("Negative",L1356)))</formula>
    </cfRule>
  </conditionalFormatting>
  <conditionalFormatting sqref="L1357">
    <cfRule type="containsText" dxfId="8011" priority="10521" operator="containsText" text="Positive">
      <formula>NOT(ISERROR(SEARCH("Positive",L1357)))</formula>
    </cfRule>
    <cfRule type="containsText" dxfId="8010" priority="10522" operator="containsText" text="Negative">
      <formula>NOT(ISERROR(SEARCH("Negative",L1357)))</formula>
    </cfRule>
  </conditionalFormatting>
  <conditionalFormatting sqref="L1355">
    <cfRule type="containsText" dxfId="8009" priority="10519" operator="containsText" text="Positive">
      <formula>NOT(ISERROR(SEARCH("Positive",L1355)))</formula>
    </cfRule>
    <cfRule type="containsText" dxfId="8008" priority="10520" operator="containsText" text="Negative">
      <formula>NOT(ISERROR(SEARCH("Negative",L1355)))</formula>
    </cfRule>
  </conditionalFormatting>
  <conditionalFormatting sqref="H1372 J1372:K1372">
    <cfRule type="containsText" dxfId="8007" priority="10518" operator="containsText" text="Missing">
      <formula>NOT(ISERROR(SEARCH("Missing",H1372)))</formula>
    </cfRule>
  </conditionalFormatting>
  <conditionalFormatting sqref="L1372">
    <cfRule type="containsText" dxfId="8006" priority="10516" operator="containsText" text="Positive">
      <formula>NOT(ISERROR(SEARCH("Positive",L1372)))</formula>
    </cfRule>
    <cfRule type="containsText" dxfId="8005" priority="10517" operator="containsText" text="Negative">
      <formula>NOT(ISERROR(SEARCH("Negative",L1372)))</formula>
    </cfRule>
  </conditionalFormatting>
  <conditionalFormatting sqref="H1373:H1376 J1373:K1376">
    <cfRule type="containsText" dxfId="8004" priority="10515" operator="containsText" text="Missing">
      <formula>NOT(ISERROR(SEARCH("Missing",H1373)))</formula>
    </cfRule>
  </conditionalFormatting>
  <conditionalFormatting sqref="L1375:L1376">
    <cfRule type="containsText" dxfId="8003" priority="10513" operator="containsText" text="Positive">
      <formula>NOT(ISERROR(SEARCH("Positive",L1375)))</formula>
    </cfRule>
    <cfRule type="containsText" dxfId="8002" priority="10514" operator="containsText" text="Negative">
      <formula>NOT(ISERROR(SEARCH("Negative",L1375)))</formula>
    </cfRule>
  </conditionalFormatting>
  <conditionalFormatting sqref="L1374">
    <cfRule type="containsText" dxfId="8001" priority="10511" operator="containsText" text="Positive">
      <formula>NOT(ISERROR(SEARCH("Positive",L1374)))</formula>
    </cfRule>
    <cfRule type="containsText" dxfId="8000" priority="10512" operator="containsText" text="Negative">
      <formula>NOT(ISERROR(SEARCH("Negative",L1374)))</formula>
    </cfRule>
  </conditionalFormatting>
  <conditionalFormatting sqref="L1373">
    <cfRule type="containsText" dxfId="7999" priority="10509" operator="containsText" text="Positive">
      <formula>NOT(ISERROR(SEARCH("Positive",L1373)))</formula>
    </cfRule>
    <cfRule type="containsText" dxfId="7998" priority="10510" operator="containsText" text="Negative">
      <formula>NOT(ISERROR(SEARCH("Negative",L1373)))</formula>
    </cfRule>
  </conditionalFormatting>
  <conditionalFormatting sqref="H1377:H1380 J1377:K1380">
    <cfRule type="containsText" dxfId="7997" priority="10508" operator="containsText" text="Missing">
      <formula>NOT(ISERROR(SEARCH("Missing",H1377)))</formula>
    </cfRule>
  </conditionalFormatting>
  <conditionalFormatting sqref="L1379:L1380">
    <cfRule type="containsText" dxfId="7996" priority="10506" operator="containsText" text="Positive">
      <formula>NOT(ISERROR(SEARCH("Positive",L1379)))</formula>
    </cfRule>
    <cfRule type="containsText" dxfId="7995" priority="10507" operator="containsText" text="Negative">
      <formula>NOT(ISERROR(SEARCH("Negative",L1379)))</formula>
    </cfRule>
  </conditionalFormatting>
  <conditionalFormatting sqref="L1378">
    <cfRule type="containsText" dxfId="7994" priority="10504" operator="containsText" text="Positive">
      <formula>NOT(ISERROR(SEARCH("Positive",L1378)))</formula>
    </cfRule>
    <cfRule type="containsText" dxfId="7993" priority="10505" operator="containsText" text="Negative">
      <formula>NOT(ISERROR(SEARCH("Negative",L1378)))</formula>
    </cfRule>
  </conditionalFormatting>
  <conditionalFormatting sqref="L1377">
    <cfRule type="containsText" dxfId="7992" priority="10502" operator="containsText" text="Positive">
      <formula>NOT(ISERROR(SEARCH("Positive",L1377)))</formula>
    </cfRule>
    <cfRule type="containsText" dxfId="7991" priority="10503" operator="containsText" text="Negative">
      <formula>NOT(ISERROR(SEARCH("Negative",L1377)))</formula>
    </cfRule>
  </conditionalFormatting>
  <conditionalFormatting sqref="H1349:K1349">
    <cfRule type="containsText" dxfId="7990" priority="10501" operator="containsText" text="Missing">
      <formula>NOT(ISERROR(SEARCH("Missing",H1349)))</formula>
    </cfRule>
  </conditionalFormatting>
  <conditionalFormatting sqref="L1349">
    <cfRule type="containsText" dxfId="7989" priority="10499" operator="containsText" text="Positive">
      <formula>NOT(ISERROR(SEARCH("Positive",L1349)))</formula>
    </cfRule>
    <cfRule type="containsText" dxfId="7988" priority="10500" operator="containsText" text="Negative">
      <formula>NOT(ISERROR(SEARCH("Negative",L1349)))</formula>
    </cfRule>
  </conditionalFormatting>
  <conditionalFormatting sqref="I1372">
    <cfRule type="containsText" dxfId="7987" priority="10498" operator="containsText" text="Missing">
      <formula>NOT(ISERROR(SEARCH("Missing",I1372)))</formula>
    </cfRule>
  </conditionalFormatting>
  <conditionalFormatting sqref="I1373:I1376">
    <cfRule type="containsText" dxfId="7986" priority="10497" operator="containsText" text="Missing">
      <formula>NOT(ISERROR(SEARCH("Missing",I1373)))</formula>
    </cfRule>
  </conditionalFormatting>
  <conditionalFormatting sqref="I1377:I1380">
    <cfRule type="containsText" dxfId="7985" priority="10496" operator="containsText" text="Missing">
      <formula>NOT(ISERROR(SEARCH("Missing",I1377)))</formula>
    </cfRule>
  </conditionalFormatting>
  <conditionalFormatting sqref="I1878">
    <cfRule type="containsText" dxfId="7984" priority="9406" operator="containsText" text="Missing">
      <formula>NOT(ISERROR(SEARCH("Missing",I1878)))</formula>
    </cfRule>
  </conditionalFormatting>
  <conditionalFormatting sqref="L1877">
    <cfRule type="containsText" dxfId="7983" priority="9404" operator="containsText" text="Positive">
      <formula>NOT(ISERROR(SEARCH("Positive",L1877)))</formula>
    </cfRule>
    <cfRule type="containsText" dxfId="7982" priority="9405" operator="containsText" text="Negative">
      <formula>NOT(ISERROR(SEARCH("Negative",L1877)))</formula>
    </cfRule>
  </conditionalFormatting>
  <conditionalFormatting sqref="H1442:H1445 J1442:K1445">
    <cfRule type="containsText" dxfId="7981" priority="10495" operator="containsText" text="Missing">
      <formula>NOT(ISERROR(SEARCH("Missing",H1442)))</formula>
    </cfRule>
  </conditionalFormatting>
  <conditionalFormatting sqref="L1443">
    <cfRule type="containsText" dxfId="7980" priority="10493" operator="containsText" text="Positive">
      <formula>NOT(ISERROR(SEARCH("Positive",L1443)))</formula>
    </cfRule>
    <cfRule type="containsText" dxfId="7979" priority="10494" operator="containsText" text="Negative">
      <formula>NOT(ISERROR(SEARCH("Negative",L1443)))</formula>
    </cfRule>
  </conditionalFormatting>
  <conditionalFormatting sqref="L1444:L1445">
    <cfRule type="containsText" dxfId="7978" priority="10491" operator="containsText" text="Positive">
      <formula>NOT(ISERROR(SEARCH("Positive",L1444)))</formula>
    </cfRule>
    <cfRule type="containsText" dxfId="7977" priority="10492" operator="containsText" text="Negative">
      <formula>NOT(ISERROR(SEARCH("Negative",L1444)))</formula>
    </cfRule>
  </conditionalFormatting>
  <conditionalFormatting sqref="L1442">
    <cfRule type="containsText" dxfId="7976" priority="10489" operator="containsText" text="Positive">
      <formula>NOT(ISERROR(SEARCH("Positive",L1442)))</formula>
    </cfRule>
    <cfRule type="containsText" dxfId="7975" priority="10490" operator="containsText" text="Negative">
      <formula>NOT(ISERROR(SEARCH("Negative",L1442)))</formula>
    </cfRule>
  </conditionalFormatting>
  <conditionalFormatting sqref="H1446:H1449 J1446:K1449">
    <cfRule type="containsText" dxfId="7974" priority="10488" operator="containsText" text="Missing">
      <formula>NOT(ISERROR(SEARCH("Missing",H1446)))</formula>
    </cfRule>
  </conditionalFormatting>
  <conditionalFormatting sqref="L1447">
    <cfRule type="containsText" dxfId="7973" priority="10486" operator="containsText" text="Positive">
      <formula>NOT(ISERROR(SEARCH("Positive",L1447)))</formula>
    </cfRule>
    <cfRule type="containsText" dxfId="7972" priority="10487" operator="containsText" text="Negative">
      <formula>NOT(ISERROR(SEARCH("Negative",L1447)))</formula>
    </cfRule>
  </conditionalFormatting>
  <conditionalFormatting sqref="L1448:L1449">
    <cfRule type="containsText" dxfId="7971" priority="10484" operator="containsText" text="Positive">
      <formula>NOT(ISERROR(SEARCH("Positive",L1448)))</formula>
    </cfRule>
    <cfRule type="containsText" dxfId="7970" priority="10485" operator="containsText" text="Negative">
      <formula>NOT(ISERROR(SEARCH("Negative",L1448)))</formula>
    </cfRule>
  </conditionalFormatting>
  <conditionalFormatting sqref="L1446">
    <cfRule type="containsText" dxfId="7969" priority="10482" operator="containsText" text="Positive">
      <formula>NOT(ISERROR(SEARCH("Positive",L1446)))</formula>
    </cfRule>
    <cfRule type="containsText" dxfId="7968" priority="10483" operator="containsText" text="Negative">
      <formula>NOT(ISERROR(SEARCH("Negative",L1446)))</formula>
    </cfRule>
  </conditionalFormatting>
  <conditionalFormatting sqref="H1881">
    <cfRule type="containsText" dxfId="7967" priority="9378" operator="containsText" text="Missing">
      <formula>NOT(ISERROR(SEARCH("Missing",H1881)))</formula>
    </cfRule>
  </conditionalFormatting>
  <conditionalFormatting sqref="L1881">
    <cfRule type="containsText" dxfId="7966" priority="9376" operator="containsText" text="Positive">
      <formula>NOT(ISERROR(SEARCH("Positive",L1881)))</formula>
    </cfRule>
    <cfRule type="containsText" dxfId="7965" priority="9377" operator="containsText" text="Negative">
      <formula>NOT(ISERROR(SEARCH("Negative",L1881)))</formula>
    </cfRule>
  </conditionalFormatting>
  <conditionalFormatting sqref="L1841">
    <cfRule type="containsText" dxfId="7964" priority="9369" operator="containsText" text="Positive">
      <formula>NOT(ISERROR(SEARCH("Positive",L1841)))</formula>
    </cfRule>
    <cfRule type="containsText" dxfId="7963" priority="9370" operator="containsText" text="Negative">
      <formula>NOT(ISERROR(SEARCH("Negative",L1841)))</formula>
    </cfRule>
  </conditionalFormatting>
  <conditionalFormatting sqref="K1841">
    <cfRule type="containsText" dxfId="7962" priority="9371" operator="containsText" text="Missing">
      <formula>NOT(ISERROR(SEARCH("Missing",K1841)))</formula>
    </cfRule>
  </conditionalFormatting>
  <conditionalFormatting sqref="H1464:H1466 J1464:K1466">
    <cfRule type="containsText" dxfId="7961" priority="10481" operator="containsText" text="Missing">
      <formula>NOT(ISERROR(SEARCH("Missing",H1464)))</formula>
    </cfRule>
  </conditionalFormatting>
  <conditionalFormatting sqref="L1465">
    <cfRule type="containsText" dxfId="7960" priority="10479" operator="containsText" text="Positive">
      <formula>NOT(ISERROR(SEARCH("Positive",L1465)))</formula>
    </cfRule>
    <cfRule type="containsText" dxfId="7959" priority="10480" operator="containsText" text="Negative">
      <formula>NOT(ISERROR(SEARCH("Negative",L1465)))</formula>
    </cfRule>
  </conditionalFormatting>
  <conditionalFormatting sqref="L1466">
    <cfRule type="containsText" dxfId="7958" priority="10477" operator="containsText" text="Positive">
      <formula>NOT(ISERROR(SEARCH("Positive",L1466)))</formula>
    </cfRule>
    <cfRule type="containsText" dxfId="7957" priority="10478" operator="containsText" text="Negative">
      <formula>NOT(ISERROR(SEARCH("Negative",L1466)))</formula>
    </cfRule>
  </conditionalFormatting>
  <conditionalFormatting sqref="L1464">
    <cfRule type="containsText" dxfId="7956" priority="10475" operator="containsText" text="Positive">
      <formula>NOT(ISERROR(SEARCH("Positive",L1464)))</formula>
    </cfRule>
    <cfRule type="containsText" dxfId="7955" priority="10476" operator="containsText" text="Negative">
      <formula>NOT(ISERROR(SEARCH("Negative",L1464)))</formula>
    </cfRule>
  </conditionalFormatting>
  <conditionalFormatting sqref="L1467">
    <cfRule type="containsText" dxfId="7954" priority="10472" operator="containsText" text="Positive">
      <formula>NOT(ISERROR(SEARCH("Positive",L1467)))</formula>
    </cfRule>
    <cfRule type="containsText" dxfId="7953" priority="10473" operator="containsText" text="Negative">
      <formula>NOT(ISERROR(SEARCH("Negative",L1467)))</formula>
    </cfRule>
  </conditionalFormatting>
  <conditionalFormatting sqref="H1467 J1467:K1467">
    <cfRule type="containsText" dxfId="7952" priority="10474" operator="containsText" text="Missing">
      <formula>NOT(ISERROR(SEARCH("Missing",H1467)))</formula>
    </cfRule>
  </conditionalFormatting>
  <conditionalFormatting sqref="H1468:H1470 J1468:K1470">
    <cfRule type="containsText" dxfId="7951" priority="10471" operator="containsText" text="Missing">
      <formula>NOT(ISERROR(SEARCH("Missing",H1468)))</formula>
    </cfRule>
  </conditionalFormatting>
  <conditionalFormatting sqref="L1469">
    <cfRule type="containsText" dxfId="7950" priority="10469" operator="containsText" text="Positive">
      <formula>NOT(ISERROR(SEARCH("Positive",L1469)))</formula>
    </cfRule>
    <cfRule type="containsText" dxfId="7949" priority="10470" operator="containsText" text="Negative">
      <formula>NOT(ISERROR(SEARCH("Negative",L1469)))</formula>
    </cfRule>
  </conditionalFormatting>
  <conditionalFormatting sqref="L1470">
    <cfRule type="containsText" dxfId="7948" priority="10467" operator="containsText" text="Positive">
      <formula>NOT(ISERROR(SEARCH("Positive",L1470)))</formula>
    </cfRule>
    <cfRule type="containsText" dxfId="7947" priority="10468" operator="containsText" text="Negative">
      <formula>NOT(ISERROR(SEARCH("Negative",L1470)))</formula>
    </cfRule>
  </conditionalFormatting>
  <conditionalFormatting sqref="L1468">
    <cfRule type="containsText" dxfId="7946" priority="10465" operator="containsText" text="Positive">
      <formula>NOT(ISERROR(SEARCH("Positive",L1468)))</formula>
    </cfRule>
    <cfRule type="containsText" dxfId="7945" priority="10466" operator="containsText" text="Negative">
      <formula>NOT(ISERROR(SEARCH("Negative",L1468)))</formula>
    </cfRule>
  </conditionalFormatting>
  <conditionalFormatting sqref="L1471">
    <cfRule type="containsText" dxfId="7944" priority="10462" operator="containsText" text="Positive">
      <formula>NOT(ISERROR(SEARCH("Positive",L1471)))</formula>
    </cfRule>
    <cfRule type="containsText" dxfId="7943" priority="10463" operator="containsText" text="Negative">
      <formula>NOT(ISERROR(SEARCH("Negative",L1471)))</formula>
    </cfRule>
  </conditionalFormatting>
  <conditionalFormatting sqref="H1471 J1471:K1471">
    <cfRule type="containsText" dxfId="7942" priority="10464" operator="containsText" text="Missing">
      <formula>NOT(ISERROR(SEARCH("Missing",H1471)))</formula>
    </cfRule>
  </conditionalFormatting>
  <conditionalFormatting sqref="H1453">
    <cfRule type="containsText" dxfId="7941" priority="10433" operator="containsText" text="Missing">
      <formula>NOT(ISERROR(SEARCH("Missing",H1453)))</formula>
    </cfRule>
  </conditionalFormatting>
  <conditionalFormatting sqref="I1442:I1445">
    <cfRule type="containsText" dxfId="7940" priority="10461" operator="containsText" text="Missing">
      <formula>NOT(ISERROR(SEARCH("Missing",I1442)))</formula>
    </cfRule>
  </conditionalFormatting>
  <conditionalFormatting sqref="I1446:I1449">
    <cfRule type="containsText" dxfId="7939" priority="10460" operator="containsText" text="Missing">
      <formula>NOT(ISERROR(SEARCH("Missing",I1446)))</formula>
    </cfRule>
  </conditionalFormatting>
  <conditionalFormatting sqref="I1464:I1467">
    <cfRule type="containsText" dxfId="7938" priority="10459" operator="containsText" text="Missing">
      <formula>NOT(ISERROR(SEARCH("Missing",I1464)))</formula>
    </cfRule>
  </conditionalFormatting>
  <conditionalFormatting sqref="I1468:I1471">
    <cfRule type="containsText" dxfId="7937" priority="10458" operator="containsText" text="Missing">
      <formula>NOT(ISERROR(SEARCH("Missing",I1468)))</formula>
    </cfRule>
  </conditionalFormatting>
  <conditionalFormatting sqref="I1294:I1298">
    <cfRule type="containsText" dxfId="7936" priority="10457" operator="containsText" text="Missing">
      <formula>NOT(ISERROR(SEARCH("Missing",I1294)))</formula>
    </cfRule>
  </conditionalFormatting>
  <conditionalFormatting sqref="I1299">
    <cfRule type="containsText" dxfId="7935" priority="10456" operator="containsText" text="Missing">
      <formula>NOT(ISERROR(SEARCH("Missing",I1299)))</formula>
    </cfRule>
  </conditionalFormatting>
  <conditionalFormatting sqref="I1300">
    <cfRule type="containsText" dxfId="7934" priority="10455" operator="containsText" text="Missing">
      <formula>NOT(ISERROR(SEARCH("Missing",I1300)))</formula>
    </cfRule>
  </conditionalFormatting>
  <conditionalFormatting sqref="L1451">
    <cfRule type="containsText" dxfId="7933" priority="10453" operator="containsText" text="Positive">
      <formula>NOT(ISERROR(SEARCH("Positive",L1451)))</formula>
    </cfRule>
    <cfRule type="containsText" dxfId="7932" priority="10454" operator="containsText" text="Negative">
      <formula>NOT(ISERROR(SEARCH("Negative",L1451)))</formula>
    </cfRule>
  </conditionalFormatting>
  <conditionalFormatting sqref="J1451:K1451">
    <cfRule type="containsText" dxfId="7931" priority="10450" operator="containsText" text="Missing">
      <formula>NOT(ISERROR(SEARCH("Missing",J1451)))</formula>
    </cfRule>
  </conditionalFormatting>
  <conditionalFormatting sqref="I1451">
    <cfRule type="containsText" dxfId="7930" priority="10449" operator="containsText" text="Missing">
      <formula>NOT(ISERROR(SEARCH("Missing",I1451)))</formula>
    </cfRule>
  </conditionalFormatting>
  <conditionalFormatting sqref="I1450">
    <cfRule type="containsText" dxfId="7929" priority="10445" operator="containsText" text="Missing">
      <formula>NOT(ISERROR(SEARCH("Missing",I1450)))</formula>
    </cfRule>
  </conditionalFormatting>
  <conditionalFormatting sqref="J1450:K1450">
    <cfRule type="containsText" dxfId="7928" priority="10448" operator="containsText" text="Missing">
      <formula>NOT(ISERROR(SEARCH("Missing",J1450)))</formula>
    </cfRule>
  </conditionalFormatting>
  <conditionalFormatting sqref="L1450">
    <cfRule type="containsText" dxfId="7927" priority="10451" operator="containsText" text="Positive">
      <formula>NOT(ISERROR(SEARCH("Positive",L1450)))</formula>
    </cfRule>
    <cfRule type="containsText" dxfId="7926" priority="10452" operator="containsText" text="Negative">
      <formula>NOT(ISERROR(SEARCH("Negative",L1450)))</formula>
    </cfRule>
  </conditionalFormatting>
  <conditionalFormatting sqref="L1450">
    <cfRule type="containsText" dxfId="7925" priority="10446" operator="containsText" text="Positive">
      <formula>NOT(ISERROR(SEARCH("Positive",L1450)))</formula>
    </cfRule>
    <cfRule type="containsText" dxfId="7924" priority="10447" operator="containsText" text="Negative">
      <formula>NOT(ISERROR(SEARCH("Negative",L1450)))</formula>
    </cfRule>
  </conditionalFormatting>
  <conditionalFormatting sqref="H1450">
    <cfRule type="containsText" dxfId="7923" priority="10444" operator="containsText" text="Missing">
      <formula>NOT(ISERROR(SEARCH("Missing",H1450)))</formula>
    </cfRule>
  </conditionalFormatting>
  <conditionalFormatting sqref="H1451">
    <cfRule type="containsText" dxfId="7922" priority="10443" operator="containsText" text="Missing">
      <formula>NOT(ISERROR(SEARCH("Missing",H1451)))</formula>
    </cfRule>
  </conditionalFormatting>
  <conditionalFormatting sqref="L1452">
    <cfRule type="containsText" dxfId="7921" priority="10441" operator="containsText" text="Positive">
      <formula>NOT(ISERROR(SEARCH("Positive",L1452)))</formula>
    </cfRule>
    <cfRule type="containsText" dxfId="7920" priority="10442" operator="containsText" text="Negative">
      <formula>NOT(ISERROR(SEARCH("Negative",L1452)))</formula>
    </cfRule>
  </conditionalFormatting>
  <conditionalFormatting sqref="I1452">
    <cfRule type="containsText" dxfId="7919" priority="10439" operator="containsText" text="Missing">
      <formula>NOT(ISERROR(SEARCH("Missing",I1452)))</formula>
    </cfRule>
  </conditionalFormatting>
  <conditionalFormatting sqref="J1452:K1452">
    <cfRule type="containsText" dxfId="7918" priority="10440" operator="containsText" text="Missing">
      <formula>NOT(ISERROR(SEARCH("Missing",J1452)))</formula>
    </cfRule>
  </conditionalFormatting>
  <conditionalFormatting sqref="H1452">
    <cfRule type="containsText" dxfId="7917" priority="10438" operator="containsText" text="Missing">
      <formula>NOT(ISERROR(SEARCH("Missing",H1452)))</formula>
    </cfRule>
  </conditionalFormatting>
  <conditionalFormatting sqref="L1453">
    <cfRule type="containsText" dxfId="7916" priority="10436" operator="containsText" text="Positive">
      <formula>NOT(ISERROR(SEARCH("Positive",L1453)))</formula>
    </cfRule>
    <cfRule type="containsText" dxfId="7915" priority="10437" operator="containsText" text="Negative">
      <formula>NOT(ISERROR(SEARCH("Negative",L1453)))</formula>
    </cfRule>
  </conditionalFormatting>
  <conditionalFormatting sqref="I1453">
    <cfRule type="containsText" dxfId="7914" priority="10434" operator="containsText" text="Missing">
      <formula>NOT(ISERROR(SEARCH("Missing",I1453)))</formula>
    </cfRule>
  </conditionalFormatting>
  <conditionalFormatting sqref="J1453:K1453">
    <cfRule type="containsText" dxfId="7913" priority="10435" operator="containsText" text="Missing">
      <formula>NOT(ISERROR(SEARCH("Missing",J1453)))</formula>
    </cfRule>
  </conditionalFormatting>
  <conditionalFormatting sqref="L1283">
    <cfRule type="containsText" dxfId="7912" priority="10431" operator="containsText" text="Positive">
      <formula>NOT(ISERROR(SEARCH("Positive",L1283)))</formula>
    </cfRule>
    <cfRule type="containsText" dxfId="7911" priority="10432" operator="containsText" text="Negative">
      <formula>NOT(ISERROR(SEARCH("Negative",L1283)))</formula>
    </cfRule>
  </conditionalFormatting>
  <conditionalFormatting sqref="J1283:K1283">
    <cfRule type="containsText" dxfId="7910" priority="10430" operator="containsText" text="Missing">
      <formula>NOT(ISERROR(SEARCH("Missing",J1283)))</formula>
    </cfRule>
  </conditionalFormatting>
  <conditionalFormatting sqref="I1283">
    <cfRule type="containsText" dxfId="7909" priority="10429" operator="containsText" text="Missing">
      <formula>NOT(ISERROR(SEARCH("Missing",I1283)))</formula>
    </cfRule>
  </conditionalFormatting>
  <conditionalFormatting sqref="H1283">
    <cfRule type="containsText" dxfId="7908" priority="10425" operator="containsText" text="Missing">
      <formula>NOT(ISERROR(SEARCH("Missing",H1283)))</formula>
    </cfRule>
  </conditionalFormatting>
  <conditionalFormatting sqref="H1283">
    <cfRule type="containsText" dxfId="7907" priority="10428" operator="containsText" text="Missing">
      <formula>NOT(ISERROR(SEARCH("Missing",H1283)))</formula>
    </cfRule>
  </conditionalFormatting>
  <conditionalFormatting sqref="H1283">
    <cfRule type="containsText" dxfId="7906" priority="10427" operator="containsText" text="Missing">
      <formula>NOT(ISERROR(SEARCH("Missing",H1283)))</formula>
    </cfRule>
  </conditionalFormatting>
  <conditionalFormatting sqref="H1288">
    <cfRule type="containsText" dxfId="7905" priority="10410" operator="containsText" text="Missing">
      <formula>NOT(ISERROR(SEARCH("Missing",H1288)))</formula>
    </cfRule>
  </conditionalFormatting>
  <conditionalFormatting sqref="H1283">
    <cfRule type="containsText" dxfId="7904" priority="10426" operator="containsText" text="Missing">
      <formula>NOT(ISERROR(SEARCH("Missing",H1283)))</formula>
    </cfRule>
  </conditionalFormatting>
  <conditionalFormatting sqref="I1284:I1288">
    <cfRule type="containsText" dxfId="7903" priority="10424" operator="containsText" text="Missing">
      <formula>NOT(ISERROR(SEARCH("Missing",I1284)))</formula>
    </cfRule>
  </conditionalFormatting>
  <conditionalFormatting sqref="L1285">
    <cfRule type="containsText" dxfId="7902" priority="10422" operator="containsText" text="Positive">
      <formula>NOT(ISERROR(SEARCH("Positive",L1285)))</formula>
    </cfRule>
    <cfRule type="containsText" dxfId="7901" priority="10423" operator="containsText" text="Negative">
      <formula>NOT(ISERROR(SEARCH("Negative",L1285)))</formula>
    </cfRule>
  </conditionalFormatting>
  <conditionalFormatting sqref="J1284:K1284">
    <cfRule type="containsText" dxfId="7900" priority="10421" operator="containsText" text="Missing">
      <formula>NOT(ISERROR(SEARCH("Missing",J1284)))</formula>
    </cfRule>
  </conditionalFormatting>
  <conditionalFormatting sqref="L1284">
    <cfRule type="containsText" dxfId="7899" priority="10419" operator="containsText" text="Positive">
      <formula>NOT(ISERROR(SEARCH("Positive",L1284)))</formula>
    </cfRule>
    <cfRule type="containsText" dxfId="7898" priority="10420" operator="containsText" text="Negative">
      <formula>NOT(ISERROR(SEARCH("Negative",L1284)))</formula>
    </cfRule>
  </conditionalFormatting>
  <conditionalFormatting sqref="J1285:K1285">
    <cfRule type="containsText" dxfId="7897" priority="10417" operator="containsText" text="Missing">
      <formula>NOT(ISERROR(SEARCH("Missing",J1285)))</formula>
    </cfRule>
  </conditionalFormatting>
  <conditionalFormatting sqref="H1284">
    <cfRule type="containsText" dxfId="7896" priority="10418" operator="containsText" text="Missing">
      <formula>NOT(ISERROR(SEARCH("Missing",H1284)))</formula>
    </cfRule>
  </conditionalFormatting>
  <conditionalFormatting sqref="J1286:K1288">
    <cfRule type="containsText" dxfId="7895" priority="10416" operator="containsText" text="Missing">
      <formula>NOT(ISERROR(SEARCH("Missing",J1286)))</formula>
    </cfRule>
  </conditionalFormatting>
  <conditionalFormatting sqref="L1286:L1288">
    <cfRule type="containsText" dxfId="7894" priority="10414" operator="containsText" text="Positive">
      <formula>NOT(ISERROR(SEARCH("Positive",L1286)))</formula>
    </cfRule>
    <cfRule type="containsText" dxfId="7893" priority="10415" operator="containsText" text="Negative">
      <formula>NOT(ISERROR(SEARCH("Negative",L1286)))</formula>
    </cfRule>
  </conditionalFormatting>
  <conditionalFormatting sqref="H1286">
    <cfRule type="containsText" dxfId="7892" priority="10412" operator="containsText" text="Missing">
      <formula>NOT(ISERROR(SEARCH("Missing",H1286)))</formula>
    </cfRule>
  </conditionalFormatting>
  <conditionalFormatting sqref="H1287">
    <cfRule type="containsText" dxfId="7891" priority="10411" operator="containsText" text="Missing">
      <formula>NOT(ISERROR(SEARCH("Missing",H1287)))</formula>
    </cfRule>
  </conditionalFormatting>
  <conditionalFormatting sqref="H1285">
    <cfRule type="containsText" dxfId="7890" priority="10413" operator="containsText" text="Missing">
      <formula>NOT(ISERROR(SEARCH("Missing",H1285)))</formula>
    </cfRule>
  </conditionalFormatting>
  <conditionalFormatting sqref="H1391">
    <cfRule type="containsText" dxfId="7889" priority="10387" operator="containsText" text="Missing">
      <formula>NOT(ISERROR(SEARCH("Missing",H1391)))</formula>
    </cfRule>
  </conditionalFormatting>
  <conditionalFormatting sqref="L1386">
    <cfRule type="containsText" dxfId="7888" priority="10408" operator="containsText" text="Positive">
      <formula>NOT(ISERROR(SEARCH("Positive",L1386)))</formula>
    </cfRule>
    <cfRule type="containsText" dxfId="7887" priority="10409" operator="containsText" text="Negative">
      <formula>NOT(ISERROR(SEARCH("Negative",L1386)))</formula>
    </cfRule>
  </conditionalFormatting>
  <conditionalFormatting sqref="J1386:K1386">
    <cfRule type="containsText" dxfId="7886" priority="10407" operator="containsText" text="Missing">
      <formula>NOT(ISERROR(SEARCH("Missing",J1386)))</formula>
    </cfRule>
  </conditionalFormatting>
  <conditionalFormatting sqref="I1386">
    <cfRule type="containsText" dxfId="7885" priority="10406" operator="containsText" text="Missing">
      <formula>NOT(ISERROR(SEARCH("Missing",I1386)))</formula>
    </cfRule>
  </conditionalFormatting>
  <conditionalFormatting sqref="H1386">
    <cfRule type="containsText" dxfId="7884" priority="10402" operator="containsText" text="Missing">
      <formula>NOT(ISERROR(SEARCH("Missing",H1386)))</formula>
    </cfRule>
  </conditionalFormatting>
  <conditionalFormatting sqref="H1386">
    <cfRule type="containsText" dxfId="7883" priority="10405" operator="containsText" text="Missing">
      <formula>NOT(ISERROR(SEARCH("Missing",H1386)))</formula>
    </cfRule>
  </conditionalFormatting>
  <conditionalFormatting sqref="H1386">
    <cfRule type="containsText" dxfId="7882" priority="10404" operator="containsText" text="Missing">
      <formula>NOT(ISERROR(SEARCH("Missing",H1386)))</formula>
    </cfRule>
  </conditionalFormatting>
  <conditionalFormatting sqref="H1386">
    <cfRule type="containsText" dxfId="7881" priority="10403" operator="containsText" text="Missing">
      <formula>NOT(ISERROR(SEARCH("Missing",H1386)))</formula>
    </cfRule>
  </conditionalFormatting>
  <conditionalFormatting sqref="I1387:I1391">
    <cfRule type="containsText" dxfId="7880" priority="10401" operator="containsText" text="Missing">
      <formula>NOT(ISERROR(SEARCH("Missing",I1387)))</formula>
    </cfRule>
  </conditionalFormatting>
  <conditionalFormatting sqref="L1388">
    <cfRule type="containsText" dxfId="7879" priority="10399" operator="containsText" text="Positive">
      <formula>NOT(ISERROR(SEARCH("Positive",L1388)))</formula>
    </cfRule>
    <cfRule type="containsText" dxfId="7878" priority="10400" operator="containsText" text="Negative">
      <formula>NOT(ISERROR(SEARCH("Negative",L1388)))</formula>
    </cfRule>
  </conditionalFormatting>
  <conditionalFormatting sqref="J1387:K1387">
    <cfRule type="containsText" dxfId="7877" priority="10398" operator="containsText" text="Missing">
      <formula>NOT(ISERROR(SEARCH("Missing",J1387)))</formula>
    </cfRule>
  </conditionalFormatting>
  <conditionalFormatting sqref="L1387">
    <cfRule type="containsText" dxfId="7876" priority="10396" operator="containsText" text="Positive">
      <formula>NOT(ISERROR(SEARCH("Positive",L1387)))</formula>
    </cfRule>
    <cfRule type="containsText" dxfId="7875" priority="10397" operator="containsText" text="Negative">
      <formula>NOT(ISERROR(SEARCH("Negative",L1387)))</formula>
    </cfRule>
  </conditionalFormatting>
  <conditionalFormatting sqref="J1388:K1388">
    <cfRule type="containsText" dxfId="7874" priority="10395" operator="containsText" text="Missing">
      <formula>NOT(ISERROR(SEARCH("Missing",J1388)))</formula>
    </cfRule>
  </conditionalFormatting>
  <conditionalFormatting sqref="J1389:K1391">
    <cfRule type="containsText" dxfId="7873" priority="10394" operator="containsText" text="Missing">
      <formula>NOT(ISERROR(SEARCH("Missing",J1389)))</formula>
    </cfRule>
  </conditionalFormatting>
  <conditionalFormatting sqref="L1389:L1391">
    <cfRule type="containsText" dxfId="7872" priority="10392" operator="containsText" text="Positive">
      <formula>NOT(ISERROR(SEARCH("Positive",L1389)))</formula>
    </cfRule>
    <cfRule type="containsText" dxfId="7871" priority="10393" operator="containsText" text="Negative">
      <formula>NOT(ISERROR(SEARCH("Negative",L1389)))</formula>
    </cfRule>
  </conditionalFormatting>
  <conditionalFormatting sqref="H1389">
    <cfRule type="containsText" dxfId="7870" priority="10389" operator="containsText" text="Missing">
      <formula>NOT(ISERROR(SEARCH("Missing",H1389)))</formula>
    </cfRule>
  </conditionalFormatting>
  <conditionalFormatting sqref="H1390">
    <cfRule type="containsText" dxfId="7869" priority="10388" operator="containsText" text="Missing">
      <formula>NOT(ISERROR(SEARCH("Missing",H1390)))</formula>
    </cfRule>
  </conditionalFormatting>
  <conditionalFormatting sqref="H1388">
    <cfRule type="containsText" dxfId="7868" priority="10390" operator="containsText" text="Missing">
      <formula>NOT(ISERROR(SEARCH("Missing",H1388)))</formula>
    </cfRule>
  </conditionalFormatting>
  <conditionalFormatting sqref="H1387">
    <cfRule type="containsText" dxfId="7867" priority="10391" operator="containsText" text="Missing">
      <formula>NOT(ISERROR(SEARCH("Missing",H1387)))</formula>
    </cfRule>
  </conditionalFormatting>
  <conditionalFormatting sqref="H1397:K1406">
    <cfRule type="containsText" dxfId="7866" priority="10386" operator="containsText" text="Missing">
      <formula>NOT(ISERROR(SEARCH("Missing",H1397)))</formula>
    </cfRule>
  </conditionalFormatting>
  <conditionalFormatting sqref="L1397:L1406">
    <cfRule type="containsText" dxfId="7865" priority="10384" operator="containsText" text="Positive">
      <formula>NOT(ISERROR(SEARCH("Positive",L1397)))</formula>
    </cfRule>
    <cfRule type="containsText" dxfId="7864" priority="10385" operator="containsText" text="Negative">
      <formula>NOT(ISERROR(SEARCH("Negative",L1397)))</formula>
    </cfRule>
  </conditionalFormatting>
  <conditionalFormatting sqref="I1321">
    <cfRule type="containsText" dxfId="7863" priority="10383" operator="containsText" text="Missing">
      <formula>NOT(ISERROR(SEARCH("Missing",I1321)))</formula>
    </cfRule>
  </conditionalFormatting>
  <conditionalFormatting sqref="I1426">
    <cfRule type="containsText" dxfId="7862" priority="10382" operator="containsText" text="Missing">
      <formula>NOT(ISERROR(SEARCH("Missing",I1426)))</formula>
    </cfRule>
  </conditionalFormatting>
  <conditionalFormatting sqref="J1385">
    <cfRule type="containsText" dxfId="7861" priority="10381" operator="containsText" text="Missing">
      <formula>NOT(ISERROR(SEARCH("Missing",J1385)))</formula>
    </cfRule>
  </conditionalFormatting>
  <conditionalFormatting sqref="I1384">
    <cfRule type="containsText" dxfId="7860" priority="10380" operator="containsText" text="Missing">
      <formula>NOT(ISERROR(SEARCH("Missing",I1384)))</formula>
    </cfRule>
  </conditionalFormatting>
  <conditionalFormatting sqref="I1477">
    <cfRule type="containsText" dxfId="7859" priority="10379" operator="containsText" text="Missing">
      <formula>NOT(ISERROR(SEARCH("Missing",I1477)))</formula>
    </cfRule>
  </conditionalFormatting>
  <conditionalFormatting sqref="I1479">
    <cfRule type="containsText" dxfId="7858" priority="10378" operator="containsText" text="Missing">
      <formula>NOT(ISERROR(SEARCH("Missing",I1479)))</formula>
    </cfRule>
  </conditionalFormatting>
  <conditionalFormatting sqref="H1526:K1527 J1529:K1529 J1586:K1590 J1667:K1670 J1685:K1688 H1586:H1588 H1604:H1606 H1667:H1669 H1688 H1672:K1675 H1690:K1692 H1591:K1593 J1604:K1612 H1609:I1612 J1698:K1698 H1579:K1579 I1548:K1560 H1550:H1560 H1617:K1619 H1620 J1620:K1620">
    <cfRule type="containsText" dxfId="7857" priority="10377" operator="containsText" text="Missing">
      <formula>NOT(ISERROR(SEARCH("Missing",H1526)))</formula>
    </cfRule>
  </conditionalFormatting>
  <conditionalFormatting sqref="L1526:L1527 L1529 L1584 L1667:L1670 L1586:L1589 L1604:L1607 L1685:L1688 L1611:L1612 L1600 L1617:L1620 L1548:L1560">
    <cfRule type="containsText" dxfId="7856" priority="10375" operator="containsText" text="Positive">
      <formula>NOT(ISERROR(SEARCH("Positive",L1526)))</formula>
    </cfRule>
    <cfRule type="containsText" dxfId="7855" priority="10376" operator="containsText" text="Negative">
      <formula>NOT(ISERROR(SEARCH("Negative",L1526)))</formula>
    </cfRule>
  </conditionalFormatting>
  <conditionalFormatting sqref="I1568:I1570 I1536:I1540">
    <cfRule type="containsText" dxfId="7854" priority="10374" operator="containsText" text="Missing">
      <formula>NOT(ISERROR(SEARCH("Missing",I1536)))</formula>
    </cfRule>
  </conditionalFormatting>
  <conditionalFormatting sqref="L1537 L1580:L1583">
    <cfRule type="containsText" dxfId="7853" priority="10372" operator="containsText" text="Positive">
      <formula>NOT(ISERROR(SEARCH("Positive",L1537)))</formula>
    </cfRule>
    <cfRule type="containsText" dxfId="7852" priority="10373" operator="containsText" text="Negative">
      <formula>NOT(ISERROR(SEARCH("Negative",L1537)))</formula>
    </cfRule>
  </conditionalFormatting>
  <conditionalFormatting sqref="H1580:H1583">
    <cfRule type="containsText" dxfId="7851" priority="10361" operator="containsText" text="Missing">
      <formula>NOT(ISERROR(SEARCH("Missing",H1580)))</formula>
    </cfRule>
  </conditionalFormatting>
  <conditionalFormatting sqref="I1586 I1588">
    <cfRule type="containsText" dxfId="7850" priority="10360" operator="containsText" text="Missing">
      <formula>NOT(ISERROR(SEARCH("Missing",I1586)))</formula>
    </cfRule>
  </conditionalFormatting>
  <conditionalFormatting sqref="J1536:K1536 J1584:K1585">
    <cfRule type="containsText" dxfId="7849" priority="10371" operator="containsText" text="Missing">
      <formula>NOT(ISERROR(SEARCH("Missing",J1536)))</formula>
    </cfRule>
  </conditionalFormatting>
  <conditionalFormatting sqref="I1584">
    <cfRule type="containsText" dxfId="7848" priority="10367" operator="containsText" text="Missing">
      <formula>NOT(ISERROR(SEARCH("Missing",I1584)))</formula>
    </cfRule>
  </conditionalFormatting>
  <conditionalFormatting sqref="L1536">
    <cfRule type="containsText" dxfId="7847" priority="10369" operator="containsText" text="Positive">
      <formula>NOT(ISERROR(SEARCH("Positive",L1536)))</formula>
    </cfRule>
    <cfRule type="containsText" dxfId="7846" priority="10370" operator="containsText" text="Negative">
      <formula>NOT(ISERROR(SEARCH("Negative",L1536)))</formula>
    </cfRule>
  </conditionalFormatting>
  <conditionalFormatting sqref="L1580:L1583">
    <cfRule type="containsText" dxfId="7845" priority="10363" operator="containsText" text="Positive">
      <formula>NOT(ISERROR(SEARCH("Positive",L1580)))</formula>
    </cfRule>
    <cfRule type="containsText" dxfId="7844" priority="10364" operator="containsText" text="Negative">
      <formula>NOT(ISERROR(SEARCH("Negative",L1580)))</formula>
    </cfRule>
  </conditionalFormatting>
  <conditionalFormatting sqref="J1537:K1537">
    <cfRule type="containsText" dxfId="7843" priority="10366" operator="containsText" text="Missing">
      <formula>NOT(ISERROR(SEARCH("Missing",J1537)))</formula>
    </cfRule>
  </conditionalFormatting>
  <conditionalFormatting sqref="J1580:K1583">
    <cfRule type="containsText" dxfId="7842" priority="10365" operator="containsText" text="Missing">
      <formula>NOT(ISERROR(SEARCH("Missing",J1580)))</formula>
    </cfRule>
  </conditionalFormatting>
  <conditionalFormatting sqref="J1568:K1568">
    <cfRule type="containsText" dxfId="7841" priority="10337" operator="containsText" text="Missing">
      <formula>NOT(ISERROR(SEARCH("Missing",J1568)))</formula>
    </cfRule>
  </conditionalFormatting>
  <conditionalFormatting sqref="J1703:K1703">
    <cfRule type="containsText" dxfId="7840" priority="10356" operator="containsText" text="Missing">
      <formula>NOT(ISERROR(SEARCH("Missing",J1703)))</formula>
    </cfRule>
  </conditionalFormatting>
  <conditionalFormatting sqref="J1704:K1704">
    <cfRule type="containsText" dxfId="7839" priority="10352" operator="containsText" text="Missing">
      <formula>NOT(ISERROR(SEARCH("Missing",J1704)))</formula>
    </cfRule>
  </conditionalFormatting>
  <conditionalFormatting sqref="I1571">
    <cfRule type="containsText" dxfId="7838" priority="10317" operator="containsText" text="Missing">
      <formula>NOT(ISERROR(SEARCH("Missing",I1571)))</formula>
    </cfRule>
  </conditionalFormatting>
  <conditionalFormatting sqref="H1536">
    <cfRule type="containsText" dxfId="7837" priority="10368" operator="containsText" text="Missing">
      <formula>NOT(ISERROR(SEARCH("Missing",H1536)))</formula>
    </cfRule>
  </conditionalFormatting>
  <conditionalFormatting sqref="J1705:K1705">
    <cfRule type="containsText" dxfId="7836" priority="10349" operator="containsText" text="Missing">
      <formula>NOT(ISERROR(SEARCH("Missing",J1705)))</formula>
    </cfRule>
  </conditionalFormatting>
  <conditionalFormatting sqref="I1580 I1582:I1583">
    <cfRule type="containsText" dxfId="7835" priority="10362" operator="containsText" text="Missing">
      <formula>NOT(ISERROR(SEARCH("Missing",I1580)))</formula>
    </cfRule>
  </conditionalFormatting>
  <conditionalFormatting sqref="H1703">
    <cfRule type="containsText" dxfId="7834" priority="10353" operator="containsText" text="Missing">
      <formula>NOT(ISERROR(SEARCH("Missing",H1703)))</formula>
    </cfRule>
  </conditionalFormatting>
  <conditionalFormatting sqref="H1584">
    <cfRule type="containsText" dxfId="7833" priority="10359" operator="containsText" text="Missing">
      <formula>NOT(ISERROR(SEARCH("Missing",H1584)))</formula>
    </cfRule>
  </conditionalFormatting>
  <conditionalFormatting sqref="J1538:K1540">
    <cfRule type="containsText" dxfId="7832" priority="10343" operator="containsText" text="Missing">
      <formula>NOT(ISERROR(SEARCH("Missing",J1538)))</formula>
    </cfRule>
  </conditionalFormatting>
  <conditionalFormatting sqref="L1703 L1592 L1701">
    <cfRule type="containsText" dxfId="7831" priority="10354" operator="containsText" text="Positive">
      <formula>NOT(ISERROR(SEARCH("Positive",L1592)))</formula>
    </cfRule>
    <cfRule type="containsText" dxfId="7830" priority="10355" operator="containsText" text="Negative">
      <formula>NOT(ISERROR(SEARCH("Negative",L1592)))</formula>
    </cfRule>
  </conditionalFormatting>
  <conditionalFormatting sqref="H1561">
    <cfRule type="containsText" dxfId="7829" priority="10334" operator="containsText" text="Missing">
      <formula>NOT(ISERROR(SEARCH("Missing",H1561)))</formula>
    </cfRule>
  </conditionalFormatting>
  <conditionalFormatting sqref="I1667 I1669">
    <cfRule type="containsText" dxfId="7828" priority="10293" operator="containsText" text="Missing">
      <formula>NOT(ISERROR(SEARCH("Missing",I1667)))</formula>
    </cfRule>
  </conditionalFormatting>
  <conditionalFormatting sqref="J1699:K1700">
    <cfRule type="containsText" dxfId="7827" priority="10358" operator="containsText" text="Missing">
      <formula>NOT(ISERROR(SEARCH("Missing",J1699)))</formula>
    </cfRule>
  </conditionalFormatting>
  <conditionalFormatting sqref="I1587">
    <cfRule type="containsText" dxfId="7826" priority="10346" operator="containsText" text="Missing">
      <formula>NOT(ISERROR(SEARCH("Missing",I1587)))</formula>
    </cfRule>
  </conditionalFormatting>
  <conditionalFormatting sqref="H1568">
    <cfRule type="containsText" dxfId="7825" priority="10333" operator="containsText" text="Missing">
      <formula>NOT(ISERROR(SEARCH("Missing",H1568)))</formula>
    </cfRule>
  </conditionalFormatting>
  <conditionalFormatting sqref="J1701:K1702">
    <cfRule type="containsText" dxfId="7824" priority="10357" operator="containsText" text="Missing">
      <formula>NOT(ISERROR(SEARCH("Missing",J1701)))</formula>
    </cfRule>
  </conditionalFormatting>
  <conditionalFormatting sqref="L1704 L1593 L1698">
    <cfRule type="containsText" dxfId="7823" priority="10350" operator="containsText" text="Positive">
      <formula>NOT(ISERROR(SEARCH("Positive",L1593)))</formula>
    </cfRule>
    <cfRule type="containsText" dxfId="7822" priority="10351" operator="containsText" text="Negative">
      <formula>NOT(ISERROR(SEARCH("Negative",L1593)))</formula>
    </cfRule>
  </conditionalFormatting>
  <conditionalFormatting sqref="J1561:K1562">
    <cfRule type="containsText" dxfId="7821" priority="10340" operator="containsText" text="Missing">
      <formula>NOT(ISERROR(SEARCH("Missing",J1561)))</formula>
    </cfRule>
  </conditionalFormatting>
  <conditionalFormatting sqref="H1569">
    <cfRule type="containsText" dxfId="7820" priority="10331" operator="containsText" text="Missing">
      <formula>NOT(ISERROR(SEARCH("Missing",H1569)))</formula>
    </cfRule>
  </conditionalFormatting>
  <conditionalFormatting sqref="L1699 L1705">
    <cfRule type="containsText" dxfId="7819" priority="10347" operator="containsText" text="Positive">
      <formula>NOT(ISERROR(SEARCH("Positive",L1699)))</formula>
    </cfRule>
    <cfRule type="containsText" dxfId="7818" priority="10348" operator="containsText" text="Negative">
      <formula>NOT(ISERROR(SEARCH("Negative",L1699)))</formula>
    </cfRule>
  </conditionalFormatting>
  <conditionalFormatting sqref="J1574:K1574">
    <cfRule type="containsText" dxfId="7817" priority="10322" operator="containsText" text="Missing">
      <formula>NOT(ISERROR(SEARCH("Missing",J1574)))</formula>
    </cfRule>
  </conditionalFormatting>
  <conditionalFormatting sqref="J1628:K1628 J1665:K1665">
    <cfRule type="containsText" dxfId="7816" priority="10302" operator="containsText" text="Missing">
      <formula>NOT(ISERROR(SEARCH("Missing",J1628)))</formula>
    </cfRule>
  </conditionalFormatting>
  <conditionalFormatting sqref="I1643">
    <cfRule type="containsText" dxfId="7815" priority="10261" operator="containsText" text="Missing">
      <formula>NOT(ISERROR(SEARCH("Missing",I1643)))</formula>
    </cfRule>
  </conditionalFormatting>
  <conditionalFormatting sqref="J1570:K1572">
    <cfRule type="containsText" dxfId="7814" priority="10328" operator="containsText" text="Missing">
      <formula>NOT(ISERROR(SEARCH("Missing",J1570)))</formula>
    </cfRule>
  </conditionalFormatting>
  <conditionalFormatting sqref="L1569">
    <cfRule type="containsText" dxfId="7813" priority="10344" operator="containsText" text="Positive">
      <formula>NOT(ISERROR(SEARCH("Positive",L1569)))</formula>
    </cfRule>
    <cfRule type="containsText" dxfId="7812" priority="10345" operator="containsText" text="Negative">
      <formula>NOT(ISERROR(SEARCH("Negative",L1569)))</formula>
    </cfRule>
  </conditionalFormatting>
  <conditionalFormatting sqref="J1573:K1573">
    <cfRule type="containsText" dxfId="7811" priority="10325" operator="containsText" text="Missing">
      <formula>NOT(ISERROR(SEARCH("Missing",J1573)))</formula>
    </cfRule>
  </conditionalFormatting>
  <conditionalFormatting sqref="J1661:K1661">
    <cfRule type="containsText" dxfId="7810" priority="10297" operator="containsText" text="Missing">
      <formula>NOT(ISERROR(SEARCH("Missing",J1661)))</formula>
    </cfRule>
  </conditionalFormatting>
  <conditionalFormatting sqref="J1629:K1629">
    <cfRule type="containsText" dxfId="7809" priority="10298" operator="containsText" text="Missing">
      <formula>NOT(ISERROR(SEARCH("Missing",J1629)))</formula>
    </cfRule>
  </conditionalFormatting>
  <conditionalFormatting sqref="L1538:L1540">
    <cfRule type="containsText" dxfId="7808" priority="10341" operator="containsText" text="Positive">
      <formula>NOT(ISERROR(SEARCH("Positive",L1538)))</formula>
    </cfRule>
    <cfRule type="containsText" dxfId="7807" priority="10342" operator="containsText" text="Negative">
      <formula>NOT(ISERROR(SEARCH("Negative",L1538)))</formula>
    </cfRule>
  </conditionalFormatting>
  <conditionalFormatting sqref="L1561">
    <cfRule type="containsText" dxfId="7806" priority="10338" operator="containsText" text="Positive">
      <formula>NOT(ISERROR(SEARCH("Positive",L1561)))</formula>
    </cfRule>
    <cfRule type="containsText" dxfId="7805" priority="10339" operator="containsText" text="Negative">
      <formula>NOT(ISERROR(SEARCH("Negative",L1561)))</formula>
    </cfRule>
  </conditionalFormatting>
  <conditionalFormatting sqref="L1568">
    <cfRule type="containsText" dxfId="7804" priority="10335" operator="containsText" text="Positive">
      <formula>NOT(ISERROR(SEARCH("Positive",L1568)))</formula>
    </cfRule>
    <cfRule type="containsText" dxfId="7803" priority="10336" operator="containsText" text="Negative">
      <formula>NOT(ISERROR(SEARCH("Negative",L1568)))</formula>
    </cfRule>
  </conditionalFormatting>
  <conditionalFormatting sqref="I1575">
    <cfRule type="containsText" dxfId="7802" priority="10315" operator="containsText" text="Missing">
      <formula>NOT(ISERROR(SEARCH("Missing",I1575)))</formula>
    </cfRule>
  </conditionalFormatting>
  <conditionalFormatting sqref="J1569:K1569">
    <cfRule type="containsText" dxfId="7801" priority="10332" operator="containsText" text="Missing">
      <formula>NOT(ISERROR(SEARCH("Missing",J1569)))</formula>
    </cfRule>
  </conditionalFormatting>
  <conditionalFormatting sqref="I1573">
    <cfRule type="containsText" dxfId="7800" priority="10316" operator="containsText" text="Missing">
      <formula>NOT(ISERROR(SEARCH("Missing",I1573)))</formula>
    </cfRule>
  </conditionalFormatting>
  <conditionalFormatting sqref="L1575">
    <cfRule type="containsText" dxfId="7799" priority="10329" operator="containsText" text="Positive">
      <formula>NOT(ISERROR(SEARCH("Positive",L1575)))</formula>
    </cfRule>
    <cfRule type="containsText" dxfId="7798" priority="10330" operator="containsText" text="Negative">
      <formula>NOT(ISERROR(SEARCH("Negative",L1575)))</formula>
    </cfRule>
  </conditionalFormatting>
  <conditionalFormatting sqref="J1575:K1575">
    <cfRule type="containsText" dxfId="7797" priority="10321" operator="containsText" text="Missing">
      <formula>NOT(ISERROR(SEARCH("Missing",J1575)))</formula>
    </cfRule>
  </conditionalFormatting>
  <conditionalFormatting sqref="L1571:L1572">
    <cfRule type="containsText" dxfId="7796" priority="10326" operator="containsText" text="Positive">
      <formula>NOT(ISERROR(SEARCH("Positive",L1571)))</formula>
    </cfRule>
    <cfRule type="containsText" dxfId="7795" priority="10327" operator="containsText" text="Negative">
      <formula>NOT(ISERROR(SEARCH("Negative",L1571)))</formula>
    </cfRule>
  </conditionalFormatting>
  <conditionalFormatting sqref="I1589:I1590">
    <cfRule type="containsText" dxfId="7794" priority="10312" operator="containsText" text="Missing">
      <formula>NOT(ISERROR(SEARCH("Missing",I1589)))</formula>
    </cfRule>
  </conditionalFormatting>
  <conditionalFormatting sqref="L1573">
    <cfRule type="containsText" dxfId="7793" priority="10323" operator="containsText" text="Positive">
      <formula>NOT(ISERROR(SEARCH("Positive",L1573)))</formula>
    </cfRule>
    <cfRule type="containsText" dxfId="7792" priority="10324" operator="containsText" text="Negative">
      <formula>NOT(ISERROR(SEARCH("Negative",L1573)))</formula>
    </cfRule>
  </conditionalFormatting>
  <conditionalFormatting sqref="I1561:I1562">
    <cfRule type="containsText" dxfId="7791" priority="10320" operator="containsText" text="Missing">
      <formula>NOT(ISERROR(SEARCH("Missing",I1561)))</formula>
    </cfRule>
  </conditionalFormatting>
  <conditionalFormatting sqref="I1572">
    <cfRule type="containsText" dxfId="7790" priority="10319" operator="containsText" text="Missing">
      <formula>NOT(ISERROR(SEARCH("Missing",I1572)))</formula>
    </cfRule>
  </conditionalFormatting>
  <conditionalFormatting sqref="I1574">
    <cfRule type="containsText" dxfId="7789" priority="10318" operator="containsText" text="Missing">
      <formula>NOT(ISERROR(SEARCH("Missing",I1574)))</formula>
    </cfRule>
  </conditionalFormatting>
  <conditionalFormatting sqref="J1600:K1600">
    <cfRule type="containsText" dxfId="7788" priority="10246" operator="containsText" text="Missing">
      <formula>NOT(ISERROR(SEARCH("Missing",J1600)))</formula>
    </cfRule>
  </conditionalFormatting>
  <conditionalFormatting sqref="J1649:K1651">
    <cfRule type="containsText" dxfId="7787" priority="10269" operator="containsText" text="Missing">
      <formula>NOT(ISERROR(SEARCH("Missing",J1649)))</formula>
    </cfRule>
  </conditionalFormatting>
  <conditionalFormatting sqref="I1668">
    <cfRule type="containsText" dxfId="7786" priority="10284" operator="containsText" text="Missing">
      <formula>NOT(ISERROR(SEARCH("Missing",I1668)))</formula>
    </cfRule>
  </conditionalFormatting>
  <conditionalFormatting sqref="I1529">
    <cfRule type="containsText" dxfId="7785" priority="10314" operator="containsText" text="Missing">
      <formula>NOT(ISERROR(SEARCH("Missing",I1529)))</formula>
    </cfRule>
  </conditionalFormatting>
  <conditionalFormatting sqref="I1617">
    <cfRule type="containsText" dxfId="7784" priority="10313" operator="containsText" text="Missing">
      <formula>NOT(ISERROR(SEARCH("Missing",I1617)))</formula>
    </cfRule>
  </conditionalFormatting>
  <conditionalFormatting sqref="L1570">
    <cfRule type="containsText" dxfId="7783" priority="10310" operator="containsText" text="Positive">
      <formula>NOT(ISERROR(SEARCH("Positive",L1570)))</formula>
    </cfRule>
    <cfRule type="containsText" dxfId="7782" priority="10311" operator="containsText" text="Negative">
      <formula>NOT(ISERROR(SEARCH("Negative",L1570)))</formula>
    </cfRule>
  </conditionalFormatting>
  <conditionalFormatting sqref="L1617">
    <cfRule type="containsText" dxfId="7781" priority="10308" operator="containsText" text="Positive">
      <formula>NOT(ISERROR(SEARCH("Positive",L1617)))</formula>
    </cfRule>
    <cfRule type="containsText" dxfId="7780" priority="10309" operator="containsText" text="Negative">
      <formula>NOT(ISERROR(SEARCH("Negative",L1617)))</formula>
    </cfRule>
  </conditionalFormatting>
  <conditionalFormatting sqref="L1702 L1591 L1700">
    <cfRule type="containsText" dxfId="7779" priority="10306" operator="containsText" text="Positive">
      <formula>NOT(ISERROR(SEARCH("Positive",L1591)))</formula>
    </cfRule>
    <cfRule type="containsText" dxfId="7778" priority="10307" operator="containsText" text="Negative">
      <formula>NOT(ISERROR(SEARCH("Negative",L1591)))</formula>
    </cfRule>
  </conditionalFormatting>
  <conditionalFormatting sqref="L1665">
    <cfRule type="containsText" dxfId="7777" priority="10291" operator="containsText" text="Positive">
      <formula>NOT(ISERROR(SEARCH("Positive",L1665)))</formula>
    </cfRule>
    <cfRule type="containsText" dxfId="7776" priority="10292" operator="containsText" text="Negative">
      <formula>NOT(ISERROR(SEARCH("Negative",L1665)))</formula>
    </cfRule>
  </conditionalFormatting>
  <conditionalFormatting sqref="I1647:I1649 I1628:I1632">
    <cfRule type="containsText" dxfId="7775" priority="10305" operator="containsText" text="Missing">
      <formula>NOT(ISERROR(SEARCH("Missing",I1628)))</formula>
    </cfRule>
  </conditionalFormatting>
  <conditionalFormatting sqref="L1629 L1661">
    <cfRule type="containsText" dxfId="7774" priority="10303" operator="containsText" text="Positive">
      <formula>NOT(ISERROR(SEARCH("Positive",L1629)))</formula>
    </cfRule>
    <cfRule type="containsText" dxfId="7773" priority="10304" operator="containsText" text="Negative">
      <formula>NOT(ISERROR(SEARCH("Negative",L1629)))</formula>
    </cfRule>
  </conditionalFormatting>
  <conditionalFormatting sqref="J1654:K1654">
    <cfRule type="containsText" dxfId="7772" priority="10262" operator="containsText" text="Missing">
      <formula>NOT(ISERROR(SEARCH("Missing",J1654)))</formula>
    </cfRule>
  </conditionalFormatting>
  <conditionalFormatting sqref="J1630:K1632">
    <cfRule type="containsText" dxfId="7771" priority="10281" operator="containsText" text="Missing">
      <formula>NOT(ISERROR(SEARCH("Missing",J1630)))</formula>
    </cfRule>
  </conditionalFormatting>
  <conditionalFormatting sqref="L1661">
    <cfRule type="containsText" dxfId="7770" priority="10295" operator="containsText" text="Positive">
      <formula>NOT(ISERROR(SEARCH("Positive",L1661)))</formula>
    </cfRule>
    <cfRule type="containsText" dxfId="7769" priority="10296" operator="containsText" text="Negative">
      <formula>NOT(ISERROR(SEARCH("Negative",L1661)))</formula>
    </cfRule>
  </conditionalFormatting>
  <conditionalFormatting sqref="L1648">
    <cfRule type="containsText" dxfId="7768" priority="10282" operator="containsText" text="Positive">
      <formula>NOT(ISERROR(SEARCH("Positive",L1648)))</formula>
    </cfRule>
    <cfRule type="containsText" dxfId="7767" priority="10283" operator="containsText" text="Negative">
      <formula>NOT(ISERROR(SEARCH("Negative",L1648)))</formula>
    </cfRule>
  </conditionalFormatting>
  <conditionalFormatting sqref="I1661">
    <cfRule type="containsText" dxfId="7766" priority="10294" operator="containsText" text="Missing">
      <formula>NOT(ISERROR(SEARCH("Missing",I1661)))</formula>
    </cfRule>
  </conditionalFormatting>
  <conditionalFormatting sqref="J1652:K1652">
    <cfRule type="containsText" dxfId="7765" priority="10266" operator="containsText" text="Missing">
      <formula>NOT(ISERROR(SEARCH("Missing",J1652)))</formula>
    </cfRule>
  </conditionalFormatting>
  <conditionalFormatting sqref="I1665">
    <cfRule type="containsText" dxfId="7764" priority="10299" operator="containsText" text="Missing">
      <formula>NOT(ISERROR(SEARCH("Missing",I1665)))</formula>
    </cfRule>
  </conditionalFormatting>
  <conditionalFormatting sqref="L1643">
    <cfRule type="containsText" dxfId="7763" priority="10276" operator="containsText" text="Positive">
      <formula>NOT(ISERROR(SEARCH("Positive",L1643)))</formula>
    </cfRule>
    <cfRule type="containsText" dxfId="7762" priority="10277" operator="containsText" text="Negative">
      <formula>NOT(ISERROR(SEARCH("Negative",L1643)))</formula>
    </cfRule>
  </conditionalFormatting>
  <conditionalFormatting sqref="J1643:K1643">
    <cfRule type="containsText" dxfId="7761" priority="10278" operator="containsText" text="Missing">
      <formula>NOT(ISERROR(SEARCH("Missing",J1643)))</formula>
    </cfRule>
  </conditionalFormatting>
  <conditionalFormatting sqref="L1665">
    <cfRule type="containsText" dxfId="7760" priority="10289" operator="containsText" text="Positive">
      <formula>NOT(ISERROR(SEARCH("Positive",L1665)))</formula>
    </cfRule>
    <cfRule type="containsText" dxfId="7759" priority="10290" operator="containsText" text="Negative">
      <formula>NOT(ISERROR(SEARCH("Negative",L1665)))</formula>
    </cfRule>
  </conditionalFormatting>
  <conditionalFormatting sqref="I1652">
    <cfRule type="containsText" dxfId="7758" priority="10257" operator="containsText" text="Missing">
      <formula>NOT(ISERROR(SEARCH("Missing",I1652)))</formula>
    </cfRule>
  </conditionalFormatting>
  <conditionalFormatting sqref="I1605">
    <cfRule type="containsText" dxfId="7757" priority="10237" operator="containsText" text="Missing">
      <formula>NOT(ISERROR(SEARCH("Missing",I1605)))</formula>
    </cfRule>
  </conditionalFormatting>
  <conditionalFormatting sqref="L1628">
    <cfRule type="containsText" dxfId="7756" priority="10300" operator="containsText" text="Positive">
      <formula>NOT(ISERROR(SEARCH("Positive",L1628)))</formula>
    </cfRule>
    <cfRule type="containsText" dxfId="7755" priority="10301" operator="containsText" text="Negative">
      <formula>NOT(ISERROR(SEARCH("Negative",L1628)))</formula>
    </cfRule>
  </conditionalFormatting>
  <conditionalFormatting sqref="I1653">
    <cfRule type="containsText" dxfId="7754" priority="10259" operator="containsText" text="Missing">
      <formula>NOT(ISERROR(SEARCH("Missing",I1653)))</formula>
    </cfRule>
  </conditionalFormatting>
  <conditionalFormatting sqref="J1653:K1653">
    <cfRule type="containsText" dxfId="7753" priority="10263" operator="containsText" text="Missing">
      <formula>NOT(ISERROR(SEARCH("Missing",J1653)))</formula>
    </cfRule>
  </conditionalFormatting>
  <conditionalFormatting sqref="L1673">
    <cfRule type="containsText" dxfId="7752" priority="10287" operator="containsText" text="Positive">
      <formula>NOT(ISERROR(SEARCH("Positive",L1673)))</formula>
    </cfRule>
    <cfRule type="containsText" dxfId="7751" priority="10288" operator="containsText" text="Negative">
      <formula>NOT(ISERROR(SEARCH("Negative",L1673)))</formula>
    </cfRule>
  </conditionalFormatting>
  <conditionalFormatting sqref="I1654">
    <cfRule type="containsText" dxfId="7750" priority="10256" operator="containsText" text="Missing">
      <formula>NOT(ISERROR(SEARCH("Missing",I1654)))</formula>
    </cfRule>
  </conditionalFormatting>
  <conditionalFormatting sqref="J1647:K1647">
    <cfRule type="containsText" dxfId="7749" priority="10275" operator="containsText" text="Missing">
      <formula>NOT(ISERROR(SEARCH("Missing",J1647)))</formula>
    </cfRule>
  </conditionalFormatting>
  <conditionalFormatting sqref="L1630:L1632">
    <cfRule type="containsText" dxfId="7748" priority="10279" operator="containsText" text="Positive">
      <formula>NOT(ISERROR(SEARCH("Positive",L1630)))</formula>
    </cfRule>
    <cfRule type="containsText" dxfId="7747" priority="10280" operator="containsText" text="Negative">
      <formula>NOT(ISERROR(SEARCH("Negative",L1630)))</formula>
    </cfRule>
  </conditionalFormatting>
  <conditionalFormatting sqref="L1674:L1675">
    <cfRule type="containsText" dxfId="7746" priority="10285" operator="containsText" text="Positive">
      <formula>NOT(ISERROR(SEARCH("Positive",L1674)))</formula>
    </cfRule>
    <cfRule type="containsText" dxfId="7745" priority="10286" operator="containsText" text="Negative">
      <formula>NOT(ISERROR(SEARCH("Negative",L1674)))</formula>
    </cfRule>
  </conditionalFormatting>
  <conditionalFormatting sqref="L1647">
    <cfRule type="containsText" dxfId="7744" priority="10273" operator="containsText" text="Positive">
      <formula>NOT(ISERROR(SEARCH("Positive",L1647)))</formula>
    </cfRule>
    <cfRule type="containsText" dxfId="7743" priority="10274" operator="containsText" text="Negative">
      <formula>NOT(ISERROR(SEARCH("Negative",L1647)))</formula>
    </cfRule>
  </conditionalFormatting>
  <conditionalFormatting sqref="I1600">
    <cfRule type="containsText" dxfId="7742" priority="10245" operator="containsText" text="Missing">
      <formula>NOT(ISERROR(SEARCH("Missing",I1600)))</formula>
    </cfRule>
  </conditionalFormatting>
  <conditionalFormatting sqref="J1648:K1648">
    <cfRule type="containsText" dxfId="7741" priority="10272" operator="containsText" text="Missing">
      <formula>NOT(ISERROR(SEARCH("Missing",J1648)))</formula>
    </cfRule>
  </conditionalFormatting>
  <conditionalFormatting sqref="I1604 I1606">
    <cfRule type="containsText" dxfId="7740" priority="10240" operator="containsText" text="Missing">
      <formula>NOT(ISERROR(SEARCH("Missing",I1604)))</formula>
    </cfRule>
  </conditionalFormatting>
  <conditionalFormatting sqref="L1654">
    <cfRule type="containsText" dxfId="7739" priority="10270" operator="containsText" text="Positive">
      <formula>NOT(ISERROR(SEARCH("Positive",L1654)))</formula>
    </cfRule>
    <cfRule type="containsText" dxfId="7738" priority="10271" operator="containsText" text="Negative">
      <formula>NOT(ISERROR(SEARCH("Negative",L1654)))</formula>
    </cfRule>
  </conditionalFormatting>
  <conditionalFormatting sqref="I1686">
    <cfRule type="containsText" dxfId="7737" priority="10228" operator="containsText" text="Missing">
      <formula>NOT(ISERROR(SEARCH("Missing",I1686)))</formula>
    </cfRule>
  </conditionalFormatting>
  <conditionalFormatting sqref="I1599">
    <cfRule type="containsText" dxfId="7736" priority="10241" operator="containsText" text="Missing">
      <formula>NOT(ISERROR(SEARCH("Missing",I1599)))</formula>
    </cfRule>
  </conditionalFormatting>
  <conditionalFormatting sqref="L1650:L1651">
    <cfRule type="containsText" dxfId="7735" priority="10267" operator="containsText" text="Positive">
      <formula>NOT(ISERROR(SEARCH("Positive",L1650)))</formula>
    </cfRule>
    <cfRule type="containsText" dxfId="7734" priority="10268" operator="containsText" text="Negative">
      <formula>NOT(ISERROR(SEARCH("Negative",L1650)))</formula>
    </cfRule>
  </conditionalFormatting>
  <conditionalFormatting sqref="L1652">
    <cfRule type="containsText" dxfId="7733" priority="10264" operator="containsText" text="Positive">
      <formula>NOT(ISERROR(SEARCH("Positive",L1652)))</formula>
    </cfRule>
    <cfRule type="containsText" dxfId="7732" priority="10265" operator="containsText" text="Negative">
      <formula>NOT(ISERROR(SEARCH("Negative",L1652)))</formula>
    </cfRule>
  </conditionalFormatting>
  <conditionalFormatting sqref="J1599:K1599">
    <cfRule type="containsText" dxfId="7731" priority="10244" operator="containsText" text="Missing">
      <formula>NOT(ISERROR(SEARCH("Missing",J1599)))</formula>
    </cfRule>
  </conditionalFormatting>
  <conditionalFormatting sqref="I1650">
    <cfRule type="containsText" dxfId="7730" priority="10258" operator="containsText" text="Missing">
      <formula>NOT(ISERROR(SEARCH("Missing",I1650)))</formula>
    </cfRule>
  </conditionalFormatting>
  <conditionalFormatting sqref="I1651">
    <cfRule type="containsText" dxfId="7729" priority="10260" operator="containsText" text="Missing">
      <formula>NOT(ISERROR(SEARCH("Missing",I1651)))</formula>
    </cfRule>
  </conditionalFormatting>
  <conditionalFormatting sqref="I1670">
    <cfRule type="containsText" dxfId="7728" priority="10255" operator="containsText" text="Missing">
      <formula>NOT(ISERROR(SEARCH("Missing",I1670)))</formula>
    </cfRule>
  </conditionalFormatting>
  <conditionalFormatting sqref="L1649">
    <cfRule type="containsText" dxfId="7727" priority="10253" operator="containsText" text="Positive">
      <formula>NOT(ISERROR(SEARCH("Positive",L1649)))</formula>
    </cfRule>
    <cfRule type="containsText" dxfId="7726" priority="10254" operator="containsText" text="Negative">
      <formula>NOT(ISERROR(SEARCH("Negative",L1649)))</formula>
    </cfRule>
  </conditionalFormatting>
  <conditionalFormatting sqref="L1653">
    <cfRule type="containsText" dxfId="7725" priority="10251" operator="containsText" text="Positive">
      <formula>NOT(ISERROR(SEARCH("Positive",L1653)))</formula>
    </cfRule>
    <cfRule type="containsText" dxfId="7724" priority="10252" operator="containsText" text="Negative">
      <formula>NOT(ISERROR(SEARCH("Negative",L1653)))</formula>
    </cfRule>
  </conditionalFormatting>
  <conditionalFormatting sqref="L1672">
    <cfRule type="containsText" dxfId="7723" priority="10249" operator="containsText" text="Positive">
      <formula>NOT(ISERROR(SEARCH("Positive",L1672)))</formula>
    </cfRule>
    <cfRule type="containsText" dxfId="7722" priority="10250" operator="containsText" text="Negative">
      <formula>NOT(ISERROR(SEARCH("Negative",L1672)))</formula>
    </cfRule>
  </conditionalFormatting>
  <conditionalFormatting sqref="L1599">
    <cfRule type="containsText" dxfId="7721" priority="10247" operator="containsText" text="Positive">
      <formula>NOT(ISERROR(SEARCH("Positive",L1599)))</formula>
    </cfRule>
    <cfRule type="containsText" dxfId="7720" priority="10248" operator="containsText" text="Negative">
      <formula>NOT(ISERROR(SEARCH("Negative",L1599)))</formula>
    </cfRule>
  </conditionalFormatting>
  <conditionalFormatting sqref="I1607">
    <cfRule type="containsText" dxfId="7719" priority="10236" operator="containsText" text="Missing">
      <formula>NOT(ISERROR(SEARCH("Missing",I1607)))</formula>
    </cfRule>
  </conditionalFormatting>
  <conditionalFormatting sqref="I1688">
    <cfRule type="containsText" dxfId="7718" priority="10227" operator="containsText" text="Missing">
      <formula>NOT(ISERROR(SEARCH("Missing",I1688)))</formula>
    </cfRule>
  </conditionalFormatting>
  <conditionalFormatting sqref="L1599">
    <cfRule type="containsText" dxfId="7717" priority="10242" operator="containsText" text="Positive">
      <formula>NOT(ISERROR(SEARCH("Positive",L1599)))</formula>
    </cfRule>
    <cfRule type="containsText" dxfId="7716" priority="10243" operator="containsText" text="Negative">
      <formula>NOT(ISERROR(SEARCH("Negative",L1599)))</formula>
    </cfRule>
  </conditionalFormatting>
  <conditionalFormatting sqref="L1610">
    <cfRule type="containsText" dxfId="7715" priority="10238" operator="containsText" text="Positive">
      <formula>NOT(ISERROR(SEARCH("Positive",L1610)))</formula>
    </cfRule>
    <cfRule type="containsText" dxfId="7714" priority="10239" operator="containsText" text="Negative">
      <formula>NOT(ISERROR(SEARCH("Negative",L1610)))</formula>
    </cfRule>
  </conditionalFormatting>
  <conditionalFormatting sqref="L1609">
    <cfRule type="containsText" dxfId="7713" priority="10234" operator="containsText" text="Positive">
      <formula>NOT(ISERROR(SEARCH("Positive",L1609)))</formula>
    </cfRule>
    <cfRule type="containsText" dxfId="7712" priority="10235" operator="containsText" text="Negative">
      <formula>NOT(ISERROR(SEARCH("Negative",L1609)))</formula>
    </cfRule>
  </conditionalFormatting>
  <conditionalFormatting sqref="I1685 I1687">
    <cfRule type="containsText" dxfId="7711" priority="10233" operator="containsText" text="Missing">
      <formula>NOT(ISERROR(SEARCH("Missing",I1685)))</formula>
    </cfRule>
  </conditionalFormatting>
  <conditionalFormatting sqref="L1691">
    <cfRule type="containsText" dxfId="7710" priority="10231" operator="containsText" text="Positive">
      <formula>NOT(ISERROR(SEARCH("Positive",L1691)))</formula>
    </cfRule>
    <cfRule type="containsText" dxfId="7709" priority="10232" operator="containsText" text="Negative">
      <formula>NOT(ISERROR(SEARCH("Negative",L1691)))</formula>
    </cfRule>
  </conditionalFormatting>
  <conditionalFormatting sqref="L1692">
    <cfRule type="containsText" dxfId="7708" priority="10229" operator="containsText" text="Positive">
      <formula>NOT(ISERROR(SEARCH("Positive",L1692)))</formula>
    </cfRule>
    <cfRule type="containsText" dxfId="7707" priority="10230" operator="containsText" text="Negative">
      <formula>NOT(ISERROR(SEARCH("Negative",L1692)))</formula>
    </cfRule>
  </conditionalFormatting>
  <conditionalFormatting sqref="L1690">
    <cfRule type="containsText" dxfId="7706" priority="10225" operator="containsText" text="Positive">
      <formula>NOT(ISERROR(SEARCH("Positive",L1690)))</formula>
    </cfRule>
    <cfRule type="containsText" dxfId="7705" priority="10226" operator="containsText" text="Negative">
      <formula>NOT(ISERROR(SEARCH("Negative",L1690)))</formula>
    </cfRule>
  </conditionalFormatting>
  <conditionalFormatting sqref="L1566">
    <cfRule type="containsText" dxfId="7704" priority="10223" operator="containsText" text="Positive">
      <formula>NOT(ISERROR(SEARCH("Positive",L1566)))</formula>
    </cfRule>
    <cfRule type="containsText" dxfId="7703" priority="10224" operator="containsText" text="Negative">
      <formula>NOT(ISERROR(SEARCH("Negative",L1566)))</formula>
    </cfRule>
  </conditionalFormatting>
  <conditionalFormatting sqref="I1566">
    <cfRule type="containsText" dxfId="7702" priority="10222" operator="containsText" text="Missing">
      <formula>NOT(ISERROR(SEARCH("Missing",I1566)))</formula>
    </cfRule>
  </conditionalFormatting>
  <conditionalFormatting sqref="H1574">
    <cfRule type="containsText" dxfId="7701" priority="10205" operator="containsText" text="Missing">
      <formula>NOT(ISERROR(SEARCH("Missing",H1574)))</formula>
    </cfRule>
  </conditionalFormatting>
  <conditionalFormatting sqref="I1699">
    <cfRule type="containsText" dxfId="7700" priority="10220" operator="containsText" text="Missing">
      <formula>NOT(ISERROR(SEARCH("Missing",I1699)))</formula>
    </cfRule>
  </conditionalFormatting>
  <conditionalFormatting sqref="I1702">
    <cfRule type="containsText" dxfId="7699" priority="10217" operator="containsText" text="Missing">
      <formula>NOT(ISERROR(SEARCH("Missing",I1702)))</formula>
    </cfRule>
  </conditionalFormatting>
  <conditionalFormatting sqref="H1529">
    <cfRule type="containsText" dxfId="7698" priority="10215" operator="containsText" text="Missing">
      <formula>NOT(ISERROR(SEARCH("Missing",H1529)))</formula>
    </cfRule>
  </conditionalFormatting>
  <conditionalFormatting sqref="I1698">
    <cfRule type="containsText" dxfId="7697" priority="10221" operator="containsText" text="Missing">
      <formula>NOT(ISERROR(SEARCH("Missing",I1698)))</formula>
    </cfRule>
  </conditionalFormatting>
  <conditionalFormatting sqref="H1538">
    <cfRule type="containsText" dxfId="7696" priority="10213" operator="containsText" text="Missing">
      <formula>NOT(ISERROR(SEARCH("Missing",H1538)))</formula>
    </cfRule>
  </conditionalFormatting>
  <conditionalFormatting sqref="H1570">
    <cfRule type="containsText" dxfId="7695" priority="10210" operator="containsText" text="Missing">
      <formula>NOT(ISERROR(SEARCH("Missing",H1570)))</formula>
    </cfRule>
  </conditionalFormatting>
  <conditionalFormatting sqref="I1700">
    <cfRule type="containsText" dxfId="7694" priority="10219" operator="containsText" text="Missing">
      <formula>NOT(ISERROR(SEARCH("Missing",I1700)))</formula>
    </cfRule>
  </conditionalFormatting>
  <conditionalFormatting sqref="I1701">
    <cfRule type="containsText" dxfId="7693" priority="10218" operator="containsText" text="Missing">
      <formula>NOT(ISERROR(SEARCH("Missing",I1701)))</formula>
    </cfRule>
  </conditionalFormatting>
  <conditionalFormatting sqref="I1704">
    <cfRule type="containsText" dxfId="7692" priority="10216" operator="containsText" text="Missing">
      <formula>NOT(ISERROR(SEARCH("Missing",I1704)))</formula>
    </cfRule>
  </conditionalFormatting>
  <conditionalFormatting sqref="H1539">
    <cfRule type="containsText" dxfId="7691" priority="10212" operator="containsText" text="Missing">
      <formula>NOT(ISERROR(SEARCH("Missing",H1539)))</formula>
    </cfRule>
  </conditionalFormatting>
  <conditionalFormatting sqref="H1537">
    <cfRule type="containsText" dxfId="7690" priority="10214" operator="containsText" text="Missing">
      <formula>NOT(ISERROR(SEARCH("Missing",H1537)))</formula>
    </cfRule>
  </conditionalFormatting>
  <conditionalFormatting sqref="H1540">
    <cfRule type="containsText" dxfId="7689" priority="10211" operator="containsText" text="Missing">
      <formula>NOT(ISERROR(SEARCH("Missing",H1540)))</formula>
    </cfRule>
  </conditionalFormatting>
  <conditionalFormatting sqref="H1571">
    <cfRule type="containsText" dxfId="7688" priority="10209" operator="containsText" text="Missing">
      <formula>NOT(ISERROR(SEARCH("Missing",H1571)))</formula>
    </cfRule>
  </conditionalFormatting>
  <conditionalFormatting sqref="H1573">
    <cfRule type="containsText" dxfId="7687" priority="10207" operator="containsText" text="Missing">
      <formula>NOT(ISERROR(SEARCH("Missing",H1573)))</formula>
    </cfRule>
  </conditionalFormatting>
  <conditionalFormatting sqref="H1572">
    <cfRule type="containsText" dxfId="7686" priority="10208" operator="containsText" text="Missing">
      <formula>NOT(ISERROR(SEARCH("Missing",H1572)))</formula>
    </cfRule>
  </conditionalFormatting>
  <conditionalFormatting sqref="H1575">
    <cfRule type="containsText" dxfId="7685" priority="10206" operator="containsText" text="Missing">
      <formula>NOT(ISERROR(SEARCH("Missing",H1575)))</formula>
    </cfRule>
  </conditionalFormatting>
  <conditionalFormatting sqref="J1706:K1706">
    <cfRule type="containsText" dxfId="7684" priority="10202" operator="containsText" text="Missing">
      <formula>NOT(ISERROR(SEARCH("Missing",J1706)))</formula>
    </cfRule>
  </conditionalFormatting>
  <conditionalFormatting sqref="H1652">
    <cfRule type="containsText" dxfId="7683" priority="10184" operator="containsText" text="Missing">
      <formula>NOT(ISERROR(SEARCH("Missing",H1652)))</formula>
    </cfRule>
  </conditionalFormatting>
  <conditionalFormatting sqref="J1707:K1708">
    <cfRule type="containsText" dxfId="7682" priority="10201" operator="containsText" text="Missing">
      <formula>NOT(ISERROR(SEARCH("Missing",J1707)))</formula>
    </cfRule>
  </conditionalFormatting>
  <conditionalFormatting sqref="I1707 I1711">
    <cfRule type="containsText" dxfId="7681" priority="10200" operator="containsText" text="Missing">
      <formula>NOT(ISERROR(SEARCH("Missing",I1707)))</formula>
    </cfRule>
  </conditionalFormatting>
  <conditionalFormatting sqref="L1706:L1708">
    <cfRule type="containsText" dxfId="7680" priority="10203" operator="containsText" text="Positive">
      <formula>NOT(ISERROR(SEARCH("Positive",L1706)))</formula>
    </cfRule>
    <cfRule type="containsText" dxfId="7679" priority="10204" operator="containsText" text="Negative">
      <formula>NOT(ISERROR(SEARCH("Negative",L1706)))</formula>
    </cfRule>
  </conditionalFormatting>
  <conditionalFormatting sqref="I1706 I1708 I1712 I1710">
    <cfRule type="containsText" dxfId="7678" priority="10199" operator="containsText" text="Missing">
      <formula>NOT(ISERROR(SEARCH("Missing",I1706)))</formula>
    </cfRule>
  </conditionalFormatting>
  <conditionalFormatting sqref="H1700">
    <cfRule type="containsText" dxfId="7677" priority="10175" operator="containsText" text="Missing">
      <formula>NOT(ISERROR(SEARCH("Missing",H1700)))</formula>
    </cfRule>
  </conditionalFormatting>
  <conditionalFormatting sqref="H1661">
    <cfRule type="containsText" dxfId="7676" priority="10181" operator="containsText" text="Missing">
      <formula>NOT(ISERROR(SEARCH("Missing",H1661)))</formula>
    </cfRule>
  </conditionalFormatting>
  <conditionalFormatting sqref="H1599">
    <cfRule type="containsText" dxfId="7675" priority="10198" operator="containsText" text="Missing">
      <formula>NOT(ISERROR(SEARCH("Missing",H1599)))</formula>
    </cfRule>
  </conditionalFormatting>
  <conditionalFormatting sqref="H1600">
    <cfRule type="containsText" dxfId="7674" priority="10197" operator="containsText" text="Missing">
      <formula>NOT(ISERROR(SEARCH("Missing",H1600)))</formula>
    </cfRule>
  </conditionalFormatting>
  <conditionalFormatting sqref="H1685:H1687">
    <cfRule type="containsText" dxfId="7673" priority="10179" operator="containsText" text="Missing">
      <formula>NOT(ISERROR(SEARCH("Missing",H1685)))</formula>
    </cfRule>
  </conditionalFormatting>
  <conditionalFormatting sqref="H1607">
    <cfRule type="containsText" dxfId="7672" priority="10196" operator="containsText" text="Missing">
      <formula>NOT(ISERROR(SEARCH("Missing",H1607)))</formula>
    </cfRule>
  </conditionalFormatting>
  <conditionalFormatting sqref="H1654">
    <cfRule type="containsText" dxfId="7671" priority="10183" operator="containsText" text="Missing">
      <formula>NOT(ISERROR(SEARCH("Missing",H1654)))</formula>
    </cfRule>
  </conditionalFormatting>
  <conditionalFormatting sqref="H1630">
    <cfRule type="containsText" dxfId="7670" priority="10193" operator="containsText" text="Missing">
      <formula>NOT(ISERROR(SEARCH("Missing",H1630)))</formula>
    </cfRule>
  </conditionalFormatting>
  <conditionalFormatting sqref="H1653">
    <cfRule type="containsText" dxfId="7669" priority="10182" operator="containsText" text="Missing">
      <formula>NOT(ISERROR(SEARCH("Missing",H1653)))</formula>
    </cfRule>
  </conditionalFormatting>
  <conditionalFormatting sqref="H1701">
    <cfRule type="containsText" dxfId="7668" priority="10177" operator="containsText" text="Missing">
      <formula>NOT(ISERROR(SEARCH("Missing",H1701)))</formula>
    </cfRule>
  </conditionalFormatting>
  <conditionalFormatting sqref="H1665">
    <cfRule type="containsText" dxfId="7667" priority="10180" operator="containsText" text="Missing">
      <formula>NOT(ISERROR(SEARCH("Missing",H1665)))</formula>
    </cfRule>
  </conditionalFormatting>
  <conditionalFormatting sqref="H1628">
    <cfRule type="containsText" dxfId="7666" priority="10195" operator="containsText" text="Missing">
      <formula>NOT(ISERROR(SEARCH("Missing",H1628)))</formula>
    </cfRule>
  </conditionalFormatting>
  <conditionalFormatting sqref="H1631">
    <cfRule type="containsText" dxfId="7665" priority="10192" operator="containsText" text="Missing">
      <formula>NOT(ISERROR(SEARCH("Missing",H1631)))</formula>
    </cfRule>
  </conditionalFormatting>
  <conditionalFormatting sqref="H1629">
    <cfRule type="containsText" dxfId="7664" priority="10194" operator="containsText" text="Missing">
      <formula>NOT(ISERROR(SEARCH("Missing",H1629)))</formula>
    </cfRule>
  </conditionalFormatting>
  <conditionalFormatting sqref="H1643">
    <cfRule type="containsText" dxfId="7663" priority="10190" operator="containsText" text="Missing">
      <formula>NOT(ISERROR(SEARCH("Missing",H1643)))</formula>
    </cfRule>
  </conditionalFormatting>
  <conditionalFormatting sqref="H1632">
    <cfRule type="containsText" dxfId="7662" priority="10191" operator="containsText" text="Missing">
      <formula>NOT(ISERROR(SEARCH("Missing",H1632)))</formula>
    </cfRule>
  </conditionalFormatting>
  <conditionalFormatting sqref="H1651">
    <cfRule type="containsText" dxfId="7661" priority="10185" operator="containsText" text="Missing">
      <formula>NOT(ISERROR(SEARCH("Missing",H1651)))</formula>
    </cfRule>
  </conditionalFormatting>
  <conditionalFormatting sqref="H1647">
    <cfRule type="containsText" dxfId="7660" priority="10189" operator="containsText" text="Missing">
      <formula>NOT(ISERROR(SEARCH("Missing",H1647)))</formula>
    </cfRule>
  </conditionalFormatting>
  <conditionalFormatting sqref="H1648">
    <cfRule type="containsText" dxfId="7659" priority="10188" operator="containsText" text="Missing">
      <formula>NOT(ISERROR(SEARCH("Missing",H1648)))</formula>
    </cfRule>
  </conditionalFormatting>
  <conditionalFormatting sqref="H1650">
    <cfRule type="containsText" dxfId="7658" priority="10186" operator="containsText" text="Missing">
      <formula>NOT(ISERROR(SEARCH("Missing",H1650)))</formula>
    </cfRule>
  </conditionalFormatting>
  <conditionalFormatting sqref="H1649">
    <cfRule type="containsText" dxfId="7657" priority="10187" operator="containsText" text="Missing">
      <formula>NOT(ISERROR(SEARCH("Missing",H1649)))</formula>
    </cfRule>
  </conditionalFormatting>
  <conditionalFormatting sqref="H1702">
    <cfRule type="containsText" dxfId="7656" priority="10174" operator="containsText" text="Missing">
      <formula>NOT(ISERROR(SEARCH("Missing",H1702)))</formula>
    </cfRule>
  </conditionalFormatting>
  <conditionalFormatting sqref="H1699">
    <cfRule type="containsText" dxfId="7655" priority="10176" operator="containsText" text="Missing">
      <formula>NOT(ISERROR(SEARCH("Missing",H1699)))</formula>
    </cfRule>
  </conditionalFormatting>
  <conditionalFormatting sqref="H1698">
    <cfRule type="containsText" dxfId="7654" priority="10178" operator="containsText" text="Missing">
      <formula>NOT(ISERROR(SEARCH("Missing",H1698)))</formula>
    </cfRule>
  </conditionalFormatting>
  <conditionalFormatting sqref="H1704">
    <cfRule type="containsText" dxfId="7653" priority="10172" operator="containsText" text="Missing">
      <formula>NOT(ISERROR(SEARCH("Missing",H1704)))</formula>
    </cfRule>
  </conditionalFormatting>
  <conditionalFormatting sqref="J1717:K1717">
    <cfRule type="containsText" dxfId="7652" priority="10159" operator="containsText" text="Missing">
      <formula>NOT(ISERROR(SEARCH("Missing",J1717)))</formula>
    </cfRule>
  </conditionalFormatting>
  <conditionalFormatting sqref="H1705">
    <cfRule type="containsText" dxfId="7651" priority="10173" operator="containsText" text="Missing">
      <formula>NOT(ISERROR(SEARCH("Missing",H1705)))</formula>
    </cfRule>
  </conditionalFormatting>
  <conditionalFormatting sqref="J1710:K1710">
    <cfRule type="containsText" dxfId="7650" priority="10169" operator="containsText" text="Missing">
      <formula>NOT(ISERROR(SEARCH("Missing",J1710)))</formula>
    </cfRule>
  </conditionalFormatting>
  <conditionalFormatting sqref="J1711:K1712">
    <cfRule type="containsText" dxfId="7649" priority="10168" operator="containsText" text="Missing">
      <formula>NOT(ISERROR(SEARCH("Missing",J1711)))</formula>
    </cfRule>
  </conditionalFormatting>
  <conditionalFormatting sqref="J1714:K1715">
    <cfRule type="containsText" dxfId="7648" priority="10162" operator="containsText" text="Missing">
      <formula>NOT(ISERROR(SEARCH("Missing",J1714)))</formula>
    </cfRule>
  </conditionalFormatting>
  <conditionalFormatting sqref="L1710:L1712">
    <cfRule type="containsText" dxfId="7647" priority="10170" operator="containsText" text="Positive">
      <formula>NOT(ISERROR(SEARCH("Positive",L1710)))</formula>
    </cfRule>
    <cfRule type="containsText" dxfId="7646" priority="10171" operator="containsText" text="Negative">
      <formula>NOT(ISERROR(SEARCH("Negative",L1710)))</formula>
    </cfRule>
  </conditionalFormatting>
  <conditionalFormatting sqref="I1714">
    <cfRule type="containsText" dxfId="7645" priority="10167" operator="containsText" text="Missing">
      <formula>NOT(ISERROR(SEARCH("Missing",I1714)))</formula>
    </cfRule>
  </conditionalFormatting>
  <conditionalFormatting sqref="I1713 I1715">
    <cfRule type="containsText" dxfId="7644" priority="10166" operator="containsText" text="Missing">
      <formula>NOT(ISERROR(SEARCH("Missing",I1713)))</formula>
    </cfRule>
  </conditionalFormatting>
  <conditionalFormatting sqref="J1713:K1713">
    <cfRule type="containsText" dxfId="7643" priority="10163" operator="containsText" text="Missing">
      <formula>NOT(ISERROR(SEARCH("Missing",J1713)))</formula>
    </cfRule>
  </conditionalFormatting>
  <conditionalFormatting sqref="L1713:L1715">
    <cfRule type="containsText" dxfId="7642" priority="10164" operator="containsText" text="Positive">
      <formula>NOT(ISERROR(SEARCH("Positive",L1713)))</formula>
    </cfRule>
    <cfRule type="containsText" dxfId="7641" priority="10165" operator="containsText" text="Negative">
      <formula>NOT(ISERROR(SEARCH("Negative",L1713)))</formula>
    </cfRule>
  </conditionalFormatting>
  <conditionalFormatting sqref="L1717:L1719">
    <cfRule type="containsText" dxfId="7640" priority="10160" operator="containsText" text="Positive">
      <formula>NOT(ISERROR(SEARCH("Positive",L1717)))</formula>
    </cfRule>
    <cfRule type="containsText" dxfId="7639" priority="10161" operator="containsText" text="Negative">
      <formula>NOT(ISERROR(SEARCH("Negative",L1717)))</formula>
    </cfRule>
  </conditionalFormatting>
  <conditionalFormatting sqref="I1718 I1722">
    <cfRule type="containsText" dxfId="7638" priority="10157" operator="containsText" text="Missing">
      <formula>NOT(ISERROR(SEARCH("Missing",I1718)))</formula>
    </cfRule>
  </conditionalFormatting>
  <conditionalFormatting sqref="J1718:K1719">
    <cfRule type="containsText" dxfId="7637" priority="10158" operator="containsText" text="Missing">
      <formula>NOT(ISERROR(SEARCH("Missing",J1718)))</formula>
    </cfRule>
  </conditionalFormatting>
  <conditionalFormatting sqref="I1717 I1723 I1719:I1721">
    <cfRule type="containsText" dxfId="7636" priority="10156" operator="containsText" text="Missing">
      <formula>NOT(ISERROR(SEARCH("Missing",I1717)))</formula>
    </cfRule>
  </conditionalFormatting>
  <conditionalFormatting sqref="J1722:K1723">
    <cfRule type="containsText" dxfId="7635" priority="10152" operator="containsText" text="Missing">
      <formula>NOT(ISERROR(SEARCH("Missing",J1722)))</formula>
    </cfRule>
  </conditionalFormatting>
  <conditionalFormatting sqref="J1725:K1726">
    <cfRule type="containsText" dxfId="7634" priority="10146" operator="containsText" text="Missing">
      <formula>NOT(ISERROR(SEARCH("Missing",J1725)))</formula>
    </cfRule>
  </conditionalFormatting>
  <conditionalFormatting sqref="J1721:K1721">
    <cfRule type="containsText" dxfId="7633" priority="10153" operator="containsText" text="Missing">
      <formula>NOT(ISERROR(SEARCH("Missing",J1721)))</formula>
    </cfRule>
  </conditionalFormatting>
  <conditionalFormatting sqref="L1721:L1723">
    <cfRule type="containsText" dxfId="7632" priority="10154" operator="containsText" text="Positive">
      <formula>NOT(ISERROR(SEARCH("Positive",L1721)))</formula>
    </cfRule>
    <cfRule type="containsText" dxfId="7631" priority="10155" operator="containsText" text="Negative">
      <formula>NOT(ISERROR(SEARCH("Negative",L1721)))</formula>
    </cfRule>
  </conditionalFormatting>
  <conditionalFormatting sqref="I1725">
    <cfRule type="containsText" dxfId="7630" priority="10151" operator="containsText" text="Missing">
      <formula>NOT(ISERROR(SEARCH("Missing",I1725)))</formula>
    </cfRule>
  </conditionalFormatting>
  <conditionalFormatting sqref="I1724 I1726">
    <cfRule type="containsText" dxfId="7629" priority="10150" operator="containsText" text="Missing">
      <formula>NOT(ISERROR(SEARCH("Missing",I1724)))</formula>
    </cfRule>
  </conditionalFormatting>
  <conditionalFormatting sqref="J1724:K1724">
    <cfRule type="containsText" dxfId="7628" priority="10147" operator="containsText" text="Missing">
      <formula>NOT(ISERROR(SEARCH("Missing",J1724)))</formula>
    </cfRule>
  </conditionalFormatting>
  <conditionalFormatting sqref="L1724:L1726">
    <cfRule type="containsText" dxfId="7627" priority="10148" operator="containsText" text="Positive">
      <formula>NOT(ISERROR(SEARCH("Positive",L1724)))</formula>
    </cfRule>
    <cfRule type="containsText" dxfId="7626" priority="10149" operator="containsText" text="Negative">
      <formula>NOT(ISERROR(SEARCH("Negative",L1724)))</formula>
    </cfRule>
  </conditionalFormatting>
  <conditionalFormatting sqref="H1706:H1708 H1717:H1719 H1710:H1715 H1721:H1726">
    <cfRule type="containsText" dxfId="7625" priority="10145" operator="containsText" text="Missing">
      <formula>NOT(ISERROR(SEARCH("Missing",H1706)))</formula>
    </cfRule>
  </conditionalFormatting>
  <conditionalFormatting sqref="J1578:K1578">
    <cfRule type="containsText" dxfId="7624" priority="10138" operator="containsText" text="Missing">
      <formula>NOT(ISERROR(SEARCH("Missing",J1578)))</formula>
    </cfRule>
  </conditionalFormatting>
  <conditionalFormatting sqref="J1576:K1576">
    <cfRule type="containsText" dxfId="7623" priority="10144" operator="containsText" text="Missing">
      <formula>NOT(ISERROR(SEARCH("Missing",J1576)))</formula>
    </cfRule>
  </conditionalFormatting>
  <conditionalFormatting sqref="J1577:K1577">
    <cfRule type="containsText" dxfId="7622" priority="10141" operator="containsText" text="Missing">
      <formula>NOT(ISERROR(SEARCH("Missing",J1577)))</formula>
    </cfRule>
  </conditionalFormatting>
  <conditionalFormatting sqref="I1577">
    <cfRule type="containsText" dxfId="7621" priority="10135" operator="containsText" text="Missing">
      <formula>NOT(ISERROR(SEARCH("Missing",I1577)))</formula>
    </cfRule>
  </conditionalFormatting>
  <conditionalFormatting sqref="L1576">
    <cfRule type="containsText" dxfId="7620" priority="10142" operator="containsText" text="Positive">
      <formula>NOT(ISERROR(SEARCH("Positive",L1576)))</formula>
    </cfRule>
    <cfRule type="containsText" dxfId="7619" priority="10143" operator="containsText" text="Negative">
      <formula>NOT(ISERROR(SEARCH("Negative",L1576)))</formula>
    </cfRule>
  </conditionalFormatting>
  <conditionalFormatting sqref="L1577">
    <cfRule type="containsText" dxfId="7618" priority="10139" operator="containsText" text="Positive">
      <formula>NOT(ISERROR(SEARCH("Positive",L1577)))</formula>
    </cfRule>
    <cfRule type="containsText" dxfId="7617" priority="10140" operator="containsText" text="Negative">
      <formula>NOT(ISERROR(SEARCH("Negative",L1577)))</formula>
    </cfRule>
  </conditionalFormatting>
  <conditionalFormatting sqref="I1576">
    <cfRule type="containsText" dxfId="7616" priority="10137" operator="containsText" text="Missing">
      <formula>NOT(ISERROR(SEARCH("Missing",I1576)))</formula>
    </cfRule>
  </conditionalFormatting>
  <conditionalFormatting sqref="I1578">
    <cfRule type="containsText" dxfId="7615" priority="10136" operator="containsText" text="Missing">
      <formula>NOT(ISERROR(SEARCH("Missing",I1578)))</formula>
    </cfRule>
  </conditionalFormatting>
  <conditionalFormatting sqref="L1578">
    <cfRule type="containsText" dxfId="7614" priority="10133" operator="containsText" text="Positive">
      <formula>NOT(ISERROR(SEARCH("Positive",L1578)))</formula>
    </cfRule>
    <cfRule type="containsText" dxfId="7613" priority="10134" operator="containsText" text="Negative">
      <formula>NOT(ISERROR(SEARCH("Negative",L1578)))</formula>
    </cfRule>
  </conditionalFormatting>
  <conditionalFormatting sqref="H1578">
    <cfRule type="containsText" dxfId="7612" priority="10130" operator="containsText" text="Missing">
      <formula>NOT(ISERROR(SEARCH("Missing",H1578)))</formula>
    </cfRule>
  </conditionalFormatting>
  <conditionalFormatting sqref="H1577">
    <cfRule type="containsText" dxfId="7611" priority="10131" operator="containsText" text="Missing">
      <formula>NOT(ISERROR(SEARCH("Missing",H1577)))</formula>
    </cfRule>
  </conditionalFormatting>
  <conditionalFormatting sqref="H1576">
    <cfRule type="containsText" dxfId="7610" priority="10132" operator="containsText" text="Missing">
      <formula>NOT(ISERROR(SEARCH("Missing",H1576)))</formula>
    </cfRule>
  </conditionalFormatting>
  <conditionalFormatting sqref="H1547">
    <cfRule type="containsText" dxfId="7609" priority="10108" operator="containsText" text="Missing">
      <formula>NOT(ISERROR(SEARCH("Missing",H1547)))</formula>
    </cfRule>
  </conditionalFormatting>
  <conditionalFormatting sqref="L1542">
    <cfRule type="containsText" dxfId="7608" priority="10128" operator="containsText" text="Positive">
      <formula>NOT(ISERROR(SEARCH("Positive",L1542)))</formula>
    </cfRule>
    <cfRule type="containsText" dxfId="7607" priority="10129" operator="containsText" text="Negative">
      <formula>NOT(ISERROR(SEARCH("Negative",L1542)))</formula>
    </cfRule>
  </conditionalFormatting>
  <conditionalFormatting sqref="J1541:K1541">
    <cfRule type="containsText" dxfId="7606" priority="10127" operator="containsText" text="Missing">
      <formula>NOT(ISERROR(SEARCH("Missing",J1541)))</formula>
    </cfRule>
  </conditionalFormatting>
  <conditionalFormatting sqref="L1541">
    <cfRule type="containsText" dxfId="7605" priority="10125" operator="containsText" text="Positive">
      <formula>NOT(ISERROR(SEARCH("Positive",L1541)))</formula>
    </cfRule>
    <cfRule type="containsText" dxfId="7604" priority="10126" operator="containsText" text="Negative">
      <formula>NOT(ISERROR(SEARCH("Negative",L1541)))</formula>
    </cfRule>
  </conditionalFormatting>
  <conditionalFormatting sqref="J1542:K1542">
    <cfRule type="containsText" dxfId="7603" priority="10123" operator="containsText" text="Missing">
      <formula>NOT(ISERROR(SEARCH("Missing",J1542)))</formula>
    </cfRule>
  </conditionalFormatting>
  <conditionalFormatting sqref="H1541">
    <cfRule type="containsText" dxfId="7602" priority="10124" operator="containsText" text="Missing">
      <formula>NOT(ISERROR(SEARCH("Missing",H1541)))</formula>
    </cfRule>
  </conditionalFormatting>
  <conditionalFormatting sqref="J1543:K1545">
    <cfRule type="containsText" dxfId="7601" priority="10122" operator="containsText" text="Missing">
      <formula>NOT(ISERROR(SEARCH("Missing",J1543)))</formula>
    </cfRule>
  </conditionalFormatting>
  <conditionalFormatting sqref="L1543:L1545">
    <cfRule type="containsText" dxfId="7600" priority="10120" operator="containsText" text="Positive">
      <formula>NOT(ISERROR(SEARCH("Positive",L1543)))</formula>
    </cfRule>
    <cfRule type="containsText" dxfId="7599" priority="10121" operator="containsText" text="Negative">
      <formula>NOT(ISERROR(SEARCH("Negative",L1543)))</formula>
    </cfRule>
  </conditionalFormatting>
  <conditionalFormatting sqref="H1543">
    <cfRule type="containsText" dxfId="7598" priority="10118" operator="containsText" text="Missing">
      <formula>NOT(ISERROR(SEARCH("Missing",H1543)))</formula>
    </cfRule>
  </conditionalFormatting>
  <conditionalFormatting sqref="H1544">
    <cfRule type="containsText" dxfId="7597" priority="10117" operator="containsText" text="Missing">
      <formula>NOT(ISERROR(SEARCH("Missing",H1544)))</formula>
    </cfRule>
  </conditionalFormatting>
  <conditionalFormatting sqref="H1542">
    <cfRule type="containsText" dxfId="7596" priority="10119" operator="containsText" text="Missing">
      <formula>NOT(ISERROR(SEARCH("Missing",H1542)))</formula>
    </cfRule>
  </conditionalFormatting>
  <conditionalFormatting sqref="H1545">
    <cfRule type="containsText" dxfId="7595" priority="10116" operator="containsText" text="Missing">
      <formula>NOT(ISERROR(SEARCH("Missing",H1545)))</formula>
    </cfRule>
  </conditionalFormatting>
  <conditionalFormatting sqref="J1546:K1546">
    <cfRule type="containsText" dxfId="7594" priority="10113" operator="containsText" text="Missing">
      <formula>NOT(ISERROR(SEARCH("Missing",J1546)))</formula>
    </cfRule>
  </conditionalFormatting>
  <conditionalFormatting sqref="L1547">
    <cfRule type="containsText" dxfId="7593" priority="10114" operator="containsText" text="Positive">
      <formula>NOT(ISERROR(SEARCH("Positive",L1547)))</formula>
    </cfRule>
    <cfRule type="containsText" dxfId="7592" priority="10115" operator="containsText" text="Negative">
      <formula>NOT(ISERROR(SEARCH("Negative",L1547)))</formula>
    </cfRule>
  </conditionalFormatting>
  <conditionalFormatting sqref="J1671:K1671">
    <cfRule type="containsText" dxfId="7591" priority="10097" operator="containsText" text="Missing">
      <formula>NOT(ISERROR(SEARCH("Missing",J1671)))</formula>
    </cfRule>
  </conditionalFormatting>
  <conditionalFormatting sqref="L1546">
    <cfRule type="containsText" dxfId="7590" priority="10111" operator="containsText" text="Positive">
      <formula>NOT(ISERROR(SEARCH("Positive",L1546)))</formula>
    </cfRule>
    <cfRule type="containsText" dxfId="7589" priority="10112" operator="containsText" text="Negative">
      <formula>NOT(ISERROR(SEARCH("Negative",L1546)))</formula>
    </cfRule>
  </conditionalFormatting>
  <conditionalFormatting sqref="J1547:K1547">
    <cfRule type="containsText" dxfId="7588" priority="10109" operator="containsText" text="Missing">
      <formula>NOT(ISERROR(SEARCH("Missing",J1547)))</formula>
    </cfRule>
  </conditionalFormatting>
  <conditionalFormatting sqref="H1546">
    <cfRule type="containsText" dxfId="7587" priority="10110" operator="containsText" text="Missing">
      <formula>NOT(ISERROR(SEARCH("Missing",H1546)))</formula>
    </cfRule>
  </conditionalFormatting>
  <conditionalFormatting sqref="H1548">
    <cfRule type="containsText" dxfId="7586" priority="10107" operator="containsText" text="Missing">
      <formula>NOT(ISERROR(SEARCH("Missing",H1548)))</formula>
    </cfRule>
  </conditionalFormatting>
  <conditionalFormatting sqref="H1549">
    <cfRule type="containsText" dxfId="7585" priority="10106" operator="containsText" text="Missing">
      <formula>NOT(ISERROR(SEARCH("Missing",H1549)))</formula>
    </cfRule>
  </conditionalFormatting>
  <conditionalFormatting sqref="L1608">
    <cfRule type="containsText" dxfId="7584" priority="10104" operator="containsText" text="Positive">
      <formula>NOT(ISERROR(SEARCH("Positive",L1608)))</formula>
    </cfRule>
    <cfRule type="containsText" dxfId="7583" priority="10105" operator="containsText" text="Negative">
      <formula>NOT(ISERROR(SEARCH("Negative",L1608)))</formula>
    </cfRule>
  </conditionalFormatting>
  <conditionalFormatting sqref="I1608">
    <cfRule type="containsText" dxfId="7582" priority="10103" operator="containsText" text="Missing">
      <formula>NOT(ISERROR(SEARCH("Missing",I1608)))</formula>
    </cfRule>
  </conditionalFormatting>
  <conditionalFormatting sqref="H1608">
    <cfRule type="containsText" dxfId="7581" priority="10102" operator="containsText" text="Missing">
      <formula>NOT(ISERROR(SEARCH("Missing",H1608)))</formula>
    </cfRule>
  </conditionalFormatting>
  <conditionalFormatting sqref="L1590">
    <cfRule type="containsText" dxfId="7580" priority="10100" operator="containsText" text="Positive">
      <formula>NOT(ISERROR(SEARCH("Positive",L1590)))</formula>
    </cfRule>
    <cfRule type="containsText" dxfId="7579" priority="10101" operator="containsText" text="Negative">
      <formula>NOT(ISERROR(SEARCH("Negative",L1590)))</formula>
    </cfRule>
  </conditionalFormatting>
  <conditionalFormatting sqref="H1589">
    <cfRule type="containsText" dxfId="7578" priority="10099" operator="containsText" text="Missing">
      <formula>NOT(ISERROR(SEARCH("Missing",H1589)))</formula>
    </cfRule>
  </conditionalFormatting>
  <conditionalFormatting sqref="H1590">
    <cfRule type="containsText" dxfId="7577" priority="10098" operator="containsText" text="Missing">
      <formula>NOT(ISERROR(SEARCH("Missing",H1590)))</formula>
    </cfRule>
  </conditionalFormatting>
  <conditionalFormatting sqref="L1693">
    <cfRule type="containsText" dxfId="7576" priority="10089" operator="containsText" text="Positive">
      <formula>NOT(ISERROR(SEARCH("Positive",L1693)))</formula>
    </cfRule>
    <cfRule type="containsText" dxfId="7575" priority="10090" operator="containsText" text="Negative">
      <formula>NOT(ISERROR(SEARCH("Negative",L1693)))</formula>
    </cfRule>
  </conditionalFormatting>
  <conditionalFormatting sqref="L1671">
    <cfRule type="containsText" dxfId="7574" priority="10095" operator="containsText" text="Positive">
      <formula>NOT(ISERROR(SEARCH("Positive",L1671)))</formula>
    </cfRule>
    <cfRule type="containsText" dxfId="7573" priority="10096" operator="containsText" text="Negative">
      <formula>NOT(ISERROR(SEARCH("Negative",L1671)))</formula>
    </cfRule>
  </conditionalFormatting>
  <conditionalFormatting sqref="I1671">
    <cfRule type="containsText" dxfId="7572" priority="10094" operator="containsText" text="Missing">
      <formula>NOT(ISERROR(SEARCH("Missing",I1671)))</formula>
    </cfRule>
  </conditionalFormatting>
  <conditionalFormatting sqref="H1671">
    <cfRule type="containsText" dxfId="7571" priority="10092" operator="containsText" text="Missing">
      <formula>NOT(ISERROR(SEARCH("Missing",H1671)))</formula>
    </cfRule>
  </conditionalFormatting>
  <conditionalFormatting sqref="H1689">
    <cfRule type="containsText" dxfId="7570" priority="10084" operator="containsText" text="Missing">
      <formula>NOT(ISERROR(SEARCH("Missing",H1689)))</formula>
    </cfRule>
  </conditionalFormatting>
  <conditionalFormatting sqref="H1670">
    <cfRule type="containsText" dxfId="7569" priority="10093" operator="containsText" text="Missing">
      <formula>NOT(ISERROR(SEARCH("Missing",H1670)))</formula>
    </cfRule>
  </conditionalFormatting>
  <conditionalFormatting sqref="I1727">
    <cfRule type="containsText" dxfId="7568" priority="10074" operator="containsText" text="Missing">
      <formula>NOT(ISERROR(SEARCH("Missing",I1727)))</formula>
    </cfRule>
  </conditionalFormatting>
  <conditionalFormatting sqref="H1693:K1693">
    <cfRule type="containsText" dxfId="7567" priority="10091" operator="containsText" text="Missing">
      <formula>NOT(ISERROR(SEARCH("Missing",H1693)))</formula>
    </cfRule>
  </conditionalFormatting>
  <conditionalFormatting sqref="L1716">
    <cfRule type="containsText" dxfId="7566" priority="10081" operator="containsText" text="Positive">
      <formula>NOT(ISERROR(SEARCH("Positive",L1716)))</formula>
    </cfRule>
    <cfRule type="containsText" dxfId="7565" priority="10082" operator="containsText" text="Negative">
      <formula>NOT(ISERROR(SEARCH("Negative",L1716)))</formula>
    </cfRule>
  </conditionalFormatting>
  <conditionalFormatting sqref="J1689:K1689">
    <cfRule type="containsText" dxfId="7564" priority="10088" operator="containsText" text="Missing">
      <formula>NOT(ISERROR(SEARCH("Missing",J1689)))</formula>
    </cfRule>
  </conditionalFormatting>
  <conditionalFormatting sqref="L1689">
    <cfRule type="containsText" dxfId="7563" priority="10086" operator="containsText" text="Positive">
      <formula>NOT(ISERROR(SEARCH("Positive",L1689)))</formula>
    </cfRule>
    <cfRule type="containsText" dxfId="7562" priority="10087" operator="containsText" text="Negative">
      <formula>NOT(ISERROR(SEARCH("Negative",L1689)))</formula>
    </cfRule>
  </conditionalFormatting>
  <conditionalFormatting sqref="I1689">
    <cfRule type="containsText" dxfId="7561" priority="10085" operator="containsText" text="Missing">
      <formula>NOT(ISERROR(SEARCH("Missing",I1689)))</formula>
    </cfRule>
  </conditionalFormatting>
  <conditionalFormatting sqref="I1585">
    <cfRule type="containsText" dxfId="7560" priority="10070" operator="containsText" text="Missing">
      <formula>NOT(ISERROR(SEARCH("Missing",I1585)))</formula>
    </cfRule>
  </conditionalFormatting>
  <conditionalFormatting sqref="J1716:K1716">
    <cfRule type="containsText" dxfId="7559" priority="10083" operator="containsText" text="Missing">
      <formula>NOT(ISERROR(SEARCH("Missing",J1716)))</formula>
    </cfRule>
  </conditionalFormatting>
  <conditionalFormatting sqref="L1727">
    <cfRule type="containsText" dxfId="7558" priority="10078" operator="containsText" text="Positive">
      <formula>NOT(ISERROR(SEARCH("Positive",L1727)))</formula>
    </cfRule>
    <cfRule type="containsText" dxfId="7557" priority="10079" operator="containsText" text="Negative">
      <formula>NOT(ISERROR(SEARCH("Negative",L1727)))</formula>
    </cfRule>
  </conditionalFormatting>
  <conditionalFormatting sqref="J1727:K1727">
    <cfRule type="containsText" dxfId="7556" priority="10080" operator="containsText" text="Missing">
      <formula>NOT(ISERROR(SEARCH("Missing",J1727)))</formula>
    </cfRule>
  </conditionalFormatting>
  <conditionalFormatting sqref="H1716">
    <cfRule type="containsText" dxfId="7555" priority="10077" operator="containsText" text="Missing">
      <formula>NOT(ISERROR(SEARCH("Missing",H1716)))</formula>
    </cfRule>
  </conditionalFormatting>
  <conditionalFormatting sqref="I1716">
    <cfRule type="containsText" dxfId="7554" priority="10076" operator="containsText" text="Missing">
      <formula>NOT(ISERROR(SEARCH("Missing",I1716)))</formula>
    </cfRule>
  </conditionalFormatting>
  <conditionalFormatting sqref="H1727">
    <cfRule type="containsText" dxfId="7553" priority="10075" operator="containsText" text="Missing">
      <formula>NOT(ISERROR(SEARCH("Missing",H1727)))</formula>
    </cfRule>
  </conditionalFormatting>
  <conditionalFormatting sqref="I1603">
    <cfRule type="containsText" dxfId="7552" priority="10065" operator="containsText" text="Missing">
      <formula>NOT(ISERROR(SEARCH("Missing",I1603)))</formula>
    </cfRule>
  </conditionalFormatting>
  <conditionalFormatting sqref="L1585">
    <cfRule type="containsText" dxfId="7551" priority="10072" operator="containsText" text="Positive">
      <formula>NOT(ISERROR(SEARCH("Positive",L1585)))</formula>
    </cfRule>
    <cfRule type="containsText" dxfId="7550" priority="10073" operator="containsText" text="Negative">
      <formula>NOT(ISERROR(SEARCH("Negative",L1585)))</formula>
    </cfRule>
  </conditionalFormatting>
  <conditionalFormatting sqref="J1603:K1603">
    <cfRule type="containsText" dxfId="7549" priority="10069" operator="containsText" text="Missing">
      <formula>NOT(ISERROR(SEARCH("Missing",J1603)))</formula>
    </cfRule>
  </conditionalFormatting>
  <conditionalFormatting sqref="L1603">
    <cfRule type="containsText" dxfId="7548" priority="10067" operator="containsText" text="Positive">
      <formula>NOT(ISERROR(SEARCH("Positive",L1603)))</formula>
    </cfRule>
    <cfRule type="containsText" dxfId="7547" priority="10068" operator="containsText" text="Negative">
      <formula>NOT(ISERROR(SEARCH("Negative",L1603)))</formula>
    </cfRule>
  </conditionalFormatting>
  <conditionalFormatting sqref="H1585">
    <cfRule type="containsText" dxfId="7546" priority="10071" operator="containsText" text="Missing">
      <formula>NOT(ISERROR(SEARCH("Missing",H1585)))</formula>
    </cfRule>
  </conditionalFormatting>
  <conditionalFormatting sqref="I1666">
    <cfRule type="containsText" dxfId="7545" priority="10060" operator="containsText" text="Missing">
      <formula>NOT(ISERROR(SEARCH("Missing",I1666)))</formula>
    </cfRule>
  </conditionalFormatting>
  <conditionalFormatting sqref="J1709:K1709">
    <cfRule type="containsText" dxfId="7544" priority="10054" operator="containsText" text="Missing">
      <formula>NOT(ISERROR(SEARCH("Missing",J1709)))</formula>
    </cfRule>
  </conditionalFormatting>
  <conditionalFormatting sqref="J1666:K1666">
    <cfRule type="containsText" dxfId="7543" priority="10064" operator="containsText" text="Missing">
      <formula>NOT(ISERROR(SEARCH("Missing",J1666)))</formula>
    </cfRule>
  </conditionalFormatting>
  <conditionalFormatting sqref="L1666">
    <cfRule type="containsText" dxfId="7542" priority="10062" operator="containsText" text="Positive">
      <formula>NOT(ISERROR(SEARCH("Positive",L1666)))</formula>
    </cfRule>
    <cfRule type="containsText" dxfId="7541" priority="10063" operator="containsText" text="Negative">
      <formula>NOT(ISERROR(SEARCH("Negative",L1666)))</formula>
    </cfRule>
  </conditionalFormatting>
  <conditionalFormatting sqref="H1603">
    <cfRule type="containsText" dxfId="7540" priority="10066" operator="containsText" text="Missing">
      <formula>NOT(ISERROR(SEARCH("Missing",H1603)))</formula>
    </cfRule>
  </conditionalFormatting>
  <conditionalFormatting sqref="H1666">
    <cfRule type="containsText" dxfId="7539" priority="10061" operator="containsText" text="Missing">
      <formula>NOT(ISERROR(SEARCH("Missing",H1666)))</formula>
    </cfRule>
  </conditionalFormatting>
  <conditionalFormatting sqref="I1684">
    <cfRule type="containsText" dxfId="7538" priority="10055" operator="containsText" text="Missing">
      <formula>NOT(ISERROR(SEARCH("Missing",I1684)))</formula>
    </cfRule>
  </conditionalFormatting>
  <conditionalFormatting sqref="J1684:K1684">
    <cfRule type="containsText" dxfId="7537" priority="10059" operator="containsText" text="Missing">
      <formula>NOT(ISERROR(SEARCH("Missing",J1684)))</formula>
    </cfRule>
  </conditionalFormatting>
  <conditionalFormatting sqref="H1709">
    <cfRule type="containsText" dxfId="7536" priority="10050" operator="containsText" text="Missing">
      <formula>NOT(ISERROR(SEARCH("Missing",H1709)))</formula>
    </cfRule>
  </conditionalFormatting>
  <conditionalFormatting sqref="L1684">
    <cfRule type="containsText" dxfId="7535" priority="10057" operator="containsText" text="Positive">
      <formula>NOT(ISERROR(SEARCH("Positive",L1684)))</formula>
    </cfRule>
    <cfRule type="containsText" dxfId="7534" priority="10058" operator="containsText" text="Negative">
      <formula>NOT(ISERROR(SEARCH("Negative",L1684)))</formula>
    </cfRule>
  </conditionalFormatting>
  <conditionalFormatting sqref="I1709">
    <cfRule type="containsText" dxfId="7533" priority="10051" operator="containsText" text="Missing">
      <formula>NOT(ISERROR(SEARCH("Missing",I1709)))</formula>
    </cfRule>
  </conditionalFormatting>
  <conditionalFormatting sqref="J1720:K1720">
    <cfRule type="containsText" dxfId="7532" priority="10049" operator="containsText" text="Missing">
      <formula>NOT(ISERROR(SEARCH("Missing",J1720)))</formula>
    </cfRule>
  </conditionalFormatting>
  <conditionalFormatting sqref="H1720">
    <cfRule type="containsText" dxfId="7531" priority="10046" operator="containsText" text="Missing">
      <formula>NOT(ISERROR(SEARCH("Missing",H1720)))</formula>
    </cfRule>
  </conditionalFormatting>
  <conditionalFormatting sqref="L1720">
    <cfRule type="containsText" dxfId="7530" priority="10047" operator="containsText" text="Positive">
      <formula>NOT(ISERROR(SEARCH("Positive",L1720)))</formula>
    </cfRule>
    <cfRule type="containsText" dxfId="7529" priority="10048" operator="containsText" text="Negative">
      <formula>NOT(ISERROR(SEARCH("Negative",L1720)))</formula>
    </cfRule>
  </conditionalFormatting>
  <conditionalFormatting sqref="H1684">
    <cfRule type="containsText" dxfId="7528" priority="10056" operator="containsText" text="Missing">
      <formula>NOT(ISERROR(SEARCH("Missing",H1684)))</formula>
    </cfRule>
  </conditionalFormatting>
  <conditionalFormatting sqref="L1709">
    <cfRule type="containsText" dxfId="7527" priority="10052" operator="containsText" text="Positive">
      <formula>NOT(ISERROR(SEARCH("Positive",L1709)))</formula>
    </cfRule>
    <cfRule type="containsText" dxfId="7526" priority="10053" operator="containsText" text="Negative">
      <formula>NOT(ISERROR(SEARCH("Negative",L1709)))</formula>
    </cfRule>
  </conditionalFormatting>
  <conditionalFormatting sqref="H1563:K1564">
    <cfRule type="containsText" dxfId="7525" priority="10045" operator="containsText" text="Missing">
      <formula>NOT(ISERROR(SEARCH("Missing",H1563)))</formula>
    </cfRule>
  </conditionalFormatting>
  <conditionalFormatting sqref="L1563:L1564">
    <cfRule type="containsText" dxfId="7524" priority="10043" operator="containsText" text="Positive">
      <formula>NOT(ISERROR(SEARCH("Positive",L1563)))</formula>
    </cfRule>
    <cfRule type="containsText" dxfId="7523" priority="10044" operator="containsText" text="Negative">
      <formula>NOT(ISERROR(SEARCH("Negative",L1563)))</formula>
    </cfRule>
  </conditionalFormatting>
  <conditionalFormatting sqref="J1563:K1564">
    <cfRule type="containsText" dxfId="7522" priority="10040" operator="containsText" text="Missing">
      <formula>NOT(ISERROR(SEARCH("Missing",J1563)))</formula>
    </cfRule>
  </conditionalFormatting>
  <conditionalFormatting sqref="L1563:L1564">
    <cfRule type="containsText" dxfId="7521" priority="10041" operator="containsText" text="Positive">
      <formula>NOT(ISERROR(SEARCH("Positive",L1563)))</formula>
    </cfRule>
    <cfRule type="containsText" dxfId="7520" priority="10042" operator="containsText" text="Negative">
      <formula>NOT(ISERROR(SEARCH("Negative",L1563)))</formula>
    </cfRule>
  </conditionalFormatting>
  <conditionalFormatting sqref="H1563:H1564">
    <cfRule type="containsText" dxfId="7519" priority="10037" operator="containsText" text="Missing">
      <formula>NOT(ISERROR(SEARCH("Missing",H1563)))</formula>
    </cfRule>
  </conditionalFormatting>
  <conditionalFormatting sqref="L1563:L1564">
    <cfRule type="containsText" dxfId="7518" priority="10038" operator="containsText" text="Positive">
      <formula>NOT(ISERROR(SEARCH("Positive",L1563)))</formula>
    </cfRule>
    <cfRule type="containsText" dxfId="7517" priority="10039" operator="containsText" text="Negative">
      <formula>NOT(ISERROR(SEARCH("Negative",L1563)))</formula>
    </cfRule>
  </conditionalFormatting>
  <conditionalFormatting sqref="I1563:I1564">
    <cfRule type="containsText" dxfId="7516" priority="10036" operator="containsText" text="Missing">
      <formula>NOT(ISERROR(SEARCH("Missing",I1563)))</formula>
    </cfRule>
  </conditionalFormatting>
  <conditionalFormatting sqref="J1563:K1564">
    <cfRule type="containsText" dxfId="7515" priority="10035" operator="containsText" text="Missing">
      <formula>NOT(ISERROR(SEARCH("Missing",J1563)))</formula>
    </cfRule>
  </conditionalFormatting>
  <conditionalFormatting sqref="L1563:L1564">
    <cfRule type="containsText" dxfId="7514" priority="10033" operator="containsText" text="Positive">
      <formula>NOT(ISERROR(SEARCH("Positive",L1563)))</formula>
    </cfRule>
    <cfRule type="containsText" dxfId="7513" priority="10034" operator="containsText" text="Negative">
      <formula>NOT(ISERROR(SEARCH("Negative",L1563)))</formula>
    </cfRule>
  </conditionalFormatting>
  <conditionalFormatting sqref="I1563:I1564">
    <cfRule type="containsText" dxfId="7512" priority="10032" operator="containsText" text="Missing">
      <formula>NOT(ISERROR(SEARCH("Missing",I1563)))</formula>
    </cfRule>
  </conditionalFormatting>
  <conditionalFormatting sqref="H1563:H1564">
    <cfRule type="containsText" dxfId="7511" priority="10030" operator="containsText" text="Missing">
      <formula>NOT(ISERROR(SEARCH("Missing",H1563)))</formula>
    </cfRule>
  </conditionalFormatting>
  <conditionalFormatting sqref="H1563:H1564">
    <cfRule type="containsText" dxfId="7510" priority="10031" operator="containsText" text="Missing">
      <formula>NOT(ISERROR(SEARCH("Missing",H1563)))</formula>
    </cfRule>
  </conditionalFormatting>
  <conditionalFormatting sqref="L1601">
    <cfRule type="containsText" dxfId="7509" priority="10028" operator="containsText" text="Positive">
      <formula>NOT(ISERROR(SEARCH("Positive",L1601)))</formula>
    </cfRule>
    <cfRule type="containsText" dxfId="7508" priority="10029" operator="containsText" text="Negative">
      <formula>NOT(ISERROR(SEARCH("Negative",L1601)))</formula>
    </cfRule>
  </conditionalFormatting>
  <conditionalFormatting sqref="I1601">
    <cfRule type="containsText" dxfId="7507" priority="10026" operator="containsText" text="Missing">
      <formula>NOT(ISERROR(SEARCH("Missing",I1601)))</formula>
    </cfRule>
  </conditionalFormatting>
  <conditionalFormatting sqref="J1601:K1601">
    <cfRule type="containsText" dxfId="7506" priority="10027" operator="containsText" text="Missing">
      <formula>NOT(ISERROR(SEARCH("Missing",J1601)))</formula>
    </cfRule>
  </conditionalFormatting>
  <conditionalFormatting sqref="H1601">
    <cfRule type="containsText" dxfId="7505" priority="10025" operator="containsText" text="Missing">
      <formula>NOT(ISERROR(SEARCH("Missing",H1601)))</formula>
    </cfRule>
  </conditionalFormatting>
  <conditionalFormatting sqref="H1562">
    <cfRule type="containsText" dxfId="7504" priority="10024" operator="containsText" text="Missing">
      <formula>NOT(ISERROR(SEARCH("Missing",H1562)))</formula>
    </cfRule>
  </conditionalFormatting>
  <conditionalFormatting sqref="H1562">
    <cfRule type="containsText" dxfId="7503" priority="10023" operator="containsText" text="Missing">
      <formula>NOT(ISERROR(SEARCH("Missing",H1562)))</formula>
    </cfRule>
  </conditionalFormatting>
  <conditionalFormatting sqref="H1562">
    <cfRule type="containsText" dxfId="7502" priority="10021" operator="containsText" text="Missing">
      <formula>NOT(ISERROR(SEARCH("Missing",H1562)))</formula>
    </cfRule>
  </conditionalFormatting>
  <conditionalFormatting sqref="H1562">
    <cfRule type="containsText" dxfId="7501" priority="10022" operator="containsText" text="Missing">
      <formula>NOT(ISERROR(SEARCH("Missing",H1562)))</formula>
    </cfRule>
  </conditionalFormatting>
  <conditionalFormatting sqref="J1644:K1644">
    <cfRule type="containsText" dxfId="7500" priority="10020" operator="containsText" text="Missing">
      <formula>NOT(ISERROR(SEARCH("Missing",J1644)))</formula>
    </cfRule>
  </conditionalFormatting>
  <conditionalFormatting sqref="L1645:L1646">
    <cfRule type="containsText" dxfId="7499" priority="10006" operator="containsText" text="Positive">
      <formula>NOT(ISERROR(SEARCH("Positive",L1645)))</formula>
    </cfRule>
    <cfRule type="containsText" dxfId="7498" priority="10007" operator="containsText" text="Negative">
      <formula>NOT(ISERROR(SEARCH("Negative",L1645)))</formula>
    </cfRule>
  </conditionalFormatting>
  <conditionalFormatting sqref="I1644">
    <cfRule type="containsText" dxfId="7497" priority="10019" operator="containsText" text="Missing">
      <formula>NOT(ISERROR(SEARCH("Missing",I1644)))</formula>
    </cfRule>
  </conditionalFormatting>
  <conditionalFormatting sqref="H1645:K1646">
    <cfRule type="containsText" dxfId="7496" priority="10018" operator="containsText" text="Missing">
      <formula>NOT(ISERROR(SEARCH("Missing",H1645)))</formula>
    </cfRule>
  </conditionalFormatting>
  <conditionalFormatting sqref="L1645:L1646">
    <cfRule type="containsText" dxfId="7495" priority="10016" operator="containsText" text="Positive">
      <formula>NOT(ISERROR(SEARCH("Positive",L1645)))</formula>
    </cfRule>
    <cfRule type="containsText" dxfId="7494" priority="10017" operator="containsText" text="Negative">
      <formula>NOT(ISERROR(SEARCH("Negative",L1645)))</formula>
    </cfRule>
  </conditionalFormatting>
  <conditionalFormatting sqref="J1645:K1646">
    <cfRule type="containsText" dxfId="7493" priority="10013" operator="containsText" text="Missing">
      <formula>NOT(ISERROR(SEARCH("Missing",J1645)))</formula>
    </cfRule>
  </conditionalFormatting>
  <conditionalFormatting sqref="L1645:L1646">
    <cfRule type="containsText" dxfId="7492" priority="10014" operator="containsText" text="Positive">
      <formula>NOT(ISERROR(SEARCH("Positive",L1645)))</formula>
    </cfRule>
    <cfRule type="containsText" dxfId="7491" priority="10015" operator="containsText" text="Negative">
      <formula>NOT(ISERROR(SEARCH("Negative",L1645)))</formula>
    </cfRule>
  </conditionalFormatting>
  <conditionalFormatting sqref="H1645:H1646">
    <cfRule type="containsText" dxfId="7490" priority="10010" operator="containsText" text="Missing">
      <formula>NOT(ISERROR(SEARCH("Missing",H1645)))</formula>
    </cfRule>
  </conditionalFormatting>
  <conditionalFormatting sqref="L1645:L1646">
    <cfRule type="containsText" dxfId="7489" priority="10011" operator="containsText" text="Positive">
      <formula>NOT(ISERROR(SEARCH("Positive",L1645)))</formula>
    </cfRule>
    <cfRule type="containsText" dxfId="7488" priority="10012" operator="containsText" text="Negative">
      <formula>NOT(ISERROR(SEARCH("Negative",L1645)))</formula>
    </cfRule>
  </conditionalFormatting>
  <conditionalFormatting sqref="I1645:I1646">
    <cfRule type="containsText" dxfId="7487" priority="10009" operator="containsText" text="Missing">
      <formula>NOT(ISERROR(SEARCH("Missing",I1645)))</formula>
    </cfRule>
  </conditionalFormatting>
  <conditionalFormatting sqref="J1645:K1646">
    <cfRule type="containsText" dxfId="7486" priority="10008" operator="containsText" text="Missing">
      <formula>NOT(ISERROR(SEARCH("Missing",J1645)))</formula>
    </cfRule>
  </conditionalFormatting>
  <conditionalFormatting sqref="I1645:I1646">
    <cfRule type="containsText" dxfId="7485" priority="10005" operator="containsText" text="Missing">
      <formula>NOT(ISERROR(SEARCH("Missing",I1645)))</formula>
    </cfRule>
  </conditionalFormatting>
  <conditionalFormatting sqref="H1645:H1646">
    <cfRule type="containsText" dxfId="7484" priority="10003" operator="containsText" text="Missing">
      <formula>NOT(ISERROR(SEARCH("Missing",H1645)))</formula>
    </cfRule>
  </conditionalFormatting>
  <conditionalFormatting sqref="H1645:H1646">
    <cfRule type="containsText" dxfId="7483" priority="10004" operator="containsText" text="Missing">
      <formula>NOT(ISERROR(SEARCH("Missing",H1645)))</formula>
    </cfRule>
  </conditionalFormatting>
  <conditionalFormatting sqref="H1644">
    <cfRule type="containsText" dxfId="7482" priority="10002" operator="containsText" text="Missing">
      <formula>NOT(ISERROR(SEARCH("Missing",H1644)))</formula>
    </cfRule>
  </conditionalFormatting>
  <conditionalFormatting sqref="H1644">
    <cfRule type="containsText" dxfId="7481" priority="10001" operator="containsText" text="Missing">
      <formula>NOT(ISERROR(SEARCH("Missing",H1644)))</formula>
    </cfRule>
  </conditionalFormatting>
  <conditionalFormatting sqref="H1644">
    <cfRule type="containsText" dxfId="7480" priority="9999" operator="containsText" text="Missing">
      <formula>NOT(ISERROR(SEARCH("Missing",H1644)))</formula>
    </cfRule>
  </conditionalFormatting>
  <conditionalFormatting sqref="H1644">
    <cfRule type="containsText" dxfId="7479" priority="10000" operator="containsText" text="Missing">
      <formula>NOT(ISERROR(SEARCH("Missing",H1644)))</formula>
    </cfRule>
  </conditionalFormatting>
  <conditionalFormatting sqref="L1644">
    <cfRule type="containsText" dxfId="7478" priority="9997" operator="containsText" text="Positive">
      <formula>NOT(ISERROR(SEARCH("Positive",L1644)))</formula>
    </cfRule>
    <cfRule type="containsText" dxfId="7477" priority="9998" operator="containsText" text="Negative">
      <formula>NOT(ISERROR(SEARCH("Negative",L1644)))</formula>
    </cfRule>
  </conditionalFormatting>
  <conditionalFormatting sqref="L1562">
    <cfRule type="containsText" dxfId="7476" priority="9995" operator="containsText" text="Positive">
      <formula>NOT(ISERROR(SEARCH("Positive",L1562)))</formula>
    </cfRule>
    <cfRule type="containsText" dxfId="7475" priority="9996" operator="containsText" text="Negative">
      <formula>NOT(ISERROR(SEARCH("Negative",L1562)))</formula>
    </cfRule>
  </conditionalFormatting>
  <conditionalFormatting sqref="L1562">
    <cfRule type="containsText" dxfId="7474" priority="9993" operator="containsText" text="Positive">
      <formula>NOT(ISERROR(SEARCH("Positive",L1562)))</formula>
    </cfRule>
    <cfRule type="containsText" dxfId="7473" priority="9994" operator="containsText" text="Negative">
      <formula>NOT(ISERROR(SEARCH("Negative",L1562)))</formula>
    </cfRule>
  </conditionalFormatting>
  <conditionalFormatting sqref="L1562">
    <cfRule type="containsText" dxfId="7472" priority="9991" operator="containsText" text="Positive">
      <formula>NOT(ISERROR(SEARCH("Positive",L1562)))</formula>
    </cfRule>
    <cfRule type="containsText" dxfId="7471" priority="9992" operator="containsText" text="Negative">
      <formula>NOT(ISERROR(SEARCH("Negative",L1562)))</formula>
    </cfRule>
  </conditionalFormatting>
  <conditionalFormatting sqref="L1562">
    <cfRule type="containsText" dxfId="7470" priority="9989" operator="containsText" text="Positive">
      <formula>NOT(ISERROR(SEARCH("Positive",L1562)))</formula>
    </cfRule>
    <cfRule type="containsText" dxfId="7469" priority="9990" operator="containsText" text="Negative">
      <formula>NOT(ISERROR(SEARCH("Negative",L1562)))</formula>
    </cfRule>
  </conditionalFormatting>
  <conditionalFormatting sqref="I1581">
    <cfRule type="containsText" dxfId="7468" priority="9988" operator="containsText" text="Missing">
      <formula>NOT(ISERROR(SEARCH("Missing",I1581)))</formula>
    </cfRule>
  </conditionalFormatting>
  <conditionalFormatting sqref="L1655:L1658">
    <cfRule type="containsText" dxfId="7467" priority="9986" operator="containsText" text="Positive">
      <formula>NOT(ISERROR(SEARCH("Positive",L1655)))</formula>
    </cfRule>
    <cfRule type="containsText" dxfId="7466" priority="9987" operator="containsText" text="Negative">
      <formula>NOT(ISERROR(SEARCH("Negative",L1655)))</formula>
    </cfRule>
  </conditionalFormatting>
  <conditionalFormatting sqref="J1657:K1657">
    <cfRule type="containsText" dxfId="7465" priority="9977" operator="containsText" text="Missing">
      <formula>NOT(ISERROR(SEARCH("Missing",J1657)))</formula>
    </cfRule>
  </conditionalFormatting>
  <conditionalFormatting sqref="J1655:K1655">
    <cfRule type="containsText" dxfId="7464" priority="9983" operator="containsText" text="Missing">
      <formula>NOT(ISERROR(SEARCH("Missing",J1655)))</formula>
    </cfRule>
  </conditionalFormatting>
  <conditionalFormatting sqref="J1656:K1656">
    <cfRule type="containsText" dxfId="7463" priority="9980" operator="containsText" text="Missing">
      <formula>NOT(ISERROR(SEARCH("Missing",J1656)))</formula>
    </cfRule>
  </conditionalFormatting>
  <conditionalFormatting sqref="I1656">
    <cfRule type="containsText" dxfId="7462" priority="9973" operator="containsText" text="Missing">
      <formula>NOT(ISERROR(SEARCH("Missing",I1656)))</formula>
    </cfRule>
  </conditionalFormatting>
  <conditionalFormatting sqref="L1658">
    <cfRule type="containsText" dxfId="7461" priority="9984" operator="containsText" text="Positive">
      <formula>NOT(ISERROR(SEARCH("Positive",L1658)))</formula>
    </cfRule>
    <cfRule type="containsText" dxfId="7460" priority="9985" operator="containsText" text="Negative">
      <formula>NOT(ISERROR(SEARCH("Negative",L1658)))</formula>
    </cfRule>
  </conditionalFormatting>
  <conditionalFormatting sqref="J1658:K1658">
    <cfRule type="containsText" dxfId="7459" priority="9976" operator="containsText" text="Missing">
      <formula>NOT(ISERROR(SEARCH("Missing",J1658)))</formula>
    </cfRule>
  </conditionalFormatting>
  <conditionalFormatting sqref="L1655">
    <cfRule type="containsText" dxfId="7458" priority="9981" operator="containsText" text="Positive">
      <formula>NOT(ISERROR(SEARCH("Positive",L1655)))</formula>
    </cfRule>
    <cfRule type="containsText" dxfId="7457" priority="9982" operator="containsText" text="Negative">
      <formula>NOT(ISERROR(SEARCH("Negative",L1655)))</formula>
    </cfRule>
  </conditionalFormatting>
  <conditionalFormatting sqref="L1656">
    <cfRule type="containsText" dxfId="7456" priority="9978" operator="containsText" text="Positive">
      <formula>NOT(ISERROR(SEARCH("Positive",L1656)))</formula>
    </cfRule>
    <cfRule type="containsText" dxfId="7455" priority="9979" operator="containsText" text="Negative">
      <formula>NOT(ISERROR(SEARCH("Negative",L1656)))</formula>
    </cfRule>
  </conditionalFormatting>
  <conditionalFormatting sqref="I1655">
    <cfRule type="containsText" dxfId="7454" priority="9975" operator="containsText" text="Missing">
      <formula>NOT(ISERROR(SEARCH("Missing",I1655)))</formula>
    </cfRule>
  </conditionalFormatting>
  <conditionalFormatting sqref="I1658">
    <cfRule type="containsText" dxfId="7453" priority="9972" operator="containsText" text="Missing">
      <formula>NOT(ISERROR(SEARCH("Missing",I1658)))</formula>
    </cfRule>
  </conditionalFormatting>
  <conditionalFormatting sqref="I1657">
    <cfRule type="containsText" dxfId="7452" priority="9974" operator="containsText" text="Missing">
      <formula>NOT(ISERROR(SEARCH("Missing",I1657)))</formula>
    </cfRule>
  </conditionalFormatting>
  <conditionalFormatting sqref="L1657">
    <cfRule type="containsText" dxfId="7451" priority="9970" operator="containsText" text="Positive">
      <formula>NOT(ISERROR(SEARCH("Positive",L1657)))</formula>
    </cfRule>
    <cfRule type="containsText" dxfId="7450" priority="9971" operator="containsText" text="Negative">
      <formula>NOT(ISERROR(SEARCH("Negative",L1657)))</formula>
    </cfRule>
  </conditionalFormatting>
  <conditionalFormatting sqref="H1657">
    <cfRule type="containsText" dxfId="7449" priority="9966" operator="containsText" text="Missing">
      <formula>NOT(ISERROR(SEARCH("Missing",H1657)))</formula>
    </cfRule>
  </conditionalFormatting>
  <conditionalFormatting sqref="H1656">
    <cfRule type="containsText" dxfId="7448" priority="9968" operator="containsText" text="Missing">
      <formula>NOT(ISERROR(SEARCH("Missing",H1656)))</formula>
    </cfRule>
  </conditionalFormatting>
  <conditionalFormatting sqref="H1655">
    <cfRule type="containsText" dxfId="7447" priority="9969" operator="containsText" text="Missing">
      <formula>NOT(ISERROR(SEARCH("Missing",H1655)))</formula>
    </cfRule>
  </conditionalFormatting>
  <conditionalFormatting sqref="H1658">
    <cfRule type="containsText" dxfId="7446" priority="9967" operator="containsText" text="Missing">
      <formula>NOT(ISERROR(SEARCH("Missing",H1658)))</formula>
    </cfRule>
  </conditionalFormatting>
  <conditionalFormatting sqref="J1662:K1662">
    <cfRule type="containsText" dxfId="7445" priority="9965" operator="containsText" text="Missing">
      <formula>NOT(ISERROR(SEARCH("Missing",J1662)))</formula>
    </cfRule>
  </conditionalFormatting>
  <conditionalFormatting sqref="L1663:L1665">
    <cfRule type="containsText" dxfId="7444" priority="9951" operator="containsText" text="Positive">
      <formula>NOT(ISERROR(SEARCH("Positive",L1663)))</formula>
    </cfRule>
    <cfRule type="containsText" dxfId="7443" priority="9952" operator="containsText" text="Negative">
      <formula>NOT(ISERROR(SEARCH("Negative",L1663)))</formula>
    </cfRule>
  </conditionalFormatting>
  <conditionalFormatting sqref="I1662">
    <cfRule type="containsText" dxfId="7442" priority="9964" operator="containsText" text="Missing">
      <formula>NOT(ISERROR(SEARCH("Missing",I1662)))</formula>
    </cfRule>
  </conditionalFormatting>
  <conditionalFormatting sqref="H1663:K1665">
    <cfRule type="containsText" dxfId="7441" priority="9963" operator="containsText" text="Missing">
      <formula>NOT(ISERROR(SEARCH("Missing",H1663)))</formula>
    </cfRule>
  </conditionalFormatting>
  <conditionalFormatting sqref="L1663:L1665">
    <cfRule type="containsText" dxfId="7440" priority="9961" operator="containsText" text="Positive">
      <formula>NOT(ISERROR(SEARCH("Positive",L1663)))</formula>
    </cfRule>
    <cfRule type="containsText" dxfId="7439" priority="9962" operator="containsText" text="Negative">
      <formula>NOT(ISERROR(SEARCH("Negative",L1663)))</formula>
    </cfRule>
  </conditionalFormatting>
  <conditionalFormatting sqref="J1663:K1665">
    <cfRule type="containsText" dxfId="7438" priority="9958" operator="containsText" text="Missing">
      <formula>NOT(ISERROR(SEARCH("Missing",J1663)))</formula>
    </cfRule>
  </conditionalFormatting>
  <conditionalFormatting sqref="L1663:L1665">
    <cfRule type="containsText" dxfId="7437" priority="9959" operator="containsText" text="Positive">
      <formula>NOT(ISERROR(SEARCH("Positive",L1663)))</formula>
    </cfRule>
    <cfRule type="containsText" dxfId="7436" priority="9960" operator="containsText" text="Negative">
      <formula>NOT(ISERROR(SEARCH("Negative",L1663)))</formula>
    </cfRule>
  </conditionalFormatting>
  <conditionalFormatting sqref="H1663:H1665">
    <cfRule type="containsText" dxfId="7435" priority="9955" operator="containsText" text="Missing">
      <formula>NOT(ISERROR(SEARCH("Missing",H1663)))</formula>
    </cfRule>
  </conditionalFormatting>
  <conditionalFormatting sqref="L1663:L1665">
    <cfRule type="containsText" dxfId="7434" priority="9956" operator="containsText" text="Positive">
      <formula>NOT(ISERROR(SEARCH("Positive",L1663)))</formula>
    </cfRule>
    <cfRule type="containsText" dxfId="7433" priority="9957" operator="containsText" text="Negative">
      <formula>NOT(ISERROR(SEARCH("Negative",L1663)))</formula>
    </cfRule>
  </conditionalFormatting>
  <conditionalFormatting sqref="I1663:I1665">
    <cfRule type="containsText" dxfId="7432" priority="9954" operator="containsText" text="Missing">
      <formula>NOT(ISERROR(SEARCH("Missing",I1663)))</formula>
    </cfRule>
  </conditionalFormatting>
  <conditionalFormatting sqref="J1663:K1665">
    <cfRule type="containsText" dxfId="7431" priority="9953" operator="containsText" text="Missing">
      <formula>NOT(ISERROR(SEARCH("Missing",J1663)))</formula>
    </cfRule>
  </conditionalFormatting>
  <conditionalFormatting sqref="I1663:I1665">
    <cfRule type="containsText" dxfId="7430" priority="9950" operator="containsText" text="Missing">
      <formula>NOT(ISERROR(SEARCH("Missing",I1663)))</formula>
    </cfRule>
  </conditionalFormatting>
  <conditionalFormatting sqref="H1663:H1665">
    <cfRule type="containsText" dxfId="7429" priority="9948" operator="containsText" text="Missing">
      <formula>NOT(ISERROR(SEARCH("Missing",H1663)))</formula>
    </cfRule>
  </conditionalFormatting>
  <conditionalFormatting sqref="H1663:H1665">
    <cfRule type="containsText" dxfId="7428" priority="9949" operator="containsText" text="Missing">
      <formula>NOT(ISERROR(SEARCH("Missing",H1663)))</formula>
    </cfRule>
  </conditionalFormatting>
  <conditionalFormatting sqref="H1662">
    <cfRule type="containsText" dxfId="7427" priority="9947" operator="containsText" text="Missing">
      <formula>NOT(ISERROR(SEARCH("Missing",H1662)))</formula>
    </cfRule>
  </conditionalFormatting>
  <conditionalFormatting sqref="H1662">
    <cfRule type="containsText" dxfId="7426" priority="9946" operator="containsText" text="Missing">
      <formula>NOT(ISERROR(SEARCH("Missing",H1662)))</formula>
    </cfRule>
  </conditionalFormatting>
  <conditionalFormatting sqref="H1662">
    <cfRule type="containsText" dxfId="7425" priority="9944" operator="containsText" text="Missing">
      <formula>NOT(ISERROR(SEARCH("Missing",H1662)))</formula>
    </cfRule>
  </conditionalFormatting>
  <conditionalFormatting sqref="H1662">
    <cfRule type="containsText" dxfId="7424" priority="9945" operator="containsText" text="Missing">
      <formula>NOT(ISERROR(SEARCH("Missing",H1662)))</formula>
    </cfRule>
  </conditionalFormatting>
  <conditionalFormatting sqref="L1662">
    <cfRule type="containsText" dxfId="7423" priority="9942" operator="containsText" text="Positive">
      <formula>NOT(ISERROR(SEARCH("Positive",L1662)))</formula>
    </cfRule>
    <cfRule type="containsText" dxfId="7422" priority="9943" operator="containsText" text="Negative">
      <formula>NOT(ISERROR(SEARCH("Negative",L1662)))</formula>
    </cfRule>
  </conditionalFormatting>
  <conditionalFormatting sqref="H1567:K1567">
    <cfRule type="containsText" dxfId="7421" priority="9941" operator="containsText" text="Missing">
      <formula>NOT(ISERROR(SEARCH("Missing",H1567)))</formula>
    </cfRule>
  </conditionalFormatting>
  <conditionalFormatting sqref="L1567">
    <cfRule type="containsText" dxfId="7420" priority="9939" operator="containsText" text="Positive">
      <formula>NOT(ISERROR(SEARCH("Positive",L1567)))</formula>
    </cfRule>
    <cfRule type="containsText" dxfId="7419" priority="9940" operator="containsText" text="Negative">
      <formula>NOT(ISERROR(SEARCH("Negative",L1567)))</formula>
    </cfRule>
  </conditionalFormatting>
  <conditionalFormatting sqref="K1621">
    <cfRule type="containsText" dxfId="7418" priority="9937" operator="containsText" text="Missing">
      <formula>NOT(ISERROR(SEARCH("Missing",K1621)))</formula>
    </cfRule>
  </conditionalFormatting>
  <conditionalFormatting sqref="I1621">
    <cfRule type="containsText" dxfId="7417" priority="9938" operator="containsText" text="Missing">
      <formula>NOT(ISERROR(SEARCH("Missing",I1621)))</formula>
    </cfRule>
  </conditionalFormatting>
  <conditionalFormatting sqref="L1621">
    <cfRule type="containsText" dxfId="7416" priority="9935" operator="containsText" text="Positive">
      <formula>NOT(ISERROR(SEARCH("Positive",L1621)))</formula>
    </cfRule>
    <cfRule type="containsText" dxfId="7415" priority="9936" operator="containsText" text="Negative">
      <formula>NOT(ISERROR(SEARCH("Negative",L1621)))</formula>
    </cfRule>
  </conditionalFormatting>
  <conditionalFormatting sqref="H1621">
    <cfRule type="containsText" dxfId="7414" priority="9934" operator="containsText" text="Missing">
      <formula>NOT(ISERROR(SEARCH("Missing",H1621)))</formula>
    </cfRule>
  </conditionalFormatting>
  <conditionalFormatting sqref="J1602:K1602">
    <cfRule type="containsText" dxfId="7413" priority="9931" operator="containsText" text="Missing">
      <formula>NOT(ISERROR(SEARCH("Missing",J1602)))</formula>
    </cfRule>
  </conditionalFormatting>
  <conditionalFormatting sqref="I1602">
    <cfRule type="containsText" dxfId="7412" priority="9930" operator="containsText" text="Missing">
      <formula>NOT(ISERROR(SEARCH("Missing",I1602)))</formula>
    </cfRule>
  </conditionalFormatting>
  <conditionalFormatting sqref="L1602">
    <cfRule type="containsText" dxfId="7411" priority="9932" operator="containsText" text="Positive">
      <formula>NOT(ISERROR(SEARCH("Positive",L1602)))</formula>
    </cfRule>
    <cfRule type="containsText" dxfId="7410" priority="9933" operator="containsText" text="Negative">
      <formula>NOT(ISERROR(SEARCH("Negative",L1602)))</formula>
    </cfRule>
  </conditionalFormatting>
  <conditionalFormatting sqref="H1602">
    <cfRule type="containsText" dxfId="7409" priority="9929" operator="containsText" text="Missing">
      <formula>NOT(ISERROR(SEARCH("Missing",H1602)))</formula>
    </cfRule>
  </conditionalFormatting>
  <conditionalFormatting sqref="H1595:K1595 I1596:I1598">
    <cfRule type="containsText" dxfId="7408" priority="9928" operator="containsText" text="Missing">
      <formula>NOT(ISERROR(SEARCH("Missing",H1595)))</formula>
    </cfRule>
  </conditionalFormatting>
  <conditionalFormatting sqref="L1595">
    <cfRule type="containsText" dxfId="7407" priority="9926" operator="containsText" text="Positive">
      <formula>NOT(ISERROR(SEARCH("Positive",L1595)))</formula>
    </cfRule>
    <cfRule type="containsText" dxfId="7406" priority="9927" operator="containsText" text="Negative">
      <formula>NOT(ISERROR(SEARCH("Negative",L1595)))</formula>
    </cfRule>
  </conditionalFormatting>
  <conditionalFormatting sqref="H1596:H1598 J1596:K1598">
    <cfRule type="containsText" dxfId="7405" priority="9925" operator="containsText" text="Missing">
      <formula>NOT(ISERROR(SEARCH("Missing",H1596)))</formula>
    </cfRule>
  </conditionalFormatting>
  <conditionalFormatting sqref="L1597">
    <cfRule type="containsText" dxfId="7404" priority="9923" operator="containsText" text="Positive">
      <formula>NOT(ISERROR(SEARCH("Positive",L1597)))</formula>
    </cfRule>
    <cfRule type="containsText" dxfId="7403" priority="9924" operator="containsText" text="Negative">
      <formula>NOT(ISERROR(SEARCH("Negative",L1597)))</formula>
    </cfRule>
  </conditionalFormatting>
  <conditionalFormatting sqref="L1598">
    <cfRule type="containsText" dxfId="7402" priority="9921" operator="containsText" text="Positive">
      <formula>NOT(ISERROR(SEARCH("Positive",L1598)))</formula>
    </cfRule>
    <cfRule type="containsText" dxfId="7401" priority="9922" operator="containsText" text="Negative">
      <formula>NOT(ISERROR(SEARCH("Negative",L1598)))</formula>
    </cfRule>
  </conditionalFormatting>
  <conditionalFormatting sqref="L1596">
    <cfRule type="containsText" dxfId="7400" priority="9919" operator="containsText" text="Positive">
      <formula>NOT(ISERROR(SEARCH("Positive",L1596)))</formula>
    </cfRule>
    <cfRule type="containsText" dxfId="7399" priority="9920" operator="containsText" text="Negative">
      <formula>NOT(ISERROR(SEARCH("Negative",L1596)))</formula>
    </cfRule>
  </conditionalFormatting>
  <conditionalFormatting sqref="H1613:H1616 J1613:K1616">
    <cfRule type="containsText" dxfId="7398" priority="9918" operator="containsText" text="Missing">
      <formula>NOT(ISERROR(SEARCH("Missing",H1613)))</formula>
    </cfRule>
  </conditionalFormatting>
  <conditionalFormatting sqref="L1615:L1616">
    <cfRule type="containsText" dxfId="7397" priority="9916" operator="containsText" text="Positive">
      <formula>NOT(ISERROR(SEARCH("Positive",L1615)))</formula>
    </cfRule>
    <cfRule type="containsText" dxfId="7396" priority="9917" operator="containsText" text="Negative">
      <formula>NOT(ISERROR(SEARCH("Negative",L1615)))</formula>
    </cfRule>
  </conditionalFormatting>
  <conditionalFormatting sqref="L1614">
    <cfRule type="containsText" dxfId="7395" priority="9914" operator="containsText" text="Positive">
      <formula>NOT(ISERROR(SEARCH("Positive",L1614)))</formula>
    </cfRule>
    <cfRule type="containsText" dxfId="7394" priority="9915" operator="containsText" text="Negative">
      <formula>NOT(ISERROR(SEARCH("Negative",L1614)))</formula>
    </cfRule>
  </conditionalFormatting>
  <conditionalFormatting sqref="L1613">
    <cfRule type="containsText" dxfId="7393" priority="9912" operator="containsText" text="Positive">
      <formula>NOT(ISERROR(SEARCH("Positive",L1613)))</formula>
    </cfRule>
    <cfRule type="containsText" dxfId="7392" priority="9913" operator="containsText" text="Negative">
      <formula>NOT(ISERROR(SEARCH("Negative",L1613)))</formula>
    </cfRule>
  </conditionalFormatting>
  <conditionalFormatting sqref="H1594:K1594">
    <cfRule type="containsText" dxfId="7391" priority="9911" operator="containsText" text="Missing">
      <formula>NOT(ISERROR(SEARCH("Missing",H1594)))</formula>
    </cfRule>
  </conditionalFormatting>
  <conditionalFormatting sqref="L1594">
    <cfRule type="containsText" dxfId="7390" priority="9909" operator="containsText" text="Positive">
      <formula>NOT(ISERROR(SEARCH("Positive",L1594)))</formula>
    </cfRule>
    <cfRule type="containsText" dxfId="7389" priority="9910" operator="containsText" text="Negative">
      <formula>NOT(ISERROR(SEARCH("Negative",L1594)))</formula>
    </cfRule>
  </conditionalFormatting>
  <conditionalFormatting sqref="I1613:I1616">
    <cfRule type="containsText" dxfId="7388" priority="9908" operator="containsText" text="Missing">
      <formula>NOT(ISERROR(SEARCH("Missing",I1613)))</formula>
    </cfRule>
  </conditionalFormatting>
  <conditionalFormatting sqref="J1881:K1881">
    <cfRule type="containsText" dxfId="7387" priority="9399" operator="containsText" text="Missing">
      <formula>NOT(ISERROR(SEARCH("Missing",J1881)))</formula>
    </cfRule>
  </conditionalFormatting>
  <conditionalFormatting sqref="L1882:L1884">
    <cfRule type="containsText" dxfId="7386" priority="9395" operator="containsText" text="Positive">
      <formula>NOT(ISERROR(SEARCH("Positive",L1882)))</formula>
    </cfRule>
    <cfRule type="containsText" dxfId="7385" priority="9396" operator="containsText" text="Negative">
      <formula>NOT(ISERROR(SEARCH("Negative",L1882)))</formula>
    </cfRule>
  </conditionalFormatting>
  <conditionalFormatting sqref="L1882:L1884">
    <cfRule type="containsText" dxfId="7384" priority="9393" operator="containsText" text="Positive">
      <formula>NOT(ISERROR(SEARCH("Positive",L1882)))</formula>
    </cfRule>
    <cfRule type="containsText" dxfId="7383" priority="9394" operator="containsText" text="Negative">
      <formula>NOT(ISERROR(SEARCH("Negative",L1882)))</formula>
    </cfRule>
  </conditionalFormatting>
  <conditionalFormatting sqref="H1676:H1679 J1676:K1679">
    <cfRule type="containsText" dxfId="7382" priority="9907" operator="containsText" text="Missing">
      <formula>NOT(ISERROR(SEARCH("Missing",H1676)))</formula>
    </cfRule>
  </conditionalFormatting>
  <conditionalFormatting sqref="L1677">
    <cfRule type="containsText" dxfId="7381" priority="9905" operator="containsText" text="Positive">
      <formula>NOT(ISERROR(SEARCH("Positive",L1677)))</formula>
    </cfRule>
    <cfRule type="containsText" dxfId="7380" priority="9906" operator="containsText" text="Negative">
      <formula>NOT(ISERROR(SEARCH("Negative",L1677)))</formula>
    </cfRule>
  </conditionalFormatting>
  <conditionalFormatting sqref="L1678:L1679">
    <cfRule type="containsText" dxfId="7379" priority="9903" operator="containsText" text="Positive">
      <formula>NOT(ISERROR(SEARCH("Positive",L1678)))</formula>
    </cfRule>
    <cfRule type="containsText" dxfId="7378" priority="9904" operator="containsText" text="Negative">
      <formula>NOT(ISERROR(SEARCH("Negative",L1678)))</formula>
    </cfRule>
  </conditionalFormatting>
  <conditionalFormatting sqref="L1676">
    <cfRule type="containsText" dxfId="7377" priority="9901" operator="containsText" text="Positive">
      <formula>NOT(ISERROR(SEARCH("Positive",L1676)))</formula>
    </cfRule>
    <cfRule type="containsText" dxfId="7376" priority="9902" operator="containsText" text="Negative">
      <formula>NOT(ISERROR(SEARCH("Negative",L1676)))</formula>
    </cfRule>
  </conditionalFormatting>
  <conditionalFormatting sqref="H1841">
    <cfRule type="containsText" dxfId="7375" priority="9368" operator="containsText" text="Missing">
      <formula>NOT(ISERROR(SEARCH("Missing",H1841)))</formula>
    </cfRule>
  </conditionalFormatting>
  <conditionalFormatting sqref="L1826">
    <cfRule type="containsText" dxfId="7374" priority="9366" operator="containsText" text="Positive">
      <formula>NOT(ISERROR(SEARCH("Positive",L1826)))</formula>
    </cfRule>
    <cfRule type="containsText" dxfId="7373" priority="9367" operator="containsText" text="Negative">
      <formula>NOT(ISERROR(SEARCH("Negative",L1826)))</formula>
    </cfRule>
  </conditionalFormatting>
  <conditionalFormatting sqref="H1694:H1696 J1694:K1696">
    <cfRule type="containsText" dxfId="7372" priority="9900" operator="containsText" text="Missing">
      <formula>NOT(ISERROR(SEARCH("Missing",H1694)))</formula>
    </cfRule>
  </conditionalFormatting>
  <conditionalFormatting sqref="L1695">
    <cfRule type="containsText" dxfId="7371" priority="9898" operator="containsText" text="Positive">
      <formula>NOT(ISERROR(SEARCH("Positive",L1695)))</formula>
    </cfRule>
    <cfRule type="containsText" dxfId="7370" priority="9899" operator="containsText" text="Negative">
      <formula>NOT(ISERROR(SEARCH("Negative",L1695)))</formula>
    </cfRule>
  </conditionalFormatting>
  <conditionalFormatting sqref="L1696">
    <cfRule type="containsText" dxfId="7369" priority="9896" operator="containsText" text="Positive">
      <formula>NOT(ISERROR(SEARCH("Positive",L1696)))</formula>
    </cfRule>
    <cfRule type="containsText" dxfId="7368" priority="9897" operator="containsText" text="Negative">
      <formula>NOT(ISERROR(SEARCH("Negative",L1696)))</formula>
    </cfRule>
  </conditionalFormatting>
  <conditionalFormatting sqref="L1694">
    <cfRule type="containsText" dxfId="7367" priority="9894" operator="containsText" text="Positive">
      <formula>NOT(ISERROR(SEARCH("Positive",L1694)))</formula>
    </cfRule>
    <cfRule type="containsText" dxfId="7366" priority="9895" operator="containsText" text="Negative">
      <formula>NOT(ISERROR(SEARCH("Negative",L1694)))</formula>
    </cfRule>
  </conditionalFormatting>
  <conditionalFormatting sqref="L1697">
    <cfRule type="containsText" dxfId="7365" priority="9891" operator="containsText" text="Positive">
      <formula>NOT(ISERROR(SEARCH("Positive",L1697)))</formula>
    </cfRule>
    <cfRule type="containsText" dxfId="7364" priority="9892" operator="containsText" text="Negative">
      <formula>NOT(ISERROR(SEARCH("Negative",L1697)))</formula>
    </cfRule>
  </conditionalFormatting>
  <conditionalFormatting sqref="H1697 J1697:K1697">
    <cfRule type="containsText" dxfId="7363" priority="9893" operator="containsText" text="Missing">
      <formula>NOT(ISERROR(SEARCH("Missing",H1697)))</formula>
    </cfRule>
  </conditionalFormatting>
  <conditionalFormatting sqref="H1683">
    <cfRule type="containsText" dxfId="7362" priority="9864" operator="containsText" text="Missing">
      <formula>NOT(ISERROR(SEARCH("Missing",H1683)))</formula>
    </cfRule>
  </conditionalFormatting>
  <conditionalFormatting sqref="I1676:I1679">
    <cfRule type="containsText" dxfId="7361" priority="9890" operator="containsText" text="Missing">
      <formula>NOT(ISERROR(SEARCH("Missing",I1676)))</formula>
    </cfRule>
  </conditionalFormatting>
  <conditionalFormatting sqref="I1694:I1697">
    <cfRule type="containsText" dxfId="7360" priority="9889" operator="containsText" text="Missing">
      <formula>NOT(ISERROR(SEARCH("Missing",I1694)))</formula>
    </cfRule>
  </conditionalFormatting>
  <conditionalFormatting sqref="I1541:I1545">
    <cfRule type="containsText" dxfId="7359" priority="9888" operator="containsText" text="Missing">
      <formula>NOT(ISERROR(SEARCH("Missing",I1541)))</formula>
    </cfRule>
  </conditionalFormatting>
  <conditionalFormatting sqref="I1546">
    <cfRule type="containsText" dxfId="7358" priority="9887" operator="containsText" text="Missing">
      <formula>NOT(ISERROR(SEARCH("Missing",I1546)))</formula>
    </cfRule>
  </conditionalFormatting>
  <conditionalFormatting sqref="I1547">
    <cfRule type="containsText" dxfId="7357" priority="9886" operator="containsText" text="Missing">
      <formula>NOT(ISERROR(SEARCH("Missing",I1547)))</formula>
    </cfRule>
  </conditionalFormatting>
  <conditionalFormatting sqref="L1681">
    <cfRule type="containsText" dxfId="7356" priority="9884" operator="containsText" text="Positive">
      <formula>NOT(ISERROR(SEARCH("Positive",L1681)))</formula>
    </cfRule>
    <cfRule type="containsText" dxfId="7355" priority="9885" operator="containsText" text="Negative">
      <formula>NOT(ISERROR(SEARCH("Negative",L1681)))</formula>
    </cfRule>
  </conditionalFormatting>
  <conditionalFormatting sqref="J1681:K1681">
    <cfRule type="containsText" dxfId="7354" priority="9881" operator="containsText" text="Missing">
      <formula>NOT(ISERROR(SEARCH("Missing",J1681)))</formula>
    </cfRule>
  </conditionalFormatting>
  <conditionalFormatting sqref="I1681">
    <cfRule type="containsText" dxfId="7353" priority="9880" operator="containsText" text="Missing">
      <formula>NOT(ISERROR(SEARCH("Missing",I1681)))</formula>
    </cfRule>
  </conditionalFormatting>
  <conditionalFormatting sqref="I1680">
    <cfRule type="containsText" dxfId="7352" priority="9876" operator="containsText" text="Missing">
      <formula>NOT(ISERROR(SEARCH("Missing",I1680)))</formula>
    </cfRule>
  </conditionalFormatting>
  <conditionalFormatting sqref="J1680:K1680">
    <cfRule type="containsText" dxfId="7351" priority="9879" operator="containsText" text="Missing">
      <formula>NOT(ISERROR(SEARCH("Missing",J1680)))</formula>
    </cfRule>
  </conditionalFormatting>
  <conditionalFormatting sqref="L1680">
    <cfRule type="containsText" dxfId="7350" priority="9882" operator="containsText" text="Positive">
      <formula>NOT(ISERROR(SEARCH("Positive",L1680)))</formula>
    </cfRule>
    <cfRule type="containsText" dxfId="7349" priority="9883" operator="containsText" text="Negative">
      <formula>NOT(ISERROR(SEARCH("Negative",L1680)))</formula>
    </cfRule>
  </conditionalFormatting>
  <conditionalFormatting sqref="L1680">
    <cfRule type="containsText" dxfId="7348" priority="9877" operator="containsText" text="Positive">
      <formula>NOT(ISERROR(SEARCH("Positive",L1680)))</formula>
    </cfRule>
    <cfRule type="containsText" dxfId="7347" priority="9878" operator="containsText" text="Negative">
      <formula>NOT(ISERROR(SEARCH("Negative",L1680)))</formula>
    </cfRule>
  </conditionalFormatting>
  <conditionalFormatting sqref="H1680">
    <cfRule type="containsText" dxfId="7346" priority="9875" operator="containsText" text="Missing">
      <formula>NOT(ISERROR(SEARCH("Missing",H1680)))</formula>
    </cfRule>
  </conditionalFormatting>
  <conditionalFormatting sqref="H1681">
    <cfRule type="containsText" dxfId="7345" priority="9874" operator="containsText" text="Missing">
      <formula>NOT(ISERROR(SEARCH("Missing",H1681)))</formula>
    </cfRule>
  </conditionalFormatting>
  <conditionalFormatting sqref="L1682">
    <cfRule type="containsText" dxfId="7344" priority="9872" operator="containsText" text="Positive">
      <formula>NOT(ISERROR(SEARCH("Positive",L1682)))</formula>
    </cfRule>
    <cfRule type="containsText" dxfId="7343" priority="9873" operator="containsText" text="Negative">
      <formula>NOT(ISERROR(SEARCH("Negative",L1682)))</formula>
    </cfRule>
  </conditionalFormatting>
  <conditionalFormatting sqref="I1682">
    <cfRule type="containsText" dxfId="7342" priority="9870" operator="containsText" text="Missing">
      <formula>NOT(ISERROR(SEARCH("Missing",I1682)))</formula>
    </cfRule>
  </conditionalFormatting>
  <conditionalFormatting sqref="J1682:K1682">
    <cfRule type="containsText" dxfId="7341" priority="9871" operator="containsText" text="Missing">
      <formula>NOT(ISERROR(SEARCH("Missing",J1682)))</formula>
    </cfRule>
  </conditionalFormatting>
  <conditionalFormatting sqref="H1682">
    <cfRule type="containsText" dxfId="7340" priority="9869" operator="containsText" text="Missing">
      <formula>NOT(ISERROR(SEARCH("Missing",H1682)))</formula>
    </cfRule>
  </conditionalFormatting>
  <conditionalFormatting sqref="L1683">
    <cfRule type="containsText" dxfId="7339" priority="9867" operator="containsText" text="Positive">
      <formula>NOT(ISERROR(SEARCH("Positive",L1683)))</formula>
    </cfRule>
    <cfRule type="containsText" dxfId="7338" priority="9868" operator="containsText" text="Negative">
      <formula>NOT(ISERROR(SEARCH("Negative",L1683)))</formula>
    </cfRule>
  </conditionalFormatting>
  <conditionalFormatting sqref="I1683">
    <cfRule type="containsText" dxfId="7337" priority="9865" operator="containsText" text="Missing">
      <formula>NOT(ISERROR(SEARCH("Missing",I1683)))</formula>
    </cfRule>
  </conditionalFormatting>
  <conditionalFormatting sqref="J1683:K1683">
    <cfRule type="containsText" dxfId="7336" priority="9866" operator="containsText" text="Missing">
      <formula>NOT(ISERROR(SEARCH("Missing",J1683)))</formula>
    </cfRule>
  </conditionalFormatting>
  <conditionalFormatting sqref="L1530">
    <cfRule type="containsText" dxfId="7335" priority="9862" operator="containsText" text="Positive">
      <formula>NOT(ISERROR(SEARCH("Positive",L1530)))</formula>
    </cfRule>
    <cfRule type="containsText" dxfId="7334" priority="9863" operator="containsText" text="Negative">
      <formula>NOT(ISERROR(SEARCH("Negative",L1530)))</formula>
    </cfRule>
  </conditionalFormatting>
  <conditionalFormatting sqref="J1530:K1530">
    <cfRule type="containsText" dxfId="7333" priority="9861" operator="containsText" text="Missing">
      <formula>NOT(ISERROR(SEARCH("Missing",J1530)))</formula>
    </cfRule>
  </conditionalFormatting>
  <conditionalFormatting sqref="I1530">
    <cfRule type="containsText" dxfId="7332" priority="9860" operator="containsText" text="Missing">
      <formula>NOT(ISERROR(SEARCH("Missing",I1530)))</formula>
    </cfRule>
  </conditionalFormatting>
  <conditionalFormatting sqref="H1530">
    <cfRule type="containsText" dxfId="7331" priority="9856" operator="containsText" text="Missing">
      <formula>NOT(ISERROR(SEARCH("Missing",H1530)))</formula>
    </cfRule>
  </conditionalFormatting>
  <conditionalFormatting sqref="H1530">
    <cfRule type="containsText" dxfId="7330" priority="9859" operator="containsText" text="Missing">
      <formula>NOT(ISERROR(SEARCH("Missing",H1530)))</formula>
    </cfRule>
  </conditionalFormatting>
  <conditionalFormatting sqref="H1530">
    <cfRule type="containsText" dxfId="7329" priority="9858" operator="containsText" text="Missing">
      <formula>NOT(ISERROR(SEARCH("Missing",H1530)))</formula>
    </cfRule>
  </conditionalFormatting>
  <conditionalFormatting sqref="H1535">
    <cfRule type="containsText" dxfId="7328" priority="9841" operator="containsText" text="Missing">
      <formula>NOT(ISERROR(SEARCH("Missing",H1535)))</formula>
    </cfRule>
  </conditionalFormatting>
  <conditionalFormatting sqref="H1530">
    <cfRule type="containsText" dxfId="7327" priority="9857" operator="containsText" text="Missing">
      <formula>NOT(ISERROR(SEARCH("Missing",H1530)))</formula>
    </cfRule>
  </conditionalFormatting>
  <conditionalFormatting sqref="I1531:I1535">
    <cfRule type="containsText" dxfId="7326" priority="9855" operator="containsText" text="Missing">
      <formula>NOT(ISERROR(SEARCH("Missing",I1531)))</formula>
    </cfRule>
  </conditionalFormatting>
  <conditionalFormatting sqref="L1532">
    <cfRule type="containsText" dxfId="7325" priority="9853" operator="containsText" text="Positive">
      <formula>NOT(ISERROR(SEARCH("Positive",L1532)))</formula>
    </cfRule>
    <cfRule type="containsText" dxfId="7324" priority="9854" operator="containsText" text="Negative">
      <formula>NOT(ISERROR(SEARCH("Negative",L1532)))</formula>
    </cfRule>
  </conditionalFormatting>
  <conditionalFormatting sqref="J1531:K1531">
    <cfRule type="containsText" dxfId="7323" priority="9852" operator="containsText" text="Missing">
      <formula>NOT(ISERROR(SEARCH("Missing",J1531)))</formula>
    </cfRule>
  </conditionalFormatting>
  <conditionalFormatting sqref="L1531">
    <cfRule type="containsText" dxfId="7322" priority="9850" operator="containsText" text="Positive">
      <formula>NOT(ISERROR(SEARCH("Positive",L1531)))</formula>
    </cfRule>
    <cfRule type="containsText" dxfId="7321" priority="9851" operator="containsText" text="Negative">
      <formula>NOT(ISERROR(SEARCH("Negative",L1531)))</formula>
    </cfRule>
  </conditionalFormatting>
  <conditionalFormatting sqref="J1532:K1532">
    <cfRule type="containsText" dxfId="7320" priority="9848" operator="containsText" text="Missing">
      <formula>NOT(ISERROR(SEARCH("Missing",J1532)))</formula>
    </cfRule>
  </conditionalFormatting>
  <conditionalFormatting sqref="H1531">
    <cfRule type="containsText" dxfId="7319" priority="9849" operator="containsText" text="Missing">
      <formula>NOT(ISERROR(SEARCH("Missing",H1531)))</formula>
    </cfRule>
  </conditionalFormatting>
  <conditionalFormatting sqref="J1533:K1535">
    <cfRule type="containsText" dxfId="7318" priority="9847" operator="containsText" text="Missing">
      <formula>NOT(ISERROR(SEARCH("Missing",J1533)))</formula>
    </cfRule>
  </conditionalFormatting>
  <conditionalFormatting sqref="L1533:L1535">
    <cfRule type="containsText" dxfId="7317" priority="9845" operator="containsText" text="Positive">
      <formula>NOT(ISERROR(SEARCH("Positive",L1533)))</formula>
    </cfRule>
    <cfRule type="containsText" dxfId="7316" priority="9846" operator="containsText" text="Negative">
      <formula>NOT(ISERROR(SEARCH("Negative",L1533)))</formula>
    </cfRule>
  </conditionalFormatting>
  <conditionalFormatting sqref="H1533">
    <cfRule type="containsText" dxfId="7315" priority="9843" operator="containsText" text="Missing">
      <formula>NOT(ISERROR(SEARCH("Missing",H1533)))</formula>
    </cfRule>
  </conditionalFormatting>
  <conditionalFormatting sqref="H1534">
    <cfRule type="containsText" dxfId="7314" priority="9842" operator="containsText" text="Missing">
      <formula>NOT(ISERROR(SEARCH("Missing",H1534)))</formula>
    </cfRule>
  </conditionalFormatting>
  <conditionalFormatting sqref="H1532">
    <cfRule type="containsText" dxfId="7313" priority="9844" operator="containsText" text="Missing">
      <formula>NOT(ISERROR(SEARCH("Missing",H1532)))</formula>
    </cfRule>
  </conditionalFormatting>
  <conditionalFormatting sqref="H1627">
    <cfRule type="containsText" dxfId="7312" priority="9818" operator="containsText" text="Missing">
      <formula>NOT(ISERROR(SEARCH("Missing",H1627)))</formula>
    </cfRule>
  </conditionalFormatting>
  <conditionalFormatting sqref="L1622">
    <cfRule type="containsText" dxfId="7311" priority="9839" operator="containsText" text="Positive">
      <formula>NOT(ISERROR(SEARCH("Positive",L1622)))</formula>
    </cfRule>
    <cfRule type="containsText" dxfId="7310" priority="9840" operator="containsText" text="Negative">
      <formula>NOT(ISERROR(SEARCH("Negative",L1622)))</formula>
    </cfRule>
  </conditionalFormatting>
  <conditionalFormatting sqref="J1622:K1622">
    <cfRule type="containsText" dxfId="7309" priority="9838" operator="containsText" text="Missing">
      <formula>NOT(ISERROR(SEARCH("Missing",J1622)))</formula>
    </cfRule>
  </conditionalFormatting>
  <conditionalFormatting sqref="I1622">
    <cfRule type="containsText" dxfId="7308" priority="9837" operator="containsText" text="Missing">
      <formula>NOT(ISERROR(SEARCH("Missing",I1622)))</formula>
    </cfRule>
  </conditionalFormatting>
  <conditionalFormatting sqref="H1622">
    <cfRule type="containsText" dxfId="7307" priority="9833" operator="containsText" text="Missing">
      <formula>NOT(ISERROR(SEARCH("Missing",H1622)))</formula>
    </cfRule>
  </conditionalFormatting>
  <conditionalFormatting sqref="H1622">
    <cfRule type="containsText" dxfId="7306" priority="9836" operator="containsText" text="Missing">
      <formula>NOT(ISERROR(SEARCH("Missing",H1622)))</formula>
    </cfRule>
  </conditionalFormatting>
  <conditionalFormatting sqref="H1622">
    <cfRule type="containsText" dxfId="7305" priority="9835" operator="containsText" text="Missing">
      <formula>NOT(ISERROR(SEARCH("Missing",H1622)))</formula>
    </cfRule>
  </conditionalFormatting>
  <conditionalFormatting sqref="H1622">
    <cfRule type="containsText" dxfId="7304" priority="9834" operator="containsText" text="Missing">
      <formula>NOT(ISERROR(SEARCH("Missing",H1622)))</formula>
    </cfRule>
  </conditionalFormatting>
  <conditionalFormatting sqref="I1623:I1627">
    <cfRule type="containsText" dxfId="7303" priority="9832" operator="containsText" text="Missing">
      <formula>NOT(ISERROR(SEARCH("Missing",I1623)))</formula>
    </cfRule>
  </conditionalFormatting>
  <conditionalFormatting sqref="L1624">
    <cfRule type="containsText" dxfId="7302" priority="9830" operator="containsText" text="Positive">
      <formula>NOT(ISERROR(SEARCH("Positive",L1624)))</formula>
    </cfRule>
    <cfRule type="containsText" dxfId="7301" priority="9831" operator="containsText" text="Negative">
      <formula>NOT(ISERROR(SEARCH("Negative",L1624)))</formula>
    </cfRule>
  </conditionalFormatting>
  <conditionalFormatting sqref="J1623:K1623">
    <cfRule type="containsText" dxfId="7300" priority="9829" operator="containsText" text="Missing">
      <formula>NOT(ISERROR(SEARCH("Missing",J1623)))</formula>
    </cfRule>
  </conditionalFormatting>
  <conditionalFormatting sqref="L1623">
    <cfRule type="containsText" dxfId="7299" priority="9827" operator="containsText" text="Positive">
      <formula>NOT(ISERROR(SEARCH("Positive",L1623)))</formula>
    </cfRule>
    <cfRule type="containsText" dxfId="7298" priority="9828" operator="containsText" text="Negative">
      <formula>NOT(ISERROR(SEARCH("Negative",L1623)))</formula>
    </cfRule>
  </conditionalFormatting>
  <conditionalFormatting sqref="J1624:K1624">
    <cfRule type="containsText" dxfId="7297" priority="9826" operator="containsText" text="Missing">
      <formula>NOT(ISERROR(SEARCH("Missing",J1624)))</formula>
    </cfRule>
  </conditionalFormatting>
  <conditionalFormatting sqref="J1625:K1627">
    <cfRule type="containsText" dxfId="7296" priority="9825" operator="containsText" text="Missing">
      <formula>NOT(ISERROR(SEARCH("Missing",J1625)))</formula>
    </cfRule>
  </conditionalFormatting>
  <conditionalFormatting sqref="L1625:L1627">
    <cfRule type="containsText" dxfId="7295" priority="9823" operator="containsText" text="Positive">
      <formula>NOT(ISERROR(SEARCH("Positive",L1625)))</formula>
    </cfRule>
    <cfRule type="containsText" dxfId="7294" priority="9824" operator="containsText" text="Negative">
      <formula>NOT(ISERROR(SEARCH("Negative",L1625)))</formula>
    </cfRule>
  </conditionalFormatting>
  <conditionalFormatting sqref="H1625">
    <cfRule type="containsText" dxfId="7293" priority="9820" operator="containsText" text="Missing">
      <formula>NOT(ISERROR(SEARCH("Missing",H1625)))</formula>
    </cfRule>
  </conditionalFormatting>
  <conditionalFormatting sqref="H1626">
    <cfRule type="containsText" dxfId="7292" priority="9819" operator="containsText" text="Missing">
      <formula>NOT(ISERROR(SEARCH("Missing",H1626)))</formula>
    </cfRule>
  </conditionalFormatting>
  <conditionalFormatting sqref="H1624">
    <cfRule type="containsText" dxfId="7291" priority="9821" operator="containsText" text="Missing">
      <formula>NOT(ISERROR(SEARCH("Missing",H1624)))</formula>
    </cfRule>
  </conditionalFormatting>
  <conditionalFormatting sqref="H1623">
    <cfRule type="containsText" dxfId="7290" priority="9822" operator="containsText" text="Missing">
      <formula>NOT(ISERROR(SEARCH("Missing",H1623)))</formula>
    </cfRule>
  </conditionalFormatting>
  <conditionalFormatting sqref="H1633:K1642">
    <cfRule type="containsText" dxfId="7289" priority="9817" operator="containsText" text="Missing">
      <formula>NOT(ISERROR(SEARCH("Missing",H1633)))</formula>
    </cfRule>
  </conditionalFormatting>
  <conditionalFormatting sqref="L1633:L1642">
    <cfRule type="containsText" dxfId="7288" priority="9815" operator="containsText" text="Positive">
      <formula>NOT(ISERROR(SEARCH("Positive",L1633)))</formula>
    </cfRule>
    <cfRule type="containsText" dxfId="7287" priority="9816" operator="containsText" text="Negative">
      <formula>NOT(ISERROR(SEARCH("Negative",L1633)))</formula>
    </cfRule>
  </conditionalFormatting>
  <conditionalFormatting sqref="H1846">
    <cfRule type="containsText" dxfId="7286" priority="9290" operator="containsText" text="Missing">
      <formula>NOT(ISERROR(SEARCH("Missing",H1846)))</formula>
    </cfRule>
  </conditionalFormatting>
  <conditionalFormatting sqref="J1841">
    <cfRule type="containsText" dxfId="7285" priority="9285" operator="containsText" text="Missing">
      <formula>NOT(ISERROR(SEARCH("Missing",J1841)))</formula>
    </cfRule>
  </conditionalFormatting>
  <conditionalFormatting sqref="J1621">
    <cfRule type="containsText" dxfId="7284" priority="9814" operator="containsText" text="Missing">
      <formula>NOT(ISERROR(SEARCH("Missing",J1621)))</formula>
    </cfRule>
  </conditionalFormatting>
  <conditionalFormatting sqref="I1620">
    <cfRule type="containsText" dxfId="7283" priority="9813" operator="containsText" text="Missing">
      <formula>NOT(ISERROR(SEARCH("Missing",I1620)))</formula>
    </cfRule>
  </conditionalFormatting>
  <conditionalFormatting sqref="I1703">
    <cfRule type="containsText" dxfId="7282" priority="9812" operator="containsText" text="Missing">
      <formula>NOT(ISERROR(SEARCH("Missing",I1703)))</formula>
    </cfRule>
  </conditionalFormatting>
  <conditionalFormatting sqref="I1705">
    <cfRule type="containsText" dxfId="7281" priority="9811" operator="containsText" text="Missing">
      <formula>NOT(ISERROR(SEARCH("Missing",I1705)))</formula>
    </cfRule>
  </conditionalFormatting>
  <conditionalFormatting sqref="H1879:K1879">
    <cfRule type="containsText" dxfId="7280" priority="9810" operator="containsText" text="Missing">
      <formula>NOT(ISERROR(SEARCH("Missing",H1879)))</formula>
    </cfRule>
  </conditionalFormatting>
  <conditionalFormatting sqref="L1879">
    <cfRule type="containsText" dxfId="7279" priority="9808" operator="containsText" text="Positive">
      <formula>NOT(ISERROR(SEARCH("Positive",L1879)))</formula>
    </cfRule>
    <cfRule type="containsText" dxfId="7278" priority="9809" operator="containsText" text="Negative">
      <formula>NOT(ISERROR(SEARCH("Negative",L1879)))</formula>
    </cfRule>
  </conditionalFormatting>
  <conditionalFormatting sqref="H1755:K1756 J1758:K1758 J1814:K1818 J1886:K1889 J1900:K1903 H1814:H1816 H1828:H1830 H1886:H1888 H1903 H1891:K1894 H1905:K1907 H1819:K1821 J1828:K1836 H1833:I1836 J1909:K1909 H1807:K1807 I1777:K1789 H1779:H1789 H1837:K1839 H1840 J1840:K1840">
    <cfRule type="containsText" dxfId="7277" priority="9807" operator="containsText" text="Missing">
      <formula>NOT(ISERROR(SEARCH("Missing",H1755)))</formula>
    </cfRule>
  </conditionalFormatting>
  <conditionalFormatting sqref="L1755:L1756 L1758 L1812 L1886:L1889 L1814:L1817 L1828:L1831 L1900:L1903 L1824 L1835:L1840 L1777:L1789">
    <cfRule type="containsText" dxfId="7276" priority="9805" operator="containsText" text="Positive">
      <formula>NOT(ISERROR(SEARCH("Positive",L1755)))</formula>
    </cfRule>
    <cfRule type="containsText" dxfId="7275" priority="9806" operator="containsText" text="Negative">
      <formula>NOT(ISERROR(SEARCH("Negative",L1755)))</formula>
    </cfRule>
  </conditionalFormatting>
  <conditionalFormatting sqref="I1796:I1798 I1765:I1769">
    <cfRule type="containsText" dxfId="7274" priority="9804" operator="containsText" text="Missing">
      <formula>NOT(ISERROR(SEARCH("Missing",I1765)))</formula>
    </cfRule>
  </conditionalFormatting>
  <conditionalFormatting sqref="L1766 L1808:L1811">
    <cfRule type="containsText" dxfId="7273" priority="9802" operator="containsText" text="Positive">
      <formula>NOT(ISERROR(SEARCH("Positive",L1766)))</formula>
    </cfRule>
    <cfRule type="containsText" dxfId="7272" priority="9803" operator="containsText" text="Negative">
      <formula>NOT(ISERROR(SEARCH("Negative",L1766)))</formula>
    </cfRule>
  </conditionalFormatting>
  <conditionalFormatting sqref="H1808:H1811">
    <cfRule type="containsText" dxfId="7271" priority="9791" operator="containsText" text="Missing">
      <formula>NOT(ISERROR(SEARCH("Missing",H1808)))</formula>
    </cfRule>
  </conditionalFormatting>
  <conditionalFormatting sqref="I1814 I1816">
    <cfRule type="containsText" dxfId="7270" priority="9790" operator="containsText" text="Missing">
      <formula>NOT(ISERROR(SEARCH("Missing",I1814)))</formula>
    </cfRule>
  </conditionalFormatting>
  <conditionalFormatting sqref="J1765:K1765 J1812:K1813">
    <cfRule type="containsText" dxfId="7269" priority="9801" operator="containsText" text="Missing">
      <formula>NOT(ISERROR(SEARCH("Missing",J1765)))</formula>
    </cfRule>
  </conditionalFormatting>
  <conditionalFormatting sqref="I1812">
    <cfRule type="containsText" dxfId="7268" priority="9797" operator="containsText" text="Missing">
      <formula>NOT(ISERROR(SEARCH("Missing",I1812)))</formula>
    </cfRule>
  </conditionalFormatting>
  <conditionalFormatting sqref="L1765">
    <cfRule type="containsText" dxfId="7267" priority="9799" operator="containsText" text="Positive">
      <formula>NOT(ISERROR(SEARCH("Positive",L1765)))</formula>
    </cfRule>
    <cfRule type="containsText" dxfId="7266" priority="9800" operator="containsText" text="Negative">
      <formula>NOT(ISERROR(SEARCH("Negative",L1765)))</formula>
    </cfRule>
  </conditionalFormatting>
  <conditionalFormatting sqref="L1808:L1811">
    <cfRule type="containsText" dxfId="7265" priority="9793" operator="containsText" text="Positive">
      <formula>NOT(ISERROR(SEARCH("Positive",L1808)))</formula>
    </cfRule>
    <cfRule type="containsText" dxfId="7264" priority="9794" operator="containsText" text="Negative">
      <formula>NOT(ISERROR(SEARCH("Negative",L1808)))</formula>
    </cfRule>
  </conditionalFormatting>
  <conditionalFormatting sqref="J1766:K1766">
    <cfRule type="containsText" dxfId="7263" priority="9796" operator="containsText" text="Missing">
      <formula>NOT(ISERROR(SEARCH("Missing",J1766)))</formula>
    </cfRule>
  </conditionalFormatting>
  <conditionalFormatting sqref="J1808:K1811">
    <cfRule type="containsText" dxfId="7262" priority="9795" operator="containsText" text="Missing">
      <formula>NOT(ISERROR(SEARCH("Missing",J1808)))</formula>
    </cfRule>
  </conditionalFormatting>
  <conditionalFormatting sqref="J1796:K1796">
    <cfRule type="containsText" dxfId="7261" priority="9767" operator="containsText" text="Missing">
      <formula>NOT(ISERROR(SEARCH("Missing",J1796)))</formula>
    </cfRule>
  </conditionalFormatting>
  <conditionalFormatting sqref="J1914:K1914">
    <cfRule type="containsText" dxfId="7260" priority="9786" operator="containsText" text="Missing">
      <formula>NOT(ISERROR(SEARCH("Missing",J1914)))</formula>
    </cfRule>
  </conditionalFormatting>
  <conditionalFormatting sqref="J1915:K1915">
    <cfRule type="containsText" dxfId="7259" priority="9782" operator="containsText" text="Missing">
      <formula>NOT(ISERROR(SEARCH("Missing",J1915)))</formula>
    </cfRule>
  </conditionalFormatting>
  <conditionalFormatting sqref="I1799">
    <cfRule type="containsText" dxfId="7258" priority="9747" operator="containsText" text="Missing">
      <formula>NOT(ISERROR(SEARCH("Missing",I1799)))</formula>
    </cfRule>
  </conditionalFormatting>
  <conditionalFormatting sqref="H1765">
    <cfRule type="containsText" dxfId="7257" priority="9798" operator="containsText" text="Missing">
      <formula>NOT(ISERROR(SEARCH("Missing",H1765)))</formula>
    </cfRule>
  </conditionalFormatting>
  <conditionalFormatting sqref="J1916:K1916">
    <cfRule type="containsText" dxfId="7256" priority="9779" operator="containsText" text="Missing">
      <formula>NOT(ISERROR(SEARCH("Missing",J1916)))</formula>
    </cfRule>
  </conditionalFormatting>
  <conditionalFormatting sqref="I1808 I1810:I1811">
    <cfRule type="containsText" dxfId="7255" priority="9792" operator="containsText" text="Missing">
      <formula>NOT(ISERROR(SEARCH("Missing",I1808)))</formula>
    </cfRule>
  </conditionalFormatting>
  <conditionalFormatting sqref="H1914">
    <cfRule type="containsText" dxfId="7254" priority="9783" operator="containsText" text="Missing">
      <formula>NOT(ISERROR(SEARCH("Missing",H1914)))</formula>
    </cfRule>
  </conditionalFormatting>
  <conditionalFormatting sqref="H1812">
    <cfRule type="containsText" dxfId="7253" priority="9789" operator="containsText" text="Missing">
      <formula>NOT(ISERROR(SEARCH("Missing",H1812)))</formula>
    </cfRule>
  </conditionalFormatting>
  <conditionalFormatting sqref="J1767:K1769">
    <cfRule type="containsText" dxfId="7252" priority="9773" operator="containsText" text="Missing">
      <formula>NOT(ISERROR(SEARCH("Missing",J1767)))</formula>
    </cfRule>
  </conditionalFormatting>
  <conditionalFormatting sqref="L1914 L1820 L1912">
    <cfRule type="containsText" dxfId="7251" priority="9784" operator="containsText" text="Positive">
      <formula>NOT(ISERROR(SEARCH("Positive",L1820)))</formula>
    </cfRule>
    <cfRule type="containsText" dxfId="7250" priority="9785" operator="containsText" text="Negative">
      <formula>NOT(ISERROR(SEARCH("Negative",L1820)))</formula>
    </cfRule>
  </conditionalFormatting>
  <conditionalFormatting sqref="H1790">
    <cfRule type="containsText" dxfId="7249" priority="9764" operator="containsText" text="Missing">
      <formula>NOT(ISERROR(SEARCH("Missing",H1790)))</formula>
    </cfRule>
  </conditionalFormatting>
  <conditionalFormatting sqref="I1886 I1888">
    <cfRule type="containsText" dxfId="7248" priority="9723" operator="containsText" text="Missing">
      <formula>NOT(ISERROR(SEARCH("Missing",I1886)))</formula>
    </cfRule>
  </conditionalFormatting>
  <conditionalFormatting sqref="J1910:K1911">
    <cfRule type="containsText" dxfId="7247" priority="9788" operator="containsText" text="Missing">
      <formula>NOT(ISERROR(SEARCH("Missing",J1910)))</formula>
    </cfRule>
  </conditionalFormatting>
  <conditionalFormatting sqref="I1815">
    <cfRule type="containsText" dxfId="7246" priority="9776" operator="containsText" text="Missing">
      <formula>NOT(ISERROR(SEARCH("Missing",I1815)))</formula>
    </cfRule>
  </conditionalFormatting>
  <conditionalFormatting sqref="H1796">
    <cfRule type="containsText" dxfId="7245" priority="9763" operator="containsText" text="Missing">
      <formula>NOT(ISERROR(SEARCH("Missing",H1796)))</formula>
    </cfRule>
  </conditionalFormatting>
  <conditionalFormatting sqref="J1912:K1913">
    <cfRule type="containsText" dxfId="7244" priority="9787" operator="containsText" text="Missing">
      <formula>NOT(ISERROR(SEARCH("Missing",J1912)))</formula>
    </cfRule>
  </conditionalFormatting>
  <conditionalFormatting sqref="L1915 L1821 L1909">
    <cfRule type="containsText" dxfId="7243" priority="9780" operator="containsText" text="Positive">
      <formula>NOT(ISERROR(SEARCH("Positive",L1821)))</formula>
    </cfRule>
    <cfRule type="containsText" dxfId="7242" priority="9781" operator="containsText" text="Negative">
      <formula>NOT(ISERROR(SEARCH("Negative",L1821)))</formula>
    </cfRule>
  </conditionalFormatting>
  <conditionalFormatting sqref="J1790:K1791">
    <cfRule type="containsText" dxfId="7241" priority="9770" operator="containsText" text="Missing">
      <formula>NOT(ISERROR(SEARCH("Missing",J1790)))</formula>
    </cfRule>
  </conditionalFormatting>
  <conditionalFormatting sqref="H1797">
    <cfRule type="containsText" dxfId="7240" priority="9761" operator="containsText" text="Missing">
      <formula>NOT(ISERROR(SEARCH("Missing",H1797)))</formula>
    </cfRule>
  </conditionalFormatting>
  <conditionalFormatting sqref="L1910 L1916">
    <cfRule type="containsText" dxfId="7239" priority="9777" operator="containsText" text="Positive">
      <formula>NOT(ISERROR(SEARCH("Positive",L1910)))</formula>
    </cfRule>
    <cfRule type="containsText" dxfId="7238" priority="9778" operator="containsText" text="Negative">
      <formula>NOT(ISERROR(SEARCH("Negative",L1910)))</formula>
    </cfRule>
  </conditionalFormatting>
  <conditionalFormatting sqref="J1802:K1802">
    <cfRule type="containsText" dxfId="7237" priority="9752" operator="containsText" text="Missing">
      <formula>NOT(ISERROR(SEARCH("Missing",J1802)))</formula>
    </cfRule>
  </conditionalFormatting>
  <conditionalFormatting sqref="J1848:K1848 J1884:K1884">
    <cfRule type="containsText" dxfId="7236" priority="9732" operator="containsText" text="Missing">
      <formula>NOT(ISERROR(SEARCH("Missing",J1848)))</formula>
    </cfRule>
  </conditionalFormatting>
  <conditionalFormatting sqref="I1863">
    <cfRule type="containsText" dxfId="7235" priority="9691" operator="containsText" text="Missing">
      <formula>NOT(ISERROR(SEARCH("Missing",I1863)))</formula>
    </cfRule>
  </conditionalFormatting>
  <conditionalFormatting sqref="J1798:K1800">
    <cfRule type="containsText" dxfId="7234" priority="9758" operator="containsText" text="Missing">
      <formula>NOT(ISERROR(SEARCH("Missing",J1798)))</formula>
    </cfRule>
  </conditionalFormatting>
  <conditionalFormatting sqref="L1797">
    <cfRule type="containsText" dxfId="7233" priority="9774" operator="containsText" text="Positive">
      <formula>NOT(ISERROR(SEARCH("Positive",L1797)))</formula>
    </cfRule>
    <cfRule type="containsText" dxfId="7232" priority="9775" operator="containsText" text="Negative">
      <formula>NOT(ISERROR(SEARCH("Negative",L1797)))</formula>
    </cfRule>
  </conditionalFormatting>
  <conditionalFormatting sqref="J1801:K1801">
    <cfRule type="containsText" dxfId="7231" priority="9755" operator="containsText" text="Missing">
      <formula>NOT(ISERROR(SEARCH("Missing",J1801)))</formula>
    </cfRule>
  </conditionalFormatting>
  <conditionalFormatting sqref="J1880:K1880">
    <cfRule type="containsText" dxfId="7230" priority="9727" operator="containsText" text="Missing">
      <formula>NOT(ISERROR(SEARCH("Missing",J1880)))</formula>
    </cfRule>
  </conditionalFormatting>
  <conditionalFormatting sqref="J1849:K1849">
    <cfRule type="containsText" dxfId="7229" priority="9728" operator="containsText" text="Missing">
      <formula>NOT(ISERROR(SEARCH("Missing",J1849)))</formula>
    </cfRule>
  </conditionalFormatting>
  <conditionalFormatting sqref="L1767:L1769">
    <cfRule type="containsText" dxfId="7228" priority="9771" operator="containsText" text="Positive">
      <formula>NOT(ISERROR(SEARCH("Positive",L1767)))</formula>
    </cfRule>
    <cfRule type="containsText" dxfId="7227" priority="9772" operator="containsText" text="Negative">
      <formula>NOT(ISERROR(SEARCH("Negative",L1767)))</formula>
    </cfRule>
  </conditionalFormatting>
  <conditionalFormatting sqref="L1790">
    <cfRule type="containsText" dxfId="7226" priority="9768" operator="containsText" text="Positive">
      <formula>NOT(ISERROR(SEARCH("Positive",L1790)))</formula>
    </cfRule>
    <cfRule type="containsText" dxfId="7225" priority="9769" operator="containsText" text="Negative">
      <formula>NOT(ISERROR(SEARCH("Negative",L1790)))</formula>
    </cfRule>
  </conditionalFormatting>
  <conditionalFormatting sqref="L1796">
    <cfRule type="containsText" dxfId="7224" priority="9765" operator="containsText" text="Positive">
      <formula>NOT(ISERROR(SEARCH("Positive",L1796)))</formula>
    </cfRule>
    <cfRule type="containsText" dxfId="7223" priority="9766" operator="containsText" text="Negative">
      <formula>NOT(ISERROR(SEARCH("Negative",L1796)))</formula>
    </cfRule>
  </conditionalFormatting>
  <conditionalFormatting sqref="I1803">
    <cfRule type="containsText" dxfId="7222" priority="9745" operator="containsText" text="Missing">
      <formula>NOT(ISERROR(SEARCH("Missing",I1803)))</formula>
    </cfRule>
  </conditionalFormatting>
  <conditionalFormatting sqref="J1797:K1797">
    <cfRule type="containsText" dxfId="7221" priority="9762" operator="containsText" text="Missing">
      <formula>NOT(ISERROR(SEARCH("Missing",J1797)))</formula>
    </cfRule>
  </conditionalFormatting>
  <conditionalFormatting sqref="I1801">
    <cfRule type="containsText" dxfId="7220" priority="9746" operator="containsText" text="Missing">
      <formula>NOT(ISERROR(SEARCH("Missing",I1801)))</formula>
    </cfRule>
  </conditionalFormatting>
  <conditionalFormatting sqref="L1803">
    <cfRule type="containsText" dxfId="7219" priority="9759" operator="containsText" text="Positive">
      <formula>NOT(ISERROR(SEARCH("Positive",L1803)))</formula>
    </cfRule>
    <cfRule type="containsText" dxfId="7218" priority="9760" operator="containsText" text="Negative">
      <formula>NOT(ISERROR(SEARCH("Negative",L1803)))</formula>
    </cfRule>
  </conditionalFormatting>
  <conditionalFormatting sqref="J1803:K1803">
    <cfRule type="containsText" dxfId="7217" priority="9751" operator="containsText" text="Missing">
      <formula>NOT(ISERROR(SEARCH("Missing",J1803)))</formula>
    </cfRule>
  </conditionalFormatting>
  <conditionalFormatting sqref="L1799:L1800">
    <cfRule type="containsText" dxfId="7216" priority="9756" operator="containsText" text="Positive">
      <formula>NOT(ISERROR(SEARCH("Positive",L1799)))</formula>
    </cfRule>
    <cfRule type="containsText" dxfId="7215" priority="9757" operator="containsText" text="Negative">
      <formula>NOT(ISERROR(SEARCH("Negative",L1799)))</formula>
    </cfRule>
  </conditionalFormatting>
  <conditionalFormatting sqref="I1817:I1818">
    <cfRule type="containsText" dxfId="7214" priority="9742" operator="containsText" text="Missing">
      <formula>NOT(ISERROR(SEARCH("Missing",I1817)))</formula>
    </cfRule>
  </conditionalFormatting>
  <conditionalFormatting sqref="L1801">
    <cfRule type="containsText" dxfId="7213" priority="9753" operator="containsText" text="Positive">
      <formula>NOT(ISERROR(SEARCH("Positive",L1801)))</formula>
    </cfRule>
    <cfRule type="containsText" dxfId="7212" priority="9754" operator="containsText" text="Negative">
      <formula>NOT(ISERROR(SEARCH("Negative",L1801)))</formula>
    </cfRule>
  </conditionalFormatting>
  <conditionalFormatting sqref="I1790:I1791">
    <cfRule type="containsText" dxfId="7211" priority="9750" operator="containsText" text="Missing">
      <formula>NOT(ISERROR(SEARCH("Missing",I1790)))</formula>
    </cfRule>
  </conditionalFormatting>
  <conditionalFormatting sqref="I1800">
    <cfRule type="containsText" dxfId="7210" priority="9749" operator="containsText" text="Missing">
      <formula>NOT(ISERROR(SEARCH("Missing",I1800)))</formula>
    </cfRule>
  </conditionalFormatting>
  <conditionalFormatting sqref="I1802">
    <cfRule type="containsText" dxfId="7209" priority="9748" operator="containsText" text="Missing">
      <formula>NOT(ISERROR(SEARCH("Missing",I1802)))</formula>
    </cfRule>
  </conditionalFormatting>
  <conditionalFormatting sqref="J1824:K1824">
    <cfRule type="containsText" dxfId="7208" priority="9676" operator="containsText" text="Missing">
      <formula>NOT(ISERROR(SEARCH("Missing",J1824)))</formula>
    </cfRule>
  </conditionalFormatting>
  <conditionalFormatting sqref="J1869:K1871">
    <cfRule type="containsText" dxfId="7207" priority="9699" operator="containsText" text="Missing">
      <formula>NOT(ISERROR(SEARCH("Missing",J1869)))</formula>
    </cfRule>
  </conditionalFormatting>
  <conditionalFormatting sqref="I1887">
    <cfRule type="containsText" dxfId="7206" priority="9714" operator="containsText" text="Missing">
      <formula>NOT(ISERROR(SEARCH("Missing",I1887)))</formula>
    </cfRule>
  </conditionalFormatting>
  <conditionalFormatting sqref="I1758">
    <cfRule type="containsText" dxfId="7205" priority="9744" operator="containsText" text="Missing">
      <formula>NOT(ISERROR(SEARCH("Missing",I1758)))</formula>
    </cfRule>
  </conditionalFormatting>
  <conditionalFormatting sqref="I1837">
    <cfRule type="containsText" dxfId="7204" priority="9743" operator="containsText" text="Missing">
      <formula>NOT(ISERROR(SEARCH("Missing",I1837)))</formula>
    </cfRule>
  </conditionalFormatting>
  <conditionalFormatting sqref="L1798">
    <cfRule type="containsText" dxfId="7203" priority="9740" operator="containsText" text="Positive">
      <formula>NOT(ISERROR(SEARCH("Positive",L1798)))</formula>
    </cfRule>
    <cfRule type="containsText" dxfId="7202" priority="9741" operator="containsText" text="Negative">
      <formula>NOT(ISERROR(SEARCH("Negative",L1798)))</formula>
    </cfRule>
  </conditionalFormatting>
  <conditionalFormatting sqref="L1837">
    <cfRule type="containsText" dxfId="7201" priority="9738" operator="containsText" text="Positive">
      <formula>NOT(ISERROR(SEARCH("Positive",L1837)))</formula>
    </cfRule>
    <cfRule type="containsText" dxfId="7200" priority="9739" operator="containsText" text="Negative">
      <formula>NOT(ISERROR(SEARCH("Negative",L1837)))</formula>
    </cfRule>
  </conditionalFormatting>
  <conditionalFormatting sqref="L1913 L1819 L1911">
    <cfRule type="containsText" dxfId="7199" priority="9736" operator="containsText" text="Positive">
      <formula>NOT(ISERROR(SEARCH("Positive",L1819)))</formula>
    </cfRule>
    <cfRule type="containsText" dxfId="7198" priority="9737" operator="containsText" text="Negative">
      <formula>NOT(ISERROR(SEARCH("Negative",L1819)))</formula>
    </cfRule>
  </conditionalFormatting>
  <conditionalFormatting sqref="L1884">
    <cfRule type="containsText" dxfId="7197" priority="9721" operator="containsText" text="Positive">
      <formula>NOT(ISERROR(SEARCH("Positive",L1884)))</formula>
    </cfRule>
    <cfRule type="containsText" dxfId="7196" priority="9722" operator="containsText" text="Negative">
      <formula>NOT(ISERROR(SEARCH("Negative",L1884)))</formula>
    </cfRule>
  </conditionalFormatting>
  <conditionalFormatting sqref="I1867:I1869 I1848:I1852">
    <cfRule type="containsText" dxfId="7195" priority="9735" operator="containsText" text="Missing">
      <formula>NOT(ISERROR(SEARCH("Missing",I1848)))</formula>
    </cfRule>
  </conditionalFormatting>
  <conditionalFormatting sqref="L1849 L1880">
    <cfRule type="containsText" dxfId="7194" priority="9733" operator="containsText" text="Positive">
      <formula>NOT(ISERROR(SEARCH("Positive",L1849)))</formula>
    </cfRule>
    <cfRule type="containsText" dxfId="7193" priority="9734" operator="containsText" text="Negative">
      <formula>NOT(ISERROR(SEARCH("Negative",L1849)))</formula>
    </cfRule>
  </conditionalFormatting>
  <conditionalFormatting sqref="J1874:K1874">
    <cfRule type="containsText" dxfId="7192" priority="9692" operator="containsText" text="Missing">
      <formula>NOT(ISERROR(SEARCH("Missing",J1874)))</formula>
    </cfRule>
  </conditionalFormatting>
  <conditionalFormatting sqref="J1850:K1852">
    <cfRule type="containsText" dxfId="7191" priority="9711" operator="containsText" text="Missing">
      <formula>NOT(ISERROR(SEARCH("Missing",J1850)))</formula>
    </cfRule>
  </conditionalFormatting>
  <conditionalFormatting sqref="L1880">
    <cfRule type="containsText" dxfId="7190" priority="9725" operator="containsText" text="Positive">
      <formula>NOT(ISERROR(SEARCH("Positive",L1880)))</formula>
    </cfRule>
    <cfRule type="containsText" dxfId="7189" priority="9726" operator="containsText" text="Negative">
      <formula>NOT(ISERROR(SEARCH("Negative",L1880)))</formula>
    </cfRule>
  </conditionalFormatting>
  <conditionalFormatting sqref="L1868">
    <cfRule type="containsText" dxfId="7188" priority="9712" operator="containsText" text="Positive">
      <formula>NOT(ISERROR(SEARCH("Positive",L1868)))</formula>
    </cfRule>
    <cfRule type="containsText" dxfId="7187" priority="9713" operator="containsText" text="Negative">
      <formula>NOT(ISERROR(SEARCH("Negative",L1868)))</formula>
    </cfRule>
  </conditionalFormatting>
  <conditionalFormatting sqref="I1880">
    <cfRule type="containsText" dxfId="7186" priority="9724" operator="containsText" text="Missing">
      <formula>NOT(ISERROR(SEARCH("Missing",I1880)))</formula>
    </cfRule>
  </conditionalFormatting>
  <conditionalFormatting sqref="J1872:K1872">
    <cfRule type="containsText" dxfId="7185" priority="9696" operator="containsText" text="Missing">
      <formula>NOT(ISERROR(SEARCH("Missing",J1872)))</formula>
    </cfRule>
  </conditionalFormatting>
  <conditionalFormatting sqref="I1884">
    <cfRule type="containsText" dxfId="7184" priority="9729" operator="containsText" text="Missing">
      <formula>NOT(ISERROR(SEARCH("Missing",I1884)))</formula>
    </cfRule>
  </conditionalFormatting>
  <conditionalFormatting sqref="L1863">
    <cfRule type="containsText" dxfId="7183" priority="9706" operator="containsText" text="Positive">
      <formula>NOT(ISERROR(SEARCH("Positive",L1863)))</formula>
    </cfRule>
    <cfRule type="containsText" dxfId="7182" priority="9707" operator="containsText" text="Negative">
      <formula>NOT(ISERROR(SEARCH("Negative",L1863)))</formula>
    </cfRule>
  </conditionalFormatting>
  <conditionalFormatting sqref="J1863:K1863">
    <cfRule type="containsText" dxfId="7181" priority="9708" operator="containsText" text="Missing">
      <formula>NOT(ISERROR(SEARCH("Missing",J1863)))</formula>
    </cfRule>
  </conditionalFormatting>
  <conditionalFormatting sqref="L1884">
    <cfRule type="containsText" dxfId="7180" priority="9719" operator="containsText" text="Positive">
      <formula>NOT(ISERROR(SEARCH("Positive",L1884)))</formula>
    </cfRule>
    <cfRule type="containsText" dxfId="7179" priority="9720" operator="containsText" text="Negative">
      <formula>NOT(ISERROR(SEARCH("Negative",L1884)))</formula>
    </cfRule>
  </conditionalFormatting>
  <conditionalFormatting sqref="I1872">
    <cfRule type="containsText" dxfId="7178" priority="9687" operator="containsText" text="Missing">
      <formula>NOT(ISERROR(SEARCH("Missing",I1872)))</formula>
    </cfRule>
  </conditionalFormatting>
  <conditionalFormatting sqref="I1829">
    <cfRule type="containsText" dxfId="7177" priority="9667" operator="containsText" text="Missing">
      <formula>NOT(ISERROR(SEARCH("Missing",I1829)))</formula>
    </cfRule>
  </conditionalFormatting>
  <conditionalFormatting sqref="L1848">
    <cfRule type="containsText" dxfId="7176" priority="9730" operator="containsText" text="Positive">
      <formula>NOT(ISERROR(SEARCH("Positive",L1848)))</formula>
    </cfRule>
    <cfRule type="containsText" dxfId="7175" priority="9731" operator="containsText" text="Negative">
      <formula>NOT(ISERROR(SEARCH("Negative",L1848)))</formula>
    </cfRule>
  </conditionalFormatting>
  <conditionalFormatting sqref="I1873">
    <cfRule type="containsText" dxfId="7174" priority="9689" operator="containsText" text="Missing">
      <formula>NOT(ISERROR(SEARCH("Missing",I1873)))</formula>
    </cfRule>
  </conditionalFormatting>
  <conditionalFormatting sqref="J1873:K1873">
    <cfRule type="containsText" dxfId="7173" priority="9693" operator="containsText" text="Missing">
      <formula>NOT(ISERROR(SEARCH("Missing",J1873)))</formula>
    </cfRule>
  </conditionalFormatting>
  <conditionalFormatting sqref="L1892">
    <cfRule type="containsText" dxfId="7172" priority="9717" operator="containsText" text="Positive">
      <formula>NOT(ISERROR(SEARCH("Positive",L1892)))</formula>
    </cfRule>
    <cfRule type="containsText" dxfId="7171" priority="9718" operator="containsText" text="Negative">
      <formula>NOT(ISERROR(SEARCH("Negative",L1892)))</formula>
    </cfRule>
  </conditionalFormatting>
  <conditionalFormatting sqref="I1874">
    <cfRule type="containsText" dxfId="7170" priority="9686" operator="containsText" text="Missing">
      <formula>NOT(ISERROR(SEARCH("Missing",I1874)))</formula>
    </cfRule>
  </conditionalFormatting>
  <conditionalFormatting sqref="J1867:K1867">
    <cfRule type="containsText" dxfId="7169" priority="9705" operator="containsText" text="Missing">
      <formula>NOT(ISERROR(SEARCH("Missing",J1867)))</formula>
    </cfRule>
  </conditionalFormatting>
  <conditionalFormatting sqref="L1850:L1852">
    <cfRule type="containsText" dxfId="7168" priority="9709" operator="containsText" text="Positive">
      <formula>NOT(ISERROR(SEARCH("Positive",L1850)))</formula>
    </cfRule>
    <cfRule type="containsText" dxfId="7167" priority="9710" operator="containsText" text="Negative">
      <formula>NOT(ISERROR(SEARCH("Negative",L1850)))</formula>
    </cfRule>
  </conditionalFormatting>
  <conditionalFormatting sqref="L1893:L1894">
    <cfRule type="containsText" dxfId="7166" priority="9715" operator="containsText" text="Positive">
      <formula>NOT(ISERROR(SEARCH("Positive",L1893)))</formula>
    </cfRule>
    <cfRule type="containsText" dxfId="7165" priority="9716" operator="containsText" text="Negative">
      <formula>NOT(ISERROR(SEARCH("Negative",L1893)))</formula>
    </cfRule>
  </conditionalFormatting>
  <conditionalFormatting sqref="L1867">
    <cfRule type="containsText" dxfId="7164" priority="9703" operator="containsText" text="Positive">
      <formula>NOT(ISERROR(SEARCH("Positive",L1867)))</formula>
    </cfRule>
    <cfRule type="containsText" dxfId="7163" priority="9704" operator="containsText" text="Negative">
      <formula>NOT(ISERROR(SEARCH("Negative",L1867)))</formula>
    </cfRule>
  </conditionalFormatting>
  <conditionalFormatting sqref="I1824">
    <cfRule type="containsText" dxfId="7162" priority="9675" operator="containsText" text="Missing">
      <formula>NOT(ISERROR(SEARCH("Missing",I1824)))</formula>
    </cfRule>
  </conditionalFormatting>
  <conditionalFormatting sqref="J1868:K1868">
    <cfRule type="containsText" dxfId="7161" priority="9702" operator="containsText" text="Missing">
      <formula>NOT(ISERROR(SEARCH("Missing",J1868)))</formula>
    </cfRule>
  </conditionalFormatting>
  <conditionalFormatting sqref="I1828 I1830">
    <cfRule type="containsText" dxfId="7160" priority="9670" operator="containsText" text="Missing">
      <formula>NOT(ISERROR(SEARCH("Missing",I1828)))</formula>
    </cfRule>
  </conditionalFormatting>
  <conditionalFormatting sqref="L1874">
    <cfRule type="containsText" dxfId="7159" priority="9700" operator="containsText" text="Positive">
      <formula>NOT(ISERROR(SEARCH("Positive",L1874)))</formula>
    </cfRule>
    <cfRule type="containsText" dxfId="7158" priority="9701" operator="containsText" text="Negative">
      <formula>NOT(ISERROR(SEARCH("Negative",L1874)))</formula>
    </cfRule>
  </conditionalFormatting>
  <conditionalFormatting sqref="I1901">
    <cfRule type="containsText" dxfId="7157" priority="9658" operator="containsText" text="Missing">
      <formula>NOT(ISERROR(SEARCH("Missing",I1901)))</formula>
    </cfRule>
  </conditionalFormatting>
  <conditionalFormatting sqref="I1823">
    <cfRule type="containsText" dxfId="7156" priority="9671" operator="containsText" text="Missing">
      <formula>NOT(ISERROR(SEARCH("Missing",I1823)))</formula>
    </cfRule>
  </conditionalFormatting>
  <conditionalFormatting sqref="L1870:L1871">
    <cfRule type="containsText" dxfId="7155" priority="9697" operator="containsText" text="Positive">
      <formula>NOT(ISERROR(SEARCH("Positive",L1870)))</formula>
    </cfRule>
    <cfRule type="containsText" dxfId="7154" priority="9698" operator="containsText" text="Negative">
      <formula>NOT(ISERROR(SEARCH("Negative",L1870)))</formula>
    </cfRule>
  </conditionalFormatting>
  <conditionalFormatting sqref="L1872">
    <cfRule type="containsText" dxfId="7153" priority="9694" operator="containsText" text="Positive">
      <formula>NOT(ISERROR(SEARCH("Positive",L1872)))</formula>
    </cfRule>
    <cfRule type="containsText" dxfId="7152" priority="9695" operator="containsText" text="Negative">
      <formula>NOT(ISERROR(SEARCH("Negative",L1872)))</formula>
    </cfRule>
  </conditionalFormatting>
  <conditionalFormatting sqref="J1823:K1823">
    <cfRule type="containsText" dxfId="7151" priority="9674" operator="containsText" text="Missing">
      <formula>NOT(ISERROR(SEARCH("Missing",J1823)))</formula>
    </cfRule>
  </conditionalFormatting>
  <conditionalFormatting sqref="I1870">
    <cfRule type="containsText" dxfId="7150" priority="9688" operator="containsText" text="Missing">
      <formula>NOT(ISERROR(SEARCH("Missing",I1870)))</formula>
    </cfRule>
  </conditionalFormatting>
  <conditionalFormatting sqref="I1871">
    <cfRule type="containsText" dxfId="7149" priority="9690" operator="containsText" text="Missing">
      <formula>NOT(ISERROR(SEARCH("Missing",I1871)))</formula>
    </cfRule>
  </conditionalFormatting>
  <conditionalFormatting sqref="I1889">
    <cfRule type="containsText" dxfId="7148" priority="9685" operator="containsText" text="Missing">
      <formula>NOT(ISERROR(SEARCH("Missing",I1889)))</formula>
    </cfRule>
  </conditionalFormatting>
  <conditionalFormatting sqref="L1869">
    <cfRule type="containsText" dxfId="7147" priority="9683" operator="containsText" text="Positive">
      <formula>NOT(ISERROR(SEARCH("Positive",L1869)))</formula>
    </cfRule>
    <cfRule type="containsText" dxfId="7146" priority="9684" operator="containsText" text="Negative">
      <formula>NOT(ISERROR(SEARCH("Negative",L1869)))</formula>
    </cfRule>
  </conditionalFormatting>
  <conditionalFormatting sqref="L1873">
    <cfRule type="containsText" dxfId="7145" priority="9681" operator="containsText" text="Positive">
      <formula>NOT(ISERROR(SEARCH("Positive",L1873)))</formula>
    </cfRule>
    <cfRule type="containsText" dxfId="7144" priority="9682" operator="containsText" text="Negative">
      <formula>NOT(ISERROR(SEARCH("Negative",L1873)))</formula>
    </cfRule>
  </conditionalFormatting>
  <conditionalFormatting sqref="L1891">
    <cfRule type="containsText" dxfId="7143" priority="9679" operator="containsText" text="Positive">
      <formula>NOT(ISERROR(SEARCH("Positive",L1891)))</formula>
    </cfRule>
    <cfRule type="containsText" dxfId="7142" priority="9680" operator="containsText" text="Negative">
      <formula>NOT(ISERROR(SEARCH("Negative",L1891)))</formula>
    </cfRule>
  </conditionalFormatting>
  <conditionalFormatting sqref="L1823">
    <cfRule type="containsText" dxfId="7141" priority="9677" operator="containsText" text="Positive">
      <formula>NOT(ISERROR(SEARCH("Positive",L1823)))</formula>
    </cfRule>
    <cfRule type="containsText" dxfId="7140" priority="9678" operator="containsText" text="Negative">
      <formula>NOT(ISERROR(SEARCH("Negative",L1823)))</formula>
    </cfRule>
  </conditionalFormatting>
  <conditionalFormatting sqref="I1831">
    <cfRule type="containsText" dxfId="7139" priority="9666" operator="containsText" text="Missing">
      <formula>NOT(ISERROR(SEARCH("Missing",I1831)))</formula>
    </cfRule>
  </conditionalFormatting>
  <conditionalFormatting sqref="I1903">
    <cfRule type="containsText" dxfId="7138" priority="9657" operator="containsText" text="Missing">
      <formula>NOT(ISERROR(SEARCH("Missing",I1903)))</formula>
    </cfRule>
  </conditionalFormatting>
  <conditionalFormatting sqref="L1823">
    <cfRule type="containsText" dxfId="7137" priority="9672" operator="containsText" text="Positive">
      <formula>NOT(ISERROR(SEARCH("Positive",L1823)))</formula>
    </cfRule>
    <cfRule type="containsText" dxfId="7136" priority="9673" operator="containsText" text="Negative">
      <formula>NOT(ISERROR(SEARCH("Negative",L1823)))</formula>
    </cfRule>
  </conditionalFormatting>
  <conditionalFormatting sqref="L1834">
    <cfRule type="containsText" dxfId="7135" priority="9668" operator="containsText" text="Positive">
      <formula>NOT(ISERROR(SEARCH("Positive",L1834)))</formula>
    </cfRule>
    <cfRule type="containsText" dxfId="7134" priority="9669" operator="containsText" text="Negative">
      <formula>NOT(ISERROR(SEARCH("Negative",L1834)))</formula>
    </cfRule>
  </conditionalFormatting>
  <conditionalFormatting sqref="L1833">
    <cfRule type="containsText" dxfId="7133" priority="9664" operator="containsText" text="Positive">
      <formula>NOT(ISERROR(SEARCH("Positive",L1833)))</formula>
    </cfRule>
    <cfRule type="containsText" dxfId="7132" priority="9665" operator="containsText" text="Negative">
      <formula>NOT(ISERROR(SEARCH("Negative",L1833)))</formula>
    </cfRule>
  </conditionalFormatting>
  <conditionalFormatting sqref="I1900 I1902">
    <cfRule type="containsText" dxfId="7131" priority="9663" operator="containsText" text="Missing">
      <formula>NOT(ISERROR(SEARCH("Missing",I1900)))</formula>
    </cfRule>
  </conditionalFormatting>
  <conditionalFormatting sqref="L1906">
    <cfRule type="containsText" dxfId="7130" priority="9661" operator="containsText" text="Positive">
      <formula>NOT(ISERROR(SEARCH("Positive",L1906)))</formula>
    </cfRule>
    <cfRule type="containsText" dxfId="7129" priority="9662" operator="containsText" text="Negative">
      <formula>NOT(ISERROR(SEARCH("Negative",L1906)))</formula>
    </cfRule>
  </conditionalFormatting>
  <conditionalFormatting sqref="L1907">
    <cfRule type="containsText" dxfId="7128" priority="9659" operator="containsText" text="Positive">
      <formula>NOT(ISERROR(SEARCH("Positive",L1907)))</formula>
    </cfRule>
    <cfRule type="containsText" dxfId="7127" priority="9660" operator="containsText" text="Negative">
      <formula>NOT(ISERROR(SEARCH("Negative",L1907)))</formula>
    </cfRule>
  </conditionalFormatting>
  <conditionalFormatting sqref="L1905">
    <cfRule type="containsText" dxfId="7126" priority="9655" operator="containsText" text="Positive">
      <formula>NOT(ISERROR(SEARCH("Positive",L1905)))</formula>
    </cfRule>
    <cfRule type="containsText" dxfId="7125" priority="9656" operator="containsText" text="Negative">
      <formula>NOT(ISERROR(SEARCH("Negative",L1905)))</formula>
    </cfRule>
  </conditionalFormatting>
  <conditionalFormatting sqref="H1802">
    <cfRule type="containsText" dxfId="7124" priority="9638" operator="containsText" text="Missing">
      <formula>NOT(ISERROR(SEARCH("Missing",H1802)))</formula>
    </cfRule>
  </conditionalFormatting>
  <conditionalFormatting sqref="I1910">
    <cfRule type="containsText" dxfId="7123" priority="9653" operator="containsText" text="Missing">
      <formula>NOT(ISERROR(SEARCH("Missing",I1910)))</formula>
    </cfRule>
  </conditionalFormatting>
  <conditionalFormatting sqref="I1913">
    <cfRule type="containsText" dxfId="7122" priority="9650" operator="containsText" text="Missing">
      <formula>NOT(ISERROR(SEARCH("Missing",I1913)))</formula>
    </cfRule>
  </conditionalFormatting>
  <conditionalFormatting sqref="H1758">
    <cfRule type="containsText" dxfId="7121" priority="9648" operator="containsText" text="Missing">
      <formula>NOT(ISERROR(SEARCH("Missing",H1758)))</formula>
    </cfRule>
  </conditionalFormatting>
  <conditionalFormatting sqref="I1909">
    <cfRule type="containsText" dxfId="7120" priority="9654" operator="containsText" text="Missing">
      <formula>NOT(ISERROR(SEARCH("Missing",I1909)))</formula>
    </cfRule>
  </conditionalFormatting>
  <conditionalFormatting sqref="H1767">
    <cfRule type="containsText" dxfId="7119" priority="9646" operator="containsText" text="Missing">
      <formula>NOT(ISERROR(SEARCH("Missing",H1767)))</formula>
    </cfRule>
  </conditionalFormatting>
  <conditionalFormatting sqref="H1798">
    <cfRule type="containsText" dxfId="7118" priority="9643" operator="containsText" text="Missing">
      <formula>NOT(ISERROR(SEARCH("Missing",H1798)))</formula>
    </cfRule>
  </conditionalFormatting>
  <conditionalFormatting sqref="I1911">
    <cfRule type="containsText" dxfId="7117" priority="9652" operator="containsText" text="Missing">
      <formula>NOT(ISERROR(SEARCH("Missing",I1911)))</formula>
    </cfRule>
  </conditionalFormatting>
  <conditionalFormatting sqref="I1912">
    <cfRule type="containsText" dxfId="7116" priority="9651" operator="containsText" text="Missing">
      <formula>NOT(ISERROR(SEARCH("Missing",I1912)))</formula>
    </cfRule>
  </conditionalFormatting>
  <conditionalFormatting sqref="I1915">
    <cfRule type="containsText" dxfId="7115" priority="9649" operator="containsText" text="Missing">
      <formula>NOT(ISERROR(SEARCH("Missing",I1915)))</formula>
    </cfRule>
  </conditionalFormatting>
  <conditionalFormatting sqref="H1768">
    <cfRule type="containsText" dxfId="7114" priority="9645" operator="containsText" text="Missing">
      <formula>NOT(ISERROR(SEARCH("Missing",H1768)))</formula>
    </cfRule>
  </conditionalFormatting>
  <conditionalFormatting sqref="H1766">
    <cfRule type="containsText" dxfId="7113" priority="9647" operator="containsText" text="Missing">
      <formula>NOT(ISERROR(SEARCH("Missing",H1766)))</formula>
    </cfRule>
  </conditionalFormatting>
  <conditionalFormatting sqref="H1769">
    <cfRule type="containsText" dxfId="7112" priority="9644" operator="containsText" text="Missing">
      <formula>NOT(ISERROR(SEARCH("Missing",H1769)))</formula>
    </cfRule>
  </conditionalFormatting>
  <conditionalFormatting sqref="H1799">
    <cfRule type="containsText" dxfId="7111" priority="9642" operator="containsText" text="Missing">
      <formula>NOT(ISERROR(SEARCH("Missing",H1799)))</formula>
    </cfRule>
  </conditionalFormatting>
  <conditionalFormatting sqref="H1801">
    <cfRule type="containsText" dxfId="7110" priority="9640" operator="containsText" text="Missing">
      <formula>NOT(ISERROR(SEARCH("Missing",H1801)))</formula>
    </cfRule>
  </conditionalFormatting>
  <conditionalFormatting sqref="H1800">
    <cfRule type="containsText" dxfId="7109" priority="9641" operator="containsText" text="Missing">
      <formula>NOT(ISERROR(SEARCH("Missing",H1800)))</formula>
    </cfRule>
  </conditionalFormatting>
  <conditionalFormatting sqref="H1803">
    <cfRule type="containsText" dxfId="7108" priority="9639" operator="containsText" text="Missing">
      <formula>NOT(ISERROR(SEARCH("Missing",H1803)))</formula>
    </cfRule>
  </conditionalFormatting>
  <conditionalFormatting sqref="J1917:K1917">
    <cfRule type="containsText" dxfId="7107" priority="9635" operator="containsText" text="Missing">
      <formula>NOT(ISERROR(SEARCH("Missing",J1917)))</formula>
    </cfRule>
  </conditionalFormatting>
  <conditionalFormatting sqref="H1872">
    <cfRule type="containsText" dxfId="7106" priority="9618" operator="containsText" text="Missing">
      <formula>NOT(ISERROR(SEARCH("Missing",H1872)))</formula>
    </cfRule>
  </conditionalFormatting>
  <conditionalFormatting sqref="J1918:K1919">
    <cfRule type="containsText" dxfId="7105" priority="9634" operator="containsText" text="Missing">
      <formula>NOT(ISERROR(SEARCH("Missing",J1918)))</formula>
    </cfRule>
  </conditionalFormatting>
  <conditionalFormatting sqref="I1918 I1922">
    <cfRule type="containsText" dxfId="7104" priority="9633" operator="containsText" text="Missing">
      <formula>NOT(ISERROR(SEARCH("Missing",I1918)))</formula>
    </cfRule>
  </conditionalFormatting>
  <conditionalFormatting sqref="L1917:L1919">
    <cfRule type="containsText" dxfId="7103" priority="9636" operator="containsText" text="Positive">
      <formula>NOT(ISERROR(SEARCH("Positive",L1917)))</formula>
    </cfRule>
    <cfRule type="containsText" dxfId="7102" priority="9637" operator="containsText" text="Negative">
      <formula>NOT(ISERROR(SEARCH("Negative",L1917)))</formula>
    </cfRule>
  </conditionalFormatting>
  <conditionalFormatting sqref="I1917 I1919 I1923 I1921">
    <cfRule type="containsText" dxfId="7101" priority="9632" operator="containsText" text="Missing">
      <formula>NOT(ISERROR(SEARCH("Missing",I1917)))</formula>
    </cfRule>
  </conditionalFormatting>
  <conditionalFormatting sqref="H1911">
    <cfRule type="containsText" dxfId="7100" priority="9609" operator="containsText" text="Missing">
      <formula>NOT(ISERROR(SEARCH("Missing",H1911)))</formula>
    </cfRule>
  </conditionalFormatting>
  <conditionalFormatting sqref="H1880">
    <cfRule type="containsText" dxfId="7099" priority="9615" operator="containsText" text="Missing">
      <formula>NOT(ISERROR(SEARCH("Missing",H1880)))</formula>
    </cfRule>
  </conditionalFormatting>
  <conditionalFormatting sqref="H1823">
    <cfRule type="containsText" dxfId="7098" priority="9631" operator="containsText" text="Missing">
      <formula>NOT(ISERROR(SEARCH("Missing",H1823)))</formula>
    </cfRule>
  </conditionalFormatting>
  <conditionalFormatting sqref="H1824">
    <cfRule type="containsText" dxfId="7097" priority="9630" operator="containsText" text="Missing">
      <formula>NOT(ISERROR(SEARCH("Missing",H1824)))</formula>
    </cfRule>
  </conditionalFormatting>
  <conditionalFormatting sqref="H1900:H1902">
    <cfRule type="containsText" dxfId="7096" priority="9613" operator="containsText" text="Missing">
      <formula>NOT(ISERROR(SEARCH("Missing",H1900)))</formula>
    </cfRule>
  </conditionalFormatting>
  <conditionalFormatting sqref="H1848">
    <cfRule type="containsText" dxfId="7095" priority="9629" operator="containsText" text="Missing">
      <formula>NOT(ISERROR(SEARCH("Missing",H1848)))</formula>
    </cfRule>
  </conditionalFormatting>
  <conditionalFormatting sqref="H1874">
    <cfRule type="containsText" dxfId="7094" priority="9617" operator="containsText" text="Missing">
      <formula>NOT(ISERROR(SEARCH("Missing",H1874)))</formula>
    </cfRule>
  </conditionalFormatting>
  <conditionalFormatting sqref="H1850">
    <cfRule type="containsText" dxfId="7093" priority="9627" operator="containsText" text="Missing">
      <formula>NOT(ISERROR(SEARCH("Missing",H1850)))</formula>
    </cfRule>
  </conditionalFormatting>
  <conditionalFormatting sqref="H1873">
    <cfRule type="containsText" dxfId="7092" priority="9616" operator="containsText" text="Missing">
      <formula>NOT(ISERROR(SEARCH("Missing",H1873)))</formula>
    </cfRule>
  </conditionalFormatting>
  <conditionalFormatting sqref="H1912">
    <cfRule type="containsText" dxfId="7091" priority="9611" operator="containsText" text="Missing">
      <formula>NOT(ISERROR(SEARCH("Missing",H1912)))</formula>
    </cfRule>
  </conditionalFormatting>
  <conditionalFormatting sqref="H1884">
    <cfRule type="containsText" dxfId="7090" priority="9614" operator="containsText" text="Missing">
      <formula>NOT(ISERROR(SEARCH("Missing",H1884)))</formula>
    </cfRule>
  </conditionalFormatting>
  <conditionalFormatting sqref="H1851">
    <cfRule type="containsText" dxfId="7089" priority="9626" operator="containsText" text="Missing">
      <formula>NOT(ISERROR(SEARCH("Missing",H1851)))</formula>
    </cfRule>
  </conditionalFormatting>
  <conditionalFormatting sqref="H1849">
    <cfRule type="containsText" dxfId="7088" priority="9628" operator="containsText" text="Missing">
      <formula>NOT(ISERROR(SEARCH("Missing",H1849)))</formula>
    </cfRule>
  </conditionalFormatting>
  <conditionalFormatting sqref="H1863">
    <cfRule type="containsText" dxfId="7087" priority="9624" operator="containsText" text="Missing">
      <formula>NOT(ISERROR(SEARCH("Missing",H1863)))</formula>
    </cfRule>
  </conditionalFormatting>
  <conditionalFormatting sqref="H1852">
    <cfRule type="containsText" dxfId="7086" priority="9625" operator="containsText" text="Missing">
      <formula>NOT(ISERROR(SEARCH("Missing",H1852)))</formula>
    </cfRule>
  </conditionalFormatting>
  <conditionalFormatting sqref="H1871">
    <cfRule type="containsText" dxfId="7085" priority="9619" operator="containsText" text="Missing">
      <formula>NOT(ISERROR(SEARCH("Missing",H1871)))</formula>
    </cfRule>
  </conditionalFormatting>
  <conditionalFormatting sqref="H1867">
    <cfRule type="containsText" dxfId="7084" priority="9623" operator="containsText" text="Missing">
      <formula>NOT(ISERROR(SEARCH("Missing",H1867)))</formula>
    </cfRule>
  </conditionalFormatting>
  <conditionalFormatting sqref="H1868">
    <cfRule type="containsText" dxfId="7083" priority="9622" operator="containsText" text="Missing">
      <formula>NOT(ISERROR(SEARCH("Missing",H1868)))</formula>
    </cfRule>
  </conditionalFormatting>
  <conditionalFormatting sqref="H1870">
    <cfRule type="containsText" dxfId="7082" priority="9620" operator="containsText" text="Missing">
      <formula>NOT(ISERROR(SEARCH("Missing",H1870)))</formula>
    </cfRule>
  </conditionalFormatting>
  <conditionalFormatting sqref="H1869">
    <cfRule type="containsText" dxfId="7081" priority="9621" operator="containsText" text="Missing">
      <formula>NOT(ISERROR(SEARCH("Missing",H1869)))</formula>
    </cfRule>
  </conditionalFormatting>
  <conditionalFormatting sqref="H1913">
    <cfRule type="containsText" dxfId="7080" priority="9608" operator="containsText" text="Missing">
      <formula>NOT(ISERROR(SEARCH("Missing",H1913)))</formula>
    </cfRule>
  </conditionalFormatting>
  <conditionalFormatting sqref="H1910">
    <cfRule type="containsText" dxfId="7079" priority="9610" operator="containsText" text="Missing">
      <formula>NOT(ISERROR(SEARCH("Missing",H1910)))</formula>
    </cfRule>
  </conditionalFormatting>
  <conditionalFormatting sqref="H1909">
    <cfRule type="containsText" dxfId="7078" priority="9612" operator="containsText" text="Missing">
      <formula>NOT(ISERROR(SEARCH("Missing",H1909)))</formula>
    </cfRule>
  </conditionalFormatting>
  <conditionalFormatting sqref="H1915">
    <cfRule type="containsText" dxfId="7077" priority="9606" operator="containsText" text="Missing">
      <formula>NOT(ISERROR(SEARCH("Missing",H1915)))</formula>
    </cfRule>
  </conditionalFormatting>
  <conditionalFormatting sqref="J1928:K1928">
    <cfRule type="containsText" dxfId="7076" priority="9593" operator="containsText" text="Missing">
      <formula>NOT(ISERROR(SEARCH("Missing",J1928)))</formula>
    </cfRule>
  </conditionalFormatting>
  <conditionalFormatting sqref="H1916">
    <cfRule type="containsText" dxfId="7075" priority="9607" operator="containsText" text="Missing">
      <formula>NOT(ISERROR(SEARCH("Missing",H1916)))</formula>
    </cfRule>
  </conditionalFormatting>
  <conditionalFormatting sqref="J1921:K1921">
    <cfRule type="containsText" dxfId="7074" priority="9603" operator="containsText" text="Missing">
      <formula>NOT(ISERROR(SEARCH("Missing",J1921)))</formula>
    </cfRule>
  </conditionalFormatting>
  <conditionalFormatting sqref="J1922:K1923">
    <cfRule type="containsText" dxfId="7073" priority="9602" operator="containsText" text="Missing">
      <formula>NOT(ISERROR(SEARCH("Missing",J1922)))</formula>
    </cfRule>
  </conditionalFormatting>
  <conditionalFormatting sqref="J1925:K1926">
    <cfRule type="containsText" dxfId="7072" priority="9596" operator="containsText" text="Missing">
      <formula>NOT(ISERROR(SEARCH("Missing",J1925)))</formula>
    </cfRule>
  </conditionalFormatting>
  <conditionalFormatting sqref="L1921:L1923">
    <cfRule type="containsText" dxfId="7071" priority="9604" operator="containsText" text="Positive">
      <formula>NOT(ISERROR(SEARCH("Positive",L1921)))</formula>
    </cfRule>
    <cfRule type="containsText" dxfId="7070" priority="9605" operator="containsText" text="Negative">
      <formula>NOT(ISERROR(SEARCH("Negative",L1921)))</formula>
    </cfRule>
  </conditionalFormatting>
  <conditionalFormatting sqref="I1925">
    <cfRule type="containsText" dxfId="7069" priority="9601" operator="containsText" text="Missing">
      <formula>NOT(ISERROR(SEARCH("Missing",I1925)))</formula>
    </cfRule>
  </conditionalFormatting>
  <conditionalFormatting sqref="I1924 I1926">
    <cfRule type="containsText" dxfId="7068" priority="9600" operator="containsText" text="Missing">
      <formula>NOT(ISERROR(SEARCH("Missing",I1924)))</formula>
    </cfRule>
  </conditionalFormatting>
  <conditionalFormatting sqref="J1924:K1924">
    <cfRule type="containsText" dxfId="7067" priority="9597" operator="containsText" text="Missing">
      <formula>NOT(ISERROR(SEARCH("Missing",J1924)))</formula>
    </cfRule>
  </conditionalFormatting>
  <conditionalFormatting sqref="L1924:L1926">
    <cfRule type="containsText" dxfId="7066" priority="9598" operator="containsText" text="Positive">
      <formula>NOT(ISERROR(SEARCH("Positive",L1924)))</formula>
    </cfRule>
    <cfRule type="containsText" dxfId="7065" priority="9599" operator="containsText" text="Negative">
      <formula>NOT(ISERROR(SEARCH("Negative",L1924)))</formula>
    </cfRule>
  </conditionalFormatting>
  <conditionalFormatting sqref="L1928:L1930">
    <cfRule type="containsText" dxfId="7064" priority="9594" operator="containsText" text="Positive">
      <formula>NOT(ISERROR(SEARCH("Positive",L1928)))</formula>
    </cfRule>
    <cfRule type="containsText" dxfId="7063" priority="9595" operator="containsText" text="Negative">
      <formula>NOT(ISERROR(SEARCH("Negative",L1928)))</formula>
    </cfRule>
  </conditionalFormatting>
  <conditionalFormatting sqref="I1929 I1933">
    <cfRule type="containsText" dxfId="7062" priority="9591" operator="containsText" text="Missing">
      <formula>NOT(ISERROR(SEARCH("Missing",I1929)))</formula>
    </cfRule>
  </conditionalFormatting>
  <conditionalFormatting sqref="J1929:K1930">
    <cfRule type="containsText" dxfId="7061" priority="9592" operator="containsText" text="Missing">
      <formula>NOT(ISERROR(SEARCH("Missing",J1929)))</formula>
    </cfRule>
  </conditionalFormatting>
  <conditionalFormatting sqref="I1928 I1934 I1930:I1932">
    <cfRule type="containsText" dxfId="7060" priority="9590" operator="containsText" text="Missing">
      <formula>NOT(ISERROR(SEARCH("Missing",I1928)))</formula>
    </cfRule>
  </conditionalFormatting>
  <conditionalFormatting sqref="J1933:K1934">
    <cfRule type="containsText" dxfId="7059" priority="9586" operator="containsText" text="Missing">
      <formula>NOT(ISERROR(SEARCH("Missing",J1933)))</formula>
    </cfRule>
  </conditionalFormatting>
  <conditionalFormatting sqref="J1936:K1937">
    <cfRule type="containsText" dxfId="7058" priority="9580" operator="containsText" text="Missing">
      <formula>NOT(ISERROR(SEARCH("Missing",J1936)))</formula>
    </cfRule>
  </conditionalFormatting>
  <conditionalFormatting sqref="J1932:K1932">
    <cfRule type="containsText" dxfId="7057" priority="9587" operator="containsText" text="Missing">
      <formula>NOT(ISERROR(SEARCH("Missing",J1932)))</formula>
    </cfRule>
  </conditionalFormatting>
  <conditionalFormatting sqref="L1932:L1934">
    <cfRule type="containsText" dxfId="7056" priority="9588" operator="containsText" text="Positive">
      <formula>NOT(ISERROR(SEARCH("Positive",L1932)))</formula>
    </cfRule>
    <cfRule type="containsText" dxfId="7055" priority="9589" operator="containsText" text="Negative">
      <formula>NOT(ISERROR(SEARCH("Negative",L1932)))</formula>
    </cfRule>
  </conditionalFormatting>
  <conditionalFormatting sqref="I1936">
    <cfRule type="containsText" dxfId="7054" priority="9585" operator="containsText" text="Missing">
      <formula>NOT(ISERROR(SEARCH("Missing",I1936)))</formula>
    </cfRule>
  </conditionalFormatting>
  <conditionalFormatting sqref="I1935 I1937">
    <cfRule type="containsText" dxfId="7053" priority="9584" operator="containsText" text="Missing">
      <formula>NOT(ISERROR(SEARCH("Missing",I1935)))</formula>
    </cfRule>
  </conditionalFormatting>
  <conditionalFormatting sqref="J1935:K1935">
    <cfRule type="containsText" dxfId="7052" priority="9581" operator="containsText" text="Missing">
      <formula>NOT(ISERROR(SEARCH("Missing",J1935)))</formula>
    </cfRule>
  </conditionalFormatting>
  <conditionalFormatting sqref="L1935:L1937">
    <cfRule type="containsText" dxfId="7051" priority="9582" operator="containsText" text="Positive">
      <formula>NOT(ISERROR(SEARCH("Positive",L1935)))</formula>
    </cfRule>
    <cfRule type="containsText" dxfId="7050" priority="9583" operator="containsText" text="Negative">
      <formula>NOT(ISERROR(SEARCH("Negative",L1935)))</formula>
    </cfRule>
  </conditionalFormatting>
  <conditionalFormatting sqref="H1917:H1919 H1928:H1930 H1921:H1926 H1932:H1937">
    <cfRule type="containsText" dxfId="7049" priority="9579" operator="containsText" text="Missing">
      <formula>NOT(ISERROR(SEARCH("Missing",H1917)))</formula>
    </cfRule>
  </conditionalFormatting>
  <conditionalFormatting sqref="J1806:K1806">
    <cfRule type="containsText" dxfId="7048" priority="9572" operator="containsText" text="Missing">
      <formula>NOT(ISERROR(SEARCH("Missing",J1806)))</formula>
    </cfRule>
  </conditionalFormatting>
  <conditionalFormatting sqref="J1804:K1804">
    <cfRule type="containsText" dxfId="7047" priority="9578" operator="containsText" text="Missing">
      <formula>NOT(ISERROR(SEARCH("Missing",J1804)))</formula>
    </cfRule>
  </conditionalFormatting>
  <conditionalFormatting sqref="J1805:K1805">
    <cfRule type="containsText" dxfId="7046" priority="9575" operator="containsText" text="Missing">
      <formula>NOT(ISERROR(SEARCH("Missing",J1805)))</formula>
    </cfRule>
  </conditionalFormatting>
  <conditionalFormatting sqref="I1805">
    <cfRule type="containsText" dxfId="7045" priority="9569" operator="containsText" text="Missing">
      <formula>NOT(ISERROR(SEARCH("Missing",I1805)))</formula>
    </cfRule>
  </conditionalFormatting>
  <conditionalFormatting sqref="L1804">
    <cfRule type="containsText" dxfId="7044" priority="9576" operator="containsText" text="Positive">
      <formula>NOT(ISERROR(SEARCH("Positive",L1804)))</formula>
    </cfRule>
    <cfRule type="containsText" dxfId="7043" priority="9577" operator="containsText" text="Negative">
      <formula>NOT(ISERROR(SEARCH("Negative",L1804)))</formula>
    </cfRule>
  </conditionalFormatting>
  <conditionalFormatting sqref="L1805">
    <cfRule type="containsText" dxfId="7042" priority="9573" operator="containsText" text="Positive">
      <formula>NOT(ISERROR(SEARCH("Positive",L1805)))</formula>
    </cfRule>
    <cfRule type="containsText" dxfId="7041" priority="9574" operator="containsText" text="Negative">
      <formula>NOT(ISERROR(SEARCH("Negative",L1805)))</formula>
    </cfRule>
  </conditionalFormatting>
  <conditionalFormatting sqref="I1804">
    <cfRule type="containsText" dxfId="7040" priority="9571" operator="containsText" text="Missing">
      <formula>NOT(ISERROR(SEARCH("Missing",I1804)))</formula>
    </cfRule>
  </conditionalFormatting>
  <conditionalFormatting sqref="I1806">
    <cfRule type="containsText" dxfId="7039" priority="9570" operator="containsText" text="Missing">
      <formula>NOT(ISERROR(SEARCH("Missing",I1806)))</formula>
    </cfRule>
  </conditionalFormatting>
  <conditionalFormatting sqref="L1806">
    <cfRule type="containsText" dxfId="7038" priority="9567" operator="containsText" text="Positive">
      <formula>NOT(ISERROR(SEARCH("Positive",L1806)))</formula>
    </cfRule>
    <cfRule type="containsText" dxfId="7037" priority="9568" operator="containsText" text="Negative">
      <formula>NOT(ISERROR(SEARCH("Negative",L1806)))</formula>
    </cfRule>
  </conditionalFormatting>
  <conditionalFormatting sqref="H1806">
    <cfRule type="containsText" dxfId="7036" priority="9564" operator="containsText" text="Missing">
      <formula>NOT(ISERROR(SEARCH("Missing",H1806)))</formula>
    </cfRule>
  </conditionalFormatting>
  <conditionalFormatting sqref="H1805">
    <cfRule type="containsText" dxfId="7035" priority="9565" operator="containsText" text="Missing">
      <formula>NOT(ISERROR(SEARCH("Missing",H1805)))</formula>
    </cfRule>
  </conditionalFormatting>
  <conditionalFormatting sqref="H1804">
    <cfRule type="containsText" dxfId="7034" priority="9566" operator="containsText" text="Missing">
      <formula>NOT(ISERROR(SEARCH("Missing",H1804)))</formula>
    </cfRule>
  </conditionalFormatting>
  <conditionalFormatting sqref="H1776">
    <cfRule type="containsText" dxfId="7033" priority="9542" operator="containsText" text="Missing">
      <formula>NOT(ISERROR(SEARCH("Missing",H1776)))</formula>
    </cfRule>
  </conditionalFormatting>
  <conditionalFormatting sqref="L1771">
    <cfRule type="containsText" dxfId="7032" priority="9562" operator="containsText" text="Positive">
      <formula>NOT(ISERROR(SEARCH("Positive",L1771)))</formula>
    </cfRule>
    <cfRule type="containsText" dxfId="7031" priority="9563" operator="containsText" text="Negative">
      <formula>NOT(ISERROR(SEARCH("Negative",L1771)))</formula>
    </cfRule>
  </conditionalFormatting>
  <conditionalFormatting sqref="J1770:K1770">
    <cfRule type="containsText" dxfId="7030" priority="9561" operator="containsText" text="Missing">
      <formula>NOT(ISERROR(SEARCH("Missing",J1770)))</formula>
    </cfRule>
  </conditionalFormatting>
  <conditionalFormatting sqref="L1770">
    <cfRule type="containsText" dxfId="7029" priority="9559" operator="containsText" text="Positive">
      <formula>NOT(ISERROR(SEARCH("Positive",L1770)))</formula>
    </cfRule>
    <cfRule type="containsText" dxfId="7028" priority="9560" operator="containsText" text="Negative">
      <formula>NOT(ISERROR(SEARCH("Negative",L1770)))</formula>
    </cfRule>
  </conditionalFormatting>
  <conditionalFormatting sqref="J1771:K1771">
    <cfRule type="containsText" dxfId="7027" priority="9557" operator="containsText" text="Missing">
      <formula>NOT(ISERROR(SEARCH("Missing",J1771)))</formula>
    </cfRule>
  </conditionalFormatting>
  <conditionalFormatting sqref="H1770">
    <cfRule type="containsText" dxfId="7026" priority="9558" operator="containsText" text="Missing">
      <formula>NOT(ISERROR(SEARCH("Missing",H1770)))</formula>
    </cfRule>
  </conditionalFormatting>
  <conditionalFormatting sqref="J1772:K1774">
    <cfRule type="containsText" dxfId="7025" priority="9556" operator="containsText" text="Missing">
      <formula>NOT(ISERROR(SEARCH("Missing",J1772)))</formula>
    </cfRule>
  </conditionalFormatting>
  <conditionalFormatting sqref="L1772:L1774">
    <cfRule type="containsText" dxfId="7024" priority="9554" operator="containsText" text="Positive">
      <formula>NOT(ISERROR(SEARCH("Positive",L1772)))</formula>
    </cfRule>
    <cfRule type="containsText" dxfId="7023" priority="9555" operator="containsText" text="Negative">
      <formula>NOT(ISERROR(SEARCH("Negative",L1772)))</formula>
    </cfRule>
  </conditionalFormatting>
  <conditionalFormatting sqref="H1772">
    <cfRule type="containsText" dxfId="7022" priority="9552" operator="containsText" text="Missing">
      <formula>NOT(ISERROR(SEARCH("Missing",H1772)))</formula>
    </cfRule>
  </conditionalFormatting>
  <conditionalFormatting sqref="H1773">
    <cfRule type="containsText" dxfId="7021" priority="9551" operator="containsText" text="Missing">
      <formula>NOT(ISERROR(SEARCH("Missing",H1773)))</formula>
    </cfRule>
  </conditionalFormatting>
  <conditionalFormatting sqref="H1771">
    <cfRule type="containsText" dxfId="7020" priority="9553" operator="containsText" text="Missing">
      <formula>NOT(ISERROR(SEARCH("Missing",H1771)))</formula>
    </cfRule>
  </conditionalFormatting>
  <conditionalFormatting sqref="H1774">
    <cfRule type="containsText" dxfId="7019" priority="9550" operator="containsText" text="Missing">
      <formula>NOT(ISERROR(SEARCH("Missing",H1774)))</formula>
    </cfRule>
  </conditionalFormatting>
  <conditionalFormatting sqref="J1775:K1775">
    <cfRule type="containsText" dxfId="7018" priority="9547" operator="containsText" text="Missing">
      <formula>NOT(ISERROR(SEARCH("Missing",J1775)))</formula>
    </cfRule>
  </conditionalFormatting>
  <conditionalFormatting sqref="L1776">
    <cfRule type="containsText" dxfId="7017" priority="9548" operator="containsText" text="Positive">
      <formula>NOT(ISERROR(SEARCH("Positive",L1776)))</formula>
    </cfRule>
    <cfRule type="containsText" dxfId="7016" priority="9549" operator="containsText" text="Negative">
      <formula>NOT(ISERROR(SEARCH("Negative",L1776)))</formula>
    </cfRule>
  </conditionalFormatting>
  <conditionalFormatting sqref="J1890:K1890">
    <cfRule type="containsText" dxfId="7015" priority="9531" operator="containsText" text="Missing">
      <formula>NOT(ISERROR(SEARCH("Missing",J1890)))</formula>
    </cfRule>
  </conditionalFormatting>
  <conditionalFormatting sqref="L1775">
    <cfRule type="containsText" dxfId="7014" priority="9545" operator="containsText" text="Positive">
      <formula>NOT(ISERROR(SEARCH("Positive",L1775)))</formula>
    </cfRule>
    <cfRule type="containsText" dxfId="7013" priority="9546" operator="containsText" text="Negative">
      <formula>NOT(ISERROR(SEARCH("Negative",L1775)))</formula>
    </cfRule>
  </conditionalFormatting>
  <conditionalFormatting sqref="J1776:K1776">
    <cfRule type="containsText" dxfId="7012" priority="9543" operator="containsText" text="Missing">
      <formula>NOT(ISERROR(SEARCH("Missing",J1776)))</formula>
    </cfRule>
  </conditionalFormatting>
  <conditionalFormatting sqref="H1775">
    <cfRule type="containsText" dxfId="7011" priority="9544" operator="containsText" text="Missing">
      <formula>NOT(ISERROR(SEARCH("Missing",H1775)))</formula>
    </cfRule>
  </conditionalFormatting>
  <conditionalFormatting sqref="H1777">
    <cfRule type="containsText" dxfId="7010" priority="9541" operator="containsText" text="Missing">
      <formula>NOT(ISERROR(SEARCH("Missing",H1777)))</formula>
    </cfRule>
  </conditionalFormatting>
  <conditionalFormatting sqref="H1778">
    <cfRule type="containsText" dxfId="7009" priority="9540" operator="containsText" text="Missing">
      <formula>NOT(ISERROR(SEARCH("Missing",H1778)))</formula>
    </cfRule>
  </conditionalFormatting>
  <conditionalFormatting sqref="L1832">
    <cfRule type="containsText" dxfId="7008" priority="9538" operator="containsText" text="Positive">
      <formula>NOT(ISERROR(SEARCH("Positive",L1832)))</formula>
    </cfRule>
    <cfRule type="containsText" dxfId="7007" priority="9539" operator="containsText" text="Negative">
      <formula>NOT(ISERROR(SEARCH("Negative",L1832)))</formula>
    </cfRule>
  </conditionalFormatting>
  <conditionalFormatting sqref="I1832">
    <cfRule type="containsText" dxfId="7006" priority="9537" operator="containsText" text="Missing">
      <formula>NOT(ISERROR(SEARCH("Missing",I1832)))</formula>
    </cfRule>
  </conditionalFormatting>
  <conditionalFormatting sqref="H1832">
    <cfRule type="containsText" dxfId="7005" priority="9536" operator="containsText" text="Missing">
      <formula>NOT(ISERROR(SEARCH("Missing",H1832)))</formula>
    </cfRule>
  </conditionalFormatting>
  <conditionalFormatting sqref="L1818">
    <cfRule type="containsText" dxfId="7004" priority="9534" operator="containsText" text="Positive">
      <formula>NOT(ISERROR(SEARCH("Positive",L1818)))</formula>
    </cfRule>
    <cfRule type="containsText" dxfId="7003" priority="9535" operator="containsText" text="Negative">
      <formula>NOT(ISERROR(SEARCH("Negative",L1818)))</formula>
    </cfRule>
  </conditionalFormatting>
  <conditionalFormatting sqref="H1817">
    <cfRule type="containsText" dxfId="7002" priority="9533" operator="containsText" text="Missing">
      <formula>NOT(ISERROR(SEARCH("Missing",H1817)))</formula>
    </cfRule>
  </conditionalFormatting>
  <conditionalFormatting sqref="H1818">
    <cfRule type="containsText" dxfId="7001" priority="9532" operator="containsText" text="Missing">
      <formula>NOT(ISERROR(SEARCH("Missing",H1818)))</formula>
    </cfRule>
  </conditionalFormatting>
  <conditionalFormatting sqref="L1908">
    <cfRule type="containsText" dxfId="7000" priority="9523" operator="containsText" text="Positive">
      <formula>NOT(ISERROR(SEARCH("Positive",L1908)))</formula>
    </cfRule>
    <cfRule type="containsText" dxfId="6999" priority="9524" operator="containsText" text="Negative">
      <formula>NOT(ISERROR(SEARCH("Negative",L1908)))</formula>
    </cfRule>
  </conditionalFormatting>
  <conditionalFormatting sqref="L1890">
    <cfRule type="containsText" dxfId="6998" priority="9529" operator="containsText" text="Positive">
      <formula>NOT(ISERROR(SEARCH("Positive",L1890)))</formula>
    </cfRule>
    <cfRule type="containsText" dxfId="6997" priority="9530" operator="containsText" text="Negative">
      <formula>NOT(ISERROR(SEARCH("Negative",L1890)))</formula>
    </cfRule>
  </conditionalFormatting>
  <conditionalFormatting sqref="I1890">
    <cfRule type="containsText" dxfId="6996" priority="9528" operator="containsText" text="Missing">
      <formula>NOT(ISERROR(SEARCH("Missing",I1890)))</formula>
    </cfRule>
  </conditionalFormatting>
  <conditionalFormatting sqref="H1890">
    <cfRule type="containsText" dxfId="6995" priority="9526" operator="containsText" text="Missing">
      <formula>NOT(ISERROR(SEARCH("Missing",H1890)))</formula>
    </cfRule>
  </conditionalFormatting>
  <conditionalFormatting sqref="H1904">
    <cfRule type="containsText" dxfId="6994" priority="9518" operator="containsText" text="Missing">
      <formula>NOT(ISERROR(SEARCH("Missing",H1904)))</formula>
    </cfRule>
  </conditionalFormatting>
  <conditionalFormatting sqref="H1889">
    <cfRule type="containsText" dxfId="6993" priority="9527" operator="containsText" text="Missing">
      <formula>NOT(ISERROR(SEARCH("Missing",H1889)))</formula>
    </cfRule>
  </conditionalFormatting>
  <conditionalFormatting sqref="I1938">
    <cfRule type="containsText" dxfId="6992" priority="9508" operator="containsText" text="Missing">
      <formula>NOT(ISERROR(SEARCH("Missing",I1938)))</formula>
    </cfRule>
  </conditionalFormatting>
  <conditionalFormatting sqref="H1908:K1908">
    <cfRule type="containsText" dxfId="6991" priority="9525" operator="containsText" text="Missing">
      <formula>NOT(ISERROR(SEARCH("Missing",H1908)))</formula>
    </cfRule>
  </conditionalFormatting>
  <conditionalFormatting sqref="L1927">
    <cfRule type="containsText" dxfId="6990" priority="9515" operator="containsText" text="Positive">
      <formula>NOT(ISERROR(SEARCH("Positive",L1927)))</formula>
    </cfRule>
    <cfRule type="containsText" dxfId="6989" priority="9516" operator="containsText" text="Negative">
      <formula>NOT(ISERROR(SEARCH("Negative",L1927)))</formula>
    </cfRule>
  </conditionalFormatting>
  <conditionalFormatting sqref="J1904:K1904">
    <cfRule type="containsText" dxfId="6988" priority="9522" operator="containsText" text="Missing">
      <formula>NOT(ISERROR(SEARCH("Missing",J1904)))</formula>
    </cfRule>
  </conditionalFormatting>
  <conditionalFormatting sqref="L1904">
    <cfRule type="containsText" dxfId="6987" priority="9520" operator="containsText" text="Positive">
      <formula>NOT(ISERROR(SEARCH("Positive",L1904)))</formula>
    </cfRule>
    <cfRule type="containsText" dxfId="6986" priority="9521" operator="containsText" text="Negative">
      <formula>NOT(ISERROR(SEARCH("Negative",L1904)))</formula>
    </cfRule>
  </conditionalFormatting>
  <conditionalFormatting sqref="I1904">
    <cfRule type="containsText" dxfId="6985" priority="9519" operator="containsText" text="Missing">
      <formula>NOT(ISERROR(SEARCH("Missing",I1904)))</formula>
    </cfRule>
  </conditionalFormatting>
  <conditionalFormatting sqref="I1813">
    <cfRule type="containsText" dxfId="6984" priority="9504" operator="containsText" text="Missing">
      <formula>NOT(ISERROR(SEARCH("Missing",I1813)))</formula>
    </cfRule>
  </conditionalFormatting>
  <conditionalFormatting sqref="J1927:K1927">
    <cfRule type="containsText" dxfId="6983" priority="9517" operator="containsText" text="Missing">
      <formula>NOT(ISERROR(SEARCH("Missing",J1927)))</formula>
    </cfRule>
  </conditionalFormatting>
  <conditionalFormatting sqref="L1938">
    <cfRule type="containsText" dxfId="6982" priority="9512" operator="containsText" text="Positive">
      <formula>NOT(ISERROR(SEARCH("Positive",L1938)))</formula>
    </cfRule>
    <cfRule type="containsText" dxfId="6981" priority="9513" operator="containsText" text="Negative">
      <formula>NOT(ISERROR(SEARCH("Negative",L1938)))</formula>
    </cfRule>
  </conditionalFormatting>
  <conditionalFormatting sqref="J1938:K1938">
    <cfRule type="containsText" dxfId="6980" priority="9514" operator="containsText" text="Missing">
      <formula>NOT(ISERROR(SEARCH("Missing",J1938)))</formula>
    </cfRule>
  </conditionalFormatting>
  <conditionalFormatting sqref="H1927">
    <cfRule type="containsText" dxfId="6979" priority="9511" operator="containsText" text="Missing">
      <formula>NOT(ISERROR(SEARCH("Missing",H1927)))</formula>
    </cfRule>
  </conditionalFormatting>
  <conditionalFormatting sqref="I1927">
    <cfRule type="containsText" dxfId="6978" priority="9510" operator="containsText" text="Missing">
      <formula>NOT(ISERROR(SEARCH("Missing",I1927)))</formula>
    </cfRule>
  </conditionalFormatting>
  <conditionalFormatting sqref="H1938">
    <cfRule type="containsText" dxfId="6977" priority="9509" operator="containsText" text="Missing">
      <formula>NOT(ISERROR(SEARCH("Missing",H1938)))</formula>
    </cfRule>
  </conditionalFormatting>
  <conditionalFormatting sqref="I1827">
    <cfRule type="containsText" dxfId="6976" priority="9499" operator="containsText" text="Missing">
      <formula>NOT(ISERROR(SEARCH("Missing",I1827)))</formula>
    </cfRule>
  </conditionalFormatting>
  <conditionalFormatting sqref="L1813">
    <cfRule type="containsText" dxfId="6975" priority="9506" operator="containsText" text="Positive">
      <formula>NOT(ISERROR(SEARCH("Positive",L1813)))</formula>
    </cfRule>
    <cfRule type="containsText" dxfId="6974" priority="9507" operator="containsText" text="Negative">
      <formula>NOT(ISERROR(SEARCH("Negative",L1813)))</formula>
    </cfRule>
  </conditionalFormatting>
  <conditionalFormatting sqref="J1827:K1827">
    <cfRule type="containsText" dxfId="6973" priority="9503" operator="containsText" text="Missing">
      <formula>NOT(ISERROR(SEARCH("Missing",J1827)))</formula>
    </cfRule>
  </conditionalFormatting>
  <conditionalFormatting sqref="L1827">
    <cfRule type="containsText" dxfId="6972" priority="9501" operator="containsText" text="Positive">
      <formula>NOT(ISERROR(SEARCH("Positive",L1827)))</formula>
    </cfRule>
    <cfRule type="containsText" dxfId="6971" priority="9502" operator="containsText" text="Negative">
      <formula>NOT(ISERROR(SEARCH("Negative",L1827)))</formula>
    </cfRule>
  </conditionalFormatting>
  <conditionalFormatting sqref="H1813">
    <cfRule type="containsText" dxfId="6970" priority="9505" operator="containsText" text="Missing">
      <formula>NOT(ISERROR(SEARCH("Missing",H1813)))</formula>
    </cfRule>
  </conditionalFormatting>
  <conditionalFormatting sqref="I1885">
    <cfRule type="containsText" dxfId="6969" priority="9494" operator="containsText" text="Missing">
      <formula>NOT(ISERROR(SEARCH("Missing",I1885)))</formula>
    </cfRule>
  </conditionalFormatting>
  <conditionalFormatting sqref="J1920:K1920">
    <cfRule type="containsText" dxfId="6968" priority="9488" operator="containsText" text="Missing">
      <formula>NOT(ISERROR(SEARCH("Missing",J1920)))</formula>
    </cfRule>
  </conditionalFormatting>
  <conditionalFormatting sqref="J1885:K1885">
    <cfRule type="containsText" dxfId="6967" priority="9498" operator="containsText" text="Missing">
      <formula>NOT(ISERROR(SEARCH("Missing",J1885)))</formula>
    </cfRule>
  </conditionalFormatting>
  <conditionalFormatting sqref="L1885">
    <cfRule type="containsText" dxfId="6966" priority="9496" operator="containsText" text="Positive">
      <formula>NOT(ISERROR(SEARCH("Positive",L1885)))</formula>
    </cfRule>
    <cfRule type="containsText" dxfId="6965" priority="9497" operator="containsText" text="Negative">
      <formula>NOT(ISERROR(SEARCH("Negative",L1885)))</formula>
    </cfRule>
  </conditionalFormatting>
  <conditionalFormatting sqref="H1827">
    <cfRule type="containsText" dxfId="6964" priority="9500" operator="containsText" text="Missing">
      <formula>NOT(ISERROR(SEARCH("Missing",H1827)))</formula>
    </cfRule>
  </conditionalFormatting>
  <conditionalFormatting sqref="H1885">
    <cfRule type="containsText" dxfId="6963" priority="9495" operator="containsText" text="Missing">
      <formula>NOT(ISERROR(SEARCH("Missing",H1885)))</formula>
    </cfRule>
  </conditionalFormatting>
  <conditionalFormatting sqref="I1899">
    <cfRule type="containsText" dxfId="6962" priority="9489" operator="containsText" text="Missing">
      <formula>NOT(ISERROR(SEARCH("Missing",I1899)))</formula>
    </cfRule>
  </conditionalFormatting>
  <conditionalFormatting sqref="J1899:K1899">
    <cfRule type="containsText" dxfId="6961" priority="9493" operator="containsText" text="Missing">
      <formula>NOT(ISERROR(SEARCH("Missing",J1899)))</formula>
    </cfRule>
  </conditionalFormatting>
  <conditionalFormatting sqref="H1920">
    <cfRule type="containsText" dxfId="6960" priority="9484" operator="containsText" text="Missing">
      <formula>NOT(ISERROR(SEARCH("Missing",H1920)))</formula>
    </cfRule>
  </conditionalFormatting>
  <conditionalFormatting sqref="L1899">
    <cfRule type="containsText" dxfId="6959" priority="9491" operator="containsText" text="Positive">
      <formula>NOT(ISERROR(SEARCH("Positive",L1899)))</formula>
    </cfRule>
    <cfRule type="containsText" dxfId="6958" priority="9492" operator="containsText" text="Negative">
      <formula>NOT(ISERROR(SEARCH("Negative",L1899)))</formula>
    </cfRule>
  </conditionalFormatting>
  <conditionalFormatting sqref="I1920">
    <cfRule type="containsText" dxfId="6957" priority="9485" operator="containsText" text="Missing">
      <formula>NOT(ISERROR(SEARCH("Missing",I1920)))</formula>
    </cfRule>
  </conditionalFormatting>
  <conditionalFormatting sqref="J1931:K1931">
    <cfRule type="containsText" dxfId="6956" priority="9483" operator="containsText" text="Missing">
      <formula>NOT(ISERROR(SEARCH("Missing",J1931)))</formula>
    </cfRule>
  </conditionalFormatting>
  <conditionalFormatting sqref="H1931">
    <cfRule type="containsText" dxfId="6955" priority="9480" operator="containsText" text="Missing">
      <formula>NOT(ISERROR(SEARCH("Missing",H1931)))</formula>
    </cfRule>
  </conditionalFormatting>
  <conditionalFormatting sqref="L1931">
    <cfRule type="containsText" dxfId="6954" priority="9481" operator="containsText" text="Positive">
      <formula>NOT(ISERROR(SEARCH("Positive",L1931)))</formula>
    </cfRule>
    <cfRule type="containsText" dxfId="6953" priority="9482" operator="containsText" text="Negative">
      <formula>NOT(ISERROR(SEARCH("Negative",L1931)))</formula>
    </cfRule>
  </conditionalFormatting>
  <conditionalFormatting sqref="H1899">
    <cfRule type="containsText" dxfId="6952" priority="9490" operator="containsText" text="Missing">
      <formula>NOT(ISERROR(SEARCH("Missing",H1899)))</formula>
    </cfRule>
  </conditionalFormatting>
  <conditionalFormatting sqref="L1920">
    <cfRule type="containsText" dxfId="6951" priority="9486" operator="containsText" text="Positive">
      <formula>NOT(ISERROR(SEARCH("Positive",L1920)))</formula>
    </cfRule>
    <cfRule type="containsText" dxfId="6950" priority="9487" operator="containsText" text="Negative">
      <formula>NOT(ISERROR(SEARCH("Negative",L1920)))</formula>
    </cfRule>
  </conditionalFormatting>
  <conditionalFormatting sqref="H1792:K1793">
    <cfRule type="containsText" dxfId="6949" priority="9479" operator="containsText" text="Missing">
      <formula>NOT(ISERROR(SEARCH("Missing",H1792)))</formula>
    </cfRule>
  </conditionalFormatting>
  <conditionalFormatting sqref="L1792:L1793">
    <cfRule type="containsText" dxfId="6948" priority="9477" operator="containsText" text="Positive">
      <formula>NOT(ISERROR(SEARCH("Positive",L1792)))</formula>
    </cfRule>
    <cfRule type="containsText" dxfId="6947" priority="9478" operator="containsText" text="Negative">
      <formula>NOT(ISERROR(SEARCH("Negative",L1792)))</formula>
    </cfRule>
  </conditionalFormatting>
  <conditionalFormatting sqref="J1792:K1793">
    <cfRule type="containsText" dxfId="6946" priority="9474" operator="containsText" text="Missing">
      <formula>NOT(ISERROR(SEARCH("Missing",J1792)))</formula>
    </cfRule>
  </conditionalFormatting>
  <conditionalFormatting sqref="L1792:L1793">
    <cfRule type="containsText" dxfId="6945" priority="9475" operator="containsText" text="Positive">
      <formula>NOT(ISERROR(SEARCH("Positive",L1792)))</formula>
    </cfRule>
    <cfRule type="containsText" dxfId="6944" priority="9476" operator="containsText" text="Negative">
      <formula>NOT(ISERROR(SEARCH("Negative",L1792)))</formula>
    </cfRule>
  </conditionalFormatting>
  <conditionalFormatting sqref="H1792:H1793">
    <cfRule type="containsText" dxfId="6943" priority="9471" operator="containsText" text="Missing">
      <formula>NOT(ISERROR(SEARCH("Missing",H1792)))</formula>
    </cfRule>
  </conditionalFormatting>
  <conditionalFormatting sqref="L1792:L1793">
    <cfRule type="containsText" dxfId="6942" priority="9472" operator="containsText" text="Positive">
      <formula>NOT(ISERROR(SEARCH("Positive",L1792)))</formula>
    </cfRule>
    <cfRule type="containsText" dxfId="6941" priority="9473" operator="containsText" text="Negative">
      <formula>NOT(ISERROR(SEARCH("Negative",L1792)))</formula>
    </cfRule>
  </conditionalFormatting>
  <conditionalFormatting sqref="I1792:I1793">
    <cfRule type="containsText" dxfId="6940" priority="9470" operator="containsText" text="Missing">
      <formula>NOT(ISERROR(SEARCH("Missing",I1792)))</formula>
    </cfRule>
  </conditionalFormatting>
  <conditionalFormatting sqref="J1792:K1793">
    <cfRule type="containsText" dxfId="6939" priority="9469" operator="containsText" text="Missing">
      <formula>NOT(ISERROR(SEARCH("Missing",J1792)))</formula>
    </cfRule>
  </conditionalFormatting>
  <conditionalFormatting sqref="L1792:L1793">
    <cfRule type="containsText" dxfId="6938" priority="9467" operator="containsText" text="Positive">
      <formula>NOT(ISERROR(SEARCH("Positive",L1792)))</formula>
    </cfRule>
    <cfRule type="containsText" dxfId="6937" priority="9468" operator="containsText" text="Negative">
      <formula>NOT(ISERROR(SEARCH("Negative",L1792)))</formula>
    </cfRule>
  </conditionalFormatting>
  <conditionalFormatting sqref="I1792:I1793">
    <cfRule type="containsText" dxfId="6936" priority="9466" operator="containsText" text="Missing">
      <formula>NOT(ISERROR(SEARCH("Missing",I1792)))</formula>
    </cfRule>
  </conditionalFormatting>
  <conditionalFormatting sqref="H1792:H1793">
    <cfRule type="containsText" dxfId="6935" priority="9464" operator="containsText" text="Missing">
      <formula>NOT(ISERROR(SEARCH("Missing",H1792)))</formula>
    </cfRule>
  </conditionalFormatting>
  <conditionalFormatting sqref="H1792:H1793">
    <cfRule type="containsText" dxfId="6934" priority="9465" operator="containsText" text="Missing">
      <formula>NOT(ISERROR(SEARCH("Missing",H1792)))</formula>
    </cfRule>
  </conditionalFormatting>
  <conditionalFormatting sqref="L1825">
    <cfRule type="containsText" dxfId="6933" priority="9462" operator="containsText" text="Positive">
      <formula>NOT(ISERROR(SEARCH("Positive",L1825)))</formula>
    </cfRule>
    <cfRule type="containsText" dxfId="6932" priority="9463" operator="containsText" text="Negative">
      <formula>NOT(ISERROR(SEARCH("Negative",L1825)))</formula>
    </cfRule>
  </conditionalFormatting>
  <conditionalFormatting sqref="I1825">
    <cfRule type="containsText" dxfId="6931" priority="9460" operator="containsText" text="Missing">
      <formula>NOT(ISERROR(SEARCH("Missing",I1825)))</formula>
    </cfRule>
  </conditionalFormatting>
  <conditionalFormatting sqref="J1825:K1825">
    <cfRule type="containsText" dxfId="6930" priority="9461" operator="containsText" text="Missing">
      <formula>NOT(ISERROR(SEARCH("Missing",J1825)))</formula>
    </cfRule>
  </conditionalFormatting>
  <conditionalFormatting sqref="H1825">
    <cfRule type="containsText" dxfId="6929" priority="9459" operator="containsText" text="Missing">
      <formula>NOT(ISERROR(SEARCH("Missing",H1825)))</formula>
    </cfRule>
  </conditionalFormatting>
  <conditionalFormatting sqref="H1791">
    <cfRule type="containsText" dxfId="6928" priority="9458" operator="containsText" text="Missing">
      <formula>NOT(ISERROR(SEARCH("Missing",H1791)))</formula>
    </cfRule>
  </conditionalFormatting>
  <conditionalFormatting sqref="H1791">
    <cfRule type="containsText" dxfId="6927" priority="9457" operator="containsText" text="Missing">
      <formula>NOT(ISERROR(SEARCH("Missing",H1791)))</formula>
    </cfRule>
  </conditionalFormatting>
  <conditionalFormatting sqref="H1791">
    <cfRule type="containsText" dxfId="6926" priority="9455" operator="containsText" text="Missing">
      <formula>NOT(ISERROR(SEARCH("Missing",H1791)))</formula>
    </cfRule>
  </conditionalFormatting>
  <conditionalFormatting sqref="H1791">
    <cfRule type="containsText" dxfId="6925" priority="9456" operator="containsText" text="Missing">
      <formula>NOT(ISERROR(SEARCH("Missing",H1791)))</formula>
    </cfRule>
  </conditionalFormatting>
  <conditionalFormatting sqref="J1864:K1864">
    <cfRule type="containsText" dxfId="6924" priority="9454" operator="containsText" text="Missing">
      <formula>NOT(ISERROR(SEARCH("Missing",J1864)))</formula>
    </cfRule>
  </conditionalFormatting>
  <conditionalFormatting sqref="L1865:L1866">
    <cfRule type="containsText" dxfId="6923" priority="9440" operator="containsText" text="Positive">
      <formula>NOT(ISERROR(SEARCH("Positive",L1865)))</formula>
    </cfRule>
    <cfRule type="containsText" dxfId="6922" priority="9441" operator="containsText" text="Negative">
      <formula>NOT(ISERROR(SEARCH("Negative",L1865)))</formula>
    </cfRule>
  </conditionalFormatting>
  <conditionalFormatting sqref="I1864">
    <cfRule type="containsText" dxfId="6921" priority="9453" operator="containsText" text="Missing">
      <formula>NOT(ISERROR(SEARCH("Missing",I1864)))</formula>
    </cfRule>
  </conditionalFormatting>
  <conditionalFormatting sqref="H1865:K1866">
    <cfRule type="containsText" dxfId="6920" priority="9452" operator="containsText" text="Missing">
      <formula>NOT(ISERROR(SEARCH("Missing",H1865)))</formula>
    </cfRule>
  </conditionalFormatting>
  <conditionalFormatting sqref="L1865:L1866">
    <cfRule type="containsText" dxfId="6919" priority="9450" operator="containsText" text="Positive">
      <formula>NOT(ISERROR(SEARCH("Positive",L1865)))</formula>
    </cfRule>
    <cfRule type="containsText" dxfId="6918" priority="9451" operator="containsText" text="Negative">
      <formula>NOT(ISERROR(SEARCH("Negative",L1865)))</formula>
    </cfRule>
  </conditionalFormatting>
  <conditionalFormatting sqref="J1865:K1866">
    <cfRule type="containsText" dxfId="6917" priority="9447" operator="containsText" text="Missing">
      <formula>NOT(ISERROR(SEARCH("Missing",J1865)))</formula>
    </cfRule>
  </conditionalFormatting>
  <conditionalFormatting sqref="L1865:L1866">
    <cfRule type="containsText" dxfId="6916" priority="9448" operator="containsText" text="Positive">
      <formula>NOT(ISERROR(SEARCH("Positive",L1865)))</formula>
    </cfRule>
    <cfRule type="containsText" dxfId="6915" priority="9449" operator="containsText" text="Negative">
      <formula>NOT(ISERROR(SEARCH("Negative",L1865)))</formula>
    </cfRule>
  </conditionalFormatting>
  <conditionalFormatting sqref="H1865:H1866">
    <cfRule type="containsText" dxfId="6914" priority="9444" operator="containsText" text="Missing">
      <formula>NOT(ISERROR(SEARCH("Missing",H1865)))</formula>
    </cfRule>
  </conditionalFormatting>
  <conditionalFormatting sqref="L1865:L1866">
    <cfRule type="containsText" dxfId="6913" priority="9445" operator="containsText" text="Positive">
      <formula>NOT(ISERROR(SEARCH("Positive",L1865)))</formula>
    </cfRule>
    <cfRule type="containsText" dxfId="6912" priority="9446" operator="containsText" text="Negative">
      <formula>NOT(ISERROR(SEARCH("Negative",L1865)))</formula>
    </cfRule>
  </conditionalFormatting>
  <conditionalFormatting sqref="I1865:I1866">
    <cfRule type="containsText" dxfId="6911" priority="9443" operator="containsText" text="Missing">
      <formula>NOT(ISERROR(SEARCH("Missing",I1865)))</formula>
    </cfRule>
  </conditionalFormatting>
  <conditionalFormatting sqref="J1865:K1866">
    <cfRule type="containsText" dxfId="6910" priority="9442" operator="containsText" text="Missing">
      <formula>NOT(ISERROR(SEARCH("Missing",J1865)))</formula>
    </cfRule>
  </conditionalFormatting>
  <conditionalFormatting sqref="I1865:I1866">
    <cfRule type="containsText" dxfId="6909" priority="9439" operator="containsText" text="Missing">
      <formula>NOT(ISERROR(SEARCH("Missing",I1865)))</formula>
    </cfRule>
  </conditionalFormatting>
  <conditionalFormatting sqref="H1865:H1866">
    <cfRule type="containsText" dxfId="6908" priority="9437" operator="containsText" text="Missing">
      <formula>NOT(ISERROR(SEARCH("Missing",H1865)))</formula>
    </cfRule>
  </conditionalFormatting>
  <conditionalFormatting sqref="H1865:H1866">
    <cfRule type="containsText" dxfId="6907" priority="9438" operator="containsText" text="Missing">
      <formula>NOT(ISERROR(SEARCH("Missing",H1865)))</formula>
    </cfRule>
  </conditionalFormatting>
  <conditionalFormatting sqref="H1864">
    <cfRule type="containsText" dxfId="6906" priority="9436" operator="containsText" text="Missing">
      <formula>NOT(ISERROR(SEARCH("Missing",H1864)))</formula>
    </cfRule>
  </conditionalFormatting>
  <conditionalFormatting sqref="H1864">
    <cfRule type="containsText" dxfId="6905" priority="9435" operator="containsText" text="Missing">
      <formula>NOT(ISERROR(SEARCH("Missing",H1864)))</formula>
    </cfRule>
  </conditionalFormatting>
  <conditionalFormatting sqref="H1864">
    <cfRule type="containsText" dxfId="6904" priority="9433" operator="containsText" text="Missing">
      <formula>NOT(ISERROR(SEARCH("Missing",H1864)))</formula>
    </cfRule>
  </conditionalFormatting>
  <conditionalFormatting sqref="H1864">
    <cfRule type="containsText" dxfId="6903" priority="9434" operator="containsText" text="Missing">
      <formula>NOT(ISERROR(SEARCH("Missing",H1864)))</formula>
    </cfRule>
  </conditionalFormatting>
  <conditionalFormatting sqref="L1864">
    <cfRule type="containsText" dxfId="6902" priority="9431" operator="containsText" text="Positive">
      <formula>NOT(ISERROR(SEARCH("Positive",L1864)))</formula>
    </cfRule>
    <cfRule type="containsText" dxfId="6901" priority="9432" operator="containsText" text="Negative">
      <formula>NOT(ISERROR(SEARCH("Negative",L1864)))</formula>
    </cfRule>
  </conditionalFormatting>
  <conditionalFormatting sqref="L1791">
    <cfRule type="containsText" dxfId="6900" priority="9429" operator="containsText" text="Positive">
      <formula>NOT(ISERROR(SEARCH("Positive",L1791)))</formula>
    </cfRule>
    <cfRule type="containsText" dxfId="6899" priority="9430" operator="containsText" text="Negative">
      <formula>NOT(ISERROR(SEARCH("Negative",L1791)))</formula>
    </cfRule>
  </conditionalFormatting>
  <conditionalFormatting sqref="L1791">
    <cfRule type="containsText" dxfId="6898" priority="9427" operator="containsText" text="Positive">
      <formula>NOT(ISERROR(SEARCH("Positive",L1791)))</formula>
    </cfRule>
    <cfRule type="containsText" dxfId="6897" priority="9428" operator="containsText" text="Negative">
      <formula>NOT(ISERROR(SEARCH("Negative",L1791)))</formula>
    </cfRule>
  </conditionalFormatting>
  <conditionalFormatting sqref="L1791">
    <cfRule type="containsText" dxfId="6896" priority="9425" operator="containsText" text="Positive">
      <formula>NOT(ISERROR(SEARCH("Positive",L1791)))</formula>
    </cfRule>
    <cfRule type="containsText" dxfId="6895" priority="9426" operator="containsText" text="Negative">
      <formula>NOT(ISERROR(SEARCH("Negative",L1791)))</formula>
    </cfRule>
  </conditionalFormatting>
  <conditionalFormatting sqref="L1791">
    <cfRule type="containsText" dxfId="6894" priority="9423" operator="containsText" text="Positive">
      <formula>NOT(ISERROR(SEARCH("Positive",L1791)))</formula>
    </cfRule>
    <cfRule type="containsText" dxfId="6893" priority="9424" operator="containsText" text="Negative">
      <formula>NOT(ISERROR(SEARCH("Negative",L1791)))</formula>
    </cfRule>
  </conditionalFormatting>
  <conditionalFormatting sqref="I1809">
    <cfRule type="containsText" dxfId="6892" priority="9422" operator="containsText" text="Missing">
      <formula>NOT(ISERROR(SEARCH("Missing",I1809)))</formula>
    </cfRule>
  </conditionalFormatting>
  <conditionalFormatting sqref="L1875:L1878">
    <cfRule type="containsText" dxfId="6891" priority="9420" operator="containsText" text="Positive">
      <formula>NOT(ISERROR(SEARCH("Positive",L1875)))</formula>
    </cfRule>
    <cfRule type="containsText" dxfId="6890" priority="9421" operator="containsText" text="Negative">
      <formula>NOT(ISERROR(SEARCH("Negative",L1875)))</formula>
    </cfRule>
  </conditionalFormatting>
  <conditionalFormatting sqref="J1877:K1877">
    <cfRule type="containsText" dxfId="6889" priority="9411" operator="containsText" text="Missing">
      <formula>NOT(ISERROR(SEARCH("Missing",J1877)))</formula>
    </cfRule>
  </conditionalFormatting>
  <conditionalFormatting sqref="J1875:K1875">
    <cfRule type="containsText" dxfId="6888" priority="9417" operator="containsText" text="Missing">
      <formula>NOT(ISERROR(SEARCH("Missing",J1875)))</formula>
    </cfRule>
  </conditionalFormatting>
  <conditionalFormatting sqref="J1876:K1876">
    <cfRule type="containsText" dxfId="6887" priority="9414" operator="containsText" text="Missing">
      <formula>NOT(ISERROR(SEARCH("Missing",J1876)))</formula>
    </cfRule>
  </conditionalFormatting>
  <conditionalFormatting sqref="I1876">
    <cfRule type="containsText" dxfId="6886" priority="9407" operator="containsText" text="Missing">
      <formula>NOT(ISERROR(SEARCH("Missing",I1876)))</formula>
    </cfRule>
  </conditionalFormatting>
  <conditionalFormatting sqref="L1878">
    <cfRule type="containsText" dxfId="6885" priority="9418" operator="containsText" text="Positive">
      <formula>NOT(ISERROR(SEARCH("Positive",L1878)))</formula>
    </cfRule>
    <cfRule type="containsText" dxfId="6884" priority="9419" operator="containsText" text="Negative">
      <formula>NOT(ISERROR(SEARCH("Negative",L1878)))</formula>
    </cfRule>
  </conditionalFormatting>
  <conditionalFormatting sqref="J1878:K1878">
    <cfRule type="containsText" dxfId="6883" priority="9410" operator="containsText" text="Missing">
      <formula>NOT(ISERROR(SEARCH("Missing",J1878)))</formula>
    </cfRule>
  </conditionalFormatting>
  <conditionalFormatting sqref="L1875">
    <cfRule type="containsText" dxfId="6882" priority="9415" operator="containsText" text="Positive">
      <formula>NOT(ISERROR(SEARCH("Positive",L1875)))</formula>
    </cfRule>
    <cfRule type="containsText" dxfId="6881" priority="9416" operator="containsText" text="Negative">
      <formula>NOT(ISERROR(SEARCH("Negative",L1875)))</formula>
    </cfRule>
  </conditionalFormatting>
  <conditionalFormatting sqref="L1876">
    <cfRule type="containsText" dxfId="6880" priority="9412" operator="containsText" text="Positive">
      <formula>NOT(ISERROR(SEARCH("Positive",L1876)))</formula>
    </cfRule>
    <cfRule type="containsText" dxfId="6879" priority="9413" operator="containsText" text="Negative">
      <formula>NOT(ISERROR(SEARCH("Negative",L1876)))</formula>
    </cfRule>
  </conditionalFormatting>
  <conditionalFormatting sqref="I1875">
    <cfRule type="containsText" dxfId="6878" priority="9409" operator="containsText" text="Missing">
      <formula>NOT(ISERROR(SEARCH("Missing",I1875)))</formula>
    </cfRule>
  </conditionalFormatting>
  <conditionalFormatting sqref="I1877">
    <cfRule type="containsText" dxfId="6877" priority="9408" operator="containsText" text="Missing">
      <formula>NOT(ISERROR(SEARCH("Missing",I1877)))</formula>
    </cfRule>
  </conditionalFormatting>
  <conditionalFormatting sqref="H1877">
    <cfRule type="containsText" dxfId="6876" priority="9400" operator="containsText" text="Missing">
      <formula>NOT(ISERROR(SEARCH("Missing",H1877)))</formula>
    </cfRule>
  </conditionalFormatting>
  <conditionalFormatting sqref="H1876">
    <cfRule type="containsText" dxfId="6875" priority="9402" operator="containsText" text="Missing">
      <formula>NOT(ISERROR(SEARCH("Missing",H1876)))</formula>
    </cfRule>
  </conditionalFormatting>
  <conditionalFormatting sqref="H1875">
    <cfRule type="containsText" dxfId="6874" priority="9403" operator="containsText" text="Missing">
      <formula>NOT(ISERROR(SEARCH("Missing",H1875)))</formula>
    </cfRule>
  </conditionalFormatting>
  <conditionalFormatting sqref="H1878">
    <cfRule type="containsText" dxfId="6873" priority="9401" operator="containsText" text="Missing">
      <formula>NOT(ISERROR(SEARCH("Missing",H1878)))</formula>
    </cfRule>
  </conditionalFormatting>
  <conditionalFormatting sqref="L1882:L1884">
    <cfRule type="containsText" dxfId="6872" priority="9385" operator="containsText" text="Positive">
      <formula>NOT(ISERROR(SEARCH("Positive",L1882)))</formula>
    </cfRule>
    <cfRule type="containsText" dxfId="6871" priority="9386" operator="containsText" text="Negative">
      <formula>NOT(ISERROR(SEARCH("Negative",L1882)))</formula>
    </cfRule>
  </conditionalFormatting>
  <conditionalFormatting sqref="I1881">
    <cfRule type="containsText" dxfId="6870" priority="9398" operator="containsText" text="Missing">
      <formula>NOT(ISERROR(SEARCH("Missing",I1881)))</formula>
    </cfRule>
  </conditionalFormatting>
  <conditionalFormatting sqref="H1882:K1884">
    <cfRule type="containsText" dxfId="6869" priority="9397" operator="containsText" text="Missing">
      <formula>NOT(ISERROR(SEARCH("Missing",H1882)))</formula>
    </cfRule>
  </conditionalFormatting>
  <conditionalFormatting sqref="J1882:K1884">
    <cfRule type="containsText" dxfId="6868" priority="9392" operator="containsText" text="Missing">
      <formula>NOT(ISERROR(SEARCH("Missing",J1882)))</formula>
    </cfRule>
  </conditionalFormatting>
  <conditionalFormatting sqref="H1882:H1884">
    <cfRule type="containsText" dxfId="6867" priority="9389" operator="containsText" text="Missing">
      <formula>NOT(ISERROR(SEARCH("Missing",H1882)))</formula>
    </cfRule>
  </conditionalFormatting>
  <conditionalFormatting sqref="L1882:L1884">
    <cfRule type="containsText" dxfId="6866" priority="9390" operator="containsText" text="Positive">
      <formula>NOT(ISERROR(SEARCH("Positive",L1882)))</formula>
    </cfRule>
    <cfRule type="containsText" dxfId="6865" priority="9391" operator="containsText" text="Negative">
      <formula>NOT(ISERROR(SEARCH("Negative",L1882)))</formula>
    </cfRule>
  </conditionalFormatting>
  <conditionalFormatting sqref="I1882:I1884">
    <cfRule type="containsText" dxfId="6864" priority="9388" operator="containsText" text="Missing">
      <formula>NOT(ISERROR(SEARCH("Missing",I1882)))</formula>
    </cfRule>
  </conditionalFormatting>
  <conditionalFormatting sqref="J1882:K1884">
    <cfRule type="containsText" dxfId="6863" priority="9387" operator="containsText" text="Missing">
      <formula>NOT(ISERROR(SEARCH("Missing",J1882)))</formula>
    </cfRule>
  </conditionalFormatting>
  <conditionalFormatting sqref="I1882:I1884">
    <cfRule type="containsText" dxfId="6862" priority="9384" operator="containsText" text="Missing">
      <formula>NOT(ISERROR(SEARCH("Missing",I1882)))</formula>
    </cfRule>
  </conditionalFormatting>
  <conditionalFormatting sqref="H1882:H1884">
    <cfRule type="containsText" dxfId="6861" priority="9382" operator="containsText" text="Missing">
      <formula>NOT(ISERROR(SEARCH("Missing",H1882)))</formula>
    </cfRule>
  </conditionalFormatting>
  <conditionalFormatting sqref="H1882:H1884">
    <cfRule type="containsText" dxfId="6860" priority="9383" operator="containsText" text="Missing">
      <formula>NOT(ISERROR(SEARCH("Missing",H1882)))</formula>
    </cfRule>
  </conditionalFormatting>
  <conditionalFormatting sqref="H1881">
    <cfRule type="containsText" dxfId="6859" priority="9381" operator="containsText" text="Missing">
      <formula>NOT(ISERROR(SEARCH("Missing",H1881)))</formula>
    </cfRule>
  </conditionalFormatting>
  <conditionalFormatting sqref="H1881">
    <cfRule type="containsText" dxfId="6858" priority="9380" operator="containsText" text="Missing">
      <formula>NOT(ISERROR(SEARCH("Missing",H1881)))</formula>
    </cfRule>
  </conditionalFormatting>
  <conditionalFormatting sqref="H1881">
    <cfRule type="containsText" dxfId="6857" priority="9379" operator="containsText" text="Missing">
      <formula>NOT(ISERROR(SEARCH("Missing",H1881)))</formula>
    </cfRule>
  </conditionalFormatting>
  <conditionalFormatting sqref="H1795:K1795">
    <cfRule type="containsText" dxfId="6856" priority="9375" operator="containsText" text="Missing">
      <formula>NOT(ISERROR(SEARCH("Missing",H1795)))</formula>
    </cfRule>
  </conditionalFormatting>
  <conditionalFormatting sqref="L1795">
    <cfRule type="containsText" dxfId="6855" priority="9373" operator="containsText" text="Positive">
      <formula>NOT(ISERROR(SEARCH("Positive",L1795)))</formula>
    </cfRule>
    <cfRule type="containsText" dxfId="6854" priority="9374" operator="containsText" text="Negative">
      <formula>NOT(ISERROR(SEARCH("Negative",L1795)))</formula>
    </cfRule>
  </conditionalFormatting>
  <conditionalFormatting sqref="I1841">
    <cfRule type="containsText" dxfId="6853" priority="9372" operator="containsText" text="Missing">
      <formula>NOT(ISERROR(SEARCH("Missing",I1841)))</formula>
    </cfRule>
  </conditionalFormatting>
  <conditionalFormatting sqref="J1826:K1826">
    <cfRule type="containsText" dxfId="6852" priority="9365" operator="containsText" text="Missing">
      <formula>NOT(ISERROR(SEARCH("Missing",J1826)))</formula>
    </cfRule>
  </conditionalFormatting>
  <conditionalFormatting sqref="I1826">
    <cfRule type="containsText" dxfId="6851" priority="9364" operator="containsText" text="Missing">
      <formula>NOT(ISERROR(SEARCH("Missing",I1826)))</formula>
    </cfRule>
  </conditionalFormatting>
  <conditionalFormatting sqref="H1826">
    <cfRule type="containsText" dxfId="6850" priority="9363" operator="containsText" text="Missing">
      <formula>NOT(ISERROR(SEARCH("Missing",H1826)))</formula>
    </cfRule>
  </conditionalFormatting>
  <conditionalFormatting sqref="H1822:K1822">
    <cfRule type="containsText" dxfId="6849" priority="9362" operator="containsText" text="Missing">
      <formula>NOT(ISERROR(SEARCH("Missing",H1822)))</formula>
    </cfRule>
  </conditionalFormatting>
  <conditionalFormatting sqref="L1822">
    <cfRule type="containsText" dxfId="6848" priority="9360" operator="containsText" text="Positive">
      <formula>NOT(ISERROR(SEARCH("Positive",L1822)))</formula>
    </cfRule>
    <cfRule type="containsText" dxfId="6847" priority="9361" operator="containsText" text="Negative">
      <formula>NOT(ISERROR(SEARCH("Negative",L1822)))</formula>
    </cfRule>
  </conditionalFormatting>
  <conditionalFormatting sqref="H1898">
    <cfRule type="containsText" dxfId="6846" priority="9335" operator="containsText" text="Missing">
      <formula>NOT(ISERROR(SEARCH("Missing",H1898)))</formula>
    </cfRule>
  </conditionalFormatting>
  <conditionalFormatting sqref="I1770:I1774">
    <cfRule type="containsText" dxfId="6845" priority="9359" operator="containsText" text="Missing">
      <formula>NOT(ISERROR(SEARCH("Missing",I1770)))</formula>
    </cfRule>
  </conditionalFormatting>
  <conditionalFormatting sqref="I1775">
    <cfRule type="containsText" dxfId="6844" priority="9358" operator="containsText" text="Missing">
      <formula>NOT(ISERROR(SEARCH("Missing",I1775)))</formula>
    </cfRule>
  </conditionalFormatting>
  <conditionalFormatting sqref="I1776">
    <cfRule type="containsText" dxfId="6843" priority="9357" operator="containsText" text="Missing">
      <formula>NOT(ISERROR(SEARCH("Missing",I1776)))</formula>
    </cfRule>
  </conditionalFormatting>
  <conditionalFormatting sqref="L1896">
    <cfRule type="containsText" dxfId="6842" priority="9355" operator="containsText" text="Positive">
      <formula>NOT(ISERROR(SEARCH("Positive",L1896)))</formula>
    </cfRule>
    <cfRule type="containsText" dxfId="6841" priority="9356" operator="containsText" text="Negative">
      <formula>NOT(ISERROR(SEARCH("Negative",L1896)))</formula>
    </cfRule>
  </conditionalFormatting>
  <conditionalFormatting sqref="J1896:K1896">
    <cfRule type="containsText" dxfId="6840" priority="9352" operator="containsText" text="Missing">
      <formula>NOT(ISERROR(SEARCH("Missing",J1896)))</formula>
    </cfRule>
  </conditionalFormatting>
  <conditionalFormatting sqref="I1896">
    <cfRule type="containsText" dxfId="6839" priority="9351" operator="containsText" text="Missing">
      <formula>NOT(ISERROR(SEARCH("Missing",I1896)))</formula>
    </cfRule>
  </conditionalFormatting>
  <conditionalFormatting sqref="I1895">
    <cfRule type="containsText" dxfId="6838" priority="9347" operator="containsText" text="Missing">
      <formula>NOT(ISERROR(SEARCH("Missing",I1895)))</formula>
    </cfRule>
  </conditionalFormatting>
  <conditionalFormatting sqref="J1895:K1895">
    <cfRule type="containsText" dxfId="6837" priority="9350" operator="containsText" text="Missing">
      <formula>NOT(ISERROR(SEARCH("Missing",J1895)))</formula>
    </cfRule>
  </conditionalFormatting>
  <conditionalFormatting sqref="L1895">
    <cfRule type="containsText" dxfId="6836" priority="9353" operator="containsText" text="Positive">
      <formula>NOT(ISERROR(SEARCH("Positive",L1895)))</formula>
    </cfRule>
    <cfRule type="containsText" dxfId="6835" priority="9354" operator="containsText" text="Negative">
      <formula>NOT(ISERROR(SEARCH("Negative",L1895)))</formula>
    </cfRule>
  </conditionalFormatting>
  <conditionalFormatting sqref="L1895">
    <cfRule type="containsText" dxfId="6834" priority="9348" operator="containsText" text="Positive">
      <formula>NOT(ISERROR(SEARCH("Positive",L1895)))</formula>
    </cfRule>
    <cfRule type="containsText" dxfId="6833" priority="9349" operator="containsText" text="Negative">
      <formula>NOT(ISERROR(SEARCH("Negative",L1895)))</formula>
    </cfRule>
  </conditionalFormatting>
  <conditionalFormatting sqref="H1895">
    <cfRule type="containsText" dxfId="6832" priority="9346" operator="containsText" text="Missing">
      <formula>NOT(ISERROR(SEARCH("Missing",H1895)))</formula>
    </cfRule>
  </conditionalFormatting>
  <conditionalFormatting sqref="H1896">
    <cfRule type="containsText" dxfId="6831" priority="9345" operator="containsText" text="Missing">
      <formula>NOT(ISERROR(SEARCH("Missing",H1896)))</formula>
    </cfRule>
  </conditionalFormatting>
  <conditionalFormatting sqref="L1897">
    <cfRule type="containsText" dxfId="6830" priority="9343" operator="containsText" text="Positive">
      <formula>NOT(ISERROR(SEARCH("Positive",L1897)))</formula>
    </cfRule>
    <cfRule type="containsText" dxfId="6829" priority="9344" operator="containsText" text="Negative">
      <formula>NOT(ISERROR(SEARCH("Negative",L1897)))</formula>
    </cfRule>
  </conditionalFormatting>
  <conditionalFormatting sqref="I1897">
    <cfRule type="containsText" dxfId="6828" priority="9341" operator="containsText" text="Missing">
      <formula>NOT(ISERROR(SEARCH("Missing",I1897)))</formula>
    </cfRule>
  </conditionalFormatting>
  <conditionalFormatting sqref="J1897:K1897">
    <cfRule type="containsText" dxfId="6827" priority="9342" operator="containsText" text="Missing">
      <formula>NOT(ISERROR(SEARCH("Missing",J1897)))</formula>
    </cfRule>
  </conditionalFormatting>
  <conditionalFormatting sqref="H1897">
    <cfRule type="containsText" dxfId="6826" priority="9340" operator="containsText" text="Missing">
      <formula>NOT(ISERROR(SEARCH("Missing",H1897)))</formula>
    </cfRule>
  </conditionalFormatting>
  <conditionalFormatting sqref="L1898">
    <cfRule type="containsText" dxfId="6825" priority="9338" operator="containsText" text="Positive">
      <formula>NOT(ISERROR(SEARCH("Positive",L1898)))</formula>
    </cfRule>
    <cfRule type="containsText" dxfId="6824" priority="9339" operator="containsText" text="Negative">
      <formula>NOT(ISERROR(SEARCH("Negative",L1898)))</formula>
    </cfRule>
  </conditionalFormatting>
  <conditionalFormatting sqref="I1898">
    <cfRule type="containsText" dxfId="6823" priority="9336" operator="containsText" text="Missing">
      <formula>NOT(ISERROR(SEARCH("Missing",I1898)))</formula>
    </cfRule>
  </conditionalFormatting>
  <conditionalFormatting sqref="J1898:K1898">
    <cfRule type="containsText" dxfId="6822" priority="9337" operator="containsText" text="Missing">
      <formula>NOT(ISERROR(SEARCH("Missing",J1898)))</formula>
    </cfRule>
  </conditionalFormatting>
  <conditionalFormatting sqref="L1759">
    <cfRule type="containsText" dxfId="6821" priority="9333" operator="containsText" text="Positive">
      <formula>NOT(ISERROR(SEARCH("Positive",L1759)))</formula>
    </cfRule>
    <cfRule type="containsText" dxfId="6820" priority="9334" operator="containsText" text="Negative">
      <formula>NOT(ISERROR(SEARCH("Negative",L1759)))</formula>
    </cfRule>
  </conditionalFormatting>
  <conditionalFormatting sqref="J1759:K1759">
    <cfRule type="containsText" dxfId="6819" priority="9332" operator="containsText" text="Missing">
      <formula>NOT(ISERROR(SEARCH("Missing",J1759)))</formula>
    </cfRule>
  </conditionalFormatting>
  <conditionalFormatting sqref="I1759">
    <cfRule type="containsText" dxfId="6818" priority="9331" operator="containsText" text="Missing">
      <formula>NOT(ISERROR(SEARCH("Missing",I1759)))</formula>
    </cfRule>
  </conditionalFormatting>
  <conditionalFormatting sqref="H1759">
    <cfRule type="containsText" dxfId="6817" priority="9327" operator="containsText" text="Missing">
      <formula>NOT(ISERROR(SEARCH("Missing",H1759)))</formula>
    </cfRule>
  </conditionalFormatting>
  <conditionalFormatting sqref="H1759">
    <cfRule type="containsText" dxfId="6816" priority="9330" operator="containsText" text="Missing">
      <formula>NOT(ISERROR(SEARCH("Missing",H1759)))</formula>
    </cfRule>
  </conditionalFormatting>
  <conditionalFormatting sqref="H1759">
    <cfRule type="containsText" dxfId="6815" priority="9329" operator="containsText" text="Missing">
      <formula>NOT(ISERROR(SEARCH("Missing",H1759)))</formula>
    </cfRule>
  </conditionalFormatting>
  <conditionalFormatting sqref="H1764">
    <cfRule type="containsText" dxfId="6814" priority="9312" operator="containsText" text="Missing">
      <formula>NOT(ISERROR(SEARCH("Missing",H1764)))</formula>
    </cfRule>
  </conditionalFormatting>
  <conditionalFormatting sqref="H1759">
    <cfRule type="containsText" dxfId="6813" priority="9328" operator="containsText" text="Missing">
      <formula>NOT(ISERROR(SEARCH("Missing",H1759)))</formula>
    </cfRule>
  </conditionalFormatting>
  <conditionalFormatting sqref="I1760:I1764">
    <cfRule type="containsText" dxfId="6812" priority="9326" operator="containsText" text="Missing">
      <formula>NOT(ISERROR(SEARCH("Missing",I1760)))</formula>
    </cfRule>
  </conditionalFormatting>
  <conditionalFormatting sqref="L1761">
    <cfRule type="containsText" dxfId="6811" priority="9324" operator="containsText" text="Positive">
      <formula>NOT(ISERROR(SEARCH("Positive",L1761)))</formula>
    </cfRule>
    <cfRule type="containsText" dxfId="6810" priority="9325" operator="containsText" text="Negative">
      <formula>NOT(ISERROR(SEARCH("Negative",L1761)))</formula>
    </cfRule>
  </conditionalFormatting>
  <conditionalFormatting sqref="J1760:K1760">
    <cfRule type="containsText" dxfId="6809" priority="9323" operator="containsText" text="Missing">
      <formula>NOT(ISERROR(SEARCH("Missing",J1760)))</formula>
    </cfRule>
  </conditionalFormatting>
  <conditionalFormatting sqref="L1760">
    <cfRule type="containsText" dxfId="6808" priority="9321" operator="containsText" text="Positive">
      <formula>NOT(ISERROR(SEARCH("Positive",L1760)))</formula>
    </cfRule>
    <cfRule type="containsText" dxfId="6807" priority="9322" operator="containsText" text="Negative">
      <formula>NOT(ISERROR(SEARCH("Negative",L1760)))</formula>
    </cfRule>
  </conditionalFormatting>
  <conditionalFormatting sqref="J1761:K1761">
    <cfRule type="containsText" dxfId="6806" priority="9319" operator="containsText" text="Missing">
      <formula>NOT(ISERROR(SEARCH("Missing",J1761)))</formula>
    </cfRule>
  </conditionalFormatting>
  <conditionalFormatting sqref="H1760">
    <cfRule type="containsText" dxfId="6805" priority="9320" operator="containsText" text="Missing">
      <formula>NOT(ISERROR(SEARCH("Missing",H1760)))</formula>
    </cfRule>
  </conditionalFormatting>
  <conditionalFormatting sqref="J1762:K1764">
    <cfRule type="containsText" dxfId="6804" priority="9318" operator="containsText" text="Missing">
      <formula>NOT(ISERROR(SEARCH("Missing",J1762)))</formula>
    </cfRule>
  </conditionalFormatting>
  <conditionalFormatting sqref="L1762:L1764">
    <cfRule type="containsText" dxfId="6803" priority="9316" operator="containsText" text="Positive">
      <formula>NOT(ISERROR(SEARCH("Positive",L1762)))</formula>
    </cfRule>
    <cfRule type="containsText" dxfId="6802" priority="9317" operator="containsText" text="Negative">
      <formula>NOT(ISERROR(SEARCH("Negative",L1762)))</formula>
    </cfRule>
  </conditionalFormatting>
  <conditionalFormatting sqref="H1762">
    <cfRule type="containsText" dxfId="6801" priority="9314" operator="containsText" text="Missing">
      <formula>NOT(ISERROR(SEARCH("Missing",H1762)))</formula>
    </cfRule>
  </conditionalFormatting>
  <conditionalFormatting sqref="H1763">
    <cfRule type="containsText" dxfId="6800" priority="9313" operator="containsText" text="Missing">
      <formula>NOT(ISERROR(SEARCH("Missing",H1763)))</formula>
    </cfRule>
  </conditionalFormatting>
  <conditionalFormatting sqref="H1761">
    <cfRule type="containsText" dxfId="6799" priority="9315" operator="containsText" text="Missing">
      <formula>NOT(ISERROR(SEARCH("Missing",H1761)))</formula>
    </cfRule>
  </conditionalFormatting>
  <conditionalFormatting sqref="H1847">
    <cfRule type="containsText" dxfId="6798" priority="9289" operator="containsText" text="Missing">
      <formula>NOT(ISERROR(SEARCH("Missing",H1847)))</formula>
    </cfRule>
  </conditionalFormatting>
  <conditionalFormatting sqref="L1842">
    <cfRule type="containsText" dxfId="6797" priority="9310" operator="containsText" text="Positive">
      <formula>NOT(ISERROR(SEARCH("Positive",L1842)))</formula>
    </cfRule>
    <cfRule type="containsText" dxfId="6796" priority="9311" operator="containsText" text="Negative">
      <formula>NOT(ISERROR(SEARCH("Negative",L1842)))</formula>
    </cfRule>
  </conditionalFormatting>
  <conditionalFormatting sqref="J1842:K1842">
    <cfRule type="containsText" dxfId="6795" priority="9309" operator="containsText" text="Missing">
      <formula>NOT(ISERROR(SEARCH("Missing",J1842)))</formula>
    </cfRule>
  </conditionalFormatting>
  <conditionalFormatting sqref="I1842">
    <cfRule type="containsText" dxfId="6794" priority="9308" operator="containsText" text="Missing">
      <formula>NOT(ISERROR(SEARCH("Missing",I1842)))</formula>
    </cfRule>
  </conditionalFormatting>
  <conditionalFormatting sqref="H1842">
    <cfRule type="containsText" dxfId="6793" priority="9304" operator="containsText" text="Missing">
      <formula>NOT(ISERROR(SEARCH("Missing",H1842)))</formula>
    </cfRule>
  </conditionalFormatting>
  <conditionalFormatting sqref="H1842">
    <cfRule type="containsText" dxfId="6792" priority="9307" operator="containsText" text="Missing">
      <formula>NOT(ISERROR(SEARCH("Missing",H1842)))</formula>
    </cfRule>
  </conditionalFormatting>
  <conditionalFormatting sqref="H1842">
    <cfRule type="containsText" dxfId="6791" priority="9306" operator="containsText" text="Missing">
      <formula>NOT(ISERROR(SEARCH("Missing",H1842)))</formula>
    </cfRule>
  </conditionalFormatting>
  <conditionalFormatting sqref="H1842">
    <cfRule type="containsText" dxfId="6790" priority="9305" operator="containsText" text="Missing">
      <formula>NOT(ISERROR(SEARCH("Missing",H1842)))</formula>
    </cfRule>
  </conditionalFormatting>
  <conditionalFormatting sqref="I1843:I1847">
    <cfRule type="containsText" dxfId="6789" priority="9303" operator="containsText" text="Missing">
      <formula>NOT(ISERROR(SEARCH("Missing",I1843)))</formula>
    </cfRule>
  </conditionalFormatting>
  <conditionalFormatting sqref="L1844">
    <cfRule type="containsText" dxfId="6788" priority="9301" operator="containsText" text="Positive">
      <formula>NOT(ISERROR(SEARCH("Positive",L1844)))</formula>
    </cfRule>
    <cfRule type="containsText" dxfId="6787" priority="9302" operator="containsText" text="Negative">
      <formula>NOT(ISERROR(SEARCH("Negative",L1844)))</formula>
    </cfRule>
  </conditionalFormatting>
  <conditionalFormatting sqref="J1843:K1843">
    <cfRule type="containsText" dxfId="6786" priority="9300" operator="containsText" text="Missing">
      <formula>NOT(ISERROR(SEARCH("Missing",J1843)))</formula>
    </cfRule>
  </conditionalFormatting>
  <conditionalFormatting sqref="L1843">
    <cfRule type="containsText" dxfId="6785" priority="9298" operator="containsText" text="Positive">
      <formula>NOT(ISERROR(SEARCH("Positive",L1843)))</formula>
    </cfRule>
    <cfRule type="containsText" dxfId="6784" priority="9299" operator="containsText" text="Negative">
      <formula>NOT(ISERROR(SEARCH("Negative",L1843)))</formula>
    </cfRule>
  </conditionalFormatting>
  <conditionalFormatting sqref="J1844:K1844">
    <cfRule type="containsText" dxfId="6783" priority="9297" operator="containsText" text="Missing">
      <formula>NOT(ISERROR(SEARCH("Missing",J1844)))</formula>
    </cfRule>
  </conditionalFormatting>
  <conditionalFormatting sqref="J1845:K1847">
    <cfRule type="containsText" dxfId="6782" priority="9296" operator="containsText" text="Missing">
      <formula>NOT(ISERROR(SEARCH("Missing",J1845)))</formula>
    </cfRule>
  </conditionalFormatting>
  <conditionalFormatting sqref="L1845:L1847">
    <cfRule type="containsText" dxfId="6781" priority="9294" operator="containsText" text="Positive">
      <formula>NOT(ISERROR(SEARCH("Positive",L1845)))</formula>
    </cfRule>
    <cfRule type="containsText" dxfId="6780" priority="9295" operator="containsText" text="Negative">
      <formula>NOT(ISERROR(SEARCH("Negative",L1845)))</formula>
    </cfRule>
  </conditionalFormatting>
  <conditionalFormatting sqref="H1845">
    <cfRule type="containsText" dxfId="6779" priority="9291" operator="containsText" text="Missing">
      <formula>NOT(ISERROR(SEARCH("Missing",H1845)))</formula>
    </cfRule>
  </conditionalFormatting>
  <conditionalFormatting sqref="H1844">
    <cfRule type="containsText" dxfId="6778" priority="9292" operator="containsText" text="Missing">
      <formula>NOT(ISERROR(SEARCH("Missing",H1844)))</formula>
    </cfRule>
  </conditionalFormatting>
  <conditionalFormatting sqref="H1843">
    <cfRule type="containsText" dxfId="6777" priority="9293" operator="containsText" text="Missing">
      <formula>NOT(ISERROR(SEARCH("Missing",H1843)))</formula>
    </cfRule>
  </conditionalFormatting>
  <conditionalFormatting sqref="H1853:K1862">
    <cfRule type="containsText" dxfId="6776" priority="9288" operator="containsText" text="Missing">
      <formula>NOT(ISERROR(SEARCH("Missing",H1853)))</formula>
    </cfRule>
  </conditionalFormatting>
  <conditionalFormatting sqref="L1853:L1862">
    <cfRule type="containsText" dxfId="6775" priority="9286" operator="containsText" text="Positive">
      <formula>NOT(ISERROR(SEARCH("Positive",L1853)))</formula>
    </cfRule>
    <cfRule type="containsText" dxfId="6774" priority="9287" operator="containsText" text="Negative">
      <formula>NOT(ISERROR(SEARCH("Negative",L1853)))</formula>
    </cfRule>
  </conditionalFormatting>
  <conditionalFormatting sqref="I1840">
    <cfRule type="containsText" dxfId="6773" priority="9284" operator="containsText" text="Missing">
      <formula>NOT(ISERROR(SEARCH("Missing",I1840)))</formula>
    </cfRule>
  </conditionalFormatting>
  <conditionalFormatting sqref="I1914">
    <cfRule type="containsText" dxfId="6772" priority="9283" operator="containsText" text="Missing">
      <formula>NOT(ISERROR(SEARCH("Missing",I1914)))</formula>
    </cfRule>
  </conditionalFormatting>
  <conditionalFormatting sqref="I1916">
    <cfRule type="containsText" dxfId="6771" priority="9282" operator="containsText" text="Missing">
      <formula>NOT(ISERROR(SEARCH("Missing",I1916)))</formula>
    </cfRule>
  </conditionalFormatting>
  <conditionalFormatting sqref="H1831">
    <cfRule type="containsText" dxfId="6770" priority="9281" operator="containsText" text="Missing">
      <formula>NOT(ISERROR(SEARCH("Missing",H1831)))</formula>
    </cfRule>
  </conditionalFormatting>
  <conditionalFormatting sqref="H1965:K1966 J1968:K1968 J2029:K2033 J2130:K2133 J2156:K2159 H2029:H2031 H2055:H2057 H2130:H2132 H2159 H2135:K2138 H2161:K2163 H2034:K2036 J2055:K2063 H2060:I2063 J2177:K2177 H2022:K2022 I2039:I2041 H2038:K2038 I1987:K1999 H1989:H1999 H2076:K2078 H2079 J2079:K2079">
    <cfRule type="containsText" dxfId="6769" priority="9280" operator="containsText" text="Missing">
      <formula>NOT(ISERROR(SEARCH("Missing",H1965)))</formula>
    </cfRule>
  </conditionalFormatting>
  <conditionalFormatting sqref="L1965:L1966 L1968 L2027 L2130:L2133 L2029:L2032 L2055:L2058 L2156:L2159 L2062:L2063 L2051 L2076:L2079 L1987:L1999">
    <cfRule type="containsText" dxfId="6768" priority="9278" operator="containsText" text="Positive">
      <formula>NOT(ISERROR(SEARCH("Positive",L1965)))</formula>
    </cfRule>
    <cfRule type="containsText" dxfId="6767" priority="9279" operator="containsText" text="Negative">
      <formula>NOT(ISERROR(SEARCH("Negative",L1965)))</formula>
    </cfRule>
  </conditionalFormatting>
  <conditionalFormatting sqref="I2011:I2013 I1975:I1979">
    <cfRule type="containsText" dxfId="6766" priority="9277" operator="containsText" text="Missing">
      <formula>NOT(ISERROR(SEARCH("Missing",I1975)))</formula>
    </cfRule>
  </conditionalFormatting>
  <conditionalFormatting sqref="L1976 L2023:L2026">
    <cfRule type="containsText" dxfId="6765" priority="9275" operator="containsText" text="Positive">
      <formula>NOT(ISERROR(SEARCH("Positive",L1976)))</formula>
    </cfRule>
    <cfRule type="containsText" dxfId="6764" priority="9276" operator="containsText" text="Negative">
      <formula>NOT(ISERROR(SEARCH("Negative",L1976)))</formula>
    </cfRule>
  </conditionalFormatting>
  <conditionalFormatting sqref="H2023:H2026">
    <cfRule type="containsText" dxfId="6763" priority="9264" operator="containsText" text="Missing">
      <formula>NOT(ISERROR(SEARCH("Missing",H2023)))</formula>
    </cfRule>
  </conditionalFormatting>
  <conditionalFormatting sqref="I2029 I2031">
    <cfRule type="containsText" dxfId="6762" priority="9263" operator="containsText" text="Missing">
      <formula>NOT(ISERROR(SEARCH("Missing",I2029)))</formula>
    </cfRule>
  </conditionalFormatting>
  <conditionalFormatting sqref="J1975:K1975 J2027:K2028">
    <cfRule type="containsText" dxfId="6761" priority="9274" operator="containsText" text="Missing">
      <formula>NOT(ISERROR(SEARCH("Missing",J1975)))</formula>
    </cfRule>
  </conditionalFormatting>
  <conditionalFormatting sqref="I2027">
    <cfRule type="containsText" dxfId="6760" priority="9270" operator="containsText" text="Missing">
      <formula>NOT(ISERROR(SEARCH("Missing",I2027)))</formula>
    </cfRule>
  </conditionalFormatting>
  <conditionalFormatting sqref="L1975">
    <cfRule type="containsText" dxfId="6759" priority="9272" operator="containsText" text="Positive">
      <formula>NOT(ISERROR(SEARCH("Positive",L1975)))</formula>
    </cfRule>
    <cfRule type="containsText" dxfId="6758" priority="9273" operator="containsText" text="Negative">
      <formula>NOT(ISERROR(SEARCH("Negative",L1975)))</formula>
    </cfRule>
  </conditionalFormatting>
  <conditionalFormatting sqref="L2023:L2026">
    <cfRule type="containsText" dxfId="6757" priority="9266" operator="containsText" text="Positive">
      <formula>NOT(ISERROR(SEARCH("Positive",L2023)))</formula>
    </cfRule>
    <cfRule type="containsText" dxfId="6756" priority="9267" operator="containsText" text="Negative">
      <formula>NOT(ISERROR(SEARCH("Negative",L2023)))</formula>
    </cfRule>
  </conditionalFormatting>
  <conditionalFormatting sqref="J1976:K1976">
    <cfRule type="containsText" dxfId="6755" priority="9269" operator="containsText" text="Missing">
      <formula>NOT(ISERROR(SEARCH("Missing",J1976)))</formula>
    </cfRule>
  </conditionalFormatting>
  <conditionalFormatting sqref="J2023:K2026">
    <cfRule type="containsText" dxfId="6754" priority="9268" operator="containsText" text="Missing">
      <formula>NOT(ISERROR(SEARCH("Missing",J2023)))</formula>
    </cfRule>
  </conditionalFormatting>
  <conditionalFormatting sqref="J2011:K2011">
    <cfRule type="containsText" dxfId="6753" priority="9240" operator="containsText" text="Missing">
      <formula>NOT(ISERROR(SEARCH("Missing",J2011)))</formula>
    </cfRule>
  </conditionalFormatting>
  <conditionalFormatting sqref="J2182:K2182">
    <cfRule type="containsText" dxfId="6752" priority="9259" operator="containsText" text="Missing">
      <formula>NOT(ISERROR(SEARCH("Missing",J2182)))</formula>
    </cfRule>
  </conditionalFormatting>
  <conditionalFormatting sqref="J2183:K2183">
    <cfRule type="containsText" dxfId="6751" priority="9255" operator="containsText" text="Missing">
      <formula>NOT(ISERROR(SEARCH("Missing",J2183)))</formula>
    </cfRule>
  </conditionalFormatting>
  <conditionalFormatting sqref="I2014">
    <cfRule type="containsText" dxfId="6750" priority="9220" operator="containsText" text="Missing">
      <formula>NOT(ISERROR(SEARCH("Missing",I2014)))</formula>
    </cfRule>
  </conditionalFormatting>
  <conditionalFormatting sqref="H1975">
    <cfRule type="containsText" dxfId="6749" priority="9271" operator="containsText" text="Missing">
      <formula>NOT(ISERROR(SEARCH("Missing",H1975)))</formula>
    </cfRule>
  </conditionalFormatting>
  <conditionalFormatting sqref="J2184:K2184">
    <cfRule type="containsText" dxfId="6748" priority="9252" operator="containsText" text="Missing">
      <formula>NOT(ISERROR(SEARCH("Missing",J2184)))</formula>
    </cfRule>
  </conditionalFormatting>
  <conditionalFormatting sqref="I2023 I2025:I2026">
    <cfRule type="containsText" dxfId="6747" priority="9265" operator="containsText" text="Missing">
      <formula>NOT(ISERROR(SEARCH("Missing",I2023)))</formula>
    </cfRule>
  </conditionalFormatting>
  <conditionalFormatting sqref="H2182">
    <cfRule type="containsText" dxfId="6746" priority="9256" operator="containsText" text="Missing">
      <formula>NOT(ISERROR(SEARCH("Missing",H2182)))</formula>
    </cfRule>
  </conditionalFormatting>
  <conditionalFormatting sqref="H2027">
    <cfRule type="containsText" dxfId="6745" priority="9262" operator="containsText" text="Missing">
      <formula>NOT(ISERROR(SEARCH("Missing",H2027)))</formula>
    </cfRule>
  </conditionalFormatting>
  <conditionalFormatting sqref="J1977:K1979">
    <cfRule type="containsText" dxfId="6744" priority="9246" operator="containsText" text="Missing">
      <formula>NOT(ISERROR(SEARCH("Missing",J1977)))</formula>
    </cfRule>
  </conditionalFormatting>
  <conditionalFormatting sqref="L2182 L2035 L2180">
    <cfRule type="containsText" dxfId="6743" priority="9257" operator="containsText" text="Positive">
      <formula>NOT(ISERROR(SEARCH("Positive",L2035)))</formula>
    </cfRule>
    <cfRule type="containsText" dxfId="6742" priority="9258" operator="containsText" text="Negative">
      <formula>NOT(ISERROR(SEARCH("Negative",L2035)))</formula>
    </cfRule>
  </conditionalFormatting>
  <conditionalFormatting sqref="H2000">
    <cfRule type="containsText" dxfId="6741" priority="9237" operator="containsText" text="Missing">
      <formula>NOT(ISERROR(SEARCH("Missing",H2000)))</formula>
    </cfRule>
  </conditionalFormatting>
  <conditionalFormatting sqref="I2130 I2132">
    <cfRule type="containsText" dxfId="6740" priority="9196" operator="containsText" text="Missing">
      <formula>NOT(ISERROR(SEARCH("Missing",I2130)))</formula>
    </cfRule>
  </conditionalFormatting>
  <conditionalFormatting sqref="J2178:K2179">
    <cfRule type="containsText" dxfId="6739" priority="9261" operator="containsText" text="Missing">
      <formula>NOT(ISERROR(SEARCH("Missing",J2178)))</formula>
    </cfRule>
  </conditionalFormatting>
  <conditionalFormatting sqref="I2030">
    <cfRule type="containsText" dxfId="6738" priority="9249" operator="containsText" text="Missing">
      <formula>NOT(ISERROR(SEARCH("Missing",I2030)))</formula>
    </cfRule>
  </conditionalFormatting>
  <conditionalFormatting sqref="H2011">
    <cfRule type="containsText" dxfId="6737" priority="9236" operator="containsText" text="Missing">
      <formula>NOT(ISERROR(SEARCH("Missing",H2011)))</formula>
    </cfRule>
  </conditionalFormatting>
  <conditionalFormatting sqref="J2180:K2181">
    <cfRule type="containsText" dxfId="6736" priority="9260" operator="containsText" text="Missing">
      <formula>NOT(ISERROR(SEARCH("Missing",J2180)))</formula>
    </cfRule>
  </conditionalFormatting>
  <conditionalFormatting sqref="L2183 L2036 L2177">
    <cfRule type="containsText" dxfId="6735" priority="9253" operator="containsText" text="Positive">
      <formula>NOT(ISERROR(SEARCH("Positive",L2036)))</formula>
    </cfRule>
    <cfRule type="containsText" dxfId="6734" priority="9254" operator="containsText" text="Negative">
      <formula>NOT(ISERROR(SEARCH("Negative",L2036)))</formula>
    </cfRule>
  </conditionalFormatting>
  <conditionalFormatting sqref="J2000:K2001">
    <cfRule type="containsText" dxfId="6733" priority="9243" operator="containsText" text="Missing">
      <formula>NOT(ISERROR(SEARCH("Missing",J2000)))</formula>
    </cfRule>
  </conditionalFormatting>
  <conditionalFormatting sqref="H2012">
    <cfRule type="containsText" dxfId="6732" priority="9234" operator="containsText" text="Missing">
      <formula>NOT(ISERROR(SEARCH("Missing",H2012)))</formula>
    </cfRule>
  </conditionalFormatting>
  <conditionalFormatting sqref="L2178 L2184">
    <cfRule type="containsText" dxfId="6731" priority="9250" operator="containsText" text="Positive">
      <formula>NOT(ISERROR(SEARCH("Positive",L2178)))</formula>
    </cfRule>
    <cfRule type="containsText" dxfId="6730" priority="9251" operator="containsText" text="Negative">
      <formula>NOT(ISERROR(SEARCH("Negative",L2178)))</formula>
    </cfRule>
  </conditionalFormatting>
  <conditionalFormatting sqref="J2017:K2017">
    <cfRule type="containsText" dxfId="6729" priority="9225" operator="containsText" text="Missing">
      <formula>NOT(ISERROR(SEARCH("Missing",J2017)))</formula>
    </cfRule>
  </conditionalFormatting>
  <conditionalFormatting sqref="J2087:K2087 J2128:K2128">
    <cfRule type="containsText" dxfId="6728" priority="9205" operator="containsText" text="Missing">
      <formula>NOT(ISERROR(SEARCH("Missing",J2087)))</formula>
    </cfRule>
  </conditionalFormatting>
  <conditionalFormatting sqref="I2102">
    <cfRule type="containsText" dxfId="6727" priority="9164" operator="containsText" text="Missing">
      <formula>NOT(ISERROR(SEARCH("Missing",I2102)))</formula>
    </cfRule>
  </conditionalFormatting>
  <conditionalFormatting sqref="J2013:K2015">
    <cfRule type="containsText" dxfId="6726" priority="9231" operator="containsText" text="Missing">
      <formula>NOT(ISERROR(SEARCH("Missing",J2013)))</formula>
    </cfRule>
  </conditionalFormatting>
  <conditionalFormatting sqref="L2012">
    <cfRule type="containsText" dxfId="6725" priority="9247" operator="containsText" text="Positive">
      <formula>NOT(ISERROR(SEARCH("Positive",L2012)))</formula>
    </cfRule>
    <cfRule type="containsText" dxfId="6724" priority="9248" operator="containsText" text="Negative">
      <formula>NOT(ISERROR(SEARCH("Negative",L2012)))</formula>
    </cfRule>
  </conditionalFormatting>
  <conditionalFormatting sqref="J2016:K2016">
    <cfRule type="containsText" dxfId="6723" priority="9228" operator="containsText" text="Missing">
      <formula>NOT(ISERROR(SEARCH("Missing",J2016)))</formula>
    </cfRule>
  </conditionalFormatting>
  <conditionalFormatting sqref="J2124:K2124">
    <cfRule type="containsText" dxfId="6722" priority="9200" operator="containsText" text="Missing">
      <formula>NOT(ISERROR(SEARCH("Missing",J2124)))</formula>
    </cfRule>
  </conditionalFormatting>
  <conditionalFormatting sqref="J2088:K2088">
    <cfRule type="containsText" dxfId="6721" priority="9201" operator="containsText" text="Missing">
      <formula>NOT(ISERROR(SEARCH("Missing",J2088)))</formula>
    </cfRule>
  </conditionalFormatting>
  <conditionalFormatting sqref="L1977:L1979">
    <cfRule type="containsText" dxfId="6720" priority="9244" operator="containsText" text="Positive">
      <formula>NOT(ISERROR(SEARCH("Positive",L1977)))</formula>
    </cfRule>
    <cfRule type="containsText" dxfId="6719" priority="9245" operator="containsText" text="Negative">
      <formula>NOT(ISERROR(SEARCH("Negative",L1977)))</formula>
    </cfRule>
  </conditionalFormatting>
  <conditionalFormatting sqref="L2000">
    <cfRule type="containsText" dxfId="6718" priority="9241" operator="containsText" text="Positive">
      <formula>NOT(ISERROR(SEARCH("Positive",L2000)))</formula>
    </cfRule>
    <cfRule type="containsText" dxfId="6717" priority="9242" operator="containsText" text="Negative">
      <formula>NOT(ISERROR(SEARCH("Negative",L2000)))</formula>
    </cfRule>
  </conditionalFormatting>
  <conditionalFormatting sqref="L2011">
    <cfRule type="containsText" dxfId="6716" priority="9238" operator="containsText" text="Positive">
      <formula>NOT(ISERROR(SEARCH("Positive",L2011)))</formula>
    </cfRule>
    <cfRule type="containsText" dxfId="6715" priority="9239" operator="containsText" text="Negative">
      <formula>NOT(ISERROR(SEARCH("Negative",L2011)))</formula>
    </cfRule>
  </conditionalFormatting>
  <conditionalFormatting sqref="I2018">
    <cfRule type="containsText" dxfId="6714" priority="9218" operator="containsText" text="Missing">
      <formula>NOT(ISERROR(SEARCH("Missing",I2018)))</formula>
    </cfRule>
  </conditionalFormatting>
  <conditionalFormatting sqref="J2012:K2012">
    <cfRule type="containsText" dxfId="6713" priority="9235" operator="containsText" text="Missing">
      <formula>NOT(ISERROR(SEARCH("Missing",J2012)))</formula>
    </cfRule>
  </conditionalFormatting>
  <conditionalFormatting sqref="I2016">
    <cfRule type="containsText" dxfId="6712" priority="9219" operator="containsText" text="Missing">
      <formula>NOT(ISERROR(SEARCH("Missing",I2016)))</formula>
    </cfRule>
  </conditionalFormatting>
  <conditionalFormatting sqref="L2018">
    <cfRule type="containsText" dxfId="6711" priority="9232" operator="containsText" text="Positive">
      <formula>NOT(ISERROR(SEARCH("Positive",L2018)))</formula>
    </cfRule>
    <cfRule type="containsText" dxfId="6710" priority="9233" operator="containsText" text="Negative">
      <formula>NOT(ISERROR(SEARCH("Negative",L2018)))</formula>
    </cfRule>
  </conditionalFormatting>
  <conditionalFormatting sqref="J2018:K2018">
    <cfRule type="containsText" dxfId="6709" priority="9224" operator="containsText" text="Missing">
      <formula>NOT(ISERROR(SEARCH("Missing",J2018)))</formula>
    </cfRule>
  </conditionalFormatting>
  <conditionalFormatting sqref="L2014:L2015">
    <cfRule type="containsText" dxfId="6708" priority="9229" operator="containsText" text="Positive">
      <formula>NOT(ISERROR(SEARCH("Positive",L2014)))</formula>
    </cfRule>
    <cfRule type="containsText" dxfId="6707" priority="9230" operator="containsText" text="Negative">
      <formula>NOT(ISERROR(SEARCH("Negative",L2014)))</formula>
    </cfRule>
  </conditionalFormatting>
  <conditionalFormatting sqref="I2032:I2033">
    <cfRule type="containsText" dxfId="6706" priority="9215" operator="containsText" text="Missing">
      <formula>NOT(ISERROR(SEARCH("Missing",I2032)))</formula>
    </cfRule>
  </conditionalFormatting>
  <conditionalFormatting sqref="L2016">
    <cfRule type="containsText" dxfId="6705" priority="9226" operator="containsText" text="Positive">
      <formula>NOT(ISERROR(SEARCH("Positive",L2016)))</formula>
    </cfRule>
    <cfRule type="containsText" dxfId="6704" priority="9227" operator="containsText" text="Negative">
      <formula>NOT(ISERROR(SEARCH("Negative",L2016)))</formula>
    </cfRule>
  </conditionalFormatting>
  <conditionalFormatting sqref="I2000:I2001">
    <cfRule type="containsText" dxfId="6703" priority="9223" operator="containsText" text="Missing">
      <formula>NOT(ISERROR(SEARCH("Missing",I2000)))</formula>
    </cfRule>
  </conditionalFormatting>
  <conditionalFormatting sqref="I2015">
    <cfRule type="containsText" dxfId="6702" priority="9222" operator="containsText" text="Missing">
      <formula>NOT(ISERROR(SEARCH("Missing",I2015)))</formula>
    </cfRule>
  </conditionalFormatting>
  <conditionalFormatting sqref="I2017">
    <cfRule type="containsText" dxfId="6701" priority="9221" operator="containsText" text="Missing">
      <formula>NOT(ISERROR(SEARCH("Missing",I2017)))</formula>
    </cfRule>
  </conditionalFormatting>
  <conditionalFormatting sqref="J2051:K2051">
    <cfRule type="containsText" dxfId="6700" priority="9149" operator="containsText" text="Missing">
      <formula>NOT(ISERROR(SEARCH("Missing",J2051)))</formula>
    </cfRule>
  </conditionalFormatting>
  <conditionalFormatting sqref="J2108:K2110">
    <cfRule type="containsText" dxfId="6699" priority="9172" operator="containsText" text="Missing">
      <formula>NOT(ISERROR(SEARCH("Missing",J2108)))</formula>
    </cfRule>
  </conditionalFormatting>
  <conditionalFormatting sqref="I2131">
    <cfRule type="containsText" dxfId="6698" priority="9187" operator="containsText" text="Missing">
      <formula>NOT(ISERROR(SEARCH("Missing",I2131)))</formula>
    </cfRule>
  </conditionalFormatting>
  <conditionalFormatting sqref="I1968">
    <cfRule type="containsText" dxfId="6697" priority="9217" operator="containsText" text="Missing">
      <formula>NOT(ISERROR(SEARCH("Missing",I1968)))</formula>
    </cfRule>
  </conditionalFormatting>
  <conditionalFormatting sqref="I2076">
    <cfRule type="containsText" dxfId="6696" priority="9216" operator="containsText" text="Missing">
      <formula>NOT(ISERROR(SEARCH("Missing",I2076)))</formula>
    </cfRule>
  </conditionalFormatting>
  <conditionalFormatting sqref="L2013">
    <cfRule type="containsText" dxfId="6695" priority="9213" operator="containsText" text="Positive">
      <formula>NOT(ISERROR(SEARCH("Positive",L2013)))</formula>
    </cfRule>
    <cfRule type="containsText" dxfId="6694" priority="9214" operator="containsText" text="Negative">
      <formula>NOT(ISERROR(SEARCH("Negative",L2013)))</formula>
    </cfRule>
  </conditionalFormatting>
  <conditionalFormatting sqref="L2076">
    <cfRule type="containsText" dxfId="6693" priority="9211" operator="containsText" text="Positive">
      <formula>NOT(ISERROR(SEARCH("Positive",L2076)))</formula>
    </cfRule>
    <cfRule type="containsText" dxfId="6692" priority="9212" operator="containsText" text="Negative">
      <formula>NOT(ISERROR(SEARCH("Negative",L2076)))</formula>
    </cfRule>
  </conditionalFormatting>
  <conditionalFormatting sqref="L2181 L2034 L2179">
    <cfRule type="containsText" dxfId="6691" priority="9209" operator="containsText" text="Positive">
      <formula>NOT(ISERROR(SEARCH("Positive",L2034)))</formula>
    </cfRule>
    <cfRule type="containsText" dxfId="6690" priority="9210" operator="containsText" text="Negative">
      <formula>NOT(ISERROR(SEARCH("Negative",L2034)))</formula>
    </cfRule>
  </conditionalFormatting>
  <conditionalFormatting sqref="L2128">
    <cfRule type="containsText" dxfId="6689" priority="9194" operator="containsText" text="Positive">
      <formula>NOT(ISERROR(SEARCH("Positive",L2128)))</formula>
    </cfRule>
    <cfRule type="containsText" dxfId="6688" priority="9195" operator="containsText" text="Negative">
      <formula>NOT(ISERROR(SEARCH("Negative",L2128)))</formula>
    </cfRule>
  </conditionalFormatting>
  <conditionalFormatting sqref="I2106:I2108 I2087:I2091">
    <cfRule type="containsText" dxfId="6687" priority="9208" operator="containsText" text="Missing">
      <formula>NOT(ISERROR(SEARCH("Missing",I2087)))</formula>
    </cfRule>
  </conditionalFormatting>
  <conditionalFormatting sqref="L2088 L2124">
    <cfRule type="containsText" dxfId="6686" priority="9206" operator="containsText" text="Positive">
      <formula>NOT(ISERROR(SEARCH("Positive",L2088)))</formula>
    </cfRule>
    <cfRule type="containsText" dxfId="6685" priority="9207" operator="containsText" text="Negative">
      <formula>NOT(ISERROR(SEARCH("Negative",L2088)))</formula>
    </cfRule>
  </conditionalFormatting>
  <conditionalFormatting sqref="J2113:K2113">
    <cfRule type="containsText" dxfId="6684" priority="9165" operator="containsText" text="Missing">
      <formula>NOT(ISERROR(SEARCH("Missing",J2113)))</formula>
    </cfRule>
  </conditionalFormatting>
  <conditionalFormatting sqref="J2089:K2091">
    <cfRule type="containsText" dxfId="6683" priority="9184" operator="containsText" text="Missing">
      <formula>NOT(ISERROR(SEARCH("Missing",J2089)))</formula>
    </cfRule>
  </conditionalFormatting>
  <conditionalFormatting sqref="L2124">
    <cfRule type="containsText" dxfId="6682" priority="9198" operator="containsText" text="Positive">
      <formula>NOT(ISERROR(SEARCH("Positive",L2124)))</formula>
    </cfRule>
    <cfRule type="containsText" dxfId="6681" priority="9199" operator="containsText" text="Negative">
      <formula>NOT(ISERROR(SEARCH("Negative",L2124)))</formula>
    </cfRule>
  </conditionalFormatting>
  <conditionalFormatting sqref="L2107">
    <cfRule type="containsText" dxfId="6680" priority="9185" operator="containsText" text="Positive">
      <formula>NOT(ISERROR(SEARCH("Positive",L2107)))</formula>
    </cfRule>
    <cfRule type="containsText" dxfId="6679" priority="9186" operator="containsText" text="Negative">
      <formula>NOT(ISERROR(SEARCH("Negative",L2107)))</formula>
    </cfRule>
  </conditionalFormatting>
  <conditionalFormatting sqref="I2124">
    <cfRule type="containsText" dxfId="6678" priority="9197" operator="containsText" text="Missing">
      <formula>NOT(ISERROR(SEARCH("Missing",I2124)))</formula>
    </cfRule>
  </conditionalFormatting>
  <conditionalFormatting sqref="J2111:K2111">
    <cfRule type="containsText" dxfId="6677" priority="9169" operator="containsText" text="Missing">
      <formula>NOT(ISERROR(SEARCH("Missing",J2111)))</formula>
    </cfRule>
  </conditionalFormatting>
  <conditionalFormatting sqref="I2128">
    <cfRule type="containsText" dxfId="6676" priority="9202" operator="containsText" text="Missing">
      <formula>NOT(ISERROR(SEARCH("Missing",I2128)))</formula>
    </cfRule>
  </conditionalFormatting>
  <conditionalFormatting sqref="L2102">
    <cfRule type="containsText" dxfId="6675" priority="9179" operator="containsText" text="Positive">
      <formula>NOT(ISERROR(SEARCH("Positive",L2102)))</formula>
    </cfRule>
    <cfRule type="containsText" dxfId="6674" priority="9180" operator="containsText" text="Negative">
      <formula>NOT(ISERROR(SEARCH("Negative",L2102)))</formula>
    </cfRule>
  </conditionalFormatting>
  <conditionalFormatting sqref="J2102:K2102">
    <cfRule type="containsText" dxfId="6673" priority="9181" operator="containsText" text="Missing">
      <formula>NOT(ISERROR(SEARCH("Missing",J2102)))</formula>
    </cfRule>
  </conditionalFormatting>
  <conditionalFormatting sqref="L2128">
    <cfRule type="containsText" dxfId="6672" priority="9192" operator="containsText" text="Positive">
      <formula>NOT(ISERROR(SEARCH("Positive",L2128)))</formula>
    </cfRule>
    <cfRule type="containsText" dxfId="6671" priority="9193" operator="containsText" text="Negative">
      <formula>NOT(ISERROR(SEARCH("Negative",L2128)))</formula>
    </cfRule>
  </conditionalFormatting>
  <conditionalFormatting sqref="I2111">
    <cfRule type="containsText" dxfId="6670" priority="9160" operator="containsText" text="Missing">
      <formula>NOT(ISERROR(SEARCH("Missing",I2111)))</formula>
    </cfRule>
  </conditionalFormatting>
  <conditionalFormatting sqref="I2056">
    <cfRule type="containsText" dxfId="6669" priority="9140" operator="containsText" text="Missing">
      <formula>NOT(ISERROR(SEARCH("Missing",I2056)))</formula>
    </cfRule>
  </conditionalFormatting>
  <conditionalFormatting sqref="L2087">
    <cfRule type="containsText" dxfId="6668" priority="9203" operator="containsText" text="Positive">
      <formula>NOT(ISERROR(SEARCH("Positive",L2087)))</formula>
    </cfRule>
    <cfRule type="containsText" dxfId="6667" priority="9204" operator="containsText" text="Negative">
      <formula>NOT(ISERROR(SEARCH("Negative",L2087)))</formula>
    </cfRule>
  </conditionalFormatting>
  <conditionalFormatting sqref="I2112">
    <cfRule type="containsText" dxfId="6666" priority="9162" operator="containsText" text="Missing">
      <formula>NOT(ISERROR(SEARCH("Missing",I2112)))</formula>
    </cfRule>
  </conditionalFormatting>
  <conditionalFormatting sqref="J2112:K2112">
    <cfRule type="containsText" dxfId="6665" priority="9166" operator="containsText" text="Missing">
      <formula>NOT(ISERROR(SEARCH("Missing",J2112)))</formula>
    </cfRule>
  </conditionalFormatting>
  <conditionalFormatting sqref="L2136">
    <cfRule type="containsText" dxfId="6664" priority="9190" operator="containsText" text="Positive">
      <formula>NOT(ISERROR(SEARCH("Positive",L2136)))</formula>
    </cfRule>
    <cfRule type="containsText" dxfId="6663" priority="9191" operator="containsText" text="Negative">
      <formula>NOT(ISERROR(SEARCH("Negative",L2136)))</formula>
    </cfRule>
  </conditionalFormatting>
  <conditionalFormatting sqref="I2113">
    <cfRule type="containsText" dxfId="6662" priority="9159" operator="containsText" text="Missing">
      <formula>NOT(ISERROR(SEARCH("Missing",I2113)))</formula>
    </cfRule>
  </conditionalFormatting>
  <conditionalFormatting sqref="J2106:K2106">
    <cfRule type="containsText" dxfId="6661" priority="9178" operator="containsText" text="Missing">
      <formula>NOT(ISERROR(SEARCH("Missing",J2106)))</formula>
    </cfRule>
  </conditionalFormatting>
  <conditionalFormatting sqref="L2089:L2091">
    <cfRule type="containsText" dxfId="6660" priority="9182" operator="containsText" text="Positive">
      <formula>NOT(ISERROR(SEARCH("Positive",L2089)))</formula>
    </cfRule>
    <cfRule type="containsText" dxfId="6659" priority="9183" operator="containsText" text="Negative">
      <formula>NOT(ISERROR(SEARCH("Negative",L2089)))</formula>
    </cfRule>
  </conditionalFormatting>
  <conditionalFormatting sqref="L2137:L2138">
    <cfRule type="containsText" dxfId="6658" priority="9188" operator="containsText" text="Positive">
      <formula>NOT(ISERROR(SEARCH("Positive",L2137)))</formula>
    </cfRule>
    <cfRule type="containsText" dxfId="6657" priority="9189" operator="containsText" text="Negative">
      <formula>NOT(ISERROR(SEARCH("Negative",L2137)))</formula>
    </cfRule>
  </conditionalFormatting>
  <conditionalFormatting sqref="L2106">
    <cfRule type="containsText" dxfId="6656" priority="9176" operator="containsText" text="Positive">
      <formula>NOT(ISERROR(SEARCH("Positive",L2106)))</formula>
    </cfRule>
    <cfRule type="containsText" dxfId="6655" priority="9177" operator="containsText" text="Negative">
      <formula>NOT(ISERROR(SEARCH("Negative",L2106)))</formula>
    </cfRule>
  </conditionalFormatting>
  <conditionalFormatting sqref="I2051">
    <cfRule type="containsText" dxfId="6654" priority="9148" operator="containsText" text="Missing">
      <formula>NOT(ISERROR(SEARCH("Missing",I2051)))</formula>
    </cfRule>
  </conditionalFormatting>
  <conditionalFormatting sqref="J2107:K2107">
    <cfRule type="containsText" dxfId="6653" priority="9175" operator="containsText" text="Missing">
      <formula>NOT(ISERROR(SEARCH("Missing",J2107)))</formula>
    </cfRule>
  </conditionalFormatting>
  <conditionalFormatting sqref="I2055 I2057">
    <cfRule type="containsText" dxfId="6652" priority="9143" operator="containsText" text="Missing">
      <formula>NOT(ISERROR(SEARCH("Missing",I2055)))</formula>
    </cfRule>
  </conditionalFormatting>
  <conditionalFormatting sqref="L2113">
    <cfRule type="containsText" dxfId="6651" priority="9173" operator="containsText" text="Positive">
      <formula>NOT(ISERROR(SEARCH("Positive",L2113)))</formula>
    </cfRule>
    <cfRule type="containsText" dxfId="6650" priority="9174" operator="containsText" text="Negative">
      <formula>NOT(ISERROR(SEARCH("Negative",L2113)))</formula>
    </cfRule>
  </conditionalFormatting>
  <conditionalFormatting sqref="I2157">
    <cfRule type="containsText" dxfId="6649" priority="9131" operator="containsText" text="Missing">
      <formula>NOT(ISERROR(SEARCH("Missing",I2157)))</formula>
    </cfRule>
  </conditionalFormatting>
  <conditionalFormatting sqref="I2050">
    <cfRule type="containsText" dxfId="6648" priority="9144" operator="containsText" text="Missing">
      <formula>NOT(ISERROR(SEARCH("Missing",I2050)))</formula>
    </cfRule>
  </conditionalFormatting>
  <conditionalFormatting sqref="L2109:L2110">
    <cfRule type="containsText" dxfId="6647" priority="9170" operator="containsText" text="Positive">
      <formula>NOT(ISERROR(SEARCH("Positive",L2109)))</formula>
    </cfRule>
    <cfRule type="containsText" dxfId="6646" priority="9171" operator="containsText" text="Negative">
      <formula>NOT(ISERROR(SEARCH("Negative",L2109)))</formula>
    </cfRule>
  </conditionalFormatting>
  <conditionalFormatting sqref="L2111">
    <cfRule type="containsText" dxfId="6645" priority="9167" operator="containsText" text="Positive">
      <formula>NOT(ISERROR(SEARCH("Positive",L2111)))</formula>
    </cfRule>
    <cfRule type="containsText" dxfId="6644" priority="9168" operator="containsText" text="Negative">
      <formula>NOT(ISERROR(SEARCH("Negative",L2111)))</formula>
    </cfRule>
  </conditionalFormatting>
  <conditionalFormatting sqref="J2050:K2050">
    <cfRule type="containsText" dxfId="6643" priority="9147" operator="containsText" text="Missing">
      <formula>NOT(ISERROR(SEARCH("Missing",J2050)))</formula>
    </cfRule>
  </conditionalFormatting>
  <conditionalFormatting sqref="I2109">
    <cfRule type="containsText" dxfId="6642" priority="9161" operator="containsText" text="Missing">
      <formula>NOT(ISERROR(SEARCH("Missing",I2109)))</formula>
    </cfRule>
  </conditionalFormatting>
  <conditionalFormatting sqref="I2110">
    <cfRule type="containsText" dxfId="6641" priority="9163" operator="containsText" text="Missing">
      <formula>NOT(ISERROR(SEARCH("Missing",I2110)))</formula>
    </cfRule>
  </conditionalFormatting>
  <conditionalFormatting sqref="I2133">
    <cfRule type="containsText" dxfId="6640" priority="9158" operator="containsText" text="Missing">
      <formula>NOT(ISERROR(SEARCH("Missing",I2133)))</formula>
    </cfRule>
  </conditionalFormatting>
  <conditionalFormatting sqref="L2108">
    <cfRule type="containsText" dxfId="6639" priority="9156" operator="containsText" text="Positive">
      <formula>NOT(ISERROR(SEARCH("Positive",L2108)))</formula>
    </cfRule>
    <cfRule type="containsText" dxfId="6638" priority="9157" operator="containsText" text="Negative">
      <formula>NOT(ISERROR(SEARCH("Negative",L2108)))</formula>
    </cfRule>
  </conditionalFormatting>
  <conditionalFormatting sqref="L2112">
    <cfRule type="containsText" dxfId="6637" priority="9154" operator="containsText" text="Positive">
      <formula>NOT(ISERROR(SEARCH("Positive",L2112)))</formula>
    </cfRule>
    <cfRule type="containsText" dxfId="6636" priority="9155" operator="containsText" text="Negative">
      <formula>NOT(ISERROR(SEARCH("Negative",L2112)))</formula>
    </cfRule>
  </conditionalFormatting>
  <conditionalFormatting sqref="L2135">
    <cfRule type="containsText" dxfId="6635" priority="9152" operator="containsText" text="Positive">
      <formula>NOT(ISERROR(SEARCH("Positive",L2135)))</formula>
    </cfRule>
    <cfRule type="containsText" dxfId="6634" priority="9153" operator="containsText" text="Negative">
      <formula>NOT(ISERROR(SEARCH("Negative",L2135)))</formula>
    </cfRule>
  </conditionalFormatting>
  <conditionalFormatting sqref="L2050">
    <cfRule type="containsText" dxfId="6633" priority="9150" operator="containsText" text="Positive">
      <formula>NOT(ISERROR(SEARCH("Positive",L2050)))</formula>
    </cfRule>
    <cfRule type="containsText" dxfId="6632" priority="9151" operator="containsText" text="Negative">
      <formula>NOT(ISERROR(SEARCH("Negative",L2050)))</formula>
    </cfRule>
  </conditionalFormatting>
  <conditionalFormatting sqref="I2058">
    <cfRule type="containsText" dxfId="6631" priority="9139" operator="containsText" text="Missing">
      <formula>NOT(ISERROR(SEARCH("Missing",I2058)))</formula>
    </cfRule>
  </conditionalFormatting>
  <conditionalFormatting sqref="I2159">
    <cfRule type="containsText" dxfId="6630" priority="9130" operator="containsText" text="Missing">
      <formula>NOT(ISERROR(SEARCH("Missing",I2159)))</formula>
    </cfRule>
  </conditionalFormatting>
  <conditionalFormatting sqref="L2050">
    <cfRule type="containsText" dxfId="6629" priority="9145" operator="containsText" text="Positive">
      <formula>NOT(ISERROR(SEARCH("Positive",L2050)))</formula>
    </cfRule>
    <cfRule type="containsText" dxfId="6628" priority="9146" operator="containsText" text="Negative">
      <formula>NOT(ISERROR(SEARCH("Negative",L2050)))</formula>
    </cfRule>
  </conditionalFormatting>
  <conditionalFormatting sqref="L2061">
    <cfRule type="containsText" dxfId="6627" priority="9141" operator="containsText" text="Positive">
      <formula>NOT(ISERROR(SEARCH("Positive",L2061)))</formula>
    </cfRule>
    <cfRule type="containsText" dxfId="6626" priority="9142" operator="containsText" text="Negative">
      <formula>NOT(ISERROR(SEARCH("Negative",L2061)))</formula>
    </cfRule>
  </conditionalFormatting>
  <conditionalFormatting sqref="J2005:K2006">
    <cfRule type="containsText" dxfId="6625" priority="9127" operator="containsText" text="Missing">
      <formula>NOT(ISERROR(SEARCH("Missing",J2005)))</formula>
    </cfRule>
  </conditionalFormatting>
  <conditionalFormatting sqref="L2060">
    <cfRule type="containsText" dxfId="6624" priority="9137" operator="containsText" text="Positive">
      <formula>NOT(ISERROR(SEARCH("Positive",L2060)))</formula>
    </cfRule>
    <cfRule type="containsText" dxfId="6623" priority="9138" operator="containsText" text="Negative">
      <formula>NOT(ISERROR(SEARCH("Negative",L2060)))</formula>
    </cfRule>
  </conditionalFormatting>
  <conditionalFormatting sqref="I2156 I2158">
    <cfRule type="containsText" dxfId="6622" priority="9136" operator="containsText" text="Missing">
      <formula>NOT(ISERROR(SEARCH("Missing",I2156)))</formula>
    </cfRule>
  </conditionalFormatting>
  <conditionalFormatting sqref="L2162">
    <cfRule type="containsText" dxfId="6621" priority="9134" operator="containsText" text="Positive">
      <formula>NOT(ISERROR(SEARCH("Positive",L2162)))</formula>
    </cfRule>
    <cfRule type="containsText" dxfId="6620" priority="9135" operator="containsText" text="Negative">
      <formula>NOT(ISERROR(SEARCH("Negative",L2162)))</formula>
    </cfRule>
  </conditionalFormatting>
  <conditionalFormatting sqref="L2163">
    <cfRule type="containsText" dxfId="6619" priority="9132" operator="containsText" text="Positive">
      <formula>NOT(ISERROR(SEARCH("Positive",L2163)))</formula>
    </cfRule>
    <cfRule type="containsText" dxfId="6618" priority="9133" operator="containsText" text="Negative">
      <formula>NOT(ISERROR(SEARCH("Negative",L2163)))</formula>
    </cfRule>
  </conditionalFormatting>
  <conditionalFormatting sqref="L2161">
    <cfRule type="containsText" dxfId="6617" priority="9128" operator="containsText" text="Positive">
      <formula>NOT(ISERROR(SEARCH("Positive",L2161)))</formula>
    </cfRule>
    <cfRule type="containsText" dxfId="6616" priority="9129" operator="containsText" text="Negative">
      <formula>NOT(ISERROR(SEARCH("Negative",L2161)))</formula>
    </cfRule>
  </conditionalFormatting>
  <conditionalFormatting sqref="I2005">
    <cfRule type="containsText" dxfId="6615" priority="9126" operator="containsText" text="Missing">
      <formula>NOT(ISERROR(SEARCH("Missing",I2005)))</formula>
    </cfRule>
  </conditionalFormatting>
  <conditionalFormatting sqref="L2005">
    <cfRule type="containsText" dxfId="6614" priority="9124" operator="containsText" text="Positive">
      <formula>NOT(ISERROR(SEARCH("Positive",L2005)))</formula>
    </cfRule>
    <cfRule type="containsText" dxfId="6613" priority="9125" operator="containsText" text="Negative">
      <formula>NOT(ISERROR(SEARCH("Negative",L2005)))</formula>
    </cfRule>
  </conditionalFormatting>
  <conditionalFormatting sqref="L2006">
    <cfRule type="containsText" dxfId="6612" priority="9122" operator="containsText" text="Positive">
      <formula>NOT(ISERROR(SEARCH("Positive",L2006)))</formula>
    </cfRule>
    <cfRule type="containsText" dxfId="6611" priority="9123" operator="containsText" text="Negative">
      <formula>NOT(ISERROR(SEARCH("Negative",L2006)))</formula>
    </cfRule>
  </conditionalFormatting>
  <conditionalFormatting sqref="L2007">
    <cfRule type="containsText" dxfId="6610" priority="9120" operator="containsText" text="Positive">
      <formula>NOT(ISERROR(SEARCH("Positive",L2007)))</formula>
    </cfRule>
    <cfRule type="containsText" dxfId="6609" priority="9121" operator="containsText" text="Negative">
      <formula>NOT(ISERROR(SEARCH("Negative",L2007)))</formula>
    </cfRule>
  </conditionalFormatting>
  <conditionalFormatting sqref="I2006">
    <cfRule type="containsText" dxfId="6608" priority="9119" operator="containsText" text="Missing">
      <formula>NOT(ISERROR(SEARCH("Missing",I2006)))</formula>
    </cfRule>
  </conditionalFormatting>
  <conditionalFormatting sqref="I2007">
    <cfRule type="containsText" dxfId="6607" priority="9118" operator="containsText" text="Missing">
      <formula>NOT(ISERROR(SEARCH("Missing",I2007)))</formula>
    </cfRule>
  </conditionalFormatting>
  <conditionalFormatting sqref="H2017">
    <cfRule type="containsText" dxfId="6606" priority="9101" operator="containsText" text="Missing">
      <formula>NOT(ISERROR(SEARCH("Missing",H2017)))</formula>
    </cfRule>
  </conditionalFormatting>
  <conditionalFormatting sqref="I2178">
    <cfRule type="containsText" dxfId="6605" priority="9116" operator="containsText" text="Missing">
      <formula>NOT(ISERROR(SEARCH("Missing",I2178)))</formula>
    </cfRule>
  </conditionalFormatting>
  <conditionalFormatting sqref="I2181">
    <cfRule type="containsText" dxfId="6604" priority="9113" operator="containsText" text="Missing">
      <formula>NOT(ISERROR(SEARCH("Missing",I2181)))</formula>
    </cfRule>
  </conditionalFormatting>
  <conditionalFormatting sqref="H1968">
    <cfRule type="containsText" dxfId="6603" priority="9111" operator="containsText" text="Missing">
      <formula>NOT(ISERROR(SEARCH("Missing",H1968)))</formula>
    </cfRule>
  </conditionalFormatting>
  <conditionalFormatting sqref="I2177">
    <cfRule type="containsText" dxfId="6602" priority="9117" operator="containsText" text="Missing">
      <formula>NOT(ISERROR(SEARCH("Missing",I2177)))</formula>
    </cfRule>
  </conditionalFormatting>
  <conditionalFormatting sqref="H1977">
    <cfRule type="containsText" dxfId="6601" priority="9109" operator="containsText" text="Missing">
      <formula>NOT(ISERROR(SEARCH("Missing",H1977)))</formula>
    </cfRule>
  </conditionalFormatting>
  <conditionalFormatting sqref="H2013">
    <cfRule type="containsText" dxfId="6600" priority="9106" operator="containsText" text="Missing">
      <formula>NOT(ISERROR(SEARCH("Missing",H2013)))</formula>
    </cfRule>
  </conditionalFormatting>
  <conditionalFormatting sqref="I2179">
    <cfRule type="containsText" dxfId="6599" priority="9115" operator="containsText" text="Missing">
      <formula>NOT(ISERROR(SEARCH("Missing",I2179)))</formula>
    </cfRule>
  </conditionalFormatting>
  <conditionalFormatting sqref="I2180">
    <cfRule type="containsText" dxfId="6598" priority="9114" operator="containsText" text="Missing">
      <formula>NOT(ISERROR(SEARCH("Missing",I2180)))</formula>
    </cfRule>
  </conditionalFormatting>
  <conditionalFormatting sqref="I2183">
    <cfRule type="containsText" dxfId="6597" priority="9112" operator="containsText" text="Missing">
      <formula>NOT(ISERROR(SEARCH("Missing",I2183)))</formula>
    </cfRule>
  </conditionalFormatting>
  <conditionalFormatting sqref="H1978">
    <cfRule type="containsText" dxfId="6596" priority="9108" operator="containsText" text="Missing">
      <formula>NOT(ISERROR(SEARCH("Missing",H1978)))</formula>
    </cfRule>
  </conditionalFormatting>
  <conditionalFormatting sqref="H1976">
    <cfRule type="containsText" dxfId="6595" priority="9110" operator="containsText" text="Missing">
      <formula>NOT(ISERROR(SEARCH("Missing",H1976)))</formula>
    </cfRule>
  </conditionalFormatting>
  <conditionalFormatting sqref="H1979">
    <cfRule type="containsText" dxfId="6594" priority="9107" operator="containsText" text="Missing">
      <formula>NOT(ISERROR(SEARCH("Missing",H1979)))</formula>
    </cfRule>
  </conditionalFormatting>
  <conditionalFormatting sqref="H2014">
    <cfRule type="containsText" dxfId="6593" priority="9105" operator="containsText" text="Missing">
      <formula>NOT(ISERROR(SEARCH("Missing",H2014)))</formula>
    </cfRule>
  </conditionalFormatting>
  <conditionalFormatting sqref="H2016">
    <cfRule type="containsText" dxfId="6592" priority="9103" operator="containsText" text="Missing">
      <formula>NOT(ISERROR(SEARCH("Missing",H2016)))</formula>
    </cfRule>
  </conditionalFormatting>
  <conditionalFormatting sqref="H2015">
    <cfRule type="containsText" dxfId="6591" priority="9104" operator="containsText" text="Missing">
      <formula>NOT(ISERROR(SEARCH("Missing",H2015)))</formula>
    </cfRule>
  </conditionalFormatting>
  <conditionalFormatting sqref="H2018">
    <cfRule type="containsText" dxfId="6590" priority="9102" operator="containsText" text="Missing">
      <formula>NOT(ISERROR(SEARCH("Missing",H2018)))</formula>
    </cfRule>
  </conditionalFormatting>
  <conditionalFormatting sqref="J2185:K2185">
    <cfRule type="containsText" dxfId="6589" priority="9098" operator="containsText" text="Missing">
      <formula>NOT(ISERROR(SEARCH("Missing",J2185)))</formula>
    </cfRule>
  </conditionalFormatting>
  <conditionalFormatting sqref="H2111">
    <cfRule type="containsText" dxfId="6588" priority="9080" operator="containsText" text="Missing">
      <formula>NOT(ISERROR(SEARCH("Missing",H2111)))</formula>
    </cfRule>
  </conditionalFormatting>
  <conditionalFormatting sqref="J2186:K2187">
    <cfRule type="containsText" dxfId="6587" priority="9097" operator="containsText" text="Missing">
      <formula>NOT(ISERROR(SEARCH("Missing",J2186)))</formula>
    </cfRule>
  </conditionalFormatting>
  <conditionalFormatting sqref="I2186 I2190">
    <cfRule type="containsText" dxfId="6586" priority="9096" operator="containsText" text="Missing">
      <formula>NOT(ISERROR(SEARCH("Missing",I2186)))</formula>
    </cfRule>
  </conditionalFormatting>
  <conditionalFormatting sqref="L2185:L2187">
    <cfRule type="containsText" dxfId="6585" priority="9099" operator="containsText" text="Positive">
      <formula>NOT(ISERROR(SEARCH("Positive",L2185)))</formula>
    </cfRule>
    <cfRule type="containsText" dxfId="6584" priority="9100" operator="containsText" text="Negative">
      <formula>NOT(ISERROR(SEARCH("Negative",L2185)))</formula>
    </cfRule>
  </conditionalFormatting>
  <conditionalFormatting sqref="I2185 I2187 I2191 I2189">
    <cfRule type="containsText" dxfId="6583" priority="9095" operator="containsText" text="Missing">
      <formula>NOT(ISERROR(SEARCH("Missing",I2185)))</formula>
    </cfRule>
  </conditionalFormatting>
  <conditionalFormatting sqref="H2179">
    <cfRule type="containsText" dxfId="6582" priority="9071" operator="containsText" text="Missing">
      <formula>NOT(ISERROR(SEARCH("Missing",H2179)))</formula>
    </cfRule>
  </conditionalFormatting>
  <conditionalFormatting sqref="H2124">
    <cfRule type="containsText" dxfId="6581" priority="9077" operator="containsText" text="Missing">
      <formula>NOT(ISERROR(SEARCH("Missing",H2124)))</formula>
    </cfRule>
  </conditionalFormatting>
  <conditionalFormatting sqref="H2050">
    <cfRule type="containsText" dxfId="6580" priority="9094" operator="containsText" text="Missing">
      <formula>NOT(ISERROR(SEARCH("Missing",H2050)))</formula>
    </cfRule>
  </conditionalFormatting>
  <conditionalFormatting sqref="H2051">
    <cfRule type="containsText" dxfId="6579" priority="9093" operator="containsText" text="Missing">
      <formula>NOT(ISERROR(SEARCH("Missing",H2051)))</formula>
    </cfRule>
  </conditionalFormatting>
  <conditionalFormatting sqref="H2156:H2158">
    <cfRule type="containsText" dxfId="6578" priority="9075" operator="containsText" text="Missing">
      <formula>NOT(ISERROR(SEARCH("Missing",H2156)))</formula>
    </cfRule>
  </conditionalFormatting>
  <conditionalFormatting sqref="H2058">
    <cfRule type="containsText" dxfId="6577" priority="9092" operator="containsText" text="Missing">
      <formula>NOT(ISERROR(SEARCH("Missing",H2058)))</formula>
    </cfRule>
  </conditionalFormatting>
  <conditionalFormatting sqref="H2113">
    <cfRule type="containsText" dxfId="6576" priority="9079" operator="containsText" text="Missing">
      <formula>NOT(ISERROR(SEARCH("Missing",H2113)))</formula>
    </cfRule>
  </conditionalFormatting>
  <conditionalFormatting sqref="H2089">
    <cfRule type="containsText" dxfId="6575" priority="9089" operator="containsText" text="Missing">
      <formula>NOT(ISERROR(SEARCH("Missing",H2089)))</formula>
    </cfRule>
  </conditionalFormatting>
  <conditionalFormatting sqref="H2112">
    <cfRule type="containsText" dxfId="6574" priority="9078" operator="containsText" text="Missing">
      <formula>NOT(ISERROR(SEARCH("Missing",H2112)))</formula>
    </cfRule>
  </conditionalFormatting>
  <conditionalFormatting sqref="H2180">
    <cfRule type="containsText" dxfId="6573" priority="9073" operator="containsText" text="Missing">
      <formula>NOT(ISERROR(SEARCH("Missing",H2180)))</formula>
    </cfRule>
  </conditionalFormatting>
  <conditionalFormatting sqref="H2128">
    <cfRule type="containsText" dxfId="6572" priority="9076" operator="containsText" text="Missing">
      <formula>NOT(ISERROR(SEARCH("Missing",H2128)))</formula>
    </cfRule>
  </conditionalFormatting>
  <conditionalFormatting sqref="H2087">
    <cfRule type="containsText" dxfId="6571" priority="9091" operator="containsText" text="Missing">
      <formula>NOT(ISERROR(SEARCH("Missing",H2087)))</formula>
    </cfRule>
  </conditionalFormatting>
  <conditionalFormatting sqref="H2090">
    <cfRule type="containsText" dxfId="6570" priority="9088" operator="containsText" text="Missing">
      <formula>NOT(ISERROR(SEARCH("Missing",H2090)))</formula>
    </cfRule>
  </conditionalFormatting>
  <conditionalFormatting sqref="H2088">
    <cfRule type="containsText" dxfId="6569" priority="9090" operator="containsText" text="Missing">
      <formula>NOT(ISERROR(SEARCH("Missing",H2088)))</formula>
    </cfRule>
  </conditionalFormatting>
  <conditionalFormatting sqref="H2102">
    <cfRule type="containsText" dxfId="6568" priority="9086" operator="containsText" text="Missing">
      <formula>NOT(ISERROR(SEARCH("Missing",H2102)))</formula>
    </cfRule>
  </conditionalFormatting>
  <conditionalFormatting sqref="H2091">
    <cfRule type="containsText" dxfId="6567" priority="9087" operator="containsText" text="Missing">
      <formula>NOT(ISERROR(SEARCH("Missing",H2091)))</formula>
    </cfRule>
  </conditionalFormatting>
  <conditionalFormatting sqref="H2110">
    <cfRule type="containsText" dxfId="6566" priority="9081" operator="containsText" text="Missing">
      <formula>NOT(ISERROR(SEARCH("Missing",H2110)))</formula>
    </cfRule>
  </conditionalFormatting>
  <conditionalFormatting sqref="H2106">
    <cfRule type="containsText" dxfId="6565" priority="9085" operator="containsText" text="Missing">
      <formula>NOT(ISERROR(SEARCH("Missing",H2106)))</formula>
    </cfRule>
  </conditionalFormatting>
  <conditionalFormatting sqref="H2107">
    <cfRule type="containsText" dxfId="6564" priority="9084" operator="containsText" text="Missing">
      <formula>NOT(ISERROR(SEARCH("Missing",H2107)))</formula>
    </cfRule>
  </conditionalFormatting>
  <conditionalFormatting sqref="H2109">
    <cfRule type="containsText" dxfId="6563" priority="9082" operator="containsText" text="Missing">
      <formula>NOT(ISERROR(SEARCH("Missing",H2109)))</formula>
    </cfRule>
  </conditionalFormatting>
  <conditionalFormatting sqref="H2108">
    <cfRule type="containsText" dxfId="6562" priority="9083" operator="containsText" text="Missing">
      <formula>NOT(ISERROR(SEARCH("Missing",H2108)))</formula>
    </cfRule>
  </conditionalFormatting>
  <conditionalFormatting sqref="H2181">
    <cfRule type="containsText" dxfId="6561" priority="9070" operator="containsText" text="Missing">
      <formula>NOT(ISERROR(SEARCH("Missing",H2181)))</formula>
    </cfRule>
  </conditionalFormatting>
  <conditionalFormatting sqref="H2178">
    <cfRule type="containsText" dxfId="6560" priority="9072" operator="containsText" text="Missing">
      <formula>NOT(ISERROR(SEARCH("Missing",H2178)))</formula>
    </cfRule>
  </conditionalFormatting>
  <conditionalFormatting sqref="H2177">
    <cfRule type="containsText" dxfId="6559" priority="9074" operator="containsText" text="Missing">
      <formula>NOT(ISERROR(SEARCH("Missing",H2177)))</formula>
    </cfRule>
  </conditionalFormatting>
  <conditionalFormatting sqref="H2183">
    <cfRule type="containsText" dxfId="6558" priority="9068" operator="containsText" text="Missing">
      <formula>NOT(ISERROR(SEARCH("Missing",H2183)))</formula>
    </cfRule>
  </conditionalFormatting>
  <conditionalFormatting sqref="J2196:K2196">
    <cfRule type="containsText" dxfId="6557" priority="9055" operator="containsText" text="Missing">
      <formula>NOT(ISERROR(SEARCH("Missing",J2196)))</formula>
    </cfRule>
  </conditionalFormatting>
  <conditionalFormatting sqref="H2184">
    <cfRule type="containsText" dxfId="6556" priority="9069" operator="containsText" text="Missing">
      <formula>NOT(ISERROR(SEARCH("Missing",H2184)))</formula>
    </cfRule>
  </conditionalFormatting>
  <conditionalFormatting sqref="J2189:K2189">
    <cfRule type="containsText" dxfId="6555" priority="9065" operator="containsText" text="Missing">
      <formula>NOT(ISERROR(SEARCH("Missing",J2189)))</formula>
    </cfRule>
  </conditionalFormatting>
  <conditionalFormatting sqref="J2190:K2191">
    <cfRule type="containsText" dxfId="6554" priority="9064" operator="containsText" text="Missing">
      <formula>NOT(ISERROR(SEARCH("Missing",J2190)))</formula>
    </cfRule>
  </conditionalFormatting>
  <conditionalFormatting sqref="J2193:K2194">
    <cfRule type="containsText" dxfId="6553" priority="9058" operator="containsText" text="Missing">
      <formula>NOT(ISERROR(SEARCH("Missing",J2193)))</formula>
    </cfRule>
  </conditionalFormatting>
  <conditionalFormatting sqref="L2189:L2191">
    <cfRule type="containsText" dxfId="6552" priority="9066" operator="containsText" text="Positive">
      <formula>NOT(ISERROR(SEARCH("Positive",L2189)))</formula>
    </cfRule>
    <cfRule type="containsText" dxfId="6551" priority="9067" operator="containsText" text="Negative">
      <formula>NOT(ISERROR(SEARCH("Negative",L2189)))</formula>
    </cfRule>
  </conditionalFormatting>
  <conditionalFormatting sqref="I2193">
    <cfRule type="containsText" dxfId="6550" priority="9063" operator="containsText" text="Missing">
      <formula>NOT(ISERROR(SEARCH("Missing",I2193)))</formula>
    </cfRule>
  </conditionalFormatting>
  <conditionalFormatting sqref="I2192 I2194">
    <cfRule type="containsText" dxfId="6549" priority="9062" operator="containsText" text="Missing">
      <formula>NOT(ISERROR(SEARCH("Missing",I2192)))</formula>
    </cfRule>
  </conditionalFormatting>
  <conditionalFormatting sqref="J2192:K2192">
    <cfRule type="containsText" dxfId="6548" priority="9059" operator="containsText" text="Missing">
      <formula>NOT(ISERROR(SEARCH("Missing",J2192)))</formula>
    </cfRule>
  </conditionalFormatting>
  <conditionalFormatting sqref="L2192:L2194">
    <cfRule type="containsText" dxfId="6547" priority="9060" operator="containsText" text="Positive">
      <formula>NOT(ISERROR(SEARCH("Positive",L2192)))</formula>
    </cfRule>
    <cfRule type="containsText" dxfId="6546" priority="9061" operator="containsText" text="Negative">
      <formula>NOT(ISERROR(SEARCH("Negative",L2192)))</formula>
    </cfRule>
  </conditionalFormatting>
  <conditionalFormatting sqref="L2196:L2198">
    <cfRule type="containsText" dxfId="6545" priority="9056" operator="containsText" text="Positive">
      <formula>NOT(ISERROR(SEARCH("Positive",L2196)))</formula>
    </cfRule>
    <cfRule type="containsText" dxfId="6544" priority="9057" operator="containsText" text="Negative">
      <formula>NOT(ISERROR(SEARCH("Negative",L2196)))</formula>
    </cfRule>
  </conditionalFormatting>
  <conditionalFormatting sqref="I2197 I2201">
    <cfRule type="containsText" dxfId="6543" priority="9053" operator="containsText" text="Missing">
      <formula>NOT(ISERROR(SEARCH("Missing",I2197)))</formula>
    </cfRule>
  </conditionalFormatting>
  <conditionalFormatting sqref="J2197:K2198">
    <cfRule type="containsText" dxfId="6542" priority="9054" operator="containsText" text="Missing">
      <formula>NOT(ISERROR(SEARCH("Missing",J2197)))</formula>
    </cfRule>
  </conditionalFormatting>
  <conditionalFormatting sqref="I2196 I2202 I2198:I2200">
    <cfRule type="containsText" dxfId="6541" priority="9052" operator="containsText" text="Missing">
      <formula>NOT(ISERROR(SEARCH("Missing",I2196)))</formula>
    </cfRule>
  </conditionalFormatting>
  <conditionalFormatting sqref="J2201:K2202">
    <cfRule type="containsText" dxfId="6540" priority="9048" operator="containsText" text="Missing">
      <formula>NOT(ISERROR(SEARCH("Missing",J2201)))</formula>
    </cfRule>
  </conditionalFormatting>
  <conditionalFormatting sqref="J2204:K2205">
    <cfRule type="containsText" dxfId="6539" priority="9042" operator="containsText" text="Missing">
      <formula>NOT(ISERROR(SEARCH("Missing",J2204)))</formula>
    </cfRule>
  </conditionalFormatting>
  <conditionalFormatting sqref="J2200:K2200">
    <cfRule type="containsText" dxfId="6538" priority="9049" operator="containsText" text="Missing">
      <formula>NOT(ISERROR(SEARCH("Missing",J2200)))</formula>
    </cfRule>
  </conditionalFormatting>
  <conditionalFormatting sqref="L2200:L2202">
    <cfRule type="containsText" dxfId="6537" priority="9050" operator="containsText" text="Positive">
      <formula>NOT(ISERROR(SEARCH("Positive",L2200)))</formula>
    </cfRule>
    <cfRule type="containsText" dxfId="6536" priority="9051" operator="containsText" text="Negative">
      <formula>NOT(ISERROR(SEARCH("Negative",L2200)))</formula>
    </cfRule>
  </conditionalFormatting>
  <conditionalFormatting sqref="I2204">
    <cfRule type="containsText" dxfId="6535" priority="9047" operator="containsText" text="Missing">
      <formula>NOT(ISERROR(SEARCH("Missing",I2204)))</formula>
    </cfRule>
  </conditionalFormatting>
  <conditionalFormatting sqref="I2203 I2205">
    <cfRule type="containsText" dxfId="6534" priority="9046" operator="containsText" text="Missing">
      <formula>NOT(ISERROR(SEARCH("Missing",I2203)))</formula>
    </cfRule>
  </conditionalFormatting>
  <conditionalFormatting sqref="J2203:K2203">
    <cfRule type="containsText" dxfId="6533" priority="9043" operator="containsText" text="Missing">
      <formula>NOT(ISERROR(SEARCH("Missing",J2203)))</formula>
    </cfRule>
  </conditionalFormatting>
  <conditionalFormatting sqref="L2203:L2205">
    <cfRule type="containsText" dxfId="6532" priority="9044" operator="containsText" text="Positive">
      <formula>NOT(ISERROR(SEARCH("Positive",L2203)))</formula>
    </cfRule>
    <cfRule type="containsText" dxfId="6531" priority="9045" operator="containsText" text="Negative">
      <formula>NOT(ISERROR(SEARCH("Negative",L2203)))</formula>
    </cfRule>
  </conditionalFormatting>
  <conditionalFormatting sqref="H2185:H2187 H2196:H2198 H2189:H2194 H2200:H2205">
    <cfRule type="containsText" dxfId="6530" priority="9041" operator="containsText" text="Missing">
      <formula>NOT(ISERROR(SEARCH("Missing",H2185)))</formula>
    </cfRule>
  </conditionalFormatting>
  <conditionalFormatting sqref="J2021:K2021">
    <cfRule type="containsText" dxfId="6529" priority="9034" operator="containsText" text="Missing">
      <formula>NOT(ISERROR(SEARCH("Missing",J2021)))</formula>
    </cfRule>
  </conditionalFormatting>
  <conditionalFormatting sqref="J2019:K2019">
    <cfRule type="containsText" dxfId="6528" priority="9040" operator="containsText" text="Missing">
      <formula>NOT(ISERROR(SEARCH("Missing",J2019)))</formula>
    </cfRule>
  </conditionalFormatting>
  <conditionalFormatting sqref="J2020:K2020">
    <cfRule type="containsText" dxfId="6527" priority="9037" operator="containsText" text="Missing">
      <formula>NOT(ISERROR(SEARCH("Missing",J2020)))</formula>
    </cfRule>
  </conditionalFormatting>
  <conditionalFormatting sqref="I2020">
    <cfRule type="containsText" dxfId="6526" priority="9031" operator="containsText" text="Missing">
      <formula>NOT(ISERROR(SEARCH("Missing",I2020)))</formula>
    </cfRule>
  </conditionalFormatting>
  <conditionalFormatting sqref="L2019">
    <cfRule type="containsText" dxfId="6525" priority="9038" operator="containsText" text="Positive">
      <formula>NOT(ISERROR(SEARCH("Positive",L2019)))</formula>
    </cfRule>
    <cfRule type="containsText" dxfId="6524" priority="9039" operator="containsText" text="Negative">
      <formula>NOT(ISERROR(SEARCH("Negative",L2019)))</formula>
    </cfRule>
  </conditionalFormatting>
  <conditionalFormatting sqref="L2020">
    <cfRule type="containsText" dxfId="6523" priority="9035" operator="containsText" text="Positive">
      <formula>NOT(ISERROR(SEARCH("Positive",L2020)))</formula>
    </cfRule>
    <cfRule type="containsText" dxfId="6522" priority="9036" operator="containsText" text="Negative">
      <formula>NOT(ISERROR(SEARCH("Negative",L2020)))</formula>
    </cfRule>
  </conditionalFormatting>
  <conditionalFormatting sqref="I2019">
    <cfRule type="containsText" dxfId="6521" priority="9033" operator="containsText" text="Missing">
      <formula>NOT(ISERROR(SEARCH("Missing",I2019)))</formula>
    </cfRule>
  </conditionalFormatting>
  <conditionalFormatting sqref="I2021">
    <cfRule type="containsText" dxfId="6520" priority="9032" operator="containsText" text="Missing">
      <formula>NOT(ISERROR(SEARCH("Missing",I2021)))</formula>
    </cfRule>
  </conditionalFormatting>
  <conditionalFormatting sqref="L2021">
    <cfRule type="containsText" dxfId="6519" priority="9029" operator="containsText" text="Positive">
      <formula>NOT(ISERROR(SEARCH("Positive",L2021)))</formula>
    </cfRule>
    <cfRule type="containsText" dxfId="6518" priority="9030" operator="containsText" text="Negative">
      <formula>NOT(ISERROR(SEARCH("Negative",L2021)))</formula>
    </cfRule>
  </conditionalFormatting>
  <conditionalFormatting sqref="H2021">
    <cfRule type="containsText" dxfId="6517" priority="9026" operator="containsText" text="Missing">
      <formula>NOT(ISERROR(SEARCH("Missing",H2021)))</formula>
    </cfRule>
  </conditionalFormatting>
  <conditionalFormatting sqref="H2020">
    <cfRule type="containsText" dxfId="6516" priority="9027" operator="containsText" text="Missing">
      <formula>NOT(ISERROR(SEARCH("Missing",H2020)))</formula>
    </cfRule>
  </conditionalFormatting>
  <conditionalFormatting sqref="H2019">
    <cfRule type="containsText" dxfId="6515" priority="9028" operator="containsText" text="Missing">
      <formula>NOT(ISERROR(SEARCH("Missing",H2019)))</formula>
    </cfRule>
  </conditionalFormatting>
  <conditionalFormatting sqref="H1986">
    <cfRule type="containsText" dxfId="6514" priority="9004" operator="containsText" text="Missing">
      <formula>NOT(ISERROR(SEARCH("Missing",H1986)))</formula>
    </cfRule>
  </conditionalFormatting>
  <conditionalFormatting sqref="L1981">
    <cfRule type="containsText" dxfId="6513" priority="9024" operator="containsText" text="Positive">
      <formula>NOT(ISERROR(SEARCH("Positive",L1981)))</formula>
    </cfRule>
    <cfRule type="containsText" dxfId="6512" priority="9025" operator="containsText" text="Negative">
      <formula>NOT(ISERROR(SEARCH("Negative",L1981)))</formula>
    </cfRule>
  </conditionalFormatting>
  <conditionalFormatting sqref="J1980:K1980">
    <cfRule type="containsText" dxfId="6511" priority="9023" operator="containsText" text="Missing">
      <formula>NOT(ISERROR(SEARCH("Missing",J1980)))</formula>
    </cfRule>
  </conditionalFormatting>
  <conditionalFormatting sqref="L1980">
    <cfRule type="containsText" dxfId="6510" priority="9021" operator="containsText" text="Positive">
      <formula>NOT(ISERROR(SEARCH("Positive",L1980)))</formula>
    </cfRule>
    <cfRule type="containsText" dxfId="6509" priority="9022" operator="containsText" text="Negative">
      <formula>NOT(ISERROR(SEARCH("Negative",L1980)))</formula>
    </cfRule>
  </conditionalFormatting>
  <conditionalFormatting sqref="J1981:K1981">
    <cfRule type="containsText" dxfId="6508" priority="9019" operator="containsText" text="Missing">
      <formula>NOT(ISERROR(SEARCH("Missing",J1981)))</formula>
    </cfRule>
  </conditionalFormatting>
  <conditionalFormatting sqref="H1980">
    <cfRule type="containsText" dxfId="6507" priority="9020" operator="containsText" text="Missing">
      <formula>NOT(ISERROR(SEARCH("Missing",H1980)))</formula>
    </cfRule>
  </conditionalFormatting>
  <conditionalFormatting sqref="J1982:K1984">
    <cfRule type="containsText" dxfId="6506" priority="9018" operator="containsText" text="Missing">
      <formula>NOT(ISERROR(SEARCH("Missing",J1982)))</formula>
    </cfRule>
  </conditionalFormatting>
  <conditionalFormatting sqref="L1982:L1984">
    <cfRule type="containsText" dxfId="6505" priority="9016" operator="containsText" text="Positive">
      <formula>NOT(ISERROR(SEARCH("Positive",L1982)))</formula>
    </cfRule>
    <cfRule type="containsText" dxfId="6504" priority="9017" operator="containsText" text="Negative">
      <formula>NOT(ISERROR(SEARCH("Negative",L1982)))</formula>
    </cfRule>
  </conditionalFormatting>
  <conditionalFormatting sqref="H1982">
    <cfRule type="containsText" dxfId="6503" priority="9014" operator="containsText" text="Missing">
      <formula>NOT(ISERROR(SEARCH("Missing",H1982)))</formula>
    </cfRule>
  </conditionalFormatting>
  <conditionalFormatting sqref="H1983">
    <cfRule type="containsText" dxfId="6502" priority="9013" operator="containsText" text="Missing">
      <formula>NOT(ISERROR(SEARCH("Missing",H1983)))</formula>
    </cfRule>
  </conditionalFormatting>
  <conditionalFormatting sqref="H1981">
    <cfRule type="containsText" dxfId="6501" priority="9015" operator="containsText" text="Missing">
      <formula>NOT(ISERROR(SEARCH("Missing",H1981)))</formula>
    </cfRule>
  </conditionalFormatting>
  <conditionalFormatting sqref="H1984">
    <cfRule type="containsText" dxfId="6500" priority="9012" operator="containsText" text="Missing">
      <formula>NOT(ISERROR(SEARCH("Missing",H1984)))</formula>
    </cfRule>
  </conditionalFormatting>
  <conditionalFormatting sqref="J1985:K1985">
    <cfRule type="containsText" dxfId="6499" priority="9009" operator="containsText" text="Missing">
      <formula>NOT(ISERROR(SEARCH("Missing",J1985)))</formula>
    </cfRule>
  </conditionalFormatting>
  <conditionalFormatting sqref="L1986">
    <cfRule type="containsText" dxfId="6498" priority="9010" operator="containsText" text="Positive">
      <formula>NOT(ISERROR(SEARCH("Positive",L1986)))</formula>
    </cfRule>
    <cfRule type="containsText" dxfId="6497" priority="9011" operator="containsText" text="Negative">
      <formula>NOT(ISERROR(SEARCH("Negative",L1986)))</formula>
    </cfRule>
  </conditionalFormatting>
  <conditionalFormatting sqref="J2134:K2134">
    <cfRule type="containsText" dxfId="6496" priority="8991" operator="containsText" text="Missing">
      <formula>NOT(ISERROR(SEARCH("Missing",J2134)))</formula>
    </cfRule>
  </conditionalFormatting>
  <conditionalFormatting sqref="L1985">
    <cfRule type="containsText" dxfId="6495" priority="9007" operator="containsText" text="Positive">
      <formula>NOT(ISERROR(SEARCH("Positive",L1985)))</formula>
    </cfRule>
    <cfRule type="containsText" dxfId="6494" priority="9008" operator="containsText" text="Negative">
      <formula>NOT(ISERROR(SEARCH("Negative",L1985)))</formula>
    </cfRule>
  </conditionalFormatting>
  <conditionalFormatting sqref="J1986:K1986">
    <cfRule type="containsText" dxfId="6493" priority="9005" operator="containsText" text="Missing">
      <formula>NOT(ISERROR(SEARCH("Missing",J1986)))</formula>
    </cfRule>
  </conditionalFormatting>
  <conditionalFormatting sqref="H1985">
    <cfRule type="containsText" dxfId="6492" priority="9006" operator="containsText" text="Missing">
      <formula>NOT(ISERROR(SEARCH("Missing",H1985)))</formula>
    </cfRule>
  </conditionalFormatting>
  <conditionalFormatting sqref="H1987">
    <cfRule type="containsText" dxfId="6491" priority="9003" operator="containsText" text="Missing">
      <formula>NOT(ISERROR(SEARCH("Missing",H1987)))</formula>
    </cfRule>
  </conditionalFormatting>
  <conditionalFormatting sqref="H1988">
    <cfRule type="containsText" dxfId="6490" priority="9002" operator="containsText" text="Missing">
      <formula>NOT(ISERROR(SEARCH("Missing",H1988)))</formula>
    </cfRule>
  </conditionalFormatting>
  <conditionalFormatting sqref="L2059">
    <cfRule type="containsText" dxfId="6489" priority="9000" operator="containsText" text="Positive">
      <formula>NOT(ISERROR(SEARCH("Positive",L2059)))</formula>
    </cfRule>
    <cfRule type="containsText" dxfId="6488" priority="9001" operator="containsText" text="Negative">
      <formula>NOT(ISERROR(SEARCH("Negative",L2059)))</formula>
    </cfRule>
  </conditionalFormatting>
  <conditionalFormatting sqref="I2059">
    <cfRule type="containsText" dxfId="6487" priority="8999" operator="containsText" text="Missing">
      <formula>NOT(ISERROR(SEARCH("Missing",I2059)))</formula>
    </cfRule>
  </conditionalFormatting>
  <conditionalFormatting sqref="H2059">
    <cfRule type="containsText" dxfId="6486" priority="8998" operator="containsText" text="Missing">
      <formula>NOT(ISERROR(SEARCH("Missing",H2059)))</formula>
    </cfRule>
  </conditionalFormatting>
  <conditionalFormatting sqref="L2038">
    <cfRule type="containsText" dxfId="6485" priority="8996" operator="containsText" text="Positive">
      <formula>NOT(ISERROR(SEARCH("Positive",L2038)))</formula>
    </cfRule>
    <cfRule type="containsText" dxfId="6484" priority="8997" operator="containsText" text="Negative">
      <formula>NOT(ISERROR(SEARCH("Negative",L2038)))</formula>
    </cfRule>
  </conditionalFormatting>
  <conditionalFormatting sqref="L2033">
    <cfRule type="containsText" dxfId="6483" priority="8994" operator="containsText" text="Positive">
      <formula>NOT(ISERROR(SEARCH("Positive",L2033)))</formula>
    </cfRule>
    <cfRule type="containsText" dxfId="6482" priority="8995" operator="containsText" text="Negative">
      <formula>NOT(ISERROR(SEARCH("Negative",L2033)))</formula>
    </cfRule>
  </conditionalFormatting>
  <conditionalFormatting sqref="H2032">
    <cfRule type="containsText" dxfId="6481" priority="8993" operator="containsText" text="Missing">
      <formula>NOT(ISERROR(SEARCH("Missing",H2032)))</formula>
    </cfRule>
  </conditionalFormatting>
  <conditionalFormatting sqref="H2033">
    <cfRule type="containsText" dxfId="6480" priority="8992" operator="containsText" text="Missing">
      <formula>NOT(ISERROR(SEARCH("Missing",H2033)))</formula>
    </cfRule>
  </conditionalFormatting>
  <conditionalFormatting sqref="L2164">
    <cfRule type="containsText" dxfId="6479" priority="8983" operator="containsText" text="Positive">
      <formula>NOT(ISERROR(SEARCH("Positive",L2164)))</formula>
    </cfRule>
    <cfRule type="containsText" dxfId="6478" priority="8984" operator="containsText" text="Negative">
      <formula>NOT(ISERROR(SEARCH("Negative",L2164)))</formula>
    </cfRule>
  </conditionalFormatting>
  <conditionalFormatting sqref="L2134">
    <cfRule type="containsText" dxfId="6477" priority="8989" operator="containsText" text="Positive">
      <formula>NOT(ISERROR(SEARCH("Positive",L2134)))</formula>
    </cfRule>
    <cfRule type="containsText" dxfId="6476" priority="8990" operator="containsText" text="Negative">
      <formula>NOT(ISERROR(SEARCH("Negative",L2134)))</formula>
    </cfRule>
  </conditionalFormatting>
  <conditionalFormatting sqref="I2134">
    <cfRule type="containsText" dxfId="6475" priority="8988" operator="containsText" text="Missing">
      <formula>NOT(ISERROR(SEARCH("Missing",I2134)))</formula>
    </cfRule>
  </conditionalFormatting>
  <conditionalFormatting sqref="H2134">
    <cfRule type="containsText" dxfId="6474" priority="8986" operator="containsText" text="Missing">
      <formula>NOT(ISERROR(SEARCH("Missing",H2134)))</formula>
    </cfRule>
  </conditionalFormatting>
  <conditionalFormatting sqref="H2160">
    <cfRule type="containsText" dxfId="6473" priority="8978" operator="containsText" text="Missing">
      <formula>NOT(ISERROR(SEARCH("Missing",H2160)))</formula>
    </cfRule>
  </conditionalFormatting>
  <conditionalFormatting sqref="H2133">
    <cfRule type="containsText" dxfId="6472" priority="8987" operator="containsText" text="Missing">
      <formula>NOT(ISERROR(SEARCH("Missing",H2133)))</formula>
    </cfRule>
  </conditionalFormatting>
  <conditionalFormatting sqref="I2206">
    <cfRule type="containsText" dxfId="6471" priority="8968" operator="containsText" text="Missing">
      <formula>NOT(ISERROR(SEARCH("Missing",I2206)))</formula>
    </cfRule>
  </conditionalFormatting>
  <conditionalFormatting sqref="H2164:K2164">
    <cfRule type="containsText" dxfId="6470" priority="8985" operator="containsText" text="Missing">
      <formula>NOT(ISERROR(SEARCH("Missing",H2164)))</formula>
    </cfRule>
  </conditionalFormatting>
  <conditionalFormatting sqref="L2195">
    <cfRule type="containsText" dxfId="6469" priority="8975" operator="containsText" text="Positive">
      <formula>NOT(ISERROR(SEARCH("Positive",L2195)))</formula>
    </cfRule>
    <cfRule type="containsText" dxfId="6468" priority="8976" operator="containsText" text="Negative">
      <formula>NOT(ISERROR(SEARCH("Negative",L2195)))</formula>
    </cfRule>
  </conditionalFormatting>
  <conditionalFormatting sqref="J2160:K2160">
    <cfRule type="containsText" dxfId="6467" priority="8982" operator="containsText" text="Missing">
      <formula>NOT(ISERROR(SEARCH("Missing",J2160)))</formula>
    </cfRule>
  </conditionalFormatting>
  <conditionalFormatting sqref="L2160">
    <cfRule type="containsText" dxfId="6466" priority="8980" operator="containsText" text="Positive">
      <formula>NOT(ISERROR(SEARCH("Positive",L2160)))</formula>
    </cfRule>
    <cfRule type="containsText" dxfId="6465" priority="8981" operator="containsText" text="Negative">
      <formula>NOT(ISERROR(SEARCH("Negative",L2160)))</formula>
    </cfRule>
  </conditionalFormatting>
  <conditionalFormatting sqref="I2160">
    <cfRule type="containsText" dxfId="6464" priority="8979" operator="containsText" text="Missing">
      <formula>NOT(ISERROR(SEARCH("Missing",I2160)))</formula>
    </cfRule>
  </conditionalFormatting>
  <conditionalFormatting sqref="I2028">
    <cfRule type="containsText" dxfId="6463" priority="8964" operator="containsText" text="Missing">
      <formula>NOT(ISERROR(SEARCH("Missing",I2028)))</formula>
    </cfRule>
  </conditionalFormatting>
  <conditionalFormatting sqref="J2195:K2195">
    <cfRule type="containsText" dxfId="6462" priority="8977" operator="containsText" text="Missing">
      <formula>NOT(ISERROR(SEARCH("Missing",J2195)))</formula>
    </cfRule>
  </conditionalFormatting>
  <conditionalFormatting sqref="L2206">
    <cfRule type="containsText" dxfId="6461" priority="8972" operator="containsText" text="Positive">
      <formula>NOT(ISERROR(SEARCH("Positive",L2206)))</formula>
    </cfRule>
    <cfRule type="containsText" dxfId="6460" priority="8973" operator="containsText" text="Negative">
      <formula>NOT(ISERROR(SEARCH("Negative",L2206)))</formula>
    </cfRule>
  </conditionalFormatting>
  <conditionalFormatting sqref="J2206:K2206">
    <cfRule type="containsText" dxfId="6459" priority="8974" operator="containsText" text="Missing">
      <formula>NOT(ISERROR(SEARCH("Missing",J2206)))</formula>
    </cfRule>
  </conditionalFormatting>
  <conditionalFormatting sqref="H2195">
    <cfRule type="containsText" dxfId="6458" priority="8971" operator="containsText" text="Missing">
      <formula>NOT(ISERROR(SEARCH("Missing",H2195)))</formula>
    </cfRule>
  </conditionalFormatting>
  <conditionalFormatting sqref="I2195">
    <cfRule type="containsText" dxfId="6457" priority="8970" operator="containsText" text="Missing">
      <formula>NOT(ISERROR(SEARCH("Missing",I2195)))</formula>
    </cfRule>
  </conditionalFormatting>
  <conditionalFormatting sqref="H2206">
    <cfRule type="containsText" dxfId="6456" priority="8969" operator="containsText" text="Missing">
      <formula>NOT(ISERROR(SEARCH("Missing",H2206)))</formula>
    </cfRule>
  </conditionalFormatting>
  <conditionalFormatting sqref="I2054">
    <cfRule type="containsText" dxfId="6455" priority="8959" operator="containsText" text="Missing">
      <formula>NOT(ISERROR(SEARCH("Missing",I2054)))</formula>
    </cfRule>
  </conditionalFormatting>
  <conditionalFormatting sqref="L2028">
    <cfRule type="containsText" dxfId="6454" priority="8966" operator="containsText" text="Positive">
      <formula>NOT(ISERROR(SEARCH("Positive",L2028)))</formula>
    </cfRule>
    <cfRule type="containsText" dxfId="6453" priority="8967" operator="containsText" text="Negative">
      <formula>NOT(ISERROR(SEARCH("Negative",L2028)))</formula>
    </cfRule>
  </conditionalFormatting>
  <conditionalFormatting sqref="J2054:K2054">
    <cfRule type="containsText" dxfId="6452" priority="8963" operator="containsText" text="Missing">
      <formula>NOT(ISERROR(SEARCH("Missing",J2054)))</formula>
    </cfRule>
  </conditionalFormatting>
  <conditionalFormatting sqref="L2054">
    <cfRule type="containsText" dxfId="6451" priority="8961" operator="containsText" text="Positive">
      <formula>NOT(ISERROR(SEARCH("Positive",L2054)))</formula>
    </cfRule>
    <cfRule type="containsText" dxfId="6450" priority="8962" operator="containsText" text="Negative">
      <formula>NOT(ISERROR(SEARCH("Negative",L2054)))</formula>
    </cfRule>
  </conditionalFormatting>
  <conditionalFormatting sqref="H2028">
    <cfRule type="containsText" dxfId="6449" priority="8965" operator="containsText" text="Missing">
      <formula>NOT(ISERROR(SEARCH("Missing",H2028)))</formula>
    </cfRule>
  </conditionalFormatting>
  <conditionalFormatting sqref="I2129">
    <cfRule type="containsText" dxfId="6448" priority="8954" operator="containsText" text="Missing">
      <formula>NOT(ISERROR(SEARCH("Missing",I2129)))</formula>
    </cfRule>
  </conditionalFormatting>
  <conditionalFormatting sqref="J2188:K2188">
    <cfRule type="containsText" dxfId="6447" priority="8948" operator="containsText" text="Missing">
      <formula>NOT(ISERROR(SEARCH("Missing",J2188)))</formula>
    </cfRule>
  </conditionalFormatting>
  <conditionalFormatting sqref="J2129:K2129">
    <cfRule type="containsText" dxfId="6446" priority="8958" operator="containsText" text="Missing">
      <formula>NOT(ISERROR(SEARCH("Missing",J2129)))</formula>
    </cfRule>
  </conditionalFormatting>
  <conditionalFormatting sqref="L2129">
    <cfRule type="containsText" dxfId="6445" priority="8956" operator="containsText" text="Positive">
      <formula>NOT(ISERROR(SEARCH("Positive",L2129)))</formula>
    </cfRule>
    <cfRule type="containsText" dxfId="6444" priority="8957" operator="containsText" text="Negative">
      <formula>NOT(ISERROR(SEARCH("Negative",L2129)))</formula>
    </cfRule>
  </conditionalFormatting>
  <conditionalFormatting sqref="H2054">
    <cfRule type="containsText" dxfId="6443" priority="8960" operator="containsText" text="Missing">
      <formula>NOT(ISERROR(SEARCH("Missing",H2054)))</formula>
    </cfRule>
  </conditionalFormatting>
  <conditionalFormatting sqref="H2129">
    <cfRule type="containsText" dxfId="6442" priority="8955" operator="containsText" text="Missing">
      <formula>NOT(ISERROR(SEARCH("Missing",H2129)))</formula>
    </cfRule>
  </conditionalFormatting>
  <conditionalFormatting sqref="I2155">
    <cfRule type="containsText" dxfId="6441" priority="8949" operator="containsText" text="Missing">
      <formula>NOT(ISERROR(SEARCH("Missing",I2155)))</formula>
    </cfRule>
  </conditionalFormatting>
  <conditionalFormatting sqref="J2155:K2155">
    <cfRule type="containsText" dxfId="6440" priority="8953" operator="containsText" text="Missing">
      <formula>NOT(ISERROR(SEARCH("Missing",J2155)))</formula>
    </cfRule>
  </conditionalFormatting>
  <conditionalFormatting sqref="H2188">
    <cfRule type="containsText" dxfId="6439" priority="8944" operator="containsText" text="Missing">
      <formula>NOT(ISERROR(SEARCH("Missing",H2188)))</formula>
    </cfRule>
  </conditionalFormatting>
  <conditionalFormatting sqref="L2155">
    <cfRule type="containsText" dxfId="6438" priority="8951" operator="containsText" text="Positive">
      <formula>NOT(ISERROR(SEARCH("Positive",L2155)))</formula>
    </cfRule>
    <cfRule type="containsText" dxfId="6437" priority="8952" operator="containsText" text="Negative">
      <formula>NOT(ISERROR(SEARCH("Negative",L2155)))</formula>
    </cfRule>
  </conditionalFormatting>
  <conditionalFormatting sqref="I2188">
    <cfRule type="containsText" dxfId="6436" priority="8945" operator="containsText" text="Missing">
      <formula>NOT(ISERROR(SEARCH("Missing",I2188)))</formula>
    </cfRule>
  </conditionalFormatting>
  <conditionalFormatting sqref="J2199:K2199">
    <cfRule type="containsText" dxfId="6435" priority="8943" operator="containsText" text="Missing">
      <formula>NOT(ISERROR(SEARCH("Missing",J2199)))</formula>
    </cfRule>
  </conditionalFormatting>
  <conditionalFormatting sqref="H2199">
    <cfRule type="containsText" dxfId="6434" priority="8940" operator="containsText" text="Missing">
      <formula>NOT(ISERROR(SEARCH("Missing",H2199)))</formula>
    </cfRule>
  </conditionalFormatting>
  <conditionalFormatting sqref="L2199">
    <cfRule type="containsText" dxfId="6433" priority="8941" operator="containsText" text="Positive">
      <formula>NOT(ISERROR(SEARCH("Positive",L2199)))</formula>
    </cfRule>
    <cfRule type="containsText" dxfId="6432" priority="8942" operator="containsText" text="Negative">
      <formula>NOT(ISERROR(SEARCH("Negative",L2199)))</formula>
    </cfRule>
  </conditionalFormatting>
  <conditionalFormatting sqref="H2155">
    <cfRule type="containsText" dxfId="6431" priority="8950" operator="containsText" text="Missing">
      <formula>NOT(ISERROR(SEARCH("Missing",H2155)))</formula>
    </cfRule>
  </conditionalFormatting>
  <conditionalFormatting sqref="L2188">
    <cfRule type="containsText" dxfId="6430" priority="8946" operator="containsText" text="Positive">
      <formula>NOT(ISERROR(SEARCH("Positive",L2188)))</formula>
    </cfRule>
    <cfRule type="containsText" dxfId="6429" priority="8947" operator="containsText" text="Negative">
      <formula>NOT(ISERROR(SEARCH("Negative",L2188)))</formula>
    </cfRule>
  </conditionalFormatting>
  <conditionalFormatting sqref="H2002:K2003">
    <cfRule type="containsText" dxfId="6428" priority="8939" operator="containsText" text="Missing">
      <formula>NOT(ISERROR(SEARCH("Missing",H2002)))</formula>
    </cfRule>
  </conditionalFormatting>
  <conditionalFormatting sqref="L2002:L2003">
    <cfRule type="containsText" dxfId="6427" priority="8937" operator="containsText" text="Positive">
      <formula>NOT(ISERROR(SEARCH("Positive",L2002)))</formula>
    </cfRule>
    <cfRule type="containsText" dxfId="6426" priority="8938" operator="containsText" text="Negative">
      <formula>NOT(ISERROR(SEARCH("Negative",L2002)))</formula>
    </cfRule>
  </conditionalFormatting>
  <conditionalFormatting sqref="J2002:K2003">
    <cfRule type="containsText" dxfId="6425" priority="8934" operator="containsText" text="Missing">
      <formula>NOT(ISERROR(SEARCH("Missing",J2002)))</formula>
    </cfRule>
  </conditionalFormatting>
  <conditionalFormatting sqref="L2002:L2003">
    <cfRule type="containsText" dxfId="6424" priority="8935" operator="containsText" text="Positive">
      <formula>NOT(ISERROR(SEARCH("Positive",L2002)))</formula>
    </cfRule>
    <cfRule type="containsText" dxfId="6423" priority="8936" operator="containsText" text="Negative">
      <formula>NOT(ISERROR(SEARCH("Negative",L2002)))</formula>
    </cfRule>
  </conditionalFormatting>
  <conditionalFormatting sqref="H2002:H2003">
    <cfRule type="containsText" dxfId="6422" priority="8931" operator="containsText" text="Missing">
      <formula>NOT(ISERROR(SEARCH("Missing",H2002)))</formula>
    </cfRule>
  </conditionalFormatting>
  <conditionalFormatting sqref="L2002:L2003">
    <cfRule type="containsText" dxfId="6421" priority="8932" operator="containsText" text="Positive">
      <formula>NOT(ISERROR(SEARCH("Positive",L2002)))</formula>
    </cfRule>
    <cfRule type="containsText" dxfId="6420" priority="8933" operator="containsText" text="Negative">
      <formula>NOT(ISERROR(SEARCH("Negative",L2002)))</formula>
    </cfRule>
  </conditionalFormatting>
  <conditionalFormatting sqref="I2002:I2003">
    <cfRule type="containsText" dxfId="6419" priority="8930" operator="containsText" text="Missing">
      <formula>NOT(ISERROR(SEARCH("Missing",I2002)))</formula>
    </cfRule>
  </conditionalFormatting>
  <conditionalFormatting sqref="J2002:K2003">
    <cfRule type="containsText" dxfId="6418" priority="8929" operator="containsText" text="Missing">
      <formula>NOT(ISERROR(SEARCH("Missing",J2002)))</formula>
    </cfRule>
  </conditionalFormatting>
  <conditionalFormatting sqref="L2002:L2003">
    <cfRule type="containsText" dxfId="6417" priority="8927" operator="containsText" text="Positive">
      <formula>NOT(ISERROR(SEARCH("Positive",L2002)))</formula>
    </cfRule>
    <cfRule type="containsText" dxfId="6416" priority="8928" operator="containsText" text="Negative">
      <formula>NOT(ISERROR(SEARCH("Negative",L2002)))</formula>
    </cfRule>
  </conditionalFormatting>
  <conditionalFormatting sqref="I2002:I2003">
    <cfRule type="containsText" dxfId="6415" priority="8926" operator="containsText" text="Missing">
      <formula>NOT(ISERROR(SEARCH("Missing",I2002)))</formula>
    </cfRule>
  </conditionalFormatting>
  <conditionalFormatting sqref="H2002:H2003">
    <cfRule type="containsText" dxfId="6414" priority="8924" operator="containsText" text="Missing">
      <formula>NOT(ISERROR(SEARCH("Missing",H2002)))</formula>
    </cfRule>
  </conditionalFormatting>
  <conditionalFormatting sqref="H2002:H2003">
    <cfRule type="containsText" dxfId="6413" priority="8925" operator="containsText" text="Missing">
      <formula>NOT(ISERROR(SEARCH("Missing",H2002)))</formula>
    </cfRule>
  </conditionalFormatting>
  <conditionalFormatting sqref="L2052">
    <cfRule type="containsText" dxfId="6412" priority="8922" operator="containsText" text="Positive">
      <formula>NOT(ISERROR(SEARCH("Positive",L2052)))</formula>
    </cfRule>
    <cfRule type="containsText" dxfId="6411" priority="8923" operator="containsText" text="Negative">
      <formula>NOT(ISERROR(SEARCH("Negative",L2052)))</formula>
    </cfRule>
  </conditionalFormatting>
  <conditionalFormatting sqref="I2052">
    <cfRule type="containsText" dxfId="6410" priority="8920" operator="containsText" text="Missing">
      <formula>NOT(ISERROR(SEARCH("Missing",I2052)))</formula>
    </cfRule>
  </conditionalFormatting>
  <conditionalFormatting sqref="J2052:K2052">
    <cfRule type="containsText" dxfId="6409" priority="8921" operator="containsText" text="Missing">
      <formula>NOT(ISERROR(SEARCH("Missing",J2052)))</formula>
    </cfRule>
  </conditionalFormatting>
  <conditionalFormatting sqref="H2052">
    <cfRule type="containsText" dxfId="6408" priority="8919" operator="containsText" text="Missing">
      <formula>NOT(ISERROR(SEARCH("Missing",H2052)))</formula>
    </cfRule>
  </conditionalFormatting>
  <conditionalFormatting sqref="H2001">
    <cfRule type="containsText" dxfId="6407" priority="8918" operator="containsText" text="Missing">
      <formula>NOT(ISERROR(SEARCH("Missing",H2001)))</formula>
    </cfRule>
  </conditionalFormatting>
  <conditionalFormatting sqref="H2001">
    <cfRule type="containsText" dxfId="6406" priority="8917" operator="containsText" text="Missing">
      <formula>NOT(ISERROR(SEARCH("Missing",H2001)))</formula>
    </cfRule>
  </conditionalFormatting>
  <conditionalFormatting sqref="H2001">
    <cfRule type="containsText" dxfId="6405" priority="8915" operator="containsText" text="Missing">
      <formula>NOT(ISERROR(SEARCH("Missing",H2001)))</formula>
    </cfRule>
  </conditionalFormatting>
  <conditionalFormatting sqref="H2001">
    <cfRule type="containsText" dxfId="6404" priority="8916" operator="containsText" text="Missing">
      <formula>NOT(ISERROR(SEARCH("Missing",H2001)))</formula>
    </cfRule>
  </conditionalFormatting>
  <conditionalFormatting sqref="J2103:K2103">
    <cfRule type="containsText" dxfId="6403" priority="8914" operator="containsText" text="Missing">
      <formula>NOT(ISERROR(SEARCH("Missing",J2103)))</formula>
    </cfRule>
  </conditionalFormatting>
  <conditionalFormatting sqref="L2104:L2105">
    <cfRule type="containsText" dxfId="6402" priority="8900" operator="containsText" text="Positive">
      <formula>NOT(ISERROR(SEARCH("Positive",L2104)))</formula>
    </cfRule>
    <cfRule type="containsText" dxfId="6401" priority="8901" operator="containsText" text="Negative">
      <formula>NOT(ISERROR(SEARCH("Negative",L2104)))</formula>
    </cfRule>
  </conditionalFormatting>
  <conditionalFormatting sqref="I2103">
    <cfRule type="containsText" dxfId="6400" priority="8913" operator="containsText" text="Missing">
      <formula>NOT(ISERROR(SEARCH("Missing",I2103)))</formula>
    </cfRule>
  </conditionalFormatting>
  <conditionalFormatting sqref="H2104:K2105">
    <cfRule type="containsText" dxfId="6399" priority="8912" operator="containsText" text="Missing">
      <formula>NOT(ISERROR(SEARCH("Missing",H2104)))</formula>
    </cfRule>
  </conditionalFormatting>
  <conditionalFormatting sqref="L2104:L2105">
    <cfRule type="containsText" dxfId="6398" priority="8910" operator="containsText" text="Positive">
      <formula>NOT(ISERROR(SEARCH("Positive",L2104)))</formula>
    </cfRule>
    <cfRule type="containsText" dxfId="6397" priority="8911" operator="containsText" text="Negative">
      <formula>NOT(ISERROR(SEARCH("Negative",L2104)))</formula>
    </cfRule>
  </conditionalFormatting>
  <conditionalFormatting sqref="J2104:K2105">
    <cfRule type="containsText" dxfId="6396" priority="8907" operator="containsText" text="Missing">
      <formula>NOT(ISERROR(SEARCH("Missing",J2104)))</formula>
    </cfRule>
  </conditionalFormatting>
  <conditionalFormatting sqref="L2104:L2105">
    <cfRule type="containsText" dxfId="6395" priority="8908" operator="containsText" text="Positive">
      <formula>NOT(ISERROR(SEARCH("Positive",L2104)))</formula>
    </cfRule>
    <cfRule type="containsText" dxfId="6394" priority="8909" operator="containsText" text="Negative">
      <formula>NOT(ISERROR(SEARCH("Negative",L2104)))</formula>
    </cfRule>
  </conditionalFormatting>
  <conditionalFormatting sqref="H2104:H2105">
    <cfRule type="containsText" dxfId="6393" priority="8904" operator="containsText" text="Missing">
      <formula>NOT(ISERROR(SEARCH("Missing",H2104)))</formula>
    </cfRule>
  </conditionalFormatting>
  <conditionalFormatting sqref="L2104:L2105">
    <cfRule type="containsText" dxfId="6392" priority="8905" operator="containsText" text="Positive">
      <formula>NOT(ISERROR(SEARCH("Positive",L2104)))</formula>
    </cfRule>
    <cfRule type="containsText" dxfId="6391" priority="8906" operator="containsText" text="Negative">
      <formula>NOT(ISERROR(SEARCH("Negative",L2104)))</formula>
    </cfRule>
  </conditionalFormatting>
  <conditionalFormatting sqref="I2104:I2105">
    <cfRule type="containsText" dxfId="6390" priority="8903" operator="containsText" text="Missing">
      <formula>NOT(ISERROR(SEARCH("Missing",I2104)))</formula>
    </cfRule>
  </conditionalFormatting>
  <conditionalFormatting sqref="J2104:K2105">
    <cfRule type="containsText" dxfId="6389" priority="8902" operator="containsText" text="Missing">
      <formula>NOT(ISERROR(SEARCH("Missing",J2104)))</formula>
    </cfRule>
  </conditionalFormatting>
  <conditionalFormatting sqref="I2104:I2105">
    <cfRule type="containsText" dxfId="6388" priority="8899" operator="containsText" text="Missing">
      <formula>NOT(ISERROR(SEARCH("Missing",I2104)))</formula>
    </cfRule>
  </conditionalFormatting>
  <conditionalFormatting sqref="H2104:H2105">
    <cfRule type="containsText" dxfId="6387" priority="8897" operator="containsText" text="Missing">
      <formula>NOT(ISERROR(SEARCH("Missing",H2104)))</formula>
    </cfRule>
  </conditionalFormatting>
  <conditionalFormatting sqref="H2104:H2105">
    <cfRule type="containsText" dxfId="6386" priority="8898" operator="containsText" text="Missing">
      <formula>NOT(ISERROR(SEARCH("Missing",H2104)))</formula>
    </cfRule>
  </conditionalFormatting>
  <conditionalFormatting sqref="H2103">
    <cfRule type="containsText" dxfId="6385" priority="8896" operator="containsText" text="Missing">
      <formula>NOT(ISERROR(SEARCH("Missing",H2103)))</formula>
    </cfRule>
  </conditionalFormatting>
  <conditionalFormatting sqref="H2103">
    <cfRule type="containsText" dxfId="6384" priority="8895" operator="containsText" text="Missing">
      <formula>NOT(ISERROR(SEARCH("Missing",H2103)))</formula>
    </cfRule>
  </conditionalFormatting>
  <conditionalFormatting sqref="H2103">
    <cfRule type="containsText" dxfId="6383" priority="8893" operator="containsText" text="Missing">
      <formula>NOT(ISERROR(SEARCH("Missing",H2103)))</formula>
    </cfRule>
  </conditionalFormatting>
  <conditionalFormatting sqref="H2103">
    <cfRule type="containsText" dxfId="6382" priority="8894" operator="containsText" text="Missing">
      <formula>NOT(ISERROR(SEARCH("Missing",H2103)))</formula>
    </cfRule>
  </conditionalFormatting>
  <conditionalFormatting sqref="L2103">
    <cfRule type="containsText" dxfId="6381" priority="8891" operator="containsText" text="Positive">
      <formula>NOT(ISERROR(SEARCH("Positive",L2103)))</formula>
    </cfRule>
    <cfRule type="containsText" dxfId="6380" priority="8892" operator="containsText" text="Negative">
      <formula>NOT(ISERROR(SEARCH("Negative",L2103)))</formula>
    </cfRule>
  </conditionalFormatting>
  <conditionalFormatting sqref="L2001">
    <cfRule type="containsText" dxfId="6379" priority="8889" operator="containsText" text="Positive">
      <formula>NOT(ISERROR(SEARCH("Positive",L2001)))</formula>
    </cfRule>
    <cfRule type="containsText" dxfId="6378" priority="8890" operator="containsText" text="Negative">
      <formula>NOT(ISERROR(SEARCH("Negative",L2001)))</formula>
    </cfRule>
  </conditionalFormatting>
  <conditionalFormatting sqref="L2001">
    <cfRule type="containsText" dxfId="6377" priority="8887" operator="containsText" text="Positive">
      <formula>NOT(ISERROR(SEARCH("Positive",L2001)))</formula>
    </cfRule>
    <cfRule type="containsText" dxfId="6376" priority="8888" operator="containsText" text="Negative">
      <formula>NOT(ISERROR(SEARCH("Negative",L2001)))</formula>
    </cfRule>
  </conditionalFormatting>
  <conditionalFormatting sqref="L2001">
    <cfRule type="containsText" dxfId="6375" priority="8885" operator="containsText" text="Positive">
      <formula>NOT(ISERROR(SEARCH("Positive",L2001)))</formula>
    </cfRule>
    <cfRule type="containsText" dxfId="6374" priority="8886" operator="containsText" text="Negative">
      <formula>NOT(ISERROR(SEARCH("Negative",L2001)))</formula>
    </cfRule>
  </conditionalFormatting>
  <conditionalFormatting sqref="L2001">
    <cfRule type="containsText" dxfId="6373" priority="8883" operator="containsText" text="Positive">
      <formula>NOT(ISERROR(SEARCH("Positive",L2001)))</formula>
    </cfRule>
    <cfRule type="containsText" dxfId="6372" priority="8884" operator="containsText" text="Negative">
      <formula>NOT(ISERROR(SEARCH("Negative",L2001)))</formula>
    </cfRule>
  </conditionalFormatting>
  <conditionalFormatting sqref="I2024">
    <cfRule type="containsText" dxfId="6371" priority="8882" operator="containsText" text="Missing">
      <formula>NOT(ISERROR(SEARCH("Missing",I2024)))</formula>
    </cfRule>
  </conditionalFormatting>
  <conditionalFormatting sqref="L2114:L2117">
    <cfRule type="containsText" dxfId="6370" priority="8880" operator="containsText" text="Positive">
      <formula>NOT(ISERROR(SEARCH("Positive",L2114)))</formula>
    </cfRule>
    <cfRule type="containsText" dxfId="6369" priority="8881" operator="containsText" text="Negative">
      <formula>NOT(ISERROR(SEARCH("Negative",L2114)))</formula>
    </cfRule>
  </conditionalFormatting>
  <conditionalFormatting sqref="J2116:K2116">
    <cfRule type="containsText" dxfId="6368" priority="8871" operator="containsText" text="Missing">
      <formula>NOT(ISERROR(SEARCH("Missing",J2116)))</formula>
    </cfRule>
  </conditionalFormatting>
  <conditionalFormatting sqref="J2114:K2114">
    <cfRule type="containsText" dxfId="6367" priority="8877" operator="containsText" text="Missing">
      <formula>NOT(ISERROR(SEARCH("Missing",J2114)))</formula>
    </cfRule>
  </conditionalFormatting>
  <conditionalFormatting sqref="J2115:K2115">
    <cfRule type="containsText" dxfId="6366" priority="8874" operator="containsText" text="Missing">
      <formula>NOT(ISERROR(SEARCH("Missing",J2115)))</formula>
    </cfRule>
  </conditionalFormatting>
  <conditionalFormatting sqref="I2115">
    <cfRule type="containsText" dxfId="6365" priority="8867" operator="containsText" text="Missing">
      <formula>NOT(ISERROR(SEARCH("Missing",I2115)))</formula>
    </cfRule>
  </conditionalFormatting>
  <conditionalFormatting sqref="L2117">
    <cfRule type="containsText" dxfId="6364" priority="8878" operator="containsText" text="Positive">
      <formula>NOT(ISERROR(SEARCH("Positive",L2117)))</formula>
    </cfRule>
    <cfRule type="containsText" dxfId="6363" priority="8879" operator="containsText" text="Negative">
      <formula>NOT(ISERROR(SEARCH("Negative",L2117)))</formula>
    </cfRule>
  </conditionalFormatting>
  <conditionalFormatting sqref="J2117:K2117">
    <cfRule type="containsText" dxfId="6362" priority="8870" operator="containsText" text="Missing">
      <formula>NOT(ISERROR(SEARCH("Missing",J2117)))</formula>
    </cfRule>
  </conditionalFormatting>
  <conditionalFormatting sqref="L2114">
    <cfRule type="containsText" dxfId="6361" priority="8875" operator="containsText" text="Positive">
      <formula>NOT(ISERROR(SEARCH("Positive",L2114)))</formula>
    </cfRule>
    <cfRule type="containsText" dxfId="6360" priority="8876" operator="containsText" text="Negative">
      <formula>NOT(ISERROR(SEARCH("Negative",L2114)))</formula>
    </cfRule>
  </conditionalFormatting>
  <conditionalFormatting sqref="L2115">
    <cfRule type="containsText" dxfId="6359" priority="8872" operator="containsText" text="Positive">
      <formula>NOT(ISERROR(SEARCH("Positive",L2115)))</formula>
    </cfRule>
    <cfRule type="containsText" dxfId="6358" priority="8873" operator="containsText" text="Negative">
      <formula>NOT(ISERROR(SEARCH("Negative",L2115)))</formula>
    </cfRule>
  </conditionalFormatting>
  <conditionalFormatting sqref="I2114">
    <cfRule type="containsText" dxfId="6357" priority="8869" operator="containsText" text="Missing">
      <formula>NOT(ISERROR(SEARCH("Missing",I2114)))</formula>
    </cfRule>
  </conditionalFormatting>
  <conditionalFormatting sqref="I2117">
    <cfRule type="containsText" dxfId="6356" priority="8866" operator="containsText" text="Missing">
      <formula>NOT(ISERROR(SEARCH("Missing",I2117)))</formula>
    </cfRule>
  </conditionalFormatting>
  <conditionalFormatting sqref="I2116">
    <cfRule type="containsText" dxfId="6355" priority="8868" operator="containsText" text="Missing">
      <formula>NOT(ISERROR(SEARCH("Missing",I2116)))</formula>
    </cfRule>
  </conditionalFormatting>
  <conditionalFormatting sqref="L2116">
    <cfRule type="containsText" dxfId="6354" priority="8864" operator="containsText" text="Positive">
      <formula>NOT(ISERROR(SEARCH("Positive",L2116)))</formula>
    </cfRule>
    <cfRule type="containsText" dxfId="6353" priority="8865" operator="containsText" text="Negative">
      <formula>NOT(ISERROR(SEARCH("Negative",L2116)))</formula>
    </cfRule>
  </conditionalFormatting>
  <conditionalFormatting sqref="H2116">
    <cfRule type="containsText" dxfId="6352" priority="8860" operator="containsText" text="Missing">
      <formula>NOT(ISERROR(SEARCH("Missing",H2116)))</formula>
    </cfRule>
  </conditionalFormatting>
  <conditionalFormatting sqref="H2115">
    <cfRule type="containsText" dxfId="6351" priority="8862" operator="containsText" text="Missing">
      <formula>NOT(ISERROR(SEARCH("Missing",H2115)))</formula>
    </cfRule>
  </conditionalFormatting>
  <conditionalFormatting sqref="H2114">
    <cfRule type="containsText" dxfId="6350" priority="8863" operator="containsText" text="Missing">
      <formula>NOT(ISERROR(SEARCH("Missing",H2114)))</formula>
    </cfRule>
  </conditionalFormatting>
  <conditionalFormatting sqref="H2117">
    <cfRule type="containsText" dxfId="6349" priority="8861" operator="containsText" text="Missing">
      <formula>NOT(ISERROR(SEARCH("Missing",H2117)))</formula>
    </cfRule>
  </conditionalFormatting>
  <conditionalFormatting sqref="J2125:K2125">
    <cfRule type="containsText" dxfId="6348" priority="8859" operator="containsText" text="Missing">
      <formula>NOT(ISERROR(SEARCH("Missing",J2125)))</formula>
    </cfRule>
  </conditionalFormatting>
  <conditionalFormatting sqref="L2126:L2128">
    <cfRule type="containsText" dxfId="6347" priority="8845" operator="containsText" text="Positive">
      <formula>NOT(ISERROR(SEARCH("Positive",L2126)))</formula>
    </cfRule>
    <cfRule type="containsText" dxfId="6346" priority="8846" operator="containsText" text="Negative">
      <formula>NOT(ISERROR(SEARCH("Negative",L2126)))</formula>
    </cfRule>
  </conditionalFormatting>
  <conditionalFormatting sqref="I2125">
    <cfRule type="containsText" dxfId="6345" priority="8858" operator="containsText" text="Missing">
      <formula>NOT(ISERROR(SEARCH("Missing",I2125)))</formula>
    </cfRule>
  </conditionalFormatting>
  <conditionalFormatting sqref="H2126:K2128">
    <cfRule type="containsText" dxfId="6344" priority="8857" operator="containsText" text="Missing">
      <formula>NOT(ISERROR(SEARCH("Missing",H2126)))</formula>
    </cfRule>
  </conditionalFormatting>
  <conditionalFormatting sqref="L2126:L2128">
    <cfRule type="containsText" dxfId="6343" priority="8855" operator="containsText" text="Positive">
      <formula>NOT(ISERROR(SEARCH("Positive",L2126)))</formula>
    </cfRule>
    <cfRule type="containsText" dxfId="6342" priority="8856" operator="containsText" text="Negative">
      <formula>NOT(ISERROR(SEARCH("Negative",L2126)))</formula>
    </cfRule>
  </conditionalFormatting>
  <conditionalFormatting sqref="J2126:K2128">
    <cfRule type="containsText" dxfId="6341" priority="8852" operator="containsText" text="Missing">
      <formula>NOT(ISERROR(SEARCH("Missing",J2126)))</formula>
    </cfRule>
  </conditionalFormatting>
  <conditionalFormatting sqref="L2126:L2128">
    <cfRule type="containsText" dxfId="6340" priority="8853" operator="containsText" text="Positive">
      <formula>NOT(ISERROR(SEARCH("Positive",L2126)))</formula>
    </cfRule>
    <cfRule type="containsText" dxfId="6339" priority="8854" operator="containsText" text="Negative">
      <formula>NOT(ISERROR(SEARCH("Negative",L2126)))</formula>
    </cfRule>
  </conditionalFormatting>
  <conditionalFormatting sqref="H2126:H2128">
    <cfRule type="containsText" dxfId="6338" priority="8849" operator="containsText" text="Missing">
      <formula>NOT(ISERROR(SEARCH("Missing",H2126)))</formula>
    </cfRule>
  </conditionalFormatting>
  <conditionalFormatting sqref="L2126:L2128">
    <cfRule type="containsText" dxfId="6337" priority="8850" operator="containsText" text="Positive">
      <formula>NOT(ISERROR(SEARCH("Positive",L2126)))</formula>
    </cfRule>
    <cfRule type="containsText" dxfId="6336" priority="8851" operator="containsText" text="Negative">
      <formula>NOT(ISERROR(SEARCH("Negative",L2126)))</formula>
    </cfRule>
  </conditionalFormatting>
  <conditionalFormatting sqref="I2126:I2128">
    <cfRule type="containsText" dxfId="6335" priority="8848" operator="containsText" text="Missing">
      <formula>NOT(ISERROR(SEARCH("Missing",I2126)))</formula>
    </cfRule>
  </conditionalFormatting>
  <conditionalFormatting sqref="J2126:K2128">
    <cfRule type="containsText" dxfId="6334" priority="8847" operator="containsText" text="Missing">
      <formula>NOT(ISERROR(SEARCH("Missing",J2126)))</formula>
    </cfRule>
  </conditionalFormatting>
  <conditionalFormatting sqref="I2126:I2128">
    <cfRule type="containsText" dxfId="6333" priority="8844" operator="containsText" text="Missing">
      <formula>NOT(ISERROR(SEARCH("Missing",I2126)))</formula>
    </cfRule>
  </conditionalFormatting>
  <conditionalFormatting sqref="H2126:H2128">
    <cfRule type="containsText" dxfId="6332" priority="8842" operator="containsText" text="Missing">
      <formula>NOT(ISERROR(SEARCH("Missing",H2126)))</formula>
    </cfRule>
  </conditionalFormatting>
  <conditionalFormatting sqref="H2126:H2128">
    <cfRule type="containsText" dxfId="6331" priority="8843" operator="containsText" text="Missing">
      <formula>NOT(ISERROR(SEARCH("Missing",H2126)))</formula>
    </cfRule>
  </conditionalFormatting>
  <conditionalFormatting sqref="H2125">
    <cfRule type="containsText" dxfId="6330" priority="8841" operator="containsText" text="Missing">
      <formula>NOT(ISERROR(SEARCH("Missing",H2125)))</formula>
    </cfRule>
  </conditionalFormatting>
  <conditionalFormatting sqref="H2125">
    <cfRule type="containsText" dxfId="6329" priority="8840" operator="containsText" text="Missing">
      <formula>NOT(ISERROR(SEARCH("Missing",H2125)))</formula>
    </cfRule>
  </conditionalFormatting>
  <conditionalFormatting sqref="H2125">
    <cfRule type="containsText" dxfId="6328" priority="8838" operator="containsText" text="Missing">
      <formula>NOT(ISERROR(SEARCH("Missing",H2125)))</formula>
    </cfRule>
  </conditionalFormatting>
  <conditionalFormatting sqref="H2125">
    <cfRule type="containsText" dxfId="6327" priority="8839" operator="containsText" text="Missing">
      <formula>NOT(ISERROR(SEARCH("Missing",H2125)))</formula>
    </cfRule>
  </conditionalFormatting>
  <conditionalFormatting sqref="L2125">
    <cfRule type="containsText" dxfId="6326" priority="8836" operator="containsText" text="Positive">
      <formula>NOT(ISERROR(SEARCH("Positive",L2125)))</formula>
    </cfRule>
    <cfRule type="containsText" dxfId="6325" priority="8837" operator="containsText" text="Negative">
      <formula>NOT(ISERROR(SEARCH("Negative",L2125)))</formula>
    </cfRule>
  </conditionalFormatting>
  <conditionalFormatting sqref="H2010:K2010">
    <cfRule type="containsText" dxfId="6324" priority="8835" operator="containsText" text="Missing">
      <formula>NOT(ISERROR(SEARCH("Missing",H2010)))</formula>
    </cfRule>
  </conditionalFormatting>
  <conditionalFormatting sqref="L2010">
    <cfRule type="containsText" dxfId="6323" priority="8833" operator="containsText" text="Positive">
      <formula>NOT(ISERROR(SEARCH("Positive",L2010)))</formula>
    </cfRule>
    <cfRule type="containsText" dxfId="6322" priority="8834" operator="containsText" text="Negative">
      <formula>NOT(ISERROR(SEARCH("Negative",L2010)))</formula>
    </cfRule>
  </conditionalFormatting>
  <conditionalFormatting sqref="K2080">
    <cfRule type="containsText" dxfId="6321" priority="8831" operator="containsText" text="Missing">
      <formula>NOT(ISERROR(SEARCH("Missing",K2080)))</formula>
    </cfRule>
  </conditionalFormatting>
  <conditionalFormatting sqref="I2080">
    <cfRule type="containsText" dxfId="6320" priority="8832" operator="containsText" text="Missing">
      <formula>NOT(ISERROR(SEARCH("Missing",I2080)))</formula>
    </cfRule>
  </conditionalFormatting>
  <conditionalFormatting sqref="L2080">
    <cfRule type="containsText" dxfId="6319" priority="8829" operator="containsText" text="Positive">
      <formula>NOT(ISERROR(SEARCH("Positive",L2080)))</formula>
    </cfRule>
    <cfRule type="containsText" dxfId="6318" priority="8830" operator="containsText" text="Negative">
      <formula>NOT(ISERROR(SEARCH("Negative",L2080)))</formula>
    </cfRule>
  </conditionalFormatting>
  <conditionalFormatting sqref="H2080">
    <cfRule type="containsText" dxfId="6317" priority="8828" operator="containsText" text="Missing">
      <formula>NOT(ISERROR(SEARCH("Missing",H2080)))</formula>
    </cfRule>
  </conditionalFormatting>
  <conditionalFormatting sqref="L2118:L2121">
    <cfRule type="containsText" dxfId="6316" priority="8826" operator="containsText" text="Positive">
      <formula>NOT(ISERROR(SEARCH("Positive",L2118)))</formula>
    </cfRule>
    <cfRule type="containsText" dxfId="6315" priority="8827" operator="containsText" text="Negative">
      <formula>NOT(ISERROR(SEARCH("Negative",L2118)))</formula>
    </cfRule>
  </conditionalFormatting>
  <conditionalFormatting sqref="L2118:L2121">
    <cfRule type="containsText" dxfId="6314" priority="8824" operator="containsText" text="Positive">
      <formula>NOT(ISERROR(SEARCH("Positive",L2118)))</formula>
    </cfRule>
    <cfRule type="containsText" dxfId="6313" priority="8825" operator="containsText" text="Negative">
      <formula>NOT(ISERROR(SEARCH("Negative",L2118)))</formula>
    </cfRule>
  </conditionalFormatting>
  <conditionalFormatting sqref="J2118:K2121">
    <cfRule type="containsText" dxfId="6312" priority="8823" operator="containsText" text="Missing">
      <formula>NOT(ISERROR(SEARCH("Missing",J2118)))</formula>
    </cfRule>
  </conditionalFormatting>
  <conditionalFormatting sqref="I2118:I2121">
    <cfRule type="containsText" dxfId="6311" priority="8822" operator="containsText" text="Missing">
      <formula>NOT(ISERROR(SEARCH("Missing",I2118)))</formula>
    </cfRule>
  </conditionalFormatting>
  <conditionalFormatting sqref="H2118:H2121">
    <cfRule type="containsText" dxfId="6310" priority="8821" operator="containsText" text="Missing">
      <formula>NOT(ISERROR(SEARCH("Missing",H2118)))</formula>
    </cfRule>
  </conditionalFormatting>
  <conditionalFormatting sqref="J2053:K2053">
    <cfRule type="containsText" dxfId="6309" priority="8818" operator="containsText" text="Missing">
      <formula>NOT(ISERROR(SEARCH("Missing",J2053)))</formula>
    </cfRule>
  </conditionalFormatting>
  <conditionalFormatting sqref="I2053">
    <cfRule type="containsText" dxfId="6308" priority="8817" operator="containsText" text="Missing">
      <formula>NOT(ISERROR(SEARCH("Missing",I2053)))</formula>
    </cfRule>
  </conditionalFormatting>
  <conditionalFormatting sqref="L2053">
    <cfRule type="containsText" dxfId="6307" priority="8819" operator="containsText" text="Positive">
      <formula>NOT(ISERROR(SEARCH("Positive",L2053)))</formula>
    </cfRule>
    <cfRule type="containsText" dxfId="6306" priority="8820" operator="containsText" text="Negative">
      <formula>NOT(ISERROR(SEARCH("Negative",L2053)))</formula>
    </cfRule>
  </conditionalFormatting>
  <conditionalFormatting sqref="H2053">
    <cfRule type="containsText" dxfId="6305" priority="8816" operator="containsText" text="Missing">
      <formula>NOT(ISERROR(SEARCH("Missing",H2053)))</formula>
    </cfRule>
  </conditionalFormatting>
  <conditionalFormatting sqref="H2039:H2041 J2039:K2041">
    <cfRule type="containsText" dxfId="6304" priority="8815" operator="containsText" text="Missing">
      <formula>NOT(ISERROR(SEARCH("Missing",H2039)))</formula>
    </cfRule>
  </conditionalFormatting>
  <conditionalFormatting sqref="L2040">
    <cfRule type="containsText" dxfId="6303" priority="8813" operator="containsText" text="Positive">
      <formula>NOT(ISERROR(SEARCH("Positive",L2040)))</formula>
    </cfRule>
    <cfRule type="containsText" dxfId="6302" priority="8814" operator="containsText" text="Negative">
      <formula>NOT(ISERROR(SEARCH("Negative",L2040)))</formula>
    </cfRule>
  </conditionalFormatting>
  <conditionalFormatting sqref="L2041">
    <cfRule type="containsText" dxfId="6301" priority="8811" operator="containsText" text="Positive">
      <formula>NOT(ISERROR(SEARCH("Positive",L2041)))</formula>
    </cfRule>
    <cfRule type="containsText" dxfId="6300" priority="8812" operator="containsText" text="Negative">
      <formula>NOT(ISERROR(SEARCH("Negative",L2041)))</formula>
    </cfRule>
  </conditionalFormatting>
  <conditionalFormatting sqref="L2039">
    <cfRule type="containsText" dxfId="6299" priority="8809" operator="containsText" text="Positive">
      <formula>NOT(ISERROR(SEARCH("Positive",L2039)))</formula>
    </cfRule>
    <cfRule type="containsText" dxfId="6298" priority="8810" operator="containsText" text="Negative">
      <formula>NOT(ISERROR(SEARCH("Negative",L2039)))</formula>
    </cfRule>
  </conditionalFormatting>
  <conditionalFormatting sqref="H2042:K2042 I2043:I2045">
    <cfRule type="containsText" dxfId="6297" priority="8808" operator="containsText" text="Missing">
      <formula>NOT(ISERROR(SEARCH("Missing",H2042)))</formula>
    </cfRule>
  </conditionalFormatting>
  <conditionalFormatting sqref="L2042">
    <cfRule type="containsText" dxfId="6296" priority="8806" operator="containsText" text="Positive">
      <formula>NOT(ISERROR(SEARCH("Positive",L2042)))</formula>
    </cfRule>
    <cfRule type="containsText" dxfId="6295" priority="8807" operator="containsText" text="Negative">
      <formula>NOT(ISERROR(SEARCH("Negative",L2042)))</formula>
    </cfRule>
  </conditionalFormatting>
  <conditionalFormatting sqref="H2043:H2045 J2043:K2045">
    <cfRule type="containsText" dxfId="6294" priority="8805" operator="containsText" text="Missing">
      <formula>NOT(ISERROR(SEARCH("Missing",H2043)))</formula>
    </cfRule>
  </conditionalFormatting>
  <conditionalFormatting sqref="L2044">
    <cfRule type="containsText" dxfId="6293" priority="8803" operator="containsText" text="Positive">
      <formula>NOT(ISERROR(SEARCH("Positive",L2044)))</formula>
    </cfRule>
    <cfRule type="containsText" dxfId="6292" priority="8804" operator="containsText" text="Negative">
      <formula>NOT(ISERROR(SEARCH("Negative",L2044)))</formula>
    </cfRule>
  </conditionalFormatting>
  <conditionalFormatting sqref="L2045">
    <cfRule type="containsText" dxfId="6291" priority="8801" operator="containsText" text="Positive">
      <formula>NOT(ISERROR(SEARCH("Positive",L2045)))</formula>
    </cfRule>
    <cfRule type="containsText" dxfId="6290" priority="8802" operator="containsText" text="Negative">
      <formula>NOT(ISERROR(SEARCH("Negative",L2045)))</formula>
    </cfRule>
  </conditionalFormatting>
  <conditionalFormatting sqref="L2043">
    <cfRule type="containsText" dxfId="6289" priority="8799" operator="containsText" text="Positive">
      <formula>NOT(ISERROR(SEARCH("Positive",L2043)))</formula>
    </cfRule>
    <cfRule type="containsText" dxfId="6288" priority="8800" operator="containsText" text="Negative">
      <formula>NOT(ISERROR(SEARCH("Negative",L2043)))</formula>
    </cfRule>
  </conditionalFormatting>
  <conditionalFormatting sqref="H2046:K2046 I2047:I2049">
    <cfRule type="containsText" dxfId="6287" priority="8798" operator="containsText" text="Missing">
      <formula>NOT(ISERROR(SEARCH("Missing",H2046)))</formula>
    </cfRule>
  </conditionalFormatting>
  <conditionalFormatting sqref="L2046">
    <cfRule type="containsText" dxfId="6286" priority="8796" operator="containsText" text="Positive">
      <formula>NOT(ISERROR(SEARCH("Positive",L2046)))</formula>
    </cfRule>
    <cfRule type="containsText" dxfId="6285" priority="8797" operator="containsText" text="Negative">
      <formula>NOT(ISERROR(SEARCH("Negative",L2046)))</formula>
    </cfRule>
  </conditionalFormatting>
  <conditionalFormatting sqref="H2047:H2049 J2047:K2049">
    <cfRule type="containsText" dxfId="6284" priority="8795" operator="containsText" text="Missing">
      <formula>NOT(ISERROR(SEARCH("Missing",H2047)))</formula>
    </cfRule>
  </conditionalFormatting>
  <conditionalFormatting sqref="L2048">
    <cfRule type="containsText" dxfId="6283" priority="8793" operator="containsText" text="Positive">
      <formula>NOT(ISERROR(SEARCH("Positive",L2048)))</formula>
    </cfRule>
    <cfRule type="containsText" dxfId="6282" priority="8794" operator="containsText" text="Negative">
      <formula>NOT(ISERROR(SEARCH("Negative",L2048)))</formula>
    </cfRule>
  </conditionalFormatting>
  <conditionalFormatting sqref="L2049">
    <cfRule type="containsText" dxfId="6281" priority="8791" operator="containsText" text="Positive">
      <formula>NOT(ISERROR(SEARCH("Positive",L2049)))</formula>
    </cfRule>
    <cfRule type="containsText" dxfId="6280" priority="8792" operator="containsText" text="Negative">
      <formula>NOT(ISERROR(SEARCH("Negative",L2049)))</formula>
    </cfRule>
  </conditionalFormatting>
  <conditionalFormatting sqref="L2047">
    <cfRule type="containsText" dxfId="6279" priority="8789" operator="containsText" text="Positive">
      <formula>NOT(ISERROR(SEARCH("Positive",L2047)))</formula>
    </cfRule>
    <cfRule type="containsText" dxfId="6278" priority="8790" operator="containsText" text="Negative">
      <formula>NOT(ISERROR(SEARCH("Negative",L2047)))</formula>
    </cfRule>
  </conditionalFormatting>
  <conditionalFormatting sqref="H2064:H2067 J2064:K2067">
    <cfRule type="containsText" dxfId="6277" priority="8788" operator="containsText" text="Missing">
      <formula>NOT(ISERROR(SEARCH("Missing",H2064)))</formula>
    </cfRule>
  </conditionalFormatting>
  <conditionalFormatting sqref="L2066:L2067">
    <cfRule type="containsText" dxfId="6276" priority="8786" operator="containsText" text="Positive">
      <formula>NOT(ISERROR(SEARCH("Positive",L2066)))</formula>
    </cfRule>
    <cfRule type="containsText" dxfId="6275" priority="8787" operator="containsText" text="Negative">
      <formula>NOT(ISERROR(SEARCH("Negative",L2066)))</formula>
    </cfRule>
  </conditionalFormatting>
  <conditionalFormatting sqref="L2065">
    <cfRule type="containsText" dxfId="6274" priority="8784" operator="containsText" text="Positive">
      <formula>NOT(ISERROR(SEARCH("Positive",L2065)))</formula>
    </cfRule>
    <cfRule type="containsText" dxfId="6273" priority="8785" operator="containsText" text="Negative">
      <formula>NOT(ISERROR(SEARCH("Negative",L2065)))</formula>
    </cfRule>
  </conditionalFormatting>
  <conditionalFormatting sqref="L2064">
    <cfRule type="containsText" dxfId="6272" priority="8782" operator="containsText" text="Positive">
      <formula>NOT(ISERROR(SEARCH("Positive",L2064)))</formula>
    </cfRule>
    <cfRule type="containsText" dxfId="6271" priority="8783" operator="containsText" text="Negative">
      <formula>NOT(ISERROR(SEARCH("Negative",L2064)))</formula>
    </cfRule>
  </conditionalFormatting>
  <conditionalFormatting sqref="H2068:H2071 J2068:K2071">
    <cfRule type="containsText" dxfId="6270" priority="8781" operator="containsText" text="Missing">
      <formula>NOT(ISERROR(SEARCH("Missing",H2068)))</formula>
    </cfRule>
  </conditionalFormatting>
  <conditionalFormatting sqref="L2070:L2071">
    <cfRule type="containsText" dxfId="6269" priority="8779" operator="containsText" text="Positive">
      <formula>NOT(ISERROR(SEARCH("Positive",L2070)))</formula>
    </cfRule>
    <cfRule type="containsText" dxfId="6268" priority="8780" operator="containsText" text="Negative">
      <formula>NOT(ISERROR(SEARCH("Negative",L2070)))</formula>
    </cfRule>
  </conditionalFormatting>
  <conditionalFormatting sqref="L2069">
    <cfRule type="containsText" dxfId="6267" priority="8777" operator="containsText" text="Positive">
      <formula>NOT(ISERROR(SEARCH("Positive",L2069)))</formula>
    </cfRule>
    <cfRule type="containsText" dxfId="6266" priority="8778" operator="containsText" text="Negative">
      <formula>NOT(ISERROR(SEARCH("Negative",L2069)))</formula>
    </cfRule>
  </conditionalFormatting>
  <conditionalFormatting sqref="L2068">
    <cfRule type="containsText" dxfId="6265" priority="8775" operator="containsText" text="Positive">
      <formula>NOT(ISERROR(SEARCH("Positive",L2068)))</formula>
    </cfRule>
    <cfRule type="containsText" dxfId="6264" priority="8776" operator="containsText" text="Negative">
      <formula>NOT(ISERROR(SEARCH("Negative",L2068)))</formula>
    </cfRule>
  </conditionalFormatting>
  <conditionalFormatting sqref="H2072:H2075 J2072:K2075">
    <cfRule type="containsText" dxfId="6263" priority="8774" operator="containsText" text="Missing">
      <formula>NOT(ISERROR(SEARCH("Missing",H2072)))</formula>
    </cfRule>
  </conditionalFormatting>
  <conditionalFormatting sqref="L2074:L2075">
    <cfRule type="containsText" dxfId="6262" priority="8772" operator="containsText" text="Positive">
      <formula>NOT(ISERROR(SEARCH("Positive",L2074)))</formula>
    </cfRule>
    <cfRule type="containsText" dxfId="6261" priority="8773" operator="containsText" text="Negative">
      <formula>NOT(ISERROR(SEARCH("Negative",L2074)))</formula>
    </cfRule>
  </conditionalFormatting>
  <conditionalFormatting sqref="L2073">
    <cfRule type="containsText" dxfId="6260" priority="8770" operator="containsText" text="Positive">
      <formula>NOT(ISERROR(SEARCH("Positive",L2073)))</formula>
    </cfRule>
    <cfRule type="containsText" dxfId="6259" priority="8771" operator="containsText" text="Negative">
      <formula>NOT(ISERROR(SEARCH("Negative",L2073)))</formula>
    </cfRule>
  </conditionalFormatting>
  <conditionalFormatting sqref="L2072">
    <cfRule type="containsText" dxfId="6258" priority="8768" operator="containsText" text="Positive">
      <formula>NOT(ISERROR(SEARCH("Positive",L2072)))</formula>
    </cfRule>
    <cfRule type="containsText" dxfId="6257" priority="8769" operator="containsText" text="Negative">
      <formula>NOT(ISERROR(SEARCH("Negative",L2072)))</formula>
    </cfRule>
  </conditionalFormatting>
  <conditionalFormatting sqref="H2037:K2037">
    <cfRule type="containsText" dxfId="6256" priority="8767" operator="containsText" text="Missing">
      <formula>NOT(ISERROR(SEARCH("Missing",H2037)))</formula>
    </cfRule>
  </conditionalFormatting>
  <conditionalFormatting sqref="L2037">
    <cfRule type="containsText" dxfId="6255" priority="8765" operator="containsText" text="Positive">
      <formula>NOT(ISERROR(SEARCH("Positive",L2037)))</formula>
    </cfRule>
    <cfRule type="containsText" dxfId="6254" priority="8766" operator="containsText" text="Negative">
      <formula>NOT(ISERROR(SEARCH("Negative",L2037)))</formula>
    </cfRule>
  </conditionalFormatting>
  <conditionalFormatting sqref="I2064:I2067">
    <cfRule type="containsText" dxfId="6253" priority="8764" operator="containsText" text="Missing">
      <formula>NOT(ISERROR(SEARCH("Missing",I2064)))</formula>
    </cfRule>
  </conditionalFormatting>
  <conditionalFormatting sqref="I2068:I2071">
    <cfRule type="containsText" dxfId="6252" priority="8763" operator="containsText" text="Missing">
      <formula>NOT(ISERROR(SEARCH("Missing",I2068)))</formula>
    </cfRule>
  </conditionalFormatting>
  <conditionalFormatting sqref="I2072:I2075">
    <cfRule type="containsText" dxfId="6251" priority="8762" operator="containsText" text="Missing">
      <formula>NOT(ISERROR(SEARCH("Missing",I2072)))</formula>
    </cfRule>
  </conditionalFormatting>
  <conditionalFormatting sqref="H2139:H2142 J2139:K2142">
    <cfRule type="containsText" dxfId="6250" priority="8761" operator="containsText" text="Missing">
      <formula>NOT(ISERROR(SEARCH("Missing",H2139)))</formula>
    </cfRule>
  </conditionalFormatting>
  <conditionalFormatting sqref="L2140">
    <cfRule type="containsText" dxfId="6249" priority="8759" operator="containsText" text="Positive">
      <formula>NOT(ISERROR(SEARCH("Positive",L2140)))</formula>
    </cfRule>
    <cfRule type="containsText" dxfId="6248" priority="8760" operator="containsText" text="Negative">
      <formula>NOT(ISERROR(SEARCH("Negative",L2140)))</formula>
    </cfRule>
  </conditionalFormatting>
  <conditionalFormatting sqref="L2141:L2142">
    <cfRule type="containsText" dxfId="6247" priority="8757" operator="containsText" text="Positive">
      <formula>NOT(ISERROR(SEARCH("Positive",L2141)))</formula>
    </cfRule>
    <cfRule type="containsText" dxfId="6246" priority="8758" operator="containsText" text="Negative">
      <formula>NOT(ISERROR(SEARCH("Negative",L2141)))</formula>
    </cfRule>
  </conditionalFormatting>
  <conditionalFormatting sqref="L2139">
    <cfRule type="containsText" dxfId="6245" priority="8755" operator="containsText" text="Positive">
      <formula>NOT(ISERROR(SEARCH("Positive",L2139)))</formula>
    </cfRule>
    <cfRule type="containsText" dxfId="6244" priority="8756" operator="containsText" text="Negative">
      <formula>NOT(ISERROR(SEARCH("Negative",L2139)))</formula>
    </cfRule>
  </conditionalFormatting>
  <conditionalFormatting sqref="H2143:H2146 J2143:K2146">
    <cfRule type="containsText" dxfId="6243" priority="8754" operator="containsText" text="Missing">
      <formula>NOT(ISERROR(SEARCH("Missing",H2143)))</formula>
    </cfRule>
  </conditionalFormatting>
  <conditionalFormatting sqref="L2144">
    <cfRule type="containsText" dxfId="6242" priority="8752" operator="containsText" text="Positive">
      <formula>NOT(ISERROR(SEARCH("Positive",L2144)))</formula>
    </cfRule>
    <cfRule type="containsText" dxfId="6241" priority="8753" operator="containsText" text="Negative">
      <formula>NOT(ISERROR(SEARCH("Negative",L2144)))</formula>
    </cfRule>
  </conditionalFormatting>
  <conditionalFormatting sqref="L2145:L2146">
    <cfRule type="containsText" dxfId="6240" priority="8750" operator="containsText" text="Positive">
      <formula>NOT(ISERROR(SEARCH("Positive",L2145)))</formula>
    </cfRule>
    <cfRule type="containsText" dxfId="6239" priority="8751" operator="containsText" text="Negative">
      <formula>NOT(ISERROR(SEARCH("Negative",L2145)))</formula>
    </cfRule>
  </conditionalFormatting>
  <conditionalFormatting sqref="L2143">
    <cfRule type="containsText" dxfId="6238" priority="8748" operator="containsText" text="Positive">
      <formula>NOT(ISERROR(SEARCH("Positive",L2143)))</formula>
    </cfRule>
    <cfRule type="containsText" dxfId="6237" priority="8749" operator="containsText" text="Negative">
      <formula>NOT(ISERROR(SEARCH("Negative",L2143)))</formula>
    </cfRule>
  </conditionalFormatting>
  <conditionalFormatting sqref="H2147:H2150 J2147:K2150">
    <cfRule type="containsText" dxfId="6236" priority="8747" operator="containsText" text="Missing">
      <formula>NOT(ISERROR(SEARCH("Missing",H2147)))</formula>
    </cfRule>
  </conditionalFormatting>
  <conditionalFormatting sqref="L2148">
    <cfRule type="containsText" dxfId="6235" priority="8745" operator="containsText" text="Positive">
      <formula>NOT(ISERROR(SEARCH("Positive",L2148)))</formula>
    </cfRule>
    <cfRule type="containsText" dxfId="6234" priority="8746" operator="containsText" text="Negative">
      <formula>NOT(ISERROR(SEARCH("Negative",L2148)))</formula>
    </cfRule>
  </conditionalFormatting>
  <conditionalFormatting sqref="L2149:L2150">
    <cfRule type="containsText" dxfId="6233" priority="8743" operator="containsText" text="Positive">
      <formula>NOT(ISERROR(SEARCH("Positive",L2149)))</formula>
    </cfRule>
    <cfRule type="containsText" dxfId="6232" priority="8744" operator="containsText" text="Negative">
      <formula>NOT(ISERROR(SEARCH("Negative",L2149)))</formula>
    </cfRule>
  </conditionalFormatting>
  <conditionalFormatting sqref="L2147">
    <cfRule type="containsText" dxfId="6231" priority="8741" operator="containsText" text="Positive">
      <formula>NOT(ISERROR(SEARCH("Positive",L2147)))</formula>
    </cfRule>
    <cfRule type="containsText" dxfId="6230" priority="8742" operator="containsText" text="Negative">
      <formula>NOT(ISERROR(SEARCH("Negative",L2147)))</formula>
    </cfRule>
  </conditionalFormatting>
  <conditionalFormatting sqref="H2165:H2167 J2165:K2167">
    <cfRule type="containsText" dxfId="6229" priority="8740" operator="containsText" text="Missing">
      <formula>NOT(ISERROR(SEARCH("Missing",H2165)))</formula>
    </cfRule>
  </conditionalFormatting>
  <conditionalFormatting sqref="L2166">
    <cfRule type="containsText" dxfId="6228" priority="8738" operator="containsText" text="Positive">
      <formula>NOT(ISERROR(SEARCH("Positive",L2166)))</formula>
    </cfRule>
    <cfRule type="containsText" dxfId="6227" priority="8739" operator="containsText" text="Negative">
      <formula>NOT(ISERROR(SEARCH("Negative",L2166)))</formula>
    </cfRule>
  </conditionalFormatting>
  <conditionalFormatting sqref="L2167">
    <cfRule type="containsText" dxfId="6226" priority="8736" operator="containsText" text="Positive">
      <formula>NOT(ISERROR(SEARCH("Positive",L2167)))</formula>
    </cfRule>
    <cfRule type="containsText" dxfId="6225" priority="8737" operator="containsText" text="Negative">
      <formula>NOT(ISERROR(SEARCH("Negative",L2167)))</formula>
    </cfRule>
  </conditionalFormatting>
  <conditionalFormatting sqref="L2165">
    <cfRule type="containsText" dxfId="6224" priority="8734" operator="containsText" text="Positive">
      <formula>NOT(ISERROR(SEARCH("Positive",L2165)))</formula>
    </cfRule>
    <cfRule type="containsText" dxfId="6223" priority="8735" operator="containsText" text="Negative">
      <formula>NOT(ISERROR(SEARCH("Negative",L2165)))</formula>
    </cfRule>
  </conditionalFormatting>
  <conditionalFormatting sqref="L2168">
    <cfRule type="containsText" dxfId="6222" priority="8731" operator="containsText" text="Positive">
      <formula>NOT(ISERROR(SEARCH("Positive",L2168)))</formula>
    </cfRule>
    <cfRule type="containsText" dxfId="6221" priority="8732" operator="containsText" text="Negative">
      <formula>NOT(ISERROR(SEARCH("Negative",L2168)))</formula>
    </cfRule>
  </conditionalFormatting>
  <conditionalFormatting sqref="H2168 J2168:K2168">
    <cfRule type="containsText" dxfId="6220" priority="8733" operator="containsText" text="Missing">
      <formula>NOT(ISERROR(SEARCH("Missing",H2168)))</formula>
    </cfRule>
  </conditionalFormatting>
  <conditionalFormatting sqref="H2169:H2171 J2169:K2171">
    <cfRule type="containsText" dxfId="6219" priority="8730" operator="containsText" text="Missing">
      <formula>NOT(ISERROR(SEARCH("Missing",H2169)))</formula>
    </cfRule>
  </conditionalFormatting>
  <conditionalFormatting sqref="L2170">
    <cfRule type="containsText" dxfId="6218" priority="8728" operator="containsText" text="Positive">
      <formula>NOT(ISERROR(SEARCH("Positive",L2170)))</formula>
    </cfRule>
    <cfRule type="containsText" dxfId="6217" priority="8729" operator="containsText" text="Negative">
      <formula>NOT(ISERROR(SEARCH("Negative",L2170)))</formula>
    </cfRule>
  </conditionalFormatting>
  <conditionalFormatting sqref="L2171">
    <cfRule type="containsText" dxfId="6216" priority="8726" operator="containsText" text="Positive">
      <formula>NOT(ISERROR(SEARCH("Positive",L2171)))</formula>
    </cfRule>
    <cfRule type="containsText" dxfId="6215" priority="8727" operator="containsText" text="Negative">
      <formula>NOT(ISERROR(SEARCH("Negative",L2171)))</formula>
    </cfRule>
  </conditionalFormatting>
  <conditionalFormatting sqref="L2169">
    <cfRule type="containsText" dxfId="6214" priority="8724" operator="containsText" text="Positive">
      <formula>NOT(ISERROR(SEARCH("Positive",L2169)))</formula>
    </cfRule>
    <cfRule type="containsText" dxfId="6213" priority="8725" operator="containsText" text="Negative">
      <formula>NOT(ISERROR(SEARCH("Negative",L2169)))</formula>
    </cfRule>
  </conditionalFormatting>
  <conditionalFormatting sqref="L2172">
    <cfRule type="containsText" dxfId="6212" priority="8721" operator="containsText" text="Positive">
      <formula>NOT(ISERROR(SEARCH("Positive",L2172)))</formula>
    </cfRule>
    <cfRule type="containsText" dxfId="6211" priority="8722" operator="containsText" text="Negative">
      <formula>NOT(ISERROR(SEARCH("Negative",L2172)))</formula>
    </cfRule>
  </conditionalFormatting>
  <conditionalFormatting sqref="H2172 J2172:K2172">
    <cfRule type="containsText" dxfId="6210" priority="8723" operator="containsText" text="Missing">
      <formula>NOT(ISERROR(SEARCH("Missing",H2172)))</formula>
    </cfRule>
  </conditionalFormatting>
  <conditionalFormatting sqref="H2173:H2175 J2173:K2175">
    <cfRule type="containsText" dxfId="6209" priority="8720" operator="containsText" text="Missing">
      <formula>NOT(ISERROR(SEARCH("Missing",H2173)))</formula>
    </cfRule>
  </conditionalFormatting>
  <conditionalFormatting sqref="L2174">
    <cfRule type="containsText" dxfId="6208" priority="8718" operator="containsText" text="Positive">
      <formula>NOT(ISERROR(SEARCH("Positive",L2174)))</formula>
    </cfRule>
    <cfRule type="containsText" dxfId="6207" priority="8719" operator="containsText" text="Negative">
      <formula>NOT(ISERROR(SEARCH("Negative",L2174)))</formula>
    </cfRule>
  </conditionalFormatting>
  <conditionalFormatting sqref="L2175">
    <cfRule type="containsText" dxfId="6206" priority="8716" operator="containsText" text="Positive">
      <formula>NOT(ISERROR(SEARCH("Positive",L2175)))</formula>
    </cfRule>
    <cfRule type="containsText" dxfId="6205" priority="8717" operator="containsText" text="Negative">
      <formula>NOT(ISERROR(SEARCH("Negative",L2175)))</formula>
    </cfRule>
  </conditionalFormatting>
  <conditionalFormatting sqref="L2173">
    <cfRule type="containsText" dxfId="6204" priority="8714" operator="containsText" text="Positive">
      <formula>NOT(ISERROR(SEARCH("Positive",L2173)))</formula>
    </cfRule>
    <cfRule type="containsText" dxfId="6203" priority="8715" operator="containsText" text="Negative">
      <formula>NOT(ISERROR(SEARCH("Negative",L2173)))</formula>
    </cfRule>
  </conditionalFormatting>
  <conditionalFormatting sqref="L2176">
    <cfRule type="containsText" dxfId="6202" priority="8711" operator="containsText" text="Positive">
      <formula>NOT(ISERROR(SEARCH("Positive",L2176)))</formula>
    </cfRule>
    <cfRule type="containsText" dxfId="6201" priority="8712" operator="containsText" text="Negative">
      <formula>NOT(ISERROR(SEARCH("Negative",L2176)))</formula>
    </cfRule>
  </conditionalFormatting>
  <conditionalFormatting sqref="H2176 J2176:K2176">
    <cfRule type="containsText" dxfId="6200" priority="8713" operator="containsText" text="Missing">
      <formula>NOT(ISERROR(SEARCH("Missing",H2176)))</formula>
    </cfRule>
  </conditionalFormatting>
  <conditionalFormatting sqref="H2154">
    <cfRule type="containsText" dxfId="6199" priority="8680" operator="containsText" text="Missing">
      <formula>NOT(ISERROR(SEARCH("Missing",H2154)))</formula>
    </cfRule>
  </conditionalFormatting>
  <conditionalFormatting sqref="I2139:I2142">
    <cfRule type="containsText" dxfId="6198" priority="8710" operator="containsText" text="Missing">
      <formula>NOT(ISERROR(SEARCH("Missing",I2139)))</formula>
    </cfRule>
  </conditionalFormatting>
  <conditionalFormatting sqref="I2143:I2146">
    <cfRule type="containsText" dxfId="6197" priority="8709" operator="containsText" text="Missing">
      <formula>NOT(ISERROR(SEARCH("Missing",I2143)))</formula>
    </cfRule>
  </conditionalFormatting>
  <conditionalFormatting sqref="I2147:I2150">
    <cfRule type="containsText" dxfId="6196" priority="8708" operator="containsText" text="Missing">
      <formula>NOT(ISERROR(SEARCH("Missing",I2147)))</formula>
    </cfRule>
  </conditionalFormatting>
  <conditionalFormatting sqref="I2165:I2168">
    <cfRule type="containsText" dxfId="6195" priority="8707" operator="containsText" text="Missing">
      <formula>NOT(ISERROR(SEARCH("Missing",I2165)))</formula>
    </cfRule>
  </conditionalFormatting>
  <conditionalFormatting sqref="I2169:I2172">
    <cfRule type="containsText" dxfId="6194" priority="8706" operator="containsText" text="Missing">
      <formula>NOT(ISERROR(SEARCH("Missing",I2169)))</formula>
    </cfRule>
  </conditionalFormatting>
  <conditionalFormatting sqref="I2173:I2176">
    <cfRule type="containsText" dxfId="6193" priority="8705" operator="containsText" text="Missing">
      <formula>NOT(ISERROR(SEARCH("Missing",I2173)))</formula>
    </cfRule>
  </conditionalFormatting>
  <conditionalFormatting sqref="I1980:I1984">
    <cfRule type="containsText" dxfId="6192" priority="8704" operator="containsText" text="Missing">
      <formula>NOT(ISERROR(SEARCH("Missing",I1980)))</formula>
    </cfRule>
  </conditionalFormatting>
  <conditionalFormatting sqref="I1985">
    <cfRule type="containsText" dxfId="6191" priority="8703" operator="containsText" text="Missing">
      <formula>NOT(ISERROR(SEARCH("Missing",I1985)))</formula>
    </cfRule>
  </conditionalFormatting>
  <conditionalFormatting sqref="I1986">
    <cfRule type="containsText" dxfId="6190" priority="8702" operator="containsText" text="Missing">
      <formula>NOT(ISERROR(SEARCH("Missing",I1986)))</formula>
    </cfRule>
  </conditionalFormatting>
  <conditionalFormatting sqref="L2152">
    <cfRule type="containsText" dxfId="6189" priority="8700" operator="containsText" text="Positive">
      <formula>NOT(ISERROR(SEARCH("Positive",L2152)))</formula>
    </cfRule>
    <cfRule type="containsText" dxfId="6188" priority="8701" operator="containsText" text="Negative">
      <formula>NOT(ISERROR(SEARCH("Negative",L2152)))</formula>
    </cfRule>
  </conditionalFormatting>
  <conditionalFormatting sqref="J2152:K2152">
    <cfRule type="containsText" dxfId="6187" priority="8697" operator="containsText" text="Missing">
      <formula>NOT(ISERROR(SEARCH("Missing",J2152)))</formula>
    </cfRule>
  </conditionalFormatting>
  <conditionalFormatting sqref="I2152">
    <cfRule type="containsText" dxfId="6186" priority="8696" operator="containsText" text="Missing">
      <formula>NOT(ISERROR(SEARCH("Missing",I2152)))</formula>
    </cfRule>
  </conditionalFormatting>
  <conditionalFormatting sqref="I2151">
    <cfRule type="containsText" dxfId="6185" priority="8692" operator="containsText" text="Missing">
      <formula>NOT(ISERROR(SEARCH("Missing",I2151)))</formula>
    </cfRule>
  </conditionalFormatting>
  <conditionalFormatting sqref="J2151:K2151">
    <cfRule type="containsText" dxfId="6184" priority="8695" operator="containsText" text="Missing">
      <formula>NOT(ISERROR(SEARCH("Missing",J2151)))</formula>
    </cfRule>
  </conditionalFormatting>
  <conditionalFormatting sqref="L2151">
    <cfRule type="containsText" dxfId="6183" priority="8698" operator="containsText" text="Positive">
      <formula>NOT(ISERROR(SEARCH("Positive",L2151)))</formula>
    </cfRule>
    <cfRule type="containsText" dxfId="6182" priority="8699" operator="containsText" text="Negative">
      <formula>NOT(ISERROR(SEARCH("Negative",L2151)))</formula>
    </cfRule>
  </conditionalFormatting>
  <conditionalFormatting sqref="L2151">
    <cfRule type="containsText" dxfId="6181" priority="8693" operator="containsText" text="Positive">
      <formula>NOT(ISERROR(SEARCH("Positive",L2151)))</formula>
    </cfRule>
    <cfRule type="containsText" dxfId="6180" priority="8694" operator="containsText" text="Negative">
      <formula>NOT(ISERROR(SEARCH("Negative",L2151)))</formula>
    </cfRule>
  </conditionalFormatting>
  <conditionalFormatting sqref="H2151">
    <cfRule type="containsText" dxfId="6179" priority="8691" operator="containsText" text="Missing">
      <formula>NOT(ISERROR(SEARCH("Missing",H2151)))</formula>
    </cfRule>
  </conditionalFormatting>
  <conditionalFormatting sqref="H2152">
    <cfRule type="containsText" dxfId="6178" priority="8690" operator="containsText" text="Missing">
      <formula>NOT(ISERROR(SEARCH("Missing",H2152)))</formula>
    </cfRule>
  </conditionalFormatting>
  <conditionalFormatting sqref="L2153">
    <cfRule type="containsText" dxfId="6177" priority="8688" operator="containsText" text="Positive">
      <formula>NOT(ISERROR(SEARCH("Positive",L2153)))</formula>
    </cfRule>
    <cfRule type="containsText" dxfId="6176" priority="8689" operator="containsText" text="Negative">
      <formula>NOT(ISERROR(SEARCH("Negative",L2153)))</formula>
    </cfRule>
  </conditionalFormatting>
  <conditionalFormatting sqref="I2153">
    <cfRule type="containsText" dxfId="6175" priority="8686" operator="containsText" text="Missing">
      <formula>NOT(ISERROR(SEARCH("Missing",I2153)))</formula>
    </cfRule>
  </conditionalFormatting>
  <conditionalFormatting sqref="J2153:K2153">
    <cfRule type="containsText" dxfId="6174" priority="8687" operator="containsText" text="Missing">
      <formula>NOT(ISERROR(SEARCH("Missing",J2153)))</formula>
    </cfRule>
  </conditionalFormatting>
  <conditionalFormatting sqref="H2153">
    <cfRule type="containsText" dxfId="6173" priority="8685" operator="containsText" text="Missing">
      <formula>NOT(ISERROR(SEARCH("Missing",H2153)))</formula>
    </cfRule>
  </conditionalFormatting>
  <conditionalFormatting sqref="L2154">
    <cfRule type="containsText" dxfId="6172" priority="8683" operator="containsText" text="Positive">
      <formula>NOT(ISERROR(SEARCH("Positive",L2154)))</formula>
    </cfRule>
    <cfRule type="containsText" dxfId="6171" priority="8684" operator="containsText" text="Negative">
      <formula>NOT(ISERROR(SEARCH("Negative",L2154)))</formula>
    </cfRule>
  </conditionalFormatting>
  <conditionalFormatting sqref="I2154">
    <cfRule type="containsText" dxfId="6170" priority="8681" operator="containsText" text="Missing">
      <formula>NOT(ISERROR(SEARCH("Missing",I2154)))</formula>
    </cfRule>
  </conditionalFormatting>
  <conditionalFormatting sqref="J2154:K2154">
    <cfRule type="containsText" dxfId="6169" priority="8682" operator="containsText" text="Missing">
      <formula>NOT(ISERROR(SEARCH("Missing",J2154)))</formula>
    </cfRule>
  </conditionalFormatting>
  <conditionalFormatting sqref="L1969">
    <cfRule type="containsText" dxfId="6168" priority="8678" operator="containsText" text="Positive">
      <formula>NOT(ISERROR(SEARCH("Positive",L1969)))</formula>
    </cfRule>
    <cfRule type="containsText" dxfId="6167" priority="8679" operator="containsText" text="Negative">
      <formula>NOT(ISERROR(SEARCH("Negative",L1969)))</formula>
    </cfRule>
  </conditionalFormatting>
  <conditionalFormatting sqref="J1969:K1969">
    <cfRule type="containsText" dxfId="6166" priority="8677" operator="containsText" text="Missing">
      <formula>NOT(ISERROR(SEARCH("Missing",J1969)))</formula>
    </cfRule>
  </conditionalFormatting>
  <conditionalFormatting sqref="I1969">
    <cfRule type="containsText" dxfId="6165" priority="8676" operator="containsText" text="Missing">
      <formula>NOT(ISERROR(SEARCH("Missing",I1969)))</formula>
    </cfRule>
  </conditionalFormatting>
  <conditionalFormatting sqref="H1969">
    <cfRule type="containsText" dxfId="6164" priority="8672" operator="containsText" text="Missing">
      <formula>NOT(ISERROR(SEARCH("Missing",H1969)))</formula>
    </cfRule>
  </conditionalFormatting>
  <conditionalFormatting sqref="H1969">
    <cfRule type="containsText" dxfId="6163" priority="8675" operator="containsText" text="Missing">
      <formula>NOT(ISERROR(SEARCH("Missing",H1969)))</formula>
    </cfRule>
  </conditionalFormatting>
  <conditionalFormatting sqref="H1969">
    <cfRule type="containsText" dxfId="6162" priority="8674" operator="containsText" text="Missing">
      <formula>NOT(ISERROR(SEARCH("Missing",H1969)))</formula>
    </cfRule>
  </conditionalFormatting>
  <conditionalFormatting sqref="H1974">
    <cfRule type="containsText" dxfId="6161" priority="8657" operator="containsText" text="Missing">
      <formula>NOT(ISERROR(SEARCH("Missing",H1974)))</formula>
    </cfRule>
  </conditionalFormatting>
  <conditionalFormatting sqref="H1969">
    <cfRule type="containsText" dxfId="6160" priority="8673" operator="containsText" text="Missing">
      <formula>NOT(ISERROR(SEARCH("Missing",H1969)))</formula>
    </cfRule>
  </conditionalFormatting>
  <conditionalFormatting sqref="I1970:I1974">
    <cfRule type="containsText" dxfId="6159" priority="8671" operator="containsText" text="Missing">
      <formula>NOT(ISERROR(SEARCH("Missing",I1970)))</formula>
    </cfRule>
  </conditionalFormatting>
  <conditionalFormatting sqref="L1971">
    <cfRule type="containsText" dxfId="6158" priority="8669" operator="containsText" text="Positive">
      <formula>NOT(ISERROR(SEARCH("Positive",L1971)))</formula>
    </cfRule>
    <cfRule type="containsText" dxfId="6157" priority="8670" operator="containsText" text="Negative">
      <formula>NOT(ISERROR(SEARCH("Negative",L1971)))</formula>
    </cfRule>
  </conditionalFormatting>
  <conditionalFormatting sqref="J1970:K1970">
    <cfRule type="containsText" dxfId="6156" priority="8668" operator="containsText" text="Missing">
      <formula>NOT(ISERROR(SEARCH("Missing",J1970)))</formula>
    </cfRule>
  </conditionalFormatting>
  <conditionalFormatting sqref="L1970">
    <cfRule type="containsText" dxfId="6155" priority="8666" operator="containsText" text="Positive">
      <formula>NOT(ISERROR(SEARCH("Positive",L1970)))</formula>
    </cfRule>
    <cfRule type="containsText" dxfId="6154" priority="8667" operator="containsText" text="Negative">
      <formula>NOT(ISERROR(SEARCH("Negative",L1970)))</formula>
    </cfRule>
  </conditionalFormatting>
  <conditionalFormatting sqref="J1971:K1971">
    <cfRule type="containsText" dxfId="6153" priority="8664" operator="containsText" text="Missing">
      <formula>NOT(ISERROR(SEARCH("Missing",J1971)))</formula>
    </cfRule>
  </conditionalFormatting>
  <conditionalFormatting sqref="H1970">
    <cfRule type="containsText" dxfId="6152" priority="8665" operator="containsText" text="Missing">
      <formula>NOT(ISERROR(SEARCH("Missing",H1970)))</formula>
    </cfRule>
  </conditionalFormatting>
  <conditionalFormatting sqref="J1972:K1974">
    <cfRule type="containsText" dxfId="6151" priority="8663" operator="containsText" text="Missing">
      <formula>NOT(ISERROR(SEARCH("Missing",J1972)))</formula>
    </cfRule>
  </conditionalFormatting>
  <conditionalFormatting sqref="L1972:L1974">
    <cfRule type="containsText" dxfId="6150" priority="8661" operator="containsText" text="Positive">
      <formula>NOT(ISERROR(SEARCH("Positive",L1972)))</formula>
    </cfRule>
    <cfRule type="containsText" dxfId="6149" priority="8662" operator="containsText" text="Negative">
      <formula>NOT(ISERROR(SEARCH("Negative",L1972)))</formula>
    </cfRule>
  </conditionalFormatting>
  <conditionalFormatting sqref="H1972">
    <cfRule type="containsText" dxfId="6148" priority="8659" operator="containsText" text="Missing">
      <formula>NOT(ISERROR(SEARCH("Missing",H1972)))</formula>
    </cfRule>
  </conditionalFormatting>
  <conditionalFormatting sqref="H1973">
    <cfRule type="containsText" dxfId="6147" priority="8658" operator="containsText" text="Missing">
      <formula>NOT(ISERROR(SEARCH("Missing",H1973)))</formula>
    </cfRule>
  </conditionalFormatting>
  <conditionalFormatting sqref="H1971">
    <cfRule type="containsText" dxfId="6146" priority="8660" operator="containsText" text="Missing">
      <formula>NOT(ISERROR(SEARCH("Missing",H1971)))</formula>
    </cfRule>
  </conditionalFormatting>
  <conditionalFormatting sqref="H2086">
    <cfRule type="containsText" dxfId="6145" priority="8634" operator="containsText" text="Missing">
      <formula>NOT(ISERROR(SEARCH("Missing",H2086)))</formula>
    </cfRule>
  </conditionalFormatting>
  <conditionalFormatting sqref="L2081">
    <cfRule type="containsText" dxfId="6144" priority="8655" operator="containsText" text="Positive">
      <formula>NOT(ISERROR(SEARCH("Positive",L2081)))</formula>
    </cfRule>
    <cfRule type="containsText" dxfId="6143" priority="8656" operator="containsText" text="Negative">
      <formula>NOT(ISERROR(SEARCH("Negative",L2081)))</formula>
    </cfRule>
  </conditionalFormatting>
  <conditionalFormatting sqref="J2081:K2081">
    <cfRule type="containsText" dxfId="6142" priority="8654" operator="containsText" text="Missing">
      <formula>NOT(ISERROR(SEARCH("Missing",J2081)))</formula>
    </cfRule>
  </conditionalFormatting>
  <conditionalFormatting sqref="I2081">
    <cfRule type="containsText" dxfId="6141" priority="8653" operator="containsText" text="Missing">
      <formula>NOT(ISERROR(SEARCH("Missing",I2081)))</formula>
    </cfRule>
  </conditionalFormatting>
  <conditionalFormatting sqref="H2081">
    <cfRule type="containsText" dxfId="6140" priority="8649" operator="containsText" text="Missing">
      <formula>NOT(ISERROR(SEARCH("Missing",H2081)))</formula>
    </cfRule>
  </conditionalFormatting>
  <conditionalFormatting sqref="H2081">
    <cfRule type="containsText" dxfId="6139" priority="8652" operator="containsText" text="Missing">
      <formula>NOT(ISERROR(SEARCH("Missing",H2081)))</formula>
    </cfRule>
  </conditionalFormatting>
  <conditionalFormatting sqref="H2081">
    <cfRule type="containsText" dxfId="6138" priority="8651" operator="containsText" text="Missing">
      <formula>NOT(ISERROR(SEARCH("Missing",H2081)))</formula>
    </cfRule>
  </conditionalFormatting>
  <conditionalFormatting sqref="H2081">
    <cfRule type="containsText" dxfId="6137" priority="8650" operator="containsText" text="Missing">
      <formula>NOT(ISERROR(SEARCH("Missing",H2081)))</formula>
    </cfRule>
  </conditionalFormatting>
  <conditionalFormatting sqref="I2082:I2086">
    <cfRule type="containsText" dxfId="6136" priority="8648" operator="containsText" text="Missing">
      <formula>NOT(ISERROR(SEARCH("Missing",I2082)))</formula>
    </cfRule>
  </conditionalFormatting>
  <conditionalFormatting sqref="L2083">
    <cfRule type="containsText" dxfId="6135" priority="8646" operator="containsText" text="Positive">
      <formula>NOT(ISERROR(SEARCH("Positive",L2083)))</formula>
    </cfRule>
    <cfRule type="containsText" dxfId="6134" priority="8647" operator="containsText" text="Negative">
      <formula>NOT(ISERROR(SEARCH("Negative",L2083)))</formula>
    </cfRule>
  </conditionalFormatting>
  <conditionalFormatting sqref="J2082:K2082">
    <cfRule type="containsText" dxfId="6133" priority="8645" operator="containsText" text="Missing">
      <formula>NOT(ISERROR(SEARCH("Missing",J2082)))</formula>
    </cfRule>
  </conditionalFormatting>
  <conditionalFormatting sqref="L2082">
    <cfRule type="containsText" dxfId="6132" priority="8643" operator="containsText" text="Positive">
      <formula>NOT(ISERROR(SEARCH("Positive",L2082)))</formula>
    </cfRule>
    <cfRule type="containsText" dxfId="6131" priority="8644" operator="containsText" text="Negative">
      <formula>NOT(ISERROR(SEARCH("Negative",L2082)))</formula>
    </cfRule>
  </conditionalFormatting>
  <conditionalFormatting sqref="J2083:K2083">
    <cfRule type="containsText" dxfId="6130" priority="8642" operator="containsText" text="Missing">
      <formula>NOT(ISERROR(SEARCH("Missing",J2083)))</formula>
    </cfRule>
  </conditionalFormatting>
  <conditionalFormatting sqref="J2084:K2086">
    <cfRule type="containsText" dxfId="6129" priority="8641" operator="containsText" text="Missing">
      <formula>NOT(ISERROR(SEARCH("Missing",J2084)))</formula>
    </cfRule>
  </conditionalFormatting>
  <conditionalFormatting sqref="L2084:L2086">
    <cfRule type="containsText" dxfId="6128" priority="8639" operator="containsText" text="Positive">
      <formula>NOT(ISERROR(SEARCH("Positive",L2084)))</formula>
    </cfRule>
    <cfRule type="containsText" dxfId="6127" priority="8640" operator="containsText" text="Negative">
      <formula>NOT(ISERROR(SEARCH("Negative",L2084)))</formula>
    </cfRule>
  </conditionalFormatting>
  <conditionalFormatting sqref="H2084">
    <cfRule type="containsText" dxfId="6126" priority="8636" operator="containsText" text="Missing">
      <formula>NOT(ISERROR(SEARCH("Missing",H2084)))</formula>
    </cfRule>
  </conditionalFormatting>
  <conditionalFormatting sqref="H2085">
    <cfRule type="containsText" dxfId="6125" priority="8635" operator="containsText" text="Missing">
      <formula>NOT(ISERROR(SEARCH("Missing",H2085)))</formula>
    </cfRule>
  </conditionalFormatting>
  <conditionalFormatting sqref="H2083">
    <cfRule type="containsText" dxfId="6124" priority="8637" operator="containsText" text="Missing">
      <formula>NOT(ISERROR(SEARCH("Missing",H2083)))</formula>
    </cfRule>
  </conditionalFormatting>
  <conditionalFormatting sqref="H2082">
    <cfRule type="containsText" dxfId="6123" priority="8638" operator="containsText" text="Missing">
      <formula>NOT(ISERROR(SEARCH("Missing",H2082)))</formula>
    </cfRule>
  </conditionalFormatting>
  <conditionalFormatting sqref="H2092:K2101">
    <cfRule type="containsText" dxfId="6122" priority="8633" operator="containsText" text="Missing">
      <formula>NOT(ISERROR(SEARCH("Missing",H2092)))</formula>
    </cfRule>
  </conditionalFormatting>
  <conditionalFormatting sqref="L2092:L2101">
    <cfRule type="containsText" dxfId="6121" priority="8631" operator="containsText" text="Positive">
      <formula>NOT(ISERROR(SEARCH("Positive",L2092)))</formula>
    </cfRule>
    <cfRule type="containsText" dxfId="6120" priority="8632" operator="containsText" text="Negative">
      <formula>NOT(ISERROR(SEARCH("Negative",L2092)))</formula>
    </cfRule>
  </conditionalFormatting>
  <conditionalFormatting sqref="I2008">
    <cfRule type="containsText" dxfId="6119" priority="8630" operator="containsText" text="Missing">
      <formula>NOT(ISERROR(SEARCH("Missing",I2008)))</formula>
    </cfRule>
  </conditionalFormatting>
  <conditionalFormatting sqref="I2009">
    <cfRule type="containsText" dxfId="6118" priority="8629" operator="containsText" text="Missing">
      <formula>NOT(ISERROR(SEARCH("Missing",I2009)))</formula>
    </cfRule>
  </conditionalFormatting>
  <conditionalFormatting sqref="I2122">
    <cfRule type="containsText" dxfId="6117" priority="8628" operator="containsText" text="Missing">
      <formula>NOT(ISERROR(SEARCH("Missing",I2122)))</formula>
    </cfRule>
  </conditionalFormatting>
  <conditionalFormatting sqref="I2123">
    <cfRule type="containsText" dxfId="6116" priority="8627" operator="containsText" text="Missing">
      <formula>NOT(ISERROR(SEARCH("Missing",I2123)))</formula>
    </cfRule>
  </conditionalFormatting>
  <conditionalFormatting sqref="J2080">
    <cfRule type="containsText" dxfId="6115" priority="8626" operator="containsText" text="Missing">
      <formula>NOT(ISERROR(SEARCH("Missing",J2080)))</formula>
    </cfRule>
  </conditionalFormatting>
  <conditionalFormatting sqref="I2079">
    <cfRule type="containsText" dxfId="6114" priority="8625" operator="containsText" text="Missing">
      <formula>NOT(ISERROR(SEARCH("Missing",I2079)))</formula>
    </cfRule>
  </conditionalFormatting>
  <conditionalFormatting sqref="I2182">
    <cfRule type="containsText" dxfId="6113" priority="8624" operator="containsText" text="Missing">
      <formula>NOT(ISERROR(SEARCH("Missing",I2182)))</formula>
    </cfRule>
  </conditionalFormatting>
  <conditionalFormatting sqref="I2184">
    <cfRule type="containsText" dxfId="6112" priority="8623" operator="containsText" text="Missing">
      <formula>NOT(ISERROR(SEARCH("Missing",I2184)))</formula>
    </cfRule>
  </conditionalFormatting>
  <conditionalFormatting sqref="H1167">
    <cfRule type="containsText" dxfId="6111" priority="8622" operator="containsText" text="Missing">
      <formula>NOT(ISERROR(SEARCH("Missing",H1167)))</formula>
    </cfRule>
  </conditionalFormatting>
  <conditionalFormatting sqref="H682:J682">
    <cfRule type="containsText" dxfId="6110" priority="8618" operator="containsText" text="Missing">
      <formula>NOT(ISERROR(SEARCH("Missing",H682)))</formula>
    </cfRule>
  </conditionalFormatting>
  <conditionalFormatting sqref="L682">
    <cfRule type="containsText" dxfId="6109" priority="8616" operator="containsText" text="Positive">
      <formula>NOT(ISERROR(SEARCH("Positive",L682)))</formula>
    </cfRule>
    <cfRule type="containsText" dxfId="6108" priority="8617" operator="containsText" text="Negative">
      <formula>NOT(ISERROR(SEARCH("Negative",L682)))</formula>
    </cfRule>
  </conditionalFormatting>
  <conditionalFormatting sqref="K682">
    <cfRule type="containsText" dxfId="6107" priority="8615" operator="containsText" text="Missing">
      <formula>NOT(ISERROR(SEARCH("Missing",K682)))</formula>
    </cfRule>
  </conditionalFormatting>
  <conditionalFormatting sqref="H681:J681">
    <cfRule type="containsText" dxfId="6106" priority="8614" operator="containsText" text="Missing">
      <formula>NOT(ISERROR(SEARCH("Missing",H681)))</formula>
    </cfRule>
  </conditionalFormatting>
  <conditionalFormatting sqref="L681">
    <cfRule type="containsText" dxfId="6105" priority="8612" operator="containsText" text="Positive">
      <formula>NOT(ISERROR(SEARCH("Positive",L681)))</formula>
    </cfRule>
    <cfRule type="containsText" dxfId="6104" priority="8613" operator="containsText" text="Negative">
      <formula>NOT(ISERROR(SEARCH("Negative",L681)))</formula>
    </cfRule>
  </conditionalFormatting>
  <conditionalFormatting sqref="K681">
    <cfRule type="containsText" dxfId="6103" priority="8611" operator="containsText" text="Missing">
      <formula>NOT(ISERROR(SEARCH("Missing",K681)))</formula>
    </cfRule>
  </conditionalFormatting>
  <conditionalFormatting sqref="I2239">
    <cfRule type="containsText" dxfId="6102" priority="7473" operator="containsText" text="Missing">
      <formula>NOT(ISERROR(SEARCH("Missing",I2239)))</formula>
    </cfRule>
  </conditionalFormatting>
  <conditionalFormatting sqref="H2239">
    <cfRule type="containsText" dxfId="6101" priority="7474" operator="containsText" text="Missing">
      <formula>NOT(ISERROR(SEARCH("Missing",H2239)))</formula>
    </cfRule>
  </conditionalFormatting>
  <conditionalFormatting sqref="I2234">
    <cfRule type="containsText" dxfId="6100" priority="7527" operator="containsText" text="Missing">
      <formula>NOT(ISERROR(SEARCH("Missing",I2234)))</formula>
    </cfRule>
  </conditionalFormatting>
  <conditionalFormatting sqref="H2232">
    <cfRule type="containsText" dxfId="6099" priority="7526" operator="containsText" text="Missing">
      <formula>NOT(ISERROR(SEARCH("Missing",H2232)))</formula>
    </cfRule>
  </conditionalFormatting>
  <conditionalFormatting sqref="H2234">
    <cfRule type="containsText" dxfId="6098" priority="7536" operator="containsText" text="Missing">
      <formula>NOT(ISERROR(SEARCH("Missing",H2234)))</formula>
    </cfRule>
  </conditionalFormatting>
  <conditionalFormatting sqref="J2238:K2238">
    <cfRule type="containsText" dxfId="6097" priority="7497" operator="containsText" text="Missing">
      <formula>NOT(ISERROR(SEARCH("Missing",J2238)))</formula>
    </cfRule>
  </conditionalFormatting>
  <conditionalFormatting sqref="H2233">
    <cfRule type="containsText" dxfId="6096" priority="7523" operator="containsText" text="Missing">
      <formula>NOT(ISERROR(SEARCH("Missing",H2233)))</formula>
    </cfRule>
  </conditionalFormatting>
  <conditionalFormatting sqref="H2233">
    <cfRule type="containsText" dxfId="6095" priority="7524" operator="containsText" text="Missing">
      <formula>NOT(ISERROR(SEARCH("Missing",H2233)))</formula>
    </cfRule>
  </conditionalFormatting>
  <conditionalFormatting sqref="J2238:K2238">
    <cfRule type="containsText" dxfId="6094" priority="7496" operator="containsText" text="Missing">
      <formula>NOT(ISERROR(SEARCH("Missing",J2238)))</formula>
    </cfRule>
  </conditionalFormatting>
  <conditionalFormatting sqref="H2229:J2229">
    <cfRule type="containsText" dxfId="6093" priority="7574" operator="containsText" text="Missing">
      <formula>NOT(ISERROR(SEARCH("Missing",H2229)))</formula>
    </cfRule>
  </conditionalFormatting>
  <conditionalFormatting sqref="L2229">
    <cfRule type="containsText" dxfId="6092" priority="7572" operator="containsText" text="Positive">
      <formula>NOT(ISERROR(SEARCH("Positive",L2229)))</formula>
    </cfRule>
    <cfRule type="containsText" dxfId="6091" priority="7573" operator="containsText" text="Negative">
      <formula>NOT(ISERROR(SEARCH("Negative",L2229)))</formula>
    </cfRule>
  </conditionalFormatting>
  <conditionalFormatting sqref="K2229">
    <cfRule type="containsText" dxfId="6090" priority="7571" operator="containsText" text="Missing">
      <formula>NOT(ISERROR(SEARCH("Missing",K2229)))</formula>
    </cfRule>
  </conditionalFormatting>
  <conditionalFormatting sqref="H2228:J2228">
    <cfRule type="containsText" dxfId="6089" priority="7570" operator="containsText" text="Missing">
      <formula>NOT(ISERROR(SEARCH("Missing",H2228)))</formula>
    </cfRule>
  </conditionalFormatting>
  <conditionalFormatting sqref="L2228">
    <cfRule type="containsText" dxfId="6088" priority="7568" operator="containsText" text="Positive">
      <formula>NOT(ISERROR(SEARCH("Positive",L2228)))</formula>
    </cfRule>
    <cfRule type="containsText" dxfId="6087" priority="7569" operator="containsText" text="Negative">
      <formula>NOT(ISERROR(SEARCH("Negative",L2228)))</formula>
    </cfRule>
  </conditionalFormatting>
  <conditionalFormatting sqref="K2228">
    <cfRule type="containsText" dxfId="6086" priority="7567" operator="containsText" text="Missing">
      <formula>NOT(ISERROR(SEARCH("Missing",K2228)))</formula>
    </cfRule>
  </conditionalFormatting>
  <conditionalFormatting sqref="J2231:K2231">
    <cfRule type="containsText" dxfId="6085" priority="7566" operator="containsText" text="Missing">
      <formula>NOT(ISERROR(SEARCH("Missing",J2231)))</formula>
    </cfRule>
  </conditionalFormatting>
  <conditionalFormatting sqref="H2231">
    <cfRule type="containsText" dxfId="6084" priority="7565" operator="containsText" text="Missing">
      <formula>NOT(ISERROR(SEARCH("Missing",H2231)))</formula>
    </cfRule>
  </conditionalFormatting>
  <conditionalFormatting sqref="L2231">
    <cfRule type="containsText" dxfId="6083" priority="7563" operator="containsText" text="Positive">
      <formula>NOT(ISERROR(SEARCH("Positive",L2231)))</formula>
    </cfRule>
    <cfRule type="containsText" dxfId="6082" priority="7564" operator="containsText" text="Negative">
      <formula>NOT(ISERROR(SEARCH("Negative",L2231)))</formula>
    </cfRule>
  </conditionalFormatting>
  <conditionalFormatting sqref="L2231">
    <cfRule type="containsText" dxfId="6081" priority="7561" operator="containsText" text="Positive">
      <formula>NOT(ISERROR(SEARCH("Positive",L2231)))</formula>
    </cfRule>
    <cfRule type="containsText" dxfId="6080" priority="7562" operator="containsText" text="Negative">
      <formula>NOT(ISERROR(SEARCH("Negative",L2231)))</formula>
    </cfRule>
  </conditionalFormatting>
  <conditionalFormatting sqref="J2231:K2231">
    <cfRule type="containsText" dxfId="6079" priority="7560" operator="containsText" text="Missing">
      <formula>NOT(ISERROR(SEARCH("Missing",J2231)))</formula>
    </cfRule>
  </conditionalFormatting>
  <conditionalFormatting sqref="L2231">
    <cfRule type="containsText" dxfId="6078" priority="7558" operator="containsText" text="Positive">
      <formula>NOT(ISERROR(SEARCH("Positive",L2231)))</formula>
    </cfRule>
    <cfRule type="containsText" dxfId="6077" priority="7559" operator="containsText" text="Negative">
      <formula>NOT(ISERROR(SEARCH("Negative",L2231)))</formula>
    </cfRule>
  </conditionalFormatting>
  <conditionalFormatting sqref="H2231">
    <cfRule type="containsText" dxfId="6076" priority="7557" operator="containsText" text="Missing">
      <formula>NOT(ISERROR(SEARCH("Missing",H2231)))</formula>
    </cfRule>
  </conditionalFormatting>
  <conditionalFormatting sqref="I2231">
    <cfRule type="containsText" dxfId="6075" priority="7556" operator="containsText" text="Missing">
      <formula>NOT(ISERROR(SEARCH("Missing",I2231)))</formula>
    </cfRule>
  </conditionalFormatting>
  <conditionalFormatting sqref="J2232:K2232">
    <cfRule type="containsText" dxfId="6074" priority="7555" operator="containsText" text="Missing">
      <formula>NOT(ISERROR(SEARCH("Missing",J2232)))</formula>
    </cfRule>
  </conditionalFormatting>
  <conditionalFormatting sqref="L2232">
    <cfRule type="containsText" dxfId="6073" priority="7553" operator="containsText" text="Positive">
      <formula>NOT(ISERROR(SEARCH("Positive",L2232)))</formula>
    </cfRule>
    <cfRule type="containsText" dxfId="6072" priority="7554" operator="containsText" text="Negative">
      <formula>NOT(ISERROR(SEARCH("Negative",L2232)))</formula>
    </cfRule>
  </conditionalFormatting>
  <conditionalFormatting sqref="L2232">
    <cfRule type="containsText" dxfId="6071" priority="7551" operator="containsText" text="Positive">
      <formula>NOT(ISERROR(SEARCH("Positive",L2232)))</formula>
    </cfRule>
    <cfRule type="containsText" dxfId="6070" priority="7552" operator="containsText" text="Negative">
      <formula>NOT(ISERROR(SEARCH("Negative",L2232)))</formula>
    </cfRule>
  </conditionalFormatting>
  <conditionalFormatting sqref="J2232:K2232">
    <cfRule type="containsText" dxfId="6069" priority="7550" operator="containsText" text="Missing">
      <formula>NOT(ISERROR(SEARCH("Missing",J2232)))</formula>
    </cfRule>
  </conditionalFormatting>
  <conditionalFormatting sqref="L2232">
    <cfRule type="containsText" dxfId="6068" priority="7548" operator="containsText" text="Positive">
      <formula>NOT(ISERROR(SEARCH("Positive",L2232)))</formula>
    </cfRule>
    <cfRule type="containsText" dxfId="6067" priority="7549" operator="containsText" text="Negative">
      <formula>NOT(ISERROR(SEARCH("Negative",L2232)))</formula>
    </cfRule>
  </conditionalFormatting>
  <conditionalFormatting sqref="I2232">
    <cfRule type="containsText" dxfId="6066" priority="7547" operator="containsText" text="Missing">
      <formula>NOT(ISERROR(SEARCH("Missing",I2232)))</formula>
    </cfRule>
  </conditionalFormatting>
  <conditionalFormatting sqref="J2233:K2233">
    <cfRule type="containsText" dxfId="6065" priority="7546" operator="containsText" text="Missing">
      <formula>NOT(ISERROR(SEARCH("Missing",J2233)))</formula>
    </cfRule>
  </conditionalFormatting>
  <conditionalFormatting sqref="L2233">
    <cfRule type="containsText" dxfId="6064" priority="7544" operator="containsText" text="Positive">
      <formula>NOT(ISERROR(SEARCH("Positive",L2233)))</formula>
    </cfRule>
    <cfRule type="containsText" dxfId="6063" priority="7545" operator="containsText" text="Negative">
      <formula>NOT(ISERROR(SEARCH("Negative",L2233)))</formula>
    </cfRule>
  </conditionalFormatting>
  <conditionalFormatting sqref="L2233">
    <cfRule type="containsText" dxfId="6062" priority="7542" operator="containsText" text="Positive">
      <formula>NOT(ISERROR(SEARCH("Positive",L2233)))</formula>
    </cfRule>
    <cfRule type="containsText" dxfId="6061" priority="7543" operator="containsText" text="Negative">
      <formula>NOT(ISERROR(SEARCH("Negative",L2233)))</formula>
    </cfRule>
  </conditionalFormatting>
  <conditionalFormatting sqref="J2233:K2233">
    <cfRule type="containsText" dxfId="6060" priority="7541" operator="containsText" text="Missing">
      <formula>NOT(ISERROR(SEARCH("Missing",J2233)))</formula>
    </cfRule>
  </conditionalFormatting>
  <conditionalFormatting sqref="L2233">
    <cfRule type="containsText" dxfId="6059" priority="7539" operator="containsText" text="Positive">
      <formula>NOT(ISERROR(SEARCH("Positive",L2233)))</formula>
    </cfRule>
    <cfRule type="containsText" dxfId="6058" priority="7540" operator="containsText" text="Negative">
      <formula>NOT(ISERROR(SEARCH("Negative",L2233)))</formula>
    </cfRule>
  </conditionalFormatting>
  <conditionalFormatting sqref="I2233">
    <cfRule type="containsText" dxfId="6057" priority="7538" operator="containsText" text="Missing">
      <formula>NOT(ISERROR(SEARCH("Missing",I2233)))</formula>
    </cfRule>
  </conditionalFormatting>
  <conditionalFormatting sqref="J2234:K2234 K2231:K2233 K2235:K2236">
    <cfRule type="containsText" dxfId="6056" priority="7537" operator="containsText" text="Missing">
      <formula>NOT(ISERROR(SEARCH("Missing",J2231)))</formula>
    </cfRule>
  </conditionalFormatting>
  <conditionalFormatting sqref="I2237">
    <cfRule type="containsText" dxfId="6055" priority="7498" operator="containsText" text="Missing">
      <formula>NOT(ISERROR(SEARCH("Missing",I2237)))</formula>
    </cfRule>
  </conditionalFormatting>
  <conditionalFormatting sqref="L2234">
    <cfRule type="containsText" dxfId="6054" priority="7534" operator="containsText" text="Positive">
      <formula>NOT(ISERROR(SEARCH("Positive",L2234)))</formula>
    </cfRule>
    <cfRule type="containsText" dxfId="6053" priority="7535" operator="containsText" text="Negative">
      <formula>NOT(ISERROR(SEARCH("Negative",L2234)))</formula>
    </cfRule>
  </conditionalFormatting>
  <conditionalFormatting sqref="L2234">
    <cfRule type="containsText" dxfId="6052" priority="7532" operator="containsText" text="Positive">
      <formula>NOT(ISERROR(SEARCH("Positive",L2234)))</formula>
    </cfRule>
    <cfRule type="containsText" dxfId="6051" priority="7533" operator="containsText" text="Negative">
      <formula>NOT(ISERROR(SEARCH("Negative",L2234)))</formula>
    </cfRule>
  </conditionalFormatting>
  <conditionalFormatting sqref="J2234:K2234 K2231:K2233 K2235:K2236">
    <cfRule type="containsText" dxfId="6050" priority="7531" operator="containsText" text="Missing">
      <formula>NOT(ISERROR(SEARCH("Missing",J2231)))</formula>
    </cfRule>
  </conditionalFormatting>
  <conditionalFormatting sqref="L2234">
    <cfRule type="containsText" dxfId="6049" priority="7529" operator="containsText" text="Positive">
      <formula>NOT(ISERROR(SEARCH("Positive",L2234)))</formula>
    </cfRule>
    <cfRule type="containsText" dxfId="6048" priority="7530" operator="containsText" text="Negative">
      <formula>NOT(ISERROR(SEARCH("Negative",L2234)))</formula>
    </cfRule>
  </conditionalFormatting>
  <conditionalFormatting sqref="H2234">
    <cfRule type="containsText" dxfId="6047" priority="7528" operator="containsText" text="Missing">
      <formula>NOT(ISERROR(SEARCH("Missing",H2234)))</formula>
    </cfRule>
  </conditionalFormatting>
  <conditionalFormatting sqref="H2232">
    <cfRule type="containsText" dxfId="6046" priority="7525" operator="containsText" text="Missing">
      <formula>NOT(ISERROR(SEARCH("Missing",H2232)))</formula>
    </cfRule>
  </conditionalFormatting>
  <conditionalFormatting sqref="J2239:K2239">
    <cfRule type="containsText" dxfId="6045" priority="7477" operator="containsText" text="Missing">
      <formula>NOT(ISERROR(SEARCH("Missing",J2239)))</formula>
    </cfRule>
  </conditionalFormatting>
  <conditionalFormatting sqref="J2235:K2236">
    <cfRule type="containsText" dxfId="6044" priority="7514" operator="containsText" text="Missing">
      <formula>NOT(ISERROR(SEARCH("Missing",J2235)))</formula>
    </cfRule>
  </conditionalFormatting>
  <conditionalFormatting sqref="L2235:L2236">
    <cfRule type="containsText" dxfId="6043" priority="7512" operator="containsText" text="Positive">
      <formula>NOT(ISERROR(SEARCH("Positive",L2235)))</formula>
    </cfRule>
    <cfRule type="containsText" dxfId="6042" priority="7513" operator="containsText" text="Negative">
      <formula>NOT(ISERROR(SEARCH("Negative",L2235)))</formula>
    </cfRule>
  </conditionalFormatting>
  <conditionalFormatting sqref="J2240:K2240">
    <cfRule type="containsText" dxfId="6041" priority="7450" operator="containsText" text="Missing">
      <formula>NOT(ISERROR(SEARCH("Missing",J2240)))</formula>
    </cfRule>
  </conditionalFormatting>
  <conditionalFormatting sqref="L2240">
    <cfRule type="containsText" dxfId="6040" priority="7448" operator="containsText" text="Positive">
      <formula>NOT(ISERROR(SEARCH("Positive",L2240)))</formula>
    </cfRule>
    <cfRule type="containsText" dxfId="6039" priority="7449" operator="containsText" text="Negative">
      <formula>NOT(ISERROR(SEARCH("Negative",L2240)))</formula>
    </cfRule>
  </conditionalFormatting>
  <conditionalFormatting sqref="H2237:K2237">
    <cfRule type="containsText" dxfId="6038" priority="7511" operator="containsText" text="Missing">
      <formula>NOT(ISERROR(SEARCH("Missing",H2237)))</formula>
    </cfRule>
  </conditionalFormatting>
  <conditionalFormatting sqref="L2237">
    <cfRule type="containsText" dxfId="6037" priority="7509" operator="containsText" text="Positive">
      <formula>NOT(ISERROR(SEARCH("Positive",L2237)))</formula>
    </cfRule>
    <cfRule type="containsText" dxfId="6036" priority="7510" operator="containsText" text="Negative">
      <formula>NOT(ISERROR(SEARCH("Negative",L2237)))</formula>
    </cfRule>
  </conditionalFormatting>
  <conditionalFormatting sqref="H2237">
    <cfRule type="containsText" dxfId="6035" priority="7499" operator="containsText" text="Missing">
      <formula>NOT(ISERROR(SEARCH("Missing",H2237)))</formula>
    </cfRule>
  </conditionalFormatting>
  <conditionalFormatting sqref="J2237:K2237">
    <cfRule type="containsText" dxfId="6034" priority="7502" operator="containsText" text="Missing">
      <formula>NOT(ISERROR(SEARCH("Missing",J2237)))</formula>
    </cfRule>
  </conditionalFormatting>
  <conditionalFormatting sqref="J2237:K2237">
    <cfRule type="containsText" dxfId="6033" priority="7508" operator="containsText" text="Missing">
      <formula>NOT(ISERROR(SEARCH("Missing",J2237)))</formula>
    </cfRule>
  </conditionalFormatting>
  <conditionalFormatting sqref="H2237">
    <cfRule type="containsText" dxfId="6032" priority="7507" operator="containsText" text="Missing">
      <formula>NOT(ISERROR(SEARCH("Missing",H2237)))</formula>
    </cfRule>
  </conditionalFormatting>
  <conditionalFormatting sqref="L2237">
    <cfRule type="containsText" dxfId="6031" priority="7505" operator="containsText" text="Positive">
      <formula>NOT(ISERROR(SEARCH("Positive",L2237)))</formula>
    </cfRule>
    <cfRule type="containsText" dxfId="6030" priority="7506" operator="containsText" text="Negative">
      <formula>NOT(ISERROR(SEARCH("Negative",L2237)))</formula>
    </cfRule>
  </conditionalFormatting>
  <conditionalFormatting sqref="L2237">
    <cfRule type="containsText" dxfId="6029" priority="7503" operator="containsText" text="Positive">
      <formula>NOT(ISERROR(SEARCH("Positive",L2237)))</formula>
    </cfRule>
    <cfRule type="containsText" dxfId="6028" priority="7504" operator="containsText" text="Negative">
      <formula>NOT(ISERROR(SEARCH("Negative",L2237)))</formula>
    </cfRule>
  </conditionalFormatting>
  <conditionalFormatting sqref="L2237">
    <cfRule type="containsText" dxfId="6027" priority="7500" operator="containsText" text="Positive">
      <formula>NOT(ISERROR(SEARCH("Positive",L2237)))</formula>
    </cfRule>
    <cfRule type="containsText" dxfId="6026" priority="7501" operator="containsText" text="Negative">
      <formula>NOT(ISERROR(SEARCH("Negative",L2237)))</formula>
    </cfRule>
  </conditionalFormatting>
  <conditionalFormatting sqref="J2238:K2238">
    <cfRule type="containsText" dxfId="6025" priority="7495" operator="containsText" text="Missing">
      <formula>NOT(ISERROR(SEARCH("Missing",J2238)))</formula>
    </cfRule>
  </conditionalFormatting>
  <conditionalFormatting sqref="L2238">
    <cfRule type="containsText" dxfId="6024" priority="7493" operator="containsText" text="Positive">
      <formula>NOT(ISERROR(SEARCH("Positive",L2238)))</formula>
    </cfRule>
    <cfRule type="containsText" dxfId="6023" priority="7494" operator="containsText" text="Negative">
      <formula>NOT(ISERROR(SEARCH("Negative",L2238)))</formula>
    </cfRule>
  </conditionalFormatting>
  <conditionalFormatting sqref="L2238">
    <cfRule type="containsText" dxfId="6022" priority="7491" operator="containsText" text="Positive">
      <formula>NOT(ISERROR(SEARCH("Positive",L2238)))</formula>
    </cfRule>
    <cfRule type="containsText" dxfId="6021" priority="7492" operator="containsText" text="Negative">
      <formula>NOT(ISERROR(SEARCH("Negative",L2238)))</formula>
    </cfRule>
  </conditionalFormatting>
  <conditionalFormatting sqref="L2238">
    <cfRule type="containsText" dxfId="6020" priority="7489" operator="containsText" text="Positive">
      <formula>NOT(ISERROR(SEARCH("Positive",L2238)))</formula>
    </cfRule>
    <cfRule type="containsText" dxfId="6019" priority="7490" operator="containsText" text="Negative">
      <formula>NOT(ISERROR(SEARCH("Negative",L2238)))</formula>
    </cfRule>
  </conditionalFormatting>
  <conditionalFormatting sqref="L2238">
    <cfRule type="containsText" dxfId="6018" priority="7487" operator="containsText" text="Positive">
      <formula>NOT(ISERROR(SEARCH("Positive",L2238)))</formula>
    </cfRule>
    <cfRule type="containsText" dxfId="6017" priority="7488" operator="containsText" text="Negative">
      <formula>NOT(ISERROR(SEARCH("Negative",L2238)))</formula>
    </cfRule>
  </conditionalFormatting>
  <conditionalFormatting sqref="H2239:K2239">
    <cfRule type="containsText" dxfId="6016" priority="7486" operator="containsText" text="Missing">
      <formula>NOT(ISERROR(SEARCH("Missing",H2239)))</formula>
    </cfRule>
  </conditionalFormatting>
  <conditionalFormatting sqref="L2239">
    <cfRule type="containsText" dxfId="6015" priority="7484" operator="containsText" text="Positive">
      <formula>NOT(ISERROR(SEARCH("Positive",L2239)))</formula>
    </cfRule>
    <cfRule type="containsText" dxfId="6014" priority="7485" operator="containsText" text="Negative">
      <formula>NOT(ISERROR(SEARCH("Negative",L2239)))</formula>
    </cfRule>
  </conditionalFormatting>
  <conditionalFormatting sqref="J2239:K2239">
    <cfRule type="containsText" dxfId="6013" priority="7483" operator="containsText" text="Missing">
      <formula>NOT(ISERROR(SEARCH("Missing",J2239)))</formula>
    </cfRule>
  </conditionalFormatting>
  <conditionalFormatting sqref="H2239">
    <cfRule type="containsText" dxfId="6012" priority="7482" operator="containsText" text="Missing">
      <formula>NOT(ISERROR(SEARCH("Missing",H2239)))</formula>
    </cfRule>
  </conditionalFormatting>
  <conditionalFormatting sqref="L2239">
    <cfRule type="containsText" dxfId="6011" priority="7480" operator="containsText" text="Positive">
      <formula>NOT(ISERROR(SEARCH("Positive",L2239)))</formula>
    </cfRule>
    <cfRule type="containsText" dxfId="6010" priority="7481" operator="containsText" text="Negative">
      <formula>NOT(ISERROR(SEARCH("Negative",L2239)))</formula>
    </cfRule>
  </conditionalFormatting>
  <conditionalFormatting sqref="L2239">
    <cfRule type="containsText" dxfId="6009" priority="7478" operator="containsText" text="Positive">
      <formula>NOT(ISERROR(SEARCH("Positive",L2239)))</formula>
    </cfRule>
    <cfRule type="containsText" dxfId="6008" priority="7479" operator="containsText" text="Negative">
      <formula>NOT(ISERROR(SEARCH("Negative",L2239)))</formula>
    </cfRule>
  </conditionalFormatting>
  <conditionalFormatting sqref="L2239">
    <cfRule type="containsText" dxfId="6007" priority="7475" operator="containsText" text="Positive">
      <formula>NOT(ISERROR(SEARCH("Positive",L2239)))</formula>
    </cfRule>
    <cfRule type="containsText" dxfId="6006" priority="7476" operator="containsText" text="Negative">
      <formula>NOT(ISERROR(SEARCH("Negative",L2239)))</formula>
    </cfRule>
  </conditionalFormatting>
  <conditionalFormatting sqref="J2240:K2240">
    <cfRule type="containsText" dxfId="6005" priority="7458" operator="containsText" text="Missing">
      <formula>NOT(ISERROR(SEARCH("Missing",J2240)))</formula>
    </cfRule>
  </conditionalFormatting>
  <conditionalFormatting sqref="L2240">
    <cfRule type="containsText" dxfId="6004" priority="7456" operator="containsText" text="Positive">
      <formula>NOT(ISERROR(SEARCH("Positive",L2240)))</formula>
    </cfRule>
    <cfRule type="containsText" dxfId="6003" priority="7457" operator="containsText" text="Negative">
      <formula>NOT(ISERROR(SEARCH("Negative",L2240)))</formula>
    </cfRule>
  </conditionalFormatting>
  <conditionalFormatting sqref="I2241">
    <cfRule type="containsText" dxfId="6002" priority="7415" operator="containsText" text="Missing">
      <formula>NOT(ISERROR(SEARCH("Missing",I2241)))</formula>
    </cfRule>
  </conditionalFormatting>
  <conditionalFormatting sqref="J2240:K2240">
    <cfRule type="containsText" dxfId="6001" priority="7455" operator="containsText" text="Missing">
      <formula>NOT(ISERROR(SEARCH("Missing",J2240)))</formula>
    </cfRule>
  </conditionalFormatting>
  <conditionalFormatting sqref="J2242:K2242">
    <cfRule type="containsText" dxfId="6000" priority="7423" operator="containsText" text="Missing">
      <formula>NOT(ISERROR(SEARCH("Missing",J2242)))</formula>
    </cfRule>
  </conditionalFormatting>
  <conditionalFormatting sqref="L2240">
    <cfRule type="containsText" dxfId="5999" priority="7453" operator="containsText" text="Positive">
      <formula>NOT(ISERROR(SEARCH("Positive",L2240)))</formula>
    </cfRule>
    <cfRule type="containsText" dxfId="5998" priority="7454" operator="containsText" text="Negative">
      <formula>NOT(ISERROR(SEARCH("Negative",L2240)))</formula>
    </cfRule>
  </conditionalFormatting>
  <conditionalFormatting sqref="L2240">
    <cfRule type="containsText" dxfId="5997" priority="7451" operator="containsText" text="Positive">
      <formula>NOT(ISERROR(SEARCH("Positive",L2240)))</formula>
    </cfRule>
    <cfRule type="containsText" dxfId="5996" priority="7452" operator="containsText" text="Negative">
      <formula>NOT(ISERROR(SEARCH("Negative",L2240)))</formula>
    </cfRule>
  </conditionalFormatting>
  <conditionalFormatting sqref="I2242">
    <cfRule type="containsText" dxfId="5995" priority="7416" operator="containsText" text="Missing">
      <formula>NOT(ISERROR(SEARCH("Missing",I2242)))</formula>
    </cfRule>
  </conditionalFormatting>
  <conditionalFormatting sqref="I2242">
    <cfRule type="containsText" dxfId="5994" priority="7417" operator="containsText" text="Missing">
      <formula>NOT(ISERROR(SEARCH("Missing",I2242)))</formula>
    </cfRule>
  </conditionalFormatting>
  <conditionalFormatting sqref="J2241:K2241">
    <cfRule type="containsText" dxfId="5993" priority="7442" operator="containsText" text="Missing">
      <formula>NOT(ISERROR(SEARCH("Missing",J2241)))</formula>
    </cfRule>
  </conditionalFormatting>
  <conditionalFormatting sqref="L2241">
    <cfRule type="containsText" dxfId="5992" priority="7440" operator="containsText" text="Positive">
      <formula>NOT(ISERROR(SEARCH("Positive",L2241)))</formula>
    </cfRule>
    <cfRule type="containsText" dxfId="5991" priority="7441" operator="containsText" text="Negative">
      <formula>NOT(ISERROR(SEARCH("Negative",L2241)))</formula>
    </cfRule>
  </conditionalFormatting>
  <conditionalFormatting sqref="J2241:K2241">
    <cfRule type="containsText" dxfId="5990" priority="7434" operator="containsText" text="Missing">
      <formula>NOT(ISERROR(SEARCH("Missing",J2241)))</formula>
    </cfRule>
  </conditionalFormatting>
  <conditionalFormatting sqref="J2241:K2241">
    <cfRule type="containsText" dxfId="5989" priority="7439" operator="containsText" text="Missing">
      <formula>NOT(ISERROR(SEARCH("Missing",J2241)))</formula>
    </cfRule>
  </conditionalFormatting>
  <conditionalFormatting sqref="L2241">
    <cfRule type="containsText" dxfId="5988" priority="7437" operator="containsText" text="Positive">
      <formula>NOT(ISERROR(SEARCH("Positive",L2241)))</formula>
    </cfRule>
    <cfRule type="containsText" dxfId="5987" priority="7438" operator="containsText" text="Negative">
      <formula>NOT(ISERROR(SEARCH("Negative",L2241)))</formula>
    </cfRule>
  </conditionalFormatting>
  <conditionalFormatting sqref="L2241">
    <cfRule type="containsText" dxfId="5986" priority="7435" operator="containsText" text="Positive">
      <formula>NOT(ISERROR(SEARCH("Positive",L2241)))</formula>
    </cfRule>
    <cfRule type="containsText" dxfId="5985" priority="7436" operator="containsText" text="Negative">
      <formula>NOT(ISERROR(SEARCH("Negative",L2241)))</formula>
    </cfRule>
  </conditionalFormatting>
  <conditionalFormatting sqref="L2241">
    <cfRule type="containsText" dxfId="5984" priority="7432" operator="containsText" text="Positive">
      <formula>NOT(ISERROR(SEARCH("Positive",L2241)))</formula>
    </cfRule>
    <cfRule type="containsText" dxfId="5983" priority="7433" operator="containsText" text="Negative">
      <formula>NOT(ISERROR(SEARCH("Negative",L2241)))</formula>
    </cfRule>
  </conditionalFormatting>
  <conditionalFormatting sqref="J2242:K2242">
    <cfRule type="containsText" dxfId="5982" priority="7431" operator="containsText" text="Missing">
      <formula>NOT(ISERROR(SEARCH("Missing",J2242)))</formula>
    </cfRule>
  </conditionalFormatting>
  <conditionalFormatting sqref="L2242">
    <cfRule type="containsText" dxfId="5981" priority="7429" operator="containsText" text="Positive">
      <formula>NOT(ISERROR(SEARCH("Positive",L2242)))</formula>
    </cfRule>
    <cfRule type="containsText" dxfId="5980" priority="7430" operator="containsText" text="Negative">
      <formula>NOT(ISERROR(SEARCH("Negative",L2242)))</formula>
    </cfRule>
  </conditionalFormatting>
  <conditionalFormatting sqref="J2242:K2242">
    <cfRule type="containsText" dxfId="5979" priority="7428" operator="containsText" text="Missing">
      <formula>NOT(ISERROR(SEARCH("Missing",J2242)))</formula>
    </cfRule>
  </conditionalFormatting>
  <conditionalFormatting sqref="L2242">
    <cfRule type="containsText" dxfId="5978" priority="7426" operator="containsText" text="Positive">
      <formula>NOT(ISERROR(SEARCH("Positive",L2242)))</formula>
    </cfRule>
    <cfRule type="containsText" dxfId="5977" priority="7427" operator="containsText" text="Negative">
      <formula>NOT(ISERROR(SEARCH("Negative",L2242)))</formula>
    </cfRule>
  </conditionalFormatting>
  <conditionalFormatting sqref="L2242">
    <cfRule type="containsText" dxfId="5976" priority="7424" operator="containsText" text="Positive">
      <formula>NOT(ISERROR(SEARCH("Positive",L2242)))</formula>
    </cfRule>
    <cfRule type="containsText" dxfId="5975" priority="7425" operator="containsText" text="Negative">
      <formula>NOT(ISERROR(SEARCH("Negative",L2242)))</formula>
    </cfRule>
  </conditionalFormatting>
  <conditionalFormatting sqref="L2242">
    <cfRule type="containsText" dxfId="5974" priority="7421" operator="containsText" text="Positive">
      <formula>NOT(ISERROR(SEARCH("Positive",L2242)))</formula>
    </cfRule>
    <cfRule type="containsText" dxfId="5973" priority="7422" operator="containsText" text="Negative">
      <formula>NOT(ISERROR(SEARCH("Negative",L2242)))</formula>
    </cfRule>
  </conditionalFormatting>
  <conditionalFormatting sqref="H2241:H2242">
    <cfRule type="containsText" dxfId="5972" priority="7418" operator="containsText" text="Missing">
      <formula>NOT(ISERROR(SEARCH("Missing",H2241)))</formula>
    </cfRule>
  </conditionalFormatting>
  <conditionalFormatting sqref="H2241:H2242">
    <cfRule type="containsText" dxfId="5971" priority="7420" operator="containsText" text="Missing">
      <formula>NOT(ISERROR(SEARCH("Missing",H2241)))</formula>
    </cfRule>
  </conditionalFormatting>
  <conditionalFormatting sqref="H2241:H2242">
    <cfRule type="containsText" dxfId="5970" priority="7419" operator="containsText" text="Missing">
      <formula>NOT(ISERROR(SEARCH("Missing",H2241)))</formula>
    </cfRule>
  </conditionalFormatting>
  <conditionalFormatting sqref="I2241">
    <cfRule type="containsText" dxfId="5969" priority="7414" operator="containsText" text="Missing">
      <formula>NOT(ISERROR(SEARCH("Missing",I2241)))</formula>
    </cfRule>
  </conditionalFormatting>
  <conditionalFormatting sqref="I2235">
    <cfRule type="containsText" dxfId="5968" priority="7413" operator="containsText" text="Missing">
      <formula>NOT(ISERROR(SEARCH("Missing",I2235)))</formula>
    </cfRule>
  </conditionalFormatting>
  <conditionalFormatting sqref="I2240">
    <cfRule type="containsText" dxfId="5967" priority="7411" operator="containsText" text="Missing">
      <formula>NOT(ISERROR(SEARCH("Missing",I2240)))</formula>
    </cfRule>
  </conditionalFormatting>
  <conditionalFormatting sqref="I2240">
    <cfRule type="containsText" dxfId="5966" priority="7412" operator="containsText" text="Missing">
      <formula>NOT(ISERROR(SEARCH("Missing",I2240)))</formula>
    </cfRule>
  </conditionalFormatting>
  <conditionalFormatting sqref="L2396:L2397 L2611:L2614 L2617 L2346:L2347">
    <cfRule type="containsText" dxfId="5965" priority="7049" operator="containsText" text="Positive">
      <formula>NOT(ISERROR(SEARCH("Positive",L2346)))</formula>
    </cfRule>
    <cfRule type="containsText" dxfId="5964" priority="7050" operator="containsText" text="Negative">
      <formula>NOT(ISERROR(SEARCH("Negative",L2346)))</formula>
    </cfRule>
  </conditionalFormatting>
  <conditionalFormatting sqref="L2620">
    <cfRule type="containsText" dxfId="5963" priority="6913" operator="containsText" text="Positive">
      <formula>NOT(ISERROR(SEARCH("Positive",L2620)))</formula>
    </cfRule>
    <cfRule type="containsText" dxfId="5962" priority="6914" operator="containsText" text="Negative">
      <formula>NOT(ISERROR(SEARCH("Negative",L2620)))</formula>
    </cfRule>
  </conditionalFormatting>
  <conditionalFormatting sqref="L2602:L2604 L2607:L2610">
    <cfRule type="containsText" dxfId="5961" priority="6963" operator="containsText" text="Positive">
      <formula>NOT(ISERROR(SEARCH("Positive",L2602)))</formula>
    </cfRule>
    <cfRule type="containsText" dxfId="5960" priority="6964" operator="containsText" text="Negative">
      <formula>NOT(ISERROR(SEARCH("Negative",L2602)))</formula>
    </cfRule>
  </conditionalFormatting>
  <conditionalFormatting sqref="L2498:L2499">
    <cfRule type="containsText" dxfId="5959" priority="6980" operator="containsText" text="Positive">
      <formula>NOT(ISERROR(SEARCH("Positive",L2498)))</formula>
    </cfRule>
    <cfRule type="containsText" dxfId="5958" priority="6981" operator="containsText" text="Negative">
      <formula>NOT(ISERROR(SEARCH("Negative",L2498)))</formula>
    </cfRule>
  </conditionalFormatting>
  <conditionalFormatting sqref="L2605:L2606">
    <cfRule type="containsText" dxfId="5957" priority="6948" operator="containsText" text="Positive">
      <formula>NOT(ISERROR(SEARCH("Positive",L2605)))</formula>
    </cfRule>
    <cfRule type="containsText" dxfId="5956" priority="6949" operator="containsText" text="Negative">
      <formula>NOT(ISERROR(SEARCH("Negative",L2605)))</formula>
    </cfRule>
  </conditionalFormatting>
  <conditionalFormatting sqref="L2605:L2606">
    <cfRule type="containsText" dxfId="5955" priority="6946" operator="containsText" text="Positive">
      <formula>NOT(ISERROR(SEARCH("Positive",L2605)))</formula>
    </cfRule>
    <cfRule type="containsText" dxfId="5954" priority="6947" operator="containsText" text="Negative">
      <formula>NOT(ISERROR(SEARCH("Negative",L2605)))</formula>
    </cfRule>
  </conditionalFormatting>
  <conditionalFormatting sqref="L2605:L2606">
    <cfRule type="containsText" dxfId="5953" priority="6944" operator="containsText" text="Positive">
      <formula>NOT(ISERROR(SEARCH("Positive",L2605)))</formula>
    </cfRule>
    <cfRule type="containsText" dxfId="5952" priority="6945" operator="containsText" text="Negative">
      <formula>NOT(ISERROR(SEARCH("Negative",L2605)))</formula>
    </cfRule>
  </conditionalFormatting>
  <conditionalFormatting sqref="L2615:L2616">
    <cfRule type="containsText" dxfId="5951" priority="6908" operator="containsText" text="Positive">
      <formula>NOT(ISERROR(SEARCH("Positive",L2615)))</formula>
    </cfRule>
    <cfRule type="containsText" dxfId="5950" priority="6909" operator="containsText" text="Negative">
      <formula>NOT(ISERROR(SEARCH("Negative",L2615)))</formula>
    </cfRule>
  </conditionalFormatting>
  <conditionalFormatting sqref="L2498:L2499">
    <cfRule type="containsText" dxfId="5949" priority="6978" operator="containsText" text="Positive">
      <formula>NOT(ISERROR(SEARCH("Positive",L2498)))</formula>
    </cfRule>
    <cfRule type="containsText" dxfId="5948" priority="6979" operator="containsText" text="Negative">
      <formula>NOT(ISERROR(SEARCH("Negative",L2498)))</formula>
    </cfRule>
  </conditionalFormatting>
  <conditionalFormatting sqref="L2602:L2604 L2607:L2610">
    <cfRule type="containsText" dxfId="5947" priority="6966" operator="containsText" text="Positive">
      <formula>NOT(ISERROR(SEARCH("Positive",L2602)))</formula>
    </cfRule>
    <cfRule type="containsText" dxfId="5946" priority="6967" operator="containsText" text="Negative">
      <formula>NOT(ISERROR(SEARCH("Negative",L2602)))</formula>
    </cfRule>
  </conditionalFormatting>
  <conditionalFormatting sqref="L2396:L2397 L2611:L2614 L2617 L2346:L2347">
    <cfRule type="containsText" dxfId="5945" priority="7054" operator="containsText" text="Positive">
      <formula>NOT(ISERROR(SEARCH("Positive",L2346)))</formula>
    </cfRule>
    <cfRule type="containsText" dxfId="5944" priority="7055" operator="containsText" text="Negative">
      <formula>NOT(ISERROR(SEARCH("Negative",L2346)))</formula>
    </cfRule>
  </conditionalFormatting>
  <conditionalFormatting sqref="L2396:L2397 L2611:L2614 L2617 L2346:L2347">
    <cfRule type="containsText" dxfId="5943" priority="7052" operator="containsText" text="Positive">
      <formula>NOT(ISERROR(SEARCH("Positive",L2346)))</formula>
    </cfRule>
    <cfRule type="containsText" dxfId="5942" priority="7053" operator="containsText" text="Negative">
      <formula>NOT(ISERROR(SEARCH("Negative",L2346)))</formula>
    </cfRule>
  </conditionalFormatting>
  <conditionalFormatting sqref="L2398 L2500:L2502 L2447:L2448 L2601">
    <cfRule type="containsText" dxfId="5941" priority="6997" operator="containsText" text="Positive">
      <formula>NOT(ISERROR(SEARCH("Positive",L2398)))</formula>
    </cfRule>
    <cfRule type="containsText" dxfId="5940" priority="6998" operator="containsText" text="Negative">
      <formula>NOT(ISERROR(SEARCH("Negative",L2398)))</formula>
    </cfRule>
  </conditionalFormatting>
  <conditionalFormatting sqref="L2618">
    <cfRule type="containsText" dxfId="5939" priority="6935" operator="containsText" text="Positive">
      <formula>NOT(ISERROR(SEARCH("Positive",L2618)))</formula>
    </cfRule>
    <cfRule type="containsText" dxfId="5938" priority="6936" operator="containsText" text="Negative">
      <formula>NOT(ISERROR(SEARCH("Negative",L2618)))</formula>
    </cfRule>
  </conditionalFormatting>
  <conditionalFormatting sqref="L2628">
    <cfRule type="containsText" dxfId="5937" priority="6825" operator="containsText" text="Positive">
      <formula>NOT(ISERROR(SEARCH("Positive",L2628)))</formula>
    </cfRule>
    <cfRule type="containsText" dxfId="5936" priority="6826" operator="containsText" text="Negative">
      <formula>NOT(ISERROR(SEARCH("Negative",L2628)))</formula>
    </cfRule>
  </conditionalFormatting>
  <conditionalFormatting sqref="L2625">
    <cfRule type="containsText" dxfId="5935" priority="6849" operator="containsText" text="Positive">
      <formula>NOT(ISERROR(SEARCH("Positive",L2625)))</formula>
    </cfRule>
    <cfRule type="containsText" dxfId="5934" priority="6850" operator="containsText" text="Negative">
      <formula>NOT(ISERROR(SEARCH("Negative",L2625)))</formula>
    </cfRule>
  </conditionalFormatting>
  <conditionalFormatting sqref="L2625">
    <cfRule type="containsText" dxfId="5933" priority="6847" operator="containsText" text="Positive">
      <formula>NOT(ISERROR(SEARCH("Positive",L2625)))</formula>
    </cfRule>
    <cfRule type="containsText" dxfId="5932" priority="6848" operator="containsText" text="Negative">
      <formula>NOT(ISERROR(SEARCH("Negative",L2625)))</formula>
    </cfRule>
  </conditionalFormatting>
  <conditionalFormatting sqref="L2618">
    <cfRule type="containsText" dxfId="5931" priority="6931" operator="containsText" text="Positive">
      <formula>NOT(ISERROR(SEARCH("Positive",L2618)))</formula>
    </cfRule>
    <cfRule type="containsText" dxfId="5930" priority="6932" operator="containsText" text="Negative">
      <formula>NOT(ISERROR(SEARCH("Negative",L2618)))</formula>
    </cfRule>
  </conditionalFormatting>
  <conditionalFormatting sqref="L2626">
    <cfRule type="containsText" dxfId="5929" priority="6832" operator="containsText" text="Positive">
      <formula>NOT(ISERROR(SEARCH("Positive",L2626)))</formula>
    </cfRule>
    <cfRule type="containsText" dxfId="5928" priority="6833" operator="containsText" text="Negative">
      <formula>NOT(ISERROR(SEARCH("Negative",L2626)))</formula>
    </cfRule>
  </conditionalFormatting>
  <conditionalFormatting sqref="L2602:L2604 L2607:L2610">
    <cfRule type="containsText" dxfId="5927" priority="6968" operator="containsText" text="Positive">
      <formula>NOT(ISERROR(SEARCH("Positive",L2602)))</formula>
    </cfRule>
    <cfRule type="containsText" dxfId="5926" priority="6969" operator="containsText" text="Negative">
      <formula>NOT(ISERROR(SEARCH("Negative",L2602)))</formula>
    </cfRule>
  </conditionalFormatting>
  <conditionalFormatting sqref="L2621">
    <cfRule type="containsText" dxfId="5925" priority="6878" operator="containsText" text="Positive">
      <formula>NOT(ISERROR(SEARCH("Positive",L2621)))</formula>
    </cfRule>
    <cfRule type="containsText" dxfId="5924" priority="6879" operator="containsText" text="Negative">
      <formula>NOT(ISERROR(SEARCH("Negative",L2621)))</formula>
    </cfRule>
  </conditionalFormatting>
  <conditionalFormatting sqref="I2612">
    <cfRule type="containsText" dxfId="5923" priority="7029" operator="containsText" text="Missing">
      <formula>NOT(ISERROR(SEARCH("Missing",I2612)))</formula>
    </cfRule>
  </conditionalFormatting>
  <conditionalFormatting sqref="J2615">
    <cfRule type="containsText" dxfId="5922" priority="6902" operator="containsText" text="Missing">
      <formula>NOT(ISERROR(SEARCH("Missing",J2615)))</formula>
    </cfRule>
  </conditionalFormatting>
  <conditionalFormatting sqref="J2611">
    <cfRule type="containsText" dxfId="5921" priority="7035" operator="containsText" text="Missing">
      <formula>NOT(ISERROR(SEARCH("Missing",J2611)))</formula>
    </cfRule>
  </conditionalFormatting>
  <conditionalFormatting sqref="J2611">
    <cfRule type="containsText" dxfId="5920" priority="7034" operator="containsText" text="Missing">
      <formula>NOT(ISERROR(SEARCH("Missing",J2611)))</formula>
    </cfRule>
  </conditionalFormatting>
  <conditionalFormatting sqref="H2396:H2397 H2346:H2347">
    <cfRule type="containsText" dxfId="5919" priority="7056" operator="containsText" text="Missing">
      <formula>NOT(ISERROR(SEARCH("Missing",H2346)))</formula>
    </cfRule>
  </conditionalFormatting>
  <conditionalFormatting sqref="H2396:H2397 H2346:H2347">
    <cfRule type="containsText" dxfId="5918" priority="7048" operator="containsText" text="Missing">
      <formula>NOT(ISERROR(SEARCH("Missing",H2346)))</formula>
    </cfRule>
  </conditionalFormatting>
  <conditionalFormatting sqref="J2346">
    <cfRule type="containsText" dxfId="5917" priority="7046" operator="containsText" text="Missing">
      <formula>NOT(ISERROR(SEARCH("Missing",J2346)))</formula>
    </cfRule>
  </conditionalFormatting>
  <conditionalFormatting sqref="L2625">
    <cfRule type="containsText" dxfId="5916" priority="6851" operator="containsText" text="Positive">
      <formula>NOT(ISERROR(SEARCH("Positive",L2625)))</formula>
    </cfRule>
    <cfRule type="containsText" dxfId="5915" priority="6852" operator="containsText" text="Negative">
      <formula>NOT(ISERROR(SEARCH("Negative",L2625)))</formula>
    </cfRule>
  </conditionalFormatting>
  <conditionalFormatting sqref="J2346">
    <cfRule type="containsText" dxfId="5914" priority="7045" operator="containsText" text="Missing">
      <formula>NOT(ISERROR(SEARCH("Missing",J2346)))</formula>
    </cfRule>
  </conditionalFormatting>
  <conditionalFormatting sqref="J2613">
    <cfRule type="containsText" dxfId="5913" priority="7028" operator="containsText" text="Missing">
      <formula>NOT(ISERROR(SEARCH("Missing",J2613)))</formula>
    </cfRule>
  </conditionalFormatting>
  <conditionalFormatting sqref="J2347">
    <cfRule type="containsText" dxfId="5912" priority="7044" operator="containsText" text="Missing">
      <formula>NOT(ISERROR(SEARCH("Missing",J2347)))</formula>
    </cfRule>
  </conditionalFormatting>
  <conditionalFormatting sqref="J2347">
    <cfRule type="containsText" dxfId="5911" priority="7043" operator="containsText" text="Missing">
      <formula>NOT(ISERROR(SEARCH("Missing",J2347)))</formula>
    </cfRule>
  </conditionalFormatting>
  <conditionalFormatting sqref="L2398 L2500:L2502 L2447:L2448 L2601">
    <cfRule type="containsText" dxfId="5910" priority="7002" operator="containsText" text="Positive">
      <formula>NOT(ISERROR(SEARCH("Positive",L2398)))</formula>
    </cfRule>
    <cfRule type="containsText" dxfId="5909" priority="7003" operator="containsText" text="Negative">
      <formula>NOT(ISERROR(SEARCH("Negative",L2398)))</formula>
    </cfRule>
  </conditionalFormatting>
  <conditionalFormatting sqref="J2613">
    <cfRule type="containsText" dxfId="5908" priority="7026" operator="containsText" text="Missing">
      <formula>NOT(ISERROR(SEARCH("Missing",J2613)))</formula>
    </cfRule>
  </conditionalFormatting>
  <conditionalFormatting sqref="J2619:K2619">
    <cfRule type="containsText" dxfId="5907" priority="6919" operator="containsText" text="Missing">
      <formula>NOT(ISERROR(SEARCH("Missing",J2619)))</formula>
    </cfRule>
  </conditionalFormatting>
  <conditionalFormatting sqref="J2614:K2614 K2396:K2397 K2611:K2613 K2346:K2347">
    <cfRule type="containsText" dxfId="5906" priority="7024" operator="containsText" text="Missing">
      <formula>NOT(ISERROR(SEARCH("Missing",J2346)))</formula>
    </cfRule>
  </conditionalFormatting>
  <conditionalFormatting sqref="L2632">
    <cfRule type="containsText" dxfId="5905" priority="6804" operator="containsText" text="Positive">
      <formula>NOT(ISERROR(SEARCH("Positive",L2632)))</formula>
    </cfRule>
    <cfRule type="containsText" dxfId="5904" priority="6805" operator="containsText" text="Negative">
      <formula>NOT(ISERROR(SEARCH("Negative",L2632)))</formula>
    </cfRule>
  </conditionalFormatting>
  <conditionalFormatting sqref="L2624">
    <cfRule type="containsText" dxfId="5903" priority="6862" operator="containsText" text="Positive">
      <formula>NOT(ISERROR(SEARCH("Positive",L2624)))</formula>
    </cfRule>
    <cfRule type="containsText" dxfId="5902" priority="6863" operator="containsText" text="Negative">
      <formula>NOT(ISERROR(SEARCH("Negative",L2624)))</formula>
    </cfRule>
  </conditionalFormatting>
  <conditionalFormatting sqref="J2615">
    <cfRule type="containsText" dxfId="5901" priority="6903" operator="containsText" text="Missing">
      <formula>NOT(ISERROR(SEARCH("Missing",J2615)))</formula>
    </cfRule>
  </conditionalFormatting>
  <conditionalFormatting sqref="J2612">
    <cfRule type="containsText" dxfId="5900" priority="7030" operator="containsText" text="Missing">
      <formula>NOT(ISERROR(SEARCH("Missing",J2612)))</formula>
    </cfRule>
  </conditionalFormatting>
  <conditionalFormatting sqref="J2396">
    <cfRule type="containsText" dxfId="5899" priority="7039" operator="containsText" text="Missing">
      <formula>NOT(ISERROR(SEARCH("Missing",J2396)))</formula>
    </cfRule>
  </conditionalFormatting>
  <conditionalFormatting sqref="J2397">
    <cfRule type="containsText" dxfId="5898" priority="7038" operator="containsText" text="Missing">
      <formula>NOT(ISERROR(SEARCH("Missing",J2397)))</formula>
    </cfRule>
  </conditionalFormatting>
  <conditionalFormatting sqref="L2619">
    <cfRule type="containsText" dxfId="5897" priority="6922" operator="containsText" text="Positive">
      <formula>NOT(ISERROR(SEARCH("Positive",L2619)))</formula>
    </cfRule>
    <cfRule type="containsText" dxfId="5896" priority="6923" operator="containsText" text="Negative">
      <formula>NOT(ISERROR(SEARCH("Negative",L2619)))</formula>
    </cfRule>
  </conditionalFormatting>
  <conditionalFormatting sqref="J2397">
    <cfRule type="containsText" dxfId="5895" priority="7036" operator="containsText" text="Missing">
      <formula>NOT(ISERROR(SEARCH("Missing",J2397)))</formula>
    </cfRule>
  </conditionalFormatting>
  <conditionalFormatting sqref="J2397">
    <cfRule type="containsText" dxfId="5894" priority="7037" operator="containsText" text="Missing">
      <formula>NOT(ISERROR(SEARCH("Missing",J2397)))</formula>
    </cfRule>
  </conditionalFormatting>
  <conditionalFormatting sqref="L2621">
    <cfRule type="containsText" dxfId="5893" priority="6876" operator="containsText" text="Positive">
      <formula>NOT(ISERROR(SEARCH("Positive",L2621)))</formula>
    </cfRule>
    <cfRule type="containsText" dxfId="5892" priority="6877" operator="containsText" text="Negative">
      <formula>NOT(ISERROR(SEARCH("Negative",L2621)))</formula>
    </cfRule>
  </conditionalFormatting>
  <conditionalFormatting sqref="L2622">
    <cfRule type="containsText" dxfId="5891" priority="6871" operator="containsText" text="Positive">
      <formula>NOT(ISERROR(SEARCH("Positive",L2622)))</formula>
    </cfRule>
    <cfRule type="containsText" dxfId="5890" priority="6872" operator="containsText" text="Negative">
      <formula>NOT(ISERROR(SEARCH("Negative",L2622)))</formula>
    </cfRule>
  </conditionalFormatting>
  <conditionalFormatting sqref="J2611">
    <cfRule type="containsText" dxfId="5889" priority="7033" operator="containsText" text="Missing">
      <formula>NOT(ISERROR(SEARCH("Missing",J2611)))</formula>
    </cfRule>
  </conditionalFormatting>
  <conditionalFormatting sqref="L2628">
    <cfRule type="containsText" dxfId="5888" priority="6823" operator="containsText" text="Positive">
      <formula>NOT(ISERROR(SEARCH("Positive",L2628)))</formula>
    </cfRule>
    <cfRule type="containsText" dxfId="5887" priority="6824" operator="containsText" text="Negative">
      <formula>NOT(ISERROR(SEARCH("Negative",L2628)))</formula>
    </cfRule>
  </conditionalFormatting>
  <conditionalFormatting sqref="L2620">
    <cfRule type="containsText" dxfId="5886" priority="6915" operator="containsText" text="Positive">
      <formula>NOT(ISERROR(SEARCH("Positive",L2620)))</formula>
    </cfRule>
    <cfRule type="containsText" dxfId="5885" priority="6916" operator="containsText" text="Negative">
      <formula>NOT(ISERROR(SEARCH("Negative",L2620)))</formula>
    </cfRule>
  </conditionalFormatting>
  <conditionalFormatting sqref="L2633">
    <cfRule type="containsText" dxfId="5884" priority="6790" operator="containsText" text="Positive">
      <formula>NOT(ISERROR(SEARCH("Positive",L2633)))</formula>
    </cfRule>
    <cfRule type="containsText" dxfId="5883" priority="6791" operator="containsText" text="Negative">
      <formula>NOT(ISERROR(SEARCH("Negative",L2633)))</formula>
    </cfRule>
  </conditionalFormatting>
  <conditionalFormatting sqref="L2621">
    <cfRule type="containsText" dxfId="5882" priority="6880" operator="containsText" text="Positive">
      <formula>NOT(ISERROR(SEARCH("Positive",L2621)))</formula>
    </cfRule>
    <cfRule type="containsText" dxfId="5881" priority="6881" operator="containsText" text="Negative">
      <formula>NOT(ISERROR(SEARCH("Negative",L2621)))</formula>
    </cfRule>
  </conditionalFormatting>
  <conditionalFormatting sqref="I2612:J2612">
    <cfRule type="containsText" dxfId="5880" priority="7032" operator="containsText" text="Missing">
      <formula>NOT(ISERROR(SEARCH("Missing",I2612)))</formula>
    </cfRule>
  </conditionalFormatting>
  <conditionalFormatting sqref="J2612">
    <cfRule type="containsText" dxfId="5879" priority="7031" operator="containsText" text="Missing">
      <formula>NOT(ISERROR(SEARCH("Missing",J2612)))</formula>
    </cfRule>
  </conditionalFormatting>
  <conditionalFormatting sqref="L2615:L2616">
    <cfRule type="containsText" dxfId="5878" priority="6904" operator="containsText" text="Positive">
      <formula>NOT(ISERROR(SEARCH("Positive",L2615)))</formula>
    </cfRule>
    <cfRule type="containsText" dxfId="5877" priority="6905" operator="containsText" text="Negative">
      <formula>NOT(ISERROR(SEARCH("Negative",L2615)))</formula>
    </cfRule>
  </conditionalFormatting>
  <conditionalFormatting sqref="L2628">
    <cfRule type="containsText" dxfId="5876" priority="6821" operator="containsText" text="Positive">
      <formula>NOT(ISERROR(SEARCH("Positive",L2628)))</formula>
    </cfRule>
    <cfRule type="containsText" dxfId="5875" priority="6822" operator="containsText" text="Negative">
      <formula>NOT(ISERROR(SEARCH("Negative",L2628)))</formula>
    </cfRule>
  </conditionalFormatting>
  <conditionalFormatting sqref="L2624">
    <cfRule type="containsText" dxfId="5874" priority="6860" operator="containsText" text="Positive">
      <formula>NOT(ISERROR(SEARCH("Positive",L2624)))</formula>
    </cfRule>
    <cfRule type="containsText" dxfId="5873" priority="6861" operator="containsText" text="Negative">
      <formula>NOT(ISERROR(SEARCH("Negative",L2624)))</formula>
    </cfRule>
  </conditionalFormatting>
  <conditionalFormatting sqref="J2610">
    <cfRule type="containsText" dxfId="5872" priority="6955" operator="containsText" text="Missing">
      <formula>NOT(ISERROR(SEARCH("Missing",J2610)))</formula>
    </cfRule>
  </conditionalFormatting>
  <conditionalFormatting sqref="J2613">
    <cfRule type="containsText" dxfId="5871" priority="7027" operator="containsText" text="Missing">
      <formula>NOT(ISERROR(SEARCH("Missing",J2613)))</formula>
    </cfRule>
  </conditionalFormatting>
  <conditionalFormatting sqref="J2617:K2617">
    <cfRule type="containsText" dxfId="5870" priority="7020" operator="containsText" text="Missing">
      <formula>NOT(ISERROR(SEARCH("Missing",J2617)))</formula>
    </cfRule>
  </conditionalFormatting>
  <conditionalFormatting sqref="L2618">
    <cfRule type="containsText" dxfId="5869" priority="6933" operator="containsText" text="Positive">
      <formula>NOT(ISERROR(SEARCH("Positive",L2618)))</formula>
    </cfRule>
    <cfRule type="containsText" dxfId="5868" priority="6934" operator="containsText" text="Negative">
      <formula>NOT(ISERROR(SEARCH("Negative",L2618)))</formula>
    </cfRule>
  </conditionalFormatting>
  <conditionalFormatting sqref="L2623">
    <cfRule type="containsText" dxfId="5867" priority="6783" operator="containsText" text="Positive">
      <formula>NOT(ISERROR(SEARCH("Positive",L2623)))</formula>
    </cfRule>
    <cfRule type="containsText" dxfId="5866" priority="6784" operator="containsText" text="Negative">
      <formula>NOT(ISERROR(SEARCH("Negative",L2623)))</formula>
    </cfRule>
  </conditionalFormatting>
  <conditionalFormatting sqref="J2614:K2614 K2396:K2397 K2611:K2613 K2346:K2347">
    <cfRule type="containsText" dxfId="5865" priority="7025" operator="containsText" text="Missing">
      <formula>NOT(ISERROR(SEARCH("Missing",J2346)))</formula>
    </cfRule>
  </conditionalFormatting>
  <conditionalFormatting sqref="L2624">
    <cfRule type="containsText" dxfId="5864" priority="6858" operator="containsText" text="Positive">
      <formula>NOT(ISERROR(SEARCH("Positive",L2624)))</formula>
    </cfRule>
    <cfRule type="containsText" dxfId="5863" priority="6859" operator="containsText" text="Negative">
      <formula>NOT(ISERROR(SEARCH("Negative",L2624)))</formula>
    </cfRule>
  </conditionalFormatting>
  <conditionalFormatting sqref="J2614:K2614 K2396:K2397 K2611:K2613 K2346:K2347">
    <cfRule type="containsText" dxfId="5862" priority="7023" operator="containsText" text="Missing">
      <formula>NOT(ISERROR(SEARCH("Missing",J2346)))</formula>
    </cfRule>
  </conditionalFormatting>
  <conditionalFormatting sqref="L2626">
    <cfRule type="containsText" dxfId="5861" priority="6836" operator="containsText" text="Positive">
      <formula>NOT(ISERROR(SEARCH("Positive",L2626)))</formula>
    </cfRule>
    <cfRule type="containsText" dxfId="5860" priority="6837" operator="containsText" text="Negative">
      <formula>NOT(ISERROR(SEARCH("Negative",L2626)))</formula>
    </cfRule>
  </conditionalFormatting>
  <conditionalFormatting sqref="L2619">
    <cfRule type="containsText" dxfId="5859" priority="6924" operator="containsText" text="Positive">
      <formula>NOT(ISERROR(SEARCH("Positive",L2619)))</formula>
    </cfRule>
    <cfRule type="containsText" dxfId="5858" priority="6925" operator="containsText" text="Negative">
      <formula>NOT(ISERROR(SEARCH("Negative",L2619)))</formula>
    </cfRule>
  </conditionalFormatting>
  <conditionalFormatting sqref="J2617:K2617">
    <cfRule type="containsText" dxfId="5857" priority="7022" operator="containsText" text="Missing">
      <formula>NOT(ISERROR(SEARCH("Missing",J2617)))</formula>
    </cfRule>
  </conditionalFormatting>
  <conditionalFormatting sqref="J2617:K2617">
    <cfRule type="containsText" dxfId="5856" priority="7021" operator="containsText" text="Missing">
      <formula>NOT(ISERROR(SEARCH("Missing",J2617)))</formula>
    </cfRule>
  </conditionalFormatting>
  <conditionalFormatting sqref="L2629">
    <cfRule type="containsText" dxfId="5855" priority="6814" operator="containsText" text="Positive">
      <formula>NOT(ISERROR(SEARCH("Positive",L2629)))</formula>
    </cfRule>
    <cfRule type="containsText" dxfId="5854" priority="6815" operator="containsText" text="Negative">
      <formula>NOT(ISERROR(SEARCH("Negative",L2629)))</formula>
    </cfRule>
  </conditionalFormatting>
  <conditionalFormatting sqref="L2633">
    <cfRule type="containsText" dxfId="5853" priority="6792" operator="containsText" text="Positive">
      <formula>NOT(ISERROR(SEARCH("Positive",L2633)))</formula>
    </cfRule>
    <cfRule type="containsText" dxfId="5852" priority="6793" operator="containsText" text="Negative">
      <formula>NOT(ISERROR(SEARCH("Negative",L2633)))</formula>
    </cfRule>
  </conditionalFormatting>
  <conditionalFormatting sqref="J2610">
    <cfRule type="containsText" dxfId="5851" priority="6954" operator="containsText" text="Missing">
      <formula>NOT(ISERROR(SEARCH("Missing",J2610)))</formula>
    </cfRule>
  </conditionalFormatting>
  <conditionalFormatting sqref="J2601">
    <cfRule type="containsText" dxfId="5850" priority="6989" operator="containsText" text="Missing">
      <formula>NOT(ISERROR(SEARCH("Missing",J2601)))</formula>
    </cfRule>
  </conditionalFormatting>
  <conditionalFormatting sqref="J2398">
    <cfRule type="containsText" dxfId="5849" priority="7004" operator="containsText" text="Missing">
      <formula>NOT(ISERROR(SEARCH("Missing",J2398)))</formula>
    </cfRule>
  </conditionalFormatting>
  <conditionalFormatting sqref="K2602:K2604 K2607:K2610">
    <cfRule type="containsText" dxfId="5848" priority="6951" operator="containsText" text="Missing">
      <formula>NOT(ISERROR(SEARCH("Missing",K2602)))</formula>
    </cfRule>
  </conditionalFormatting>
  <conditionalFormatting sqref="J2603">
    <cfRule type="containsText" dxfId="5847" priority="6962" operator="containsText" text="Missing">
      <formula>NOT(ISERROR(SEARCH("Missing",J2603)))</formula>
    </cfRule>
  </conditionalFormatting>
  <conditionalFormatting sqref="L2632">
    <cfRule type="containsText" dxfId="5846" priority="6802" operator="containsText" text="Positive">
      <formula>NOT(ISERROR(SEARCH("Positive",L2632)))</formula>
    </cfRule>
    <cfRule type="containsText" dxfId="5845" priority="6803" operator="containsText" text="Negative">
      <formula>NOT(ISERROR(SEARCH("Negative",L2632)))</formula>
    </cfRule>
  </conditionalFormatting>
  <conditionalFormatting sqref="J2607">
    <cfRule type="containsText" dxfId="5844" priority="6958" operator="containsText" text="Missing">
      <formula>NOT(ISERROR(SEARCH("Missing",J2607)))</formula>
    </cfRule>
  </conditionalFormatting>
  <conditionalFormatting sqref="J2607">
    <cfRule type="containsText" dxfId="5843" priority="6957" operator="containsText" text="Missing">
      <formula>NOT(ISERROR(SEARCH("Missing",J2607)))</formula>
    </cfRule>
  </conditionalFormatting>
  <conditionalFormatting sqref="J2608:J2609">
    <cfRule type="containsText" dxfId="5842" priority="6956" operator="containsText" text="Missing">
      <formula>NOT(ISERROR(SEARCH("Missing",J2608)))</formula>
    </cfRule>
  </conditionalFormatting>
  <conditionalFormatting sqref="J2610">
    <cfRule type="containsText" dxfId="5841" priority="6953" operator="containsText" text="Missing">
      <formula>NOT(ISERROR(SEARCH("Missing",J2610)))</formula>
    </cfRule>
  </conditionalFormatting>
  <conditionalFormatting sqref="J2448">
    <cfRule type="containsText" dxfId="5840" priority="6994" operator="containsText" text="Missing">
      <formula>NOT(ISERROR(SEARCH("Missing",J2448)))</formula>
    </cfRule>
  </conditionalFormatting>
  <conditionalFormatting sqref="K2602:K2604 K2607:K2610">
    <cfRule type="containsText" dxfId="5839" priority="6952" operator="containsText" text="Missing">
      <formula>NOT(ISERROR(SEARCH("Missing",K2602)))</formula>
    </cfRule>
  </conditionalFormatting>
  <conditionalFormatting sqref="H2499">
    <cfRule type="containsText" dxfId="5838" priority="6888" operator="containsText" text="Missing">
      <formula>NOT(ISERROR(SEARCH("Missing",H2499)))</formula>
    </cfRule>
  </conditionalFormatting>
  <conditionalFormatting sqref="J2448">
    <cfRule type="containsText" dxfId="5837" priority="6993" operator="containsText" text="Missing">
      <formula>NOT(ISERROR(SEARCH("Missing",J2448)))</formula>
    </cfRule>
  </conditionalFormatting>
  <conditionalFormatting sqref="K2602:K2604 K2607:K2610">
    <cfRule type="containsText" dxfId="5836" priority="6950" operator="containsText" text="Missing">
      <formula>NOT(ISERROR(SEARCH("Missing",K2602)))</formula>
    </cfRule>
  </conditionalFormatting>
  <conditionalFormatting sqref="L2398 L2500:L2502 L2447:L2448 L2601">
    <cfRule type="containsText" dxfId="5835" priority="7000" operator="containsText" text="Positive">
      <formula>NOT(ISERROR(SEARCH("Positive",L2398)))</formula>
    </cfRule>
    <cfRule type="containsText" dxfId="5834" priority="7001" operator="containsText" text="Negative">
      <formula>NOT(ISERROR(SEARCH("Negative",L2398)))</formula>
    </cfRule>
  </conditionalFormatting>
  <conditionalFormatting sqref="J2398">
    <cfRule type="containsText" dxfId="5833" priority="6999" operator="containsText" text="Missing">
      <formula>NOT(ISERROR(SEARCH("Missing",J2398)))</formula>
    </cfRule>
  </conditionalFormatting>
  <conditionalFormatting sqref="K2398 K2500:K2502 K2447:K2448 K2601">
    <cfRule type="containsText" dxfId="5832" priority="6984" operator="containsText" text="Missing">
      <formula>NOT(ISERROR(SEARCH("Missing",K2398)))</formula>
    </cfRule>
  </conditionalFormatting>
  <conditionalFormatting sqref="H2398 H2500:H2502 H2601">
    <cfRule type="containsText" dxfId="5831" priority="6893" operator="containsText" text="Missing">
      <formula>NOT(ISERROR(SEARCH("Missing",H2398)))</formula>
    </cfRule>
  </conditionalFormatting>
  <conditionalFormatting sqref="J2447">
    <cfRule type="containsText" dxfId="5830" priority="6996" operator="containsText" text="Missing">
      <formula>NOT(ISERROR(SEARCH("Missing",J2447)))</formula>
    </cfRule>
  </conditionalFormatting>
  <conditionalFormatting sqref="J2447">
    <cfRule type="containsText" dxfId="5829" priority="6995" operator="containsText" text="Missing">
      <formula>NOT(ISERROR(SEARCH("Missing",J2447)))</formula>
    </cfRule>
  </conditionalFormatting>
  <conditionalFormatting sqref="H2498">
    <cfRule type="containsText" dxfId="5828" priority="6890" operator="containsText" text="Missing">
      <formula>NOT(ISERROR(SEARCH("Missing",H2498)))</formula>
    </cfRule>
  </conditionalFormatting>
  <conditionalFormatting sqref="J2500">
    <cfRule type="containsText" dxfId="5827" priority="6992" operator="containsText" text="Missing">
      <formula>NOT(ISERROR(SEARCH("Missing",J2500)))</formula>
    </cfRule>
  </conditionalFormatting>
  <conditionalFormatting sqref="J2604">
    <cfRule type="containsText" dxfId="5826" priority="6959" operator="containsText" text="Missing">
      <formula>NOT(ISERROR(SEARCH("Missing",J2604)))</formula>
    </cfRule>
  </conditionalFormatting>
  <conditionalFormatting sqref="J2500">
    <cfRule type="containsText" dxfId="5825" priority="6991" operator="containsText" text="Missing">
      <formula>NOT(ISERROR(SEARCH("Missing",J2500)))</formula>
    </cfRule>
  </conditionalFormatting>
  <conditionalFormatting sqref="J2501:J2502">
    <cfRule type="containsText" dxfId="5824" priority="6990" operator="containsText" text="Missing">
      <formula>NOT(ISERROR(SEARCH("Missing",J2501)))</formula>
    </cfRule>
  </conditionalFormatting>
  <conditionalFormatting sqref="H2632">
    <cfRule type="containsText" dxfId="5823" priority="6806" operator="containsText" text="Missing">
      <formula>NOT(ISERROR(SEARCH("Missing",H2632)))</formula>
    </cfRule>
  </conditionalFormatting>
  <conditionalFormatting sqref="J2601">
    <cfRule type="containsText" dxfId="5822" priority="6987" operator="containsText" text="Missing">
      <formula>NOT(ISERROR(SEARCH("Missing",J2601)))</formula>
    </cfRule>
  </conditionalFormatting>
  <conditionalFormatting sqref="J2601">
    <cfRule type="containsText" dxfId="5821" priority="6988" operator="containsText" text="Missing">
      <formula>NOT(ISERROR(SEARCH("Missing",J2601)))</formula>
    </cfRule>
  </conditionalFormatting>
  <conditionalFormatting sqref="K2398 K2500:K2502 K2447:K2448 K2601">
    <cfRule type="containsText" dxfId="5820" priority="6986" operator="containsText" text="Missing">
      <formula>NOT(ISERROR(SEARCH("Missing",K2398)))</formula>
    </cfRule>
  </conditionalFormatting>
  <conditionalFormatting sqref="H2602 H2607:H2610">
    <cfRule type="containsText" dxfId="5819" priority="6886" operator="containsText" text="Missing">
      <formula>NOT(ISERROR(SEARCH("Missing",H2602)))</formula>
    </cfRule>
  </conditionalFormatting>
  <conditionalFormatting sqref="K2398 K2500:K2502 K2447:K2448 K2601">
    <cfRule type="containsText" dxfId="5818" priority="6985" operator="containsText" text="Missing">
      <formula>NOT(ISERROR(SEARCH("Missing",K2398)))</formula>
    </cfRule>
  </conditionalFormatting>
  <conditionalFormatting sqref="L2619">
    <cfRule type="containsText" dxfId="5817" priority="6926" operator="containsText" text="Positive">
      <formula>NOT(ISERROR(SEARCH("Positive",L2619)))</formula>
    </cfRule>
    <cfRule type="containsText" dxfId="5816" priority="6927" operator="containsText" text="Negative">
      <formula>NOT(ISERROR(SEARCH("Negative",L2619)))</formula>
    </cfRule>
  </conditionalFormatting>
  <conditionalFormatting sqref="J2618:K2618">
    <cfRule type="containsText" dxfId="5815" priority="6929" operator="containsText" text="Missing">
      <formula>NOT(ISERROR(SEARCH("Missing",J2618)))</formula>
    </cfRule>
  </conditionalFormatting>
  <conditionalFormatting sqref="L2498:L2499">
    <cfRule type="containsText" dxfId="5814" priority="6982" operator="containsText" text="Positive">
      <formula>NOT(ISERROR(SEARCH("Positive",L2498)))</formula>
    </cfRule>
    <cfRule type="containsText" dxfId="5813" priority="6983" operator="containsText" text="Negative">
      <formula>NOT(ISERROR(SEARCH("Negative",L2498)))</formula>
    </cfRule>
  </conditionalFormatting>
  <conditionalFormatting sqref="J2498">
    <cfRule type="containsText" dxfId="5812" priority="6977" operator="containsText" text="Missing">
      <formula>NOT(ISERROR(SEARCH("Missing",J2498)))</formula>
    </cfRule>
  </conditionalFormatting>
  <conditionalFormatting sqref="J2498">
    <cfRule type="containsText" dxfId="5811" priority="6976" operator="containsText" text="Missing">
      <formula>NOT(ISERROR(SEARCH("Missing",J2498)))</formula>
    </cfRule>
  </conditionalFormatting>
  <conditionalFormatting sqref="K2605:K2606">
    <cfRule type="containsText" dxfId="5810" priority="6937" operator="containsText" text="Missing">
      <formula>NOT(ISERROR(SEARCH("Missing",K2605)))</formula>
    </cfRule>
  </conditionalFormatting>
  <conditionalFormatting sqref="J2499">
    <cfRule type="containsText" dxfId="5809" priority="6975" operator="containsText" text="Missing">
      <formula>NOT(ISERROR(SEARCH("Missing",J2499)))</formula>
    </cfRule>
  </conditionalFormatting>
  <conditionalFormatting sqref="J2499">
    <cfRule type="containsText" dxfId="5808" priority="6974" operator="containsText" text="Missing">
      <formula>NOT(ISERROR(SEARCH("Missing",J2499)))</formula>
    </cfRule>
  </conditionalFormatting>
  <conditionalFormatting sqref="K2498:K2499">
    <cfRule type="containsText" dxfId="5807" priority="6973" operator="containsText" text="Missing">
      <formula>NOT(ISERROR(SEARCH("Missing",K2498)))</formula>
    </cfRule>
  </conditionalFormatting>
  <conditionalFormatting sqref="K2498:K2499">
    <cfRule type="containsText" dxfId="5806" priority="6971" operator="containsText" text="Missing">
      <formula>NOT(ISERROR(SEARCH("Missing",K2498)))</formula>
    </cfRule>
  </conditionalFormatting>
  <conditionalFormatting sqref="K2498:K2499">
    <cfRule type="containsText" dxfId="5805" priority="6972" operator="containsText" text="Missing">
      <formula>NOT(ISERROR(SEARCH("Missing",K2498)))</formula>
    </cfRule>
  </conditionalFormatting>
  <conditionalFormatting sqref="L2622">
    <cfRule type="containsText" dxfId="5804" priority="6869" operator="containsText" text="Positive">
      <formula>NOT(ISERROR(SEARCH("Positive",L2622)))</formula>
    </cfRule>
    <cfRule type="containsText" dxfId="5803" priority="6870" operator="containsText" text="Negative">
      <formula>NOT(ISERROR(SEARCH("Negative",L2622)))</formula>
    </cfRule>
  </conditionalFormatting>
  <conditionalFormatting sqref="L2627">
    <cfRule type="containsText" dxfId="5802" priority="6726" operator="containsText" text="Positive">
      <formula>NOT(ISERROR(SEARCH("Positive",L2627)))</formula>
    </cfRule>
    <cfRule type="containsText" dxfId="5801" priority="6727" operator="containsText" text="Negative">
      <formula>NOT(ISERROR(SEARCH("Negative",L2627)))</formula>
    </cfRule>
  </conditionalFormatting>
  <conditionalFormatting sqref="L2620">
    <cfRule type="containsText" dxfId="5800" priority="6917" operator="containsText" text="Positive">
      <formula>NOT(ISERROR(SEARCH("Positive",L2620)))</formula>
    </cfRule>
    <cfRule type="containsText" dxfId="5799" priority="6918" operator="containsText" text="Negative">
      <formula>NOT(ISERROR(SEARCH("Negative",L2620)))</formula>
    </cfRule>
  </conditionalFormatting>
  <conditionalFormatting sqref="J2602">
    <cfRule type="containsText" dxfId="5798" priority="6970" operator="containsText" text="Missing">
      <formula>NOT(ISERROR(SEARCH("Missing",J2602)))</formula>
    </cfRule>
  </conditionalFormatting>
  <conditionalFormatting sqref="J2606">
    <cfRule type="containsText" dxfId="5797" priority="6940" operator="containsText" text="Missing">
      <formula>NOT(ISERROR(SEARCH("Missing",J2606)))</formula>
    </cfRule>
  </conditionalFormatting>
  <conditionalFormatting sqref="J2602">
    <cfRule type="containsText" dxfId="5796" priority="6965" operator="containsText" text="Missing">
      <formula>NOT(ISERROR(SEARCH("Missing",J2602)))</formula>
    </cfRule>
  </conditionalFormatting>
  <conditionalFormatting sqref="H2498">
    <cfRule type="containsText" dxfId="5795" priority="6891" operator="containsText" text="Missing">
      <formula>NOT(ISERROR(SEARCH("Missing",H2498)))</formula>
    </cfRule>
  </conditionalFormatting>
  <conditionalFormatting sqref="J2605">
    <cfRule type="containsText" dxfId="5794" priority="6942" operator="containsText" text="Missing">
      <formula>NOT(ISERROR(SEARCH("Missing",J2605)))</formula>
    </cfRule>
  </conditionalFormatting>
  <conditionalFormatting sqref="J2619:K2619">
    <cfRule type="containsText" dxfId="5793" priority="6921" operator="containsText" text="Missing">
      <formula>NOT(ISERROR(SEARCH("Missing",J2619)))</formula>
    </cfRule>
  </conditionalFormatting>
  <conditionalFormatting sqref="J2603">
    <cfRule type="containsText" dxfId="5792" priority="6961" operator="containsText" text="Missing">
      <formula>NOT(ISERROR(SEARCH("Missing",J2603)))</formula>
    </cfRule>
  </conditionalFormatting>
  <conditionalFormatting sqref="J2604">
    <cfRule type="containsText" dxfId="5791" priority="6960" operator="containsText" text="Missing">
      <formula>NOT(ISERROR(SEARCH("Missing",J2604)))</formula>
    </cfRule>
  </conditionalFormatting>
  <conditionalFormatting sqref="K2605:K2606">
    <cfRule type="containsText" dxfId="5790" priority="6938" operator="containsText" text="Missing">
      <formula>NOT(ISERROR(SEARCH("Missing",K2605)))</formula>
    </cfRule>
  </conditionalFormatting>
  <conditionalFormatting sqref="J2622:K2622">
    <cfRule type="containsText" dxfId="5789" priority="6865" operator="containsText" text="Missing">
      <formula>NOT(ISERROR(SEARCH("Missing",J2622)))</formula>
    </cfRule>
  </conditionalFormatting>
  <conditionalFormatting sqref="J2605">
    <cfRule type="containsText" dxfId="5788" priority="6943" operator="containsText" text="Missing">
      <formula>NOT(ISERROR(SEARCH("Missing",J2605)))</formula>
    </cfRule>
  </conditionalFormatting>
  <conditionalFormatting sqref="H2398 H2500:H2502 H2601">
    <cfRule type="containsText" dxfId="5787" priority="6892" operator="containsText" text="Missing">
      <formula>NOT(ISERROR(SEARCH("Missing",H2398)))</formula>
    </cfRule>
  </conditionalFormatting>
  <conditionalFormatting sqref="H2606">
    <cfRule type="containsText" dxfId="5786" priority="6882" operator="containsText" text="Missing">
      <formula>NOT(ISERROR(SEARCH("Missing",H2606)))</formula>
    </cfRule>
  </conditionalFormatting>
  <conditionalFormatting sqref="H2499">
    <cfRule type="containsText" dxfId="5785" priority="6889" operator="containsText" text="Missing">
      <formula>NOT(ISERROR(SEARCH("Missing",H2499)))</formula>
    </cfRule>
  </conditionalFormatting>
  <conditionalFormatting sqref="J2606">
    <cfRule type="containsText" dxfId="5784" priority="6941" operator="containsText" text="Missing">
      <formula>NOT(ISERROR(SEARCH("Missing",J2606)))</formula>
    </cfRule>
  </conditionalFormatting>
  <conditionalFormatting sqref="H2602 H2607:H2610">
    <cfRule type="containsText" dxfId="5783" priority="6887" operator="containsText" text="Missing">
      <formula>NOT(ISERROR(SEARCH("Missing",H2602)))</formula>
    </cfRule>
  </conditionalFormatting>
  <conditionalFormatting sqref="J2618:K2618">
    <cfRule type="containsText" dxfId="5782" priority="6928" operator="containsText" text="Missing">
      <formula>NOT(ISERROR(SEARCH("Missing",J2618)))</formula>
    </cfRule>
  </conditionalFormatting>
  <conditionalFormatting sqref="L2629">
    <cfRule type="containsText" dxfId="5781" priority="6810" operator="containsText" text="Positive">
      <formula>NOT(ISERROR(SEARCH("Positive",L2629)))</formula>
    </cfRule>
    <cfRule type="containsText" dxfId="5780" priority="6811" operator="containsText" text="Negative">
      <formula>NOT(ISERROR(SEARCH("Negative",L2629)))</formula>
    </cfRule>
  </conditionalFormatting>
  <conditionalFormatting sqref="J2620:K2620">
    <cfRule type="containsText" dxfId="5779" priority="6910" operator="containsText" text="Missing">
      <formula>NOT(ISERROR(SEARCH("Missing",J2620)))</formula>
    </cfRule>
  </conditionalFormatting>
  <conditionalFormatting sqref="J2624:K2624">
    <cfRule type="containsText" dxfId="5778" priority="6857" operator="containsText" text="Missing">
      <formula>NOT(ISERROR(SEARCH("Missing",J2624)))</formula>
    </cfRule>
  </conditionalFormatting>
  <conditionalFormatting sqref="J2615">
    <cfRule type="containsText" dxfId="5777" priority="6901" operator="containsText" text="Missing">
      <formula>NOT(ISERROR(SEARCH("Missing",J2615)))</formula>
    </cfRule>
  </conditionalFormatting>
  <conditionalFormatting sqref="K2605:K2606">
    <cfRule type="containsText" dxfId="5776" priority="6939" operator="containsText" text="Missing">
      <formula>NOT(ISERROR(SEARCH("Missing",K2605)))</formula>
    </cfRule>
  </conditionalFormatting>
  <conditionalFormatting sqref="I2625">
    <cfRule type="containsText" dxfId="5775" priority="6771" operator="containsText" text="Missing">
      <formula>NOT(ISERROR(SEARCH("Missing",I2625)))</formula>
    </cfRule>
  </conditionalFormatting>
  <conditionalFormatting sqref="H2617:H2622">
    <cfRule type="containsText" dxfId="5774" priority="6843" operator="containsText" text="Missing">
      <formula>NOT(ISERROR(SEARCH("Missing",H2617)))</formula>
    </cfRule>
  </conditionalFormatting>
  <conditionalFormatting sqref="J2621:K2621">
    <cfRule type="containsText" dxfId="5773" priority="6874" operator="containsText" text="Missing">
      <formula>NOT(ISERROR(SEARCH("Missing",J2621)))</formula>
    </cfRule>
  </conditionalFormatting>
  <conditionalFormatting sqref="J2618:K2618">
    <cfRule type="containsText" dxfId="5772" priority="6930" operator="containsText" text="Missing">
      <formula>NOT(ISERROR(SEARCH("Missing",J2618)))</formula>
    </cfRule>
  </conditionalFormatting>
  <conditionalFormatting sqref="J2619:K2619">
    <cfRule type="containsText" dxfId="5771" priority="6920" operator="containsText" text="Missing">
      <formula>NOT(ISERROR(SEARCH("Missing",J2619)))</formula>
    </cfRule>
  </conditionalFormatting>
  <conditionalFormatting sqref="L2630">
    <cfRule type="containsText" dxfId="5770" priority="6709" operator="containsText" text="Positive">
      <formula>NOT(ISERROR(SEARCH("Positive",L2630)))</formula>
    </cfRule>
    <cfRule type="containsText" dxfId="5769" priority="6710" operator="containsText" text="Negative">
      <formula>NOT(ISERROR(SEARCH("Negative",L2630)))</formula>
    </cfRule>
  </conditionalFormatting>
  <conditionalFormatting sqref="L2626">
    <cfRule type="containsText" dxfId="5768" priority="6834" operator="containsText" text="Positive">
      <formula>NOT(ISERROR(SEARCH("Positive",L2626)))</formula>
    </cfRule>
    <cfRule type="containsText" dxfId="5767" priority="6835" operator="containsText" text="Negative">
      <formula>NOT(ISERROR(SEARCH("Negative",L2626)))</formula>
    </cfRule>
  </conditionalFormatting>
  <conditionalFormatting sqref="J2626:K2626">
    <cfRule type="containsText" dxfId="5766" priority="6829" operator="containsText" text="Missing">
      <formula>NOT(ISERROR(SEARCH("Missing",J2626)))</formula>
    </cfRule>
  </conditionalFormatting>
  <conditionalFormatting sqref="J2628:K2628">
    <cfRule type="containsText" dxfId="5765" priority="6818" operator="containsText" text="Missing">
      <formula>NOT(ISERROR(SEARCH("Missing",J2628)))</formula>
    </cfRule>
  </conditionalFormatting>
  <conditionalFormatting sqref="J2616:K2616 K2615">
    <cfRule type="containsText" dxfId="5764" priority="6898" operator="containsText" text="Missing">
      <formula>NOT(ISERROR(SEARCH("Missing",J2615)))</formula>
    </cfRule>
  </conditionalFormatting>
  <conditionalFormatting sqref="J2622:K2622">
    <cfRule type="containsText" dxfId="5763" priority="6864" operator="containsText" text="Missing">
      <formula>NOT(ISERROR(SEARCH("Missing",J2622)))</formula>
    </cfRule>
  </conditionalFormatting>
  <conditionalFormatting sqref="J2620:K2620">
    <cfRule type="containsText" dxfId="5762" priority="6912" operator="containsText" text="Missing">
      <formula>NOT(ISERROR(SEARCH("Missing",J2620)))</formula>
    </cfRule>
  </conditionalFormatting>
  <conditionalFormatting sqref="J2620:K2620">
    <cfRule type="containsText" dxfId="5761" priority="6911" operator="containsText" text="Missing">
      <formula>NOT(ISERROR(SEARCH("Missing",J2620)))</formula>
    </cfRule>
  </conditionalFormatting>
  <conditionalFormatting sqref="L2615:L2616">
    <cfRule type="containsText" dxfId="5760" priority="6906" operator="containsText" text="Positive">
      <formula>NOT(ISERROR(SEARCH("Positive",L2615)))</formula>
    </cfRule>
    <cfRule type="containsText" dxfId="5759" priority="6907" operator="containsText" text="Negative">
      <formula>NOT(ISERROR(SEARCH("Negative",L2615)))</formula>
    </cfRule>
  </conditionalFormatting>
  <conditionalFormatting sqref="H2603:H2604">
    <cfRule type="containsText" dxfId="5758" priority="6838" operator="containsText" text="Missing">
      <formula>NOT(ISERROR(SEARCH("Missing",H2603)))</formula>
    </cfRule>
  </conditionalFormatting>
  <conditionalFormatting sqref="J2628:K2628">
    <cfRule type="containsText" dxfId="5757" priority="6819" operator="containsText" text="Missing">
      <formula>NOT(ISERROR(SEARCH("Missing",J2628)))</formula>
    </cfRule>
  </conditionalFormatting>
  <conditionalFormatting sqref="J2616:K2616 K2615">
    <cfRule type="containsText" dxfId="5756" priority="6899" operator="containsText" text="Missing">
      <formula>NOT(ISERROR(SEARCH("Missing",J2615)))</formula>
    </cfRule>
  </conditionalFormatting>
  <conditionalFormatting sqref="J2621:K2621">
    <cfRule type="containsText" dxfId="5755" priority="6873" operator="containsText" text="Missing">
      <formula>NOT(ISERROR(SEARCH("Missing",J2621)))</formula>
    </cfRule>
  </conditionalFormatting>
  <conditionalFormatting sqref="J2616:K2616 K2615">
    <cfRule type="containsText" dxfId="5754" priority="6900" operator="containsText" text="Missing">
      <formula>NOT(ISERROR(SEARCH("Missing",J2615)))</formula>
    </cfRule>
  </conditionalFormatting>
  <conditionalFormatting sqref="H2625">
    <cfRule type="containsText" dxfId="5753" priority="6773" operator="containsText" text="Missing">
      <formula>NOT(ISERROR(SEARCH("Missing",H2625)))</formula>
    </cfRule>
  </conditionalFormatting>
  <conditionalFormatting sqref="L2622">
    <cfRule type="containsText" dxfId="5752" priority="6867" operator="containsText" text="Positive">
      <formula>NOT(ISERROR(SEARCH("Positive",L2622)))</formula>
    </cfRule>
    <cfRule type="containsText" dxfId="5751" priority="6868" operator="containsText" text="Negative">
      <formula>NOT(ISERROR(SEARCH("Negative",L2622)))</formula>
    </cfRule>
  </conditionalFormatting>
  <conditionalFormatting sqref="J2624:K2624">
    <cfRule type="containsText" dxfId="5750" priority="6856" operator="containsText" text="Missing">
      <formula>NOT(ISERROR(SEARCH("Missing",J2624)))</formula>
    </cfRule>
  </conditionalFormatting>
  <conditionalFormatting sqref="I2626">
    <cfRule type="containsText" dxfId="5749" priority="6827" operator="containsText" text="Missing">
      <formula>NOT(ISERROR(SEARCH("Missing",I2626)))</formula>
    </cfRule>
  </conditionalFormatting>
  <conditionalFormatting sqref="I2628">
    <cfRule type="containsText" dxfId="5748" priority="6817" operator="containsText" text="Missing">
      <formula>NOT(ISERROR(SEARCH("Missing",I2628)))</formula>
    </cfRule>
  </conditionalFormatting>
  <conditionalFormatting sqref="J2632:K2632">
    <cfRule type="containsText" dxfId="5747" priority="6798" operator="containsText" text="Missing">
      <formula>NOT(ISERROR(SEARCH("Missing",J2632)))</formula>
    </cfRule>
  </conditionalFormatting>
  <conditionalFormatting sqref="H2447:H2448">
    <cfRule type="containsText" dxfId="5746" priority="6840" operator="containsText" text="Missing">
      <formula>NOT(ISERROR(SEARCH("Missing",H2447)))</formula>
    </cfRule>
  </conditionalFormatting>
  <conditionalFormatting sqref="H2605">
    <cfRule type="containsText" dxfId="5745" priority="6885" operator="containsText" text="Missing">
      <formula>NOT(ISERROR(SEARCH("Missing",H2605)))</formula>
    </cfRule>
  </conditionalFormatting>
  <conditionalFormatting sqref="H2624">
    <cfRule type="containsText" dxfId="5744" priority="6774" operator="containsText" text="Missing">
      <formula>NOT(ISERROR(SEARCH("Missing",H2624)))</formula>
    </cfRule>
  </conditionalFormatting>
  <conditionalFormatting sqref="K2323">
    <cfRule type="containsText" dxfId="5743" priority="6032" operator="containsText" text="Missing">
      <formula>NOT(ISERROR(SEARCH("Missing",K2323)))</formula>
    </cfRule>
  </conditionalFormatting>
  <conditionalFormatting sqref="K2323">
    <cfRule type="containsText" dxfId="5742" priority="6031" operator="containsText" text="Missing">
      <formula>NOT(ISERROR(SEARCH("Missing",K2323)))</formula>
    </cfRule>
  </conditionalFormatting>
  <conditionalFormatting sqref="H2625">
    <cfRule type="containsText" dxfId="5741" priority="6772" operator="containsText" text="Missing">
      <formula>NOT(ISERROR(SEARCH("Missing",H2625)))</formula>
    </cfRule>
  </conditionalFormatting>
  <conditionalFormatting sqref="I2628">
    <cfRule type="containsText" dxfId="5740" priority="6816" operator="containsText" text="Missing">
      <formula>NOT(ISERROR(SEARCH("Missing",I2628)))</formula>
    </cfRule>
  </conditionalFormatting>
  <conditionalFormatting sqref="J2625:K2625">
    <cfRule type="containsText" dxfId="5739" priority="6846" operator="containsText" text="Missing">
      <formula>NOT(ISERROR(SEARCH("Missing",J2625)))</formula>
    </cfRule>
  </conditionalFormatting>
  <conditionalFormatting sqref="J2625:K2625">
    <cfRule type="containsText" dxfId="5738" priority="6845" operator="containsText" text="Missing">
      <formula>NOT(ISERROR(SEARCH("Missing",J2625)))</formula>
    </cfRule>
  </conditionalFormatting>
  <conditionalFormatting sqref="J2625:K2625">
    <cfRule type="containsText" dxfId="5737" priority="6844" operator="containsText" text="Missing">
      <formula>NOT(ISERROR(SEARCH("Missing",J2625)))</formula>
    </cfRule>
  </conditionalFormatting>
  <conditionalFormatting sqref="J2633:K2633">
    <cfRule type="containsText" dxfId="5736" priority="6789" operator="containsText" text="Missing">
      <formula>NOT(ISERROR(SEARCH("Missing",J2633)))</formula>
    </cfRule>
  </conditionalFormatting>
  <conditionalFormatting sqref="J2626:K2626">
    <cfRule type="containsText" dxfId="5735" priority="6830" operator="containsText" text="Missing">
      <formula>NOT(ISERROR(SEARCH("Missing",J2626)))</formula>
    </cfRule>
  </conditionalFormatting>
  <conditionalFormatting sqref="H2605">
    <cfRule type="containsText" dxfId="5734" priority="6884" operator="containsText" text="Missing">
      <formula>NOT(ISERROR(SEARCH("Missing",H2605)))</formula>
    </cfRule>
  </conditionalFormatting>
  <conditionalFormatting sqref="H2606">
    <cfRule type="containsText" dxfId="5733" priority="6883" operator="containsText" text="Missing">
      <formula>NOT(ISERROR(SEARCH("Missing",H2606)))</formula>
    </cfRule>
  </conditionalFormatting>
  <conditionalFormatting sqref="I2626">
    <cfRule type="containsText" dxfId="5732" priority="6828" operator="containsText" text="Missing">
      <formula>NOT(ISERROR(SEARCH("Missing",I2626)))</formula>
    </cfRule>
  </conditionalFormatting>
  <conditionalFormatting sqref="H2447:H2448">
    <cfRule type="containsText" dxfId="5731" priority="6841" operator="containsText" text="Missing">
      <formula>NOT(ISERROR(SEARCH("Missing",H2447)))</formula>
    </cfRule>
  </conditionalFormatting>
  <conditionalFormatting sqref="I2346">
    <cfRule type="containsText" dxfId="5730" priority="6769" operator="containsText" text="Missing">
      <formula>NOT(ISERROR(SEARCH("Missing",I2346)))</formula>
    </cfRule>
  </conditionalFormatting>
  <conditionalFormatting sqref="I2625">
    <cfRule type="containsText" dxfId="5729" priority="6770" operator="containsText" text="Missing">
      <formula>NOT(ISERROR(SEARCH("Missing",I2625)))</formula>
    </cfRule>
  </conditionalFormatting>
  <conditionalFormatting sqref="J2622:K2622">
    <cfRule type="containsText" dxfId="5728" priority="6866" operator="containsText" text="Missing">
      <formula>NOT(ISERROR(SEARCH("Missing",J2622)))</formula>
    </cfRule>
  </conditionalFormatting>
  <conditionalFormatting sqref="J2628:K2628">
    <cfRule type="containsText" dxfId="5727" priority="6820" operator="containsText" text="Missing">
      <formula>NOT(ISERROR(SEARCH("Missing",J2628)))</formula>
    </cfRule>
  </conditionalFormatting>
  <conditionalFormatting sqref="J2621:K2621">
    <cfRule type="containsText" dxfId="5726" priority="6875" operator="containsText" text="Missing">
      <formula>NOT(ISERROR(SEARCH("Missing",J2621)))</formula>
    </cfRule>
  </conditionalFormatting>
  <conditionalFormatting sqref="J2624:K2624">
    <cfRule type="containsText" dxfId="5725" priority="6855" operator="containsText" text="Missing">
      <formula>NOT(ISERROR(SEARCH("Missing",J2624)))</formula>
    </cfRule>
  </conditionalFormatting>
  <conditionalFormatting sqref="I2624">
    <cfRule type="containsText" dxfId="5724" priority="6854" operator="containsText" text="Missing">
      <formula>NOT(ISERROR(SEARCH("Missing",I2624)))</formula>
    </cfRule>
  </conditionalFormatting>
  <conditionalFormatting sqref="I2614">
    <cfRule type="containsText" dxfId="5723" priority="6743" operator="containsText" text="Missing">
      <formula>NOT(ISERROR(SEARCH("Missing",I2614)))</formula>
    </cfRule>
  </conditionalFormatting>
  <conditionalFormatting sqref="I2624">
    <cfRule type="containsText" dxfId="5722" priority="6853" operator="containsText" text="Missing">
      <formula>NOT(ISERROR(SEARCH("Missing",I2624)))</formula>
    </cfRule>
  </conditionalFormatting>
  <conditionalFormatting sqref="I2623">
    <cfRule type="containsText" dxfId="5721" priority="6776" operator="containsText" text="Missing">
      <formula>NOT(ISERROR(SEARCH("Missing",I2623)))</formula>
    </cfRule>
  </conditionalFormatting>
  <conditionalFormatting sqref="I2601">
    <cfRule type="containsText" dxfId="5720" priority="6756" operator="containsText" text="Missing">
      <formula>NOT(ISERROR(SEARCH("Missing",I2601)))</formula>
    </cfRule>
  </conditionalFormatting>
  <conditionalFormatting sqref="J2629:K2629">
    <cfRule type="containsText" dxfId="5719" priority="6808" operator="containsText" text="Missing">
      <formula>NOT(ISERROR(SEARCH("Missing",J2629)))</formula>
    </cfRule>
  </conditionalFormatting>
  <conditionalFormatting sqref="J2629:K2629">
    <cfRule type="containsText" dxfId="5718" priority="6809" operator="containsText" text="Missing">
      <formula>NOT(ISERROR(SEARCH("Missing",J2629)))</formula>
    </cfRule>
  </conditionalFormatting>
  <conditionalFormatting sqref="J2385">
    <cfRule type="containsText" dxfId="5717" priority="5358" operator="containsText" text="Missing">
      <formula>NOT(ISERROR(SEARCH("Missing",J2385)))</formula>
    </cfRule>
  </conditionalFormatting>
  <conditionalFormatting sqref="J2632:K2632">
    <cfRule type="containsText" dxfId="5716" priority="6796" operator="containsText" text="Missing">
      <formula>NOT(ISERROR(SEARCH("Missing",J2632)))</formula>
    </cfRule>
  </conditionalFormatting>
  <conditionalFormatting sqref="I2498">
    <cfRule type="containsText" dxfId="5715" priority="6761" operator="containsText" text="Missing">
      <formula>NOT(ISERROR(SEARCH("Missing",I2498)))</formula>
    </cfRule>
  </conditionalFormatting>
  <conditionalFormatting sqref="I2347">
    <cfRule type="containsText" dxfId="5714" priority="6768" operator="containsText" text="Missing">
      <formula>NOT(ISERROR(SEARCH("Missing",I2347)))</formula>
    </cfRule>
  </conditionalFormatting>
  <conditionalFormatting sqref="H2617:H2622">
    <cfRule type="containsText" dxfId="5713" priority="6842" operator="containsText" text="Missing">
      <formula>NOT(ISERROR(SEARCH("Missing",H2617)))</formula>
    </cfRule>
  </conditionalFormatting>
  <conditionalFormatting sqref="K2323">
    <cfRule type="containsText" dxfId="5712" priority="6030" operator="containsText" text="Missing">
      <formula>NOT(ISERROR(SEARCH("Missing",K2323)))</formula>
    </cfRule>
  </conditionalFormatting>
  <conditionalFormatting sqref="I2499">
    <cfRule type="containsText" dxfId="5711" priority="6758" operator="containsText" text="Missing">
      <formula>NOT(ISERROR(SEARCH("Missing",I2499)))</formula>
    </cfRule>
  </conditionalFormatting>
  <conditionalFormatting sqref="H2603:H2604">
    <cfRule type="containsText" dxfId="5710" priority="6839" operator="containsText" text="Missing">
      <formula>NOT(ISERROR(SEARCH("Missing",H2603)))</formula>
    </cfRule>
  </conditionalFormatting>
  <conditionalFormatting sqref="L2629">
    <cfRule type="containsText" dxfId="5709" priority="6812" operator="containsText" text="Positive">
      <formula>NOT(ISERROR(SEARCH("Positive",L2629)))</formula>
    </cfRule>
    <cfRule type="containsText" dxfId="5708" priority="6813" operator="containsText" text="Negative">
      <formula>NOT(ISERROR(SEARCH("Negative",L2629)))</formula>
    </cfRule>
  </conditionalFormatting>
  <conditionalFormatting sqref="J2623:K2623">
    <cfRule type="containsText" dxfId="5707" priority="6780" operator="containsText" text="Missing">
      <formula>NOT(ISERROR(SEARCH("Missing",J2623)))</formula>
    </cfRule>
  </conditionalFormatting>
  <conditionalFormatting sqref="J2623:K2623">
    <cfRule type="containsText" dxfId="5706" priority="6778" operator="containsText" text="Missing">
      <formula>NOT(ISERROR(SEARCH("Missing",J2623)))</formula>
    </cfRule>
  </conditionalFormatting>
  <conditionalFormatting sqref="I2502">
    <cfRule type="containsText" dxfId="5705" priority="6757" operator="containsText" text="Missing">
      <formula>NOT(ISERROR(SEARCH("Missing",I2502)))</formula>
    </cfRule>
  </conditionalFormatting>
  <conditionalFormatting sqref="J2626:K2626">
    <cfRule type="containsText" dxfId="5704" priority="6831" operator="containsText" text="Missing">
      <formula>NOT(ISERROR(SEARCH("Missing",J2626)))</formula>
    </cfRule>
  </conditionalFormatting>
  <conditionalFormatting sqref="J2631:K2631">
    <cfRule type="containsText" dxfId="5703" priority="6697" operator="containsText" text="Missing">
      <formula>NOT(ISERROR(SEARCH("Missing",J2631)))</formula>
    </cfRule>
  </conditionalFormatting>
  <conditionalFormatting sqref="I2623">
    <cfRule type="containsText" dxfId="5702" priority="6777" operator="containsText" text="Missing">
      <formula>NOT(ISERROR(SEARCH("Missing",I2623)))</formula>
    </cfRule>
  </conditionalFormatting>
  <conditionalFormatting sqref="H2624">
    <cfRule type="containsText" dxfId="5701" priority="6775" operator="containsText" text="Missing">
      <formula>NOT(ISERROR(SEARCH("Missing",H2624)))</formula>
    </cfRule>
  </conditionalFormatting>
  <conditionalFormatting sqref="L2633">
    <cfRule type="containsText" dxfId="5700" priority="6794" operator="containsText" text="Positive">
      <formula>NOT(ISERROR(SEARCH("Positive",L2633)))</formula>
    </cfRule>
    <cfRule type="containsText" dxfId="5699" priority="6795" operator="containsText" text="Negative">
      <formula>NOT(ISERROR(SEARCH("Negative",L2633)))</formula>
    </cfRule>
  </conditionalFormatting>
  <conditionalFormatting sqref="J2629:K2629">
    <cfRule type="containsText" dxfId="5698" priority="6807" operator="containsText" text="Missing">
      <formula>NOT(ISERROR(SEARCH("Missing",J2629)))</formula>
    </cfRule>
  </conditionalFormatting>
  <conditionalFormatting sqref="I2607">
    <cfRule type="containsText" dxfId="5697" priority="6754" operator="containsText" text="Missing">
      <formula>NOT(ISERROR(SEARCH("Missing",I2607)))</formula>
    </cfRule>
  </conditionalFormatting>
  <conditionalFormatting sqref="L2632">
    <cfRule type="containsText" dxfId="5696" priority="6800" operator="containsText" text="Positive">
      <formula>NOT(ISERROR(SEARCH("Positive",L2632)))</formula>
    </cfRule>
    <cfRule type="containsText" dxfId="5695" priority="6801" operator="containsText" text="Negative">
      <formula>NOT(ISERROR(SEARCH("Negative",L2632)))</formula>
    </cfRule>
  </conditionalFormatting>
  <conditionalFormatting sqref="I2621">
    <cfRule type="containsText" dxfId="5694" priority="6735" operator="containsText" text="Missing">
      <formula>NOT(ISERROR(SEARCH("Missing",I2621)))</formula>
    </cfRule>
  </conditionalFormatting>
  <conditionalFormatting sqref="H2632">
    <cfRule type="containsText" dxfId="5693" priority="6799" operator="containsText" text="Missing">
      <formula>NOT(ISERROR(SEARCH("Missing",H2632)))</formula>
    </cfRule>
  </conditionalFormatting>
  <conditionalFormatting sqref="J2632:K2632">
    <cfRule type="containsText" dxfId="5692" priority="6797" operator="containsText" text="Missing">
      <formula>NOT(ISERROR(SEARCH("Missing",J2632)))</formula>
    </cfRule>
  </conditionalFormatting>
  <conditionalFormatting sqref="L2627">
    <cfRule type="containsText" dxfId="5691" priority="6724" operator="containsText" text="Positive">
      <formula>NOT(ISERROR(SEARCH("Positive",L2627)))</formula>
    </cfRule>
    <cfRule type="containsText" dxfId="5690" priority="6725" operator="containsText" text="Negative">
      <formula>NOT(ISERROR(SEARCH("Negative",L2627)))</formula>
    </cfRule>
  </conditionalFormatting>
  <conditionalFormatting sqref="J2633:K2633">
    <cfRule type="containsText" dxfId="5689" priority="6788" operator="containsText" text="Missing">
      <formula>NOT(ISERROR(SEARCH("Missing",J2633)))</formula>
    </cfRule>
  </conditionalFormatting>
  <conditionalFormatting sqref="J2633:K2633">
    <cfRule type="containsText" dxfId="5688" priority="6787" operator="containsText" text="Missing">
      <formula>NOT(ISERROR(SEARCH("Missing",J2633)))</formula>
    </cfRule>
  </conditionalFormatting>
  <conditionalFormatting sqref="I2615">
    <cfRule type="containsText" dxfId="5687" priority="6744" operator="containsText" text="Missing">
      <formula>NOT(ISERROR(SEARCH("Missing",I2615)))</formula>
    </cfRule>
  </conditionalFormatting>
  <conditionalFormatting sqref="L2623">
    <cfRule type="containsText" dxfId="5686" priority="6785" operator="containsText" text="Positive">
      <formula>NOT(ISERROR(SEARCH("Positive",L2623)))</formula>
    </cfRule>
    <cfRule type="containsText" dxfId="5685" priority="6786" operator="containsText" text="Negative">
      <formula>NOT(ISERROR(SEARCH("Negative",L2623)))</formula>
    </cfRule>
  </conditionalFormatting>
  <conditionalFormatting sqref="L2623">
    <cfRule type="containsText" dxfId="5684" priority="6781" operator="containsText" text="Positive">
      <formula>NOT(ISERROR(SEARCH("Positive",L2623)))</formula>
    </cfRule>
    <cfRule type="containsText" dxfId="5683" priority="6782" operator="containsText" text="Negative">
      <formula>NOT(ISERROR(SEARCH("Negative",L2623)))</formula>
    </cfRule>
  </conditionalFormatting>
  <conditionalFormatting sqref="I2398">
    <cfRule type="containsText" dxfId="5682" priority="6764" operator="containsText" text="Missing">
      <formula>NOT(ISERROR(SEARCH("Missing",I2398)))</formula>
    </cfRule>
  </conditionalFormatting>
  <conditionalFormatting sqref="J2279:K2279">
    <cfRule type="containsText" dxfId="5681" priority="5788" operator="containsText" text="Missing">
      <formula>NOT(ISERROR(SEARCH("Missing",J2279)))</formula>
    </cfRule>
  </conditionalFormatting>
  <conditionalFormatting sqref="J2623:K2623">
    <cfRule type="containsText" dxfId="5680" priority="6779" operator="containsText" text="Missing">
      <formula>NOT(ISERROR(SEARCH("Missing",J2623)))</formula>
    </cfRule>
  </conditionalFormatting>
  <conditionalFormatting sqref="I2397">
    <cfRule type="containsText" dxfId="5679" priority="6765" operator="containsText" text="Missing">
      <formula>NOT(ISERROR(SEARCH("Missing",I2397)))</formula>
    </cfRule>
  </conditionalFormatting>
  <conditionalFormatting sqref="I2500">
    <cfRule type="containsText" dxfId="5678" priority="6763" operator="containsText" text="Missing">
      <formula>NOT(ISERROR(SEARCH("Missing",I2500)))</formula>
    </cfRule>
  </conditionalFormatting>
  <conditionalFormatting sqref="I2501">
    <cfRule type="containsText" dxfId="5677" priority="6762" operator="containsText" text="Missing">
      <formula>NOT(ISERROR(SEARCH("Missing",I2501)))</formula>
    </cfRule>
  </conditionalFormatting>
  <conditionalFormatting sqref="I2630:I2631">
    <cfRule type="containsText" dxfId="5676" priority="6704" operator="containsText" text="Missing">
      <formula>NOT(ISERROR(SEARCH("Missing",I2630)))</formula>
    </cfRule>
  </conditionalFormatting>
  <conditionalFormatting sqref="I2613">
    <cfRule type="containsText" dxfId="5675" priority="6745" operator="containsText" text="Missing">
      <formula>NOT(ISERROR(SEARCH("Missing",I2613)))</formula>
    </cfRule>
  </conditionalFormatting>
  <conditionalFormatting sqref="I2614">
    <cfRule type="containsText" dxfId="5674" priority="6742" operator="containsText" text="Missing">
      <formula>NOT(ISERROR(SEARCH("Missing",I2614)))</formula>
    </cfRule>
  </conditionalFormatting>
  <conditionalFormatting sqref="K2385">
    <cfRule type="containsText" dxfId="5673" priority="5357" operator="containsText" text="Missing">
      <formula>NOT(ISERROR(SEARCH("Missing",K2385)))</formula>
    </cfRule>
  </conditionalFormatting>
  <conditionalFormatting sqref="K2385">
    <cfRule type="containsText" dxfId="5672" priority="5356" operator="containsText" text="Missing">
      <formula>NOT(ISERROR(SEARCH("Missing",K2385)))</formula>
    </cfRule>
  </conditionalFormatting>
  <conditionalFormatting sqref="I2396">
    <cfRule type="containsText" dxfId="5671" priority="6766" operator="containsText" text="Missing">
      <formula>NOT(ISERROR(SEARCH("Missing",I2396)))</formula>
    </cfRule>
  </conditionalFormatting>
  <conditionalFormatting sqref="I2611">
    <cfRule type="containsText" dxfId="5670" priority="6746" operator="containsText" text="Missing">
      <formula>NOT(ISERROR(SEARCH("Missing",I2611)))</formula>
    </cfRule>
  </conditionalFormatting>
  <conditionalFormatting sqref="I2447">
    <cfRule type="containsText" dxfId="5669" priority="6760" operator="containsText" text="Missing">
      <formula>NOT(ISERROR(SEARCH("Missing",I2447)))</formula>
    </cfRule>
  </conditionalFormatting>
  <conditionalFormatting sqref="I2448">
    <cfRule type="containsText" dxfId="5668" priority="6759" operator="containsText" text="Missing">
      <formula>NOT(ISERROR(SEARCH("Missing",I2448)))</formula>
    </cfRule>
  </conditionalFormatting>
  <conditionalFormatting sqref="K2371">
    <cfRule type="containsText" dxfId="5667" priority="5416" operator="containsText" text="Missing">
      <formula>NOT(ISERROR(SEARCH("Missing",K2371)))</formula>
    </cfRule>
  </conditionalFormatting>
  <conditionalFormatting sqref="H2371">
    <cfRule type="containsText" dxfId="5666" priority="5415" operator="containsText" text="Missing">
      <formula>NOT(ISERROR(SEARCH("Missing",H2371)))</formula>
    </cfRule>
  </conditionalFormatting>
  <conditionalFormatting sqref="H2371">
    <cfRule type="containsText" dxfId="5665" priority="5414" operator="containsText" text="Missing">
      <formula>NOT(ISERROR(SEARCH("Missing",H2371)))</formula>
    </cfRule>
  </conditionalFormatting>
  <conditionalFormatting sqref="I2617">
    <cfRule type="containsText" dxfId="5664" priority="6739" operator="containsText" text="Missing">
      <formula>NOT(ISERROR(SEARCH("Missing",I2617)))</formula>
    </cfRule>
  </conditionalFormatting>
  <conditionalFormatting sqref="I2602">
    <cfRule type="containsText" dxfId="5663" priority="6755" operator="containsText" text="Missing">
      <formula>NOT(ISERROR(SEARCH("Missing",I2602)))</formula>
    </cfRule>
  </conditionalFormatting>
  <conditionalFormatting sqref="I2608">
    <cfRule type="containsText" dxfId="5662" priority="6753" operator="containsText" text="Missing">
      <formula>NOT(ISERROR(SEARCH("Missing",I2608)))</formula>
    </cfRule>
  </conditionalFormatting>
  <conditionalFormatting sqref="I2605">
    <cfRule type="containsText" dxfId="5661" priority="6752" operator="containsText" text="Missing">
      <formula>NOT(ISERROR(SEARCH("Missing",I2605)))</formula>
    </cfRule>
  </conditionalFormatting>
  <conditionalFormatting sqref="I2603">
    <cfRule type="containsText" dxfId="5660" priority="6751" operator="containsText" text="Missing">
      <formula>NOT(ISERROR(SEARCH("Missing",I2603)))</formula>
    </cfRule>
  </conditionalFormatting>
  <conditionalFormatting sqref="I2604">
    <cfRule type="containsText" dxfId="5659" priority="6750" operator="containsText" text="Missing">
      <formula>NOT(ISERROR(SEARCH("Missing",I2604)))</formula>
    </cfRule>
  </conditionalFormatting>
  <conditionalFormatting sqref="I2606">
    <cfRule type="containsText" dxfId="5658" priority="6749" operator="containsText" text="Missing">
      <formula>NOT(ISERROR(SEARCH("Missing",I2606)))</formula>
    </cfRule>
  </conditionalFormatting>
  <conditionalFormatting sqref="I2609">
    <cfRule type="containsText" dxfId="5657" priority="6748" operator="containsText" text="Missing">
      <formula>NOT(ISERROR(SEARCH("Missing",I2609)))</formula>
    </cfRule>
  </conditionalFormatting>
  <conditionalFormatting sqref="I2610">
    <cfRule type="containsText" dxfId="5656" priority="6747" operator="containsText" text="Missing">
      <formula>NOT(ISERROR(SEARCH("Missing",I2610)))</formula>
    </cfRule>
  </conditionalFormatting>
  <conditionalFormatting sqref="I2632">
    <cfRule type="containsText" dxfId="5655" priority="6730" operator="containsText" text="Missing">
      <formula>NOT(ISERROR(SEARCH("Missing",I2632)))</formula>
    </cfRule>
  </conditionalFormatting>
  <conditionalFormatting sqref="I2633">
    <cfRule type="containsText" dxfId="5654" priority="6729" operator="containsText" text="Missing">
      <formula>NOT(ISERROR(SEARCH("Missing",I2633)))</formula>
    </cfRule>
  </conditionalFormatting>
  <conditionalFormatting sqref="K2385">
    <cfRule type="containsText" dxfId="5653" priority="5355" operator="containsText" text="Missing">
      <formula>NOT(ISERROR(SEARCH("Missing",K2385)))</formula>
    </cfRule>
  </conditionalFormatting>
  <conditionalFormatting sqref="I2633">
    <cfRule type="containsText" dxfId="5652" priority="6728" operator="containsText" text="Missing">
      <formula>NOT(ISERROR(SEARCH("Missing",I2633)))</formula>
    </cfRule>
  </conditionalFormatting>
  <conditionalFormatting sqref="I2616">
    <cfRule type="containsText" dxfId="5651" priority="6740" operator="containsText" text="Missing">
      <formula>NOT(ISERROR(SEARCH("Missing",I2616)))</formula>
    </cfRule>
  </conditionalFormatting>
  <conditionalFormatting sqref="I2616">
    <cfRule type="containsText" dxfId="5650" priority="6741" operator="containsText" text="Missing">
      <formula>NOT(ISERROR(SEARCH("Missing",I2616)))</formula>
    </cfRule>
  </conditionalFormatting>
  <conditionalFormatting sqref="I2618">
    <cfRule type="containsText" dxfId="5649" priority="6738" operator="containsText" text="Missing">
      <formula>NOT(ISERROR(SEARCH("Missing",I2618)))</formula>
    </cfRule>
  </conditionalFormatting>
  <conditionalFormatting sqref="I2619">
    <cfRule type="containsText" dxfId="5648" priority="6737" operator="containsText" text="Missing">
      <formula>NOT(ISERROR(SEARCH("Missing",I2619)))</formula>
    </cfRule>
  </conditionalFormatting>
  <conditionalFormatting sqref="I2620">
    <cfRule type="containsText" dxfId="5647" priority="6736" operator="containsText" text="Missing">
      <formula>NOT(ISERROR(SEARCH("Missing",I2620)))</formula>
    </cfRule>
  </conditionalFormatting>
  <conditionalFormatting sqref="J2374">
    <cfRule type="containsText" dxfId="5646" priority="5393" operator="containsText" text="Missing">
      <formula>NOT(ISERROR(SEARCH("Missing",J2374)))</formula>
    </cfRule>
  </conditionalFormatting>
  <conditionalFormatting sqref="I2622">
    <cfRule type="containsText" dxfId="5645" priority="6734" operator="containsText" text="Missing">
      <formula>NOT(ISERROR(SEARCH("Missing",I2622)))</formula>
    </cfRule>
  </conditionalFormatting>
  <conditionalFormatting sqref="I2629">
    <cfRule type="containsText" dxfId="5644" priority="6732" operator="containsText" text="Missing">
      <formula>NOT(ISERROR(SEARCH("Missing",I2629)))</formula>
    </cfRule>
  </conditionalFormatting>
  <conditionalFormatting sqref="I2629">
    <cfRule type="containsText" dxfId="5643" priority="6733" operator="containsText" text="Missing">
      <formula>NOT(ISERROR(SEARCH("Missing",I2629)))</formula>
    </cfRule>
  </conditionalFormatting>
  <conditionalFormatting sqref="H2319:H2320">
    <cfRule type="containsText" dxfId="5642" priority="5913" operator="containsText" text="Missing">
      <formula>NOT(ISERROR(SEARCH("Missing",H2319)))</formula>
    </cfRule>
  </conditionalFormatting>
  <conditionalFormatting sqref="I2632">
    <cfRule type="containsText" dxfId="5641" priority="6731" operator="containsText" text="Missing">
      <formula>NOT(ISERROR(SEARCH("Missing",I2632)))</formula>
    </cfRule>
  </conditionalFormatting>
  <conditionalFormatting sqref="H2322">
    <cfRule type="containsText" dxfId="5640" priority="5911" operator="containsText" text="Missing">
      <formula>NOT(ISERROR(SEARCH("Missing",H2322)))</formula>
    </cfRule>
  </conditionalFormatting>
  <conditionalFormatting sqref="H2322">
    <cfRule type="containsText" dxfId="5639" priority="5912" operator="containsText" text="Missing">
      <formula>NOT(ISERROR(SEARCH("Missing",H2322)))</formula>
    </cfRule>
  </conditionalFormatting>
  <conditionalFormatting sqref="L2627">
    <cfRule type="containsText" dxfId="5638" priority="6722" operator="containsText" text="Positive">
      <formula>NOT(ISERROR(SEARCH("Positive",L2627)))</formula>
    </cfRule>
    <cfRule type="containsText" dxfId="5637" priority="6723" operator="containsText" text="Negative">
      <formula>NOT(ISERROR(SEARCH("Negative",L2627)))</formula>
    </cfRule>
  </conditionalFormatting>
  <conditionalFormatting sqref="J2627:K2627">
    <cfRule type="containsText" dxfId="5636" priority="6720" operator="containsText" text="Missing">
      <formula>NOT(ISERROR(SEARCH("Missing",J2627)))</formula>
    </cfRule>
  </conditionalFormatting>
  <conditionalFormatting sqref="I2627">
    <cfRule type="containsText" dxfId="5635" priority="6717" operator="containsText" text="Missing">
      <formula>NOT(ISERROR(SEARCH("Missing",I2627)))</formula>
    </cfRule>
  </conditionalFormatting>
  <conditionalFormatting sqref="J2627:K2627">
    <cfRule type="containsText" dxfId="5634" priority="6719" operator="containsText" text="Missing">
      <formula>NOT(ISERROR(SEARCH("Missing",J2627)))</formula>
    </cfRule>
  </conditionalFormatting>
  <conditionalFormatting sqref="I2627">
    <cfRule type="containsText" dxfId="5633" priority="6718" operator="containsText" text="Missing">
      <formula>NOT(ISERROR(SEARCH("Missing",I2627)))</formula>
    </cfRule>
  </conditionalFormatting>
  <conditionalFormatting sqref="J2627:K2627">
    <cfRule type="containsText" dxfId="5632" priority="6721" operator="containsText" text="Missing">
      <formula>NOT(ISERROR(SEARCH("Missing",J2627)))</formula>
    </cfRule>
  </conditionalFormatting>
  <conditionalFormatting sqref="H2633">
    <cfRule type="containsText" dxfId="5631" priority="6716" operator="containsText" text="Missing">
      <formula>NOT(ISERROR(SEARCH("Missing",H2633)))</formula>
    </cfRule>
  </conditionalFormatting>
  <conditionalFormatting sqref="H2633">
    <cfRule type="containsText" dxfId="5630" priority="6715" operator="containsText" text="Missing">
      <formula>NOT(ISERROR(SEARCH("Missing",H2633)))</formula>
    </cfRule>
  </conditionalFormatting>
  <conditionalFormatting sqref="L2631">
    <cfRule type="containsText" dxfId="5629" priority="6702" operator="containsText" text="Positive">
      <formula>NOT(ISERROR(SEARCH("Positive",L2631)))</formula>
    </cfRule>
    <cfRule type="containsText" dxfId="5628" priority="6703" operator="containsText" text="Negative">
      <formula>NOT(ISERROR(SEARCH("Negative",L2631)))</formula>
    </cfRule>
  </conditionalFormatting>
  <conditionalFormatting sqref="L2631">
    <cfRule type="containsText" dxfId="5627" priority="6698" operator="containsText" text="Positive">
      <formula>NOT(ISERROR(SEARCH("Positive",L2631)))</formula>
    </cfRule>
    <cfRule type="containsText" dxfId="5626" priority="6699" operator="containsText" text="Negative">
      <formula>NOT(ISERROR(SEARCH("Negative",L2631)))</formula>
    </cfRule>
  </conditionalFormatting>
  <conditionalFormatting sqref="L2630">
    <cfRule type="containsText" dxfId="5625" priority="6711" operator="containsText" text="Positive">
      <formula>NOT(ISERROR(SEARCH("Positive",L2630)))</formula>
    </cfRule>
    <cfRule type="containsText" dxfId="5624" priority="6712" operator="containsText" text="Negative">
      <formula>NOT(ISERROR(SEARCH("Negative",L2630)))</formula>
    </cfRule>
  </conditionalFormatting>
  <conditionalFormatting sqref="L2630">
    <cfRule type="containsText" dxfId="5623" priority="6713" operator="containsText" text="Positive">
      <formula>NOT(ISERROR(SEARCH("Positive",L2630)))</formula>
    </cfRule>
    <cfRule type="containsText" dxfId="5622" priority="6714" operator="containsText" text="Negative">
      <formula>NOT(ISERROR(SEARCH("Negative",L2630)))</formula>
    </cfRule>
  </conditionalFormatting>
  <conditionalFormatting sqref="J2630:K2630">
    <cfRule type="containsText" dxfId="5621" priority="6706" operator="containsText" text="Missing">
      <formula>NOT(ISERROR(SEARCH("Missing",J2630)))</formula>
    </cfRule>
  </conditionalFormatting>
  <conditionalFormatting sqref="J2630:K2630">
    <cfRule type="containsText" dxfId="5620" priority="6707" operator="containsText" text="Missing">
      <formula>NOT(ISERROR(SEARCH("Missing",J2630)))</formula>
    </cfRule>
  </conditionalFormatting>
  <conditionalFormatting sqref="J2323">
    <cfRule type="containsText" dxfId="5619" priority="6033" operator="containsText" text="Missing">
      <formula>NOT(ISERROR(SEARCH("Missing",J2323)))</formula>
    </cfRule>
  </conditionalFormatting>
  <conditionalFormatting sqref="J2631:K2631">
    <cfRule type="containsText" dxfId="5618" priority="6696" operator="containsText" text="Missing">
      <formula>NOT(ISERROR(SEARCH("Missing",J2631)))</formula>
    </cfRule>
  </conditionalFormatting>
  <conditionalFormatting sqref="H2329">
    <cfRule type="containsText" dxfId="5617" priority="5910" operator="containsText" text="Missing">
      <formula>NOT(ISERROR(SEARCH("Missing",H2329)))</formula>
    </cfRule>
  </conditionalFormatting>
  <conditionalFormatting sqref="I2630:I2631">
    <cfRule type="containsText" dxfId="5616" priority="6705" operator="containsText" text="Missing">
      <formula>NOT(ISERROR(SEARCH("Missing",I2630)))</formula>
    </cfRule>
  </conditionalFormatting>
  <conditionalFormatting sqref="L2631">
    <cfRule type="containsText" dxfId="5615" priority="6700" operator="containsText" text="Positive">
      <formula>NOT(ISERROR(SEARCH("Positive",L2631)))</formula>
    </cfRule>
    <cfRule type="containsText" dxfId="5614" priority="6701" operator="containsText" text="Negative">
      <formula>NOT(ISERROR(SEARCH("Negative",L2631)))</formula>
    </cfRule>
  </conditionalFormatting>
  <conditionalFormatting sqref="J2630:K2630">
    <cfRule type="containsText" dxfId="5613" priority="6708" operator="containsText" text="Missing">
      <formula>NOT(ISERROR(SEARCH("Missing",J2630)))</formula>
    </cfRule>
  </conditionalFormatting>
  <conditionalFormatting sqref="J2631:K2631">
    <cfRule type="containsText" dxfId="5612" priority="6695" operator="containsText" text="Missing">
      <formula>NOT(ISERROR(SEARCH("Missing",J2631)))</formula>
    </cfRule>
  </conditionalFormatting>
  <conditionalFormatting sqref="H2628:H2629">
    <cfRule type="containsText" dxfId="5611" priority="6692" operator="containsText" text="Missing">
      <formula>NOT(ISERROR(SEARCH("Missing",H2628)))</formula>
    </cfRule>
  </conditionalFormatting>
  <conditionalFormatting sqref="H2628:H2629">
    <cfRule type="containsText" dxfId="5610" priority="6694" operator="containsText" text="Missing">
      <formula>NOT(ISERROR(SEARCH("Missing",H2628)))</formula>
    </cfRule>
  </conditionalFormatting>
  <conditionalFormatting sqref="H2628:H2629">
    <cfRule type="containsText" dxfId="5609" priority="6693" operator="containsText" text="Missing">
      <formula>NOT(ISERROR(SEARCH("Missing",H2628)))</formula>
    </cfRule>
  </conditionalFormatting>
  <conditionalFormatting sqref="H2630">
    <cfRule type="containsText" dxfId="5608" priority="6691" operator="containsText" text="Missing">
      <formula>NOT(ISERROR(SEARCH("Missing",H2630)))</formula>
    </cfRule>
  </conditionalFormatting>
  <conditionalFormatting sqref="H2631">
    <cfRule type="containsText" dxfId="5607" priority="6690" operator="containsText" text="Missing">
      <formula>NOT(ISERROR(SEARCH("Missing",H2631)))</formula>
    </cfRule>
  </conditionalFormatting>
  <conditionalFormatting sqref="H2626">
    <cfRule type="containsText" dxfId="5606" priority="6689" operator="containsText" text="Missing">
      <formula>NOT(ISERROR(SEARCH("Missing",H2626)))</formula>
    </cfRule>
  </conditionalFormatting>
  <conditionalFormatting sqref="H2626">
    <cfRule type="containsText" dxfId="5605" priority="6687" operator="containsText" text="Missing">
      <formula>NOT(ISERROR(SEARCH("Missing",H2626)))</formula>
    </cfRule>
  </conditionalFormatting>
  <conditionalFormatting sqref="H2626">
    <cfRule type="containsText" dxfId="5604" priority="6688" operator="containsText" text="Missing">
      <formula>NOT(ISERROR(SEARCH("Missing",H2626)))</formula>
    </cfRule>
  </conditionalFormatting>
  <conditionalFormatting sqref="H2627">
    <cfRule type="containsText" dxfId="5603" priority="6686" operator="containsText" text="Missing">
      <formula>NOT(ISERROR(SEARCH("Missing",H2627)))</formula>
    </cfRule>
  </conditionalFormatting>
  <conditionalFormatting sqref="H2627">
    <cfRule type="containsText" dxfId="5602" priority="6684" operator="containsText" text="Missing">
      <formula>NOT(ISERROR(SEARCH("Missing",H2627)))</formula>
    </cfRule>
  </conditionalFormatting>
  <conditionalFormatting sqref="H2627">
    <cfRule type="containsText" dxfId="5601" priority="6685" operator="containsText" text="Missing">
      <formula>NOT(ISERROR(SEARCH("Missing",H2627)))</formula>
    </cfRule>
  </conditionalFormatting>
  <conditionalFormatting sqref="H2623">
    <cfRule type="containsText" dxfId="5600" priority="6683" operator="containsText" text="Missing">
      <formula>NOT(ISERROR(SEARCH("Missing",H2623)))</formula>
    </cfRule>
  </conditionalFormatting>
  <conditionalFormatting sqref="H2623">
    <cfRule type="containsText" dxfId="5599" priority="6682" operator="containsText" text="Missing">
      <formula>NOT(ISERROR(SEARCH("Missing",H2623)))</formula>
    </cfRule>
  </conditionalFormatting>
  <conditionalFormatting sqref="L2299:L2301">
    <cfRule type="containsText" dxfId="5598" priority="6298" operator="containsText" text="Positive">
      <formula>NOT(ISERROR(SEARCH("Positive",L2299)))</formula>
    </cfRule>
    <cfRule type="containsText" dxfId="5597" priority="6299" operator="containsText" text="Negative">
      <formula>NOT(ISERROR(SEARCH("Negative",L2299)))</formula>
    </cfRule>
  </conditionalFormatting>
  <conditionalFormatting sqref="L2313">
    <cfRule type="containsText" dxfId="5596" priority="6229" operator="containsText" text="Positive">
      <formula>NOT(ISERROR(SEARCH("Positive",L2313)))</formula>
    </cfRule>
    <cfRule type="containsText" dxfId="5595" priority="6230" operator="containsText" text="Negative">
      <formula>NOT(ISERROR(SEARCH("Negative",L2313)))</formula>
    </cfRule>
  </conditionalFormatting>
  <conditionalFormatting sqref="L2313">
    <cfRule type="containsText" dxfId="5594" priority="6227" operator="containsText" text="Positive">
      <formula>NOT(ISERROR(SEARCH("Positive",L2313)))</formula>
    </cfRule>
    <cfRule type="containsText" dxfId="5593" priority="6228" operator="containsText" text="Negative">
      <formula>NOT(ISERROR(SEARCH("Negative",L2313)))</formula>
    </cfRule>
  </conditionalFormatting>
  <conditionalFormatting sqref="L2304">
    <cfRule type="containsText" dxfId="5592" priority="6266" operator="containsText" text="Positive">
      <formula>NOT(ISERROR(SEARCH("Positive",L2304)))</formula>
    </cfRule>
    <cfRule type="containsText" dxfId="5591" priority="6267" operator="containsText" text="Negative">
      <formula>NOT(ISERROR(SEARCH("Negative",L2304)))</formula>
    </cfRule>
  </conditionalFormatting>
  <conditionalFormatting sqref="L2343">
    <cfRule type="containsText" dxfId="5590" priority="6098" operator="containsText" text="Positive">
      <formula>NOT(ISERROR(SEARCH("Positive",L2343)))</formula>
    </cfRule>
    <cfRule type="containsText" dxfId="5589" priority="6099" operator="containsText" text="Negative">
      <formula>NOT(ISERROR(SEARCH("Negative",L2343)))</formula>
    </cfRule>
  </conditionalFormatting>
  <conditionalFormatting sqref="L2343">
    <cfRule type="containsText" dxfId="5588" priority="6096" operator="containsText" text="Positive">
      <formula>NOT(ISERROR(SEARCH("Positive",L2343)))</formula>
    </cfRule>
    <cfRule type="containsText" dxfId="5587" priority="6097" operator="containsText" text="Negative">
      <formula>NOT(ISERROR(SEARCH("Negative",L2343)))</formula>
    </cfRule>
  </conditionalFormatting>
  <conditionalFormatting sqref="L2305">
    <cfRule type="containsText" dxfId="5586" priority="6081" operator="containsText" text="Positive">
      <formula>NOT(ISERROR(SEARCH("Positive",L2305)))</formula>
    </cfRule>
    <cfRule type="containsText" dxfId="5585" priority="6082" operator="containsText" text="Negative">
      <formula>NOT(ISERROR(SEARCH("Negative",L2305)))</formula>
    </cfRule>
  </conditionalFormatting>
  <conditionalFormatting sqref="J2302">
    <cfRule type="containsText" dxfId="5584" priority="6278" operator="containsText" text="Missing">
      <formula>NOT(ISERROR(SEARCH("Missing",J2302)))</formula>
    </cfRule>
  </conditionalFormatting>
  <conditionalFormatting sqref="J2301">
    <cfRule type="containsText" dxfId="5583" priority="6289" operator="containsText" text="Missing">
      <formula>NOT(ISERROR(SEARCH("Missing",J2301)))</formula>
    </cfRule>
  </conditionalFormatting>
  <conditionalFormatting sqref="H2299:H2301">
    <cfRule type="containsText" dxfId="5582" priority="6300" operator="containsText" text="Missing">
      <formula>NOT(ISERROR(SEARCH("Missing",H2299)))</formula>
    </cfRule>
  </conditionalFormatting>
  <conditionalFormatting sqref="J2299">
    <cfRule type="containsText" dxfId="5581" priority="6295" operator="containsText" text="Missing">
      <formula>NOT(ISERROR(SEARCH("Missing",J2299)))</formula>
    </cfRule>
  </conditionalFormatting>
  <conditionalFormatting sqref="J2302">
    <cfRule type="containsText" dxfId="5580" priority="6277" operator="containsText" text="Missing">
      <formula>NOT(ISERROR(SEARCH("Missing",J2302)))</formula>
    </cfRule>
  </conditionalFormatting>
  <conditionalFormatting sqref="H2299:H2301">
    <cfRule type="containsText" dxfId="5579" priority="6292" operator="containsText" text="Missing">
      <formula>NOT(ISERROR(SEARCH("Missing",H2299)))</formula>
    </cfRule>
  </conditionalFormatting>
  <conditionalFormatting sqref="J2303">
    <cfRule type="containsText" dxfId="5578" priority="6275" operator="containsText" text="Missing">
      <formula>NOT(ISERROR(SEARCH("Missing",J2303)))</formula>
    </cfRule>
  </conditionalFormatting>
  <conditionalFormatting sqref="J2300">
    <cfRule type="containsText" dxfId="5577" priority="6291" operator="containsText" text="Missing">
      <formula>NOT(ISERROR(SEARCH("Missing",J2300)))</formula>
    </cfRule>
  </conditionalFormatting>
  <conditionalFormatting sqref="K2302:K2303">
    <cfRule type="containsText" dxfId="5576" priority="6273" operator="containsText" text="Missing">
      <formula>NOT(ISERROR(SEARCH("Missing",K2302)))</formula>
    </cfRule>
  </conditionalFormatting>
  <conditionalFormatting sqref="J2300">
    <cfRule type="containsText" dxfId="5575" priority="6290" operator="containsText" text="Missing">
      <formula>NOT(ISERROR(SEARCH("Missing",J2300)))</formula>
    </cfRule>
  </conditionalFormatting>
  <conditionalFormatting sqref="J2301">
    <cfRule type="containsText" dxfId="5574" priority="6288" operator="containsText" text="Missing">
      <formula>NOT(ISERROR(SEARCH("Missing",J2301)))</formula>
    </cfRule>
  </conditionalFormatting>
  <conditionalFormatting sqref="K2299:K2301">
    <cfRule type="containsText" dxfId="5573" priority="6287" operator="containsText" text="Missing">
      <formula>NOT(ISERROR(SEARCH("Missing",K2299)))</formula>
    </cfRule>
  </conditionalFormatting>
  <conditionalFormatting sqref="L2329:L2331">
    <cfRule type="containsText" dxfId="5572" priority="6171" operator="containsText" text="Positive">
      <formula>NOT(ISERROR(SEARCH("Positive",L2329)))</formula>
    </cfRule>
    <cfRule type="containsText" dxfId="5571" priority="6172" operator="containsText" text="Negative">
      <formula>NOT(ISERROR(SEARCH("Negative",L2329)))</formula>
    </cfRule>
  </conditionalFormatting>
  <conditionalFormatting sqref="K2299:K2301">
    <cfRule type="containsText" dxfId="5570" priority="6285" operator="containsText" text="Missing">
      <formula>NOT(ISERROR(SEARCH("Missing",K2299)))</formula>
    </cfRule>
  </conditionalFormatting>
  <conditionalFormatting sqref="K2299:K2301">
    <cfRule type="containsText" dxfId="5569" priority="6286" operator="containsText" text="Missing">
      <formula>NOT(ISERROR(SEARCH("Missing",K2299)))</formula>
    </cfRule>
  </conditionalFormatting>
  <conditionalFormatting sqref="L2342">
    <cfRule type="containsText" dxfId="5568" priority="6109" operator="containsText" text="Positive">
      <formula>NOT(ISERROR(SEARCH("Positive",L2342)))</formula>
    </cfRule>
    <cfRule type="containsText" dxfId="5567" priority="6110" operator="containsText" text="Negative">
      <formula>NOT(ISERROR(SEARCH("Negative",L2342)))</formula>
    </cfRule>
  </conditionalFormatting>
  <conditionalFormatting sqref="J2309">
    <cfRule type="containsText" dxfId="5566" priority="6258" operator="containsText" text="Missing">
      <formula>NOT(ISERROR(SEARCH("Missing",J2309)))</formula>
    </cfRule>
  </conditionalFormatting>
  <conditionalFormatting sqref="J2303">
    <cfRule type="containsText" dxfId="5565" priority="6276" operator="containsText" text="Missing">
      <formula>NOT(ISERROR(SEARCH("Missing",J2303)))</formula>
    </cfRule>
  </conditionalFormatting>
  <conditionalFormatting sqref="K2302:K2303">
    <cfRule type="containsText" dxfId="5564" priority="6274" operator="containsText" text="Missing">
      <formula>NOT(ISERROR(SEARCH("Missing",K2302)))</formula>
    </cfRule>
  </conditionalFormatting>
  <conditionalFormatting sqref="L2342">
    <cfRule type="containsText" dxfId="5563" priority="6107" operator="containsText" text="Positive">
      <formula>NOT(ISERROR(SEARCH("Positive",L2342)))</formula>
    </cfRule>
    <cfRule type="containsText" dxfId="5562" priority="6108" operator="containsText" text="Negative">
      <formula>NOT(ISERROR(SEARCH("Negative",L2342)))</formula>
    </cfRule>
  </conditionalFormatting>
  <conditionalFormatting sqref="K2302:K2303">
    <cfRule type="containsText" dxfId="5561" priority="6272" operator="containsText" text="Missing">
      <formula>NOT(ISERROR(SEARCH("Missing",K2302)))</formula>
    </cfRule>
  </conditionalFormatting>
  <conditionalFormatting sqref="L2305">
    <cfRule type="containsText" dxfId="5560" priority="6085" operator="containsText" text="Positive">
      <formula>NOT(ISERROR(SEARCH("Positive",L2305)))</formula>
    </cfRule>
    <cfRule type="containsText" dxfId="5559" priority="6086" operator="containsText" text="Negative">
      <formula>NOT(ISERROR(SEARCH("Negative",L2305)))</formula>
    </cfRule>
  </conditionalFormatting>
  <conditionalFormatting sqref="L2314">
    <cfRule type="containsText" dxfId="5558" priority="6063" operator="containsText" text="Positive">
      <formula>NOT(ISERROR(SEARCH("Positive",L2314)))</formula>
    </cfRule>
    <cfRule type="containsText" dxfId="5557" priority="6064" operator="containsText" text="Negative">
      <formula>NOT(ISERROR(SEARCH("Negative",L2314)))</formula>
    </cfRule>
  </conditionalFormatting>
  <conditionalFormatting sqref="K2304">
    <cfRule type="containsText" dxfId="5556" priority="6261" operator="containsText" text="Missing">
      <formula>NOT(ISERROR(SEARCH("Missing",K2304)))</formula>
    </cfRule>
  </conditionalFormatting>
  <conditionalFormatting sqref="H2304">
    <cfRule type="containsText" dxfId="5555" priority="6260" operator="containsText" text="Missing">
      <formula>NOT(ISERROR(SEARCH("Missing",H2304)))</formula>
    </cfRule>
  </conditionalFormatting>
  <conditionalFormatting sqref="H2304">
    <cfRule type="containsText" dxfId="5554" priority="6259" operator="containsText" text="Missing">
      <formula>NOT(ISERROR(SEARCH("Missing",H2304)))</formula>
    </cfRule>
  </conditionalFormatting>
  <conditionalFormatting sqref="K2309:K2311">
    <cfRule type="containsText" dxfId="5553" priority="6243" operator="containsText" text="Missing">
      <formula>NOT(ISERROR(SEARCH("Missing",K2309)))</formula>
    </cfRule>
  </conditionalFormatting>
  <conditionalFormatting sqref="K2318:K2320">
    <cfRule type="containsText" dxfId="5552" priority="6201" operator="containsText" text="Missing">
      <formula>NOT(ISERROR(SEARCH("Missing",K2318)))</formula>
    </cfRule>
  </conditionalFormatting>
  <conditionalFormatting sqref="K2309:K2311">
    <cfRule type="containsText" dxfId="5551" priority="6242" operator="containsText" text="Missing">
      <formula>NOT(ISERROR(SEARCH("Missing",K2309)))</formula>
    </cfRule>
  </conditionalFormatting>
  <conditionalFormatting sqref="J2310">
    <cfRule type="containsText" dxfId="5550" priority="6248" operator="containsText" text="Missing">
      <formula>NOT(ISERROR(SEARCH("Missing",J2310)))</formula>
    </cfRule>
  </conditionalFormatting>
  <conditionalFormatting sqref="K2312">
    <cfRule type="containsText" dxfId="5549" priority="6233" operator="containsText" text="Missing">
      <formula>NOT(ISERROR(SEARCH("Missing",K2312)))</formula>
    </cfRule>
  </conditionalFormatting>
  <conditionalFormatting sqref="J2319">
    <cfRule type="containsText" dxfId="5548" priority="6206" operator="containsText" text="Missing">
      <formula>NOT(ISERROR(SEARCH("Missing",J2319)))</formula>
    </cfRule>
  </conditionalFormatting>
  <conditionalFormatting sqref="J2311">
    <cfRule type="containsText" dxfId="5547" priority="6245" operator="containsText" text="Missing">
      <formula>NOT(ISERROR(SEARCH("Missing",J2311)))</formula>
    </cfRule>
  </conditionalFormatting>
  <conditionalFormatting sqref="K2309:K2311">
    <cfRule type="containsText" dxfId="5546" priority="6244" operator="containsText" text="Missing">
      <formula>NOT(ISERROR(SEARCH("Missing",K2309)))</formula>
    </cfRule>
  </conditionalFormatting>
  <conditionalFormatting sqref="J2320">
    <cfRule type="containsText" dxfId="5545" priority="6203" operator="containsText" text="Missing">
      <formula>NOT(ISERROR(SEARCH("Missing",J2320)))</formula>
    </cfRule>
  </conditionalFormatting>
  <conditionalFormatting sqref="J2312">
    <cfRule type="containsText" dxfId="5544" priority="6235" operator="containsText" text="Missing">
      <formula>NOT(ISERROR(SEARCH("Missing",J2312)))</formula>
    </cfRule>
  </conditionalFormatting>
  <conditionalFormatting sqref="K2334">
    <cfRule type="containsText" dxfId="5543" priority="6135" operator="containsText" text="Missing">
      <formula>NOT(ISERROR(SEARCH("Missing",K2334)))</formula>
    </cfRule>
  </conditionalFormatting>
  <conditionalFormatting sqref="J2312">
    <cfRule type="containsText" dxfId="5542" priority="6234" operator="containsText" text="Missing">
      <formula>NOT(ISERROR(SEARCH("Missing",J2312)))</formula>
    </cfRule>
  </conditionalFormatting>
  <conditionalFormatting sqref="K2322">
    <cfRule type="containsText" dxfId="5541" priority="6178" operator="containsText" text="Missing">
      <formula>NOT(ISERROR(SEARCH("Missing",K2322)))</formula>
    </cfRule>
  </conditionalFormatting>
  <conditionalFormatting sqref="J2313">
    <cfRule type="containsText" dxfId="5540" priority="6224" operator="containsText" text="Missing">
      <formula>NOT(ISERROR(SEARCH("Missing",J2313)))</formula>
    </cfRule>
  </conditionalFormatting>
  <conditionalFormatting sqref="J2313">
    <cfRule type="containsText" dxfId="5539" priority="6223" operator="containsText" text="Missing">
      <formula>NOT(ISERROR(SEARCH("Missing",J2313)))</formula>
    </cfRule>
  </conditionalFormatting>
  <conditionalFormatting sqref="K2313">
    <cfRule type="containsText" dxfId="5538" priority="6222" operator="containsText" text="Missing">
      <formula>NOT(ISERROR(SEARCH("Missing",K2313)))</formula>
    </cfRule>
  </conditionalFormatting>
  <conditionalFormatting sqref="K2313">
    <cfRule type="containsText" dxfId="5537" priority="6220" operator="containsText" text="Missing">
      <formula>NOT(ISERROR(SEARCH("Missing",K2313)))</formula>
    </cfRule>
  </conditionalFormatting>
  <conditionalFormatting sqref="K2313">
    <cfRule type="containsText" dxfId="5536" priority="6221" operator="containsText" text="Missing">
      <formula>NOT(ISERROR(SEARCH("Missing",K2313)))</formula>
    </cfRule>
  </conditionalFormatting>
  <conditionalFormatting sqref="L2329:L2331">
    <cfRule type="containsText" dxfId="5535" priority="6166" operator="containsText" text="Positive">
      <formula>NOT(ISERROR(SEARCH("Positive",L2329)))</formula>
    </cfRule>
    <cfRule type="containsText" dxfId="5534" priority="6167" operator="containsText" text="Negative">
      <formula>NOT(ISERROR(SEARCH("Negative",L2329)))</formula>
    </cfRule>
  </conditionalFormatting>
  <conditionalFormatting sqref="K2321">
    <cfRule type="containsText" dxfId="5533" priority="6189" operator="containsText" text="Missing">
      <formula>NOT(ISERROR(SEARCH("Missing",K2321)))</formula>
    </cfRule>
  </conditionalFormatting>
  <conditionalFormatting sqref="J2320">
    <cfRule type="containsText" dxfId="5532" priority="6204" operator="containsText" text="Missing">
      <formula>NOT(ISERROR(SEARCH("Missing",J2320)))</formula>
    </cfRule>
  </conditionalFormatting>
  <conditionalFormatting sqref="K2321">
    <cfRule type="containsText" dxfId="5531" priority="6191" operator="containsText" text="Missing">
      <formula>NOT(ISERROR(SEARCH("Missing",K2321)))</formula>
    </cfRule>
  </conditionalFormatting>
  <conditionalFormatting sqref="J2318">
    <cfRule type="containsText" dxfId="5530" priority="6210" operator="containsText" text="Missing">
      <formula>NOT(ISERROR(SEARCH("Missing",J2318)))</formula>
    </cfRule>
  </conditionalFormatting>
  <conditionalFormatting sqref="J2321">
    <cfRule type="containsText" dxfId="5529" priority="6192" operator="containsText" text="Missing">
      <formula>NOT(ISERROR(SEARCH("Missing",J2321)))</formula>
    </cfRule>
  </conditionalFormatting>
  <conditionalFormatting sqref="J2319">
    <cfRule type="containsText" dxfId="5528" priority="6205" operator="containsText" text="Missing">
      <formula>NOT(ISERROR(SEARCH("Missing",J2319)))</formula>
    </cfRule>
  </conditionalFormatting>
  <conditionalFormatting sqref="K2318:K2320">
    <cfRule type="containsText" dxfId="5527" priority="6202" operator="containsText" text="Missing">
      <formula>NOT(ISERROR(SEARCH("Missing",K2318)))</formula>
    </cfRule>
  </conditionalFormatting>
  <conditionalFormatting sqref="K2321">
    <cfRule type="containsText" dxfId="5526" priority="6190" operator="containsText" text="Missing">
      <formula>NOT(ISERROR(SEARCH("Missing",K2321)))</formula>
    </cfRule>
  </conditionalFormatting>
  <conditionalFormatting sqref="K2318:K2320">
    <cfRule type="containsText" dxfId="5525" priority="6200" operator="containsText" text="Missing">
      <formula>NOT(ISERROR(SEARCH("Missing",K2318)))</formula>
    </cfRule>
  </conditionalFormatting>
  <conditionalFormatting sqref="L2314">
    <cfRule type="containsText" dxfId="5524" priority="6059" operator="containsText" text="Positive">
      <formula>NOT(ISERROR(SEARCH("Positive",L2314)))</formula>
    </cfRule>
    <cfRule type="containsText" dxfId="5523" priority="6060" operator="containsText" text="Negative">
      <formula>NOT(ISERROR(SEARCH("Negative",L2314)))</formula>
    </cfRule>
  </conditionalFormatting>
  <conditionalFormatting sqref="K2329:K2331">
    <cfRule type="containsText" dxfId="5522" priority="6159" operator="containsText" text="Missing">
      <formula>NOT(ISERROR(SEARCH("Missing",K2329)))</formula>
    </cfRule>
  </conditionalFormatting>
  <conditionalFormatting sqref="J2332">
    <cfRule type="containsText" dxfId="5521" priority="6150" operator="containsText" text="Missing">
      <formula>NOT(ISERROR(SEARCH("Missing",J2332)))</formula>
    </cfRule>
  </conditionalFormatting>
  <conditionalFormatting sqref="L2306">
    <cfRule type="containsText" dxfId="5520" priority="6072" operator="containsText" text="Positive">
      <formula>NOT(ISERROR(SEARCH("Positive",L2306)))</formula>
    </cfRule>
    <cfRule type="containsText" dxfId="5519" priority="6073" operator="containsText" text="Negative">
      <formula>NOT(ISERROR(SEARCH("Negative",L2306)))</formula>
    </cfRule>
  </conditionalFormatting>
  <conditionalFormatting sqref="L2306">
    <cfRule type="containsText" dxfId="5518" priority="6070" operator="containsText" text="Positive">
      <formula>NOT(ISERROR(SEARCH("Positive",L2306)))</formula>
    </cfRule>
    <cfRule type="containsText" dxfId="5517" priority="6071" operator="containsText" text="Negative">
      <formula>NOT(ISERROR(SEARCH("Negative",L2306)))</formula>
    </cfRule>
  </conditionalFormatting>
  <conditionalFormatting sqref="K2334">
    <cfRule type="containsText" dxfId="5516" priority="6136" operator="containsText" text="Missing">
      <formula>NOT(ISERROR(SEARCH("Missing",K2334)))</formula>
    </cfRule>
  </conditionalFormatting>
  <conditionalFormatting sqref="J2329">
    <cfRule type="containsText" dxfId="5515" priority="6168" operator="containsText" text="Missing">
      <formula>NOT(ISERROR(SEARCH("Missing",J2329)))</formula>
    </cfRule>
  </conditionalFormatting>
  <conditionalFormatting sqref="K2322">
    <cfRule type="containsText" dxfId="5514" priority="6179" operator="containsText" text="Missing">
      <formula>NOT(ISERROR(SEARCH("Missing",K2322)))</formula>
    </cfRule>
  </conditionalFormatting>
  <conditionalFormatting sqref="L2306">
    <cfRule type="containsText" dxfId="5513" priority="6074" operator="containsText" text="Positive">
      <formula>NOT(ISERROR(SEARCH("Positive",L2306)))</formula>
    </cfRule>
    <cfRule type="containsText" dxfId="5512" priority="6075" operator="containsText" text="Negative">
      <formula>NOT(ISERROR(SEARCH("Negative",L2306)))</formula>
    </cfRule>
  </conditionalFormatting>
  <conditionalFormatting sqref="L2305">
    <cfRule type="containsText" dxfId="5511" priority="6083" operator="containsText" text="Positive">
      <formula>NOT(ISERROR(SEARCH("Positive",L2305)))</formula>
    </cfRule>
    <cfRule type="containsText" dxfId="5510" priority="6084" operator="containsText" text="Negative">
      <formula>NOT(ISERROR(SEARCH("Negative",L2305)))</formula>
    </cfRule>
  </conditionalFormatting>
  <conditionalFormatting sqref="K2306">
    <cfRule type="containsText" dxfId="5509" priority="6067" operator="containsText" text="Missing">
      <formula>NOT(ISERROR(SEARCH("Missing",K2306)))</formula>
    </cfRule>
  </conditionalFormatting>
  <conditionalFormatting sqref="K2332:K2333">
    <cfRule type="containsText" dxfId="5508" priority="6147" operator="containsText" text="Missing">
      <formula>NOT(ISERROR(SEARCH("Missing",K2332)))</formula>
    </cfRule>
  </conditionalFormatting>
  <conditionalFormatting sqref="J2331">
    <cfRule type="containsText" dxfId="5507" priority="6161" operator="containsText" text="Missing">
      <formula>NOT(ISERROR(SEARCH("Missing",J2331)))</formula>
    </cfRule>
  </conditionalFormatting>
  <conditionalFormatting sqref="K2329:K2331">
    <cfRule type="containsText" dxfId="5506" priority="6160" operator="containsText" text="Missing">
      <formula>NOT(ISERROR(SEARCH("Missing",K2329)))</formula>
    </cfRule>
  </conditionalFormatting>
  <conditionalFormatting sqref="K2339:K2341">
    <cfRule type="containsText" dxfId="5505" priority="6113" operator="containsText" text="Missing">
      <formula>NOT(ISERROR(SEARCH("Missing",K2339)))</formula>
    </cfRule>
  </conditionalFormatting>
  <conditionalFormatting sqref="J2333">
    <cfRule type="containsText" dxfId="5504" priority="6148" operator="containsText" text="Missing">
      <formula>NOT(ISERROR(SEARCH("Missing",J2333)))</formula>
    </cfRule>
  </conditionalFormatting>
  <conditionalFormatting sqref="J2333">
    <cfRule type="containsText" dxfId="5503" priority="6149" operator="containsText" text="Missing">
      <formula>NOT(ISERROR(SEARCH("Missing",J2333)))</formula>
    </cfRule>
  </conditionalFormatting>
  <conditionalFormatting sqref="J2332">
    <cfRule type="containsText" dxfId="5502" priority="6151" operator="containsText" text="Missing">
      <formula>NOT(ISERROR(SEARCH("Missing",J2332)))</formula>
    </cfRule>
  </conditionalFormatting>
  <conditionalFormatting sqref="K2343">
    <cfRule type="containsText" dxfId="5501" priority="6089" operator="containsText" text="Missing">
      <formula>NOT(ISERROR(SEARCH("Missing",K2343)))</formula>
    </cfRule>
  </conditionalFormatting>
  <conditionalFormatting sqref="K2334">
    <cfRule type="containsText" dxfId="5500" priority="6134" operator="containsText" text="Missing">
      <formula>NOT(ISERROR(SEARCH("Missing",K2334)))</formula>
    </cfRule>
  </conditionalFormatting>
  <conditionalFormatting sqref="J2306">
    <cfRule type="containsText" dxfId="5499" priority="6068" operator="containsText" text="Missing">
      <formula>NOT(ISERROR(SEARCH("Missing",J2306)))</formula>
    </cfRule>
  </conditionalFormatting>
  <conditionalFormatting sqref="K2332:K2333">
    <cfRule type="containsText" dxfId="5498" priority="6146" operator="containsText" text="Missing">
      <formula>NOT(ISERROR(SEARCH("Missing",K2332)))</formula>
    </cfRule>
  </conditionalFormatting>
  <conditionalFormatting sqref="K2332:K2333">
    <cfRule type="containsText" dxfId="5497" priority="6145" operator="containsText" text="Missing">
      <formula>NOT(ISERROR(SEARCH("Missing",K2332)))</formula>
    </cfRule>
  </conditionalFormatting>
  <conditionalFormatting sqref="K2306">
    <cfRule type="containsText" dxfId="5496" priority="6065" operator="containsText" text="Missing">
      <formula>NOT(ISERROR(SEARCH("Missing",K2306)))</formula>
    </cfRule>
  </conditionalFormatting>
  <conditionalFormatting sqref="J2334">
    <cfRule type="containsText" dxfId="5495" priority="6138" operator="containsText" text="Missing">
      <formula>NOT(ISERROR(SEARCH("Missing",J2334)))</formula>
    </cfRule>
  </conditionalFormatting>
  <conditionalFormatting sqref="J2334">
    <cfRule type="containsText" dxfId="5494" priority="6137" operator="containsText" text="Missing">
      <formula>NOT(ISERROR(SEARCH("Missing",J2334)))</formula>
    </cfRule>
  </conditionalFormatting>
  <conditionalFormatting sqref="J2305">
    <cfRule type="containsText" dxfId="5493" priority="6079" operator="containsText" text="Missing">
      <formula>NOT(ISERROR(SEARCH("Missing",J2305)))</formula>
    </cfRule>
  </conditionalFormatting>
  <conditionalFormatting sqref="K2343">
    <cfRule type="containsText" dxfId="5492" priority="6090" operator="containsText" text="Missing">
      <formula>NOT(ISERROR(SEARCH("Missing",K2343)))</formula>
    </cfRule>
  </conditionalFormatting>
  <conditionalFormatting sqref="J2343">
    <cfRule type="containsText" dxfId="5491" priority="6093" operator="containsText" text="Missing">
      <formula>NOT(ISERROR(SEARCH("Missing",J2343)))</formula>
    </cfRule>
  </conditionalFormatting>
  <conditionalFormatting sqref="J2341">
    <cfRule type="containsText" dxfId="5490" priority="6115" operator="containsText" text="Missing">
      <formula>NOT(ISERROR(SEARCH("Missing",J2341)))</formula>
    </cfRule>
  </conditionalFormatting>
  <conditionalFormatting sqref="J2341">
    <cfRule type="containsText" dxfId="5489" priority="6114" operator="containsText" text="Missing">
      <formula>NOT(ISERROR(SEARCH("Missing",J2341)))</formula>
    </cfRule>
  </conditionalFormatting>
  <conditionalFormatting sqref="J2342">
    <cfRule type="containsText" dxfId="5488" priority="6104" operator="containsText" text="Missing">
      <formula>NOT(ISERROR(SEARCH("Missing",J2342)))</formula>
    </cfRule>
  </conditionalFormatting>
  <conditionalFormatting sqref="J2342">
    <cfRule type="containsText" dxfId="5487" priority="6103" operator="containsText" text="Missing">
      <formula>NOT(ISERROR(SEARCH("Missing",J2342)))</formula>
    </cfRule>
  </conditionalFormatting>
  <conditionalFormatting sqref="J2324">
    <cfRule type="containsText" dxfId="5486" priority="6023" operator="containsText" text="Missing">
      <formula>NOT(ISERROR(SEARCH("Missing",J2324)))</formula>
    </cfRule>
  </conditionalFormatting>
  <conditionalFormatting sqref="K2342">
    <cfRule type="containsText" dxfId="5485" priority="6102" operator="containsText" text="Missing">
      <formula>NOT(ISERROR(SEARCH("Missing",K2342)))</formula>
    </cfRule>
  </conditionalFormatting>
  <conditionalFormatting sqref="K2305">
    <cfRule type="containsText" dxfId="5484" priority="6076" operator="containsText" text="Missing">
      <formula>NOT(ISERROR(SEARCH("Missing",K2305)))</formula>
    </cfRule>
  </conditionalFormatting>
  <conditionalFormatting sqref="J2314">
    <cfRule type="containsText" dxfId="5483" priority="6057" operator="containsText" text="Missing">
      <formula>NOT(ISERROR(SEARCH("Missing",J2314)))</formula>
    </cfRule>
  </conditionalFormatting>
  <conditionalFormatting sqref="J2314">
    <cfRule type="containsText" dxfId="5482" priority="6058" operator="containsText" text="Missing">
      <formula>NOT(ISERROR(SEARCH("Missing",J2314)))</formula>
    </cfRule>
  </conditionalFormatting>
  <conditionalFormatting sqref="J2343">
    <cfRule type="containsText" dxfId="5481" priority="6092" operator="containsText" text="Missing">
      <formula>NOT(ISERROR(SEARCH("Missing",J2343)))</formula>
    </cfRule>
  </conditionalFormatting>
  <conditionalFormatting sqref="K2343">
    <cfRule type="containsText" dxfId="5480" priority="6091" operator="containsText" text="Missing">
      <formula>NOT(ISERROR(SEARCH("Missing",K2343)))</formula>
    </cfRule>
  </conditionalFormatting>
  <conditionalFormatting sqref="K2306">
    <cfRule type="containsText" dxfId="5479" priority="6066" operator="containsText" text="Missing">
      <formula>NOT(ISERROR(SEARCH("Missing",K2306)))</formula>
    </cfRule>
  </conditionalFormatting>
  <conditionalFormatting sqref="K2305">
    <cfRule type="containsText" dxfId="5478" priority="6078" operator="containsText" text="Missing">
      <formula>NOT(ISERROR(SEARCH("Missing",K2305)))</formula>
    </cfRule>
  </conditionalFormatting>
  <conditionalFormatting sqref="L2314">
    <cfRule type="containsText" dxfId="5477" priority="6061" operator="containsText" text="Positive">
      <formula>NOT(ISERROR(SEARCH("Positive",L2314)))</formula>
    </cfRule>
    <cfRule type="containsText" dxfId="5476" priority="6062" operator="containsText" text="Negative">
      <formula>NOT(ISERROR(SEARCH("Negative",L2314)))</formula>
    </cfRule>
  </conditionalFormatting>
  <conditionalFormatting sqref="K2305">
    <cfRule type="containsText" dxfId="5475" priority="6077" operator="containsText" text="Missing">
      <formula>NOT(ISERROR(SEARCH("Missing",K2305)))</formula>
    </cfRule>
  </conditionalFormatting>
  <conditionalFormatting sqref="J2305">
    <cfRule type="containsText" dxfId="5474" priority="6080" operator="containsText" text="Missing">
      <formula>NOT(ISERROR(SEARCH("Missing",J2305)))</formula>
    </cfRule>
  </conditionalFormatting>
  <conditionalFormatting sqref="K2324">
    <cfRule type="containsText" dxfId="5473" priority="6019" operator="containsText" text="Missing">
      <formula>NOT(ISERROR(SEARCH("Missing",K2324)))</formula>
    </cfRule>
  </conditionalFormatting>
  <conditionalFormatting sqref="J2306">
    <cfRule type="containsText" dxfId="5472" priority="6069" operator="containsText" text="Missing">
      <formula>NOT(ISERROR(SEARCH("Missing",J2306)))</formula>
    </cfRule>
  </conditionalFormatting>
  <conditionalFormatting sqref="K2314">
    <cfRule type="containsText" dxfId="5471" priority="6056" operator="containsText" text="Missing">
      <formula>NOT(ISERROR(SEARCH("Missing",K2314)))</formula>
    </cfRule>
  </conditionalFormatting>
  <conditionalFormatting sqref="K2335">
    <cfRule type="containsText" dxfId="5470" priority="6009" operator="containsText" text="Missing">
      <formula>NOT(ISERROR(SEARCH("Missing",K2335)))</formula>
    </cfRule>
  </conditionalFormatting>
  <conditionalFormatting sqref="L2315">
    <cfRule type="containsText" dxfId="5469" priority="6050" operator="containsText" text="Positive">
      <formula>NOT(ISERROR(SEARCH("Positive",L2315)))</formula>
    </cfRule>
    <cfRule type="containsText" dxfId="5468" priority="6051" operator="containsText" text="Negative">
      <formula>NOT(ISERROR(SEARCH("Negative",L2315)))</formula>
    </cfRule>
  </conditionalFormatting>
  <conditionalFormatting sqref="J2385">
    <cfRule type="containsText" dxfId="5467" priority="5359" operator="containsText" text="Missing">
      <formula>NOT(ISERROR(SEARCH("Missing",J2385)))</formula>
    </cfRule>
  </conditionalFormatting>
  <conditionalFormatting sqref="J2324">
    <cfRule type="containsText" dxfId="5466" priority="6022" operator="containsText" text="Missing">
      <formula>NOT(ISERROR(SEARCH("Missing",J2324)))</formula>
    </cfRule>
  </conditionalFormatting>
  <conditionalFormatting sqref="K2324">
    <cfRule type="containsText" dxfId="5465" priority="6021" operator="containsText" text="Missing">
      <formula>NOT(ISERROR(SEARCH("Missing",K2324)))</formula>
    </cfRule>
  </conditionalFormatting>
  <conditionalFormatting sqref="K2324">
    <cfRule type="containsText" dxfId="5464" priority="6020" operator="containsText" text="Missing">
      <formula>NOT(ISERROR(SEARCH("Missing",K2324)))</formula>
    </cfRule>
  </conditionalFormatting>
  <conditionalFormatting sqref="J2335">
    <cfRule type="containsText" dxfId="5463" priority="6012" operator="containsText" text="Missing">
      <formula>NOT(ISERROR(SEARCH("Missing",J2335)))</formula>
    </cfRule>
  </conditionalFormatting>
  <conditionalFormatting sqref="J2335">
    <cfRule type="containsText" dxfId="5462" priority="6011" operator="containsText" text="Missing">
      <formula>NOT(ISERROR(SEARCH("Missing",J2335)))</formula>
    </cfRule>
  </conditionalFormatting>
  <conditionalFormatting sqref="K2335">
    <cfRule type="containsText" dxfId="5461" priority="6010" operator="containsText" text="Missing">
      <formula>NOT(ISERROR(SEARCH("Missing",K2335)))</formula>
    </cfRule>
  </conditionalFormatting>
  <conditionalFormatting sqref="K2335">
    <cfRule type="containsText" dxfId="5460" priority="6008" operator="containsText" text="Missing">
      <formula>NOT(ISERROR(SEARCH("Missing",K2335)))</formula>
    </cfRule>
  </conditionalFormatting>
  <conditionalFormatting sqref="J2336">
    <cfRule type="containsText" dxfId="5459" priority="6001" operator="containsText" text="Missing">
      <formula>NOT(ISERROR(SEARCH("Missing",J2336)))</formula>
    </cfRule>
  </conditionalFormatting>
  <conditionalFormatting sqref="K2336">
    <cfRule type="containsText" dxfId="5458" priority="5999" operator="containsText" text="Missing">
      <formula>NOT(ISERROR(SEARCH("Missing",K2336)))</formula>
    </cfRule>
  </conditionalFormatting>
  <conditionalFormatting sqref="J2336">
    <cfRule type="containsText" dxfId="5457" priority="6000" operator="containsText" text="Missing">
      <formula>NOT(ISERROR(SEARCH("Missing",J2336)))</formula>
    </cfRule>
  </conditionalFormatting>
  <conditionalFormatting sqref="K2336">
    <cfRule type="containsText" dxfId="5456" priority="5997" operator="containsText" text="Missing">
      <formula>NOT(ISERROR(SEARCH("Missing",K2336)))</formula>
    </cfRule>
  </conditionalFormatting>
  <conditionalFormatting sqref="K2336">
    <cfRule type="containsText" dxfId="5455" priority="5998" operator="containsText" text="Missing">
      <formula>NOT(ISERROR(SEARCH("Missing",K2336)))</formula>
    </cfRule>
  </conditionalFormatting>
  <conditionalFormatting sqref="J2344">
    <cfRule type="containsText" dxfId="5454" priority="5989" operator="containsText" text="Missing">
      <formula>NOT(ISERROR(SEARCH("Missing",J2344)))</formula>
    </cfRule>
  </conditionalFormatting>
  <conditionalFormatting sqref="J2344">
    <cfRule type="containsText" dxfId="5453" priority="5990" operator="containsText" text="Missing">
      <formula>NOT(ISERROR(SEARCH("Missing",J2344)))</formula>
    </cfRule>
  </conditionalFormatting>
  <conditionalFormatting sqref="K2345">
    <cfRule type="containsText" dxfId="5452" priority="5977" operator="containsText" text="Missing">
      <formula>NOT(ISERROR(SEARCH("Missing",K2345)))</formula>
    </cfRule>
  </conditionalFormatting>
  <conditionalFormatting sqref="K2345">
    <cfRule type="containsText" dxfId="5451" priority="5976" operator="containsText" text="Missing">
      <formula>NOT(ISERROR(SEARCH("Missing",K2345)))</formula>
    </cfRule>
  </conditionalFormatting>
  <conditionalFormatting sqref="K2345">
    <cfRule type="containsText" dxfId="5450" priority="5975" operator="containsText" text="Missing">
      <formula>NOT(ISERROR(SEARCH("Missing",K2345)))</formula>
    </cfRule>
  </conditionalFormatting>
  <conditionalFormatting sqref="J2345">
    <cfRule type="containsText" dxfId="5449" priority="5978" operator="containsText" text="Missing">
      <formula>NOT(ISERROR(SEARCH("Missing",J2345)))</formula>
    </cfRule>
  </conditionalFormatting>
  <conditionalFormatting sqref="I2320">
    <cfRule type="containsText" dxfId="5448" priority="5955" operator="containsText" text="Missing">
      <formula>NOT(ISERROR(SEARCH("Missing",I2320)))</formula>
    </cfRule>
  </conditionalFormatting>
  <conditionalFormatting sqref="I2320">
    <cfRule type="containsText" dxfId="5447" priority="5956" operator="containsText" text="Missing">
      <formula>NOT(ISERROR(SEARCH("Missing",I2320)))</formula>
    </cfRule>
  </conditionalFormatting>
  <conditionalFormatting sqref="I2311">
    <cfRule type="containsText" dxfId="5446" priority="5954" operator="containsText" text="Missing">
      <formula>NOT(ISERROR(SEARCH("Missing",I2311)))</formula>
    </cfRule>
  </conditionalFormatting>
  <conditionalFormatting sqref="I2311">
    <cfRule type="containsText" dxfId="5445" priority="5953" operator="containsText" text="Missing">
      <formula>NOT(ISERROR(SEARCH("Missing",I2311)))</formula>
    </cfRule>
  </conditionalFormatting>
  <conditionalFormatting sqref="I2331">
    <cfRule type="containsText" dxfId="5444" priority="5950" operator="containsText" text="Missing">
      <formula>NOT(ISERROR(SEARCH("Missing",I2331)))</formula>
    </cfRule>
  </conditionalFormatting>
  <conditionalFormatting sqref="I2331">
    <cfRule type="containsText" dxfId="5443" priority="5949" operator="containsText" text="Missing">
      <formula>NOT(ISERROR(SEARCH("Missing",I2331)))</formula>
    </cfRule>
  </conditionalFormatting>
  <conditionalFormatting sqref="I2334:I2336">
    <cfRule type="containsText" dxfId="5442" priority="5948" operator="containsText" text="Missing">
      <formula>NOT(ISERROR(SEARCH("Missing",I2334)))</formula>
    </cfRule>
  </conditionalFormatting>
  <conditionalFormatting sqref="I2341">
    <cfRule type="containsText" dxfId="5441" priority="5946" operator="containsText" text="Missing">
      <formula>NOT(ISERROR(SEARCH("Missing",I2341)))</formula>
    </cfRule>
  </conditionalFormatting>
  <conditionalFormatting sqref="I2341">
    <cfRule type="containsText" dxfId="5440" priority="5947" operator="containsText" text="Missing">
      <formula>NOT(ISERROR(SEARCH("Missing",I2341)))</formula>
    </cfRule>
  </conditionalFormatting>
  <conditionalFormatting sqref="I2343:I2345">
    <cfRule type="containsText" dxfId="5439" priority="5945" operator="containsText" text="Missing">
      <formula>NOT(ISERROR(SEARCH("Missing",I2343)))</formula>
    </cfRule>
  </conditionalFormatting>
  <conditionalFormatting sqref="I2300:I2301">
    <cfRule type="containsText" dxfId="5438" priority="5943" operator="containsText" text="Missing">
      <formula>NOT(ISERROR(SEARCH("Missing",I2300)))</formula>
    </cfRule>
  </conditionalFormatting>
  <conditionalFormatting sqref="I2300:I2301">
    <cfRule type="containsText" dxfId="5437" priority="5944" operator="containsText" text="Missing">
      <formula>NOT(ISERROR(SEARCH("Missing",I2300)))</formula>
    </cfRule>
  </conditionalFormatting>
  <conditionalFormatting sqref="I2304">
    <cfRule type="containsText" dxfId="5436" priority="5942" operator="containsText" text="Missing">
      <formula>NOT(ISERROR(SEARCH("Missing",I2304)))</formula>
    </cfRule>
  </conditionalFormatting>
  <conditionalFormatting sqref="I2304">
    <cfRule type="containsText" dxfId="5435" priority="5941" operator="containsText" text="Missing">
      <formula>NOT(ISERROR(SEARCH("Missing",I2304)))</formula>
    </cfRule>
  </conditionalFormatting>
  <conditionalFormatting sqref="I2305">
    <cfRule type="containsText" dxfId="5434" priority="5940" operator="containsText" text="Missing">
      <formula>NOT(ISERROR(SEARCH("Missing",I2305)))</formula>
    </cfRule>
  </conditionalFormatting>
  <conditionalFormatting sqref="I2306">
    <cfRule type="containsText" dxfId="5433" priority="5938" operator="containsText" text="Missing">
      <formula>NOT(ISERROR(SEARCH("Missing",I2306)))</formula>
    </cfRule>
  </conditionalFormatting>
  <conditionalFormatting sqref="I2306">
    <cfRule type="containsText" dxfId="5432" priority="5937" operator="containsText" text="Missing">
      <formula>NOT(ISERROR(SEARCH("Missing",I2306)))</formula>
    </cfRule>
  </conditionalFormatting>
  <conditionalFormatting sqref="H2314:H2315">
    <cfRule type="containsText" dxfId="5431" priority="5930" operator="containsText" text="Missing">
      <formula>NOT(ISERROR(SEARCH("Missing",H2314)))</formula>
    </cfRule>
  </conditionalFormatting>
  <conditionalFormatting sqref="H2306">
    <cfRule type="containsText" dxfId="5430" priority="5931" operator="containsText" text="Missing">
      <formula>NOT(ISERROR(SEARCH("Missing",H2306)))</formula>
    </cfRule>
  </conditionalFormatting>
  <conditionalFormatting sqref="H2306">
    <cfRule type="containsText" dxfId="5429" priority="5932" operator="containsText" text="Missing">
      <formula>NOT(ISERROR(SEARCH("Missing",H2306)))</formula>
    </cfRule>
  </conditionalFormatting>
  <conditionalFormatting sqref="H2307:K2307 H2316:K2316 H2325:K2327 H2337:K2337">
    <cfRule type="containsText" dxfId="5428" priority="6304" operator="containsText" text="Missing">
      <formula>NOT(ISERROR(SEARCH("Missing",H2307)))</formula>
    </cfRule>
  </conditionalFormatting>
  <conditionalFormatting sqref="L2307 L2316 L2325:L2327 L2337">
    <cfRule type="containsText" dxfId="5427" priority="6302" operator="containsText" text="Positive">
      <formula>NOT(ISERROR(SEARCH("Positive",L2307)))</formula>
    </cfRule>
    <cfRule type="containsText" dxfId="5426" priority="6303" operator="containsText" text="Negative">
      <formula>NOT(ISERROR(SEARCH("Negative",L2307)))</formula>
    </cfRule>
  </conditionalFormatting>
  <conditionalFormatting sqref="L2299:L2301">
    <cfRule type="containsText" dxfId="5425" priority="6293" operator="containsText" text="Positive">
      <formula>NOT(ISERROR(SEARCH("Positive",L2299)))</formula>
    </cfRule>
    <cfRule type="containsText" dxfId="5424" priority="6294" operator="containsText" text="Negative">
      <formula>NOT(ISERROR(SEARCH("Negative",L2299)))</formula>
    </cfRule>
  </conditionalFormatting>
  <conditionalFormatting sqref="L2299:L2301">
    <cfRule type="containsText" dxfId="5423" priority="6296" operator="containsText" text="Positive">
      <formula>NOT(ISERROR(SEARCH("Positive",L2299)))</formula>
    </cfRule>
    <cfRule type="containsText" dxfId="5422" priority="6297" operator="containsText" text="Negative">
      <formula>NOT(ISERROR(SEARCH("Negative",L2299)))</formula>
    </cfRule>
  </conditionalFormatting>
  <conditionalFormatting sqref="L2302:L2303">
    <cfRule type="containsText" dxfId="5421" priority="6283" operator="containsText" text="Positive">
      <formula>NOT(ISERROR(SEARCH("Positive",L2302)))</formula>
    </cfRule>
    <cfRule type="containsText" dxfId="5420" priority="6284" operator="containsText" text="Negative">
      <formula>NOT(ISERROR(SEARCH("Negative",L2302)))</formula>
    </cfRule>
  </conditionalFormatting>
  <conditionalFormatting sqref="J2299">
    <cfRule type="containsText" dxfId="5419" priority="6301" operator="containsText" text="Missing">
      <formula>NOT(ISERROR(SEARCH("Missing",J2299)))</formula>
    </cfRule>
  </conditionalFormatting>
  <conditionalFormatting sqref="L2302:L2303">
    <cfRule type="containsText" dxfId="5418" priority="6279" operator="containsText" text="Positive">
      <formula>NOT(ISERROR(SEARCH("Positive",L2302)))</formula>
    </cfRule>
    <cfRule type="containsText" dxfId="5417" priority="6280" operator="containsText" text="Negative">
      <formula>NOT(ISERROR(SEARCH("Negative",L2302)))</formula>
    </cfRule>
  </conditionalFormatting>
  <conditionalFormatting sqref="L2302:L2303">
    <cfRule type="containsText" dxfId="5416" priority="6281" operator="containsText" text="Positive">
      <formula>NOT(ISERROR(SEARCH("Positive",L2302)))</formula>
    </cfRule>
    <cfRule type="containsText" dxfId="5415" priority="6282" operator="containsText" text="Negative">
      <formula>NOT(ISERROR(SEARCH("Negative",L2302)))</formula>
    </cfRule>
  </conditionalFormatting>
  <conditionalFormatting sqref="L2304">
    <cfRule type="containsText" dxfId="5414" priority="6270" operator="containsText" text="Positive">
      <formula>NOT(ISERROR(SEARCH("Positive",L2304)))</formula>
    </cfRule>
    <cfRule type="containsText" dxfId="5413" priority="6271" operator="containsText" text="Negative">
      <formula>NOT(ISERROR(SEARCH("Negative",L2304)))</formula>
    </cfRule>
  </conditionalFormatting>
  <conditionalFormatting sqref="L2304">
    <cfRule type="containsText" dxfId="5412" priority="6268" operator="containsText" text="Positive">
      <formula>NOT(ISERROR(SEARCH("Positive",L2304)))</formula>
    </cfRule>
    <cfRule type="containsText" dxfId="5411" priority="6269" operator="containsText" text="Negative">
      <formula>NOT(ISERROR(SEARCH("Negative",L2304)))</formula>
    </cfRule>
  </conditionalFormatting>
  <conditionalFormatting sqref="J2304">
    <cfRule type="containsText" dxfId="5410" priority="6265" operator="containsText" text="Missing">
      <formula>NOT(ISERROR(SEARCH("Missing",J2304)))</formula>
    </cfRule>
  </conditionalFormatting>
  <conditionalFormatting sqref="J2304">
    <cfRule type="containsText" dxfId="5409" priority="6264" operator="containsText" text="Missing">
      <formula>NOT(ISERROR(SEARCH("Missing",J2304)))</formula>
    </cfRule>
  </conditionalFormatting>
  <conditionalFormatting sqref="K2304">
    <cfRule type="containsText" dxfId="5408" priority="6263" operator="containsText" text="Missing">
      <formula>NOT(ISERROR(SEARCH("Missing",K2304)))</formula>
    </cfRule>
  </conditionalFormatting>
  <conditionalFormatting sqref="K2304">
    <cfRule type="containsText" dxfId="5407" priority="6262" operator="containsText" text="Missing">
      <formula>NOT(ISERROR(SEARCH("Missing",K2304)))</formula>
    </cfRule>
  </conditionalFormatting>
  <conditionalFormatting sqref="L2309:L2311">
    <cfRule type="containsText" dxfId="5406" priority="6250" operator="containsText" text="Positive">
      <formula>NOT(ISERROR(SEARCH("Positive",L2309)))</formula>
    </cfRule>
    <cfRule type="containsText" dxfId="5405" priority="6251" operator="containsText" text="Negative">
      <formula>NOT(ISERROR(SEARCH("Negative",L2309)))</formula>
    </cfRule>
  </conditionalFormatting>
  <conditionalFormatting sqref="L2309:L2311">
    <cfRule type="containsText" dxfId="5404" priority="6255" operator="containsText" text="Positive">
      <formula>NOT(ISERROR(SEARCH("Positive",L2309)))</formula>
    </cfRule>
    <cfRule type="containsText" dxfId="5403" priority="6256" operator="containsText" text="Negative">
      <formula>NOT(ISERROR(SEARCH("Negative",L2309)))</formula>
    </cfRule>
  </conditionalFormatting>
  <conditionalFormatting sqref="L2309:L2311">
    <cfRule type="containsText" dxfId="5402" priority="6253" operator="containsText" text="Positive">
      <formula>NOT(ISERROR(SEARCH("Positive",L2309)))</formula>
    </cfRule>
    <cfRule type="containsText" dxfId="5401" priority="6254" operator="containsText" text="Negative">
      <formula>NOT(ISERROR(SEARCH("Negative",L2309)))</formula>
    </cfRule>
  </conditionalFormatting>
  <conditionalFormatting sqref="L2312">
    <cfRule type="containsText" dxfId="5400" priority="6240" operator="containsText" text="Positive">
      <formula>NOT(ISERROR(SEARCH("Positive",L2312)))</formula>
    </cfRule>
    <cfRule type="containsText" dxfId="5399" priority="6241" operator="containsText" text="Negative">
      <formula>NOT(ISERROR(SEARCH("Negative",L2312)))</formula>
    </cfRule>
  </conditionalFormatting>
  <conditionalFormatting sqref="J2309">
    <cfRule type="containsText" dxfId="5398" priority="6252" operator="containsText" text="Missing">
      <formula>NOT(ISERROR(SEARCH("Missing",J2309)))</formula>
    </cfRule>
  </conditionalFormatting>
  <conditionalFormatting sqref="L2312">
    <cfRule type="containsText" dxfId="5397" priority="6236" operator="containsText" text="Positive">
      <formula>NOT(ISERROR(SEARCH("Positive",L2312)))</formula>
    </cfRule>
    <cfRule type="containsText" dxfId="5396" priority="6237" operator="containsText" text="Negative">
      <formula>NOT(ISERROR(SEARCH("Negative",L2312)))</formula>
    </cfRule>
  </conditionalFormatting>
  <conditionalFormatting sqref="J2310">
    <cfRule type="containsText" dxfId="5395" priority="6247" operator="containsText" text="Missing">
      <formula>NOT(ISERROR(SEARCH("Missing",J2310)))</formula>
    </cfRule>
  </conditionalFormatting>
  <conditionalFormatting sqref="J2311">
    <cfRule type="containsText" dxfId="5394" priority="6246" operator="containsText" text="Missing">
      <formula>NOT(ISERROR(SEARCH("Missing",J2311)))</formula>
    </cfRule>
  </conditionalFormatting>
  <conditionalFormatting sqref="L2312">
    <cfRule type="containsText" dxfId="5393" priority="6238" operator="containsText" text="Positive">
      <formula>NOT(ISERROR(SEARCH("Positive",L2312)))</formula>
    </cfRule>
    <cfRule type="containsText" dxfId="5392" priority="6239" operator="containsText" text="Negative">
      <formula>NOT(ISERROR(SEARCH("Negative",L2312)))</formula>
    </cfRule>
  </conditionalFormatting>
  <conditionalFormatting sqref="K2312">
    <cfRule type="containsText" dxfId="5391" priority="6231" operator="containsText" text="Missing">
      <formula>NOT(ISERROR(SEARCH("Missing",K2312)))</formula>
    </cfRule>
  </conditionalFormatting>
  <conditionalFormatting sqref="K2312">
    <cfRule type="containsText" dxfId="5390" priority="6232" operator="containsText" text="Missing">
      <formula>NOT(ISERROR(SEARCH("Missing",K2312)))</formula>
    </cfRule>
  </conditionalFormatting>
  <conditionalFormatting sqref="L2313">
    <cfRule type="containsText" dxfId="5389" priority="6225" operator="containsText" text="Positive">
      <formula>NOT(ISERROR(SEARCH("Positive",L2313)))</formula>
    </cfRule>
    <cfRule type="containsText" dxfId="5388" priority="6226" operator="containsText" text="Negative">
      <formula>NOT(ISERROR(SEARCH("Negative",L2313)))</formula>
    </cfRule>
  </conditionalFormatting>
  <conditionalFormatting sqref="I2313:I2315">
    <cfRule type="containsText" dxfId="5387" priority="6217" operator="containsText" text="Missing">
      <formula>NOT(ISERROR(SEARCH("Missing",I2313)))</formula>
    </cfRule>
  </conditionalFormatting>
  <conditionalFormatting sqref="L2318:L2320">
    <cfRule type="containsText" dxfId="5386" priority="6208" operator="containsText" text="Positive">
      <formula>NOT(ISERROR(SEARCH("Positive",L2318)))</formula>
    </cfRule>
    <cfRule type="containsText" dxfId="5385" priority="6209" operator="containsText" text="Negative">
      <formula>NOT(ISERROR(SEARCH("Negative",L2318)))</formula>
    </cfRule>
  </conditionalFormatting>
  <conditionalFormatting sqref="L2318:L2320">
    <cfRule type="containsText" dxfId="5384" priority="6213" operator="containsText" text="Positive">
      <formula>NOT(ISERROR(SEARCH("Positive",L2318)))</formula>
    </cfRule>
    <cfRule type="containsText" dxfId="5383" priority="6214" operator="containsText" text="Negative">
      <formula>NOT(ISERROR(SEARCH("Negative",L2318)))</formula>
    </cfRule>
  </conditionalFormatting>
  <conditionalFormatting sqref="L2318:L2320">
    <cfRule type="containsText" dxfId="5382" priority="6211" operator="containsText" text="Positive">
      <formula>NOT(ISERROR(SEARCH("Positive",L2318)))</formula>
    </cfRule>
    <cfRule type="containsText" dxfId="5381" priority="6212" operator="containsText" text="Negative">
      <formula>NOT(ISERROR(SEARCH("Negative",L2318)))</formula>
    </cfRule>
  </conditionalFormatting>
  <conditionalFormatting sqref="L2321">
    <cfRule type="containsText" dxfId="5380" priority="6198" operator="containsText" text="Positive">
      <formula>NOT(ISERROR(SEARCH("Positive",L2321)))</formula>
    </cfRule>
    <cfRule type="containsText" dxfId="5379" priority="6199" operator="containsText" text="Negative">
      <formula>NOT(ISERROR(SEARCH("Negative",L2321)))</formula>
    </cfRule>
  </conditionalFormatting>
  <conditionalFormatting sqref="J2318">
    <cfRule type="containsText" dxfId="5378" priority="6216" operator="containsText" text="Missing">
      <formula>NOT(ISERROR(SEARCH("Missing",J2318)))</formula>
    </cfRule>
  </conditionalFormatting>
  <conditionalFormatting sqref="L2321">
    <cfRule type="containsText" dxfId="5377" priority="6194" operator="containsText" text="Positive">
      <formula>NOT(ISERROR(SEARCH("Positive",L2321)))</formula>
    </cfRule>
    <cfRule type="containsText" dxfId="5376" priority="6195" operator="containsText" text="Negative">
      <formula>NOT(ISERROR(SEARCH("Negative",L2321)))</formula>
    </cfRule>
  </conditionalFormatting>
  <conditionalFormatting sqref="L2321">
    <cfRule type="containsText" dxfId="5375" priority="6196" operator="containsText" text="Positive">
      <formula>NOT(ISERROR(SEARCH("Positive",L2321)))</formula>
    </cfRule>
    <cfRule type="containsText" dxfId="5374" priority="6197" operator="containsText" text="Negative">
      <formula>NOT(ISERROR(SEARCH("Negative",L2321)))</formula>
    </cfRule>
  </conditionalFormatting>
  <conditionalFormatting sqref="J2321">
    <cfRule type="containsText" dxfId="5373" priority="6193" operator="containsText" text="Missing">
      <formula>NOT(ISERROR(SEARCH("Missing",J2321)))</formula>
    </cfRule>
  </conditionalFormatting>
  <conditionalFormatting sqref="L2322">
    <cfRule type="containsText" dxfId="5372" priority="6187" operator="containsText" text="Positive">
      <formula>NOT(ISERROR(SEARCH("Positive",L2322)))</formula>
    </cfRule>
    <cfRule type="containsText" dxfId="5371" priority="6188" operator="containsText" text="Negative">
      <formula>NOT(ISERROR(SEARCH("Negative",L2322)))</formula>
    </cfRule>
  </conditionalFormatting>
  <conditionalFormatting sqref="L2322">
    <cfRule type="containsText" dxfId="5370" priority="6183" operator="containsText" text="Positive">
      <formula>NOT(ISERROR(SEARCH("Positive",L2322)))</formula>
    </cfRule>
    <cfRule type="containsText" dxfId="5369" priority="6184" operator="containsText" text="Negative">
      <formula>NOT(ISERROR(SEARCH("Negative",L2322)))</formula>
    </cfRule>
  </conditionalFormatting>
  <conditionalFormatting sqref="L2322">
    <cfRule type="containsText" dxfId="5368" priority="6185" operator="containsText" text="Positive">
      <formula>NOT(ISERROR(SEARCH("Positive",L2322)))</formula>
    </cfRule>
    <cfRule type="containsText" dxfId="5367" priority="6186" operator="containsText" text="Negative">
      <formula>NOT(ISERROR(SEARCH("Negative",L2322)))</formula>
    </cfRule>
  </conditionalFormatting>
  <conditionalFormatting sqref="J2322">
    <cfRule type="containsText" dxfId="5366" priority="6182" operator="containsText" text="Missing">
      <formula>NOT(ISERROR(SEARCH("Missing",J2322)))</formula>
    </cfRule>
  </conditionalFormatting>
  <conditionalFormatting sqref="J2322">
    <cfRule type="containsText" dxfId="5365" priority="6181" operator="containsText" text="Missing">
      <formula>NOT(ISERROR(SEARCH("Missing",J2322)))</formula>
    </cfRule>
  </conditionalFormatting>
  <conditionalFormatting sqref="K2322">
    <cfRule type="containsText" dxfId="5364" priority="6180" operator="containsText" text="Missing">
      <formula>NOT(ISERROR(SEARCH("Missing",K2322)))</formula>
    </cfRule>
  </conditionalFormatting>
  <conditionalFormatting sqref="I2322:I2324">
    <cfRule type="containsText" dxfId="5363" priority="6175" operator="containsText" text="Missing">
      <formula>NOT(ISERROR(SEARCH("Missing",I2322)))</formula>
    </cfRule>
  </conditionalFormatting>
  <conditionalFormatting sqref="L2329:L2331">
    <cfRule type="containsText" dxfId="5362" priority="6169" operator="containsText" text="Positive">
      <formula>NOT(ISERROR(SEARCH("Positive",L2329)))</formula>
    </cfRule>
    <cfRule type="containsText" dxfId="5361" priority="6170" operator="containsText" text="Negative">
      <formula>NOT(ISERROR(SEARCH("Negative",L2329)))</formula>
    </cfRule>
  </conditionalFormatting>
  <conditionalFormatting sqref="L2332:L2333">
    <cfRule type="containsText" dxfId="5360" priority="6156" operator="containsText" text="Positive">
      <formula>NOT(ISERROR(SEARCH("Positive",L2332)))</formula>
    </cfRule>
    <cfRule type="containsText" dxfId="5359" priority="6157" operator="containsText" text="Negative">
      <formula>NOT(ISERROR(SEARCH("Negative",L2332)))</formula>
    </cfRule>
  </conditionalFormatting>
  <conditionalFormatting sqref="J2329">
    <cfRule type="containsText" dxfId="5358" priority="6174" operator="containsText" text="Missing">
      <formula>NOT(ISERROR(SEARCH("Missing",J2329)))</formula>
    </cfRule>
  </conditionalFormatting>
  <conditionalFormatting sqref="J2330">
    <cfRule type="containsText" dxfId="5357" priority="6164" operator="containsText" text="Missing">
      <formula>NOT(ISERROR(SEARCH("Missing",J2330)))</formula>
    </cfRule>
  </conditionalFormatting>
  <conditionalFormatting sqref="L2332:L2333">
    <cfRule type="containsText" dxfId="5356" priority="6152" operator="containsText" text="Positive">
      <formula>NOT(ISERROR(SEARCH("Positive",L2332)))</formula>
    </cfRule>
    <cfRule type="containsText" dxfId="5355" priority="6153" operator="containsText" text="Negative">
      <formula>NOT(ISERROR(SEARCH("Negative",L2332)))</formula>
    </cfRule>
  </conditionalFormatting>
  <conditionalFormatting sqref="J2330">
    <cfRule type="containsText" dxfId="5354" priority="6163" operator="containsText" text="Missing">
      <formula>NOT(ISERROR(SEARCH("Missing",J2330)))</formula>
    </cfRule>
  </conditionalFormatting>
  <conditionalFormatting sqref="J2331">
    <cfRule type="containsText" dxfId="5353" priority="6162" operator="containsText" text="Missing">
      <formula>NOT(ISERROR(SEARCH("Missing",J2331)))</formula>
    </cfRule>
  </conditionalFormatting>
  <conditionalFormatting sqref="L2332:L2333">
    <cfRule type="containsText" dxfId="5352" priority="6154" operator="containsText" text="Positive">
      <formula>NOT(ISERROR(SEARCH("Positive",L2332)))</formula>
    </cfRule>
    <cfRule type="containsText" dxfId="5351" priority="6155" operator="containsText" text="Negative">
      <formula>NOT(ISERROR(SEARCH("Negative",L2332)))</formula>
    </cfRule>
  </conditionalFormatting>
  <conditionalFormatting sqref="K2329:K2331">
    <cfRule type="containsText" dxfId="5350" priority="6158" operator="containsText" text="Missing">
      <formula>NOT(ISERROR(SEARCH("Missing",K2329)))</formula>
    </cfRule>
  </conditionalFormatting>
  <conditionalFormatting sqref="L2334">
    <cfRule type="containsText" dxfId="5349" priority="6143" operator="containsText" text="Positive">
      <formula>NOT(ISERROR(SEARCH("Positive",L2334)))</formula>
    </cfRule>
    <cfRule type="containsText" dxfId="5348" priority="6144" operator="containsText" text="Negative">
      <formula>NOT(ISERROR(SEARCH("Negative",L2334)))</formula>
    </cfRule>
  </conditionalFormatting>
  <conditionalFormatting sqref="L2334">
    <cfRule type="containsText" dxfId="5347" priority="6139" operator="containsText" text="Positive">
      <formula>NOT(ISERROR(SEARCH("Positive",L2334)))</formula>
    </cfRule>
    <cfRule type="containsText" dxfId="5346" priority="6140" operator="containsText" text="Negative">
      <formula>NOT(ISERROR(SEARCH("Negative",L2334)))</formula>
    </cfRule>
  </conditionalFormatting>
  <conditionalFormatting sqref="L2334">
    <cfRule type="containsText" dxfId="5345" priority="6141" operator="containsText" text="Positive">
      <formula>NOT(ISERROR(SEARCH("Positive",L2334)))</formula>
    </cfRule>
    <cfRule type="containsText" dxfId="5344" priority="6142" operator="containsText" text="Negative">
      <formula>NOT(ISERROR(SEARCH("Negative",L2334)))</formula>
    </cfRule>
  </conditionalFormatting>
  <conditionalFormatting sqref="J2339">
    <cfRule type="containsText" dxfId="5343" priority="6121" operator="containsText" text="Missing">
      <formula>NOT(ISERROR(SEARCH("Missing",J2339)))</formula>
    </cfRule>
  </conditionalFormatting>
  <conditionalFormatting sqref="H2269:H2271">
    <cfRule type="containsText" dxfId="5342" priority="5745" operator="containsText" text="Missing">
      <formula>NOT(ISERROR(SEARCH("Missing",H2269)))</formula>
    </cfRule>
  </conditionalFormatting>
  <conditionalFormatting sqref="K2339:K2341">
    <cfRule type="containsText" dxfId="5341" priority="6112" operator="containsText" text="Missing">
      <formula>NOT(ISERROR(SEARCH("Missing",K2339)))</formula>
    </cfRule>
  </conditionalFormatting>
  <conditionalFormatting sqref="L2339:L2341">
    <cfRule type="containsText" dxfId="5340" priority="6119" operator="containsText" text="Positive">
      <formula>NOT(ISERROR(SEARCH("Positive",L2339)))</formula>
    </cfRule>
    <cfRule type="containsText" dxfId="5339" priority="6120" operator="containsText" text="Negative">
      <formula>NOT(ISERROR(SEARCH("Negative",L2339)))</formula>
    </cfRule>
  </conditionalFormatting>
  <conditionalFormatting sqref="L2339:L2341">
    <cfRule type="containsText" dxfId="5338" priority="6124" operator="containsText" text="Positive">
      <formula>NOT(ISERROR(SEARCH("Positive",L2339)))</formula>
    </cfRule>
    <cfRule type="containsText" dxfId="5337" priority="6125" operator="containsText" text="Negative">
      <formula>NOT(ISERROR(SEARCH("Negative",L2339)))</formula>
    </cfRule>
  </conditionalFormatting>
  <conditionalFormatting sqref="L2339:L2341">
    <cfRule type="containsText" dxfId="5336" priority="6122" operator="containsText" text="Positive">
      <formula>NOT(ISERROR(SEARCH("Positive",L2339)))</formula>
    </cfRule>
    <cfRule type="containsText" dxfId="5335" priority="6123" operator="containsText" text="Negative">
      <formula>NOT(ISERROR(SEARCH("Negative",L2339)))</formula>
    </cfRule>
  </conditionalFormatting>
  <conditionalFormatting sqref="J2339">
    <cfRule type="containsText" dxfId="5334" priority="6127" operator="containsText" text="Missing">
      <formula>NOT(ISERROR(SEARCH("Missing",J2339)))</formula>
    </cfRule>
  </conditionalFormatting>
  <conditionalFormatting sqref="J2340">
    <cfRule type="containsText" dxfId="5333" priority="6116" operator="containsText" text="Missing">
      <formula>NOT(ISERROR(SEARCH("Missing",J2340)))</formula>
    </cfRule>
  </conditionalFormatting>
  <conditionalFormatting sqref="H2258">
    <cfRule type="containsText" dxfId="5332" priority="5746" operator="containsText" text="Missing">
      <formula>NOT(ISERROR(SEARCH("Missing",H2258)))</formula>
    </cfRule>
  </conditionalFormatting>
  <conditionalFormatting sqref="J2340">
    <cfRule type="containsText" dxfId="5331" priority="6117" operator="containsText" text="Missing">
      <formula>NOT(ISERROR(SEARCH("Missing",J2340)))</formula>
    </cfRule>
  </conditionalFormatting>
  <conditionalFormatting sqref="L2342">
    <cfRule type="containsText" dxfId="5330" priority="6105" operator="containsText" text="Positive">
      <formula>NOT(ISERROR(SEARCH("Positive",L2342)))</formula>
    </cfRule>
    <cfRule type="containsText" dxfId="5329" priority="6106" operator="containsText" text="Negative">
      <formula>NOT(ISERROR(SEARCH("Negative",L2342)))</formula>
    </cfRule>
  </conditionalFormatting>
  <conditionalFormatting sqref="J2282:K2282">
    <cfRule type="containsText" dxfId="5328" priority="5737" operator="containsText" text="Missing">
      <formula>NOT(ISERROR(SEARCH("Missing",J2282)))</formula>
    </cfRule>
  </conditionalFormatting>
  <conditionalFormatting sqref="K2339:K2341">
    <cfRule type="containsText" dxfId="5327" priority="6111" operator="containsText" text="Missing">
      <formula>NOT(ISERROR(SEARCH("Missing",K2339)))</formula>
    </cfRule>
  </conditionalFormatting>
  <conditionalFormatting sqref="K2342">
    <cfRule type="containsText" dxfId="5326" priority="6100" operator="containsText" text="Missing">
      <formula>NOT(ISERROR(SEARCH("Missing",K2342)))</formula>
    </cfRule>
  </conditionalFormatting>
  <conditionalFormatting sqref="K2342">
    <cfRule type="containsText" dxfId="5325" priority="6101" operator="containsText" text="Missing">
      <formula>NOT(ISERROR(SEARCH("Missing",K2342)))</formula>
    </cfRule>
  </conditionalFormatting>
  <conditionalFormatting sqref="L2343">
    <cfRule type="containsText" dxfId="5324" priority="6094" operator="containsText" text="Positive">
      <formula>NOT(ISERROR(SEARCH("Positive",L2343)))</formula>
    </cfRule>
    <cfRule type="containsText" dxfId="5323" priority="6095" operator="containsText" text="Negative">
      <formula>NOT(ISERROR(SEARCH("Negative",L2343)))</formula>
    </cfRule>
  </conditionalFormatting>
  <conditionalFormatting sqref="H2255:H2256">
    <cfRule type="containsText" dxfId="5322" priority="5703" operator="containsText" text="Missing">
      <formula>NOT(ISERROR(SEARCH("Missing",H2255)))</formula>
    </cfRule>
  </conditionalFormatting>
  <conditionalFormatting sqref="H2255:H2256">
    <cfRule type="containsText" dxfId="5321" priority="5702" operator="containsText" text="Missing">
      <formula>NOT(ISERROR(SEARCH("Missing",H2255)))</formula>
    </cfRule>
  </conditionalFormatting>
  <conditionalFormatting sqref="K2314">
    <cfRule type="containsText" dxfId="5320" priority="6055" operator="containsText" text="Missing">
      <formula>NOT(ISERROR(SEARCH("Missing",K2314)))</formula>
    </cfRule>
  </conditionalFormatting>
  <conditionalFormatting sqref="K2314">
    <cfRule type="containsText" dxfId="5319" priority="6054" operator="containsText" text="Missing">
      <formula>NOT(ISERROR(SEARCH("Missing",K2314)))</formula>
    </cfRule>
  </conditionalFormatting>
  <conditionalFormatting sqref="L2315">
    <cfRule type="containsText" dxfId="5318" priority="6046" operator="containsText" text="Positive">
      <formula>NOT(ISERROR(SEARCH("Positive",L2315)))</formula>
    </cfRule>
    <cfRule type="containsText" dxfId="5317" priority="6047" operator="containsText" text="Negative">
      <formula>NOT(ISERROR(SEARCH("Negative",L2315)))</formula>
    </cfRule>
  </conditionalFormatting>
  <conditionalFormatting sqref="L2315">
    <cfRule type="containsText" dxfId="5316" priority="6048" operator="containsText" text="Positive">
      <formula>NOT(ISERROR(SEARCH("Positive",L2315)))</formula>
    </cfRule>
    <cfRule type="containsText" dxfId="5315" priority="6049" operator="containsText" text="Negative">
      <formula>NOT(ISERROR(SEARCH("Negative",L2315)))</formula>
    </cfRule>
  </conditionalFormatting>
  <conditionalFormatting sqref="J2315">
    <cfRule type="containsText" dxfId="5314" priority="6045" operator="containsText" text="Missing">
      <formula>NOT(ISERROR(SEARCH("Missing",J2315)))</formula>
    </cfRule>
  </conditionalFormatting>
  <conditionalFormatting sqref="J2315">
    <cfRule type="containsText" dxfId="5313" priority="6044" operator="containsText" text="Missing">
      <formula>NOT(ISERROR(SEARCH("Missing",J2315)))</formula>
    </cfRule>
  </conditionalFormatting>
  <conditionalFormatting sqref="K2315">
    <cfRule type="containsText" dxfId="5312" priority="6043" operator="containsText" text="Missing">
      <formula>NOT(ISERROR(SEARCH("Missing",K2315)))</formula>
    </cfRule>
  </conditionalFormatting>
  <conditionalFormatting sqref="K2315">
    <cfRule type="containsText" dxfId="5311" priority="6042" operator="containsText" text="Missing">
      <formula>NOT(ISERROR(SEARCH("Missing",K2315)))</formula>
    </cfRule>
  </conditionalFormatting>
  <conditionalFormatting sqref="K2315">
    <cfRule type="containsText" dxfId="5310" priority="6041" operator="containsText" text="Missing">
      <formula>NOT(ISERROR(SEARCH("Missing",K2315)))</formula>
    </cfRule>
  </conditionalFormatting>
  <conditionalFormatting sqref="L2323">
    <cfRule type="containsText" dxfId="5309" priority="6039" operator="containsText" text="Positive">
      <formula>NOT(ISERROR(SEARCH("Positive",L2323)))</formula>
    </cfRule>
    <cfRule type="containsText" dxfId="5308" priority="6040" operator="containsText" text="Negative">
      <formula>NOT(ISERROR(SEARCH("Negative",L2323)))</formula>
    </cfRule>
  </conditionalFormatting>
  <conditionalFormatting sqref="L2323">
    <cfRule type="containsText" dxfId="5307" priority="6035" operator="containsText" text="Positive">
      <formula>NOT(ISERROR(SEARCH("Positive",L2323)))</formula>
    </cfRule>
    <cfRule type="containsText" dxfId="5306" priority="6036" operator="containsText" text="Negative">
      <formula>NOT(ISERROR(SEARCH("Negative",L2323)))</formula>
    </cfRule>
  </conditionalFormatting>
  <conditionalFormatting sqref="L2323">
    <cfRule type="containsText" dxfId="5305" priority="6037" operator="containsText" text="Positive">
      <formula>NOT(ISERROR(SEARCH("Positive",L2323)))</formula>
    </cfRule>
    <cfRule type="containsText" dxfId="5304" priority="6038" operator="containsText" text="Negative">
      <formula>NOT(ISERROR(SEARCH("Negative",L2323)))</formula>
    </cfRule>
  </conditionalFormatting>
  <conditionalFormatting sqref="J2323">
    <cfRule type="containsText" dxfId="5303" priority="6034" operator="containsText" text="Missing">
      <formula>NOT(ISERROR(SEARCH("Missing",J2323)))</formula>
    </cfRule>
  </conditionalFormatting>
  <conditionalFormatting sqref="L2324">
    <cfRule type="containsText" dxfId="5302" priority="6028" operator="containsText" text="Positive">
      <formula>NOT(ISERROR(SEARCH("Positive",L2324)))</formula>
    </cfRule>
    <cfRule type="containsText" dxfId="5301" priority="6029" operator="containsText" text="Negative">
      <formula>NOT(ISERROR(SEARCH("Negative",L2324)))</formula>
    </cfRule>
  </conditionalFormatting>
  <conditionalFormatting sqref="L2324">
    <cfRule type="containsText" dxfId="5300" priority="6024" operator="containsText" text="Positive">
      <formula>NOT(ISERROR(SEARCH("Positive",L2324)))</formula>
    </cfRule>
    <cfRule type="containsText" dxfId="5299" priority="6025" operator="containsText" text="Negative">
      <formula>NOT(ISERROR(SEARCH("Negative",L2324)))</formula>
    </cfRule>
  </conditionalFormatting>
  <conditionalFormatting sqref="L2324">
    <cfRule type="containsText" dxfId="5298" priority="6026" operator="containsText" text="Positive">
      <formula>NOT(ISERROR(SEARCH("Positive",L2324)))</formula>
    </cfRule>
    <cfRule type="containsText" dxfId="5297" priority="6027" operator="containsText" text="Negative">
      <formula>NOT(ISERROR(SEARCH("Negative",L2324)))</formula>
    </cfRule>
  </conditionalFormatting>
  <conditionalFormatting sqref="L2335">
    <cfRule type="containsText" dxfId="5296" priority="6017" operator="containsText" text="Positive">
      <formula>NOT(ISERROR(SEARCH("Positive",L2335)))</formula>
    </cfRule>
    <cfRule type="containsText" dxfId="5295" priority="6018" operator="containsText" text="Negative">
      <formula>NOT(ISERROR(SEARCH("Negative",L2335)))</formula>
    </cfRule>
  </conditionalFormatting>
  <conditionalFormatting sqref="L2335">
    <cfRule type="containsText" dxfId="5294" priority="6013" operator="containsText" text="Positive">
      <formula>NOT(ISERROR(SEARCH("Positive",L2335)))</formula>
    </cfRule>
    <cfRule type="containsText" dxfId="5293" priority="6014" operator="containsText" text="Negative">
      <formula>NOT(ISERROR(SEARCH("Negative",L2335)))</formula>
    </cfRule>
  </conditionalFormatting>
  <conditionalFormatting sqref="L2335">
    <cfRule type="containsText" dxfId="5292" priority="6015" operator="containsText" text="Positive">
      <formula>NOT(ISERROR(SEARCH("Positive",L2335)))</formula>
    </cfRule>
    <cfRule type="containsText" dxfId="5291" priority="6016" operator="containsText" text="Negative">
      <formula>NOT(ISERROR(SEARCH("Negative",L2335)))</formula>
    </cfRule>
  </conditionalFormatting>
  <conditionalFormatting sqref="L2336">
    <cfRule type="containsText" dxfId="5290" priority="6006" operator="containsText" text="Positive">
      <formula>NOT(ISERROR(SEARCH("Positive",L2336)))</formula>
    </cfRule>
    <cfRule type="containsText" dxfId="5289" priority="6007" operator="containsText" text="Negative">
      <formula>NOT(ISERROR(SEARCH("Negative",L2336)))</formula>
    </cfRule>
  </conditionalFormatting>
  <conditionalFormatting sqref="L2336">
    <cfRule type="containsText" dxfId="5288" priority="6002" operator="containsText" text="Positive">
      <formula>NOT(ISERROR(SEARCH("Positive",L2336)))</formula>
    </cfRule>
    <cfRule type="containsText" dxfId="5287" priority="6003" operator="containsText" text="Negative">
      <formula>NOT(ISERROR(SEARCH("Negative",L2336)))</formula>
    </cfRule>
  </conditionalFormatting>
  <conditionalFormatting sqref="L2336">
    <cfRule type="containsText" dxfId="5286" priority="6004" operator="containsText" text="Positive">
      <formula>NOT(ISERROR(SEARCH("Positive",L2336)))</formula>
    </cfRule>
    <cfRule type="containsText" dxfId="5285" priority="6005" operator="containsText" text="Negative">
      <formula>NOT(ISERROR(SEARCH("Negative",L2336)))</formula>
    </cfRule>
  </conditionalFormatting>
  <conditionalFormatting sqref="L2344">
    <cfRule type="containsText" dxfId="5284" priority="5995" operator="containsText" text="Positive">
      <formula>NOT(ISERROR(SEARCH("Positive",L2344)))</formula>
    </cfRule>
    <cfRule type="containsText" dxfId="5283" priority="5996" operator="containsText" text="Negative">
      <formula>NOT(ISERROR(SEARCH("Negative",L2344)))</formula>
    </cfRule>
  </conditionalFormatting>
  <conditionalFormatting sqref="L2344">
    <cfRule type="containsText" dxfId="5282" priority="5991" operator="containsText" text="Positive">
      <formula>NOT(ISERROR(SEARCH("Positive",L2344)))</formula>
    </cfRule>
    <cfRule type="containsText" dxfId="5281" priority="5992" operator="containsText" text="Negative">
      <formula>NOT(ISERROR(SEARCH("Negative",L2344)))</formula>
    </cfRule>
  </conditionalFormatting>
  <conditionalFormatting sqref="L2344">
    <cfRule type="containsText" dxfId="5280" priority="5993" operator="containsText" text="Positive">
      <formula>NOT(ISERROR(SEARCH("Positive",L2344)))</formula>
    </cfRule>
    <cfRule type="containsText" dxfId="5279" priority="5994" operator="containsText" text="Negative">
      <formula>NOT(ISERROR(SEARCH("Negative",L2344)))</formula>
    </cfRule>
  </conditionalFormatting>
  <conditionalFormatting sqref="K2344">
    <cfRule type="containsText" dxfId="5278" priority="5988" operator="containsText" text="Missing">
      <formula>NOT(ISERROR(SEARCH("Missing",K2344)))</formula>
    </cfRule>
  </conditionalFormatting>
  <conditionalFormatting sqref="K2344">
    <cfRule type="containsText" dxfId="5277" priority="5987" operator="containsText" text="Missing">
      <formula>NOT(ISERROR(SEARCH("Missing",K2344)))</formula>
    </cfRule>
  </conditionalFormatting>
  <conditionalFormatting sqref="K2344">
    <cfRule type="containsText" dxfId="5276" priority="5986" operator="containsText" text="Missing">
      <formula>NOT(ISERROR(SEARCH("Missing",K2344)))</formula>
    </cfRule>
  </conditionalFormatting>
  <conditionalFormatting sqref="L2345">
    <cfRule type="containsText" dxfId="5275" priority="5984" operator="containsText" text="Positive">
      <formula>NOT(ISERROR(SEARCH("Positive",L2345)))</formula>
    </cfRule>
    <cfRule type="containsText" dxfId="5274" priority="5985" operator="containsText" text="Negative">
      <formula>NOT(ISERROR(SEARCH("Negative",L2345)))</formula>
    </cfRule>
  </conditionalFormatting>
  <conditionalFormatting sqref="L2345">
    <cfRule type="containsText" dxfId="5273" priority="5980" operator="containsText" text="Positive">
      <formula>NOT(ISERROR(SEARCH("Positive",L2345)))</formula>
    </cfRule>
    <cfRule type="containsText" dxfId="5272" priority="5981" operator="containsText" text="Negative">
      <formula>NOT(ISERROR(SEARCH("Negative",L2345)))</formula>
    </cfRule>
  </conditionalFormatting>
  <conditionalFormatting sqref="L2345">
    <cfRule type="containsText" dxfId="5271" priority="5982" operator="containsText" text="Positive">
      <formula>NOT(ISERROR(SEARCH("Positive",L2345)))</formula>
    </cfRule>
    <cfRule type="containsText" dxfId="5270" priority="5983" operator="containsText" text="Negative">
      <formula>NOT(ISERROR(SEARCH("Negative",L2345)))</formula>
    </cfRule>
  </conditionalFormatting>
  <conditionalFormatting sqref="J2345">
    <cfRule type="containsText" dxfId="5269" priority="5979" operator="containsText" text="Missing">
      <formula>NOT(ISERROR(SEARCH("Missing",J2345)))</formula>
    </cfRule>
  </conditionalFormatting>
  <conditionalFormatting sqref="H2305">
    <cfRule type="containsText" dxfId="5268" priority="5972" operator="containsText" text="Missing">
      <formula>NOT(ISERROR(SEARCH("Missing",H2305)))</formula>
    </cfRule>
  </conditionalFormatting>
  <conditionalFormatting sqref="H2305">
    <cfRule type="containsText" dxfId="5267" priority="5971" operator="containsText" text="Missing">
      <formula>NOT(ISERROR(SEARCH("Missing",H2305)))</formula>
    </cfRule>
  </conditionalFormatting>
  <conditionalFormatting sqref="I2305">
    <cfRule type="containsText" dxfId="5266" priority="5939" operator="containsText" text="Missing">
      <formula>NOT(ISERROR(SEARCH("Missing",I2305)))</formula>
    </cfRule>
  </conditionalFormatting>
  <conditionalFormatting sqref="H2314:H2315">
    <cfRule type="containsText" dxfId="5265" priority="5929" operator="containsText" text="Missing">
      <formula>NOT(ISERROR(SEARCH("Missing",H2314)))</formula>
    </cfRule>
  </conditionalFormatting>
  <conditionalFormatting sqref="H2335:H2336">
    <cfRule type="containsText" dxfId="5264" priority="5928" operator="containsText" text="Missing">
      <formula>NOT(ISERROR(SEARCH("Missing",H2335)))</formula>
    </cfRule>
  </conditionalFormatting>
  <conditionalFormatting sqref="H2335:H2336">
    <cfRule type="containsText" dxfId="5263" priority="5927" operator="containsText" text="Missing">
      <formula>NOT(ISERROR(SEARCH("Missing",H2335)))</formula>
    </cfRule>
  </conditionalFormatting>
  <conditionalFormatting sqref="H2318">
    <cfRule type="containsText" dxfId="5262" priority="5916" operator="containsText" text="Missing">
      <formula>NOT(ISERROR(SEARCH("Missing",H2318)))</formula>
    </cfRule>
  </conditionalFormatting>
  <conditionalFormatting sqref="H2318">
    <cfRule type="containsText" dxfId="5261" priority="5915" operator="containsText" text="Missing">
      <formula>NOT(ISERROR(SEARCH("Missing",H2318)))</formula>
    </cfRule>
  </conditionalFormatting>
  <conditionalFormatting sqref="H2323:H2324">
    <cfRule type="containsText" dxfId="5260" priority="5924" operator="containsText" text="Missing">
      <formula>NOT(ISERROR(SEARCH("Missing",H2323)))</formula>
    </cfRule>
  </conditionalFormatting>
  <conditionalFormatting sqref="H2323:H2324">
    <cfRule type="containsText" dxfId="5259" priority="5923" operator="containsText" text="Missing">
      <formula>NOT(ISERROR(SEARCH("Missing",H2323)))</formula>
    </cfRule>
  </conditionalFormatting>
  <conditionalFormatting sqref="H2309">
    <cfRule type="containsText" dxfId="5258" priority="5922" operator="containsText" text="Missing">
      <formula>NOT(ISERROR(SEARCH("Missing",H2309)))</formula>
    </cfRule>
  </conditionalFormatting>
  <conditionalFormatting sqref="H2309">
    <cfRule type="containsText" dxfId="5257" priority="5921" operator="containsText" text="Missing">
      <formula>NOT(ISERROR(SEARCH("Missing",H2309)))</formula>
    </cfRule>
  </conditionalFormatting>
  <conditionalFormatting sqref="H2310:H2311">
    <cfRule type="containsText" dxfId="5256" priority="5920" operator="containsText" text="Missing">
      <formula>NOT(ISERROR(SEARCH("Missing",H2310)))</formula>
    </cfRule>
  </conditionalFormatting>
  <conditionalFormatting sqref="H2310:H2311">
    <cfRule type="containsText" dxfId="5255" priority="5919" operator="containsText" text="Missing">
      <formula>NOT(ISERROR(SEARCH("Missing",H2310)))</formula>
    </cfRule>
  </conditionalFormatting>
  <conditionalFormatting sqref="H2313">
    <cfRule type="containsText" dxfId="5254" priority="5918" operator="containsText" text="Missing">
      <formula>NOT(ISERROR(SEARCH("Missing",H2313)))</formula>
    </cfRule>
  </conditionalFormatting>
  <conditionalFormatting sqref="H2313">
    <cfRule type="containsText" dxfId="5253" priority="5917" operator="containsText" text="Missing">
      <formula>NOT(ISERROR(SEARCH("Missing",H2313)))</formula>
    </cfRule>
  </conditionalFormatting>
  <conditionalFormatting sqref="H2319:H2320">
    <cfRule type="containsText" dxfId="5252" priority="5914" operator="containsText" text="Missing">
      <formula>NOT(ISERROR(SEARCH("Missing",H2319)))</formula>
    </cfRule>
  </conditionalFormatting>
  <conditionalFormatting sqref="H2329">
    <cfRule type="containsText" dxfId="5251" priority="5909" operator="containsText" text="Missing">
      <formula>NOT(ISERROR(SEARCH("Missing",H2329)))</formula>
    </cfRule>
  </conditionalFormatting>
  <conditionalFormatting sqref="H2330:H2331">
    <cfRule type="containsText" dxfId="5250" priority="5908" operator="containsText" text="Missing">
      <formula>NOT(ISERROR(SEARCH("Missing",H2330)))</formula>
    </cfRule>
  </conditionalFormatting>
  <conditionalFormatting sqref="H2330:H2331">
    <cfRule type="containsText" dxfId="5249" priority="5907" operator="containsText" text="Missing">
      <formula>NOT(ISERROR(SEARCH("Missing",H2330)))</formula>
    </cfRule>
  </conditionalFormatting>
  <conditionalFormatting sqref="H2334">
    <cfRule type="containsText" dxfId="5248" priority="5906" operator="containsText" text="Missing">
      <formula>NOT(ISERROR(SEARCH("Missing",H2334)))</formula>
    </cfRule>
  </conditionalFormatting>
  <conditionalFormatting sqref="H2334">
    <cfRule type="containsText" dxfId="5247" priority="5905" operator="containsText" text="Missing">
      <formula>NOT(ISERROR(SEARCH("Missing",H2334)))</formula>
    </cfRule>
  </conditionalFormatting>
  <conditionalFormatting sqref="H2344:H2345">
    <cfRule type="containsText" dxfId="5246" priority="5904" operator="containsText" text="Missing">
      <formula>NOT(ISERROR(SEARCH("Missing",H2344)))</formula>
    </cfRule>
  </conditionalFormatting>
  <conditionalFormatting sqref="H2344:H2345">
    <cfRule type="containsText" dxfId="5245" priority="5903" operator="containsText" text="Missing">
      <formula>NOT(ISERROR(SEARCH("Missing",H2344)))</formula>
    </cfRule>
  </conditionalFormatting>
  <conditionalFormatting sqref="H2339">
    <cfRule type="containsText" dxfId="5244" priority="5902" operator="containsText" text="Missing">
      <formula>NOT(ISERROR(SEARCH("Missing",H2339)))</formula>
    </cfRule>
  </conditionalFormatting>
  <conditionalFormatting sqref="H2339">
    <cfRule type="containsText" dxfId="5243" priority="5901" operator="containsText" text="Missing">
      <formula>NOT(ISERROR(SEARCH("Missing",H2339)))</formula>
    </cfRule>
  </conditionalFormatting>
  <conditionalFormatting sqref="H2340:H2341">
    <cfRule type="containsText" dxfId="5242" priority="5900" operator="containsText" text="Missing">
      <formula>NOT(ISERROR(SEARCH("Missing",H2340)))</formula>
    </cfRule>
  </conditionalFormatting>
  <conditionalFormatting sqref="H2340:H2341">
    <cfRule type="containsText" dxfId="5241" priority="5899" operator="containsText" text="Missing">
      <formula>NOT(ISERROR(SEARCH("Missing",H2340)))</formula>
    </cfRule>
  </conditionalFormatting>
  <conditionalFormatting sqref="H2343">
    <cfRule type="containsText" dxfId="5240" priority="5898" operator="containsText" text="Missing">
      <formula>NOT(ISERROR(SEARCH("Missing",H2343)))</formula>
    </cfRule>
  </conditionalFormatting>
  <conditionalFormatting sqref="H2343">
    <cfRule type="containsText" dxfId="5239" priority="5897" operator="containsText" text="Missing">
      <formula>NOT(ISERROR(SEARCH("Missing",H2343)))</formula>
    </cfRule>
  </conditionalFormatting>
  <conditionalFormatting sqref="L2245:L2247 L2250:L2253 L2272:L2278">
    <cfRule type="containsText" dxfId="5238" priority="5886" operator="containsText" text="Positive">
      <formula>NOT(ISERROR(SEARCH("Positive",L2245)))</formula>
    </cfRule>
    <cfRule type="containsText" dxfId="5237" priority="5887" operator="containsText" text="Negative">
      <formula>NOT(ISERROR(SEARCH("Negative",L2245)))</formula>
    </cfRule>
  </conditionalFormatting>
  <conditionalFormatting sqref="L2281">
    <cfRule type="containsText" dxfId="5236" priority="5771" operator="containsText" text="Positive">
      <formula>NOT(ISERROR(SEARCH("Positive",L2281)))</formula>
    </cfRule>
    <cfRule type="containsText" dxfId="5235" priority="5772" operator="containsText" text="Negative">
      <formula>NOT(ISERROR(SEARCH("Negative",L2281)))</formula>
    </cfRule>
  </conditionalFormatting>
  <conditionalFormatting sqref="L2269:L2271">
    <cfRule type="containsText" dxfId="5234" priority="5802" operator="containsText" text="Positive">
      <formula>NOT(ISERROR(SEARCH("Positive",L2269)))</formula>
    </cfRule>
    <cfRule type="containsText" dxfId="5233" priority="5803" operator="containsText" text="Negative">
      <formula>NOT(ISERROR(SEARCH("Negative",L2269)))</formula>
    </cfRule>
  </conditionalFormatting>
  <conditionalFormatting sqref="L2257:L2258">
    <cfRule type="containsText" dxfId="5232" priority="5817" operator="containsText" text="Positive">
      <formula>NOT(ISERROR(SEARCH("Positive",L2257)))</formula>
    </cfRule>
    <cfRule type="containsText" dxfId="5231" priority="5818" operator="containsText" text="Negative">
      <formula>NOT(ISERROR(SEARCH("Negative",L2257)))</formula>
    </cfRule>
  </conditionalFormatting>
  <conditionalFormatting sqref="L2276:L2277">
    <cfRule type="containsText" dxfId="5230" priority="5766" operator="containsText" text="Positive">
      <formula>NOT(ISERROR(SEARCH("Positive",L2276)))</formula>
    </cfRule>
    <cfRule type="containsText" dxfId="5229" priority="5767" operator="containsText" text="Negative">
      <formula>NOT(ISERROR(SEARCH("Negative",L2276)))</formula>
    </cfRule>
  </conditionalFormatting>
  <conditionalFormatting sqref="L2257:L2258">
    <cfRule type="containsText" dxfId="5228" priority="5815" operator="containsText" text="Positive">
      <formula>NOT(ISERROR(SEARCH("Positive",L2257)))</formula>
    </cfRule>
    <cfRule type="containsText" dxfId="5227" priority="5816" operator="containsText" text="Negative">
      <formula>NOT(ISERROR(SEARCH("Negative",L2257)))</formula>
    </cfRule>
  </conditionalFormatting>
  <conditionalFormatting sqref="L2269:L2271">
    <cfRule type="containsText" dxfId="5226" priority="5804" operator="containsText" text="Positive">
      <formula>NOT(ISERROR(SEARCH("Positive",L2269)))</formula>
    </cfRule>
    <cfRule type="containsText" dxfId="5225" priority="5805" operator="containsText" text="Negative">
      <formula>NOT(ISERROR(SEARCH("Negative",L2269)))</formula>
    </cfRule>
  </conditionalFormatting>
  <conditionalFormatting sqref="L2245:L2247 L2250:L2253 L2272:L2278">
    <cfRule type="containsText" dxfId="5224" priority="5891" operator="containsText" text="Positive">
      <formula>NOT(ISERROR(SEARCH("Positive",L2245)))</formula>
    </cfRule>
    <cfRule type="containsText" dxfId="5223" priority="5892" operator="containsText" text="Negative">
      <formula>NOT(ISERROR(SEARCH("Negative",L2245)))</formula>
    </cfRule>
  </conditionalFormatting>
  <conditionalFormatting sqref="L2245:L2247 L2250:L2253 L2272:L2278">
    <cfRule type="containsText" dxfId="5222" priority="5889" operator="containsText" text="Positive">
      <formula>NOT(ISERROR(SEARCH("Positive",L2245)))</formula>
    </cfRule>
    <cfRule type="containsText" dxfId="5221" priority="5890" operator="containsText" text="Negative">
      <formula>NOT(ISERROR(SEARCH("Negative",L2245)))</formula>
    </cfRule>
  </conditionalFormatting>
  <conditionalFormatting sqref="L2254:L2256 L2259:L2262">
    <cfRule type="containsText" dxfId="5220" priority="5834" operator="containsText" text="Positive">
      <formula>NOT(ISERROR(SEARCH("Positive",L2254)))</formula>
    </cfRule>
    <cfRule type="containsText" dxfId="5219" priority="5835" operator="containsText" text="Negative">
      <formula>NOT(ISERROR(SEARCH("Negative",L2254)))</formula>
    </cfRule>
  </conditionalFormatting>
  <conditionalFormatting sqref="L2279">
    <cfRule type="containsText" dxfId="5218" priority="5793" operator="containsText" text="Positive">
      <formula>NOT(ISERROR(SEARCH("Positive",L2279)))</formula>
    </cfRule>
    <cfRule type="containsText" dxfId="5217" priority="5794" operator="containsText" text="Negative">
      <formula>NOT(ISERROR(SEARCH("Negative",L2279)))</formula>
    </cfRule>
  </conditionalFormatting>
  <conditionalFormatting sqref="L2248:L2249">
    <cfRule type="containsText" dxfId="5216" priority="5854" operator="containsText" text="Positive">
      <formula>NOT(ISERROR(SEARCH("Positive",L2248)))</formula>
    </cfRule>
    <cfRule type="containsText" dxfId="5215" priority="5855" operator="containsText" text="Negative">
      <formula>NOT(ISERROR(SEARCH("Negative",L2248)))</formula>
    </cfRule>
  </conditionalFormatting>
  <conditionalFormatting sqref="L2286">
    <cfRule type="containsText" dxfId="5214" priority="5711" operator="containsText" text="Positive">
      <formula>NOT(ISERROR(SEARCH("Positive",L2286)))</formula>
    </cfRule>
    <cfRule type="containsText" dxfId="5213" priority="5712" operator="containsText" text="Negative">
      <formula>NOT(ISERROR(SEARCH("Negative",L2286)))</formula>
    </cfRule>
  </conditionalFormatting>
  <conditionalFormatting sqref="L2286">
    <cfRule type="containsText" dxfId="5212" priority="5709" operator="containsText" text="Positive">
      <formula>NOT(ISERROR(SEARCH("Positive",L2286)))</formula>
    </cfRule>
    <cfRule type="containsText" dxfId="5211" priority="5710" operator="containsText" text="Negative">
      <formula>NOT(ISERROR(SEARCH("Negative",L2286)))</formula>
    </cfRule>
  </conditionalFormatting>
  <conditionalFormatting sqref="L2279">
    <cfRule type="containsText" dxfId="5210" priority="5789" operator="containsText" text="Positive">
      <formula>NOT(ISERROR(SEARCH("Positive",L2279)))</formula>
    </cfRule>
    <cfRule type="containsText" dxfId="5209" priority="5790" operator="containsText" text="Negative">
      <formula>NOT(ISERROR(SEARCH("Negative",L2279)))</formula>
    </cfRule>
  </conditionalFormatting>
  <conditionalFormatting sqref="L2287">
    <cfRule type="containsText" dxfId="5208" priority="5696" operator="containsText" text="Positive">
      <formula>NOT(ISERROR(SEARCH("Positive",L2287)))</formula>
    </cfRule>
    <cfRule type="containsText" dxfId="5207" priority="5697" operator="containsText" text="Negative">
      <formula>NOT(ISERROR(SEARCH("Negative",L2287)))</formula>
    </cfRule>
  </conditionalFormatting>
  <conditionalFormatting sqref="L2269:L2271">
    <cfRule type="containsText" dxfId="5206" priority="5806" operator="containsText" text="Positive">
      <formula>NOT(ISERROR(SEARCH("Positive",L2269)))</formula>
    </cfRule>
    <cfRule type="containsText" dxfId="5205" priority="5807" operator="containsText" text="Negative">
      <formula>NOT(ISERROR(SEARCH("Negative",L2269)))</formula>
    </cfRule>
  </conditionalFormatting>
  <conditionalFormatting sqref="L2282">
    <cfRule type="containsText" dxfId="5204" priority="5740" operator="containsText" text="Positive">
      <formula>NOT(ISERROR(SEARCH("Positive",L2282)))</formula>
    </cfRule>
    <cfRule type="containsText" dxfId="5203" priority="5741" operator="containsText" text="Negative">
      <formula>NOT(ISERROR(SEARCH("Negative",L2282)))</formula>
    </cfRule>
  </conditionalFormatting>
  <conditionalFormatting sqref="I2273">
    <cfRule type="containsText" dxfId="5202" priority="5866" operator="containsText" text="Missing">
      <formula>NOT(ISERROR(SEARCH("Missing",I2273)))</formula>
    </cfRule>
  </conditionalFormatting>
  <conditionalFormatting sqref="I2250">
    <cfRule type="containsText" dxfId="5201" priority="5877" operator="containsText" text="Missing">
      <formula>NOT(ISERROR(SEARCH("Missing",I2250)))</formula>
    </cfRule>
  </conditionalFormatting>
  <conditionalFormatting sqref="J2272">
    <cfRule type="containsText" dxfId="5200" priority="5872" operator="containsText" text="Missing">
      <formula>NOT(ISERROR(SEARCH("Missing",J2272)))</formula>
    </cfRule>
  </conditionalFormatting>
  <conditionalFormatting sqref="J2272">
    <cfRule type="containsText" dxfId="5199" priority="5871" operator="containsText" text="Missing">
      <formula>NOT(ISERROR(SEARCH("Missing",J2272)))</formula>
    </cfRule>
  </conditionalFormatting>
  <conditionalFormatting sqref="J2245">
    <cfRule type="containsText" dxfId="5198" priority="5894" operator="containsText" text="Missing">
      <formula>NOT(ISERROR(SEARCH("Missing",J2245)))</formula>
    </cfRule>
  </conditionalFormatting>
  <conditionalFormatting sqref="H2245:H2247 H2250:H2253">
    <cfRule type="containsText" dxfId="5197" priority="5893" operator="containsText" text="Missing">
      <formula>NOT(ISERROR(SEARCH("Missing",H2245)))</formula>
    </cfRule>
  </conditionalFormatting>
  <conditionalFormatting sqref="J2245">
    <cfRule type="containsText" dxfId="5196" priority="5888" operator="containsText" text="Missing">
      <formula>NOT(ISERROR(SEARCH("Missing",J2245)))</formula>
    </cfRule>
  </conditionalFormatting>
  <conditionalFormatting sqref="H2245:H2247 H2250:H2253">
    <cfRule type="containsText" dxfId="5195" priority="5885" operator="containsText" text="Missing">
      <formula>NOT(ISERROR(SEARCH("Missing",H2245)))</formula>
    </cfRule>
  </conditionalFormatting>
  <conditionalFormatting sqref="I2245">
    <cfRule type="containsText" dxfId="5194" priority="5884" operator="containsText" text="Missing">
      <formula>NOT(ISERROR(SEARCH("Missing",I2245)))</formula>
    </cfRule>
  </conditionalFormatting>
  <conditionalFormatting sqref="J2246">
    <cfRule type="containsText" dxfId="5193" priority="5883" operator="containsText" text="Missing">
      <formula>NOT(ISERROR(SEARCH("Missing",J2246)))</formula>
    </cfRule>
  </conditionalFormatting>
  <conditionalFormatting sqref="L2248:L2249">
    <cfRule type="containsText" dxfId="5192" priority="5850" operator="containsText" text="Positive">
      <formula>NOT(ISERROR(SEARCH("Positive",L2248)))</formula>
    </cfRule>
    <cfRule type="containsText" dxfId="5191" priority="5851" operator="containsText" text="Negative">
      <formula>NOT(ISERROR(SEARCH("Negative",L2248)))</formula>
    </cfRule>
  </conditionalFormatting>
  <conditionalFormatting sqref="J2246">
    <cfRule type="containsText" dxfId="5190" priority="5882" operator="containsText" text="Missing">
      <formula>NOT(ISERROR(SEARCH("Missing",J2246)))</formula>
    </cfRule>
  </conditionalFormatting>
  <conditionalFormatting sqref="J2274">
    <cfRule type="containsText" dxfId="5189" priority="5865" operator="containsText" text="Missing">
      <formula>NOT(ISERROR(SEARCH("Missing",J2274)))</formula>
    </cfRule>
  </conditionalFormatting>
  <conditionalFormatting sqref="J2247">
    <cfRule type="containsText" dxfId="5188" priority="5881" operator="containsText" text="Missing">
      <formula>NOT(ISERROR(SEARCH("Missing",J2247)))</formula>
    </cfRule>
  </conditionalFormatting>
  <conditionalFormatting sqref="J2247">
    <cfRule type="containsText" dxfId="5187" priority="5880" operator="containsText" text="Missing">
      <formula>NOT(ISERROR(SEARCH("Missing",J2247)))</formula>
    </cfRule>
  </conditionalFormatting>
  <conditionalFormatting sqref="L2254:L2256 L2259:L2262">
    <cfRule type="containsText" dxfId="5186" priority="5839" operator="containsText" text="Positive">
      <formula>NOT(ISERROR(SEARCH("Positive",L2254)))</formula>
    </cfRule>
    <cfRule type="containsText" dxfId="5185" priority="5840" operator="containsText" text="Negative">
      <formula>NOT(ISERROR(SEARCH("Negative",L2254)))</formula>
    </cfRule>
  </conditionalFormatting>
  <conditionalFormatting sqref="J2274">
    <cfRule type="containsText" dxfId="5184" priority="5863" operator="containsText" text="Missing">
      <formula>NOT(ISERROR(SEARCH("Missing",J2274)))</formula>
    </cfRule>
  </conditionalFormatting>
  <conditionalFormatting sqref="J2250">
    <cfRule type="containsText" dxfId="5183" priority="5879" operator="containsText" text="Missing">
      <formula>NOT(ISERROR(SEARCH("Missing",J2250)))</formula>
    </cfRule>
  </conditionalFormatting>
  <conditionalFormatting sqref="J2275:K2275 K2245:K2247 K2250:K2253 K2272:K2274">
    <cfRule type="containsText" dxfId="5182" priority="5861" operator="containsText" text="Missing">
      <formula>NOT(ISERROR(SEARCH("Missing",J2245)))</formula>
    </cfRule>
  </conditionalFormatting>
  <conditionalFormatting sqref="L2293">
    <cfRule type="containsText" dxfId="5181" priority="5669" operator="containsText" text="Positive">
      <formula>NOT(ISERROR(SEARCH("Positive",L2293)))</formula>
    </cfRule>
    <cfRule type="containsText" dxfId="5180" priority="5670" operator="containsText" text="Negative">
      <formula>NOT(ISERROR(SEARCH("Negative",L2293)))</formula>
    </cfRule>
  </conditionalFormatting>
  <conditionalFormatting sqref="L2285">
    <cfRule type="containsText" dxfId="5179" priority="5724" operator="containsText" text="Positive">
      <formula>NOT(ISERROR(SEARCH("Positive",L2285)))</formula>
    </cfRule>
    <cfRule type="containsText" dxfId="5178" priority="5725" operator="containsText" text="Negative">
      <formula>NOT(ISERROR(SEARCH("Negative",L2285)))</formula>
    </cfRule>
  </conditionalFormatting>
  <conditionalFormatting sqref="J2250">
    <cfRule type="containsText" dxfId="5177" priority="5878" operator="containsText" text="Missing">
      <formula>NOT(ISERROR(SEARCH("Missing",J2250)))</formula>
    </cfRule>
  </conditionalFormatting>
  <conditionalFormatting sqref="J2273">
    <cfRule type="containsText" dxfId="5176" priority="5867" operator="containsText" text="Missing">
      <formula>NOT(ISERROR(SEARCH("Missing",J2273)))</formula>
    </cfRule>
  </conditionalFormatting>
  <conditionalFormatting sqref="J2251:J2252">
    <cfRule type="containsText" dxfId="5175" priority="5876" operator="containsText" text="Missing">
      <formula>NOT(ISERROR(SEARCH("Missing",J2251)))</formula>
    </cfRule>
  </conditionalFormatting>
  <conditionalFormatting sqref="J2253">
    <cfRule type="containsText" dxfId="5174" priority="5875" operator="containsText" text="Missing">
      <formula>NOT(ISERROR(SEARCH("Missing",J2253)))</formula>
    </cfRule>
  </conditionalFormatting>
  <conditionalFormatting sqref="L2280">
    <cfRule type="containsText" dxfId="5173" priority="5780" operator="containsText" text="Positive">
      <formula>NOT(ISERROR(SEARCH("Positive",L2280)))</formula>
    </cfRule>
    <cfRule type="containsText" dxfId="5172" priority="5781" operator="containsText" text="Negative">
      <formula>NOT(ISERROR(SEARCH("Negative",L2280)))</formula>
    </cfRule>
  </conditionalFormatting>
  <conditionalFormatting sqref="J2253">
    <cfRule type="containsText" dxfId="5171" priority="5873" operator="containsText" text="Missing">
      <formula>NOT(ISERROR(SEARCH("Missing",J2253)))</formula>
    </cfRule>
  </conditionalFormatting>
  <conditionalFormatting sqref="J2253">
    <cfRule type="containsText" dxfId="5170" priority="5874" operator="containsText" text="Missing">
      <formula>NOT(ISERROR(SEARCH("Missing",J2253)))</formula>
    </cfRule>
  </conditionalFormatting>
  <conditionalFormatting sqref="L2282">
    <cfRule type="containsText" dxfId="5169" priority="5738" operator="containsText" text="Positive">
      <formula>NOT(ISERROR(SEARCH("Positive",L2282)))</formula>
    </cfRule>
    <cfRule type="containsText" dxfId="5168" priority="5739" operator="containsText" text="Negative">
      <formula>NOT(ISERROR(SEARCH("Negative",L2282)))</formula>
    </cfRule>
  </conditionalFormatting>
  <conditionalFormatting sqref="L2283">
    <cfRule type="containsText" dxfId="5167" priority="5733" operator="containsText" text="Positive">
      <formula>NOT(ISERROR(SEARCH("Positive",L2283)))</formula>
    </cfRule>
    <cfRule type="containsText" dxfId="5166" priority="5734" operator="containsText" text="Negative">
      <formula>NOT(ISERROR(SEARCH("Negative",L2283)))</formula>
    </cfRule>
  </conditionalFormatting>
  <conditionalFormatting sqref="J2272">
    <cfRule type="containsText" dxfId="5165" priority="5870" operator="containsText" text="Missing">
      <formula>NOT(ISERROR(SEARCH("Missing",J2272)))</formula>
    </cfRule>
  </conditionalFormatting>
  <conditionalFormatting sqref="L2248:L2249">
    <cfRule type="containsText" dxfId="5164" priority="5852" operator="containsText" text="Positive">
      <formula>NOT(ISERROR(SEARCH("Positive",L2248)))</formula>
    </cfRule>
    <cfRule type="containsText" dxfId="5163" priority="5853" operator="containsText" text="Negative">
      <formula>NOT(ISERROR(SEARCH("Negative",L2248)))</formula>
    </cfRule>
  </conditionalFormatting>
  <conditionalFormatting sqref="L2281">
    <cfRule type="containsText" dxfId="5162" priority="5773" operator="containsText" text="Positive">
      <formula>NOT(ISERROR(SEARCH("Positive",L2281)))</formula>
    </cfRule>
    <cfRule type="containsText" dxfId="5161" priority="5774" operator="containsText" text="Negative">
      <formula>NOT(ISERROR(SEARCH("Negative",L2281)))</formula>
    </cfRule>
  </conditionalFormatting>
  <conditionalFormatting sqref="L2294">
    <cfRule type="containsText" dxfId="5160" priority="5656" operator="containsText" text="Positive">
      <formula>NOT(ISERROR(SEARCH("Positive",L2294)))</formula>
    </cfRule>
    <cfRule type="containsText" dxfId="5159" priority="5657" operator="containsText" text="Negative">
      <formula>NOT(ISERROR(SEARCH("Negative",L2294)))</formula>
    </cfRule>
  </conditionalFormatting>
  <conditionalFormatting sqref="L2282">
    <cfRule type="containsText" dxfId="5158" priority="5742" operator="containsText" text="Positive">
      <formula>NOT(ISERROR(SEARCH("Positive",L2282)))</formula>
    </cfRule>
    <cfRule type="containsText" dxfId="5157" priority="5743" operator="containsText" text="Negative">
      <formula>NOT(ISERROR(SEARCH("Negative",L2282)))</formula>
    </cfRule>
  </conditionalFormatting>
  <conditionalFormatting sqref="I2273:J2273">
    <cfRule type="containsText" dxfId="5156" priority="5869" operator="containsText" text="Missing">
      <formula>NOT(ISERROR(SEARCH("Missing",I2273)))</formula>
    </cfRule>
  </conditionalFormatting>
  <conditionalFormatting sqref="J2273">
    <cfRule type="containsText" dxfId="5155" priority="5868" operator="containsText" text="Missing">
      <formula>NOT(ISERROR(SEARCH("Missing",J2273)))</formula>
    </cfRule>
  </conditionalFormatting>
  <conditionalFormatting sqref="L2276:L2277">
    <cfRule type="containsText" dxfId="5154" priority="5762" operator="containsText" text="Positive">
      <formula>NOT(ISERROR(SEARCH("Positive",L2276)))</formula>
    </cfRule>
    <cfRule type="containsText" dxfId="5153" priority="5763" operator="containsText" text="Negative">
      <formula>NOT(ISERROR(SEARCH("Negative",L2276)))</formula>
    </cfRule>
  </conditionalFormatting>
  <conditionalFormatting sqref="L2286">
    <cfRule type="containsText" dxfId="5152" priority="5713" operator="containsText" text="Positive">
      <formula>NOT(ISERROR(SEARCH("Positive",L2286)))</formula>
    </cfRule>
    <cfRule type="containsText" dxfId="5151" priority="5714" operator="containsText" text="Negative">
      <formula>NOT(ISERROR(SEARCH("Negative",L2286)))</formula>
    </cfRule>
  </conditionalFormatting>
  <conditionalFormatting sqref="L2285">
    <cfRule type="containsText" dxfId="5150" priority="5722" operator="containsText" text="Positive">
      <formula>NOT(ISERROR(SEARCH("Positive",L2285)))</formula>
    </cfRule>
    <cfRule type="containsText" dxfId="5149" priority="5723" operator="containsText" text="Negative">
      <formula>NOT(ISERROR(SEARCH("Negative",L2285)))</formula>
    </cfRule>
  </conditionalFormatting>
  <conditionalFormatting sqref="J2249">
    <cfRule type="containsText" dxfId="5148" priority="5846" operator="containsText" text="Missing">
      <formula>NOT(ISERROR(SEARCH("Missing",J2249)))</formula>
    </cfRule>
  </conditionalFormatting>
  <conditionalFormatting sqref="J2274">
    <cfRule type="containsText" dxfId="5147" priority="5864" operator="containsText" text="Missing">
      <formula>NOT(ISERROR(SEARCH("Missing",J2274)))</formula>
    </cfRule>
  </conditionalFormatting>
  <conditionalFormatting sqref="J2278:K2278">
    <cfRule type="containsText" dxfId="5146" priority="5857" operator="containsText" text="Missing">
      <formula>NOT(ISERROR(SEARCH("Missing",J2278)))</formula>
    </cfRule>
  </conditionalFormatting>
  <conditionalFormatting sqref="L2279">
    <cfRule type="containsText" dxfId="5145" priority="5791" operator="containsText" text="Positive">
      <formula>NOT(ISERROR(SEARCH("Positive",L2279)))</formula>
    </cfRule>
    <cfRule type="containsText" dxfId="5144" priority="5792" operator="containsText" text="Negative">
      <formula>NOT(ISERROR(SEARCH("Negative",L2279)))</formula>
    </cfRule>
  </conditionalFormatting>
  <conditionalFormatting sqref="L2284">
    <cfRule type="containsText" dxfId="5143" priority="5649" operator="containsText" text="Positive">
      <formula>NOT(ISERROR(SEARCH("Positive",L2284)))</formula>
    </cfRule>
    <cfRule type="containsText" dxfId="5142" priority="5650" operator="containsText" text="Negative">
      <formula>NOT(ISERROR(SEARCH("Negative",L2284)))</formula>
    </cfRule>
  </conditionalFormatting>
  <conditionalFormatting sqref="J2275:K2275 K2245:K2247 K2250:K2253 K2272:K2274">
    <cfRule type="containsText" dxfId="5141" priority="5862" operator="containsText" text="Missing">
      <formula>NOT(ISERROR(SEARCH("Missing",J2245)))</formula>
    </cfRule>
  </conditionalFormatting>
  <conditionalFormatting sqref="L2285">
    <cfRule type="containsText" dxfId="5140" priority="5720" operator="containsText" text="Positive">
      <formula>NOT(ISERROR(SEARCH("Positive",L2285)))</formula>
    </cfRule>
    <cfRule type="containsText" dxfId="5139" priority="5721" operator="containsText" text="Negative">
      <formula>NOT(ISERROR(SEARCH("Negative",L2285)))</formula>
    </cfRule>
  </conditionalFormatting>
  <conditionalFormatting sqref="J2275:K2275 K2245:K2247 K2250:K2253 K2272:K2274">
    <cfRule type="containsText" dxfId="5138" priority="5860" operator="containsText" text="Missing">
      <formula>NOT(ISERROR(SEARCH("Missing",J2245)))</formula>
    </cfRule>
  </conditionalFormatting>
  <conditionalFormatting sqref="L2287">
    <cfRule type="containsText" dxfId="5137" priority="5700" operator="containsText" text="Positive">
      <formula>NOT(ISERROR(SEARCH("Positive",L2287)))</formula>
    </cfRule>
    <cfRule type="containsText" dxfId="5136" priority="5701" operator="containsText" text="Negative">
      <formula>NOT(ISERROR(SEARCH("Negative",L2287)))</formula>
    </cfRule>
  </conditionalFormatting>
  <conditionalFormatting sqref="L2280">
    <cfRule type="containsText" dxfId="5135" priority="5782" operator="containsText" text="Positive">
      <formula>NOT(ISERROR(SEARCH("Positive",L2280)))</formula>
    </cfRule>
    <cfRule type="containsText" dxfId="5134" priority="5783" operator="containsText" text="Negative">
      <formula>NOT(ISERROR(SEARCH("Negative",L2280)))</formula>
    </cfRule>
  </conditionalFormatting>
  <conditionalFormatting sqref="J2278:K2278">
    <cfRule type="containsText" dxfId="5133" priority="5859" operator="containsText" text="Missing">
      <formula>NOT(ISERROR(SEARCH("Missing",J2278)))</formula>
    </cfRule>
  </conditionalFormatting>
  <conditionalFormatting sqref="J2278:K2278">
    <cfRule type="containsText" dxfId="5132" priority="5858" operator="containsText" text="Missing">
      <formula>NOT(ISERROR(SEARCH("Missing",J2278)))</formula>
    </cfRule>
  </conditionalFormatting>
  <conditionalFormatting sqref="L2290">
    <cfRule type="containsText" dxfId="5131" priority="5678" operator="containsText" text="Positive">
      <formula>NOT(ISERROR(SEARCH("Positive",L2290)))</formula>
    </cfRule>
    <cfRule type="containsText" dxfId="5130" priority="5679" operator="containsText" text="Negative">
      <formula>NOT(ISERROR(SEARCH("Negative",L2290)))</formula>
    </cfRule>
  </conditionalFormatting>
  <conditionalFormatting sqref="L2294">
    <cfRule type="containsText" dxfId="5129" priority="5658" operator="containsText" text="Positive">
      <formula>NOT(ISERROR(SEARCH("Positive",L2294)))</formula>
    </cfRule>
    <cfRule type="containsText" dxfId="5128" priority="5659" operator="containsText" text="Negative">
      <formula>NOT(ISERROR(SEARCH("Negative",L2294)))</formula>
    </cfRule>
  </conditionalFormatting>
  <conditionalFormatting sqref="J2249">
    <cfRule type="containsText" dxfId="5127" priority="5845" operator="containsText" text="Missing">
      <formula>NOT(ISERROR(SEARCH("Missing",J2249)))</formula>
    </cfRule>
  </conditionalFormatting>
  <conditionalFormatting sqref="I2251">
    <cfRule type="containsText" dxfId="5126" priority="5856" operator="containsText" text="Missing">
      <formula>NOT(ISERROR(SEARCH("Missing",I2251)))</formula>
    </cfRule>
  </conditionalFormatting>
  <conditionalFormatting sqref="J2254">
    <cfRule type="containsText" dxfId="5125" priority="5841" operator="containsText" text="Missing">
      <formula>NOT(ISERROR(SEARCH("Missing",J2254)))</formula>
    </cfRule>
  </conditionalFormatting>
  <conditionalFormatting sqref="K2248:K2249">
    <cfRule type="containsText" dxfId="5124" priority="5842" operator="containsText" text="Missing">
      <formula>NOT(ISERROR(SEARCH("Missing",K2248)))</formula>
    </cfRule>
  </conditionalFormatting>
  <conditionalFormatting sqref="L2293">
    <cfRule type="containsText" dxfId="5123" priority="5667" operator="containsText" text="Positive">
      <formula>NOT(ISERROR(SEARCH("Positive",L2293)))</formula>
    </cfRule>
    <cfRule type="containsText" dxfId="5122" priority="5668" operator="containsText" text="Negative">
      <formula>NOT(ISERROR(SEARCH("Negative",L2293)))</formula>
    </cfRule>
  </conditionalFormatting>
  <conditionalFormatting sqref="J2248">
    <cfRule type="containsText" dxfId="5121" priority="5849" operator="containsText" text="Missing">
      <formula>NOT(ISERROR(SEARCH("Missing",J2248)))</formula>
    </cfRule>
  </conditionalFormatting>
  <conditionalFormatting sqref="J2248">
    <cfRule type="containsText" dxfId="5120" priority="5848" operator="containsText" text="Missing">
      <formula>NOT(ISERROR(SEARCH("Missing",J2248)))</formula>
    </cfRule>
  </conditionalFormatting>
  <conditionalFormatting sqref="I2248">
    <cfRule type="containsText" dxfId="5119" priority="5847" operator="containsText" text="Missing">
      <formula>NOT(ISERROR(SEARCH("Missing",I2248)))</formula>
    </cfRule>
  </conditionalFormatting>
  <conditionalFormatting sqref="K2248:K2249">
    <cfRule type="containsText" dxfId="5118" priority="5844" operator="containsText" text="Missing">
      <formula>NOT(ISERROR(SEARCH("Missing",K2248)))</formula>
    </cfRule>
  </conditionalFormatting>
  <conditionalFormatting sqref="J2256">
    <cfRule type="containsText" dxfId="5117" priority="5831" operator="containsText" text="Missing">
      <formula>NOT(ISERROR(SEARCH("Missing",J2256)))</formula>
    </cfRule>
  </conditionalFormatting>
  <conditionalFormatting sqref="K2248:K2249">
    <cfRule type="containsText" dxfId="5116" priority="5843" operator="containsText" text="Missing">
      <formula>NOT(ISERROR(SEARCH("Missing",K2248)))</formula>
    </cfRule>
  </conditionalFormatting>
  <conditionalFormatting sqref="K2269:K2271">
    <cfRule type="containsText" dxfId="5115" priority="5797" operator="containsText" text="Missing">
      <formula>NOT(ISERROR(SEARCH("Missing",K2269)))</formula>
    </cfRule>
  </conditionalFormatting>
  <conditionalFormatting sqref="J2256">
    <cfRule type="containsText" dxfId="5114" priority="5830" operator="containsText" text="Missing">
      <formula>NOT(ISERROR(SEARCH("Missing",J2256)))</formula>
    </cfRule>
  </conditionalFormatting>
  <conditionalFormatting sqref="K2269:K2271">
    <cfRule type="containsText" dxfId="5113" priority="5795" operator="containsText" text="Missing">
      <formula>NOT(ISERROR(SEARCH("Missing",K2269)))</formula>
    </cfRule>
  </conditionalFormatting>
  <conditionalFormatting sqref="L2254:L2256 L2259:L2262">
    <cfRule type="containsText" dxfId="5112" priority="5837" operator="containsText" text="Positive">
      <formula>NOT(ISERROR(SEARCH("Positive",L2254)))</formula>
    </cfRule>
    <cfRule type="containsText" dxfId="5111" priority="5838" operator="containsText" text="Negative">
      <formula>NOT(ISERROR(SEARCH("Negative",L2254)))</formula>
    </cfRule>
  </conditionalFormatting>
  <conditionalFormatting sqref="J2254">
    <cfRule type="containsText" dxfId="5110" priority="5836" operator="containsText" text="Missing">
      <formula>NOT(ISERROR(SEARCH("Missing",J2254)))</formula>
    </cfRule>
  </conditionalFormatting>
  <conditionalFormatting sqref="K2254:K2256 K2259:K2262">
    <cfRule type="containsText" dxfId="5109" priority="5821" operator="containsText" text="Missing">
      <formula>NOT(ISERROR(SEARCH("Missing",K2254)))</formula>
    </cfRule>
  </conditionalFormatting>
  <conditionalFormatting sqref="J2255">
    <cfRule type="containsText" dxfId="5108" priority="5833" operator="containsText" text="Missing">
      <formula>NOT(ISERROR(SEARCH("Missing",J2255)))</formula>
    </cfRule>
  </conditionalFormatting>
  <conditionalFormatting sqref="J2255">
    <cfRule type="containsText" dxfId="5107" priority="5832" operator="containsText" text="Missing">
      <formula>NOT(ISERROR(SEARCH("Missing",J2255)))</formula>
    </cfRule>
  </conditionalFormatting>
  <conditionalFormatting sqref="J2271">
    <cfRule type="containsText" dxfId="5106" priority="5799" operator="containsText" text="Missing">
      <formula>NOT(ISERROR(SEARCH("Missing",J2271)))</formula>
    </cfRule>
  </conditionalFormatting>
  <conditionalFormatting sqref="J2259">
    <cfRule type="containsText" dxfId="5105" priority="5829" operator="containsText" text="Missing">
      <formula>NOT(ISERROR(SEARCH("Missing",J2259)))</formula>
    </cfRule>
  </conditionalFormatting>
  <conditionalFormatting sqref="J2259">
    <cfRule type="containsText" dxfId="5104" priority="5828" operator="containsText" text="Missing">
      <formula>NOT(ISERROR(SEARCH("Missing",J2259)))</formula>
    </cfRule>
  </conditionalFormatting>
  <conditionalFormatting sqref="J2260:J2261">
    <cfRule type="containsText" dxfId="5103" priority="5827" operator="containsText" text="Missing">
      <formula>NOT(ISERROR(SEARCH("Missing",J2260)))</formula>
    </cfRule>
  </conditionalFormatting>
  <conditionalFormatting sqref="J2262">
    <cfRule type="containsText" dxfId="5102" priority="5826" operator="containsText" text="Missing">
      <formula>NOT(ISERROR(SEARCH("Missing",J2262)))</formula>
    </cfRule>
  </conditionalFormatting>
  <conditionalFormatting sqref="J2262">
    <cfRule type="containsText" dxfId="5101" priority="5824" operator="containsText" text="Missing">
      <formula>NOT(ISERROR(SEARCH("Missing",J2262)))</formula>
    </cfRule>
  </conditionalFormatting>
  <conditionalFormatting sqref="J2262">
    <cfRule type="containsText" dxfId="5100" priority="5825" operator="containsText" text="Missing">
      <formula>NOT(ISERROR(SEARCH("Missing",J2262)))</formula>
    </cfRule>
  </conditionalFormatting>
  <conditionalFormatting sqref="K2254:K2256 K2259:K2262">
    <cfRule type="containsText" dxfId="5099" priority="5823" operator="containsText" text="Missing">
      <formula>NOT(ISERROR(SEARCH("Missing",K2254)))</formula>
    </cfRule>
  </conditionalFormatting>
  <conditionalFormatting sqref="H2269:H2271">
    <cfRule type="containsText" dxfId="5098" priority="5744" operator="containsText" text="Missing">
      <formula>NOT(ISERROR(SEARCH("Missing",H2269)))</formula>
    </cfRule>
  </conditionalFormatting>
  <conditionalFormatting sqref="K2254:K2256 K2259:K2262">
    <cfRule type="containsText" dxfId="5097" priority="5822" operator="containsText" text="Missing">
      <formula>NOT(ISERROR(SEARCH("Missing",K2254)))</formula>
    </cfRule>
  </conditionalFormatting>
  <conditionalFormatting sqref="L2280">
    <cfRule type="containsText" dxfId="5096" priority="5784" operator="containsText" text="Positive">
      <formula>NOT(ISERROR(SEARCH("Positive",L2280)))</formula>
    </cfRule>
    <cfRule type="containsText" dxfId="5095" priority="5785" operator="containsText" text="Negative">
      <formula>NOT(ISERROR(SEARCH("Negative",L2280)))</formula>
    </cfRule>
  </conditionalFormatting>
  <conditionalFormatting sqref="J2279:K2279">
    <cfRule type="containsText" dxfId="5094" priority="5787" operator="containsText" text="Missing">
      <formula>NOT(ISERROR(SEARCH("Missing",J2279)))</formula>
    </cfRule>
  </conditionalFormatting>
  <conditionalFormatting sqref="L2257:L2258">
    <cfRule type="containsText" dxfId="5093" priority="5819" operator="containsText" text="Positive">
      <formula>NOT(ISERROR(SEARCH("Positive",L2257)))</formula>
    </cfRule>
    <cfRule type="containsText" dxfId="5092" priority="5820" operator="containsText" text="Negative">
      <formula>NOT(ISERROR(SEARCH("Negative",L2257)))</formula>
    </cfRule>
  </conditionalFormatting>
  <conditionalFormatting sqref="J2257">
    <cfRule type="containsText" dxfId="5091" priority="5814" operator="containsText" text="Missing">
      <formula>NOT(ISERROR(SEARCH("Missing",J2257)))</formula>
    </cfRule>
  </conditionalFormatting>
  <conditionalFormatting sqref="J2257">
    <cfRule type="containsText" dxfId="5090" priority="5813" operator="containsText" text="Missing">
      <formula>NOT(ISERROR(SEARCH("Missing",J2257)))</formula>
    </cfRule>
  </conditionalFormatting>
  <conditionalFormatting sqref="J2258">
    <cfRule type="containsText" dxfId="5089" priority="5812" operator="containsText" text="Missing">
      <formula>NOT(ISERROR(SEARCH("Missing",J2258)))</formula>
    </cfRule>
  </conditionalFormatting>
  <conditionalFormatting sqref="J2258">
    <cfRule type="containsText" dxfId="5088" priority="5811" operator="containsText" text="Missing">
      <formula>NOT(ISERROR(SEARCH("Missing",J2258)))</formula>
    </cfRule>
  </conditionalFormatting>
  <conditionalFormatting sqref="K2257:K2258">
    <cfRule type="containsText" dxfId="5087" priority="5810" operator="containsText" text="Missing">
      <formula>NOT(ISERROR(SEARCH("Missing",K2257)))</formula>
    </cfRule>
  </conditionalFormatting>
  <conditionalFormatting sqref="K2257:K2258">
    <cfRule type="containsText" dxfId="5086" priority="5808" operator="containsText" text="Missing">
      <formula>NOT(ISERROR(SEARCH("Missing",K2257)))</formula>
    </cfRule>
  </conditionalFormatting>
  <conditionalFormatting sqref="K2257:K2258">
    <cfRule type="containsText" dxfId="5085" priority="5809" operator="containsText" text="Missing">
      <formula>NOT(ISERROR(SEARCH("Missing",K2257)))</formula>
    </cfRule>
  </conditionalFormatting>
  <conditionalFormatting sqref="L2283">
    <cfRule type="containsText" dxfId="5084" priority="5731" operator="containsText" text="Positive">
      <formula>NOT(ISERROR(SEARCH("Positive",L2283)))</formula>
    </cfRule>
    <cfRule type="containsText" dxfId="5083" priority="5732" operator="containsText" text="Negative">
      <formula>NOT(ISERROR(SEARCH("Negative",L2283)))</formula>
    </cfRule>
  </conditionalFormatting>
  <conditionalFormatting sqref="L2288">
    <cfRule type="containsText" dxfId="5082" priority="5601" operator="containsText" text="Positive">
      <formula>NOT(ISERROR(SEARCH("Positive",L2288)))</formula>
    </cfRule>
    <cfRule type="containsText" dxfId="5081" priority="5602" operator="containsText" text="Negative">
      <formula>NOT(ISERROR(SEARCH("Negative",L2288)))</formula>
    </cfRule>
  </conditionalFormatting>
  <conditionalFormatting sqref="L2281">
    <cfRule type="containsText" dxfId="5080" priority="5775" operator="containsText" text="Positive">
      <formula>NOT(ISERROR(SEARCH("Positive",L2281)))</formula>
    </cfRule>
    <cfRule type="containsText" dxfId="5079" priority="5776" operator="containsText" text="Negative">
      <formula>NOT(ISERROR(SEARCH("Negative",L2281)))</formula>
    </cfRule>
  </conditionalFormatting>
  <conditionalFormatting sqref="J2271">
    <cfRule type="containsText" dxfId="5078" priority="5800" operator="containsText" text="Missing">
      <formula>NOT(ISERROR(SEARCH("Missing",J2271)))</formula>
    </cfRule>
  </conditionalFormatting>
  <conditionalFormatting sqref="J2280:K2280">
    <cfRule type="containsText" dxfId="5077" priority="5779" operator="containsText" text="Missing">
      <formula>NOT(ISERROR(SEARCH("Missing",J2280)))</formula>
    </cfRule>
  </conditionalFormatting>
  <conditionalFormatting sqref="J2269:J2270">
    <cfRule type="containsText" dxfId="5076" priority="5801" operator="containsText" text="Missing">
      <formula>NOT(ISERROR(SEARCH("Missing",J2269)))</formula>
    </cfRule>
  </conditionalFormatting>
  <conditionalFormatting sqref="J2271">
    <cfRule type="containsText" dxfId="5075" priority="5798" operator="containsText" text="Missing">
      <formula>NOT(ISERROR(SEARCH("Missing",J2271)))</formula>
    </cfRule>
  </conditionalFormatting>
  <conditionalFormatting sqref="K2269:K2271">
    <cfRule type="containsText" dxfId="5074" priority="5796" operator="containsText" text="Missing">
      <formula>NOT(ISERROR(SEARCH("Missing",K2269)))</formula>
    </cfRule>
  </conditionalFormatting>
  <conditionalFormatting sqref="J2279:K2279">
    <cfRule type="containsText" dxfId="5073" priority="5786" operator="containsText" text="Missing">
      <formula>NOT(ISERROR(SEARCH("Missing",J2279)))</formula>
    </cfRule>
  </conditionalFormatting>
  <conditionalFormatting sqref="L2290">
    <cfRule type="containsText" dxfId="5072" priority="5674" operator="containsText" text="Positive">
      <formula>NOT(ISERROR(SEARCH("Positive",L2290)))</formula>
    </cfRule>
    <cfRule type="containsText" dxfId="5071" priority="5675" operator="containsText" text="Negative">
      <formula>NOT(ISERROR(SEARCH("Negative",L2290)))</formula>
    </cfRule>
  </conditionalFormatting>
  <conditionalFormatting sqref="J2281:K2281">
    <cfRule type="containsText" dxfId="5070" priority="5768" operator="containsText" text="Missing">
      <formula>NOT(ISERROR(SEARCH("Missing",J2281)))</formula>
    </cfRule>
  </conditionalFormatting>
  <conditionalFormatting sqref="J2285:K2285">
    <cfRule type="containsText" dxfId="5069" priority="5719" operator="containsText" text="Missing">
      <formula>NOT(ISERROR(SEARCH("Missing",J2285)))</formula>
    </cfRule>
  </conditionalFormatting>
  <conditionalFormatting sqref="J2276">
    <cfRule type="containsText" dxfId="5068" priority="5759" operator="containsText" text="Missing">
      <formula>NOT(ISERROR(SEARCH("Missing",J2276)))</formula>
    </cfRule>
  </conditionalFormatting>
  <conditionalFormatting sqref="L2289">
    <cfRule type="containsText" dxfId="5067" priority="5687" operator="containsText" text="Positive">
      <formula>NOT(ISERROR(SEARCH("Positive",L2289)))</formula>
    </cfRule>
    <cfRule type="containsText" dxfId="5066" priority="5688" operator="containsText" text="Negative">
      <formula>NOT(ISERROR(SEARCH("Negative",L2289)))</formula>
    </cfRule>
  </conditionalFormatting>
  <conditionalFormatting sqref="L2289">
    <cfRule type="containsText" dxfId="5065" priority="5685" operator="containsText" text="Positive">
      <formula>NOT(ISERROR(SEARCH("Positive",L2289)))</formula>
    </cfRule>
    <cfRule type="containsText" dxfId="5064" priority="5686" operator="containsText" text="Negative">
      <formula>NOT(ISERROR(SEARCH("Negative",L2289)))</formula>
    </cfRule>
  </conditionalFormatting>
  <conditionalFormatting sqref="H2249">
    <cfRule type="containsText" dxfId="5063" priority="5752" operator="containsText" text="Missing">
      <formula>NOT(ISERROR(SEARCH("Missing",H2249)))</formula>
    </cfRule>
  </conditionalFormatting>
  <conditionalFormatting sqref="J2280:K2280">
    <cfRule type="containsText" dxfId="5062" priority="5777" operator="containsText" text="Missing">
      <formula>NOT(ISERROR(SEARCH("Missing",J2280)))</formula>
    </cfRule>
  </conditionalFormatting>
  <conditionalFormatting sqref="H2380">
    <cfRule type="containsText" dxfId="5061" priority="5117" operator="containsText" text="Missing">
      <formula>NOT(ISERROR(SEARCH("Missing",H2380)))</formula>
    </cfRule>
  </conditionalFormatting>
  <conditionalFormatting sqref="J2280:K2280">
    <cfRule type="containsText" dxfId="5060" priority="5778" operator="containsText" text="Missing">
      <formula>NOT(ISERROR(SEARCH("Missing",J2280)))</formula>
    </cfRule>
  </conditionalFormatting>
  <conditionalFormatting sqref="L2289">
    <cfRule type="containsText" dxfId="5059" priority="5689" operator="containsText" text="Positive">
      <formula>NOT(ISERROR(SEARCH("Positive",L2289)))</formula>
    </cfRule>
    <cfRule type="containsText" dxfId="5058" priority="5690" operator="containsText" text="Negative">
      <formula>NOT(ISERROR(SEARCH("Negative",L2289)))</formula>
    </cfRule>
  </conditionalFormatting>
  <conditionalFormatting sqref="L2287">
    <cfRule type="containsText" dxfId="5057" priority="5698" operator="containsText" text="Positive">
      <formula>NOT(ISERROR(SEARCH("Positive",L2287)))</formula>
    </cfRule>
    <cfRule type="containsText" dxfId="5056" priority="5699" operator="containsText" text="Negative">
      <formula>NOT(ISERROR(SEARCH("Negative",L2287)))</formula>
    </cfRule>
  </conditionalFormatting>
  <conditionalFormatting sqref="J2282:K2282">
    <cfRule type="containsText" dxfId="5055" priority="5736" operator="containsText" text="Missing">
      <formula>NOT(ISERROR(SEARCH("Missing",J2282)))</formula>
    </cfRule>
  </conditionalFormatting>
  <conditionalFormatting sqref="J2289:K2289">
    <cfRule type="containsText" dxfId="5054" priority="5682" operator="containsText" text="Missing">
      <formula>NOT(ISERROR(SEARCH("Missing",J2289)))</formula>
    </cfRule>
  </conditionalFormatting>
  <conditionalFormatting sqref="J2277:K2277 K2276">
    <cfRule type="containsText" dxfId="5053" priority="5756" operator="containsText" text="Missing">
      <formula>NOT(ISERROR(SEARCH("Missing",J2276)))</formula>
    </cfRule>
  </conditionalFormatting>
  <conditionalFormatting sqref="H2254 H2259:H2262">
    <cfRule type="containsText" dxfId="5052" priority="5751" operator="containsText" text="Missing">
      <formula>NOT(ISERROR(SEARCH("Missing",H2254)))</formula>
    </cfRule>
  </conditionalFormatting>
  <conditionalFormatting sqref="J2281:K2281">
    <cfRule type="containsText" dxfId="5051" priority="5770" operator="containsText" text="Missing">
      <formula>NOT(ISERROR(SEARCH("Missing",J2281)))</formula>
    </cfRule>
  </conditionalFormatting>
  <conditionalFormatting sqref="J2281:K2281">
    <cfRule type="containsText" dxfId="5050" priority="5769" operator="containsText" text="Missing">
      <formula>NOT(ISERROR(SEARCH("Missing",J2281)))</formula>
    </cfRule>
  </conditionalFormatting>
  <conditionalFormatting sqref="L2276:L2277">
    <cfRule type="containsText" dxfId="5049" priority="5764" operator="containsText" text="Positive">
      <formula>NOT(ISERROR(SEARCH("Positive",L2276)))</formula>
    </cfRule>
    <cfRule type="containsText" dxfId="5048" priority="5765" operator="containsText" text="Negative">
      <formula>NOT(ISERROR(SEARCH("Negative",L2276)))</formula>
    </cfRule>
  </conditionalFormatting>
  <conditionalFormatting sqref="J2283:K2283">
    <cfRule type="containsText" dxfId="5047" priority="5726" operator="containsText" text="Missing">
      <formula>NOT(ISERROR(SEARCH("Missing",J2283)))</formula>
    </cfRule>
  </conditionalFormatting>
  <conditionalFormatting sqref="J2277:K2277 K2276">
    <cfRule type="containsText" dxfId="5046" priority="5757" operator="containsText" text="Missing">
      <formula>NOT(ISERROR(SEARCH("Missing",J2276)))</formula>
    </cfRule>
  </conditionalFormatting>
  <conditionalFormatting sqref="J2276">
    <cfRule type="containsText" dxfId="5045" priority="5761" operator="containsText" text="Missing">
      <formula>NOT(ISERROR(SEARCH("Missing",J2276)))</formula>
    </cfRule>
  </conditionalFormatting>
  <conditionalFormatting sqref="J2277:K2277 K2276">
    <cfRule type="containsText" dxfId="5044" priority="5758" operator="containsText" text="Missing">
      <formula>NOT(ISERROR(SEARCH("Missing",J2276)))</formula>
    </cfRule>
  </conditionalFormatting>
  <conditionalFormatting sqref="H2254 H2259:H2262">
    <cfRule type="containsText" dxfId="5043" priority="5750" operator="containsText" text="Missing">
      <formula>NOT(ISERROR(SEARCH("Missing",H2254)))</formula>
    </cfRule>
  </conditionalFormatting>
  <conditionalFormatting sqref="L2283">
    <cfRule type="containsText" dxfId="5042" priority="5729" operator="containsText" text="Positive">
      <formula>NOT(ISERROR(SEARCH("Positive",L2283)))</formula>
    </cfRule>
    <cfRule type="containsText" dxfId="5041" priority="5730" operator="containsText" text="Negative">
      <formula>NOT(ISERROR(SEARCH("Negative",L2283)))</formula>
    </cfRule>
  </conditionalFormatting>
  <conditionalFormatting sqref="J2285:K2285">
    <cfRule type="containsText" dxfId="5040" priority="5718" operator="containsText" text="Missing">
      <formula>NOT(ISERROR(SEARCH("Missing",J2285)))</formula>
    </cfRule>
  </conditionalFormatting>
  <conditionalFormatting sqref="J2276">
    <cfRule type="containsText" dxfId="5039" priority="5760" operator="containsText" text="Missing">
      <formula>NOT(ISERROR(SEARCH("Missing",J2276)))</formula>
    </cfRule>
  </conditionalFormatting>
  <conditionalFormatting sqref="H2257">
    <cfRule type="containsText" dxfId="5038" priority="5749" operator="containsText" text="Missing">
      <formula>NOT(ISERROR(SEARCH("Missing",H2257)))</formula>
    </cfRule>
  </conditionalFormatting>
  <conditionalFormatting sqref="J2293:K2293">
    <cfRule type="containsText" dxfId="5037" priority="5664" operator="containsText" text="Missing">
      <formula>NOT(ISERROR(SEARCH("Missing",J2293)))</formula>
    </cfRule>
  </conditionalFormatting>
  <conditionalFormatting sqref="J2289:K2289">
    <cfRule type="containsText" dxfId="5036" priority="5683" operator="containsText" text="Missing">
      <formula>NOT(ISERROR(SEARCH("Missing",J2289)))</formula>
    </cfRule>
  </conditionalFormatting>
  <conditionalFormatting sqref="H2248">
    <cfRule type="containsText" dxfId="5035" priority="5755" operator="containsText" text="Missing">
      <formula>NOT(ISERROR(SEARCH("Missing",H2248)))</formula>
    </cfRule>
  </conditionalFormatting>
  <conditionalFormatting sqref="H2248">
    <cfRule type="containsText" dxfId="5034" priority="5754" operator="containsText" text="Missing">
      <formula>NOT(ISERROR(SEARCH("Missing",H2248)))</formula>
    </cfRule>
  </conditionalFormatting>
  <conditionalFormatting sqref="H2249">
    <cfRule type="containsText" dxfId="5033" priority="5753" operator="containsText" text="Missing">
      <formula>NOT(ISERROR(SEARCH("Missing",H2249)))</formula>
    </cfRule>
  </conditionalFormatting>
  <conditionalFormatting sqref="I2289">
    <cfRule type="containsText" dxfId="5032" priority="5680" operator="containsText" text="Missing">
      <formula>NOT(ISERROR(SEARCH("Missing",I2289)))</formula>
    </cfRule>
  </conditionalFormatting>
  <conditionalFormatting sqref="H2257">
    <cfRule type="containsText" dxfId="5031" priority="5748" operator="containsText" text="Missing">
      <formula>NOT(ISERROR(SEARCH("Missing",H2257)))</formula>
    </cfRule>
  </conditionalFormatting>
  <conditionalFormatting sqref="H2258">
    <cfRule type="containsText" dxfId="5030" priority="5747" operator="containsText" text="Missing">
      <formula>NOT(ISERROR(SEARCH("Missing",H2258)))</formula>
    </cfRule>
  </conditionalFormatting>
  <conditionalFormatting sqref="J2294:K2294">
    <cfRule type="containsText" dxfId="5029" priority="5655" operator="containsText" text="Missing">
      <formula>NOT(ISERROR(SEARCH("Missing",J2294)))</formula>
    </cfRule>
  </conditionalFormatting>
  <conditionalFormatting sqref="J2287:K2287">
    <cfRule type="containsText" dxfId="5028" priority="5694" operator="containsText" text="Missing">
      <formula>NOT(ISERROR(SEARCH("Missing",J2287)))</formula>
    </cfRule>
  </conditionalFormatting>
  <conditionalFormatting sqref="J2282:K2282">
    <cfRule type="containsText" dxfId="5027" priority="5735" operator="containsText" text="Missing">
      <formula>NOT(ISERROR(SEARCH("Missing",J2282)))</formula>
    </cfRule>
  </conditionalFormatting>
  <conditionalFormatting sqref="J2286:K2286">
    <cfRule type="containsText" dxfId="5026" priority="5706" operator="containsText" text="Missing">
      <formula>NOT(ISERROR(SEARCH("Missing",J2286)))</formula>
    </cfRule>
  </conditionalFormatting>
  <conditionalFormatting sqref="J2286:K2286">
    <cfRule type="containsText" dxfId="5025" priority="5707" operator="containsText" text="Missing">
      <formula>NOT(ISERROR(SEARCH("Missing",J2286)))</formula>
    </cfRule>
  </conditionalFormatting>
  <conditionalFormatting sqref="J2283:K2283">
    <cfRule type="containsText" dxfId="5024" priority="5728" operator="containsText" text="Missing">
      <formula>NOT(ISERROR(SEARCH("Missing",J2283)))</formula>
    </cfRule>
  </conditionalFormatting>
  <conditionalFormatting sqref="J2283:K2283">
    <cfRule type="containsText" dxfId="5023" priority="5727" operator="containsText" text="Missing">
      <formula>NOT(ISERROR(SEARCH("Missing",J2283)))</formula>
    </cfRule>
  </conditionalFormatting>
  <conditionalFormatting sqref="J2285:K2285">
    <cfRule type="containsText" dxfId="5022" priority="5717" operator="containsText" text="Missing">
      <formula>NOT(ISERROR(SEARCH("Missing",J2285)))</formula>
    </cfRule>
  </conditionalFormatting>
  <conditionalFormatting sqref="I2285">
    <cfRule type="containsText" dxfId="5021" priority="5716" operator="containsText" text="Missing">
      <formula>NOT(ISERROR(SEARCH("Missing",I2285)))</formula>
    </cfRule>
  </conditionalFormatting>
  <conditionalFormatting sqref="H2286">
    <cfRule type="containsText" dxfId="5020" priority="5638" operator="containsText" text="Missing">
      <formula>NOT(ISERROR(SEARCH("Missing",H2286)))</formula>
    </cfRule>
  </conditionalFormatting>
  <conditionalFormatting sqref="I2285">
    <cfRule type="containsText" dxfId="5019" priority="5715" operator="containsText" text="Missing">
      <formula>NOT(ISERROR(SEARCH("Missing",I2285)))</formula>
    </cfRule>
  </conditionalFormatting>
  <conditionalFormatting sqref="I2284">
    <cfRule type="containsText" dxfId="5018" priority="5642" operator="containsText" text="Missing">
      <formula>NOT(ISERROR(SEARCH("Missing",I2284)))</formula>
    </cfRule>
  </conditionalFormatting>
  <conditionalFormatting sqref="I2287">
    <cfRule type="containsText" dxfId="5017" priority="5691" operator="containsText" text="Missing">
      <formula>NOT(ISERROR(SEARCH("Missing",I2287)))</formula>
    </cfRule>
  </conditionalFormatting>
  <conditionalFormatting sqref="J2290:K2290">
    <cfRule type="containsText" dxfId="5016" priority="5672" operator="containsText" text="Missing">
      <formula>NOT(ISERROR(SEARCH("Missing",J2290)))</formula>
    </cfRule>
  </conditionalFormatting>
  <conditionalFormatting sqref="J2290:K2290">
    <cfRule type="containsText" dxfId="5015" priority="5673" operator="containsText" text="Missing">
      <formula>NOT(ISERROR(SEARCH("Missing",J2290)))</formula>
    </cfRule>
  </conditionalFormatting>
  <conditionalFormatting sqref="J2286:K2286">
    <cfRule type="containsText" dxfId="5014" priority="5708" operator="containsText" text="Missing">
      <formula>NOT(ISERROR(SEARCH("Missing",J2286)))</formula>
    </cfRule>
  </conditionalFormatting>
  <conditionalFormatting sqref="J2293:K2293">
    <cfRule type="containsText" dxfId="5013" priority="5662" operator="containsText" text="Missing">
      <formula>NOT(ISERROR(SEARCH("Missing",J2293)))</formula>
    </cfRule>
  </conditionalFormatting>
  <conditionalFormatting sqref="I2257">
    <cfRule type="containsText" dxfId="5012" priority="5628" operator="containsText" text="Missing">
      <formula>NOT(ISERROR(SEARCH("Missing",I2257)))</formula>
    </cfRule>
  </conditionalFormatting>
  <conditionalFormatting sqref="H2278:H2283">
    <cfRule type="containsText" dxfId="5011" priority="5705" operator="containsText" text="Missing">
      <formula>NOT(ISERROR(SEARCH("Missing",H2278)))</formula>
    </cfRule>
  </conditionalFormatting>
  <conditionalFormatting sqref="H2278:H2283">
    <cfRule type="containsText" dxfId="5010" priority="5704" operator="containsText" text="Missing">
      <formula>NOT(ISERROR(SEARCH("Missing",H2278)))</formula>
    </cfRule>
  </conditionalFormatting>
  <conditionalFormatting sqref="I2289">
    <cfRule type="containsText" dxfId="5009" priority="5681" operator="containsText" text="Missing">
      <formula>NOT(ISERROR(SEARCH("Missing",I2289)))</formula>
    </cfRule>
  </conditionalFormatting>
  <conditionalFormatting sqref="J2287:K2287">
    <cfRule type="containsText" dxfId="5008" priority="5693" operator="containsText" text="Missing">
      <formula>NOT(ISERROR(SEARCH("Missing",J2287)))</formula>
    </cfRule>
  </conditionalFormatting>
  <conditionalFormatting sqref="L2290">
    <cfRule type="containsText" dxfId="5007" priority="5676" operator="containsText" text="Positive">
      <formula>NOT(ISERROR(SEARCH("Positive",L2290)))</formula>
    </cfRule>
    <cfRule type="containsText" dxfId="5006" priority="5677" operator="containsText" text="Negative">
      <formula>NOT(ISERROR(SEARCH("Negative",L2290)))</formula>
    </cfRule>
  </conditionalFormatting>
  <conditionalFormatting sqref="J2284:K2284">
    <cfRule type="containsText" dxfId="5005" priority="5646" operator="containsText" text="Missing">
      <formula>NOT(ISERROR(SEARCH("Missing",J2284)))</formula>
    </cfRule>
  </conditionalFormatting>
  <conditionalFormatting sqref="J2284:K2284">
    <cfRule type="containsText" dxfId="5004" priority="5644" operator="containsText" text="Missing">
      <formula>NOT(ISERROR(SEARCH("Missing",J2284)))</formula>
    </cfRule>
  </conditionalFormatting>
  <conditionalFormatting sqref="I2287">
    <cfRule type="containsText" dxfId="5003" priority="5692" operator="containsText" text="Missing">
      <formula>NOT(ISERROR(SEARCH("Missing",I2287)))</formula>
    </cfRule>
  </conditionalFormatting>
  <conditionalFormatting sqref="J2287:K2287">
    <cfRule type="containsText" dxfId="5002" priority="5695" operator="containsText" text="Missing">
      <formula>NOT(ISERROR(SEARCH("Missing",J2287)))</formula>
    </cfRule>
  </conditionalFormatting>
  <conditionalFormatting sqref="I2247">
    <cfRule type="containsText" dxfId="5001" priority="5634" operator="containsText" text="Missing">
      <formula>NOT(ISERROR(SEARCH("Missing",I2247)))</formula>
    </cfRule>
  </conditionalFormatting>
  <conditionalFormatting sqref="I2284">
    <cfRule type="containsText" dxfId="5000" priority="5643" operator="containsText" text="Missing">
      <formula>NOT(ISERROR(SEARCH("Missing",I2284)))</formula>
    </cfRule>
  </conditionalFormatting>
  <conditionalFormatting sqref="J2289:K2289">
    <cfRule type="containsText" dxfId="4999" priority="5684" operator="containsText" text="Missing">
      <formula>NOT(ISERROR(SEARCH("Missing",J2289)))</formula>
    </cfRule>
  </conditionalFormatting>
  <conditionalFormatting sqref="L2294">
    <cfRule type="containsText" dxfId="4998" priority="5660" operator="containsText" text="Positive">
      <formula>NOT(ISERROR(SEARCH("Positive",L2294)))</formula>
    </cfRule>
    <cfRule type="containsText" dxfId="4997" priority="5661" operator="containsText" text="Negative">
      <formula>NOT(ISERROR(SEARCH("Negative",L2294)))</formula>
    </cfRule>
  </conditionalFormatting>
  <conditionalFormatting sqref="J2290:K2290">
    <cfRule type="containsText" dxfId="4996" priority="5671" operator="containsText" text="Missing">
      <formula>NOT(ISERROR(SEARCH("Missing",J2290)))</formula>
    </cfRule>
  </conditionalFormatting>
  <conditionalFormatting sqref="L2293">
    <cfRule type="containsText" dxfId="4995" priority="5665" operator="containsText" text="Positive">
      <formula>NOT(ISERROR(SEARCH("Positive",L2293)))</formula>
    </cfRule>
    <cfRule type="containsText" dxfId="4994" priority="5666" operator="containsText" text="Negative">
      <formula>NOT(ISERROR(SEARCH("Negative",L2293)))</formula>
    </cfRule>
  </conditionalFormatting>
  <conditionalFormatting sqref="J2293:K2293">
    <cfRule type="containsText" dxfId="4993" priority="5663" operator="containsText" text="Missing">
      <formula>NOT(ISERROR(SEARCH("Missing",J2293)))</formula>
    </cfRule>
  </conditionalFormatting>
  <conditionalFormatting sqref="L2288">
    <cfRule type="containsText" dxfId="4992" priority="5599" operator="containsText" text="Positive">
      <formula>NOT(ISERROR(SEARCH("Positive",L2288)))</formula>
    </cfRule>
    <cfRule type="containsText" dxfId="4991" priority="5600" operator="containsText" text="Negative">
      <formula>NOT(ISERROR(SEARCH("Negative",L2288)))</formula>
    </cfRule>
  </conditionalFormatting>
  <conditionalFormatting sqref="J2294:K2294">
    <cfRule type="containsText" dxfId="4990" priority="5654" operator="containsText" text="Missing">
      <formula>NOT(ISERROR(SEARCH("Missing",J2294)))</formula>
    </cfRule>
  </conditionalFormatting>
  <conditionalFormatting sqref="J2294:K2294">
    <cfRule type="containsText" dxfId="4989" priority="5653" operator="containsText" text="Missing">
      <formula>NOT(ISERROR(SEARCH("Missing",J2294)))</formula>
    </cfRule>
  </conditionalFormatting>
  <conditionalFormatting sqref="H2286">
    <cfRule type="containsText" dxfId="4988" priority="5639" operator="containsText" text="Missing">
      <formula>NOT(ISERROR(SEARCH("Missing",H2286)))</formula>
    </cfRule>
  </conditionalFormatting>
  <conditionalFormatting sqref="L2284">
    <cfRule type="containsText" dxfId="4987" priority="5651" operator="containsText" text="Positive">
      <formula>NOT(ISERROR(SEARCH("Positive",L2284)))</formula>
    </cfRule>
    <cfRule type="containsText" dxfId="4986" priority="5652" operator="containsText" text="Negative">
      <formula>NOT(ISERROR(SEARCH("Negative",L2284)))</formula>
    </cfRule>
  </conditionalFormatting>
  <conditionalFormatting sqref="L2284">
    <cfRule type="containsText" dxfId="4985" priority="5647" operator="containsText" text="Positive">
      <formula>NOT(ISERROR(SEARCH("Positive",L2284)))</formula>
    </cfRule>
    <cfRule type="containsText" dxfId="4984" priority="5648" operator="containsText" text="Negative">
      <formula>NOT(ISERROR(SEARCH("Negative",L2284)))</formula>
    </cfRule>
  </conditionalFormatting>
  <conditionalFormatting sqref="I2249">
    <cfRule type="containsText" dxfId="4983" priority="5633" operator="containsText" text="Missing">
      <formula>NOT(ISERROR(SEARCH("Missing",I2249)))</formula>
    </cfRule>
  </conditionalFormatting>
  <conditionalFormatting sqref="J2284:K2284">
    <cfRule type="containsText" dxfId="4982" priority="5645" operator="containsText" text="Missing">
      <formula>NOT(ISERROR(SEARCH("Missing",J2284)))</formula>
    </cfRule>
  </conditionalFormatting>
  <conditionalFormatting sqref="I2253">
    <cfRule type="containsText" dxfId="4981" priority="5631" operator="containsText" text="Missing">
      <formula>NOT(ISERROR(SEARCH("Missing",I2253)))</formula>
    </cfRule>
  </conditionalFormatting>
  <conditionalFormatting sqref="I2259">
    <cfRule type="containsText" dxfId="4980" priority="5630" operator="containsText" text="Missing">
      <formula>NOT(ISERROR(SEARCH("Missing",I2259)))</formula>
    </cfRule>
  </conditionalFormatting>
  <conditionalFormatting sqref="I2260">
    <cfRule type="containsText" dxfId="4979" priority="5629" operator="containsText" text="Missing">
      <formula>NOT(ISERROR(SEARCH("Missing",I2260)))</formula>
    </cfRule>
  </conditionalFormatting>
  <conditionalFormatting sqref="H2285">
    <cfRule type="containsText" dxfId="4978" priority="5641" operator="containsText" text="Missing">
      <formula>NOT(ISERROR(SEARCH("Missing",H2285)))</formula>
    </cfRule>
  </conditionalFormatting>
  <conditionalFormatting sqref="H2285">
    <cfRule type="containsText" dxfId="4977" priority="5640" operator="containsText" text="Missing">
      <formula>NOT(ISERROR(SEARCH("Missing",H2285)))</formula>
    </cfRule>
  </conditionalFormatting>
  <conditionalFormatting sqref="I2286">
    <cfRule type="containsText" dxfId="4976" priority="5637" operator="containsText" text="Missing">
      <formula>NOT(ISERROR(SEARCH("Missing",I2286)))</formula>
    </cfRule>
  </conditionalFormatting>
  <conditionalFormatting sqref="I2286">
    <cfRule type="containsText" dxfId="4975" priority="5636" operator="containsText" text="Missing">
      <formula>NOT(ISERROR(SEARCH("Missing",I2286)))</formula>
    </cfRule>
  </conditionalFormatting>
  <conditionalFormatting sqref="I2246">
    <cfRule type="containsText" dxfId="4974" priority="5635" operator="containsText" text="Missing">
      <formula>NOT(ISERROR(SEARCH("Missing",I2246)))</formula>
    </cfRule>
  </conditionalFormatting>
  <conditionalFormatting sqref="I2252">
    <cfRule type="containsText" dxfId="4973" priority="5632" operator="containsText" text="Missing">
      <formula>NOT(ISERROR(SEARCH("Missing",I2252)))</formula>
    </cfRule>
  </conditionalFormatting>
  <conditionalFormatting sqref="I2272">
    <cfRule type="containsText" dxfId="4972" priority="5621" operator="containsText" text="Missing">
      <formula>NOT(ISERROR(SEARCH("Missing",I2272)))</formula>
    </cfRule>
  </conditionalFormatting>
  <conditionalFormatting sqref="I2258">
    <cfRule type="containsText" dxfId="4971" priority="5627" operator="containsText" text="Missing">
      <formula>NOT(ISERROR(SEARCH("Missing",I2258)))</formula>
    </cfRule>
  </conditionalFormatting>
  <conditionalFormatting sqref="I2261">
    <cfRule type="containsText" dxfId="4970" priority="5626" operator="containsText" text="Missing">
      <formula>NOT(ISERROR(SEARCH("Missing",I2261)))</formula>
    </cfRule>
  </conditionalFormatting>
  <conditionalFormatting sqref="I2262">
    <cfRule type="containsText" dxfId="4969" priority="5625" operator="containsText" text="Missing">
      <formula>NOT(ISERROR(SEARCH("Missing",I2262)))</formula>
    </cfRule>
  </conditionalFormatting>
  <conditionalFormatting sqref="I2278">
    <cfRule type="containsText" dxfId="4968" priority="5614" operator="containsText" text="Missing">
      <formula>NOT(ISERROR(SEARCH("Missing",I2278)))</formula>
    </cfRule>
  </conditionalFormatting>
  <conditionalFormatting sqref="I2269">
    <cfRule type="containsText" dxfId="4967" priority="5624" operator="containsText" text="Missing">
      <formula>NOT(ISERROR(SEARCH("Missing",I2269)))</formula>
    </cfRule>
  </conditionalFormatting>
  <conditionalFormatting sqref="I2270">
    <cfRule type="containsText" dxfId="4966" priority="5623" operator="containsText" text="Missing">
      <formula>NOT(ISERROR(SEARCH("Missing",I2270)))</formula>
    </cfRule>
  </conditionalFormatting>
  <conditionalFormatting sqref="I2271">
    <cfRule type="containsText" dxfId="4965" priority="5622" operator="containsText" text="Missing">
      <formula>NOT(ISERROR(SEARCH("Missing",I2271)))</formula>
    </cfRule>
  </conditionalFormatting>
  <conditionalFormatting sqref="I2274">
    <cfRule type="containsText" dxfId="4964" priority="5620" operator="containsText" text="Missing">
      <formula>NOT(ISERROR(SEARCH("Missing",I2274)))</formula>
    </cfRule>
  </conditionalFormatting>
  <conditionalFormatting sqref="I2276">
    <cfRule type="containsText" dxfId="4963" priority="5619" operator="containsText" text="Missing">
      <formula>NOT(ISERROR(SEARCH("Missing",I2276)))</formula>
    </cfRule>
  </conditionalFormatting>
  <conditionalFormatting sqref="I2275">
    <cfRule type="containsText" dxfId="4962" priority="5617" operator="containsText" text="Missing">
      <formula>NOT(ISERROR(SEARCH("Missing",I2275)))</formula>
    </cfRule>
  </conditionalFormatting>
  <conditionalFormatting sqref="I2275">
    <cfRule type="containsText" dxfId="4961" priority="5618" operator="containsText" text="Missing">
      <formula>NOT(ISERROR(SEARCH("Missing",I2275)))</formula>
    </cfRule>
  </conditionalFormatting>
  <conditionalFormatting sqref="I2277">
    <cfRule type="containsText" dxfId="4960" priority="5615" operator="containsText" text="Missing">
      <formula>NOT(ISERROR(SEARCH("Missing",I2277)))</formula>
    </cfRule>
  </conditionalFormatting>
  <conditionalFormatting sqref="I2277">
    <cfRule type="containsText" dxfId="4959" priority="5616" operator="containsText" text="Missing">
      <formula>NOT(ISERROR(SEARCH("Missing",I2277)))</formula>
    </cfRule>
  </conditionalFormatting>
  <conditionalFormatting sqref="I2279">
    <cfRule type="containsText" dxfId="4958" priority="5613" operator="containsText" text="Missing">
      <formula>NOT(ISERROR(SEARCH("Missing",I2279)))</formula>
    </cfRule>
  </conditionalFormatting>
  <conditionalFormatting sqref="I2280">
    <cfRule type="containsText" dxfId="4957" priority="5612" operator="containsText" text="Missing">
      <formula>NOT(ISERROR(SEARCH("Missing",I2280)))</formula>
    </cfRule>
  </conditionalFormatting>
  <conditionalFormatting sqref="I2281">
    <cfRule type="containsText" dxfId="4956" priority="5611" operator="containsText" text="Missing">
      <formula>NOT(ISERROR(SEARCH("Missing",I2281)))</formula>
    </cfRule>
  </conditionalFormatting>
  <conditionalFormatting sqref="I2282">
    <cfRule type="containsText" dxfId="4955" priority="5610" operator="containsText" text="Missing">
      <formula>NOT(ISERROR(SEARCH("Missing",I2282)))</formula>
    </cfRule>
  </conditionalFormatting>
  <conditionalFormatting sqref="I2283">
    <cfRule type="containsText" dxfId="4954" priority="5609" operator="containsText" text="Missing">
      <formula>NOT(ISERROR(SEARCH("Missing",I2283)))</formula>
    </cfRule>
  </conditionalFormatting>
  <conditionalFormatting sqref="I2290">
    <cfRule type="containsText" dxfId="4953" priority="5607" operator="containsText" text="Missing">
      <formula>NOT(ISERROR(SEARCH("Missing",I2290)))</formula>
    </cfRule>
  </conditionalFormatting>
  <conditionalFormatting sqref="I2290">
    <cfRule type="containsText" dxfId="4952" priority="5608" operator="containsText" text="Missing">
      <formula>NOT(ISERROR(SEARCH("Missing",I2290)))</formula>
    </cfRule>
  </conditionalFormatting>
  <conditionalFormatting sqref="J2292:K2292">
    <cfRule type="containsText" dxfId="4951" priority="5573" operator="containsText" text="Missing">
      <formula>NOT(ISERROR(SEARCH("Missing",J2292)))</formula>
    </cfRule>
  </conditionalFormatting>
  <conditionalFormatting sqref="J2292:K2292">
    <cfRule type="containsText" dxfId="4950" priority="5574" operator="containsText" text="Missing">
      <formula>NOT(ISERROR(SEARCH("Missing",J2292)))</formula>
    </cfRule>
  </conditionalFormatting>
  <conditionalFormatting sqref="L2288">
    <cfRule type="containsText" dxfId="4949" priority="5597" operator="containsText" text="Positive">
      <formula>NOT(ISERROR(SEARCH("Positive",L2288)))</formula>
    </cfRule>
    <cfRule type="containsText" dxfId="4948" priority="5598" operator="containsText" text="Negative">
      <formula>NOT(ISERROR(SEARCH("Negative",L2288)))</formula>
    </cfRule>
  </conditionalFormatting>
  <conditionalFormatting sqref="J2288:K2288">
    <cfRule type="containsText" dxfId="4947" priority="5595" operator="containsText" text="Missing">
      <formula>NOT(ISERROR(SEARCH("Missing",J2288)))</formula>
    </cfRule>
  </conditionalFormatting>
  <conditionalFormatting sqref="I2288">
    <cfRule type="containsText" dxfId="4946" priority="5592" operator="containsText" text="Missing">
      <formula>NOT(ISERROR(SEARCH("Missing",I2288)))</formula>
    </cfRule>
  </conditionalFormatting>
  <conditionalFormatting sqref="J2288:K2288">
    <cfRule type="containsText" dxfId="4945" priority="5594" operator="containsText" text="Missing">
      <formula>NOT(ISERROR(SEARCH("Missing",J2288)))</formula>
    </cfRule>
  </conditionalFormatting>
  <conditionalFormatting sqref="I2288">
    <cfRule type="containsText" dxfId="4944" priority="5593" operator="containsText" text="Missing">
      <formula>NOT(ISERROR(SEARCH("Missing",I2288)))</formula>
    </cfRule>
  </conditionalFormatting>
  <conditionalFormatting sqref="J2288:K2288">
    <cfRule type="containsText" dxfId="4943" priority="5596" operator="containsText" text="Missing">
      <formula>NOT(ISERROR(SEARCH("Missing",J2288)))</formula>
    </cfRule>
  </conditionalFormatting>
  <conditionalFormatting sqref="L2292">
    <cfRule type="containsText" dxfId="4942" priority="5579" operator="containsText" text="Positive">
      <formula>NOT(ISERROR(SEARCH("Positive",L2292)))</formula>
    </cfRule>
    <cfRule type="containsText" dxfId="4941" priority="5580" operator="containsText" text="Negative">
      <formula>NOT(ISERROR(SEARCH("Negative",L2292)))</formula>
    </cfRule>
  </conditionalFormatting>
  <conditionalFormatting sqref="L2292">
    <cfRule type="containsText" dxfId="4940" priority="5575" operator="containsText" text="Positive">
      <formula>NOT(ISERROR(SEARCH("Positive",L2292)))</formula>
    </cfRule>
    <cfRule type="containsText" dxfId="4939" priority="5576" operator="containsText" text="Negative">
      <formula>NOT(ISERROR(SEARCH("Negative",L2292)))</formula>
    </cfRule>
  </conditionalFormatting>
  <conditionalFormatting sqref="L2291">
    <cfRule type="containsText" dxfId="4938" priority="5588" operator="containsText" text="Positive">
      <formula>NOT(ISERROR(SEARCH("Positive",L2291)))</formula>
    </cfRule>
    <cfRule type="containsText" dxfId="4937" priority="5589" operator="containsText" text="Negative">
      <formula>NOT(ISERROR(SEARCH("Negative",L2291)))</formula>
    </cfRule>
  </conditionalFormatting>
  <conditionalFormatting sqref="L2291">
    <cfRule type="containsText" dxfId="4936" priority="5586" operator="containsText" text="Positive">
      <formula>NOT(ISERROR(SEARCH("Positive",L2291)))</formula>
    </cfRule>
    <cfRule type="containsText" dxfId="4935" priority="5587" operator="containsText" text="Negative">
      <formula>NOT(ISERROR(SEARCH("Negative",L2291)))</formula>
    </cfRule>
  </conditionalFormatting>
  <conditionalFormatting sqref="L2291">
    <cfRule type="containsText" dxfId="4934" priority="5590" operator="containsText" text="Positive">
      <formula>NOT(ISERROR(SEARCH("Positive",L2291)))</formula>
    </cfRule>
    <cfRule type="containsText" dxfId="4933" priority="5591" operator="containsText" text="Negative">
      <formula>NOT(ISERROR(SEARCH("Negative",L2291)))</formula>
    </cfRule>
  </conditionalFormatting>
  <conditionalFormatting sqref="J2291:K2291">
    <cfRule type="containsText" dxfId="4932" priority="5583" operator="containsText" text="Missing">
      <formula>NOT(ISERROR(SEARCH("Missing",J2291)))</formula>
    </cfRule>
  </conditionalFormatting>
  <conditionalFormatting sqref="J2291:K2291">
    <cfRule type="containsText" dxfId="4931" priority="5584" operator="containsText" text="Missing">
      <formula>NOT(ISERROR(SEARCH("Missing",J2291)))</formula>
    </cfRule>
  </conditionalFormatting>
  <conditionalFormatting sqref="I2291:I2292">
    <cfRule type="containsText" dxfId="4930" priority="5581" operator="containsText" text="Missing">
      <formula>NOT(ISERROR(SEARCH("Missing",I2291)))</formula>
    </cfRule>
  </conditionalFormatting>
  <conditionalFormatting sqref="I2291:I2292">
    <cfRule type="containsText" dxfId="4929" priority="5582" operator="containsText" text="Missing">
      <formula>NOT(ISERROR(SEARCH("Missing",I2291)))</formula>
    </cfRule>
  </conditionalFormatting>
  <conditionalFormatting sqref="L2292">
    <cfRule type="containsText" dxfId="4928" priority="5577" operator="containsText" text="Positive">
      <formula>NOT(ISERROR(SEARCH("Positive",L2292)))</formula>
    </cfRule>
    <cfRule type="containsText" dxfId="4927" priority="5578" operator="containsText" text="Negative">
      <formula>NOT(ISERROR(SEARCH("Negative",L2292)))</formula>
    </cfRule>
  </conditionalFormatting>
  <conditionalFormatting sqref="J2291:K2291">
    <cfRule type="containsText" dxfId="4926" priority="5585" operator="containsText" text="Missing">
      <formula>NOT(ISERROR(SEARCH("Missing",J2291)))</formula>
    </cfRule>
  </conditionalFormatting>
  <conditionalFormatting sqref="J2292:K2292">
    <cfRule type="containsText" dxfId="4925" priority="5572" operator="containsText" text="Missing">
      <formula>NOT(ISERROR(SEARCH("Missing",J2292)))</formula>
    </cfRule>
  </conditionalFormatting>
  <conditionalFormatting sqref="H2289:H2290">
    <cfRule type="containsText" dxfId="4924" priority="5569" operator="containsText" text="Missing">
      <formula>NOT(ISERROR(SEARCH("Missing",H2289)))</formula>
    </cfRule>
  </conditionalFormatting>
  <conditionalFormatting sqref="H2289:H2290">
    <cfRule type="containsText" dxfId="4923" priority="5571" operator="containsText" text="Missing">
      <formula>NOT(ISERROR(SEARCH("Missing",H2289)))</formula>
    </cfRule>
  </conditionalFormatting>
  <conditionalFormatting sqref="H2289:H2290">
    <cfRule type="containsText" dxfId="4922" priority="5570" operator="containsText" text="Missing">
      <formula>NOT(ISERROR(SEARCH("Missing",H2289)))</formula>
    </cfRule>
  </conditionalFormatting>
  <conditionalFormatting sqref="H2291">
    <cfRule type="containsText" dxfId="4921" priority="5568" operator="containsText" text="Missing">
      <formula>NOT(ISERROR(SEARCH("Missing",H2291)))</formula>
    </cfRule>
  </conditionalFormatting>
  <conditionalFormatting sqref="H2292">
    <cfRule type="containsText" dxfId="4920" priority="5567" operator="containsText" text="Missing">
      <formula>NOT(ISERROR(SEARCH("Missing",H2292)))</formula>
    </cfRule>
  </conditionalFormatting>
  <conditionalFormatting sqref="H2287">
    <cfRule type="containsText" dxfId="4919" priority="5566" operator="containsText" text="Missing">
      <formula>NOT(ISERROR(SEARCH("Missing",H2287)))</formula>
    </cfRule>
  </conditionalFormatting>
  <conditionalFormatting sqref="H2287">
    <cfRule type="containsText" dxfId="4918" priority="5564" operator="containsText" text="Missing">
      <formula>NOT(ISERROR(SEARCH("Missing",H2287)))</formula>
    </cfRule>
  </conditionalFormatting>
  <conditionalFormatting sqref="H2287">
    <cfRule type="containsText" dxfId="4917" priority="5565" operator="containsText" text="Missing">
      <formula>NOT(ISERROR(SEARCH("Missing",H2287)))</formula>
    </cfRule>
  </conditionalFormatting>
  <conditionalFormatting sqref="H2288">
    <cfRule type="containsText" dxfId="4916" priority="5563" operator="containsText" text="Missing">
      <formula>NOT(ISERROR(SEARCH("Missing",H2288)))</formula>
    </cfRule>
  </conditionalFormatting>
  <conditionalFormatting sqref="H2288">
    <cfRule type="containsText" dxfId="4915" priority="5561" operator="containsText" text="Missing">
      <formula>NOT(ISERROR(SEARCH("Missing",H2288)))</formula>
    </cfRule>
  </conditionalFormatting>
  <conditionalFormatting sqref="H2288">
    <cfRule type="containsText" dxfId="4914" priority="5562" operator="containsText" text="Missing">
      <formula>NOT(ISERROR(SEARCH("Missing",H2288)))</formula>
    </cfRule>
  </conditionalFormatting>
  <conditionalFormatting sqref="H2284">
    <cfRule type="containsText" dxfId="4913" priority="5560" operator="containsText" text="Missing">
      <formula>NOT(ISERROR(SEARCH("Missing",H2284)))</formula>
    </cfRule>
  </conditionalFormatting>
  <conditionalFormatting sqref="H2284">
    <cfRule type="containsText" dxfId="4912" priority="5559" operator="containsText" text="Missing">
      <formula>NOT(ISERROR(SEARCH("Missing",H2284)))</formula>
    </cfRule>
  </conditionalFormatting>
  <conditionalFormatting sqref="H2293">
    <cfRule type="containsText" dxfId="4911" priority="5558" operator="containsText" text="Missing">
      <formula>NOT(ISERROR(SEARCH("Missing",H2293)))</formula>
    </cfRule>
  </conditionalFormatting>
  <conditionalFormatting sqref="H2294">
    <cfRule type="containsText" dxfId="4910" priority="5557" operator="containsText" text="Missing">
      <formula>NOT(ISERROR(SEARCH("Missing",H2294)))</formula>
    </cfRule>
  </conditionalFormatting>
  <conditionalFormatting sqref="L2263:L2268">
    <cfRule type="containsText" dxfId="4909" priority="5551" operator="containsText" text="Positive">
      <formula>NOT(ISERROR(SEARCH("Positive",L2263)))</formula>
    </cfRule>
    <cfRule type="containsText" dxfId="4908" priority="5552" operator="containsText" text="Negative">
      <formula>NOT(ISERROR(SEARCH("Negative",L2263)))</formula>
    </cfRule>
  </conditionalFormatting>
  <conditionalFormatting sqref="L2263:L2268">
    <cfRule type="containsText" dxfId="4907" priority="5555" operator="containsText" text="Positive">
      <formula>NOT(ISERROR(SEARCH("Positive",L2263)))</formula>
    </cfRule>
    <cfRule type="containsText" dxfId="4906" priority="5556" operator="containsText" text="Negative">
      <formula>NOT(ISERROR(SEARCH("Negative",L2263)))</formula>
    </cfRule>
  </conditionalFormatting>
  <conditionalFormatting sqref="J2263:J2268">
    <cfRule type="containsText" dxfId="4905" priority="5550" operator="containsText" text="Missing">
      <formula>NOT(ISERROR(SEARCH("Missing",J2263)))</formula>
    </cfRule>
  </conditionalFormatting>
  <conditionalFormatting sqref="J2263:J2268">
    <cfRule type="containsText" dxfId="4904" priority="5549" operator="containsText" text="Missing">
      <formula>NOT(ISERROR(SEARCH("Missing",J2263)))</formula>
    </cfRule>
  </conditionalFormatting>
  <conditionalFormatting sqref="L2263:L2268">
    <cfRule type="containsText" dxfId="4903" priority="5553" operator="containsText" text="Positive">
      <formula>NOT(ISERROR(SEARCH("Positive",L2263)))</formula>
    </cfRule>
    <cfRule type="containsText" dxfId="4902" priority="5554" operator="containsText" text="Negative">
      <formula>NOT(ISERROR(SEARCH("Negative",L2263)))</formula>
    </cfRule>
  </conditionalFormatting>
  <conditionalFormatting sqref="K2263:K2268">
    <cfRule type="containsText" dxfId="4901" priority="5546" operator="containsText" text="Missing">
      <formula>NOT(ISERROR(SEARCH("Missing",K2263)))</formula>
    </cfRule>
  </conditionalFormatting>
  <conditionalFormatting sqref="K2263:K2268">
    <cfRule type="containsText" dxfId="4900" priority="5548" operator="containsText" text="Missing">
      <formula>NOT(ISERROR(SEARCH("Missing",K2263)))</formula>
    </cfRule>
  </conditionalFormatting>
  <conditionalFormatting sqref="K2263:K2268">
    <cfRule type="containsText" dxfId="4899" priority="5547" operator="containsText" text="Missing">
      <formula>NOT(ISERROR(SEARCH("Missing",K2263)))</formula>
    </cfRule>
  </conditionalFormatting>
  <conditionalFormatting sqref="H2263:H2268">
    <cfRule type="containsText" dxfId="4898" priority="5544" operator="containsText" text="Missing">
      <formula>NOT(ISERROR(SEARCH("Missing",H2263)))</formula>
    </cfRule>
  </conditionalFormatting>
  <conditionalFormatting sqref="H2263:H2268">
    <cfRule type="containsText" dxfId="4897" priority="5545" operator="containsText" text="Missing">
      <formula>NOT(ISERROR(SEARCH("Missing",H2263)))</formula>
    </cfRule>
  </conditionalFormatting>
  <conditionalFormatting sqref="L2295">
    <cfRule type="containsText" dxfId="4896" priority="5542" operator="containsText" text="Positive">
      <formula>NOT(ISERROR(SEARCH("Positive",L2295)))</formula>
    </cfRule>
    <cfRule type="containsText" dxfId="4895" priority="5543" operator="containsText" text="Negative">
      <formula>NOT(ISERROR(SEARCH("Negative",L2295)))</formula>
    </cfRule>
  </conditionalFormatting>
  <conditionalFormatting sqref="L2296">
    <cfRule type="containsText" dxfId="4894" priority="5529" operator="containsText" text="Positive">
      <formula>NOT(ISERROR(SEARCH("Positive",L2296)))</formula>
    </cfRule>
    <cfRule type="containsText" dxfId="4893" priority="5530" operator="containsText" text="Negative">
      <formula>NOT(ISERROR(SEARCH("Negative",L2296)))</formula>
    </cfRule>
  </conditionalFormatting>
  <conditionalFormatting sqref="L2296">
    <cfRule type="containsText" dxfId="4892" priority="5531" operator="containsText" text="Positive">
      <formula>NOT(ISERROR(SEARCH("Positive",L2296)))</formula>
    </cfRule>
    <cfRule type="containsText" dxfId="4891" priority="5532" operator="containsText" text="Negative">
      <formula>NOT(ISERROR(SEARCH("Negative",L2296)))</formula>
    </cfRule>
  </conditionalFormatting>
  <conditionalFormatting sqref="L2295">
    <cfRule type="containsText" dxfId="4890" priority="5540" operator="containsText" text="Positive">
      <formula>NOT(ISERROR(SEARCH("Positive",L2295)))</formula>
    </cfRule>
    <cfRule type="containsText" dxfId="4889" priority="5541" operator="containsText" text="Negative">
      <formula>NOT(ISERROR(SEARCH("Negative",L2295)))</formula>
    </cfRule>
  </conditionalFormatting>
  <conditionalFormatting sqref="J2295:K2295">
    <cfRule type="containsText" dxfId="4888" priority="5537" operator="containsText" text="Missing">
      <formula>NOT(ISERROR(SEARCH("Missing",J2295)))</formula>
    </cfRule>
  </conditionalFormatting>
  <conditionalFormatting sqref="J2296:K2296">
    <cfRule type="containsText" dxfId="4887" priority="5528" operator="containsText" text="Missing">
      <formula>NOT(ISERROR(SEARCH("Missing",J2296)))</formula>
    </cfRule>
  </conditionalFormatting>
  <conditionalFormatting sqref="J2295:K2295">
    <cfRule type="containsText" dxfId="4886" priority="5535" operator="containsText" text="Missing">
      <formula>NOT(ISERROR(SEARCH("Missing",J2295)))</formula>
    </cfRule>
  </conditionalFormatting>
  <conditionalFormatting sqref="L2296">
    <cfRule type="containsText" dxfId="4885" priority="5533" operator="containsText" text="Positive">
      <formula>NOT(ISERROR(SEARCH("Positive",L2296)))</formula>
    </cfRule>
    <cfRule type="containsText" dxfId="4884" priority="5534" operator="containsText" text="Negative">
      <formula>NOT(ISERROR(SEARCH("Negative",L2296)))</formula>
    </cfRule>
  </conditionalFormatting>
  <conditionalFormatting sqref="L2295">
    <cfRule type="containsText" dxfId="4883" priority="5538" operator="containsText" text="Positive">
      <formula>NOT(ISERROR(SEARCH("Positive",L2295)))</formula>
    </cfRule>
    <cfRule type="containsText" dxfId="4882" priority="5539" operator="containsText" text="Negative">
      <formula>NOT(ISERROR(SEARCH("Negative",L2295)))</formula>
    </cfRule>
  </conditionalFormatting>
  <conditionalFormatting sqref="J2295:K2295">
    <cfRule type="containsText" dxfId="4881" priority="5536" operator="containsText" text="Missing">
      <formula>NOT(ISERROR(SEARCH("Missing",J2295)))</formula>
    </cfRule>
  </conditionalFormatting>
  <conditionalFormatting sqref="J2296:K2296">
    <cfRule type="containsText" dxfId="4880" priority="5527" operator="containsText" text="Missing">
      <formula>NOT(ISERROR(SEARCH("Missing",J2296)))</formula>
    </cfRule>
  </conditionalFormatting>
  <conditionalFormatting sqref="J2296:K2296">
    <cfRule type="containsText" dxfId="4879" priority="5526" operator="containsText" text="Missing">
      <formula>NOT(ISERROR(SEARCH("Missing",J2296)))</formula>
    </cfRule>
  </conditionalFormatting>
  <conditionalFormatting sqref="I2330">
    <cfRule type="containsText" dxfId="4878" priority="5508" operator="containsText" text="Missing">
      <formula>NOT(ISERROR(SEARCH("Missing",I2330)))</formula>
    </cfRule>
  </conditionalFormatting>
  <conditionalFormatting sqref="I2330">
    <cfRule type="containsText" dxfId="4877" priority="5509" operator="containsText" text="Missing">
      <formula>NOT(ISERROR(SEARCH("Missing",I2330)))</formula>
    </cfRule>
  </conditionalFormatting>
  <conditionalFormatting sqref="I2318">
    <cfRule type="containsText" dxfId="4876" priority="5506" operator="containsText" text="Missing">
      <formula>NOT(ISERROR(SEARCH("Missing",I2318)))</formula>
    </cfRule>
  </conditionalFormatting>
  <conditionalFormatting sqref="I2318">
    <cfRule type="containsText" dxfId="4875" priority="5507" operator="containsText" text="Missing">
      <formula>NOT(ISERROR(SEARCH("Missing",I2318)))</formula>
    </cfRule>
  </conditionalFormatting>
  <conditionalFormatting sqref="H2295">
    <cfRule type="containsText" dxfId="4874" priority="5521" operator="containsText" text="Missing">
      <formula>NOT(ISERROR(SEARCH("Missing",H2295)))</formula>
    </cfRule>
  </conditionalFormatting>
  <conditionalFormatting sqref="H2296">
    <cfRule type="containsText" dxfId="4873" priority="5520" operator="containsText" text="Missing">
      <formula>NOT(ISERROR(SEARCH("Missing",H2296)))</formula>
    </cfRule>
  </conditionalFormatting>
  <conditionalFormatting sqref="I2310">
    <cfRule type="containsText" dxfId="4872" priority="5519" operator="containsText" text="Missing">
      <formula>NOT(ISERROR(SEARCH("Missing",I2310)))</formula>
    </cfRule>
  </conditionalFormatting>
  <conditionalFormatting sqref="I2310">
    <cfRule type="containsText" dxfId="4871" priority="5518" operator="containsText" text="Missing">
      <formula>NOT(ISERROR(SEARCH("Missing",I2310)))</formula>
    </cfRule>
  </conditionalFormatting>
  <conditionalFormatting sqref="I2319">
    <cfRule type="containsText" dxfId="4870" priority="5517" operator="containsText" text="Missing">
      <formula>NOT(ISERROR(SEARCH("Missing",I2319)))</formula>
    </cfRule>
  </conditionalFormatting>
  <conditionalFormatting sqref="I2319">
    <cfRule type="containsText" dxfId="4869" priority="5516" operator="containsText" text="Missing">
      <formula>NOT(ISERROR(SEARCH("Missing",I2319)))</formula>
    </cfRule>
  </conditionalFormatting>
  <conditionalFormatting sqref="I2340">
    <cfRule type="containsText" dxfId="4868" priority="5514" operator="containsText" text="Missing">
      <formula>NOT(ISERROR(SEARCH("Missing",I2340)))</formula>
    </cfRule>
  </conditionalFormatting>
  <conditionalFormatting sqref="I2340">
    <cfRule type="containsText" dxfId="4867" priority="5515" operator="containsText" text="Missing">
      <formula>NOT(ISERROR(SEARCH("Missing",I2340)))</formula>
    </cfRule>
  </conditionalFormatting>
  <conditionalFormatting sqref="I2339">
    <cfRule type="containsText" dxfId="4866" priority="5512" operator="containsText" text="Missing">
      <formula>NOT(ISERROR(SEARCH("Missing",I2339)))</formula>
    </cfRule>
  </conditionalFormatting>
  <conditionalFormatting sqref="I2339">
    <cfRule type="containsText" dxfId="4865" priority="5513" operator="containsText" text="Missing">
      <formula>NOT(ISERROR(SEARCH("Missing",I2339)))</formula>
    </cfRule>
  </conditionalFormatting>
  <conditionalFormatting sqref="I2329">
    <cfRule type="containsText" dxfId="4864" priority="5510" operator="containsText" text="Missing">
      <formula>NOT(ISERROR(SEARCH("Missing",I2329)))</formula>
    </cfRule>
  </conditionalFormatting>
  <conditionalFormatting sqref="I2329">
    <cfRule type="containsText" dxfId="4863" priority="5511" operator="containsText" text="Missing">
      <formula>NOT(ISERROR(SEARCH("Missing",I2329)))</formula>
    </cfRule>
  </conditionalFormatting>
  <conditionalFormatting sqref="I2309">
    <cfRule type="containsText" dxfId="4862" priority="5505" operator="containsText" text="Missing">
      <formula>NOT(ISERROR(SEARCH("Missing",I2309)))</formula>
    </cfRule>
  </conditionalFormatting>
  <conditionalFormatting sqref="I2309">
    <cfRule type="containsText" dxfId="4861" priority="5504" operator="containsText" text="Missing">
      <formula>NOT(ISERROR(SEARCH("Missing",I2309)))</formula>
    </cfRule>
  </conditionalFormatting>
  <conditionalFormatting sqref="I2299">
    <cfRule type="containsText" dxfId="4860" priority="5502" operator="containsText" text="Missing">
      <formula>NOT(ISERROR(SEARCH("Missing",I2299)))</formula>
    </cfRule>
  </conditionalFormatting>
  <conditionalFormatting sqref="I2299">
    <cfRule type="containsText" dxfId="4859" priority="5503" operator="containsText" text="Missing">
      <formula>NOT(ISERROR(SEARCH("Missing",I2299)))</formula>
    </cfRule>
  </conditionalFormatting>
  <conditionalFormatting sqref="I344">
    <cfRule type="containsText" dxfId="4858" priority="5501" operator="containsText" text="Missing">
      <formula>NOT(ISERROR(SEARCH("Missing",I344)))</formula>
    </cfRule>
  </conditionalFormatting>
  <conditionalFormatting sqref="L2372">
    <cfRule type="containsText" dxfId="4857" priority="5473" operator="containsText" text="Positive">
      <formula>NOT(ISERROR(SEARCH("Positive",L2372)))</formula>
    </cfRule>
    <cfRule type="containsText" dxfId="4856" priority="5474" operator="containsText" text="Negative">
      <formula>NOT(ISERROR(SEARCH("Negative",L2372)))</formula>
    </cfRule>
  </conditionalFormatting>
  <conditionalFormatting sqref="L2372">
    <cfRule type="containsText" dxfId="4855" priority="5471" operator="containsText" text="Positive">
      <formula>NOT(ISERROR(SEARCH("Positive",L2372)))</formula>
    </cfRule>
    <cfRule type="containsText" dxfId="4854" priority="5472" operator="containsText" text="Negative">
      <formula>NOT(ISERROR(SEARCH("Negative",L2372)))</formula>
    </cfRule>
  </conditionalFormatting>
  <conditionalFormatting sqref="L2370">
    <cfRule type="containsText" dxfId="4853" priority="5484" operator="containsText" text="Positive">
      <formula>NOT(ISERROR(SEARCH("Positive",L2370)))</formula>
    </cfRule>
    <cfRule type="containsText" dxfId="4852" priority="5485" operator="containsText" text="Negative">
      <formula>NOT(ISERROR(SEARCH("Negative",L2370)))</formula>
    </cfRule>
  </conditionalFormatting>
  <conditionalFormatting sqref="L2370">
    <cfRule type="containsText" dxfId="4851" priority="5482" operator="containsText" text="Positive">
      <formula>NOT(ISERROR(SEARCH("Positive",L2370)))</formula>
    </cfRule>
    <cfRule type="containsText" dxfId="4850" priority="5483" operator="containsText" text="Negative">
      <formula>NOT(ISERROR(SEARCH("Negative",L2370)))</formula>
    </cfRule>
  </conditionalFormatting>
  <conditionalFormatting sqref="I2370">
    <cfRule type="containsText" dxfId="4849" priority="5368" operator="containsText" text="Missing">
      <formula>NOT(ISERROR(SEARCH("Missing",I2370)))</formula>
    </cfRule>
  </conditionalFormatting>
  <conditionalFormatting sqref="K2372">
    <cfRule type="containsText" dxfId="4848" priority="5464" operator="containsText" text="Missing">
      <formula>NOT(ISERROR(SEARCH("Missing",K2372)))</formula>
    </cfRule>
  </conditionalFormatting>
  <conditionalFormatting sqref="K2372">
    <cfRule type="containsText" dxfId="4847" priority="5465" operator="containsText" text="Missing">
      <formula>NOT(ISERROR(SEARCH("Missing",K2372)))</formula>
    </cfRule>
  </conditionalFormatting>
  <conditionalFormatting sqref="J2372">
    <cfRule type="containsText" dxfId="4846" priority="5468" operator="containsText" text="Missing">
      <formula>NOT(ISERROR(SEARCH("Missing",J2372)))</formula>
    </cfRule>
  </conditionalFormatting>
  <conditionalFormatting sqref="J2370">
    <cfRule type="containsText" dxfId="4845" priority="5479" operator="containsText" text="Missing">
      <formula>NOT(ISERROR(SEARCH("Missing",J2370)))</formula>
    </cfRule>
  </conditionalFormatting>
  <conditionalFormatting sqref="J2371">
    <cfRule type="containsText" dxfId="4844" priority="5420" operator="containsText" text="Missing">
      <formula>NOT(ISERROR(SEARCH("Missing",J2371)))</formula>
    </cfRule>
  </conditionalFormatting>
  <conditionalFormatting sqref="J2370">
    <cfRule type="containsText" dxfId="4843" priority="5478" operator="containsText" text="Missing">
      <formula>NOT(ISERROR(SEARCH("Missing",J2370)))</formula>
    </cfRule>
  </conditionalFormatting>
  <conditionalFormatting sqref="K2370">
    <cfRule type="containsText" dxfId="4842" priority="5477" operator="containsText" text="Missing">
      <formula>NOT(ISERROR(SEARCH("Missing",K2370)))</formula>
    </cfRule>
  </conditionalFormatting>
  <conditionalFormatting sqref="J2372">
    <cfRule type="containsText" dxfId="4841" priority="5467" operator="containsText" text="Missing">
      <formula>NOT(ISERROR(SEARCH("Missing",J2372)))</formula>
    </cfRule>
  </conditionalFormatting>
  <conditionalFormatting sqref="K2372">
    <cfRule type="containsText" dxfId="4840" priority="5466" operator="containsText" text="Missing">
      <formula>NOT(ISERROR(SEARCH("Missing",K2372)))</formula>
    </cfRule>
  </conditionalFormatting>
  <conditionalFormatting sqref="J2375">
    <cfRule type="containsText" dxfId="4839" priority="5456" operator="containsText" text="Missing">
      <formula>NOT(ISERROR(SEARCH("Missing",J2375)))</formula>
    </cfRule>
  </conditionalFormatting>
  <conditionalFormatting sqref="J2375">
    <cfRule type="containsText" dxfId="4838" priority="5457" operator="containsText" text="Missing">
      <formula>NOT(ISERROR(SEARCH("Missing",J2375)))</formula>
    </cfRule>
  </conditionalFormatting>
  <conditionalFormatting sqref="J2384">
    <cfRule type="containsText" dxfId="4837" priority="5378" operator="containsText" text="Missing">
      <formula>NOT(ISERROR(SEARCH("Missing",J2384)))</formula>
    </cfRule>
  </conditionalFormatting>
  <conditionalFormatting sqref="K2384">
    <cfRule type="containsText" dxfId="4836" priority="5377" operator="containsText" text="Missing">
      <formula>NOT(ISERROR(SEARCH("Missing",K2384)))</formula>
    </cfRule>
  </conditionalFormatting>
  <conditionalFormatting sqref="K2384">
    <cfRule type="containsText" dxfId="4835" priority="5376" operator="containsText" text="Missing">
      <formula>NOT(ISERROR(SEARCH("Missing",K2384)))</formula>
    </cfRule>
  </conditionalFormatting>
  <conditionalFormatting sqref="J2384">
    <cfRule type="containsText" dxfId="4834" priority="5379" operator="containsText" text="Missing">
      <formula>NOT(ISERROR(SEARCH("Missing",J2384)))</formula>
    </cfRule>
  </conditionalFormatting>
  <conditionalFormatting sqref="I2371">
    <cfRule type="containsText" dxfId="4833" priority="5371" operator="containsText" text="Missing">
      <formula>NOT(ISERROR(SEARCH("Missing",I2371)))</formula>
    </cfRule>
  </conditionalFormatting>
  <conditionalFormatting sqref="H2384">
    <cfRule type="containsText" dxfId="4832" priority="5372" operator="containsText" text="Missing">
      <formula>NOT(ISERROR(SEARCH("Missing",H2384)))</formula>
    </cfRule>
  </conditionalFormatting>
  <conditionalFormatting sqref="K2374">
    <cfRule type="containsText" dxfId="4831" priority="5391" operator="containsText" text="Missing">
      <formula>NOT(ISERROR(SEARCH("Missing",K2374)))</formula>
    </cfRule>
  </conditionalFormatting>
  <conditionalFormatting sqref="H2372 H2375 H2370">
    <cfRule type="containsText" dxfId="4830" priority="5435" operator="containsText" text="Missing">
      <formula>NOT(ISERROR(SEARCH("Missing",H2370)))</formula>
    </cfRule>
  </conditionalFormatting>
  <conditionalFormatting sqref="I2372">
    <cfRule type="containsText" dxfId="4829" priority="5367" operator="containsText" text="Missing">
      <formula>NOT(ISERROR(SEARCH("Missing",I2372)))</formula>
    </cfRule>
  </conditionalFormatting>
  <conditionalFormatting sqref="L2381">
    <cfRule type="containsText" dxfId="4828" priority="5166" operator="containsText" text="Positive">
      <formula>NOT(ISERROR(SEARCH("Positive",L2381)))</formula>
    </cfRule>
    <cfRule type="containsText" dxfId="4827" priority="5167" operator="containsText" text="Negative">
      <formula>NOT(ISERROR(SEARCH("Negative",L2381)))</formula>
    </cfRule>
  </conditionalFormatting>
  <conditionalFormatting sqref="I2373">
    <cfRule type="containsText" dxfId="4826" priority="5370" operator="containsText" text="Missing">
      <formula>NOT(ISERROR(SEARCH("Missing",I2373)))</formula>
    </cfRule>
  </conditionalFormatting>
  <conditionalFormatting sqref="L2370">
    <cfRule type="containsText" dxfId="4825" priority="5480" operator="containsText" text="Positive">
      <formula>NOT(ISERROR(SEARCH("Positive",L2370)))</formula>
    </cfRule>
    <cfRule type="containsText" dxfId="4824" priority="5481" operator="containsText" text="Negative">
      <formula>NOT(ISERROR(SEARCH("Negative",L2370)))</formula>
    </cfRule>
  </conditionalFormatting>
  <conditionalFormatting sqref="I2374">
    <cfRule type="containsText" dxfId="4823" priority="5366" operator="containsText" text="Missing">
      <formula>NOT(ISERROR(SEARCH("Missing",I2374)))</formula>
    </cfRule>
  </conditionalFormatting>
  <conditionalFormatting sqref="K2370">
    <cfRule type="containsText" dxfId="4822" priority="5475" operator="containsText" text="Missing">
      <formula>NOT(ISERROR(SEARCH("Missing",K2370)))</formula>
    </cfRule>
  </conditionalFormatting>
  <conditionalFormatting sqref="K2370">
    <cfRule type="containsText" dxfId="4821" priority="5476" operator="containsText" text="Missing">
      <formula>NOT(ISERROR(SEARCH("Missing",K2370)))</formula>
    </cfRule>
  </conditionalFormatting>
  <conditionalFormatting sqref="L2372">
    <cfRule type="containsText" dxfId="4820" priority="5469" operator="containsText" text="Positive">
      <formula>NOT(ISERROR(SEARCH("Positive",L2372)))</formula>
    </cfRule>
    <cfRule type="containsText" dxfId="4819" priority="5470" operator="containsText" text="Negative">
      <formula>NOT(ISERROR(SEARCH("Negative",L2372)))</formula>
    </cfRule>
  </conditionalFormatting>
  <conditionalFormatting sqref="L2375">
    <cfRule type="containsText" dxfId="4818" priority="5462" operator="containsText" text="Positive">
      <formula>NOT(ISERROR(SEARCH("Positive",L2375)))</formula>
    </cfRule>
    <cfRule type="containsText" dxfId="4817" priority="5463" operator="containsText" text="Negative">
      <formula>NOT(ISERROR(SEARCH("Negative",L2375)))</formula>
    </cfRule>
  </conditionalFormatting>
  <conditionalFormatting sqref="L2375">
    <cfRule type="containsText" dxfId="4816" priority="5458" operator="containsText" text="Positive">
      <formula>NOT(ISERROR(SEARCH("Positive",L2375)))</formula>
    </cfRule>
    <cfRule type="containsText" dxfId="4815" priority="5459" operator="containsText" text="Negative">
      <formula>NOT(ISERROR(SEARCH("Negative",L2375)))</formula>
    </cfRule>
  </conditionalFormatting>
  <conditionalFormatting sqref="L2375">
    <cfRule type="containsText" dxfId="4814" priority="5460" operator="containsText" text="Positive">
      <formula>NOT(ISERROR(SEARCH("Positive",L2375)))</formula>
    </cfRule>
    <cfRule type="containsText" dxfId="4813" priority="5461" operator="containsText" text="Negative">
      <formula>NOT(ISERROR(SEARCH("Negative",L2375)))</formula>
    </cfRule>
  </conditionalFormatting>
  <conditionalFormatting sqref="K2375">
    <cfRule type="containsText" dxfId="4812" priority="5455" operator="containsText" text="Missing">
      <formula>NOT(ISERROR(SEARCH("Missing",K2375)))</formula>
    </cfRule>
  </conditionalFormatting>
  <conditionalFormatting sqref="K2375">
    <cfRule type="containsText" dxfId="4811" priority="5454" operator="containsText" text="Missing">
      <formula>NOT(ISERROR(SEARCH("Missing",K2375)))</formula>
    </cfRule>
  </conditionalFormatting>
  <conditionalFormatting sqref="K2375">
    <cfRule type="containsText" dxfId="4810" priority="5453" operator="containsText" text="Missing">
      <formula>NOT(ISERROR(SEARCH("Missing",K2375)))</formula>
    </cfRule>
  </conditionalFormatting>
  <conditionalFormatting sqref="L2378">
    <cfRule type="containsText" dxfId="4809" priority="5175" operator="containsText" text="Positive">
      <formula>NOT(ISERROR(SEARCH("Positive",L2378)))</formula>
    </cfRule>
    <cfRule type="containsText" dxfId="4808" priority="5176" operator="containsText" text="Negative">
      <formula>NOT(ISERROR(SEARCH("Negative",L2378)))</formula>
    </cfRule>
  </conditionalFormatting>
  <conditionalFormatting sqref="L2378">
    <cfRule type="containsText" dxfId="4807" priority="5173" operator="containsText" text="Positive">
      <formula>NOT(ISERROR(SEARCH("Positive",L2378)))</formula>
    </cfRule>
    <cfRule type="containsText" dxfId="4806" priority="5174" operator="containsText" text="Negative">
      <formula>NOT(ISERROR(SEARCH("Negative",L2378)))</formula>
    </cfRule>
  </conditionalFormatting>
  <conditionalFormatting sqref="K2378">
    <cfRule type="containsText" dxfId="4805" priority="5170" operator="containsText" text="Missing">
      <formula>NOT(ISERROR(SEARCH("Missing",K2378)))</formula>
    </cfRule>
  </conditionalFormatting>
  <conditionalFormatting sqref="K2371">
    <cfRule type="containsText" dxfId="4804" priority="5418" operator="containsText" text="Missing">
      <formula>NOT(ISERROR(SEARCH("Missing",K2371)))</formula>
    </cfRule>
  </conditionalFormatting>
  <conditionalFormatting sqref="K2371">
    <cfRule type="containsText" dxfId="4803" priority="5417" operator="containsText" text="Missing">
      <formula>NOT(ISERROR(SEARCH("Missing",K2371)))</formula>
    </cfRule>
  </conditionalFormatting>
  <conditionalFormatting sqref="H2372 H2375 H2370">
    <cfRule type="containsText" dxfId="4802" priority="5436" operator="containsText" text="Missing">
      <formula>NOT(ISERROR(SEARCH("Missing",H2370)))</formula>
    </cfRule>
  </conditionalFormatting>
  <conditionalFormatting sqref="K2384">
    <cfRule type="containsText" dxfId="4801" priority="5375" operator="containsText" text="Missing">
      <formula>NOT(ISERROR(SEARCH("Missing",K2384)))</formula>
    </cfRule>
  </conditionalFormatting>
  <conditionalFormatting sqref="J2373">
    <cfRule type="containsText" dxfId="4800" priority="5407" operator="containsText" text="Missing">
      <formula>NOT(ISERROR(SEARCH("Missing",J2373)))</formula>
    </cfRule>
  </conditionalFormatting>
  <conditionalFormatting sqref="J2371">
    <cfRule type="containsText" dxfId="4799" priority="5419" operator="containsText" text="Missing">
      <formula>NOT(ISERROR(SEARCH("Missing",J2371)))</formula>
    </cfRule>
  </conditionalFormatting>
  <conditionalFormatting sqref="K2373">
    <cfRule type="containsText" dxfId="4798" priority="5404" operator="containsText" text="Missing">
      <formula>NOT(ISERROR(SEARCH("Missing",K2373)))</formula>
    </cfRule>
  </conditionalFormatting>
  <conditionalFormatting sqref="K2360">
    <cfRule type="containsText" dxfId="4797" priority="4496" operator="containsText" text="Missing">
      <formula>NOT(ISERROR(SEARCH("Missing",K2360)))</formula>
    </cfRule>
  </conditionalFormatting>
  <conditionalFormatting sqref="L2371">
    <cfRule type="containsText" dxfId="4796" priority="5425" operator="containsText" text="Positive">
      <formula>NOT(ISERROR(SEARCH("Positive",L2371)))</formula>
    </cfRule>
    <cfRule type="containsText" dxfId="4795" priority="5426" operator="containsText" text="Negative">
      <formula>NOT(ISERROR(SEARCH("Negative",L2371)))</formula>
    </cfRule>
  </conditionalFormatting>
  <conditionalFormatting sqref="L2371">
    <cfRule type="containsText" dxfId="4794" priority="5423" operator="containsText" text="Positive">
      <formula>NOT(ISERROR(SEARCH("Positive",L2371)))</formula>
    </cfRule>
    <cfRule type="containsText" dxfId="4793" priority="5424" operator="containsText" text="Negative">
      <formula>NOT(ISERROR(SEARCH("Negative",L2371)))</formula>
    </cfRule>
  </conditionalFormatting>
  <conditionalFormatting sqref="J2373">
    <cfRule type="containsText" dxfId="4792" priority="5406" operator="containsText" text="Missing">
      <formula>NOT(ISERROR(SEARCH("Missing",J2373)))</formula>
    </cfRule>
  </conditionalFormatting>
  <conditionalFormatting sqref="K2373">
    <cfRule type="containsText" dxfId="4791" priority="5405" operator="containsText" text="Missing">
      <formula>NOT(ISERROR(SEARCH("Missing",K2373)))</formula>
    </cfRule>
  </conditionalFormatting>
  <conditionalFormatting sqref="K2380">
    <cfRule type="containsText" dxfId="4790" priority="5118" operator="containsText" text="Missing">
      <formula>NOT(ISERROR(SEARCH("Missing",K2380)))</formula>
    </cfRule>
  </conditionalFormatting>
  <conditionalFormatting sqref="L2371">
    <cfRule type="containsText" dxfId="4789" priority="5421" operator="containsText" text="Positive">
      <formula>NOT(ISERROR(SEARCH("Positive",L2371)))</formula>
    </cfRule>
    <cfRule type="containsText" dxfId="4788" priority="5422" operator="containsText" text="Negative">
      <formula>NOT(ISERROR(SEARCH("Negative",L2371)))</formula>
    </cfRule>
  </conditionalFormatting>
  <conditionalFormatting sqref="K2373">
    <cfRule type="containsText" dxfId="4787" priority="5403" operator="containsText" text="Missing">
      <formula>NOT(ISERROR(SEARCH("Missing",K2373)))</formula>
    </cfRule>
  </conditionalFormatting>
  <conditionalFormatting sqref="L2373">
    <cfRule type="containsText" dxfId="4786" priority="5412" operator="containsText" text="Positive">
      <formula>NOT(ISERROR(SEARCH("Positive",L2373)))</formula>
    </cfRule>
    <cfRule type="containsText" dxfId="4785" priority="5413" operator="containsText" text="Negative">
      <formula>NOT(ISERROR(SEARCH("Negative",L2373)))</formula>
    </cfRule>
  </conditionalFormatting>
  <conditionalFormatting sqref="L2373">
    <cfRule type="containsText" dxfId="4784" priority="5410" operator="containsText" text="Positive">
      <formula>NOT(ISERROR(SEARCH("Positive",L2373)))</formula>
    </cfRule>
    <cfRule type="containsText" dxfId="4783" priority="5411" operator="containsText" text="Negative">
      <formula>NOT(ISERROR(SEARCH("Negative",L2373)))</formula>
    </cfRule>
  </conditionalFormatting>
  <conditionalFormatting sqref="K2374">
    <cfRule type="containsText" dxfId="4782" priority="5390" operator="containsText" text="Missing">
      <formula>NOT(ISERROR(SEARCH("Missing",K2374)))</formula>
    </cfRule>
  </conditionalFormatting>
  <conditionalFormatting sqref="J2374">
    <cfRule type="containsText" dxfId="4781" priority="5392" operator="containsText" text="Missing">
      <formula>NOT(ISERROR(SEARCH("Missing",J2374)))</formula>
    </cfRule>
  </conditionalFormatting>
  <conditionalFormatting sqref="K2376">
    <cfRule type="containsText" dxfId="4780" priority="5181" operator="containsText" text="Missing">
      <formula>NOT(ISERROR(SEARCH("Missing",K2376)))</formula>
    </cfRule>
  </conditionalFormatting>
  <conditionalFormatting sqref="L2373">
    <cfRule type="containsText" dxfId="4779" priority="5408" operator="containsText" text="Positive">
      <formula>NOT(ISERROR(SEARCH("Positive",L2373)))</formula>
    </cfRule>
    <cfRule type="containsText" dxfId="4778" priority="5409" operator="containsText" text="Negative">
      <formula>NOT(ISERROR(SEARCH("Negative",L2373)))</formula>
    </cfRule>
  </conditionalFormatting>
  <conditionalFormatting sqref="H2373">
    <cfRule type="containsText" dxfId="4777" priority="5401" operator="containsText" text="Missing">
      <formula>NOT(ISERROR(SEARCH("Missing",H2373)))</formula>
    </cfRule>
  </conditionalFormatting>
  <conditionalFormatting sqref="H2373">
    <cfRule type="containsText" dxfId="4776" priority="5400" operator="containsText" text="Missing">
      <formula>NOT(ISERROR(SEARCH("Missing",H2373)))</formula>
    </cfRule>
  </conditionalFormatting>
  <conditionalFormatting sqref="J2376">
    <cfRule type="containsText" dxfId="4775" priority="5183" operator="containsText" text="Missing">
      <formula>NOT(ISERROR(SEARCH("Missing",J2376)))</formula>
    </cfRule>
  </conditionalFormatting>
  <conditionalFormatting sqref="H2384">
    <cfRule type="containsText" dxfId="4774" priority="5373" operator="containsText" text="Missing">
      <formula>NOT(ISERROR(SEARCH("Missing",H2384)))</formula>
    </cfRule>
  </conditionalFormatting>
  <conditionalFormatting sqref="H2374">
    <cfRule type="containsText" dxfId="4773" priority="5387" operator="containsText" text="Missing">
      <formula>NOT(ISERROR(SEARCH("Missing",H2374)))</formula>
    </cfRule>
  </conditionalFormatting>
  <conditionalFormatting sqref="L2374">
    <cfRule type="containsText" dxfId="4772" priority="5398" operator="containsText" text="Positive">
      <formula>NOT(ISERROR(SEARCH("Positive",L2374)))</formula>
    </cfRule>
    <cfRule type="containsText" dxfId="4771" priority="5399" operator="containsText" text="Negative">
      <formula>NOT(ISERROR(SEARCH("Negative",L2374)))</formula>
    </cfRule>
  </conditionalFormatting>
  <conditionalFormatting sqref="L2374">
    <cfRule type="containsText" dxfId="4770" priority="5394" operator="containsText" text="Positive">
      <formula>NOT(ISERROR(SEARCH("Positive",L2374)))</formula>
    </cfRule>
    <cfRule type="containsText" dxfId="4769" priority="5395" operator="containsText" text="Negative">
      <formula>NOT(ISERROR(SEARCH("Negative",L2374)))</formula>
    </cfRule>
  </conditionalFormatting>
  <conditionalFormatting sqref="L2374">
    <cfRule type="containsText" dxfId="4768" priority="5396" operator="containsText" text="Positive">
      <formula>NOT(ISERROR(SEARCH("Positive",L2374)))</formula>
    </cfRule>
    <cfRule type="containsText" dxfId="4767" priority="5397" operator="containsText" text="Negative">
      <formula>NOT(ISERROR(SEARCH("Negative",L2374)))</formula>
    </cfRule>
  </conditionalFormatting>
  <conditionalFormatting sqref="J2376">
    <cfRule type="containsText" dxfId="4766" priority="5182" operator="containsText" text="Missing">
      <formula>NOT(ISERROR(SEARCH("Missing",J2376)))</formula>
    </cfRule>
  </conditionalFormatting>
  <conditionalFormatting sqref="K2374">
    <cfRule type="containsText" dxfId="4765" priority="5389" operator="containsText" text="Missing">
      <formula>NOT(ISERROR(SEARCH("Missing",K2374)))</formula>
    </cfRule>
  </conditionalFormatting>
  <conditionalFormatting sqref="K2382">
    <cfRule type="containsText" dxfId="4764" priority="5088" operator="containsText" text="Missing">
      <formula>NOT(ISERROR(SEARCH("Missing",K2382)))</formula>
    </cfRule>
  </conditionalFormatting>
  <conditionalFormatting sqref="H2374">
    <cfRule type="containsText" dxfId="4763" priority="5386" operator="containsText" text="Missing">
      <formula>NOT(ISERROR(SEARCH("Missing",H2374)))</formula>
    </cfRule>
  </conditionalFormatting>
  <conditionalFormatting sqref="K2378">
    <cfRule type="containsText" dxfId="4762" priority="5168" operator="containsText" text="Missing">
      <formula>NOT(ISERROR(SEARCH("Missing",K2378)))</formula>
    </cfRule>
  </conditionalFormatting>
  <conditionalFormatting sqref="K2378">
    <cfRule type="containsText" dxfId="4761" priority="5169" operator="containsText" text="Missing">
      <formula>NOT(ISERROR(SEARCH("Missing",K2378)))</formula>
    </cfRule>
  </conditionalFormatting>
  <conditionalFormatting sqref="I2384">
    <cfRule type="containsText" dxfId="4760" priority="5374" operator="containsText" text="Missing">
      <formula>NOT(ISERROR(SEARCH("Missing",I2384)))</formula>
    </cfRule>
  </conditionalFormatting>
  <conditionalFormatting sqref="L2384">
    <cfRule type="containsText" dxfId="4759" priority="5384" operator="containsText" text="Positive">
      <formula>NOT(ISERROR(SEARCH("Positive",L2384)))</formula>
    </cfRule>
    <cfRule type="containsText" dxfId="4758" priority="5385" operator="containsText" text="Negative">
      <formula>NOT(ISERROR(SEARCH("Negative",L2384)))</formula>
    </cfRule>
  </conditionalFormatting>
  <conditionalFormatting sqref="L2384">
    <cfRule type="containsText" dxfId="4757" priority="5380" operator="containsText" text="Positive">
      <formula>NOT(ISERROR(SEARCH("Positive",L2384)))</formula>
    </cfRule>
    <cfRule type="containsText" dxfId="4756" priority="5381" operator="containsText" text="Negative">
      <formula>NOT(ISERROR(SEARCH("Negative",L2384)))</formula>
    </cfRule>
  </conditionalFormatting>
  <conditionalFormatting sqref="L2384">
    <cfRule type="containsText" dxfId="4755" priority="5382" operator="containsText" text="Positive">
      <formula>NOT(ISERROR(SEARCH("Positive",L2384)))</formula>
    </cfRule>
    <cfRule type="containsText" dxfId="4754" priority="5383" operator="containsText" text="Negative">
      <formula>NOT(ISERROR(SEARCH("Negative",L2384)))</formula>
    </cfRule>
  </conditionalFormatting>
  <conditionalFormatting sqref="K2421">
    <cfRule type="containsText" dxfId="4753" priority="4381" operator="containsText" text="Missing">
      <formula>NOT(ISERROR(SEARCH("Missing",K2421)))</formula>
    </cfRule>
  </conditionalFormatting>
  <conditionalFormatting sqref="J2381">
    <cfRule type="containsText" dxfId="4752" priority="5161" operator="containsText" text="Missing">
      <formula>NOT(ISERROR(SEARCH("Missing",J2381)))</formula>
    </cfRule>
  </conditionalFormatting>
  <conditionalFormatting sqref="J2381">
    <cfRule type="containsText" dxfId="4751" priority="5160" operator="containsText" text="Missing">
      <formula>NOT(ISERROR(SEARCH("Missing",J2381)))</formula>
    </cfRule>
  </conditionalFormatting>
  <conditionalFormatting sqref="H2360">
    <cfRule type="containsText" dxfId="4750" priority="4495" operator="containsText" text="Missing">
      <formula>NOT(ISERROR(SEARCH("Missing",H2360)))</formula>
    </cfRule>
  </conditionalFormatting>
  <conditionalFormatting sqref="I2375">
    <cfRule type="containsText" dxfId="4749" priority="5369" operator="containsText" text="Missing">
      <formula>NOT(ISERROR(SEARCH("Missing",I2375)))</formula>
    </cfRule>
  </conditionalFormatting>
  <conditionalFormatting sqref="H2376 H2378 H2381">
    <cfRule type="containsText" dxfId="4748" priority="5156" operator="containsText" text="Missing">
      <formula>NOT(ISERROR(SEARCH("Missing",H2376)))</formula>
    </cfRule>
  </conditionalFormatting>
  <conditionalFormatting sqref="H2376 H2378 H2381">
    <cfRule type="containsText" dxfId="4747" priority="5155" operator="containsText" text="Missing">
      <formula>NOT(ISERROR(SEARCH("Missing",H2376)))</formula>
    </cfRule>
  </conditionalFormatting>
  <conditionalFormatting sqref="K2381">
    <cfRule type="containsText" dxfId="4746" priority="5159" operator="containsText" text="Missing">
      <formula>NOT(ISERROR(SEARCH("Missing",K2381)))</formula>
    </cfRule>
  </conditionalFormatting>
  <conditionalFormatting sqref="I2349">
    <cfRule type="containsText" dxfId="4745" priority="4999" operator="containsText" text="Missing">
      <formula>NOT(ISERROR(SEARCH("Missing",I2349)))</formula>
    </cfRule>
  </conditionalFormatting>
  <conditionalFormatting sqref="I2349">
    <cfRule type="containsText" dxfId="4744" priority="5000" operator="containsText" text="Missing">
      <formula>NOT(ISERROR(SEARCH("Missing",I2349)))</formula>
    </cfRule>
  </conditionalFormatting>
  <conditionalFormatting sqref="L2385">
    <cfRule type="containsText" dxfId="4743" priority="5364" operator="containsText" text="Positive">
      <formula>NOT(ISERROR(SEARCH("Positive",L2385)))</formula>
    </cfRule>
    <cfRule type="containsText" dxfId="4742" priority="5365" operator="containsText" text="Negative">
      <formula>NOT(ISERROR(SEARCH("Negative",L2385)))</formula>
    </cfRule>
  </conditionalFormatting>
  <conditionalFormatting sqref="L2385">
    <cfRule type="containsText" dxfId="4741" priority="5360" operator="containsText" text="Positive">
      <formula>NOT(ISERROR(SEARCH("Positive",L2385)))</formula>
    </cfRule>
    <cfRule type="containsText" dxfId="4740" priority="5361" operator="containsText" text="Negative">
      <formula>NOT(ISERROR(SEARCH("Negative",L2385)))</formula>
    </cfRule>
  </conditionalFormatting>
  <conditionalFormatting sqref="L2385">
    <cfRule type="containsText" dxfId="4739" priority="5362" operator="containsText" text="Positive">
      <formula>NOT(ISERROR(SEARCH("Positive",L2385)))</formula>
    </cfRule>
    <cfRule type="containsText" dxfId="4738" priority="5363" operator="containsText" text="Negative">
      <formula>NOT(ISERROR(SEARCH("Negative",L2385)))</formula>
    </cfRule>
  </conditionalFormatting>
  <conditionalFormatting sqref="J2350">
    <cfRule type="containsText" dxfId="4737" priority="4998" operator="containsText" text="Missing">
      <formula>NOT(ISERROR(SEARCH("Missing",J2350)))</formula>
    </cfRule>
  </conditionalFormatting>
  <conditionalFormatting sqref="J2379">
    <cfRule type="containsText" dxfId="4736" priority="5135" operator="containsText" text="Missing">
      <formula>NOT(ISERROR(SEARCH("Missing",J2379)))</formula>
    </cfRule>
  </conditionalFormatting>
  <conditionalFormatting sqref="H2382">
    <cfRule type="containsText" dxfId="4735" priority="5085" operator="containsText" text="Missing">
      <formula>NOT(ISERROR(SEARCH("Missing",H2382)))</formula>
    </cfRule>
  </conditionalFormatting>
  <conditionalFormatting sqref="K2382">
    <cfRule type="containsText" dxfId="4734" priority="5086" operator="containsText" text="Missing">
      <formula>NOT(ISERROR(SEARCH("Missing",K2382)))</formula>
    </cfRule>
  </conditionalFormatting>
  <conditionalFormatting sqref="I2380">
    <cfRule type="containsText" dxfId="4733" priority="5110" operator="containsText" text="Missing">
      <formula>NOT(ISERROR(SEARCH("Missing",I2380)))</formula>
    </cfRule>
  </conditionalFormatting>
  <conditionalFormatting sqref="I2378">
    <cfRule type="containsText" dxfId="4732" priority="5111" operator="containsText" text="Missing">
      <formula>NOT(ISERROR(SEARCH("Missing",I2378)))</formula>
    </cfRule>
  </conditionalFormatting>
  <conditionalFormatting sqref="K2382">
    <cfRule type="containsText" dxfId="4731" priority="5087" operator="containsText" text="Missing">
      <formula>NOT(ISERROR(SEARCH("Missing",K2382)))</formula>
    </cfRule>
  </conditionalFormatting>
  <conditionalFormatting sqref="L2379">
    <cfRule type="containsText" dxfId="4730" priority="5140" operator="containsText" text="Positive">
      <formula>NOT(ISERROR(SEARCH("Positive",L2379)))</formula>
    </cfRule>
    <cfRule type="containsText" dxfId="4729" priority="5141" operator="containsText" text="Negative">
      <formula>NOT(ISERROR(SEARCH("Negative",L2379)))</formula>
    </cfRule>
  </conditionalFormatting>
  <conditionalFormatting sqref="L2379">
    <cfRule type="containsText" dxfId="4728" priority="5136" operator="containsText" text="Positive">
      <formula>NOT(ISERROR(SEARCH("Positive",L2379)))</formula>
    </cfRule>
    <cfRule type="containsText" dxfId="4727" priority="5137" operator="containsText" text="Negative">
      <formula>NOT(ISERROR(SEARCH("Negative",L2379)))</formula>
    </cfRule>
  </conditionalFormatting>
  <conditionalFormatting sqref="L2379">
    <cfRule type="containsText" dxfId="4726" priority="5138" operator="containsText" text="Positive">
      <formula>NOT(ISERROR(SEARCH("Positive",L2379)))</formula>
    </cfRule>
    <cfRule type="containsText" dxfId="4725" priority="5139" operator="containsText" text="Negative">
      <formula>NOT(ISERROR(SEARCH("Negative",L2379)))</formula>
    </cfRule>
  </conditionalFormatting>
  <conditionalFormatting sqref="J2382">
    <cfRule type="containsText" dxfId="4724" priority="5090" operator="containsText" text="Missing">
      <formula>NOT(ISERROR(SEARCH("Missing",J2382)))</formula>
    </cfRule>
  </conditionalFormatting>
  <conditionalFormatting sqref="J2382">
    <cfRule type="containsText" dxfId="4723" priority="5089" operator="containsText" text="Missing">
      <formula>NOT(ISERROR(SEARCH("Missing",J2382)))</formula>
    </cfRule>
  </conditionalFormatting>
  <conditionalFormatting sqref="K2379">
    <cfRule type="containsText" dxfId="4722" priority="5131" operator="containsText" text="Missing">
      <formula>NOT(ISERROR(SEARCH("Missing",K2379)))</formula>
    </cfRule>
  </conditionalFormatting>
  <conditionalFormatting sqref="J2380">
    <cfRule type="containsText" dxfId="4721" priority="5121" operator="containsText" text="Missing">
      <formula>NOT(ISERROR(SEARCH("Missing",J2380)))</formula>
    </cfRule>
  </conditionalFormatting>
  <conditionalFormatting sqref="K2380">
    <cfRule type="containsText" dxfId="4720" priority="5120" operator="containsText" text="Missing">
      <formula>NOT(ISERROR(SEARCH("Missing",K2380)))</formula>
    </cfRule>
  </conditionalFormatting>
  <conditionalFormatting sqref="K2380">
    <cfRule type="containsText" dxfId="4719" priority="5119" operator="containsText" text="Missing">
      <formula>NOT(ISERROR(SEARCH("Missing",K2380)))</formula>
    </cfRule>
  </conditionalFormatting>
  <conditionalFormatting sqref="H2349">
    <cfRule type="containsText" dxfId="4718" priority="5001" operator="containsText" text="Missing">
      <formula>NOT(ISERROR(SEARCH("Missing",H2349)))</formula>
    </cfRule>
  </conditionalFormatting>
  <conditionalFormatting sqref="I2379">
    <cfRule type="containsText" dxfId="4717" priority="5114" operator="containsText" text="Missing">
      <formula>NOT(ISERROR(SEARCH("Missing",I2379)))</formula>
    </cfRule>
  </conditionalFormatting>
  <conditionalFormatting sqref="I2377">
    <cfRule type="containsText" dxfId="4716" priority="5115" operator="containsText" text="Missing">
      <formula>NOT(ISERROR(SEARCH("Missing",I2377)))</formula>
    </cfRule>
  </conditionalFormatting>
  <conditionalFormatting sqref="H2380">
    <cfRule type="containsText" dxfId="4715" priority="5116" operator="containsText" text="Missing">
      <formula>NOT(ISERROR(SEARCH("Missing",H2380)))</formula>
    </cfRule>
  </conditionalFormatting>
  <conditionalFormatting sqref="J2368">
    <cfRule type="containsText" dxfId="4714" priority="4446" operator="containsText" text="Missing">
      <formula>NOT(ISERROR(SEARCH("Missing",J2368)))</formula>
    </cfRule>
  </conditionalFormatting>
  <conditionalFormatting sqref="I2385">
    <cfRule type="containsText" dxfId="4713" priority="5323" operator="containsText" text="Missing">
      <formula>NOT(ISERROR(SEARCH("Missing",I2385)))</formula>
    </cfRule>
  </conditionalFormatting>
  <conditionalFormatting sqref="H2385">
    <cfRule type="containsText" dxfId="4712" priority="5322" operator="containsText" text="Missing">
      <formula>NOT(ISERROR(SEARCH("Missing",H2385)))</formula>
    </cfRule>
  </conditionalFormatting>
  <conditionalFormatting sqref="H2385">
    <cfRule type="containsText" dxfId="4711" priority="5320" operator="containsText" text="Missing">
      <formula>NOT(ISERROR(SEARCH("Missing",H2385)))</formula>
    </cfRule>
  </conditionalFormatting>
  <conditionalFormatting sqref="H2385">
    <cfRule type="containsText" dxfId="4710" priority="5321" operator="containsText" text="Missing">
      <formula>NOT(ISERROR(SEARCH("Missing",H2385)))</formula>
    </cfRule>
  </conditionalFormatting>
  <conditionalFormatting sqref="L2380">
    <cfRule type="containsText" dxfId="4709" priority="5125" operator="containsText" text="Positive">
      <formula>NOT(ISERROR(SEARCH("Positive",L2380)))</formula>
    </cfRule>
    <cfRule type="containsText" dxfId="4708" priority="5126" operator="containsText" text="Negative">
      <formula>NOT(ISERROR(SEARCH("Negative",L2380)))</formula>
    </cfRule>
  </conditionalFormatting>
  <conditionalFormatting sqref="L2380">
    <cfRule type="containsText" dxfId="4707" priority="5123" operator="containsText" text="Positive">
      <formula>NOT(ISERROR(SEARCH("Positive",L2380)))</formula>
    </cfRule>
    <cfRule type="containsText" dxfId="4706" priority="5124" operator="containsText" text="Negative">
      <formula>NOT(ISERROR(SEARCH("Negative",L2380)))</formula>
    </cfRule>
  </conditionalFormatting>
  <conditionalFormatting sqref="L2377">
    <cfRule type="containsText" dxfId="4705" priority="5151" operator="containsText" text="Positive">
      <formula>NOT(ISERROR(SEARCH("Positive",L2377)))</formula>
    </cfRule>
    <cfRule type="containsText" dxfId="4704" priority="5152" operator="containsText" text="Negative">
      <formula>NOT(ISERROR(SEARCH("Negative",L2377)))</formula>
    </cfRule>
  </conditionalFormatting>
  <conditionalFormatting sqref="L2377">
    <cfRule type="containsText" dxfId="4703" priority="5149" operator="containsText" text="Positive">
      <formula>NOT(ISERROR(SEARCH("Positive",L2377)))</formula>
    </cfRule>
    <cfRule type="containsText" dxfId="4702" priority="5150" operator="containsText" text="Negative">
      <formula>NOT(ISERROR(SEARCH("Negative",L2377)))</formula>
    </cfRule>
  </conditionalFormatting>
  <conditionalFormatting sqref="K2377">
    <cfRule type="containsText" dxfId="4701" priority="5145" operator="containsText" text="Missing">
      <formula>NOT(ISERROR(SEARCH("Missing",K2377)))</formula>
    </cfRule>
  </conditionalFormatting>
  <conditionalFormatting sqref="J2423">
    <cfRule type="containsText" dxfId="4700" priority="4373" operator="containsText" text="Missing">
      <formula>NOT(ISERROR(SEARCH("Missing",J2423)))</formula>
    </cfRule>
  </conditionalFormatting>
  <conditionalFormatting sqref="K2351">
    <cfRule type="containsText" dxfId="4699" priority="4974" operator="containsText" text="Missing">
      <formula>NOT(ISERROR(SEARCH("Missing",K2351)))</formula>
    </cfRule>
  </conditionalFormatting>
  <conditionalFormatting sqref="K2381">
    <cfRule type="containsText" dxfId="4698" priority="5157" operator="containsText" text="Missing">
      <formula>NOT(ISERROR(SEARCH("Missing",K2381)))</formula>
    </cfRule>
  </conditionalFormatting>
  <conditionalFormatting sqref="K2377">
    <cfRule type="containsText" dxfId="4697" priority="5146" operator="containsText" text="Missing">
      <formula>NOT(ISERROR(SEARCH("Missing",K2377)))</formula>
    </cfRule>
  </conditionalFormatting>
  <conditionalFormatting sqref="K2383">
    <cfRule type="containsText" dxfId="4696" priority="5101" operator="containsText" text="Missing">
      <formula>NOT(ISERROR(SEARCH("Missing",K2383)))</formula>
    </cfRule>
  </conditionalFormatting>
  <conditionalFormatting sqref="H2379">
    <cfRule type="containsText" dxfId="4695" priority="5130" operator="containsText" text="Missing">
      <formula>NOT(ISERROR(SEARCH("Missing",H2379)))</formula>
    </cfRule>
  </conditionalFormatting>
  <conditionalFormatting sqref="K2377">
    <cfRule type="containsText" dxfId="4694" priority="5144" operator="containsText" text="Missing">
      <formula>NOT(ISERROR(SEARCH("Missing",K2377)))</formula>
    </cfRule>
  </conditionalFormatting>
  <conditionalFormatting sqref="J2379">
    <cfRule type="containsText" dxfId="4693" priority="5134" operator="containsText" text="Missing">
      <formula>NOT(ISERROR(SEARCH("Missing",J2379)))</formula>
    </cfRule>
  </conditionalFormatting>
  <conditionalFormatting sqref="K2379">
    <cfRule type="containsText" dxfId="4692" priority="5133" operator="containsText" text="Missing">
      <formula>NOT(ISERROR(SEARCH("Missing",K2379)))</formula>
    </cfRule>
  </conditionalFormatting>
  <conditionalFormatting sqref="J2352">
    <cfRule type="containsText" dxfId="4691" priority="4963" operator="containsText" text="Missing">
      <formula>NOT(ISERROR(SEARCH("Missing",J2352)))</formula>
    </cfRule>
  </conditionalFormatting>
  <conditionalFormatting sqref="K2381">
    <cfRule type="containsText" dxfId="4690" priority="5158" operator="containsText" text="Missing">
      <formula>NOT(ISERROR(SEARCH("Missing",K2381)))</formula>
    </cfRule>
  </conditionalFormatting>
  <conditionalFormatting sqref="H2377">
    <cfRule type="containsText" dxfId="4689" priority="5142" operator="containsText" text="Missing">
      <formula>NOT(ISERROR(SEARCH("Missing",H2377)))</formula>
    </cfRule>
  </conditionalFormatting>
  <conditionalFormatting sqref="K2431">
    <cfRule type="containsText" dxfId="4688" priority="4210" operator="containsText" text="Missing">
      <formula>NOT(ISERROR(SEARCH("Missing",K2431)))</formula>
    </cfRule>
  </conditionalFormatting>
  <conditionalFormatting sqref="J2423">
    <cfRule type="containsText" dxfId="4687" priority="4372" operator="containsText" text="Missing">
      <formula>NOT(ISERROR(SEARCH("Missing",J2423)))</formula>
    </cfRule>
  </conditionalFormatting>
  <conditionalFormatting sqref="J2377">
    <cfRule type="containsText" dxfId="4686" priority="5147" operator="containsText" text="Missing">
      <formula>NOT(ISERROR(SEARCH("Missing",J2377)))</formula>
    </cfRule>
  </conditionalFormatting>
  <conditionalFormatting sqref="J2377">
    <cfRule type="containsText" dxfId="4685" priority="5148" operator="containsText" text="Missing">
      <formula>NOT(ISERROR(SEARCH("Missing",J2377)))</formula>
    </cfRule>
  </conditionalFormatting>
  <conditionalFormatting sqref="H2350">
    <cfRule type="containsText" dxfId="4684" priority="4987" operator="containsText" text="Missing">
      <formula>NOT(ISERROR(SEARCH("Missing",H2350)))</formula>
    </cfRule>
  </conditionalFormatting>
  <conditionalFormatting sqref="H2424">
    <cfRule type="containsText" dxfId="4683" priority="4330" operator="containsText" text="Missing">
      <formula>NOT(ISERROR(SEARCH("Missing",H2424)))</formula>
    </cfRule>
  </conditionalFormatting>
  <conditionalFormatting sqref="J2350">
    <cfRule type="containsText" dxfId="4682" priority="4993" operator="containsText" text="Missing">
      <formula>NOT(ISERROR(SEARCH("Missing",J2350)))</formula>
    </cfRule>
  </conditionalFormatting>
  <conditionalFormatting sqref="L2425">
    <cfRule type="containsText" dxfId="4681" priority="4328" operator="containsText" text="Positive">
      <formula>NOT(ISERROR(SEARCH("Positive",L2425)))</formula>
    </cfRule>
    <cfRule type="containsText" dxfId="4680" priority="4329" operator="containsText" text="Negative">
      <formula>NOT(ISERROR(SEARCH("Negative",L2425)))</formula>
    </cfRule>
  </conditionalFormatting>
  <conditionalFormatting sqref="J2380">
    <cfRule type="containsText" dxfId="4679" priority="5122" operator="containsText" text="Missing">
      <formula>NOT(ISERROR(SEARCH("Missing",J2380)))</formula>
    </cfRule>
  </conditionalFormatting>
  <conditionalFormatting sqref="H2377">
    <cfRule type="containsText" dxfId="4678" priority="5143" operator="containsText" text="Missing">
      <formula>NOT(ISERROR(SEARCH("Missing",H2377)))</formula>
    </cfRule>
  </conditionalFormatting>
  <conditionalFormatting sqref="L2435">
    <cfRule type="containsText" dxfId="4677" priority="4315" operator="containsText" text="Positive">
      <formula>NOT(ISERROR(SEARCH("Positive",L2435)))</formula>
    </cfRule>
    <cfRule type="containsText" dxfId="4676" priority="4316" operator="containsText" text="Negative">
      <formula>NOT(ISERROR(SEARCH("Negative",L2435)))</formula>
    </cfRule>
  </conditionalFormatting>
  <conditionalFormatting sqref="K2425">
    <cfRule type="containsText" dxfId="4675" priority="4321" operator="containsText" text="Missing">
      <formula>NOT(ISERROR(SEARCH("Missing",K2425)))</formula>
    </cfRule>
  </conditionalFormatting>
  <conditionalFormatting sqref="J2378">
    <cfRule type="containsText" dxfId="4674" priority="5171" operator="containsText" text="Missing">
      <formula>NOT(ISERROR(SEARCH("Missing",J2378)))</formula>
    </cfRule>
  </conditionalFormatting>
  <conditionalFormatting sqref="J2378">
    <cfRule type="containsText" dxfId="4673" priority="5172" operator="containsText" text="Missing">
      <formula>NOT(ISERROR(SEARCH("Missing",J2378)))</formula>
    </cfRule>
  </conditionalFormatting>
  <conditionalFormatting sqref="L2382">
    <cfRule type="containsText" dxfId="4672" priority="5091" operator="containsText" text="Positive">
      <formula>NOT(ISERROR(SEARCH("Positive",L2382)))</formula>
    </cfRule>
    <cfRule type="containsText" dxfId="4671" priority="5092" operator="containsText" text="Negative">
      <formula>NOT(ISERROR(SEARCH("Negative",L2382)))</formula>
    </cfRule>
  </conditionalFormatting>
  <conditionalFormatting sqref="L2382">
    <cfRule type="containsText" dxfId="4670" priority="5095" operator="containsText" text="Positive">
      <formula>NOT(ISERROR(SEARCH("Positive",L2382)))</formula>
    </cfRule>
    <cfRule type="containsText" dxfId="4669" priority="5096" operator="containsText" text="Negative">
      <formula>NOT(ISERROR(SEARCH("Negative",L2382)))</formula>
    </cfRule>
  </conditionalFormatting>
  <conditionalFormatting sqref="L2380">
    <cfRule type="containsText" dxfId="4668" priority="5127" operator="containsText" text="Positive">
      <formula>NOT(ISERROR(SEARCH("Positive",L2380)))</formula>
    </cfRule>
    <cfRule type="containsText" dxfId="4667" priority="5128" operator="containsText" text="Negative">
      <formula>NOT(ISERROR(SEARCH("Negative",L2380)))</formula>
    </cfRule>
  </conditionalFormatting>
  <conditionalFormatting sqref="J2424">
    <cfRule type="containsText" dxfId="4666" priority="4335" operator="containsText" text="Missing">
      <formula>NOT(ISERROR(SEARCH("Missing",J2424)))</formula>
    </cfRule>
  </conditionalFormatting>
  <conditionalFormatting sqref="K2352">
    <cfRule type="containsText" dxfId="4665" priority="4960" operator="containsText" text="Missing">
      <formula>NOT(ISERROR(SEARCH("Missing",K2352)))</formula>
    </cfRule>
  </conditionalFormatting>
  <conditionalFormatting sqref="K2352">
    <cfRule type="containsText" dxfId="4664" priority="4959" operator="containsText" text="Missing">
      <formula>NOT(ISERROR(SEARCH("Missing",K2352)))</formula>
    </cfRule>
  </conditionalFormatting>
  <conditionalFormatting sqref="K2379">
    <cfRule type="containsText" dxfId="4663" priority="5132" operator="containsText" text="Missing">
      <formula>NOT(ISERROR(SEARCH("Missing",K2379)))</formula>
    </cfRule>
  </conditionalFormatting>
  <conditionalFormatting sqref="J2383">
    <cfRule type="containsText" dxfId="4662" priority="5102" operator="containsText" text="Missing">
      <formula>NOT(ISERROR(SEARCH("Missing",J2383)))</formula>
    </cfRule>
  </conditionalFormatting>
  <conditionalFormatting sqref="I2350">
    <cfRule type="containsText" dxfId="4661" priority="4985" operator="containsText" text="Missing">
      <formula>NOT(ISERROR(SEARCH("Missing",I2350)))</formula>
    </cfRule>
  </conditionalFormatting>
  <conditionalFormatting sqref="K2383">
    <cfRule type="containsText" dxfId="4660" priority="5100" operator="containsText" text="Missing">
      <formula>NOT(ISERROR(SEARCH("Missing",K2383)))</formula>
    </cfRule>
  </conditionalFormatting>
  <conditionalFormatting sqref="H2349">
    <cfRule type="containsText" dxfId="4659" priority="5002" operator="containsText" text="Missing">
      <formula>NOT(ISERROR(SEARCH("Missing",H2349)))</formula>
    </cfRule>
  </conditionalFormatting>
  <conditionalFormatting sqref="K2351">
    <cfRule type="containsText" dxfId="4658" priority="4973" operator="containsText" text="Missing">
      <formula>NOT(ISERROR(SEARCH("Missing",K2351)))</formula>
    </cfRule>
  </conditionalFormatting>
  <conditionalFormatting sqref="K2418">
    <cfRule type="containsText" dxfId="4657" priority="3776" operator="containsText" text="Missing">
      <formula>NOT(ISERROR(SEARCH("Missing",K2418)))</formula>
    </cfRule>
  </conditionalFormatting>
  <conditionalFormatting sqref="H2351">
    <cfRule type="containsText" dxfId="4656" priority="4971" operator="containsText" text="Missing">
      <formula>NOT(ISERROR(SEARCH("Missing",H2351)))</formula>
    </cfRule>
  </conditionalFormatting>
  <conditionalFormatting sqref="I2381">
    <cfRule type="containsText" dxfId="4655" priority="5113" operator="containsText" text="Missing">
      <formula>NOT(ISERROR(SEARCH("Missing",I2381)))</formula>
    </cfRule>
  </conditionalFormatting>
  <conditionalFormatting sqref="H2379">
    <cfRule type="containsText" dxfId="4654" priority="5129" operator="containsText" text="Missing">
      <formula>NOT(ISERROR(SEARCH("Missing",H2379)))</formula>
    </cfRule>
  </conditionalFormatting>
  <conditionalFormatting sqref="I2376">
    <cfRule type="containsText" dxfId="4653" priority="5112" operator="containsText" text="Missing">
      <formula>NOT(ISERROR(SEARCH("Missing",I2376)))</formula>
    </cfRule>
  </conditionalFormatting>
  <conditionalFormatting sqref="L2351">
    <cfRule type="containsText" dxfId="4652" priority="4979" operator="containsText" text="Positive">
      <formula>NOT(ISERROR(SEARCH("Positive",L2351)))</formula>
    </cfRule>
    <cfRule type="containsText" dxfId="4651" priority="4980" operator="containsText" text="Negative">
      <formula>NOT(ISERROR(SEARCH("Negative",L2351)))</formula>
    </cfRule>
  </conditionalFormatting>
  <conditionalFormatting sqref="L2383">
    <cfRule type="containsText" dxfId="4650" priority="5108" operator="containsText" text="Positive">
      <formula>NOT(ISERROR(SEARCH("Positive",L2383)))</formula>
    </cfRule>
    <cfRule type="containsText" dxfId="4649" priority="5109" operator="containsText" text="Negative">
      <formula>NOT(ISERROR(SEARCH("Negative",L2383)))</formula>
    </cfRule>
  </conditionalFormatting>
  <conditionalFormatting sqref="L2383">
    <cfRule type="containsText" dxfId="4648" priority="5106" operator="containsText" text="Positive">
      <formula>NOT(ISERROR(SEARCH("Positive",L2383)))</formula>
    </cfRule>
    <cfRule type="containsText" dxfId="4647" priority="5107" operator="containsText" text="Negative">
      <formula>NOT(ISERROR(SEARCH("Negative",L2383)))</formula>
    </cfRule>
  </conditionalFormatting>
  <conditionalFormatting sqref="I2350">
    <cfRule type="containsText" dxfId="4646" priority="4984" operator="containsText" text="Missing">
      <formula>NOT(ISERROR(SEARCH("Missing",I2350)))</formula>
    </cfRule>
  </conditionalFormatting>
  <conditionalFormatting sqref="K2383">
    <cfRule type="containsText" dxfId="4645" priority="5099" operator="containsText" text="Missing">
      <formula>NOT(ISERROR(SEARCH("Missing",K2383)))</formula>
    </cfRule>
  </conditionalFormatting>
  <conditionalFormatting sqref="J2351">
    <cfRule type="containsText" dxfId="4644" priority="4983" operator="containsText" text="Missing">
      <formula>NOT(ISERROR(SEARCH("Missing",J2351)))</formula>
    </cfRule>
  </conditionalFormatting>
  <conditionalFormatting sqref="L2429">
    <cfRule type="containsText" dxfId="4643" priority="4265" operator="containsText" text="Positive">
      <formula>NOT(ISERROR(SEARCH("Positive",L2429)))</formula>
    </cfRule>
    <cfRule type="containsText" dxfId="4642" priority="4266" operator="containsText" text="Negative">
      <formula>NOT(ISERROR(SEARCH("Negative",L2429)))</formula>
    </cfRule>
  </conditionalFormatting>
  <conditionalFormatting sqref="L2376">
    <cfRule type="containsText" dxfId="4641" priority="5188" operator="containsText" text="Positive">
      <formula>NOT(ISERROR(SEARCH("Positive",L2376)))</formula>
    </cfRule>
    <cfRule type="containsText" dxfId="4640" priority="5189" operator="containsText" text="Negative">
      <formula>NOT(ISERROR(SEARCH("Negative",L2376)))</formula>
    </cfRule>
  </conditionalFormatting>
  <conditionalFormatting sqref="H2350">
    <cfRule type="containsText" dxfId="4639" priority="4986" operator="containsText" text="Missing">
      <formula>NOT(ISERROR(SEARCH("Missing",H2350)))</formula>
    </cfRule>
  </conditionalFormatting>
  <conditionalFormatting sqref="H2383">
    <cfRule type="containsText" dxfId="4638" priority="5098" operator="containsText" text="Missing">
      <formula>NOT(ISERROR(SEARCH("Missing",H2383)))</formula>
    </cfRule>
  </conditionalFormatting>
  <conditionalFormatting sqref="H2383">
    <cfRule type="containsText" dxfId="4637" priority="5097" operator="containsText" text="Missing">
      <formula>NOT(ISERROR(SEARCH("Missing",H2383)))</formula>
    </cfRule>
  </conditionalFormatting>
  <conditionalFormatting sqref="L2376">
    <cfRule type="containsText" dxfId="4636" priority="5186" operator="containsText" text="Positive">
      <formula>NOT(ISERROR(SEARCH("Positive",L2376)))</formula>
    </cfRule>
    <cfRule type="containsText" dxfId="4635" priority="5187" operator="containsText" text="Negative">
      <formula>NOT(ISERROR(SEARCH("Negative",L2376)))</formula>
    </cfRule>
  </conditionalFormatting>
  <conditionalFormatting sqref="K2376">
    <cfRule type="containsText" dxfId="4634" priority="5180" operator="containsText" text="Missing">
      <formula>NOT(ISERROR(SEARCH("Missing",K2376)))</formula>
    </cfRule>
  </conditionalFormatting>
  <conditionalFormatting sqref="K2376">
    <cfRule type="containsText" dxfId="4633" priority="5179" operator="containsText" text="Missing">
      <formula>NOT(ISERROR(SEARCH("Missing",K2376)))</formula>
    </cfRule>
  </conditionalFormatting>
  <conditionalFormatting sqref="J2383">
    <cfRule type="containsText" dxfId="4632" priority="5103" operator="containsText" text="Missing">
      <formula>NOT(ISERROR(SEARCH("Missing",J2383)))</formula>
    </cfRule>
  </conditionalFormatting>
  <conditionalFormatting sqref="J2349">
    <cfRule type="containsText" dxfId="4631" priority="5013" operator="containsText" text="Missing">
      <formula>NOT(ISERROR(SEARCH("Missing",J2349)))</formula>
    </cfRule>
  </conditionalFormatting>
  <conditionalFormatting sqref="L2378">
    <cfRule type="containsText" dxfId="4630" priority="5177" operator="containsText" text="Positive">
      <formula>NOT(ISERROR(SEARCH("Positive",L2378)))</formula>
    </cfRule>
    <cfRule type="containsText" dxfId="4629" priority="5178" operator="containsText" text="Negative">
      <formula>NOT(ISERROR(SEARCH("Negative",L2378)))</formula>
    </cfRule>
  </conditionalFormatting>
  <conditionalFormatting sqref="K2427">
    <cfRule type="containsText" dxfId="4628" priority="4272" operator="containsText" text="Missing">
      <formula>NOT(ISERROR(SEARCH("Missing",K2427)))</formula>
    </cfRule>
  </conditionalFormatting>
  <conditionalFormatting sqref="L2381">
    <cfRule type="containsText" dxfId="4627" priority="5164" operator="containsText" text="Positive">
      <formula>NOT(ISERROR(SEARCH("Positive",L2381)))</formula>
    </cfRule>
    <cfRule type="containsText" dxfId="4626" priority="5165" operator="containsText" text="Negative">
      <formula>NOT(ISERROR(SEARCH("Negative",L2381)))</formula>
    </cfRule>
  </conditionalFormatting>
  <conditionalFormatting sqref="L2381">
    <cfRule type="containsText" dxfId="4625" priority="5162" operator="containsText" text="Positive">
      <formula>NOT(ISERROR(SEARCH("Positive",L2381)))</formula>
    </cfRule>
    <cfRule type="containsText" dxfId="4624" priority="5163" operator="containsText" text="Negative">
      <formula>NOT(ISERROR(SEARCH("Negative",L2381)))</formula>
    </cfRule>
  </conditionalFormatting>
  <conditionalFormatting sqref="K2427">
    <cfRule type="containsText" dxfId="4623" priority="4273" operator="containsText" text="Missing">
      <formula>NOT(ISERROR(SEARCH("Missing",K2427)))</formula>
    </cfRule>
  </conditionalFormatting>
  <conditionalFormatting sqref="H2351">
    <cfRule type="containsText" dxfId="4622" priority="4972" operator="containsText" text="Missing">
      <formula>NOT(ISERROR(SEARCH("Missing",H2351)))</formula>
    </cfRule>
  </conditionalFormatting>
  <conditionalFormatting sqref="K2352">
    <cfRule type="containsText" dxfId="4621" priority="4958" operator="containsText" text="Missing">
      <formula>NOT(ISERROR(SEARCH("Missing",K2352)))</formula>
    </cfRule>
  </conditionalFormatting>
  <conditionalFormatting sqref="H2352">
    <cfRule type="containsText" dxfId="4620" priority="4957" operator="containsText" text="Missing">
      <formula>NOT(ISERROR(SEARCH("Missing",H2352)))</formula>
    </cfRule>
  </conditionalFormatting>
  <conditionalFormatting sqref="H2352">
    <cfRule type="containsText" dxfId="4619" priority="4956" operator="containsText" text="Missing">
      <formula>NOT(ISERROR(SEARCH("Missing",H2352)))</formula>
    </cfRule>
  </conditionalFormatting>
  <conditionalFormatting sqref="L2349">
    <cfRule type="containsText" dxfId="4618" priority="5006" operator="containsText" text="Positive">
      <formula>NOT(ISERROR(SEARCH("Positive",L2349)))</formula>
    </cfRule>
    <cfRule type="containsText" dxfId="4617" priority="5007" operator="containsText" text="Negative">
      <formula>NOT(ISERROR(SEARCH("Negative",L2349)))</formula>
    </cfRule>
  </conditionalFormatting>
  <conditionalFormatting sqref="L2431">
    <cfRule type="containsText" dxfId="4616" priority="4215" operator="containsText" text="Positive">
      <formula>NOT(ISERROR(SEARCH("Positive",L2431)))</formula>
    </cfRule>
    <cfRule type="containsText" dxfId="4615" priority="4216" operator="containsText" text="Negative">
      <formula>NOT(ISERROR(SEARCH("Negative",L2431)))</formula>
    </cfRule>
  </conditionalFormatting>
  <conditionalFormatting sqref="L2431">
    <cfRule type="containsText" dxfId="4614" priority="4217" operator="containsText" text="Positive">
      <formula>NOT(ISERROR(SEARCH("Positive",L2431)))</formula>
    </cfRule>
    <cfRule type="containsText" dxfId="4613" priority="4218" operator="containsText" text="Negative">
      <formula>NOT(ISERROR(SEARCH("Negative",L2431)))</formula>
    </cfRule>
  </conditionalFormatting>
  <conditionalFormatting sqref="H2431">
    <cfRule type="containsText" dxfId="4612" priority="4209" operator="containsText" text="Missing">
      <formula>NOT(ISERROR(SEARCH("Missing",H2431)))</formula>
    </cfRule>
  </conditionalFormatting>
  <conditionalFormatting sqref="H2431">
    <cfRule type="containsText" dxfId="4611" priority="4208" operator="containsText" text="Missing">
      <formula>NOT(ISERROR(SEARCH("Missing",H2431)))</formula>
    </cfRule>
  </conditionalFormatting>
  <conditionalFormatting sqref="J2425">
    <cfRule type="containsText" dxfId="4610" priority="4322" operator="containsText" text="Missing">
      <formula>NOT(ISERROR(SEARCH("Missing",J2425)))</formula>
    </cfRule>
  </conditionalFormatting>
  <conditionalFormatting sqref="I2428">
    <cfRule type="containsText" dxfId="4609" priority="4207" operator="containsText" text="Missing">
      <formula>NOT(ISERROR(SEARCH("Missing",I2428)))</formula>
    </cfRule>
  </conditionalFormatting>
  <conditionalFormatting sqref="L2350">
    <cfRule type="containsText" dxfId="4608" priority="4994" operator="containsText" text="Positive">
      <formula>NOT(ISERROR(SEARCH("Positive",L2350)))</formula>
    </cfRule>
    <cfRule type="containsText" dxfId="4607" priority="4995" operator="containsText" text="Negative">
      <formula>NOT(ISERROR(SEARCH("Negative",L2350)))</formula>
    </cfRule>
  </conditionalFormatting>
  <conditionalFormatting sqref="L2427">
    <cfRule type="containsText" dxfId="4606" priority="4278" operator="containsText" text="Positive">
      <formula>NOT(ISERROR(SEARCH("Positive",L2427)))</formula>
    </cfRule>
    <cfRule type="containsText" dxfId="4605" priority="4279" operator="containsText" text="Negative">
      <formula>NOT(ISERROR(SEARCH("Negative",L2427)))</formula>
    </cfRule>
  </conditionalFormatting>
  <conditionalFormatting sqref="L2382">
    <cfRule type="containsText" dxfId="4604" priority="5093" operator="containsText" text="Positive">
      <formula>NOT(ISERROR(SEARCH("Positive",L2382)))</formula>
    </cfRule>
    <cfRule type="containsText" dxfId="4603" priority="5094" operator="containsText" text="Negative">
      <formula>NOT(ISERROR(SEARCH("Negative",L2382)))</formula>
    </cfRule>
  </conditionalFormatting>
  <conditionalFormatting sqref="K2350">
    <cfRule type="containsText" dxfId="4602" priority="4989" operator="containsText" text="Missing">
      <formula>NOT(ISERROR(SEARCH("Missing",K2350)))</formula>
    </cfRule>
  </conditionalFormatting>
  <conditionalFormatting sqref="K2350">
    <cfRule type="containsText" dxfId="4601" priority="4988" operator="containsText" text="Missing">
      <formula>NOT(ISERROR(SEARCH("Missing",K2350)))</formula>
    </cfRule>
  </conditionalFormatting>
  <conditionalFormatting sqref="I2351">
    <cfRule type="containsText" dxfId="4600" priority="4970" operator="containsText" text="Missing">
      <formula>NOT(ISERROR(SEARCH("Missing",I2351)))</formula>
    </cfRule>
  </conditionalFormatting>
  <conditionalFormatting sqref="L2376">
    <cfRule type="containsText" dxfId="4599" priority="5184" operator="containsText" text="Positive">
      <formula>NOT(ISERROR(SEARCH("Positive",L2376)))</formula>
    </cfRule>
    <cfRule type="containsText" dxfId="4598" priority="5185" operator="containsText" text="Negative">
      <formula>NOT(ISERROR(SEARCH("Negative",L2376)))</formula>
    </cfRule>
  </conditionalFormatting>
  <conditionalFormatting sqref="L2351">
    <cfRule type="containsText" dxfId="4597" priority="4981" operator="containsText" text="Positive">
      <formula>NOT(ISERROR(SEARCH("Positive",L2351)))</formula>
    </cfRule>
    <cfRule type="containsText" dxfId="4596" priority="4982" operator="containsText" text="Negative">
      <formula>NOT(ISERROR(SEARCH("Negative",L2351)))</formula>
    </cfRule>
  </conditionalFormatting>
  <conditionalFormatting sqref="H2428">
    <cfRule type="containsText" dxfId="4595" priority="4234" operator="containsText" text="Missing">
      <formula>NOT(ISERROR(SEARCH("Missing",H2428)))</formula>
    </cfRule>
  </conditionalFormatting>
  <conditionalFormatting sqref="K2351">
    <cfRule type="containsText" dxfId="4594" priority="4975" operator="containsText" text="Missing">
      <formula>NOT(ISERROR(SEARCH("Missing",K2351)))</formula>
    </cfRule>
  </conditionalFormatting>
  <conditionalFormatting sqref="H2435">
    <cfRule type="containsText" dxfId="4593" priority="4303" operator="containsText" text="Missing">
      <formula>NOT(ISERROR(SEARCH("Missing",H2435)))</formula>
    </cfRule>
  </conditionalFormatting>
  <conditionalFormatting sqref="I2382">
    <cfRule type="containsText" dxfId="4592" priority="5082" operator="containsText" text="Missing">
      <formula>NOT(ISERROR(SEARCH("Missing",I2382)))</formula>
    </cfRule>
  </conditionalFormatting>
  <conditionalFormatting sqref="H2436">
    <cfRule type="containsText" dxfId="4591" priority="4284" operator="containsText" text="Missing">
      <formula>NOT(ISERROR(SEARCH("Missing",H2436)))</formula>
    </cfRule>
  </conditionalFormatting>
  <conditionalFormatting sqref="I2422">
    <cfRule type="containsText" dxfId="4590" priority="4302" operator="containsText" text="Missing">
      <formula>NOT(ISERROR(SEARCH("Missing",I2422)))</formula>
    </cfRule>
  </conditionalFormatting>
  <conditionalFormatting sqref="I2424">
    <cfRule type="containsText" dxfId="4589" priority="4301" operator="containsText" text="Missing">
      <formula>NOT(ISERROR(SEARCH("Missing",I2424)))</formula>
    </cfRule>
  </conditionalFormatting>
  <conditionalFormatting sqref="H2382">
    <cfRule type="containsText" dxfId="4588" priority="5084" operator="containsText" text="Missing">
      <formula>NOT(ISERROR(SEARCH("Missing",H2382)))</formula>
    </cfRule>
  </conditionalFormatting>
  <conditionalFormatting sqref="I2383">
    <cfRule type="containsText" dxfId="4587" priority="5083" operator="containsText" text="Missing">
      <formula>NOT(ISERROR(SEARCH("Missing",I2383)))</formula>
    </cfRule>
  </conditionalFormatting>
  <conditionalFormatting sqref="L2377">
    <cfRule type="containsText" dxfId="4586" priority="5153" operator="containsText" text="Positive">
      <formula>NOT(ISERROR(SEARCH("Positive",L2377)))</formula>
    </cfRule>
    <cfRule type="containsText" dxfId="4585" priority="5154" operator="containsText" text="Negative">
      <formula>NOT(ISERROR(SEARCH("Negative",L2377)))</formula>
    </cfRule>
  </conditionalFormatting>
  <conditionalFormatting sqref="L2383">
    <cfRule type="containsText" dxfId="4584" priority="5104" operator="containsText" text="Positive">
      <formula>NOT(ISERROR(SEARCH("Positive",L2383)))</formula>
    </cfRule>
    <cfRule type="containsText" dxfId="4583" priority="5105" operator="containsText" text="Negative">
      <formula>NOT(ISERROR(SEARCH("Negative",L2383)))</formula>
    </cfRule>
  </conditionalFormatting>
  <conditionalFormatting sqref="H2436">
    <cfRule type="containsText" dxfId="4582" priority="4283" operator="containsText" text="Missing">
      <formula>NOT(ISERROR(SEARCH("Missing",H2436)))</formula>
    </cfRule>
  </conditionalFormatting>
  <conditionalFormatting sqref="H2436">
    <cfRule type="containsText" dxfId="4581" priority="4282" operator="containsText" text="Missing">
      <formula>NOT(ISERROR(SEARCH("Missing",H2436)))</formula>
    </cfRule>
  </conditionalFormatting>
  <conditionalFormatting sqref="J2436">
    <cfRule type="containsText" dxfId="4580" priority="4290" operator="containsText" text="Missing">
      <formula>NOT(ISERROR(SEARCH("Missing",J2436)))</formula>
    </cfRule>
  </conditionalFormatting>
  <conditionalFormatting sqref="L2352">
    <cfRule type="containsText" dxfId="4579" priority="4966" operator="containsText" text="Positive">
      <formula>NOT(ISERROR(SEARCH("Positive",L2352)))</formula>
    </cfRule>
    <cfRule type="containsText" dxfId="4578" priority="4967" operator="containsText" text="Negative">
      <formula>NOT(ISERROR(SEARCH("Negative",L2352)))</formula>
    </cfRule>
  </conditionalFormatting>
  <conditionalFormatting sqref="L2352">
    <cfRule type="containsText" dxfId="4577" priority="4964" operator="containsText" text="Positive">
      <formula>NOT(ISERROR(SEARCH("Positive",L2352)))</formula>
    </cfRule>
    <cfRule type="containsText" dxfId="4576" priority="4965" operator="containsText" text="Negative">
      <formula>NOT(ISERROR(SEARCH("Negative",L2352)))</formula>
    </cfRule>
  </conditionalFormatting>
  <conditionalFormatting sqref="J2435">
    <cfRule type="containsText" dxfId="4575" priority="4310" operator="containsText" text="Missing">
      <formula>NOT(ISERROR(SEARCH("Missing",J2435)))</formula>
    </cfRule>
  </conditionalFormatting>
  <conditionalFormatting sqref="J2425">
    <cfRule type="containsText" dxfId="4574" priority="4323" operator="containsText" text="Missing">
      <formula>NOT(ISERROR(SEARCH("Missing",J2425)))</formula>
    </cfRule>
  </conditionalFormatting>
  <conditionalFormatting sqref="I2421">
    <cfRule type="containsText" dxfId="4573" priority="4299" operator="containsText" text="Missing">
      <formula>NOT(ISERROR(SEARCH("Missing",I2421)))</formula>
    </cfRule>
  </conditionalFormatting>
  <conditionalFormatting sqref="I2351">
    <cfRule type="containsText" dxfId="4572" priority="4969" operator="containsText" text="Missing">
      <formula>NOT(ISERROR(SEARCH("Missing",I2351)))</formula>
    </cfRule>
  </conditionalFormatting>
  <conditionalFormatting sqref="K2427">
    <cfRule type="containsText" dxfId="4571" priority="4271" operator="containsText" text="Missing">
      <formula>NOT(ISERROR(SEARCH("Missing",K2427)))</formula>
    </cfRule>
  </conditionalFormatting>
  <conditionalFormatting sqref="K2430">
    <cfRule type="containsText" dxfId="4570" priority="4223" operator="containsText" text="Missing">
      <formula>NOT(ISERROR(SEARCH("Missing",K2430)))</formula>
    </cfRule>
  </conditionalFormatting>
  <conditionalFormatting sqref="K2430">
    <cfRule type="containsText" dxfId="4569" priority="4224" operator="containsText" text="Missing">
      <formula>NOT(ISERROR(SEARCH("Missing",K2430)))</formula>
    </cfRule>
  </conditionalFormatting>
  <conditionalFormatting sqref="K2430">
    <cfRule type="containsText" dxfId="4568" priority="4225" operator="containsText" text="Missing">
      <formula>NOT(ISERROR(SEARCH("Missing",K2430)))</formula>
    </cfRule>
  </conditionalFormatting>
  <conditionalFormatting sqref="L2427">
    <cfRule type="containsText" dxfId="4567" priority="4276" operator="containsText" text="Positive">
      <formula>NOT(ISERROR(SEARCH("Positive",L2427)))</formula>
    </cfRule>
    <cfRule type="containsText" dxfId="4566" priority="4277" operator="containsText" text="Negative">
      <formula>NOT(ISERROR(SEARCH("Negative",L2427)))</formula>
    </cfRule>
  </conditionalFormatting>
  <conditionalFormatting sqref="I2426">
    <cfRule type="containsText" dxfId="4565" priority="4300" operator="containsText" text="Missing">
      <formula>NOT(ISERROR(SEARCH("Missing",I2426)))</formula>
    </cfRule>
  </conditionalFormatting>
  <conditionalFormatting sqref="H2430">
    <cfRule type="containsText" dxfId="4564" priority="4222" operator="containsText" text="Missing">
      <formula>NOT(ISERROR(SEARCH("Missing",H2430)))</formula>
    </cfRule>
  </conditionalFormatting>
  <conditionalFormatting sqref="J2349">
    <cfRule type="containsText" dxfId="4563" priority="5008" operator="containsText" text="Missing">
      <formula>NOT(ISERROR(SEARCH("Missing",J2349)))</formula>
    </cfRule>
  </conditionalFormatting>
  <conditionalFormatting sqref="K2429">
    <cfRule type="containsText" dxfId="4562" priority="4260" operator="containsText" text="Missing">
      <formula>NOT(ISERROR(SEARCH("Missing",K2429)))</formula>
    </cfRule>
  </conditionalFormatting>
  <conditionalFormatting sqref="I2436">
    <cfRule type="containsText" dxfId="4561" priority="4285" operator="containsText" text="Missing">
      <formula>NOT(ISERROR(SEARCH("Missing",I2436)))</formula>
    </cfRule>
  </conditionalFormatting>
  <conditionalFormatting sqref="J2357">
    <cfRule type="containsText" dxfId="4560" priority="4813" operator="containsText" text="Missing">
      <formula>NOT(ISERROR(SEARCH("Missing",J2357)))</formula>
    </cfRule>
  </conditionalFormatting>
  <conditionalFormatting sqref="J2365">
    <cfRule type="containsText" dxfId="4559" priority="4743" operator="containsText" text="Missing">
      <formula>NOT(ISERROR(SEARCH("Missing",J2365)))</formula>
    </cfRule>
  </conditionalFormatting>
  <conditionalFormatting sqref="K2349">
    <cfRule type="containsText" dxfId="4558" priority="5003" operator="containsText" text="Missing">
      <formula>NOT(ISERROR(SEARCH("Missing",K2349)))</formula>
    </cfRule>
  </conditionalFormatting>
  <conditionalFormatting sqref="K2349">
    <cfRule type="containsText" dxfId="4557" priority="5004" operator="containsText" text="Missing">
      <formula>NOT(ISERROR(SEARCH("Missing",K2349)))</formula>
    </cfRule>
  </conditionalFormatting>
  <conditionalFormatting sqref="K2357">
    <cfRule type="containsText" dxfId="4556" priority="4809" operator="containsText" text="Missing">
      <formula>NOT(ISERROR(SEARCH("Missing",K2357)))</formula>
    </cfRule>
  </conditionalFormatting>
  <conditionalFormatting sqref="I2430">
    <cfRule type="containsText" dxfId="4555" priority="4206" operator="containsText" text="Missing">
      <formula>NOT(ISERROR(SEARCH("Missing",I2430)))</formula>
    </cfRule>
  </conditionalFormatting>
  <conditionalFormatting sqref="K2350">
    <cfRule type="containsText" dxfId="4554" priority="4990" operator="containsText" text="Missing">
      <formula>NOT(ISERROR(SEARCH("Missing",K2350)))</formula>
    </cfRule>
  </conditionalFormatting>
  <conditionalFormatting sqref="K2357">
    <cfRule type="containsText" dxfId="4553" priority="4810" operator="containsText" text="Missing">
      <formula>NOT(ISERROR(SEARCH("Missing",K2357)))</formula>
    </cfRule>
  </conditionalFormatting>
  <conditionalFormatting sqref="H2427 H2429 H2432">
    <cfRule type="containsText" dxfId="4552" priority="4247" operator="containsText" text="Missing">
      <formula>NOT(ISERROR(SEARCH("Missing",H2427)))</formula>
    </cfRule>
  </conditionalFormatting>
  <conditionalFormatting sqref="L2350">
    <cfRule type="containsText" dxfId="4551" priority="4991" operator="containsText" text="Positive">
      <formula>NOT(ISERROR(SEARCH("Positive",L2350)))</formula>
    </cfRule>
    <cfRule type="containsText" dxfId="4550" priority="4992" operator="containsText" text="Negative">
      <formula>NOT(ISERROR(SEARCH("Negative",L2350)))</formula>
    </cfRule>
  </conditionalFormatting>
  <conditionalFormatting sqref="L2350">
    <cfRule type="containsText" dxfId="4549" priority="4996" operator="containsText" text="Positive">
      <formula>NOT(ISERROR(SEARCH("Positive",L2350)))</formula>
    </cfRule>
    <cfRule type="containsText" dxfId="4548" priority="4997" operator="containsText" text="Negative">
      <formula>NOT(ISERROR(SEARCH("Negative",L2350)))</formula>
    </cfRule>
  </conditionalFormatting>
  <conditionalFormatting sqref="K2431">
    <cfRule type="containsText" dxfId="4547" priority="4211" operator="containsText" text="Missing">
      <formula>NOT(ISERROR(SEARCH("Missing",K2431)))</formula>
    </cfRule>
  </conditionalFormatting>
  <conditionalFormatting sqref="J2351">
    <cfRule type="containsText" dxfId="4546" priority="4978" operator="containsText" text="Missing">
      <formula>NOT(ISERROR(SEARCH("Missing",J2351)))</formula>
    </cfRule>
  </conditionalFormatting>
  <conditionalFormatting sqref="L2351">
    <cfRule type="containsText" dxfId="4545" priority="4976" operator="containsText" text="Positive">
      <formula>NOT(ISERROR(SEARCH("Positive",L2351)))</formula>
    </cfRule>
    <cfRule type="containsText" dxfId="4544" priority="4977" operator="containsText" text="Negative">
      <formula>NOT(ISERROR(SEARCH("Negative",L2351)))</formula>
    </cfRule>
  </conditionalFormatting>
  <conditionalFormatting sqref="J2430">
    <cfRule type="containsText" dxfId="4543" priority="4227" operator="containsText" text="Missing">
      <formula>NOT(ISERROR(SEARCH("Missing",J2430)))</formula>
    </cfRule>
  </conditionalFormatting>
  <conditionalFormatting sqref="J2436">
    <cfRule type="containsText" dxfId="4542" priority="4289" operator="containsText" text="Missing">
      <formula>NOT(ISERROR(SEARCH("Missing",J2436)))</formula>
    </cfRule>
  </conditionalFormatting>
  <conditionalFormatting sqref="K2436">
    <cfRule type="containsText" dxfId="4541" priority="4288" operator="containsText" text="Missing">
      <formula>NOT(ISERROR(SEARCH("Missing",K2436)))</formula>
    </cfRule>
  </conditionalFormatting>
  <conditionalFormatting sqref="L2352">
    <cfRule type="containsText" dxfId="4540" priority="4961" operator="containsText" text="Positive">
      <formula>NOT(ISERROR(SEARCH("Positive",L2352)))</formula>
    </cfRule>
    <cfRule type="containsText" dxfId="4539" priority="4962" operator="containsText" text="Negative">
      <formula>NOT(ISERROR(SEARCH("Negative",L2352)))</formula>
    </cfRule>
  </conditionalFormatting>
  <conditionalFormatting sqref="L2436">
    <cfRule type="containsText" dxfId="4538" priority="4295" operator="containsText" text="Positive">
      <formula>NOT(ISERROR(SEARCH("Positive",L2436)))</formula>
    </cfRule>
    <cfRule type="containsText" dxfId="4537" priority="4296" operator="containsText" text="Negative">
      <formula>NOT(ISERROR(SEARCH("Negative",L2436)))</formula>
    </cfRule>
  </conditionalFormatting>
  <conditionalFormatting sqref="L2436">
    <cfRule type="containsText" dxfId="4536" priority="4293" operator="containsText" text="Positive">
      <formula>NOT(ISERROR(SEARCH("Positive",L2436)))</formula>
    </cfRule>
    <cfRule type="containsText" dxfId="4535" priority="4294" operator="containsText" text="Negative">
      <formula>NOT(ISERROR(SEARCH("Negative",L2436)))</formula>
    </cfRule>
  </conditionalFormatting>
  <conditionalFormatting sqref="J2352">
    <cfRule type="containsText" dxfId="4534" priority="4968" operator="containsText" text="Missing">
      <formula>NOT(ISERROR(SEARCH("Missing",J2352)))</formula>
    </cfRule>
  </conditionalFormatting>
  <conditionalFormatting sqref="K2436">
    <cfRule type="containsText" dxfId="4533" priority="4287" operator="containsText" text="Missing">
      <formula>NOT(ISERROR(SEARCH("Missing",K2436)))</formula>
    </cfRule>
  </conditionalFormatting>
  <conditionalFormatting sqref="K2436">
    <cfRule type="containsText" dxfId="4532" priority="4286" operator="containsText" text="Missing">
      <formula>NOT(ISERROR(SEARCH("Missing",K2436)))</formula>
    </cfRule>
  </conditionalFormatting>
  <conditionalFormatting sqref="J2431">
    <cfRule type="containsText" dxfId="4531" priority="4214" operator="containsText" text="Missing">
      <formula>NOT(ISERROR(SEARCH("Missing",J2431)))</formula>
    </cfRule>
  </conditionalFormatting>
  <conditionalFormatting sqref="H2356">
    <cfRule type="containsText" dxfId="4530" priority="4821" operator="containsText" text="Missing">
      <formula>NOT(ISERROR(SEARCH("Missing",H2356)))</formula>
    </cfRule>
  </conditionalFormatting>
  <conditionalFormatting sqref="H2356">
    <cfRule type="containsText" dxfId="4529" priority="4822" operator="containsText" text="Missing">
      <formula>NOT(ISERROR(SEARCH("Missing",H2356)))</formula>
    </cfRule>
  </conditionalFormatting>
  <conditionalFormatting sqref="K2349">
    <cfRule type="containsText" dxfId="4528" priority="5005" operator="containsText" text="Missing">
      <formula>NOT(ISERROR(SEARCH("Missing",K2349)))</formula>
    </cfRule>
  </conditionalFormatting>
  <conditionalFormatting sqref="H2430">
    <cfRule type="containsText" dxfId="4527" priority="4221" operator="containsText" text="Missing">
      <formula>NOT(ISERROR(SEARCH("Missing",H2430)))</formula>
    </cfRule>
  </conditionalFormatting>
  <conditionalFormatting sqref="K2364">
    <cfRule type="containsText" dxfId="4526" priority="4750" operator="containsText" text="Missing">
      <formula>NOT(ISERROR(SEARCH("Missing",K2364)))</formula>
    </cfRule>
  </conditionalFormatting>
  <conditionalFormatting sqref="L2431">
    <cfRule type="containsText" dxfId="4525" priority="4219" operator="containsText" text="Positive">
      <formula>NOT(ISERROR(SEARCH("Positive",L2431)))</formula>
    </cfRule>
    <cfRule type="containsText" dxfId="4524" priority="4220" operator="containsText" text="Negative">
      <formula>NOT(ISERROR(SEARCH("Negative",L2431)))</formula>
    </cfRule>
  </conditionalFormatting>
  <conditionalFormatting sqref="L2349">
    <cfRule type="containsText" dxfId="4523" priority="5011" operator="containsText" text="Positive">
      <formula>NOT(ISERROR(SEARCH("Positive",L2349)))</formula>
    </cfRule>
    <cfRule type="containsText" dxfId="4522" priority="5012" operator="containsText" text="Negative">
      <formula>NOT(ISERROR(SEARCH("Negative",L2349)))</formula>
    </cfRule>
  </conditionalFormatting>
  <conditionalFormatting sqref="L2349">
    <cfRule type="containsText" dxfId="4521" priority="5009" operator="containsText" text="Positive">
      <formula>NOT(ISERROR(SEARCH("Positive",L2349)))</formula>
    </cfRule>
    <cfRule type="containsText" dxfId="4520" priority="5010" operator="containsText" text="Negative">
      <formula>NOT(ISERROR(SEARCH("Negative",L2349)))</formula>
    </cfRule>
  </conditionalFormatting>
  <conditionalFormatting sqref="J2430">
    <cfRule type="containsText" dxfId="4519" priority="4226" operator="containsText" text="Missing">
      <formula>NOT(ISERROR(SEARCH("Missing",J2430)))</formula>
    </cfRule>
  </conditionalFormatting>
  <conditionalFormatting sqref="I2356">
    <cfRule type="containsText" dxfId="4518" priority="4820" operator="containsText" text="Missing">
      <formula>NOT(ISERROR(SEARCH("Missing",I2356)))</formula>
    </cfRule>
  </conditionalFormatting>
  <conditionalFormatting sqref="I2356">
    <cfRule type="containsText" dxfId="4517" priority="4819" operator="containsText" text="Missing">
      <formula>NOT(ISERROR(SEARCH("Missing",I2356)))</formula>
    </cfRule>
  </conditionalFormatting>
  <conditionalFormatting sqref="J2357">
    <cfRule type="containsText" dxfId="4516" priority="4818" operator="containsText" text="Missing">
      <formula>NOT(ISERROR(SEARCH("Missing",J2357)))</formula>
    </cfRule>
  </conditionalFormatting>
  <conditionalFormatting sqref="K2431">
    <cfRule type="containsText" dxfId="4515" priority="4212" operator="containsText" text="Missing">
      <formula>NOT(ISERROR(SEARCH("Missing",K2431)))</formula>
    </cfRule>
  </conditionalFormatting>
  <conditionalFormatting sqref="J2431">
    <cfRule type="containsText" dxfId="4514" priority="4213" operator="containsText" text="Missing">
      <formula>NOT(ISERROR(SEARCH("Missing",J2431)))</formula>
    </cfRule>
  </conditionalFormatting>
  <conditionalFormatting sqref="J2363">
    <cfRule type="containsText" dxfId="4513" priority="4768" operator="containsText" text="Missing">
      <formula>NOT(ISERROR(SEARCH("Missing",J2363)))</formula>
    </cfRule>
  </conditionalFormatting>
  <conditionalFormatting sqref="J2392">
    <cfRule type="containsText" dxfId="4512" priority="4610" operator="containsText" text="Missing">
      <formula>NOT(ISERROR(SEARCH("Missing",J2392)))</formula>
    </cfRule>
  </conditionalFormatting>
  <conditionalFormatting sqref="K2387">
    <cfRule type="containsText" dxfId="4511" priority="4677" operator="containsText" text="Missing">
      <formula>NOT(ISERROR(SEARCH("Missing",K2387)))</formula>
    </cfRule>
  </conditionalFormatting>
  <conditionalFormatting sqref="L2363">
    <cfRule type="containsText" dxfId="4510" priority="4769" operator="containsText" text="Positive">
      <formula>NOT(ISERROR(SEARCH("Positive",L2363)))</formula>
    </cfRule>
    <cfRule type="containsText" dxfId="4509" priority="4770" operator="containsText" text="Negative">
      <formula>NOT(ISERROR(SEARCH("Negative",L2363)))</formula>
    </cfRule>
  </conditionalFormatting>
  <conditionalFormatting sqref="L2358">
    <cfRule type="containsText" dxfId="4508" priority="4801" operator="containsText" text="Positive">
      <formula>NOT(ISERROR(SEARCH("Positive",L2358)))</formula>
    </cfRule>
    <cfRule type="containsText" dxfId="4507" priority="4802" operator="containsText" text="Negative">
      <formula>NOT(ISERROR(SEARCH("Negative",L2358)))</formula>
    </cfRule>
  </conditionalFormatting>
  <conditionalFormatting sqref="H2359">
    <cfRule type="containsText" dxfId="4506" priority="4776" operator="containsText" text="Missing">
      <formula>NOT(ISERROR(SEARCH("Missing",H2359)))</formula>
    </cfRule>
  </conditionalFormatting>
  <conditionalFormatting sqref="K2358">
    <cfRule type="containsText" dxfId="4505" priority="4795" operator="containsText" text="Missing">
      <formula>NOT(ISERROR(SEARCH("Missing",K2358)))</formula>
    </cfRule>
  </conditionalFormatting>
  <conditionalFormatting sqref="K2358">
    <cfRule type="containsText" dxfId="4504" priority="4794" operator="containsText" text="Missing">
      <formula>NOT(ISERROR(SEARCH("Missing",K2358)))</formula>
    </cfRule>
  </conditionalFormatting>
  <conditionalFormatting sqref="K2358">
    <cfRule type="containsText" dxfId="4503" priority="4793" operator="containsText" text="Missing">
      <formula>NOT(ISERROR(SEARCH("Missing",K2358)))</formula>
    </cfRule>
  </conditionalFormatting>
  <conditionalFormatting sqref="H2358">
    <cfRule type="containsText" dxfId="4502" priority="4791" operator="containsText" text="Missing">
      <formula>NOT(ISERROR(SEARCH("Missing",H2358)))</formula>
    </cfRule>
  </conditionalFormatting>
  <conditionalFormatting sqref="H2358">
    <cfRule type="containsText" dxfId="4501" priority="4792" operator="containsText" text="Missing">
      <formula>NOT(ISERROR(SEARCH("Missing",H2358)))</formula>
    </cfRule>
  </conditionalFormatting>
  <conditionalFormatting sqref="J2364">
    <cfRule type="containsText" dxfId="4500" priority="4753" operator="containsText" text="Missing">
      <formula>NOT(ISERROR(SEARCH("Missing",J2364)))</formula>
    </cfRule>
  </conditionalFormatting>
  <conditionalFormatting sqref="I2357">
    <cfRule type="containsText" dxfId="4499" priority="4711" operator="containsText" text="Missing">
      <formula>NOT(ISERROR(SEARCH("Missing",I2357)))</formula>
    </cfRule>
  </conditionalFormatting>
  <conditionalFormatting sqref="I2359">
    <cfRule type="containsText" dxfId="4498" priority="4707" operator="containsText" text="Missing">
      <formula>NOT(ISERROR(SEARCH("Missing",I2359)))</formula>
    </cfRule>
  </conditionalFormatting>
  <conditionalFormatting sqref="L2364">
    <cfRule type="containsText" dxfId="4497" priority="4754" operator="containsText" text="Positive">
      <formula>NOT(ISERROR(SEARCH("Positive",L2364)))</formula>
    </cfRule>
    <cfRule type="containsText" dxfId="4496" priority="4755" operator="containsText" text="Negative">
      <formula>NOT(ISERROR(SEARCH("Negative",L2364)))</formula>
    </cfRule>
  </conditionalFormatting>
  <conditionalFormatting sqref="L2388">
    <cfRule type="containsText" dxfId="4495" priority="4669" operator="containsText" text="Positive">
      <formula>NOT(ISERROR(SEARCH("Positive",L2388)))</formula>
    </cfRule>
    <cfRule type="containsText" dxfId="4494" priority="4670" operator="containsText" text="Negative">
      <formula>NOT(ISERROR(SEARCH("Negative",L2388)))</formula>
    </cfRule>
  </conditionalFormatting>
  <conditionalFormatting sqref="L2359">
    <cfRule type="containsText" dxfId="4493" priority="4786" operator="containsText" text="Positive">
      <formula>NOT(ISERROR(SEARCH("Positive",L2359)))</formula>
    </cfRule>
    <cfRule type="containsText" dxfId="4492" priority="4787" operator="containsText" text="Negative">
      <formula>NOT(ISERROR(SEARCH("Negative",L2359)))</formula>
    </cfRule>
  </conditionalFormatting>
  <conditionalFormatting sqref="H2363">
    <cfRule type="containsText" dxfId="4491" priority="4761" operator="containsText" text="Missing">
      <formula>NOT(ISERROR(SEARCH("Missing",H2363)))</formula>
    </cfRule>
  </conditionalFormatting>
  <conditionalFormatting sqref="K2359">
    <cfRule type="containsText" dxfId="4490" priority="4780" operator="containsText" text="Missing">
      <formula>NOT(ISERROR(SEARCH("Missing",K2359)))</formula>
    </cfRule>
  </conditionalFormatting>
  <conditionalFormatting sqref="K2359">
    <cfRule type="containsText" dxfId="4489" priority="4779" operator="containsText" text="Missing">
      <formula>NOT(ISERROR(SEARCH("Missing",K2359)))</formula>
    </cfRule>
  </conditionalFormatting>
  <conditionalFormatting sqref="K2359">
    <cfRule type="containsText" dxfId="4488" priority="4778" operator="containsText" text="Missing">
      <formula>NOT(ISERROR(SEARCH("Missing",K2359)))</formula>
    </cfRule>
  </conditionalFormatting>
  <conditionalFormatting sqref="H2365">
    <cfRule type="containsText" dxfId="4487" priority="4731" operator="containsText" text="Missing">
      <formula>NOT(ISERROR(SEARCH("Missing",H2365)))</formula>
    </cfRule>
  </conditionalFormatting>
  <conditionalFormatting sqref="H2359">
    <cfRule type="containsText" dxfId="4486" priority="4777" operator="containsText" text="Missing">
      <formula>NOT(ISERROR(SEARCH("Missing",H2359)))</formula>
    </cfRule>
  </conditionalFormatting>
  <conditionalFormatting sqref="J2365">
    <cfRule type="containsText" dxfId="4485" priority="4738" operator="containsText" text="Missing">
      <formula>NOT(ISERROR(SEARCH("Missing",J2365)))</formula>
    </cfRule>
  </conditionalFormatting>
  <conditionalFormatting sqref="I2389">
    <cfRule type="containsText" dxfId="4484" priority="4651" operator="containsText" text="Missing">
      <formula>NOT(ISERROR(SEARCH("Missing",I2389)))</formula>
    </cfRule>
  </conditionalFormatting>
  <conditionalFormatting sqref="J2386">
    <cfRule type="containsText" dxfId="4483" priority="4692" operator="containsText" text="Missing">
      <formula>NOT(ISERROR(SEARCH("Missing",J2386)))</formula>
    </cfRule>
  </conditionalFormatting>
  <conditionalFormatting sqref="L2365">
    <cfRule type="containsText" dxfId="4482" priority="4739" operator="containsText" text="Positive">
      <formula>NOT(ISERROR(SEARCH("Positive",L2365)))</formula>
    </cfRule>
    <cfRule type="containsText" dxfId="4481" priority="4740" operator="containsText" text="Negative">
      <formula>NOT(ISERROR(SEARCH("Negative",L2365)))</formula>
    </cfRule>
  </conditionalFormatting>
  <conditionalFormatting sqref="L2363">
    <cfRule type="containsText" dxfId="4480" priority="4771" operator="containsText" text="Positive">
      <formula>NOT(ISERROR(SEARCH("Positive",L2363)))</formula>
    </cfRule>
    <cfRule type="containsText" dxfId="4479" priority="4772" operator="containsText" text="Negative">
      <formula>NOT(ISERROR(SEARCH("Negative",L2363)))</formula>
    </cfRule>
  </conditionalFormatting>
  <conditionalFormatting sqref="H2364">
    <cfRule type="containsText" dxfId="4478" priority="4746" operator="containsText" text="Missing">
      <formula>NOT(ISERROR(SEARCH("Missing",H2364)))</formula>
    </cfRule>
  </conditionalFormatting>
  <conditionalFormatting sqref="K2363">
    <cfRule type="containsText" dxfId="4477" priority="4765" operator="containsText" text="Missing">
      <formula>NOT(ISERROR(SEARCH("Missing",K2363)))</formula>
    </cfRule>
  </conditionalFormatting>
  <conditionalFormatting sqref="J2356">
    <cfRule type="containsText" dxfId="4476" priority="4828" operator="containsText" text="Missing">
      <formula>NOT(ISERROR(SEARCH("Missing",J2356)))</formula>
    </cfRule>
  </conditionalFormatting>
  <conditionalFormatting sqref="K2363">
    <cfRule type="containsText" dxfId="4475" priority="4763" operator="containsText" text="Missing">
      <formula>NOT(ISERROR(SEARCH("Missing",K2363)))</formula>
    </cfRule>
  </conditionalFormatting>
  <conditionalFormatting sqref="K2356">
    <cfRule type="containsText" dxfId="4474" priority="4825" operator="containsText" text="Missing">
      <formula>NOT(ISERROR(SEARCH("Missing",K2356)))</formula>
    </cfRule>
  </conditionalFormatting>
  <conditionalFormatting sqref="H2363">
    <cfRule type="containsText" dxfId="4473" priority="4762" operator="containsText" text="Missing">
      <formula>NOT(ISERROR(SEARCH("Missing",H2363)))</formula>
    </cfRule>
  </conditionalFormatting>
  <conditionalFormatting sqref="H2366">
    <cfRule type="containsText" dxfId="4472" priority="4716" operator="containsText" text="Missing">
      <formula>NOT(ISERROR(SEARCH("Missing",H2366)))</formula>
    </cfRule>
  </conditionalFormatting>
  <conditionalFormatting sqref="K2363">
    <cfRule type="containsText" dxfId="4471" priority="4764" operator="containsText" text="Missing">
      <formula>NOT(ISERROR(SEARCH("Missing",K2363)))</formula>
    </cfRule>
  </conditionalFormatting>
  <conditionalFormatting sqref="K2356">
    <cfRule type="containsText" dxfId="4470" priority="4824" operator="containsText" text="Missing">
      <formula>NOT(ISERROR(SEARCH("Missing",K2356)))</formula>
    </cfRule>
  </conditionalFormatting>
  <conditionalFormatting sqref="L2356">
    <cfRule type="containsText" dxfId="4469" priority="4826" operator="containsText" text="Positive">
      <formula>NOT(ISERROR(SEARCH("Positive",L2356)))</formula>
    </cfRule>
    <cfRule type="containsText" dxfId="4468" priority="4827" operator="containsText" text="Negative">
      <formula>NOT(ISERROR(SEARCH("Negative",L2356)))</formula>
    </cfRule>
  </conditionalFormatting>
  <conditionalFormatting sqref="L2356">
    <cfRule type="containsText" dxfId="4467" priority="4831" operator="containsText" text="Positive">
      <formula>NOT(ISERROR(SEARCH("Positive",L2356)))</formula>
    </cfRule>
    <cfRule type="containsText" dxfId="4466" priority="4832" operator="containsText" text="Negative">
      <formula>NOT(ISERROR(SEARCH("Negative",L2356)))</formula>
    </cfRule>
  </conditionalFormatting>
  <conditionalFormatting sqref="L2356">
    <cfRule type="containsText" dxfId="4465" priority="4829" operator="containsText" text="Positive">
      <formula>NOT(ISERROR(SEARCH("Positive",L2356)))</formula>
    </cfRule>
    <cfRule type="containsText" dxfId="4464" priority="4830" operator="containsText" text="Negative">
      <formula>NOT(ISERROR(SEARCH("Negative",L2356)))</formula>
    </cfRule>
  </conditionalFormatting>
  <conditionalFormatting sqref="J2356">
    <cfRule type="containsText" dxfId="4463" priority="4833" operator="containsText" text="Missing">
      <formula>NOT(ISERROR(SEARCH("Missing",J2356)))</formula>
    </cfRule>
  </conditionalFormatting>
  <conditionalFormatting sqref="K2356">
    <cfRule type="containsText" dxfId="4462" priority="4823" operator="containsText" text="Missing">
      <formula>NOT(ISERROR(SEARCH("Missing",K2356)))</formula>
    </cfRule>
  </conditionalFormatting>
  <conditionalFormatting sqref="K2364">
    <cfRule type="containsText" dxfId="4461" priority="4748" operator="containsText" text="Missing">
      <formula>NOT(ISERROR(SEARCH("Missing",K2364)))</formula>
    </cfRule>
  </conditionalFormatting>
  <conditionalFormatting sqref="H2364">
    <cfRule type="containsText" dxfId="4460" priority="4747" operator="containsText" text="Missing">
      <formula>NOT(ISERROR(SEARCH("Missing",H2364)))</formula>
    </cfRule>
  </conditionalFormatting>
  <conditionalFormatting sqref="K2409">
    <cfRule type="containsText" dxfId="4459" priority="4077" operator="containsText" text="Missing">
      <formula>NOT(ISERROR(SEARCH("Missing",K2409)))</formula>
    </cfRule>
  </conditionalFormatting>
  <conditionalFormatting sqref="K2364">
    <cfRule type="containsText" dxfId="4458" priority="4749" operator="containsText" text="Missing">
      <formula>NOT(ISERROR(SEARCH("Missing",K2364)))</formula>
    </cfRule>
  </conditionalFormatting>
  <conditionalFormatting sqref="L2357">
    <cfRule type="containsText" dxfId="4457" priority="4811" operator="containsText" text="Positive">
      <formula>NOT(ISERROR(SEARCH("Positive",L2357)))</formula>
    </cfRule>
    <cfRule type="containsText" dxfId="4456" priority="4812" operator="containsText" text="Negative">
      <formula>NOT(ISERROR(SEARCH("Negative",L2357)))</formula>
    </cfRule>
  </conditionalFormatting>
  <conditionalFormatting sqref="L2357">
    <cfRule type="containsText" dxfId="4455" priority="4816" operator="containsText" text="Positive">
      <formula>NOT(ISERROR(SEARCH("Positive",L2357)))</formula>
    </cfRule>
    <cfRule type="containsText" dxfId="4454" priority="4817" operator="containsText" text="Negative">
      <formula>NOT(ISERROR(SEARCH("Negative",L2357)))</formula>
    </cfRule>
  </conditionalFormatting>
  <conditionalFormatting sqref="L2357">
    <cfRule type="containsText" dxfId="4453" priority="4814" operator="containsText" text="Positive">
      <formula>NOT(ISERROR(SEARCH("Positive",L2357)))</formula>
    </cfRule>
    <cfRule type="containsText" dxfId="4452" priority="4815" operator="containsText" text="Negative">
      <formula>NOT(ISERROR(SEARCH("Negative",L2357)))</formula>
    </cfRule>
  </conditionalFormatting>
  <conditionalFormatting sqref="H2409">
    <cfRule type="containsText" dxfId="4451" priority="4076" operator="containsText" text="Missing">
      <formula>NOT(ISERROR(SEARCH("Missing",H2409)))</formula>
    </cfRule>
  </conditionalFormatting>
  <conditionalFormatting sqref="K2357">
    <cfRule type="containsText" dxfId="4450" priority="4808" operator="containsText" text="Missing">
      <formula>NOT(ISERROR(SEARCH("Missing",K2357)))</formula>
    </cfRule>
  </conditionalFormatting>
  <conditionalFormatting sqref="H2357">
    <cfRule type="containsText" dxfId="4449" priority="4807" operator="containsText" text="Missing">
      <formula>NOT(ISERROR(SEARCH("Missing",H2357)))</formula>
    </cfRule>
  </conditionalFormatting>
  <conditionalFormatting sqref="H2357">
    <cfRule type="containsText" dxfId="4448" priority="4806" operator="containsText" text="Missing">
      <formula>NOT(ISERROR(SEARCH("Missing",H2357)))</formula>
    </cfRule>
  </conditionalFormatting>
  <conditionalFormatting sqref="J2393">
    <cfRule type="containsText" dxfId="4447" priority="4599" operator="containsText" text="Missing">
      <formula>NOT(ISERROR(SEARCH("Missing",J2393)))</formula>
    </cfRule>
  </conditionalFormatting>
  <conditionalFormatting sqref="J2366">
    <cfRule type="containsText" dxfId="4446" priority="4723" operator="containsText" text="Missing">
      <formula>NOT(ISERROR(SEARCH("Missing",J2366)))</formula>
    </cfRule>
  </conditionalFormatting>
  <conditionalFormatting sqref="K2387">
    <cfRule type="containsText" dxfId="4445" priority="4676" operator="containsText" text="Missing">
      <formula>NOT(ISERROR(SEARCH("Missing",K2387)))</formula>
    </cfRule>
  </conditionalFormatting>
  <conditionalFormatting sqref="J2358">
    <cfRule type="containsText" dxfId="4444" priority="4798" operator="containsText" text="Missing">
      <formula>NOT(ISERROR(SEARCH("Missing",J2358)))</formula>
    </cfRule>
  </conditionalFormatting>
  <conditionalFormatting sqref="K2409">
    <cfRule type="containsText" dxfId="4443" priority="4079" operator="containsText" text="Missing">
      <formula>NOT(ISERROR(SEARCH("Missing",K2409)))</formula>
    </cfRule>
  </conditionalFormatting>
  <conditionalFormatting sqref="L2358">
    <cfRule type="containsText" dxfId="4442" priority="4796" operator="containsText" text="Positive">
      <formula>NOT(ISERROR(SEARCH("Positive",L2358)))</formula>
    </cfRule>
    <cfRule type="containsText" dxfId="4441" priority="4797" operator="containsText" text="Negative">
      <formula>NOT(ISERROR(SEARCH("Negative",L2358)))</formula>
    </cfRule>
  </conditionalFormatting>
  <conditionalFormatting sqref="L2358">
    <cfRule type="containsText" dxfId="4440" priority="4799" operator="containsText" text="Positive">
      <formula>NOT(ISERROR(SEARCH("Positive",L2358)))</formula>
    </cfRule>
    <cfRule type="containsText" dxfId="4439" priority="4800" operator="containsText" text="Negative">
      <formula>NOT(ISERROR(SEARCH("Negative",L2358)))</formula>
    </cfRule>
  </conditionalFormatting>
  <conditionalFormatting sqref="J2358">
    <cfRule type="containsText" dxfId="4438" priority="4803" operator="containsText" text="Missing">
      <formula>NOT(ISERROR(SEARCH("Missing",J2358)))</formula>
    </cfRule>
  </conditionalFormatting>
  <conditionalFormatting sqref="K2409">
    <cfRule type="containsText" dxfId="4437" priority="4078" operator="containsText" text="Missing">
      <formula>NOT(ISERROR(SEARCH("Missing",K2409)))</formula>
    </cfRule>
  </conditionalFormatting>
  <conditionalFormatting sqref="H2386:H2387">
    <cfRule type="containsText" dxfId="4436" priority="4703" operator="containsText" text="Missing">
      <formula>NOT(ISERROR(SEARCH("Missing",H2386)))</formula>
    </cfRule>
  </conditionalFormatting>
  <conditionalFormatting sqref="H2386:H2387">
    <cfRule type="containsText" dxfId="4435" priority="4702" operator="containsText" text="Missing">
      <formula>NOT(ISERROR(SEARCH("Missing",H2386)))</formula>
    </cfRule>
  </conditionalFormatting>
  <conditionalFormatting sqref="J2359">
    <cfRule type="containsText" dxfId="4434" priority="4783" operator="containsText" text="Missing">
      <formula>NOT(ISERROR(SEARCH("Missing",J2359)))</formula>
    </cfRule>
  </conditionalFormatting>
  <conditionalFormatting sqref="K2390">
    <cfRule type="containsText" dxfId="4433" priority="4632" operator="containsText" text="Missing">
      <formula>NOT(ISERROR(SEARCH("Missing",K2390)))</formula>
    </cfRule>
  </conditionalFormatting>
  <conditionalFormatting sqref="I2359">
    <cfRule type="containsText" dxfId="4432" priority="4706" operator="containsText" text="Missing">
      <formula>NOT(ISERROR(SEARCH("Missing",I2359)))</formula>
    </cfRule>
  </conditionalFormatting>
  <conditionalFormatting sqref="K2390">
    <cfRule type="containsText" dxfId="4431" priority="4631" operator="containsText" text="Missing">
      <formula>NOT(ISERROR(SEARCH("Missing",K2390)))</formula>
    </cfRule>
  </conditionalFormatting>
  <conditionalFormatting sqref="K2366">
    <cfRule type="containsText" dxfId="4430" priority="4720" operator="containsText" text="Missing">
      <formula>NOT(ISERROR(SEARCH("Missing",K2366)))</formula>
    </cfRule>
  </conditionalFormatting>
  <conditionalFormatting sqref="L2359">
    <cfRule type="containsText" dxfId="4429" priority="4781" operator="containsText" text="Positive">
      <formula>NOT(ISERROR(SEARCH("Positive",L2359)))</formula>
    </cfRule>
    <cfRule type="containsText" dxfId="4428" priority="4782" operator="containsText" text="Negative">
      <formula>NOT(ISERROR(SEARCH("Negative",L2359)))</formula>
    </cfRule>
  </conditionalFormatting>
  <conditionalFormatting sqref="L2359">
    <cfRule type="containsText" dxfId="4427" priority="4784" operator="containsText" text="Positive">
      <formula>NOT(ISERROR(SEARCH("Positive",L2359)))</formula>
    </cfRule>
    <cfRule type="containsText" dxfId="4426" priority="4785" operator="containsText" text="Negative">
      <formula>NOT(ISERROR(SEARCH("Negative",L2359)))</formula>
    </cfRule>
  </conditionalFormatting>
  <conditionalFormatting sqref="J2359">
    <cfRule type="containsText" dxfId="4425" priority="4788" operator="containsText" text="Missing">
      <formula>NOT(ISERROR(SEARCH("Missing",J2359)))</formula>
    </cfRule>
  </conditionalFormatting>
  <conditionalFormatting sqref="K2366">
    <cfRule type="containsText" dxfId="4424" priority="4719" operator="containsText" text="Missing">
      <formula>NOT(ISERROR(SEARCH("Missing",K2366)))</formula>
    </cfRule>
  </conditionalFormatting>
  <conditionalFormatting sqref="K2366">
    <cfRule type="containsText" dxfId="4423" priority="4718" operator="containsText" text="Missing">
      <formula>NOT(ISERROR(SEARCH("Missing",K2366)))</formula>
    </cfRule>
  </conditionalFormatting>
  <conditionalFormatting sqref="H2366">
    <cfRule type="containsText" dxfId="4422" priority="4717" operator="containsText" text="Missing">
      <formula>NOT(ISERROR(SEARCH("Missing",H2366)))</formula>
    </cfRule>
  </conditionalFormatting>
  <conditionalFormatting sqref="K2388">
    <cfRule type="containsText" dxfId="4421" priority="4666" operator="containsText" text="Missing">
      <formula>NOT(ISERROR(SEARCH("Missing",K2388)))</formula>
    </cfRule>
  </conditionalFormatting>
  <conditionalFormatting sqref="I2352">
    <cfRule type="containsText" dxfId="4420" priority="4712" operator="containsText" text="Missing">
      <formula>NOT(ISERROR(SEARCH("Missing",I2352)))</formula>
    </cfRule>
  </conditionalFormatting>
  <conditionalFormatting sqref="H2389">
    <cfRule type="containsText" dxfId="4419" priority="4647" operator="containsText" text="Missing">
      <formula>NOT(ISERROR(SEARCH("Missing",H2389)))</formula>
    </cfRule>
  </conditionalFormatting>
  <conditionalFormatting sqref="I2363">
    <cfRule type="containsText" dxfId="4418" priority="4759" operator="containsText" text="Missing">
      <formula>NOT(ISERROR(SEARCH("Missing",I2363)))</formula>
    </cfRule>
  </conditionalFormatting>
  <conditionalFormatting sqref="J2386">
    <cfRule type="containsText" dxfId="4417" priority="4691" operator="containsText" text="Missing">
      <formula>NOT(ISERROR(SEARCH("Missing",J2386)))</formula>
    </cfRule>
  </conditionalFormatting>
  <conditionalFormatting sqref="L2386">
    <cfRule type="containsText" dxfId="4416" priority="4693" operator="containsText" text="Positive">
      <formula>NOT(ISERROR(SEARCH("Positive",L2386)))</formula>
    </cfRule>
    <cfRule type="containsText" dxfId="4415" priority="4694" operator="containsText" text="Negative">
      <formula>NOT(ISERROR(SEARCH("Negative",L2386)))</formula>
    </cfRule>
  </conditionalFormatting>
  <conditionalFormatting sqref="L2394">
    <cfRule type="containsText" dxfId="4414" priority="4577" operator="containsText" text="Positive">
      <formula>NOT(ISERROR(SEARCH("Positive",L2394)))</formula>
    </cfRule>
    <cfRule type="containsText" dxfId="4413" priority="4578" operator="containsText" text="Negative">
      <formula>NOT(ISERROR(SEARCH("Negative",L2394)))</formula>
    </cfRule>
  </conditionalFormatting>
  <conditionalFormatting sqref="K2365">
    <cfRule type="containsText" dxfId="4412" priority="4735" operator="containsText" text="Missing">
      <formula>NOT(ISERROR(SEARCH("Missing",K2365)))</formula>
    </cfRule>
  </conditionalFormatting>
  <conditionalFormatting sqref="K2386">
    <cfRule type="containsText" dxfId="4411" priority="4690" operator="containsText" text="Missing">
      <formula>NOT(ISERROR(SEARCH("Missing",K2386)))</formula>
    </cfRule>
  </conditionalFormatting>
  <conditionalFormatting sqref="I2358">
    <cfRule type="containsText" dxfId="4410" priority="4708" operator="containsText" text="Missing">
      <formula>NOT(ISERROR(SEARCH("Missing",I2358)))</formula>
    </cfRule>
  </conditionalFormatting>
  <conditionalFormatting sqref="K2386">
    <cfRule type="containsText" dxfId="4409" priority="4688" operator="containsText" text="Missing">
      <formula>NOT(ISERROR(SEARCH("Missing",K2386)))</formula>
    </cfRule>
  </conditionalFormatting>
  <conditionalFormatting sqref="I2366">
    <cfRule type="containsText" dxfId="4408" priority="4705" operator="containsText" text="Missing">
      <formula>NOT(ISERROR(SEARCH("Missing",I2366)))</formula>
    </cfRule>
  </conditionalFormatting>
  <conditionalFormatting sqref="I2386">
    <cfRule type="containsText" dxfId="4407" priority="4687" operator="containsText" text="Missing">
      <formula>NOT(ISERROR(SEARCH("Missing",I2386)))</formula>
    </cfRule>
  </conditionalFormatting>
  <conditionalFormatting sqref="I2364">
    <cfRule type="containsText" dxfId="4406" priority="4744" operator="containsText" text="Missing">
      <formula>NOT(ISERROR(SEARCH("Missing",I2364)))</formula>
    </cfRule>
  </conditionalFormatting>
  <conditionalFormatting sqref="L2393">
    <cfRule type="containsText" dxfId="4405" priority="4604" operator="containsText" text="Positive">
      <formula>NOT(ISERROR(SEARCH("Positive",L2393)))</formula>
    </cfRule>
    <cfRule type="containsText" dxfId="4404" priority="4605" operator="containsText" text="Negative">
      <formula>NOT(ISERROR(SEARCH("Negative",L2393)))</formula>
    </cfRule>
  </conditionalFormatting>
  <conditionalFormatting sqref="L2387">
    <cfRule type="containsText" dxfId="4403" priority="4683" operator="containsText" text="Positive">
      <formula>NOT(ISERROR(SEARCH("Positive",L2387)))</formula>
    </cfRule>
    <cfRule type="containsText" dxfId="4402" priority="4684" operator="containsText" text="Negative">
      <formula>NOT(ISERROR(SEARCH("Negative",L2387)))</formula>
    </cfRule>
  </conditionalFormatting>
  <conditionalFormatting sqref="L2387">
    <cfRule type="containsText" dxfId="4401" priority="4681" operator="containsText" text="Positive">
      <formula>NOT(ISERROR(SEARCH("Positive",L2387)))</formula>
    </cfRule>
    <cfRule type="containsText" dxfId="4400" priority="4682" operator="containsText" text="Negative">
      <formula>NOT(ISERROR(SEARCH("Negative",L2387)))</formula>
    </cfRule>
  </conditionalFormatting>
  <conditionalFormatting sqref="K2365">
    <cfRule type="containsText" dxfId="4399" priority="4734" operator="containsText" text="Missing">
      <formula>NOT(ISERROR(SEARCH("Missing",K2365)))</formula>
    </cfRule>
  </conditionalFormatting>
  <conditionalFormatting sqref="I2387">
    <cfRule type="containsText" dxfId="4398" priority="4675" operator="containsText" text="Missing">
      <formula>NOT(ISERROR(SEARCH("Missing",I2387)))</formula>
    </cfRule>
  </conditionalFormatting>
  <conditionalFormatting sqref="H2389">
    <cfRule type="containsText" dxfId="4397" priority="4645" operator="containsText" text="Missing">
      <formula>NOT(ISERROR(SEARCH("Missing",H2389)))</formula>
    </cfRule>
  </conditionalFormatting>
  <conditionalFormatting sqref="I2395">
    <cfRule type="containsText" dxfId="4396" priority="4554" operator="containsText" text="Missing">
      <formula>NOT(ISERROR(SEARCH("Missing",I2395)))</formula>
    </cfRule>
  </conditionalFormatting>
  <conditionalFormatting sqref="J2393">
    <cfRule type="containsText" dxfId="4395" priority="4598" operator="containsText" text="Missing">
      <formula>NOT(ISERROR(SEARCH("Missing",J2393)))</formula>
    </cfRule>
  </conditionalFormatting>
  <conditionalFormatting sqref="I2388">
    <cfRule type="containsText" dxfId="4394" priority="4663" operator="containsText" text="Missing">
      <formula>NOT(ISERROR(SEARCH("Missing",I2388)))</formula>
    </cfRule>
  </conditionalFormatting>
  <conditionalFormatting sqref="K2393">
    <cfRule type="containsText" dxfId="4393" priority="4595" operator="containsText" text="Missing">
      <formula>NOT(ISERROR(SEARCH("Missing",K2393)))</formula>
    </cfRule>
  </conditionalFormatting>
  <conditionalFormatting sqref="K2443">
    <cfRule type="containsText" dxfId="4392" priority="3905" operator="containsText" text="Missing">
      <formula>NOT(ISERROR(SEARCH("Missing",K2443)))</formula>
    </cfRule>
  </conditionalFormatting>
  <conditionalFormatting sqref="L2406">
    <cfRule type="containsText" dxfId="4391" priority="3832" operator="containsText" text="Positive">
      <formula>NOT(ISERROR(SEARCH("Positive",L2406)))</formula>
    </cfRule>
    <cfRule type="containsText" dxfId="4390" priority="3833" operator="containsText" text="Negative">
      <formula>NOT(ISERROR(SEARCH("Negative",L2406)))</formula>
    </cfRule>
  </conditionalFormatting>
  <conditionalFormatting sqref="L2391">
    <cfRule type="containsText" dxfId="4389" priority="4624" operator="containsText" text="Positive">
      <formula>NOT(ISERROR(SEARCH("Positive",L2391)))</formula>
    </cfRule>
    <cfRule type="containsText" dxfId="4388" priority="4625" operator="containsText" text="Negative">
      <formula>NOT(ISERROR(SEARCH("Negative",L2391)))</formula>
    </cfRule>
  </conditionalFormatting>
  <conditionalFormatting sqref="J2389">
    <cfRule type="containsText" dxfId="4387" priority="4656" operator="containsText" text="Missing">
      <formula>NOT(ISERROR(SEARCH("Missing",J2389)))</formula>
    </cfRule>
  </conditionalFormatting>
  <conditionalFormatting sqref="H2389">
    <cfRule type="containsText" dxfId="4386" priority="4646" operator="containsText" text="Missing">
      <formula>NOT(ISERROR(SEARCH("Missing",H2389)))</formula>
    </cfRule>
  </conditionalFormatting>
  <conditionalFormatting sqref="K2386">
    <cfRule type="containsText" dxfId="4385" priority="4689" operator="containsText" text="Missing">
      <formula>NOT(ISERROR(SEARCH("Missing",K2386)))</formula>
    </cfRule>
  </conditionalFormatting>
  <conditionalFormatting sqref="K2360">
    <cfRule type="containsText" dxfId="4384" priority="4498" operator="containsText" text="Missing">
      <formula>NOT(ISERROR(SEARCH("Missing",K2360)))</formula>
    </cfRule>
  </conditionalFormatting>
  <conditionalFormatting sqref="H2406">
    <cfRule type="containsText" dxfId="4383" priority="3825" operator="containsText" text="Missing">
      <formula>NOT(ISERROR(SEARCH("Missing",H2406)))</formula>
    </cfRule>
  </conditionalFormatting>
  <conditionalFormatting sqref="K2360">
    <cfRule type="containsText" dxfId="4382" priority="4497" operator="containsText" text="Missing">
      <formula>NOT(ISERROR(SEARCH("Missing",K2360)))</formula>
    </cfRule>
  </conditionalFormatting>
  <conditionalFormatting sqref="H2388">
    <cfRule type="containsText" dxfId="4381" priority="4648" operator="containsText" text="Missing">
      <formula>NOT(ISERROR(SEARCH("Missing",H2388)))</formula>
    </cfRule>
  </conditionalFormatting>
  <conditionalFormatting sqref="J2387">
    <cfRule type="containsText" dxfId="4380" priority="4680" operator="containsText" text="Missing">
      <formula>NOT(ISERROR(SEARCH("Missing",J2387)))</formula>
    </cfRule>
  </conditionalFormatting>
  <conditionalFormatting sqref="K2394">
    <cfRule type="containsText" dxfId="4379" priority="4572" operator="containsText" text="Missing">
      <formula>NOT(ISERROR(SEARCH("Missing",K2394)))</formula>
    </cfRule>
  </conditionalFormatting>
  <conditionalFormatting sqref="L2395">
    <cfRule type="containsText" dxfId="4378" priority="4564" operator="containsText" text="Positive">
      <formula>NOT(ISERROR(SEARCH("Positive",L2395)))</formula>
    </cfRule>
    <cfRule type="containsText" dxfId="4377" priority="4565" operator="containsText" text="Negative">
      <formula>NOT(ISERROR(SEARCH("Negative",L2395)))</formula>
    </cfRule>
  </conditionalFormatting>
  <conditionalFormatting sqref="K2395">
    <cfRule type="containsText" dxfId="4376" priority="4561" operator="containsText" text="Missing">
      <formula>NOT(ISERROR(SEARCH("Missing",K2395)))</formula>
    </cfRule>
  </conditionalFormatting>
  <conditionalFormatting sqref="K2394">
    <cfRule type="containsText" dxfId="4375" priority="4571" operator="containsText" text="Missing">
      <formula>NOT(ISERROR(SEARCH("Missing",K2394)))</formula>
    </cfRule>
  </conditionalFormatting>
  <conditionalFormatting sqref="K2361">
    <cfRule type="containsText" dxfId="4374" priority="4483" operator="containsText" text="Missing">
      <formula>NOT(ISERROR(SEARCH("Missing",K2361)))</formula>
    </cfRule>
  </conditionalFormatting>
  <conditionalFormatting sqref="K2393">
    <cfRule type="containsText" dxfId="4373" priority="4597" operator="containsText" text="Missing">
      <formula>NOT(ISERROR(SEARCH("Missing",K2393)))</formula>
    </cfRule>
  </conditionalFormatting>
  <conditionalFormatting sqref="H2394:H2395">
    <cfRule type="containsText" dxfId="4372" priority="4553" operator="containsText" text="Missing">
      <formula>NOT(ISERROR(SEARCH("Missing",H2394)))</formula>
    </cfRule>
  </conditionalFormatting>
  <conditionalFormatting sqref="K2390">
    <cfRule type="containsText" dxfId="4371" priority="4633" operator="containsText" text="Missing">
      <formula>NOT(ISERROR(SEARCH("Missing",K2390)))</formula>
    </cfRule>
  </conditionalFormatting>
  <conditionalFormatting sqref="I2365">
    <cfRule type="containsText" dxfId="4370" priority="4729" operator="containsText" text="Missing">
      <formula>NOT(ISERROR(SEARCH("Missing",I2365)))</formula>
    </cfRule>
  </conditionalFormatting>
  <conditionalFormatting sqref="H2390">
    <cfRule type="containsText" dxfId="4369" priority="4587" operator="containsText" text="Missing">
      <formula>NOT(ISERROR(SEARCH("Missing",H2390)))</formula>
    </cfRule>
  </conditionalFormatting>
  <conditionalFormatting sqref="L2353">
    <cfRule type="containsText" dxfId="4368" priority="4544" operator="containsText" text="Positive">
      <formula>NOT(ISERROR(SEARCH("Positive",L2353)))</formula>
    </cfRule>
    <cfRule type="containsText" dxfId="4367" priority="4545" operator="containsText" text="Negative">
      <formula>NOT(ISERROR(SEARCH("Negative",L2353)))</formula>
    </cfRule>
  </conditionalFormatting>
  <conditionalFormatting sqref="L2394">
    <cfRule type="containsText" dxfId="4366" priority="4579" operator="containsText" text="Positive">
      <formula>NOT(ISERROR(SEARCH("Positive",L2394)))</formula>
    </cfRule>
    <cfRule type="containsText" dxfId="4365" priority="4580" operator="containsText" text="Negative">
      <formula>NOT(ISERROR(SEARCH("Negative",L2394)))</formula>
    </cfRule>
  </conditionalFormatting>
  <conditionalFormatting sqref="L2353">
    <cfRule type="containsText" dxfId="4364" priority="4547" operator="containsText" text="Positive">
      <formula>NOT(ISERROR(SEARCH("Positive",L2353)))</formula>
    </cfRule>
    <cfRule type="containsText" dxfId="4363" priority="4548" operator="containsText" text="Negative">
      <formula>NOT(ISERROR(SEARCH("Negative",L2353)))</formula>
    </cfRule>
  </conditionalFormatting>
  <conditionalFormatting sqref="I2366">
    <cfRule type="containsText" dxfId="4362" priority="4704" operator="containsText" text="Missing">
      <formula>NOT(ISERROR(SEARCH("Missing",I2366)))</formula>
    </cfRule>
  </conditionalFormatting>
  <conditionalFormatting sqref="H2391">
    <cfRule type="containsText" dxfId="4361" priority="4586" operator="containsText" text="Missing">
      <formula>NOT(ISERROR(SEARCH("Missing",H2391)))</formula>
    </cfRule>
  </conditionalFormatting>
  <conditionalFormatting sqref="K2443">
    <cfRule type="containsText" dxfId="4360" priority="3906" operator="containsText" text="Missing">
      <formula>NOT(ISERROR(SEARCH("Missing",K2443)))</formula>
    </cfRule>
  </conditionalFormatting>
  <conditionalFormatting sqref="H2393">
    <cfRule type="containsText" dxfId="4359" priority="4584" operator="containsText" text="Missing">
      <formula>NOT(ISERROR(SEARCH("Missing",H2393)))</formula>
    </cfRule>
  </conditionalFormatting>
  <conditionalFormatting sqref="J2394">
    <cfRule type="containsText" dxfId="4358" priority="4574" operator="containsText" text="Missing">
      <formula>NOT(ISERROR(SEARCH("Missing",J2394)))</formula>
    </cfRule>
  </conditionalFormatting>
  <conditionalFormatting sqref="K2395">
    <cfRule type="containsText" dxfId="4357" priority="4559" operator="containsText" text="Missing">
      <formula>NOT(ISERROR(SEARCH("Missing",K2395)))</formula>
    </cfRule>
  </conditionalFormatting>
  <conditionalFormatting sqref="J2361">
    <cfRule type="containsText" dxfId="4356" priority="4486" operator="containsText" text="Missing">
      <formula>NOT(ISERROR(SEARCH("Missing",J2361)))</formula>
    </cfRule>
  </conditionalFormatting>
  <conditionalFormatting sqref="J2363">
    <cfRule type="containsText" dxfId="4355" priority="4773" operator="containsText" text="Missing">
      <formula>NOT(ISERROR(SEARCH("Missing",J2363)))</formula>
    </cfRule>
  </conditionalFormatting>
  <conditionalFormatting sqref="I2357">
    <cfRule type="containsText" dxfId="4354" priority="4710" operator="containsText" text="Missing">
      <formula>NOT(ISERROR(SEARCH("Missing",I2357)))</formula>
    </cfRule>
  </conditionalFormatting>
  <conditionalFormatting sqref="L2386">
    <cfRule type="containsText" dxfId="4353" priority="4697" operator="containsText" text="Positive">
      <formula>NOT(ISERROR(SEARCH("Positive",L2386)))</formula>
    </cfRule>
    <cfRule type="containsText" dxfId="4352" priority="4698" operator="containsText" text="Negative">
      <formula>NOT(ISERROR(SEARCH("Negative",L2386)))</formula>
    </cfRule>
  </conditionalFormatting>
  <conditionalFormatting sqref="L2353">
    <cfRule type="containsText" dxfId="4351" priority="4549" operator="containsText" text="Positive">
      <formula>NOT(ISERROR(SEARCH("Positive",L2353)))</formula>
    </cfRule>
    <cfRule type="containsText" dxfId="4350" priority="4550" operator="containsText" text="Negative">
      <formula>NOT(ISERROR(SEARCH("Negative",L2353)))</formula>
    </cfRule>
  </conditionalFormatting>
  <conditionalFormatting sqref="K2387">
    <cfRule type="containsText" dxfId="4349" priority="4678" operator="containsText" text="Missing">
      <formula>NOT(ISERROR(SEARCH("Missing",K2387)))</formula>
    </cfRule>
  </conditionalFormatting>
  <conditionalFormatting sqref="H2355">
    <cfRule type="containsText" dxfId="4348" priority="4510" operator="containsText" text="Missing">
      <formula>NOT(ISERROR(SEARCH("Missing",H2355)))</formula>
    </cfRule>
  </conditionalFormatting>
  <conditionalFormatting sqref="K2443">
    <cfRule type="containsText" dxfId="4347" priority="3904" operator="containsText" text="Missing">
      <formula>NOT(ISERROR(SEARCH("Missing",K2443)))</formula>
    </cfRule>
  </conditionalFormatting>
  <conditionalFormatting sqref="J2442">
    <cfRule type="containsText" dxfId="4346" priority="3919" operator="containsText" text="Missing">
      <formula>NOT(ISERROR(SEARCH("Missing",J2442)))</formula>
    </cfRule>
  </conditionalFormatting>
  <conditionalFormatting sqref="I2358">
    <cfRule type="containsText" dxfId="4345" priority="4709" operator="containsText" text="Missing">
      <formula>NOT(ISERROR(SEARCH("Missing",I2358)))</formula>
    </cfRule>
  </conditionalFormatting>
  <conditionalFormatting sqref="J2442">
    <cfRule type="containsText" dxfId="4344" priority="3918" operator="containsText" text="Missing">
      <formula>NOT(ISERROR(SEARCH("Missing",J2442)))</formula>
    </cfRule>
  </conditionalFormatting>
  <conditionalFormatting sqref="L2363">
    <cfRule type="containsText" dxfId="4343" priority="4766" operator="containsText" text="Positive">
      <formula>NOT(ISERROR(SEARCH("Positive",L2363)))</formula>
    </cfRule>
    <cfRule type="containsText" dxfId="4342" priority="4767" operator="containsText" text="Negative">
      <formula>NOT(ISERROR(SEARCH("Negative",L2363)))</formula>
    </cfRule>
  </conditionalFormatting>
  <conditionalFormatting sqref="L2366">
    <cfRule type="containsText" dxfId="4341" priority="4724" operator="containsText" text="Positive">
      <formula>NOT(ISERROR(SEARCH("Positive",L2366)))</formula>
    </cfRule>
    <cfRule type="containsText" dxfId="4340" priority="4725" operator="containsText" text="Negative">
      <formula>NOT(ISERROR(SEARCH("Negative",L2366)))</formula>
    </cfRule>
  </conditionalFormatting>
  <conditionalFormatting sqref="H2388">
    <cfRule type="containsText" dxfId="4339" priority="4650" operator="containsText" text="Missing">
      <formula>NOT(ISERROR(SEARCH("Missing",H2388)))</formula>
    </cfRule>
  </conditionalFormatting>
  <conditionalFormatting sqref="J2394">
    <cfRule type="containsText" dxfId="4338" priority="4573" operator="containsText" text="Missing">
      <formula>NOT(ISERROR(SEARCH("Missing",J2394)))</formula>
    </cfRule>
  </conditionalFormatting>
  <conditionalFormatting sqref="K2365">
    <cfRule type="containsText" dxfId="4337" priority="4733" operator="containsText" text="Missing">
      <formula>NOT(ISERROR(SEARCH("Missing",K2365)))</formula>
    </cfRule>
  </conditionalFormatting>
  <conditionalFormatting sqref="H2365">
    <cfRule type="containsText" dxfId="4336" priority="4732" operator="containsText" text="Missing">
      <formula>NOT(ISERROR(SEARCH("Missing",H2365)))</formula>
    </cfRule>
  </conditionalFormatting>
  <conditionalFormatting sqref="I2363">
    <cfRule type="containsText" dxfId="4335" priority="4760" operator="containsText" text="Missing">
      <formula>NOT(ISERROR(SEARCH("Missing",I2363)))</formula>
    </cfRule>
  </conditionalFormatting>
  <conditionalFormatting sqref="K2394">
    <cfRule type="containsText" dxfId="4334" priority="4570" operator="containsText" text="Missing">
      <formula>NOT(ISERROR(SEARCH("Missing",K2394)))</formula>
    </cfRule>
  </conditionalFormatting>
  <conditionalFormatting sqref="J2392">
    <cfRule type="containsText" dxfId="4333" priority="4611" operator="containsText" text="Missing">
      <formula>NOT(ISERROR(SEARCH("Missing",J2392)))</formula>
    </cfRule>
  </conditionalFormatting>
  <conditionalFormatting sqref="L2364">
    <cfRule type="containsText" dxfId="4332" priority="4751" operator="containsText" text="Positive">
      <formula>NOT(ISERROR(SEARCH("Positive",L2364)))</formula>
    </cfRule>
    <cfRule type="containsText" dxfId="4331" priority="4752" operator="containsText" text="Negative">
      <formula>NOT(ISERROR(SEARCH("Negative",L2364)))</formula>
    </cfRule>
  </conditionalFormatting>
  <conditionalFormatting sqref="L2364">
    <cfRule type="containsText" dxfId="4330" priority="4756" operator="containsText" text="Positive">
      <formula>NOT(ISERROR(SEARCH("Positive",L2364)))</formula>
    </cfRule>
    <cfRule type="containsText" dxfId="4329" priority="4757" operator="containsText" text="Negative">
      <formula>NOT(ISERROR(SEARCH("Negative",L2364)))</formula>
    </cfRule>
  </conditionalFormatting>
  <conditionalFormatting sqref="L2442">
    <cfRule type="containsText" dxfId="4328" priority="3922" operator="containsText" text="Positive">
      <formula>NOT(ISERROR(SEARCH("Positive",L2442)))</formula>
    </cfRule>
    <cfRule type="containsText" dxfId="4327" priority="3923" operator="containsText" text="Negative">
      <formula>NOT(ISERROR(SEARCH("Negative",L2442)))</formula>
    </cfRule>
  </conditionalFormatting>
  <conditionalFormatting sqref="J2364">
    <cfRule type="containsText" dxfId="4326" priority="4758" operator="containsText" text="Missing">
      <formula>NOT(ISERROR(SEARCH("Missing",J2364)))</formula>
    </cfRule>
  </conditionalFormatting>
  <conditionalFormatting sqref="J2439">
    <cfRule type="containsText" dxfId="4325" priority="3960" operator="containsText" text="Missing">
      <formula>NOT(ISERROR(SEARCH("Missing",J2439)))</formula>
    </cfRule>
  </conditionalFormatting>
  <conditionalFormatting sqref="K2440">
    <cfRule type="containsText" dxfId="4324" priority="3944" operator="containsText" text="Missing">
      <formula>NOT(ISERROR(SEARCH("Missing",K2440)))</formula>
    </cfRule>
  </conditionalFormatting>
  <conditionalFormatting sqref="K2391">
    <cfRule type="containsText" dxfId="4323" priority="4621" operator="containsText" text="Missing">
      <formula>NOT(ISERROR(SEARCH("Missing",K2391)))</formula>
    </cfRule>
  </conditionalFormatting>
  <conditionalFormatting sqref="I2364">
    <cfRule type="containsText" dxfId="4322" priority="4745" operator="containsText" text="Missing">
      <formula>NOT(ISERROR(SEARCH("Missing",I2364)))</formula>
    </cfRule>
  </conditionalFormatting>
  <conditionalFormatting sqref="H2394:H2395">
    <cfRule type="containsText" dxfId="4321" priority="4552" operator="containsText" text="Missing">
      <formula>NOT(ISERROR(SEARCH("Missing",H2394)))</formula>
    </cfRule>
  </conditionalFormatting>
  <conditionalFormatting sqref="K2411">
    <cfRule type="containsText" dxfId="4320" priority="3813" operator="containsText" text="Missing">
      <formula>NOT(ISERROR(SEARCH("Missing",K2411)))</formula>
    </cfRule>
  </conditionalFormatting>
  <conditionalFormatting sqref="K2393">
    <cfRule type="containsText" dxfId="4319" priority="4596" operator="containsText" text="Missing">
      <formula>NOT(ISERROR(SEARCH("Missing",K2393)))</formula>
    </cfRule>
  </conditionalFormatting>
  <conditionalFormatting sqref="L2365">
    <cfRule type="containsText" dxfId="4318" priority="4736" operator="containsText" text="Positive">
      <formula>NOT(ISERROR(SEARCH("Positive",L2365)))</formula>
    </cfRule>
    <cfRule type="containsText" dxfId="4317" priority="4737" operator="containsText" text="Negative">
      <formula>NOT(ISERROR(SEARCH("Negative",L2365)))</formula>
    </cfRule>
  </conditionalFormatting>
  <conditionalFormatting sqref="L2365">
    <cfRule type="containsText" dxfId="4316" priority="4741" operator="containsText" text="Positive">
      <formula>NOT(ISERROR(SEARCH("Positive",L2365)))</formula>
    </cfRule>
    <cfRule type="containsText" dxfId="4315" priority="4742" operator="containsText" text="Negative">
      <formula>NOT(ISERROR(SEARCH("Negative",L2365)))</formula>
    </cfRule>
  </conditionalFormatting>
  <conditionalFormatting sqref="J2441">
    <cfRule type="containsText" dxfId="4314" priority="3930" operator="containsText" text="Missing">
      <formula>NOT(ISERROR(SEARCH("Missing",J2441)))</formula>
    </cfRule>
  </conditionalFormatting>
  <conditionalFormatting sqref="H2386:H2387">
    <cfRule type="containsText" dxfId="4313" priority="4701" operator="containsText" text="Missing">
      <formula>NOT(ISERROR(SEARCH("Missing",H2386)))</formula>
    </cfRule>
  </conditionalFormatting>
  <conditionalFormatting sqref="K2388">
    <cfRule type="containsText" dxfId="4312" priority="4665" operator="containsText" text="Missing">
      <formula>NOT(ISERROR(SEARCH("Missing",K2388)))</formula>
    </cfRule>
  </conditionalFormatting>
  <conditionalFormatting sqref="I2365">
    <cfRule type="containsText" dxfId="4311" priority="4730" operator="containsText" text="Missing">
      <formula>NOT(ISERROR(SEARCH("Missing",I2365)))</formula>
    </cfRule>
  </conditionalFormatting>
  <conditionalFormatting sqref="H2406">
    <cfRule type="containsText" dxfId="4310" priority="3824" operator="containsText" text="Missing">
      <formula>NOT(ISERROR(SEARCH("Missing",H2406)))</formula>
    </cfRule>
  </conditionalFormatting>
  <conditionalFormatting sqref="K2461">
    <cfRule type="containsText" dxfId="4309" priority="3142" operator="containsText" text="Missing">
      <formula>NOT(ISERROR(SEARCH("Missing",K2461)))</formula>
    </cfRule>
  </conditionalFormatting>
  <conditionalFormatting sqref="J2389">
    <cfRule type="containsText" dxfId="4308" priority="4655" operator="containsText" text="Missing">
      <formula>NOT(ISERROR(SEARCH("Missing",J2389)))</formula>
    </cfRule>
  </conditionalFormatting>
  <conditionalFormatting sqref="L2366">
    <cfRule type="containsText" dxfId="4307" priority="4721" operator="containsText" text="Positive">
      <formula>NOT(ISERROR(SEARCH("Positive",L2366)))</formula>
    </cfRule>
    <cfRule type="containsText" dxfId="4306" priority="4722" operator="containsText" text="Negative">
      <formula>NOT(ISERROR(SEARCH("Negative",L2366)))</formula>
    </cfRule>
  </conditionalFormatting>
  <conditionalFormatting sqref="L2366">
    <cfRule type="containsText" dxfId="4305" priority="4726" operator="containsText" text="Positive">
      <formula>NOT(ISERROR(SEARCH("Positive",L2366)))</formula>
    </cfRule>
    <cfRule type="containsText" dxfId="4304" priority="4727" operator="containsText" text="Negative">
      <formula>NOT(ISERROR(SEARCH("Negative",L2366)))</formula>
    </cfRule>
  </conditionalFormatting>
  <conditionalFormatting sqref="J2366">
    <cfRule type="containsText" dxfId="4303" priority="4728" operator="containsText" text="Missing">
      <formula>NOT(ISERROR(SEARCH("Missing",J2366)))</formula>
    </cfRule>
  </conditionalFormatting>
  <conditionalFormatting sqref="J2441">
    <cfRule type="containsText" dxfId="4302" priority="3929" operator="containsText" text="Missing">
      <formula>NOT(ISERROR(SEARCH("Missing",J2441)))</formula>
    </cfRule>
  </conditionalFormatting>
  <conditionalFormatting sqref="I2352">
    <cfRule type="containsText" dxfId="4301" priority="4713" operator="containsText" text="Missing">
      <formula>NOT(ISERROR(SEARCH("Missing",I2352)))</formula>
    </cfRule>
  </conditionalFormatting>
  <conditionalFormatting sqref="K2389">
    <cfRule type="containsText" dxfId="4300" priority="4653" operator="containsText" text="Missing">
      <formula>NOT(ISERROR(SEARCH("Missing",K2389)))</formula>
    </cfRule>
  </conditionalFormatting>
  <conditionalFormatting sqref="K2389">
    <cfRule type="containsText" dxfId="4299" priority="4654" operator="containsText" text="Missing">
      <formula>NOT(ISERROR(SEARCH("Missing",K2389)))</formula>
    </cfRule>
  </conditionalFormatting>
  <conditionalFormatting sqref="I2394">
    <cfRule type="containsText" dxfId="4298" priority="4556" operator="containsText" text="Missing">
      <formula>NOT(ISERROR(SEARCH("Missing",I2394)))</formula>
    </cfRule>
  </conditionalFormatting>
  <conditionalFormatting sqref="K2406">
    <cfRule type="containsText" dxfId="4297" priority="3828" operator="containsText" text="Missing">
      <formula>NOT(ISERROR(SEARCH("Missing",K2406)))</formula>
    </cfRule>
  </conditionalFormatting>
  <conditionalFormatting sqref="K2361">
    <cfRule type="containsText" dxfId="4296" priority="4482" operator="containsText" text="Missing">
      <formula>NOT(ISERROR(SEARCH("Missing",K2361)))</formula>
    </cfRule>
  </conditionalFormatting>
  <conditionalFormatting sqref="H2411">
    <cfRule type="containsText" dxfId="4295" priority="3812" operator="containsText" text="Missing">
      <formula>NOT(ISERROR(SEARCH("Missing",H2411)))</formula>
    </cfRule>
  </conditionalFormatting>
  <conditionalFormatting sqref="K2442">
    <cfRule type="containsText" dxfId="4294" priority="3917" operator="containsText" text="Missing">
      <formula>NOT(ISERROR(SEARCH("Missing",K2442)))</formula>
    </cfRule>
  </conditionalFormatting>
  <conditionalFormatting sqref="K2361">
    <cfRule type="containsText" dxfId="4293" priority="4481" operator="containsText" text="Missing">
      <formula>NOT(ISERROR(SEARCH("Missing",K2361)))</formula>
    </cfRule>
  </conditionalFormatting>
  <conditionalFormatting sqref="H2392">
    <cfRule type="containsText" dxfId="4292" priority="4585" operator="containsText" text="Missing">
      <formula>NOT(ISERROR(SEARCH("Missing",H2392)))</formula>
    </cfRule>
  </conditionalFormatting>
  <conditionalFormatting sqref="K2442">
    <cfRule type="containsText" dxfId="4291" priority="3916" operator="containsText" text="Missing">
      <formula>NOT(ISERROR(SEARCH("Missing",K2442)))</formula>
    </cfRule>
  </conditionalFormatting>
  <conditionalFormatting sqref="K2442">
    <cfRule type="containsText" dxfId="4290" priority="3915" operator="containsText" text="Missing">
      <formula>NOT(ISERROR(SEARCH("Missing",K2442)))</formula>
    </cfRule>
  </conditionalFormatting>
  <conditionalFormatting sqref="K2353">
    <cfRule type="containsText" dxfId="4289" priority="4542" operator="containsText" text="Missing">
      <formula>NOT(ISERROR(SEARCH("Missing",K2353)))</formula>
    </cfRule>
  </conditionalFormatting>
  <conditionalFormatting sqref="J2360">
    <cfRule type="containsText" dxfId="4288" priority="4501" operator="containsText" text="Missing">
      <formula>NOT(ISERROR(SEARCH("Missing",J2360)))</formula>
    </cfRule>
  </conditionalFormatting>
  <conditionalFormatting sqref="K2456">
    <cfRule type="containsText" dxfId="4287" priority="3157" operator="containsText" text="Missing">
      <formula>NOT(ISERROR(SEARCH("Missing",K2456)))</formula>
    </cfRule>
  </conditionalFormatting>
  <conditionalFormatting sqref="J2406">
    <cfRule type="containsText" dxfId="4286" priority="3831" operator="containsText" text="Missing">
      <formula>NOT(ISERROR(SEARCH("Missing",J2406)))</formula>
    </cfRule>
  </conditionalFormatting>
  <conditionalFormatting sqref="K2406">
    <cfRule type="containsText" dxfId="4285" priority="3827" operator="containsText" text="Missing">
      <formula>NOT(ISERROR(SEARCH("Missing",K2406)))</formula>
    </cfRule>
  </conditionalFormatting>
  <conditionalFormatting sqref="K2392">
    <cfRule type="containsText" dxfId="4284" priority="4607" operator="containsText" text="Missing">
      <formula>NOT(ISERROR(SEARCH("Missing",K2392)))</formula>
    </cfRule>
  </conditionalFormatting>
  <conditionalFormatting sqref="J2387">
    <cfRule type="containsText" dxfId="4283" priority="4679" operator="containsText" text="Missing">
      <formula>NOT(ISERROR(SEARCH("Missing",J2387)))</formula>
    </cfRule>
  </conditionalFormatting>
  <conditionalFormatting sqref="K2406">
    <cfRule type="containsText" dxfId="4282" priority="3826" operator="containsText" text="Missing">
      <formula>NOT(ISERROR(SEARCH("Missing",K2406)))</formula>
    </cfRule>
  </conditionalFormatting>
  <conditionalFormatting sqref="L2456">
    <cfRule type="containsText" dxfId="4281" priority="3161" operator="containsText" text="Positive">
      <formula>NOT(ISERROR(SEARCH("Positive",L2456)))</formula>
    </cfRule>
    <cfRule type="containsText" dxfId="4280" priority="3162" operator="containsText" text="Negative">
      <formula>NOT(ISERROR(SEARCH("Negative",L2456)))</formula>
    </cfRule>
  </conditionalFormatting>
  <conditionalFormatting sqref="L2386">
    <cfRule type="containsText" dxfId="4279" priority="4695" operator="containsText" text="Positive">
      <formula>NOT(ISERROR(SEARCH("Positive",L2386)))</formula>
    </cfRule>
    <cfRule type="containsText" dxfId="4278" priority="4696" operator="containsText" text="Negative">
      <formula>NOT(ISERROR(SEARCH("Negative",L2386)))</formula>
    </cfRule>
  </conditionalFormatting>
  <conditionalFormatting sqref="H2443">
    <cfRule type="containsText" dxfId="4277" priority="3890" operator="containsText" text="Missing">
      <formula>NOT(ISERROR(SEARCH("Missing",H2443)))</formula>
    </cfRule>
  </conditionalFormatting>
  <conditionalFormatting sqref="L2387">
    <cfRule type="containsText" dxfId="4276" priority="4685" operator="containsText" text="Positive">
      <formula>NOT(ISERROR(SEARCH("Positive",L2387)))</formula>
    </cfRule>
    <cfRule type="containsText" dxfId="4275" priority="4686" operator="containsText" text="Negative">
      <formula>NOT(ISERROR(SEARCH("Negative",L2387)))</formula>
    </cfRule>
  </conditionalFormatting>
  <conditionalFormatting sqref="K2411">
    <cfRule type="containsText" dxfId="4274" priority="3815" operator="containsText" text="Missing">
      <formula>NOT(ISERROR(SEARCH("Missing",K2411)))</formula>
    </cfRule>
  </conditionalFormatting>
  <conditionalFormatting sqref="K2411">
    <cfRule type="containsText" dxfId="4273" priority="3814" operator="containsText" text="Missing">
      <formula>NOT(ISERROR(SEARCH("Missing",K2411)))</formula>
    </cfRule>
  </conditionalFormatting>
  <conditionalFormatting sqref="J2388">
    <cfRule type="containsText" dxfId="4272" priority="4667" operator="containsText" text="Missing">
      <formula>NOT(ISERROR(SEARCH("Missing",J2388)))</formula>
    </cfRule>
  </conditionalFormatting>
  <conditionalFormatting sqref="J2388">
    <cfRule type="containsText" dxfId="4271" priority="4668" operator="containsText" text="Missing">
      <formula>NOT(ISERROR(SEARCH("Missing",J2388)))</formula>
    </cfRule>
  </conditionalFormatting>
  <conditionalFormatting sqref="K2388">
    <cfRule type="containsText" dxfId="4270" priority="4664" operator="containsText" text="Missing">
      <formula>NOT(ISERROR(SEARCH("Missing",K2388)))</formula>
    </cfRule>
  </conditionalFormatting>
  <conditionalFormatting sqref="J2456">
    <cfRule type="containsText" dxfId="4269" priority="3160" operator="containsText" text="Missing">
      <formula>NOT(ISERROR(SEARCH("Missing",J2456)))</formula>
    </cfRule>
  </conditionalFormatting>
  <conditionalFormatting sqref="L2388">
    <cfRule type="containsText" dxfId="4268" priority="4673" operator="containsText" text="Positive">
      <formula>NOT(ISERROR(SEARCH("Positive",L2388)))</formula>
    </cfRule>
    <cfRule type="containsText" dxfId="4267" priority="4674" operator="containsText" text="Negative">
      <formula>NOT(ISERROR(SEARCH("Negative",L2388)))</formula>
    </cfRule>
  </conditionalFormatting>
  <conditionalFormatting sqref="L2388">
    <cfRule type="containsText" dxfId="4266" priority="4671" operator="containsText" text="Positive">
      <formula>NOT(ISERROR(SEARCH("Positive",L2388)))</formula>
    </cfRule>
    <cfRule type="containsText" dxfId="4265" priority="4672" operator="containsText" text="Negative">
      <formula>NOT(ISERROR(SEARCH("Negative",L2388)))</formula>
    </cfRule>
  </conditionalFormatting>
  <conditionalFormatting sqref="K2395">
    <cfRule type="containsText" dxfId="4264" priority="4560" operator="containsText" text="Missing">
      <formula>NOT(ISERROR(SEARCH("Missing",K2395)))</formula>
    </cfRule>
  </conditionalFormatting>
  <conditionalFormatting sqref="H2444">
    <cfRule type="containsText" dxfId="4263" priority="3889" operator="containsText" text="Missing">
      <formula>NOT(ISERROR(SEARCH("Missing",H2444)))</formula>
    </cfRule>
  </conditionalFormatting>
  <conditionalFormatting sqref="L2389">
    <cfRule type="containsText" dxfId="4262" priority="4661" operator="containsText" text="Positive">
      <formula>NOT(ISERROR(SEARCH("Positive",L2389)))</formula>
    </cfRule>
    <cfRule type="containsText" dxfId="4261" priority="4662" operator="containsText" text="Negative">
      <formula>NOT(ISERROR(SEARCH("Negative",L2389)))</formula>
    </cfRule>
  </conditionalFormatting>
  <conditionalFormatting sqref="L2389">
    <cfRule type="containsText" dxfId="4260" priority="4657" operator="containsText" text="Positive">
      <formula>NOT(ISERROR(SEARCH("Positive",L2389)))</formula>
    </cfRule>
    <cfRule type="containsText" dxfId="4259" priority="4658" operator="containsText" text="Negative">
      <formula>NOT(ISERROR(SEARCH("Negative",L2389)))</formula>
    </cfRule>
  </conditionalFormatting>
  <conditionalFormatting sqref="L2389">
    <cfRule type="containsText" dxfId="4258" priority="4659" operator="containsText" text="Positive">
      <formula>NOT(ISERROR(SEARCH("Positive",L2389)))</formula>
    </cfRule>
    <cfRule type="containsText" dxfId="4257" priority="4660" operator="containsText" text="Negative">
      <formula>NOT(ISERROR(SEARCH("Negative",L2389)))</formula>
    </cfRule>
  </conditionalFormatting>
  <conditionalFormatting sqref="K2389">
    <cfRule type="containsText" dxfId="4256" priority="4652" operator="containsText" text="Missing">
      <formula>NOT(ISERROR(SEARCH("Missing",K2389)))</formula>
    </cfRule>
  </conditionalFormatting>
  <conditionalFormatting sqref="K2391">
    <cfRule type="containsText" dxfId="4255" priority="4619" operator="containsText" text="Missing">
      <formula>NOT(ISERROR(SEARCH("Missing",K2391)))</formula>
    </cfRule>
  </conditionalFormatting>
  <conditionalFormatting sqref="J2353">
    <cfRule type="containsText" dxfId="4254" priority="4546" operator="containsText" text="Missing">
      <formula>NOT(ISERROR(SEARCH("Missing",J2353)))</formula>
    </cfRule>
  </conditionalFormatting>
  <conditionalFormatting sqref="H2388">
    <cfRule type="containsText" dxfId="4253" priority="4649" operator="containsText" text="Missing">
      <formula>NOT(ISERROR(SEARCH("Missing",H2388)))</formula>
    </cfRule>
  </conditionalFormatting>
  <conditionalFormatting sqref="K2354">
    <cfRule type="containsText" dxfId="4252" priority="4528" operator="containsText" text="Missing">
      <formula>NOT(ISERROR(SEARCH("Missing",K2354)))</formula>
    </cfRule>
  </conditionalFormatting>
  <conditionalFormatting sqref="J2353">
    <cfRule type="containsText" dxfId="4251" priority="4551" operator="containsText" text="Missing">
      <formula>NOT(ISERROR(SEARCH("Missing",J2353)))</formula>
    </cfRule>
  </conditionalFormatting>
  <conditionalFormatting sqref="J2360">
    <cfRule type="containsText" dxfId="4250" priority="4506" operator="containsText" text="Missing">
      <formula>NOT(ISERROR(SEARCH("Missing",J2360)))</formula>
    </cfRule>
  </conditionalFormatting>
  <conditionalFormatting sqref="K2392">
    <cfRule type="containsText" dxfId="4249" priority="4609" operator="containsText" text="Missing">
      <formula>NOT(ISERROR(SEARCH("Missing",K2392)))</formula>
    </cfRule>
  </conditionalFormatting>
  <conditionalFormatting sqref="K2392">
    <cfRule type="containsText" dxfId="4248" priority="4608" operator="containsText" text="Missing">
      <formula>NOT(ISERROR(SEARCH("Missing",K2392)))</formula>
    </cfRule>
  </conditionalFormatting>
  <conditionalFormatting sqref="J2390">
    <cfRule type="containsText" dxfId="4247" priority="4634" operator="containsText" text="Missing">
      <formula>NOT(ISERROR(SEARCH("Missing",J2390)))</formula>
    </cfRule>
  </conditionalFormatting>
  <conditionalFormatting sqref="K2353">
    <cfRule type="containsText" dxfId="4246" priority="4543" operator="containsText" text="Missing">
      <formula>NOT(ISERROR(SEARCH("Missing",K2353)))</formula>
    </cfRule>
  </conditionalFormatting>
  <conditionalFormatting sqref="K2355">
    <cfRule type="containsText" dxfId="4245" priority="4513" operator="containsText" text="Missing">
      <formula>NOT(ISERROR(SEARCH("Missing",K2355)))</formula>
    </cfRule>
  </conditionalFormatting>
  <conditionalFormatting sqref="J2390">
    <cfRule type="containsText" dxfId="4244" priority="4635" operator="containsText" text="Missing">
      <formula>NOT(ISERROR(SEARCH("Missing",J2390)))</formula>
    </cfRule>
  </conditionalFormatting>
  <conditionalFormatting sqref="K2353">
    <cfRule type="containsText" dxfId="4243" priority="4541" operator="containsText" text="Missing">
      <formula>NOT(ISERROR(SEARCH("Missing",K2353)))</formula>
    </cfRule>
  </conditionalFormatting>
  <conditionalFormatting sqref="J2354">
    <cfRule type="containsText" dxfId="4242" priority="4531" operator="containsText" text="Missing">
      <formula>NOT(ISERROR(SEARCH("Missing",J2354)))</formula>
    </cfRule>
  </conditionalFormatting>
  <conditionalFormatting sqref="J2391">
    <cfRule type="containsText" dxfId="4241" priority="4622" operator="containsText" text="Missing">
      <formula>NOT(ISERROR(SEARCH("Missing",J2391)))</formula>
    </cfRule>
  </conditionalFormatting>
  <conditionalFormatting sqref="H2412">
    <cfRule type="containsText" dxfId="4240" priority="3799" operator="containsText" text="Missing">
      <formula>NOT(ISERROR(SEARCH("Missing",H2412)))</formula>
    </cfRule>
  </conditionalFormatting>
  <conditionalFormatting sqref="L2390">
    <cfRule type="containsText" dxfId="4239" priority="4640" operator="containsText" text="Positive">
      <formula>NOT(ISERROR(SEARCH("Positive",L2390)))</formula>
    </cfRule>
    <cfRule type="containsText" dxfId="4238" priority="4641" operator="containsText" text="Negative">
      <formula>NOT(ISERROR(SEARCH("Negative",L2390)))</formula>
    </cfRule>
  </conditionalFormatting>
  <conditionalFormatting sqref="L2390">
    <cfRule type="containsText" dxfId="4237" priority="4636" operator="containsText" text="Positive">
      <formula>NOT(ISERROR(SEARCH("Positive",L2390)))</formula>
    </cfRule>
    <cfRule type="containsText" dxfId="4236" priority="4637" operator="containsText" text="Negative">
      <formula>NOT(ISERROR(SEARCH("Negative",L2390)))</formula>
    </cfRule>
  </conditionalFormatting>
  <conditionalFormatting sqref="L2390">
    <cfRule type="containsText" dxfId="4235" priority="4638" operator="containsText" text="Positive">
      <formula>NOT(ISERROR(SEARCH("Positive",L2390)))</formula>
    </cfRule>
    <cfRule type="containsText" dxfId="4234" priority="4639" operator="containsText" text="Negative">
      <formula>NOT(ISERROR(SEARCH("Negative",L2390)))</formula>
    </cfRule>
  </conditionalFormatting>
  <conditionalFormatting sqref="J2391">
    <cfRule type="containsText" dxfId="4233" priority="4623" operator="containsText" text="Missing">
      <formula>NOT(ISERROR(SEARCH("Missing",J2391)))</formula>
    </cfRule>
  </conditionalFormatting>
  <conditionalFormatting sqref="K2391">
    <cfRule type="containsText" dxfId="4232" priority="4620" operator="containsText" text="Missing">
      <formula>NOT(ISERROR(SEARCH("Missing",K2391)))</formula>
    </cfRule>
  </conditionalFormatting>
  <conditionalFormatting sqref="L2391">
    <cfRule type="containsText" dxfId="4231" priority="4628" operator="containsText" text="Positive">
      <formula>NOT(ISERROR(SEARCH("Positive",L2391)))</formula>
    </cfRule>
    <cfRule type="containsText" dxfId="4230" priority="4629" operator="containsText" text="Negative">
      <formula>NOT(ISERROR(SEARCH("Negative",L2391)))</formula>
    </cfRule>
  </conditionalFormatting>
  <conditionalFormatting sqref="L2391">
    <cfRule type="containsText" dxfId="4229" priority="4626" operator="containsText" text="Positive">
      <formula>NOT(ISERROR(SEARCH("Positive",L2391)))</formula>
    </cfRule>
    <cfRule type="containsText" dxfId="4228" priority="4627" operator="containsText" text="Negative">
      <formula>NOT(ISERROR(SEARCH("Negative",L2391)))</formula>
    </cfRule>
  </conditionalFormatting>
  <conditionalFormatting sqref="K2461">
    <cfRule type="containsText" dxfId="4227" priority="3143" operator="containsText" text="Missing">
      <formula>NOT(ISERROR(SEARCH("Missing",K2461)))</formula>
    </cfRule>
  </conditionalFormatting>
  <conditionalFormatting sqref="H2440">
    <cfRule type="containsText" dxfId="4226" priority="3939" operator="containsText" text="Missing">
      <formula>NOT(ISERROR(SEARCH("Missing",H2440)))</formula>
    </cfRule>
  </conditionalFormatting>
  <conditionalFormatting sqref="J2395">
    <cfRule type="containsText" dxfId="4225" priority="4563" operator="containsText" text="Missing">
      <formula>NOT(ISERROR(SEARCH("Missing",J2395)))</formula>
    </cfRule>
  </conditionalFormatting>
  <conditionalFormatting sqref="K2405">
    <cfRule type="containsText" dxfId="4224" priority="3839" operator="containsText" text="Missing">
      <formula>NOT(ISERROR(SEARCH("Missing",K2405)))</formula>
    </cfRule>
  </conditionalFormatting>
  <conditionalFormatting sqref="J2395">
    <cfRule type="containsText" dxfId="4223" priority="4562" operator="containsText" text="Missing">
      <formula>NOT(ISERROR(SEARCH("Missing",J2395)))</formula>
    </cfRule>
  </conditionalFormatting>
  <conditionalFormatting sqref="J2406">
    <cfRule type="containsText" dxfId="4222" priority="3836" operator="containsText" text="Missing">
      <formula>NOT(ISERROR(SEARCH("Missing",J2406)))</formula>
    </cfRule>
  </conditionalFormatting>
  <conditionalFormatting sqref="I2393">
    <cfRule type="containsText" dxfId="4221" priority="4410" operator="containsText" text="Missing">
      <formula>NOT(ISERROR(SEARCH("Missing",I2393)))</formula>
    </cfRule>
  </conditionalFormatting>
  <conditionalFormatting sqref="L2392">
    <cfRule type="containsText" dxfId="4220" priority="4616" operator="containsText" text="Positive">
      <formula>NOT(ISERROR(SEARCH("Positive",L2392)))</formula>
    </cfRule>
    <cfRule type="containsText" dxfId="4219" priority="4617" operator="containsText" text="Negative">
      <formula>NOT(ISERROR(SEARCH("Negative",L2392)))</formula>
    </cfRule>
  </conditionalFormatting>
  <conditionalFormatting sqref="L2392">
    <cfRule type="containsText" dxfId="4218" priority="4612" operator="containsText" text="Positive">
      <formula>NOT(ISERROR(SEARCH("Positive",L2392)))</formula>
    </cfRule>
    <cfRule type="containsText" dxfId="4217" priority="4613" operator="containsText" text="Negative">
      <formula>NOT(ISERROR(SEARCH("Negative",L2392)))</formula>
    </cfRule>
  </conditionalFormatting>
  <conditionalFormatting sqref="L2392">
    <cfRule type="containsText" dxfId="4216" priority="4614" operator="containsText" text="Positive">
      <formula>NOT(ISERROR(SEARCH("Positive",L2392)))</formula>
    </cfRule>
    <cfRule type="containsText" dxfId="4215" priority="4615" operator="containsText" text="Negative">
      <formula>NOT(ISERROR(SEARCH("Negative",L2392)))</formula>
    </cfRule>
  </conditionalFormatting>
  <conditionalFormatting sqref="H2354">
    <cfRule type="containsText" dxfId="4214" priority="4524" operator="containsText" text="Missing">
      <formula>NOT(ISERROR(SEARCH("Missing",H2354)))</formula>
    </cfRule>
  </conditionalFormatting>
  <conditionalFormatting sqref="L2354">
    <cfRule type="containsText" dxfId="4213" priority="4529" operator="containsText" text="Positive">
      <formula>NOT(ISERROR(SEARCH("Positive",L2354)))</formula>
    </cfRule>
    <cfRule type="containsText" dxfId="4212" priority="4530" operator="containsText" text="Negative">
      <formula>NOT(ISERROR(SEARCH("Negative",L2354)))</formula>
    </cfRule>
  </conditionalFormatting>
  <conditionalFormatting sqref="L2393">
    <cfRule type="containsText" dxfId="4211" priority="4600" operator="containsText" text="Positive">
      <formula>NOT(ISERROR(SEARCH("Positive",L2393)))</formula>
    </cfRule>
    <cfRule type="containsText" dxfId="4210" priority="4601" operator="containsText" text="Negative">
      <formula>NOT(ISERROR(SEARCH("Negative",L2393)))</formula>
    </cfRule>
  </conditionalFormatting>
  <conditionalFormatting sqref="L2393">
    <cfRule type="containsText" dxfId="4209" priority="4602" operator="containsText" text="Positive">
      <formula>NOT(ISERROR(SEARCH("Positive",L2393)))</formula>
    </cfRule>
    <cfRule type="containsText" dxfId="4208" priority="4603" operator="containsText" text="Negative">
      <formula>NOT(ISERROR(SEARCH("Negative",L2393)))</formula>
    </cfRule>
  </conditionalFormatting>
  <conditionalFormatting sqref="I2355">
    <cfRule type="containsText" dxfId="4207" priority="4403" operator="containsText" text="Missing">
      <formula>NOT(ISERROR(SEARCH("Missing",I2355)))</formula>
    </cfRule>
  </conditionalFormatting>
  <conditionalFormatting sqref="K2354">
    <cfRule type="containsText" dxfId="4206" priority="4526" operator="containsText" text="Missing">
      <formula>NOT(ISERROR(SEARCH("Missing",K2354)))</formula>
    </cfRule>
  </conditionalFormatting>
  <conditionalFormatting sqref="J2362">
    <cfRule type="containsText" dxfId="4205" priority="4471" operator="containsText" text="Missing">
      <formula>NOT(ISERROR(SEARCH("Missing",J2362)))</formula>
    </cfRule>
  </conditionalFormatting>
  <conditionalFormatting sqref="H2353">
    <cfRule type="containsText" dxfId="4204" priority="4539" operator="containsText" text="Missing">
      <formula>NOT(ISERROR(SEARCH("Missing",H2353)))</formula>
    </cfRule>
  </conditionalFormatting>
  <conditionalFormatting sqref="K2412">
    <cfRule type="containsText" dxfId="4203" priority="3800" operator="containsText" text="Missing">
      <formula>NOT(ISERROR(SEARCH("Missing",K2412)))</formula>
    </cfRule>
  </conditionalFormatting>
  <conditionalFormatting sqref="H2353">
    <cfRule type="containsText" dxfId="4202" priority="4540" operator="containsText" text="Missing">
      <formula>NOT(ISERROR(SEARCH("Missing",H2353)))</formula>
    </cfRule>
  </conditionalFormatting>
  <conditionalFormatting sqref="K2412">
    <cfRule type="containsText" dxfId="4201" priority="3801" operator="containsText" text="Missing">
      <formula>NOT(ISERROR(SEARCH("Missing",K2412)))</formula>
    </cfRule>
  </conditionalFormatting>
  <conditionalFormatting sqref="K2355">
    <cfRule type="containsText" dxfId="4200" priority="4512" operator="containsText" text="Missing">
      <formula>NOT(ISERROR(SEARCH("Missing",K2355)))</formula>
    </cfRule>
  </conditionalFormatting>
  <conditionalFormatting sqref="K2355">
    <cfRule type="containsText" dxfId="4199" priority="4511" operator="containsText" text="Missing">
      <formula>NOT(ISERROR(SEARCH("Missing",K2355)))</formula>
    </cfRule>
  </conditionalFormatting>
  <conditionalFormatting sqref="H2412">
    <cfRule type="containsText" dxfId="4198" priority="3798" operator="containsText" text="Missing">
      <formula>NOT(ISERROR(SEARCH("Missing",H2412)))</formula>
    </cfRule>
  </conditionalFormatting>
  <conditionalFormatting sqref="J2405">
    <cfRule type="containsText" dxfId="4197" priority="3849" operator="containsText" text="Missing">
      <formula>NOT(ISERROR(SEARCH("Missing",J2405)))</formula>
    </cfRule>
  </conditionalFormatting>
  <conditionalFormatting sqref="J2354">
    <cfRule type="containsText" dxfId="4196" priority="4536" operator="containsText" text="Missing">
      <formula>NOT(ISERROR(SEARCH("Missing",J2354)))</formula>
    </cfRule>
  </conditionalFormatting>
  <conditionalFormatting sqref="I2361">
    <cfRule type="containsText" dxfId="4195" priority="4399" operator="containsText" text="Missing">
      <formula>NOT(ISERROR(SEARCH("Missing",I2361)))</formula>
    </cfRule>
  </conditionalFormatting>
  <conditionalFormatting sqref="H2413">
    <cfRule type="containsText" dxfId="4194" priority="3786" operator="containsText" text="Missing">
      <formula>NOT(ISERROR(SEARCH("Missing",H2413)))</formula>
    </cfRule>
  </conditionalFormatting>
  <conditionalFormatting sqref="K2354">
    <cfRule type="containsText" dxfId="4193" priority="4527" operator="containsText" text="Missing">
      <formula>NOT(ISERROR(SEARCH("Missing",K2354)))</formula>
    </cfRule>
  </conditionalFormatting>
  <conditionalFormatting sqref="H2462">
    <cfRule type="containsText" dxfId="4192" priority="3128" operator="containsText" text="Missing">
      <formula>NOT(ISERROR(SEARCH("Missing",H2462)))</formula>
    </cfRule>
  </conditionalFormatting>
  <conditionalFormatting sqref="K2413">
    <cfRule type="containsText" dxfId="4191" priority="3787" operator="containsText" text="Missing">
      <formula>NOT(ISERROR(SEARCH("Missing",K2413)))</formula>
    </cfRule>
  </conditionalFormatting>
  <conditionalFormatting sqref="H2354">
    <cfRule type="containsText" dxfId="4190" priority="4525" operator="containsText" text="Missing">
      <formula>NOT(ISERROR(SEARCH("Missing",H2354)))</formula>
    </cfRule>
  </conditionalFormatting>
  <conditionalFormatting sqref="K2418">
    <cfRule type="containsText" dxfId="4189" priority="3775" operator="containsText" text="Missing">
      <formula>NOT(ISERROR(SEARCH("Missing",K2418)))</formula>
    </cfRule>
  </conditionalFormatting>
  <conditionalFormatting sqref="L2354">
    <cfRule type="containsText" dxfId="4188" priority="4534" operator="containsText" text="Positive">
      <formula>NOT(ISERROR(SEARCH("Positive",L2354)))</formula>
    </cfRule>
    <cfRule type="containsText" dxfId="4187" priority="4535" operator="containsText" text="Negative">
      <formula>NOT(ISERROR(SEARCH("Negative",L2354)))</formula>
    </cfRule>
  </conditionalFormatting>
  <conditionalFormatting sqref="L2394">
    <cfRule type="containsText" dxfId="4186" priority="4575" operator="containsText" text="Positive">
      <formula>NOT(ISERROR(SEARCH("Positive",L2394)))</formula>
    </cfRule>
    <cfRule type="containsText" dxfId="4185" priority="4576" operator="containsText" text="Negative">
      <formula>NOT(ISERROR(SEARCH("Negative",L2394)))</formula>
    </cfRule>
  </conditionalFormatting>
  <conditionalFormatting sqref="L2354">
    <cfRule type="containsText" dxfId="4184" priority="4532" operator="containsText" text="Positive">
      <formula>NOT(ISERROR(SEARCH("Positive",L2354)))</formula>
    </cfRule>
    <cfRule type="containsText" dxfId="4183" priority="4533" operator="containsText" text="Negative">
      <formula>NOT(ISERROR(SEARCH("Negative",L2354)))</formula>
    </cfRule>
  </conditionalFormatting>
  <conditionalFormatting sqref="L2395">
    <cfRule type="containsText" dxfId="4182" priority="4568" operator="containsText" text="Positive">
      <formula>NOT(ISERROR(SEARCH("Positive",L2395)))</formula>
    </cfRule>
    <cfRule type="containsText" dxfId="4181" priority="4569" operator="containsText" text="Negative">
      <formula>NOT(ISERROR(SEARCH("Negative",L2395)))</formula>
    </cfRule>
  </conditionalFormatting>
  <conditionalFormatting sqref="L2395">
    <cfRule type="containsText" dxfId="4180" priority="4566" operator="containsText" text="Positive">
      <formula>NOT(ISERROR(SEARCH("Positive",L2395)))</formula>
    </cfRule>
    <cfRule type="containsText" dxfId="4179" priority="4567" operator="containsText" text="Negative">
      <formula>NOT(ISERROR(SEARCH("Negative",L2395)))</formula>
    </cfRule>
  </conditionalFormatting>
  <conditionalFormatting sqref="I2362">
    <cfRule type="containsText" dxfId="4178" priority="4398" operator="containsText" text="Missing">
      <formula>NOT(ISERROR(SEARCH("Missing",I2362)))</formula>
    </cfRule>
  </conditionalFormatting>
  <conditionalFormatting sqref="K2455">
    <cfRule type="containsText" dxfId="4177" priority="3168" operator="containsText" text="Missing">
      <formula>NOT(ISERROR(SEARCH("Missing",K2455)))</formula>
    </cfRule>
  </conditionalFormatting>
  <conditionalFormatting sqref="H2456">
    <cfRule type="containsText" dxfId="4176" priority="3154" operator="containsText" text="Missing">
      <formula>NOT(ISERROR(SEARCH("Missing",H2456)))</formula>
    </cfRule>
  </conditionalFormatting>
  <conditionalFormatting sqref="J2412">
    <cfRule type="containsText" dxfId="4175" priority="3810" operator="containsText" text="Missing">
      <formula>NOT(ISERROR(SEARCH("Missing",J2412)))</formula>
    </cfRule>
  </conditionalFormatting>
  <conditionalFormatting sqref="H2461">
    <cfRule type="containsText" dxfId="4174" priority="3141" operator="containsText" text="Missing">
      <formula>NOT(ISERROR(SEARCH("Missing",H2461)))</formula>
    </cfRule>
  </conditionalFormatting>
  <conditionalFormatting sqref="H2411">
    <cfRule type="containsText" dxfId="4173" priority="3811" operator="containsText" text="Missing">
      <formula>NOT(ISERROR(SEARCH("Missing",H2411)))</formula>
    </cfRule>
  </conditionalFormatting>
  <conditionalFormatting sqref="K2362">
    <cfRule type="containsText" dxfId="4172" priority="4466" operator="containsText" text="Missing">
      <formula>NOT(ISERROR(SEARCH("Missing",K2362)))</formula>
    </cfRule>
  </conditionalFormatting>
  <conditionalFormatting sqref="J2419">
    <cfRule type="containsText" dxfId="4171" priority="3771" operator="containsText" text="Missing">
      <formula>NOT(ISERROR(SEARCH("Missing",J2419)))</formula>
    </cfRule>
  </conditionalFormatting>
  <conditionalFormatting sqref="J2355">
    <cfRule type="containsText" dxfId="4170" priority="4516" operator="containsText" text="Missing">
      <formula>NOT(ISERROR(SEARCH("Missing",J2355)))</formula>
    </cfRule>
  </conditionalFormatting>
  <conditionalFormatting sqref="K2362">
    <cfRule type="containsText" dxfId="4169" priority="4467" operator="containsText" text="Missing">
      <formula>NOT(ISERROR(SEARCH("Missing",K2362)))</formula>
    </cfRule>
  </conditionalFormatting>
  <conditionalFormatting sqref="H2361">
    <cfRule type="containsText" dxfId="4168" priority="4480" operator="containsText" text="Missing">
      <formula>NOT(ISERROR(SEARCH("Missing",H2361)))</formula>
    </cfRule>
  </conditionalFormatting>
  <conditionalFormatting sqref="H2362">
    <cfRule type="containsText" dxfId="4167" priority="4465" operator="containsText" text="Missing">
      <formula>NOT(ISERROR(SEARCH("Missing",H2362)))</formula>
    </cfRule>
  </conditionalFormatting>
  <conditionalFormatting sqref="K2362">
    <cfRule type="containsText" dxfId="4166" priority="4468" operator="containsText" text="Missing">
      <formula>NOT(ISERROR(SEARCH("Missing",K2362)))</formula>
    </cfRule>
  </conditionalFormatting>
  <conditionalFormatting sqref="H2463">
    <cfRule type="containsText" dxfId="4165" priority="3115" operator="containsText" text="Missing">
      <formula>NOT(ISERROR(SEARCH("Missing",H2463)))</formula>
    </cfRule>
  </conditionalFormatting>
  <conditionalFormatting sqref="K2413">
    <cfRule type="containsText" dxfId="4164" priority="3789" operator="containsText" text="Missing">
      <formula>NOT(ISERROR(SEARCH("Missing",K2413)))</formula>
    </cfRule>
  </conditionalFormatting>
  <conditionalFormatting sqref="J2367">
    <cfRule type="containsText" dxfId="4163" priority="4456" operator="containsText" text="Missing">
      <formula>NOT(ISERROR(SEARCH("Missing",J2367)))</formula>
    </cfRule>
  </conditionalFormatting>
  <conditionalFormatting sqref="L2413">
    <cfRule type="containsText" dxfId="4162" priority="3790" operator="containsText" text="Positive">
      <formula>NOT(ISERROR(SEARCH("Positive",L2413)))</formula>
    </cfRule>
    <cfRule type="containsText" dxfId="4161" priority="3791" operator="containsText" text="Negative">
      <formula>NOT(ISERROR(SEARCH("Negative",L2413)))</formula>
    </cfRule>
  </conditionalFormatting>
  <conditionalFormatting sqref="J2418">
    <cfRule type="containsText" dxfId="4160" priority="3784" operator="containsText" text="Missing">
      <formula>NOT(ISERROR(SEARCH("Missing",J2418)))</formula>
    </cfRule>
  </conditionalFormatting>
  <conditionalFormatting sqref="K2367">
    <cfRule type="containsText" dxfId="4159" priority="4453" operator="containsText" text="Missing">
      <formula>NOT(ISERROR(SEARCH("Missing",K2367)))</formula>
    </cfRule>
  </conditionalFormatting>
  <conditionalFormatting sqref="K2367">
    <cfRule type="containsText" dxfId="4158" priority="4451" operator="containsText" text="Missing">
      <formula>NOT(ISERROR(SEARCH("Missing",K2367)))</formula>
    </cfRule>
  </conditionalFormatting>
  <conditionalFormatting sqref="K2367">
    <cfRule type="containsText" dxfId="4157" priority="4452" operator="containsText" text="Missing">
      <formula>NOT(ISERROR(SEARCH("Missing",K2367)))</formula>
    </cfRule>
  </conditionalFormatting>
  <conditionalFormatting sqref="I2367">
    <cfRule type="containsText" dxfId="4156" priority="4396" operator="containsText" text="Missing">
      <formula>NOT(ISERROR(SEARCH("Missing",I2367)))</formula>
    </cfRule>
  </conditionalFormatting>
  <conditionalFormatting sqref="J2413">
    <cfRule type="containsText" dxfId="4155" priority="3797" operator="containsText" text="Missing">
      <formula>NOT(ISERROR(SEARCH("Missing",J2413)))</formula>
    </cfRule>
  </conditionalFormatting>
  <conditionalFormatting sqref="I2368">
    <cfRule type="containsText" dxfId="4154" priority="4394" operator="containsText" text="Missing">
      <formula>NOT(ISERROR(SEARCH("Missing",I2368)))</formula>
    </cfRule>
  </conditionalFormatting>
  <conditionalFormatting sqref="K2462">
    <cfRule type="containsText" dxfId="4153" priority="3129" operator="containsText" text="Missing">
      <formula>NOT(ISERROR(SEARCH("Missing",K2462)))</formula>
    </cfRule>
  </conditionalFormatting>
  <conditionalFormatting sqref="I2367">
    <cfRule type="containsText" dxfId="4152" priority="4395" operator="containsText" text="Missing">
      <formula>NOT(ISERROR(SEARCH("Missing",I2367)))</formula>
    </cfRule>
  </conditionalFormatting>
  <conditionalFormatting sqref="L2355">
    <cfRule type="containsText" dxfId="4151" priority="4514" operator="containsText" text="Positive">
      <formula>NOT(ISERROR(SEARCH("Positive",L2355)))</formula>
    </cfRule>
    <cfRule type="containsText" dxfId="4150" priority="4515" operator="containsText" text="Negative">
      <formula>NOT(ISERROR(SEARCH("Negative",L2355)))</formula>
    </cfRule>
  </conditionalFormatting>
  <conditionalFormatting sqref="L2355">
    <cfRule type="containsText" dxfId="4149" priority="4519" operator="containsText" text="Positive">
      <formula>NOT(ISERROR(SEARCH("Positive",L2355)))</formula>
    </cfRule>
    <cfRule type="containsText" dxfId="4148" priority="4520" operator="containsText" text="Negative">
      <formula>NOT(ISERROR(SEARCH("Negative",L2355)))</formula>
    </cfRule>
  </conditionalFormatting>
  <conditionalFormatting sqref="L2355">
    <cfRule type="containsText" dxfId="4147" priority="4517" operator="containsText" text="Positive">
      <formula>NOT(ISERROR(SEARCH("Positive",L2355)))</formula>
    </cfRule>
    <cfRule type="containsText" dxfId="4146" priority="4518" operator="containsText" text="Negative">
      <formula>NOT(ISERROR(SEARCH("Negative",L2355)))</formula>
    </cfRule>
  </conditionalFormatting>
  <conditionalFormatting sqref="J2355">
    <cfRule type="containsText" dxfId="4145" priority="4521" operator="containsText" text="Missing">
      <formula>NOT(ISERROR(SEARCH("Missing",J2355)))</formula>
    </cfRule>
  </conditionalFormatting>
  <conditionalFormatting sqref="H2355">
    <cfRule type="containsText" dxfId="4144" priority="4509" operator="containsText" text="Missing">
      <formula>NOT(ISERROR(SEARCH("Missing",H2355)))</formula>
    </cfRule>
  </conditionalFormatting>
  <conditionalFormatting sqref="H2360">
    <cfRule type="containsText" dxfId="4143" priority="4494" operator="containsText" text="Missing">
      <formula>NOT(ISERROR(SEARCH("Missing",H2360)))</formula>
    </cfRule>
  </conditionalFormatting>
  <conditionalFormatting sqref="K2456">
    <cfRule type="containsText" dxfId="4142" priority="3155" operator="containsText" text="Missing">
      <formula>NOT(ISERROR(SEARCH("Missing",K2456)))</formula>
    </cfRule>
  </conditionalFormatting>
  <conditionalFormatting sqref="K2456">
    <cfRule type="containsText" dxfId="4141" priority="3156" operator="containsText" text="Missing">
      <formula>NOT(ISERROR(SEARCH("Missing",K2456)))</formula>
    </cfRule>
  </conditionalFormatting>
  <conditionalFormatting sqref="I2418">
    <cfRule type="containsText" dxfId="4140" priority="3725" operator="containsText" text="Missing">
      <formula>NOT(ISERROR(SEARCH("Missing",I2418)))</formula>
    </cfRule>
  </conditionalFormatting>
  <conditionalFormatting sqref="H2456">
    <cfRule type="containsText" dxfId="4139" priority="3153" operator="containsText" text="Missing">
      <formula>NOT(ISERROR(SEARCH("Missing",H2456)))</formula>
    </cfRule>
  </conditionalFormatting>
  <conditionalFormatting sqref="I2419">
    <cfRule type="containsText" dxfId="4138" priority="3723" operator="containsText" text="Missing">
      <formula>NOT(ISERROR(SEARCH("Missing",I2419)))</formula>
    </cfRule>
  </conditionalFormatting>
  <conditionalFormatting sqref="I2418">
    <cfRule type="containsText" dxfId="4137" priority="3724" operator="containsText" text="Missing">
      <formula>NOT(ISERROR(SEARCH("Missing",I2418)))</formula>
    </cfRule>
  </conditionalFormatting>
  <conditionalFormatting sqref="I2362">
    <cfRule type="containsText" dxfId="4136" priority="4397" operator="containsText" text="Missing">
      <formula>NOT(ISERROR(SEARCH("Missing",I2362)))</formula>
    </cfRule>
  </conditionalFormatting>
  <conditionalFormatting sqref="I2361">
    <cfRule type="containsText" dxfId="4135" priority="4400" operator="containsText" text="Missing">
      <formula>NOT(ISERROR(SEARCH("Missing",I2361)))</formula>
    </cfRule>
  </conditionalFormatting>
  <conditionalFormatting sqref="L2360">
    <cfRule type="containsText" dxfId="4134" priority="4499" operator="containsText" text="Positive">
      <formula>NOT(ISERROR(SEARCH("Positive",L2360)))</formula>
    </cfRule>
    <cfRule type="containsText" dxfId="4133" priority="4500" operator="containsText" text="Negative">
      <formula>NOT(ISERROR(SEARCH("Negative",L2360)))</formula>
    </cfRule>
  </conditionalFormatting>
  <conditionalFormatting sqref="L2360">
    <cfRule type="containsText" dxfId="4132" priority="4504" operator="containsText" text="Positive">
      <formula>NOT(ISERROR(SEARCH("Positive",L2360)))</formula>
    </cfRule>
    <cfRule type="containsText" dxfId="4131" priority="4505" operator="containsText" text="Negative">
      <formula>NOT(ISERROR(SEARCH("Negative",L2360)))</formula>
    </cfRule>
  </conditionalFormatting>
  <conditionalFormatting sqref="L2360">
    <cfRule type="containsText" dxfId="4130" priority="4502" operator="containsText" text="Positive">
      <formula>NOT(ISERROR(SEARCH("Positive",L2360)))</formula>
    </cfRule>
    <cfRule type="containsText" dxfId="4129" priority="4503" operator="containsText" text="Negative">
      <formula>NOT(ISERROR(SEARCH("Negative",L2360)))</formula>
    </cfRule>
  </conditionalFormatting>
  <conditionalFormatting sqref="J2411">
    <cfRule type="containsText" dxfId="4128" priority="3823" operator="containsText" text="Missing">
      <formula>NOT(ISERROR(SEARCH("Missing",J2411)))</formula>
    </cfRule>
  </conditionalFormatting>
  <conditionalFormatting sqref="I2369">
    <cfRule type="containsText" dxfId="4127" priority="4391" operator="containsText" text="Missing">
      <formula>NOT(ISERROR(SEARCH("Missing",I2369)))</formula>
    </cfRule>
  </conditionalFormatting>
  <conditionalFormatting sqref="J2462">
    <cfRule type="containsText" dxfId="4126" priority="3139" operator="containsText" text="Missing">
      <formula>NOT(ISERROR(SEARCH("Missing",J2462)))</formula>
    </cfRule>
  </conditionalFormatting>
  <conditionalFormatting sqref="K2461">
    <cfRule type="containsText" dxfId="4125" priority="3144" operator="containsText" text="Missing">
      <formula>NOT(ISERROR(SEARCH("Missing",K2461)))</formula>
    </cfRule>
  </conditionalFormatting>
  <conditionalFormatting sqref="H2461">
    <cfRule type="containsText" dxfId="4124" priority="3140" operator="containsText" text="Missing">
      <formula>NOT(ISERROR(SEARCH("Missing",H2461)))</formula>
    </cfRule>
  </conditionalFormatting>
  <conditionalFormatting sqref="L2361">
    <cfRule type="containsText" dxfId="4123" priority="4484" operator="containsText" text="Positive">
      <formula>NOT(ISERROR(SEARCH("Positive",L2361)))</formula>
    </cfRule>
    <cfRule type="containsText" dxfId="4122" priority="4485" operator="containsText" text="Negative">
      <formula>NOT(ISERROR(SEARCH("Negative",L2361)))</formula>
    </cfRule>
  </conditionalFormatting>
  <conditionalFormatting sqref="L2361">
    <cfRule type="containsText" dxfId="4121" priority="4489" operator="containsText" text="Positive">
      <formula>NOT(ISERROR(SEARCH("Positive",L2361)))</formula>
    </cfRule>
    <cfRule type="containsText" dxfId="4120" priority="4490" operator="containsText" text="Negative">
      <formula>NOT(ISERROR(SEARCH("Negative",L2361)))</formula>
    </cfRule>
  </conditionalFormatting>
  <conditionalFormatting sqref="L2361">
    <cfRule type="containsText" dxfId="4119" priority="4487" operator="containsText" text="Positive">
      <formula>NOT(ISERROR(SEARCH("Positive",L2361)))</formula>
    </cfRule>
    <cfRule type="containsText" dxfId="4118" priority="4488" operator="containsText" text="Negative">
      <formula>NOT(ISERROR(SEARCH("Negative",L2361)))</formula>
    </cfRule>
  </conditionalFormatting>
  <conditionalFormatting sqref="J2361">
    <cfRule type="containsText" dxfId="4117" priority="4491" operator="containsText" text="Missing">
      <formula>NOT(ISERROR(SEARCH("Missing",J2361)))</formula>
    </cfRule>
  </conditionalFormatting>
  <conditionalFormatting sqref="H2361">
    <cfRule type="containsText" dxfId="4116" priority="4479" operator="containsText" text="Missing">
      <formula>NOT(ISERROR(SEARCH("Missing",H2361)))</formula>
    </cfRule>
  </conditionalFormatting>
  <conditionalFormatting sqref="J2463">
    <cfRule type="containsText" dxfId="4115" priority="3126" operator="containsText" text="Missing">
      <formula>NOT(ISERROR(SEARCH("Missing",J2463)))</formula>
    </cfRule>
  </conditionalFormatting>
  <conditionalFormatting sqref="L2362">
    <cfRule type="containsText" dxfId="4114" priority="4469" operator="containsText" text="Positive">
      <formula>NOT(ISERROR(SEARCH("Positive",L2362)))</formula>
    </cfRule>
    <cfRule type="containsText" dxfId="4113" priority="4470" operator="containsText" text="Negative">
      <formula>NOT(ISERROR(SEARCH("Negative",L2362)))</formula>
    </cfRule>
  </conditionalFormatting>
  <conditionalFormatting sqref="L2362">
    <cfRule type="containsText" dxfId="4112" priority="4474" operator="containsText" text="Positive">
      <formula>NOT(ISERROR(SEARCH("Positive",L2362)))</formula>
    </cfRule>
    <cfRule type="containsText" dxfId="4111" priority="4475" operator="containsText" text="Negative">
      <formula>NOT(ISERROR(SEARCH("Negative",L2362)))</formula>
    </cfRule>
  </conditionalFormatting>
  <conditionalFormatting sqref="L2362">
    <cfRule type="containsText" dxfId="4110" priority="4472" operator="containsText" text="Positive">
      <formula>NOT(ISERROR(SEARCH("Positive",L2362)))</formula>
    </cfRule>
    <cfRule type="containsText" dxfId="4109" priority="4473" operator="containsText" text="Negative">
      <formula>NOT(ISERROR(SEARCH("Negative",L2362)))</formula>
    </cfRule>
  </conditionalFormatting>
  <conditionalFormatting sqref="J2362">
    <cfRule type="containsText" dxfId="4108" priority="4476" operator="containsText" text="Missing">
      <formula>NOT(ISERROR(SEARCH("Missing",J2362)))</formula>
    </cfRule>
  </conditionalFormatting>
  <conditionalFormatting sqref="H2362">
    <cfRule type="containsText" dxfId="4107" priority="4464" operator="containsText" text="Missing">
      <formula>NOT(ISERROR(SEARCH("Missing",H2362)))</formula>
    </cfRule>
  </conditionalFormatting>
  <conditionalFormatting sqref="J2468">
    <cfRule type="containsText" dxfId="4106" priority="3113" operator="containsText" text="Missing">
      <formula>NOT(ISERROR(SEARCH("Missing",J2468)))</formula>
    </cfRule>
  </conditionalFormatting>
  <conditionalFormatting sqref="K2369">
    <cfRule type="containsText" dxfId="4105" priority="4422" operator="containsText" text="Missing">
      <formula>NOT(ISERROR(SEARCH("Missing",K2369)))</formula>
    </cfRule>
  </conditionalFormatting>
  <conditionalFormatting sqref="K2369">
    <cfRule type="containsText" dxfId="4104" priority="4421" operator="containsText" text="Missing">
      <formula>NOT(ISERROR(SEARCH("Missing",K2369)))</formula>
    </cfRule>
  </conditionalFormatting>
  <conditionalFormatting sqref="H2369">
    <cfRule type="containsText" dxfId="4103" priority="4420" operator="containsText" text="Missing">
      <formula>NOT(ISERROR(SEARCH("Missing",H2369)))</formula>
    </cfRule>
  </conditionalFormatting>
  <conditionalFormatting sqref="K2369">
    <cfRule type="containsText" dxfId="4102" priority="4423" operator="containsText" text="Missing">
      <formula>NOT(ISERROR(SEARCH("Missing",K2369)))</formula>
    </cfRule>
  </conditionalFormatting>
  <conditionalFormatting sqref="J2369">
    <cfRule type="containsText" dxfId="4101" priority="4426" operator="containsText" text="Missing">
      <formula>NOT(ISERROR(SEARCH("Missing",J2369)))</formula>
    </cfRule>
  </conditionalFormatting>
  <conditionalFormatting sqref="H2367">
    <cfRule type="containsText" dxfId="4100" priority="4450" operator="containsText" text="Missing">
      <formula>NOT(ISERROR(SEARCH("Missing",H2367)))</formula>
    </cfRule>
  </conditionalFormatting>
  <conditionalFormatting sqref="H2413">
    <cfRule type="containsText" dxfId="4099" priority="3785" operator="containsText" text="Missing">
      <formula>NOT(ISERROR(SEARCH("Missing",H2413)))</formula>
    </cfRule>
  </conditionalFormatting>
  <conditionalFormatting sqref="J2368">
    <cfRule type="containsText" dxfId="4098" priority="4441" operator="containsText" text="Missing">
      <formula>NOT(ISERROR(SEARCH("Missing",J2368)))</formula>
    </cfRule>
  </conditionalFormatting>
  <conditionalFormatting sqref="L2367">
    <cfRule type="containsText" dxfId="4097" priority="4454" operator="containsText" text="Positive">
      <formula>NOT(ISERROR(SEARCH("Positive",L2367)))</formula>
    </cfRule>
    <cfRule type="containsText" dxfId="4096" priority="4455" operator="containsText" text="Negative">
      <formula>NOT(ISERROR(SEARCH("Negative",L2367)))</formula>
    </cfRule>
  </conditionalFormatting>
  <conditionalFormatting sqref="L2367">
    <cfRule type="containsText" dxfId="4095" priority="4459" operator="containsText" text="Positive">
      <formula>NOT(ISERROR(SEARCH("Positive",L2367)))</formula>
    </cfRule>
    <cfRule type="containsText" dxfId="4094" priority="4460" operator="containsText" text="Negative">
      <formula>NOT(ISERROR(SEARCH("Negative",L2367)))</formula>
    </cfRule>
  </conditionalFormatting>
  <conditionalFormatting sqref="L2367">
    <cfRule type="containsText" dxfId="4093" priority="4457" operator="containsText" text="Positive">
      <formula>NOT(ISERROR(SEARCH("Positive",L2367)))</formula>
    </cfRule>
    <cfRule type="containsText" dxfId="4092" priority="4458" operator="containsText" text="Negative">
      <formula>NOT(ISERROR(SEARCH("Negative",L2367)))</formula>
    </cfRule>
  </conditionalFormatting>
  <conditionalFormatting sqref="J2367">
    <cfRule type="containsText" dxfId="4091" priority="4461" operator="containsText" text="Missing">
      <formula>NOT(ISERROR(SEARCH("Missing",J2367)))</formula>
    </cfRule>
  </conditionalFormatting>
  <conditionalFormatting sqref="H2367">
    <cfRule type="containsText" dxfId="4090" priority="4449" operator="containsText" text="Missing">
      <formula>NOT(ISERROR(SEARCH("Missing",H2367)))</formula>
    </cfRule>
  </conditionalFormatting>
  <conditionalFormatting sqref="J2469">
    <cfRule type="containsText" dxfId="4089" priority="3100" operator="containsText" text="Missing">
      <formula>NOT(ISERROR(SEARCH("Missing",J2469)))</formula>
    </cfRule>
  </conditionalFormatting>
  <conditionalFormatting sqref="K2368">
    <cfRule type="containsText" dxfId="4088" priority="4438" operator="containsText" text="Missing">
      <formula>NOT(ISERROR(SEARCH("Missing",K2368)))</formula>
    </cfRule>
  </conditionalFormatting>
  <conditionalFormatting sqref="K2368">
    <cfRule type="containsText" dxfId="4087" priority="4437" operator="containsText" text="Missing">
      <formula>NOT(ISERROR(SEARCH("Missing",K2368)))</formula>
    </cfRule>
  </conditionalFormatting>
  <conditionalFormatting sqref="L2368">
    <cfRule type="containsText" dxfId="4086" priority="4439" operator="containsText" text="Positive">
      <formula>NOT(ISERROR(SEARCH("Positive",L2368)))</formula>
    </cfRule>
    <cfRule type="containsText" dxfId="4085" priority="4440" operator="containsText" text="Negative">
      <formula>NOT(ISERROR(SEARCH("Negative",L2368)))</formula>
    </cfRule>
  </conditionalFormatting>
  <conditionalFormatting sqref="L2368">
    <cfRule type="containsText" dxfId="4084" priority="4444" operator="containsText" text="Positive">
      <formula>NOT(ISERROR(SEARCH("Positive",L2368)))</formula>
    </cfRule>
    <cfRule type="containsText" dxfId="4083" priority="4445" operator="containsText" text="Negative">
      <formula>NOT(ISERROR(SEARCH("Negative",L2368)))</formula>
    </cfRule>
  </conditionalFormatting>
  <conditionalFormatting sqref="L2368">
    <cfRule type="containsText" dxfId="4082" priority="4442" operator="containsText" text="Positive">
      <formula>NOT(ISERROR(SEARCH("Positive",L2368)))</formula>
    </cfRule>
    <cfRule type="containsText" dxfId="4081" priority="4443" operator="containsText" text="Negative">
      <formula>NOT(ISERROR(SEARCH("Negative",L2368)))</formula>
    </cfRule>
  </conditionalFormatting>
  <conditionalFormatting sqref="K2368">
    <cfRule type="containsText" dxfId="4080" priority="4436" operator="containsText" text="Missing">
      <formula>NOT(ISERROR(SEARCH("Missing",K2368)))</formula>
    </cfRule>
  </conditionalFormatting>
  <conditionalFormatting sqref="H2368">
    <cfRule type="containsText" dxfId="4079" priority="4435" operator="containsText" text="Missing">
      <formula>NOT(ISERROR(SEARCH("Missing",H2368)))</formula>
    </cfRule>
  </conditionalFormatting>
  <conditionalFormatting sqref="H2368">
    <cfRule type="containsText" dxfId="4078" priority="4434" operator="containsText" text="Missing">
      <formula>NOT(ISERROR(SEARCH("Missing",H2368)))</formula>
    </cfRule>
  </conditionalFormatting>
  <conditionalFormatting sqref="J2420">
    <cfRule type="containsText" dxfId="4077" priority="3758" operator="containsText" text="Missing">
      <formula>NOT(ISERROR(SEARCH("Missing",J2420)))</formula>
    </cfRule>
  </conditionalFormatting>
  <conditionalFormatting sqref="L2369">
    <cfRule type="containsText" dxfId="4076" priority="4424" operator="containsText" text="Positive">
      <formula>NOT(ISERROR(SEARCH("Positive",L2369)))</formula>
    </cfRule>
    <cfRule type="containsText" dxfId="4075" priority="4425" operator="containsText" text="Negative">
      <formula>NOT(ISERROR(SEARCH("Negative",L2369)))</formula>
    </cfRule>
  </conditionalFormatting>
  <conditionalFormatting sqref="L2369">
    <cfRule type="containsText" dxfId="4074" priority="4429" operator="containsText" text="Positive">
      <formula>NOT(ISERROR(SEARCH("Positive",L2369)))</formula>
    </cfRule>
    <cfRule type="containsText" dxfId="4073" priority="4430" operator="containsText" text="Negative">
      <formula>NOT(ISERROR(SEARCH("Negative",L2369)))</formula>
    </cfRule>
  </conditionalFormatting>
  <conditionalFormatting sqref="L2369">
    <cfRule type="containsText" dxfId="4072" priority="4427" operator="containsText" text="Positive">
      <formula>NOT(ISERROR(SEARCH("Positive",L2369)))</formula>
    </cfRule>
    <cfRule type="containsText" dxfId="4071" priority="4428" operator="containsText" text="Negative">
      <formula>NOT(ISERROR(SEARCH("Negative",L2369)))</formula>
    </cfRule>
  </conditionalFormatting>
  <conditionalFormatting sqref="J2369">
    <cfRule type="containsText" dxfId="4070" priority="4431" operator="containsText" text="Missing">
      <formula>NOT(ISERROR(SEARCH("Missing",J2369)))</formula>
    </cfRule>
  </conditionalFormatting>
  <conditionalFormatting sqref="H2369">
    <cfRule type="containsText" dxfId="4069" priority="4419" operator="containsText" text="Missing">
      <formula>NOT(ISERROR(SEARCH("Missing",H2369)))</formula>
    </cfRule>
  </conditionalFormatting>
  <conditionalFormatting sqref="I2441">
    <cfRule type="containsText" dxfId="4068" priority="3744" operator="containsText" text="Missing">
      <formula>NOT(ISERROR(SEARCH("Missing",I2441)))</formula>
    </cfRule>
  </conditionalFormatting>
  <conditionalFormatting sqref="I2441">
    <cfRule type="containsText" dxfId="4067" priority="3745" operator="containsText" text="Missing">
      <formula>NOT(ISERROR(SEARCH("Missing",I2441)))</formula>
    </cfRule>
  </conditionalFormatting>
  <conditionalFormatting sqref="I2393">
    <cfRule type="containsText" dxfId="4066" priority="4409" operator="containsText" text="Missing">
      <formula>NOT(ISERROR(SEARCH("Missing",I2393)))</formula>
    </cfRule>
  </conditionalFormatting>
  <conditionalFormatting sqref="I2442">
    <cfRule type="containsText" dxfId="4065" priority="3743" operator="containsText" text="Missing">
      <formula>NOT(ISERROR(SEARCH("Missing",I2442)))</formula>
    </cfRule>
  </conditionalFormatting>
  <conditionalFormatting sqref="I2392">
    <cfRule type="containsText" dxfId="4064" priority="4411" operator="containsText" text="Missing">
      <formula>NOT(ISERROR(SEARCH("Missing",I2392)))</formula>
    </cfRule>
  </conditionalFormatting>
  <conditionalFormatting sqref="I2392">
    <cfRule type="containsText" dxfId="4063" priority="4412" operator="containsText" text="Missing">
      <formula>NOT(ISERROR(SEARCH("Missing",I2392)))</formula>
    </cfRule>
  </conditionalFormatting>
  <conditionalFormatting sqref="I2353">
    <cfRule type="containsText" dxfId="4062" priority="4407" operator="containsText" text="Missing">
      <formula>NOT(ISERROR(SEARCH("Missing",I2353)))</formula>
    </cfRule>
  </conditionalFormatting>
  <conditionalFormatting sqref="I2353">
    <cfRule type="containsText" dxfId="4061" priority="4408" operator="containsText" text="Missing">
      <formula>NOT(ISERROR(SEARCH("Missing",I2353)))</formula>
    </cfRule>
  </conditionalFormatting>
  <conditionalFormatting sqref="I2354">
    <cfRule type="containsText" dxfId="4060" priority="4405" operator="containsText" text="Missing">
      <formula>NOT(ISERROR(SEARCH("Missing",I2354)))</formula>
    </cfRule>
  </conditionalFormatting>
  <conditionalFormatting sqref="I2354">
    <cfRule type="containsText" dxfId="4059" priority="4406" operator="containsText" text="Missing">
      <formula>NOT(ISERROR(SEARCH("Missing",I2354)))</formula>
    </cfRule>
  </conditionalFormatting>
  <conditionalFormatting sqref="I2406">
    <cfRule type="containsText" dxfId="4058" priority="3732" operator="containsText" text="Missing">
      <formula>NOT(ISERROR(SEARCH("Missing",I2406)))</formula>
    </cfRule>
  </conditionalFormatting>
  <conditionalFormatting sqref="I2355">
    <cfRule type="containsText" dxfId="4057" priority="4404" operator="containsText" text="Missing">
      <formula>NOT(ISERROR(SEARCH("Missing",I2355)))</formula>
    </cfRule>
  </conditionalFormatting>
  <conditionalFormatting sqref="I2360">
    <cfRule type="containsText" dxfId="4056" priority="4401" operator="containsText" text="Missing">
      <formula>NOT(ISERROR(SEARCH("Missing",I2360)))</formula>
    </cfRule>
  </conditionalFormatting>
  <conditionalFormatting sqref="I2360">
    <cfRule type="containsText" dxfId="4055" priority="4402" operator="containsText" text="Missing">
      <formula>NOT(ISERROR(SEARCH("Missing",I2360)))</formula>
    </cfRule>
  </conditionalFormatting>
  <conditionalFormatting sqref="I2412">
    <cfRule type="containsText" dxfId="4054" priority="3728" operator="containsText" text="Missing">
      <formula>NOT(ISERROR(SEARCH("Missing",I2412)))</formula>
    </cfRule>
  </conditionalFormatting>
  <conditionalFormatting sqref="I2412">
    <cfRule type="containsText" dxfId="4053" priority="3729" operator="containsText" text="Missing">
      <formula>NOT(ISERROR(SEARCH("Missing",I2412)))</formula>
    </cfRule>
  </conditionalFormatting>
  <conditionalFormatting sqref="I2413">
    <cfRule type="containsText" dxfId="4052" priority="3726" operator="containsText" text="Missing">
      <formula>NOT(ISERROR(SEARCH("Missing",I2413)))</formula>
    </cfRule>
  </conditionalFormatting>
  <conditionalFormatting sqref="I2413">
    <cfRule type="containsText" dxfId="4051" priority="3727" operator="containsText" text="Missing">
      <formula>NOT(ISERROR(SEARCH("Missing",I2413)))</formula>
    </cfRule>
  </conditionalFormatting>
  <conditionalFormatting sqref="I2468">
    <cfRule type="containsText" dxfId="4050" priority="3053" operator="containsText" text="Missing">
      <formula>NOT(ISERROR(SEARCH("Missing",I2468)))</formula>
    </cfRule>
  </conditionalFormatting>
  <conditionalFormatting sqref="I2468">
    <cfRule type="containsText" dxfId="4049" priority="3054" operator="containsText" text="Missing">
      <formula>NOT(ISERROR(SEARCH("Missing",I2468)))</formula>
    </cfRule>
  </conditionalFormatting>
  <conditionalFormatting sqref="I2368">
    <cfRule type="containsText" dxfId="4048" priority="4393" operator="containsText" text="Missing">
      <formula>NOT(ISERROR(SEARCH("Missing",I2368)))</formula>
    </cfRule>
  </conditionalFormatting>
  <conditionalFormatting sqref="I2469">
    <cfRule type="containsText" dxfId="4047" priority="3052" operator="containsText" text="Missing">
      <formula>NOT(ISERROR(SEARCH("Missing",I2469)))</formula>
    </cfRule>
  </conditionalFormatting>
  <conditionalFormatting sqref="I2420">
    <cfRule type="containsText" dxfId="4046" priority="3720" operator="containsText" text="Missing">
      <formula>NOT(ISERROR(SEARCH("Missing",I2420)))</formula>
    </cfRule>
  </conditionalFormatting>
  <conditionalFormatting sqref="I2369">
    <cfRule type="containsText" dxfId="4045" priority="4392" operator="containsText" text="Missing">
      <formula>NOT(ISERROR(SEARCH("Missing",I2369)))</formula>
    </cfRule>
  </conditionalFormatting>
  <conditionalFormatting sqref="L2423">
    <cfRule type="containsText" dxfId="4044" priority="4378" operator="containsText" text="Positive">
      <formula>NOT(ISERROR(SEARCH("Positive",L2423)))</formula>
    </cfRule>
    <cfRule type="containsText" dxfId="4043" priority="4379" operator="containsText" text="Negative">
      <formula>NOT(ISERROR(SEARCH("Negative",L2423)))</formula>
    </cfRule>
  </conditionalFormatting>
  <conditionalFormatting sqref="L2423">
    <cfRule type="containsText" dxfId="4042" priority="4376" operator="containsText" text="Positive">
      <formula>NOT(ISERROR(SEARCH("Positive",L2423)))</formula>
    </cfRule>
    <cfRule type="containsText" dxfId="4041" priority="4377" operator="containsText" text="Negative">
      <formula>NOT(ISERROR(SEARCH("Negative",L2423)))</formula>
    </cfRule>
  </conditionalFormatting>
  <conditionalFormatting sqref="L2421">
    <cfRule type="containsText" dxfId="4040" priority="4389" operator="containsText" text="Positive">
      <formula>NOT(ISERROR(SEARCH("Positive",L2421)))</formula>
    </cfRule>
    <cfRule type="containsText" dxfId="4039" priority="4390" operator="containsText" text="Negative">
      <formula>NOT(ISERROR(SEARCH("Negative",L2421)))</formula>
    </cfRule>
  </conditionalFormatting>
  <conditionalFormatting sqref="L2421">
    <cfRule type="containsText" dxfId="4038" priority="4387" operator="containsText" text="Positive">
      <formula>NOT(ISERROR(SEARCH("Positive",L2421)))</formula>
    </cfRule>
    <cfRule type="containsText" dxfId="4037" priority="4388" operator="containsText" text="Negative">
      <formula>NOT(ISERROR(SEARCH("Negative",L2421)))</formula>
    </cfRule>
  </conditionalFormatting>
  <conditionalFormatting sqref="I2471">
    <cfRule type="containsText" dxfId="4036" priority="3628" operator="containsText" text="Missing">
      <formula>NOT(ISERROR(SEARCH("Missing",I2471)))</formula>
    </cfRule>
  </conditionalFormatting>
  <conditionalFormatting sqref="K2423">
    <cfRule type="containsText" dxfId="4035" priority="4369" operator="containsText" text="Missing">
      <formula>NOT(ISERROR(SEARCH("Missing",K2423)))</formula>
    </cfRule>
  </conditionalFormatting>
  <conditionalFormatting sqref="K2423">
    <cfRule type="containsText" dxfId="4034" priority="4370" operator="containsText" text="Missing">
      <formula>NOT(ISERROR(SEARCH("Missing",K2423)))</formula>
    </cfRule>
  </conditionalFormatting>
  <conditionalFormatting sqref="J2473">
    <cfRule type="containsText" dxfId="4033" priority="3702" operator="containsText" text="Missing">
      <formula>NOT(ISERROR(SEARCH("Missing",J2473)))</formula>
    </cfRule>
  </conditionalFormatting>
  <conditionalFormatting sqref="K2487">
    <cfRule type="containsText" dxfId="4032" priority="3617" operator="containsText" text="Missing">
      <formula>NOT(ISERROR(SEARCH("Missing",K2487)))</formula>
    </cfRule>
  </conditionalFormatting>
  <conditionalFormatting sqref="J2421">
    <cfRule type="containsText" dxfId="4031" priority="4384" operator="containsText" text="Missing">
      <formula>NOT(ISERROR(SEARCH("Missing",J2421)))</formula>
    </cfRule>
  </conditionalFormatting>
  <conditionalFormatting sqref="J2422">
    <cfRule type="containsText" dxfId="4030" priority="4349" operator="containsText" text="Missing">
      <formula>NOT(ISERROR(SEARCH("Missing",J2422)))</formula>
    </cfRule>
  </conditionalFormatting>
  <conditionalFormatting sqref="J2421">
    <cfRule type="containsText" dxfId="4029" priority="4383" operator="containsText" text="Missing">
      <formula>NOT(ISERROR(SEARCH("Missing",J2421)))</formula>
    </cfRule>
  </conditionalFormatting>
  <conditionalFormatting sqref="K2421">
    <cfRule type="containsText" dxfId="4028" priority="4382" operator="containsText" text="Missing">
      <formula>NOT(ISERROR(SEARCH("Missing",K2421)))</formula>
    </cfRule>
  </conditionalFormatting>
  <conditionalFormatting sqref="J2473">
    <cfRule type="containsText" dxfId="4027" priority="3701" operator="containsText" text="Missing">
      <formula>NOT(ISERROR(SEARCH("Missing",J2473)))</formula>
    </cfRule>
  </conditionalFormatting>
  <conditionalFormatting sqref="K2423">
    <cfRule type="containsText" dxfId="4026" priority="4371" operator="containsText" text="Missing">
      <formula>NOT(ISERROR(SEARCH("Missing",K2423)))</formula>
    </cfRule>
  </conditionalFormatting>
  <conditionalFormatting sqref="J2426">
    <cfRule type="containsText" dxfId="4025" priority="4361" operator="containsText" text="Missing">
      <formula>NOT(ISERROR(SEARCH("Missing",J2426)))</formula>
    </cfRule>
  </conditionalFormatting>
  <conditionalFormatting sqref="J2426">
    <cfRule type="containsText" dxfId="4024" priority="4362" operator="containsText" text="Missing">
      <formula>NOT(ISERROR(SEARCH("Missing",J2426)))</formula>
    </cfRule>
  </conditionalFormatting>
  <conditionalFormatting sqref="J2435">
    <cfRule type="containsText" dxfId="4023" priority="4309" operator="containsText" text="Missing">
      <formula>NOT(ISERROR(SEARCH("Missing",J2435)))</formula>
    </cfRule>
  </conditionalFormatting>
  <conditionalFormatting sqref="K2435">
    <cfRule type="containsText" dxfId="4022" priority="4308" operator="containsText" text="Missing">
      <formula>NOT(ISERROR(SEARCH("Missing",K2435)))</formula>
    </cfRule>
  </conditionalFormatting>
  <conditionalFormatting sqref="K2435">
    <cfRule type="containsText" dxfId="4021" priority="4307" operator="containsText" text="Missing">
      <formula>NOT(ISERROR(SEARCH("Missing",K2435)))</formula>
    </cfRule>
  </conditionalFormatting>
  <conditionalFormatting sqref="J2485">
    <cfRule type="containsText" dxfId="4020" priority="3639" operator="containsText" text="Missing">
      <formula>NOT(ISERROR(SEARCH("Missing",J2485)))</formula>
    </cfRule>
  </conditionalFormatting>
  <conditionalFormatting sqref="I2472">
    <cfRule type="containsText" dxfId="4019" priority="3631" operator="containsText" text="Missing">
      <formula>NOT(ISERROR(SEARCH("Missing",I2472)))</formula>
    </cfRule>
  </conditionalFormatting>
  <conditionalFormatting sqref="H2485">
    <cfRule type="containsText" dxfId="4018" priority="3632" operator="containsText" text="Missing">
      <formula>NOT(ISERROR(SEARCH("Missing",H2485)))</formula>
    </cfRule>
  </conditionalFormatting>
  <conditionalFormatting sqref="K2475">
    <cfRule type="containsText" dxfId="4017" priority="3650" operator="containsText" text="Missing">
      <formula>NOT(ISERROR(SEARCH("Missing",K2475)))</formula>
    </cfRule>
  </conditionalFormatting>
  <conditionalFormatting sqref="H2423 H2426 H2421">
    <cfRule type="containsText" dxfId="4016" priority="4356" operator="containsText" text="Missing">
      <formula>NOT(ISERROR(SEARCH("Missing",H2421)))</formula>
    </cfRule>
  </conditionalFormatting>
  <conditionalFormatting sqref="I2423">
    <cfRule type="containsText" dxfId="4015" priority="4298" operator="containsText" text="Missing">
      <formula>NOT(ISERROR(SEARCH("Missing",I2423)))</formula>
    </cfRule>
  </conditionalFormatting>
  <conditionalFormatting sqref="L2432">
    <cfRule type="containsText" dxfId="4014" priority="4258" operator="containsText" text="Positive">
      <formula>NOT(ISERROR(SEARCH("Positive",L2432)))</formula>
    </cfRule>
    <cfRule type="containsText" dxfId="4013" priority="4259" operator="containsText" text="Negative">
      <formula>NOT(ISERROR(SEARCH("Negative",L2432)))</formula>
    </cfRule>
  </conditionalFormatting>
  <conditionalFormatting sqref="I2474">
    <cfRule type="containsText" dxfId="4012" priority="3630" operator="containsText" text="Missing">
      <formula>NOT(ISERROR(SEARCH("Missing",I2474)))</formula>
    </cfRule>
  </conditionalFormatting>
  <conditionalFormatting sqref="L2421">
    <cfRule type="containsText" dxfId="4011" priority="4385" operator="containsText" text="Positive">
      <formula>NOT(ISERROR(SEARCH("Positive",L2421)))</formula>
    </cfRule>
    <cfRule type="containsText" dxfId="4010" priority="4386" operator="containsText" text="Negative">
      <formula>NOT(ISERROR(SEARCH("Negative",L2421)))</formula>
    </cfRule>
  </conditionalFormatting>
  <conditionalFormatting sqref="I2425">
    <cfRule type="containsText" dxfId="4009" priority="4297" operator="containsText" text="Missing">
      <formula>NOT(ISERROR(SEARCH("Missing",I2425)))</formula>
    </cfRule>
  </conditionalFormatting>
  <conditionalFormatting sqref="K2421">
    <cfRule type="containsText" dxfId="4008" priority="4380" operator="containsText" text="Missing">
      <formula>NOT(ISERROR(SEARCH("Missing",K2421)))</formula>
    </cfRule>
  </conditionalFormatting>
  <conditionalFormatting sqref="K2471">
    <cfRule type="containsText" dxfId="4007" priority="3710" operator="containsText" text="Missing">
      <formula>NOT(ISERROR(SEARCH("Missing",K2471)))</formula>
    </cfRule>
  </conditionalFormatting>
  <conditionalFormatting sqref="L2423">
    <cfRule type="containsText" dxfId="4006" priority="4374" operator="containsText" text="Positive">
      <formula>NOT(ISERROR(SEARCH("Positive",L2423)))</formula>
    </cfRule>
    <cfRule type="containsText" dxfId="4005" priority="4375" operator="containsText" text="Negative">
      <formula>NOT(ISERROR(SEARCH("Negative",L2423)))</formula>
    </cfRule>
  </conditionalFormatting>
  <conditionalFormatting sqref="L2426">
    <cfRule type="containsText" dxfId="4004" priority="4367" operator="containsText" text="Positive">
      <formula>NOT(ISERROR(SEARCH("Positive",L2426)))</formula>
    </cfRule>
    <cfRule type="containsText" dxfId="4003" priority="4368" operator="containsText" text="Negative">
      <formula>NOT(ISERROR(SEARCH("Negative",L2426)))</formula>
    </cfRule>
  </conditionalFormatting>
  <conditionalFormatting sqref="L2426">
    <cfRule type="containsText" dxfId="4002" priority="4363" operator="containsText" text="Positive">
      <formula>NOT(ISERROR(SEARCH("Positive",L2426)))</formula>
    </cfRule>
    <cfRule type="containsText" dxfId="4001" priority="4364" operator="containsText" text="Negative">
      <formula>NOT(ISERROR(SEARCH("Negative",L2426)))</formula>
    </cfRule>
  </conditionalFormatting>
  <conditionalFormatting sqref="L2426">
    <cfRule type="containsText" dxfId="4000" priority="4365" operator="containsText" text="Positive">
      <formula>NOT(ISERROR(SEARCH("Positive",L2426)))</formula>
    </cfRule>
    <cfRule type="containsText" dxfId="3999" priority="4366" operator="containsText" text="Negative">
      <formula>NOT(ISERROR(SEARCH("Negative",L2426)))</formula>
    </cfRule>
  </conditionalFormatting>
  <conditionalFormatting sqref="K2426">
    <cfRule type="containsText" dxfId="3998" priority="4360" operator="containsText" text="Missing">
      <formula>NOT(ISERROR(SEARCH("Missing",K2426)))</formula>
    </cfRule>
  </conditionalFormatting>
  <conditionalFormatting sqref="K2426">
    <cfRule type="containsText" dxfId="3997" priority="4359" operator="containsText" text="Missing">
      <formula>NOT(ISERROR(SEARCH("Missing",K2426)))</formula>
    </cfRule>
  </conditionalFormatting>
  <conditionalFormatting sqref="K2426">
    <cfRule type="containsText" dxfId="3996" priority="4358" operator="containsText" text="Missing">
      <formula>NOT(ISERROR(SEARCH("Missing",K2426)))</formula>
    </cfRule>
  </conditionalFormatting>
  <conditionalFormatting sqref="L2429">
    <cfRule type="containsText" dxfId="3995" priority="4267" operator="containsText" text="Positive">
      <formula>NOT(ISERROR(SEARCH("Positive",L2429)))</formula>
    </cfRule>
    <cfRule type="containsText" dxfId="3994" priority="4268" operator="containsText" text="Negative">
      <formula>NOT(ISERROR(SEARCH("Negative",L2429)))</formula>
    </cfRule>
  </conditionalFormatting>
  <conditionalFormatting sqref="L2479">
    <cfRule type="containsText" dxfId="3993" priority="3594" operator="containsText" text="Positive">
      <formula>NOT(ISERROR(SEARCH("Positive",L2479)))</formula>
    </cfRule>
    <cfRule type="containsText" dxfId="3992" priority="3595" operator="containsText" text="Negative">
      <formula>NOT(ISERROR(SEARCH("Negative",L2479)))</formula>
    </cfRule>
  </conditionalFormatting>
  <conditionalFormatting sqref="K2429">
    <cfRule type="containsText" dxfId="3991" priority="4262" operator="containsText" text="Missing">
      <formula>NOT(ISERROR(SEARCH("Missing",K2429)))</formula>
    </cfRule>
  </conditionalFormatting>
  <conditionalFormatting sqref="K2422">
    <cfRule type="containsText" dxfId="3990" priority="4347" operator="containsText" text="Missing">
      <formula>NOT(ISERROR(SEARCH("Missing",K2422)))</formula>
    </cfRule>
  </conditionalFormatting>
  <conditionalFormatting sqref="K2422">
    <cfRule type="containsText" dxfId="3989" priority="4346" operator="containsText" text="Missing">
      <formula>NOT(ISERROR(SEARCH("Missing",K2422)))</formula>
    </cfRule>
  </conditionalFormatting>
  <conditionalFormatting sqref="H2423 H2426 H2421">
    <cfRule type="containsText" dxfId="3988" priority="4357" operator="containsText" text="Missing">
      <formula>NOT(ISERROR(SEARCH("Missing",H2421)))</formula>
    </cfRule>
  </conditionalFormatting>
  <conditionalFormatting sqref="K2435">
    <cfRule type="containsText" dxfId="3987" priority="4306" operator="containsText" text="Missing">
      <formula>NOT(ISERROR(SEARCH("Missing",K2435)))</formula>
    </cfRule>
  </conditionalFormatting>
  <conditionalFormatting sqref="J2424">
    <cfRule type="containsText" dxfId="3986" priority="4336" operator="containsText" text="Missing">
      <formula>NOT(ISERROR(SEARCH("Missing",J2424)))</formula>
    </cfRule>
  </conditionalFormatting>
  <conditionalFormatting sqref="K2487">
    <cfRule type="containsText" dxfId="3985" priority="3616" operator="containsText" text="Missing">
      <formula>NOT(ISERROR(SEARCH("Missing",K2487)))</formula>
    </cfRule>
  </conditionalFormatting>
  <conditionalFormatting sqref="J2422">
    <cfRule type="containsText" dxfId="3984" priority="4348" operator="containsText" text="Missing">
      <formula>NOT(ISERROR(SEARCH("Missing",J2422)))</formula>
    </cfRule>
  </conditionalFormatting>
  <conditionalFormatting sqref="K2424">
    <cfRule type="containsText" dxfId="3983" priority="4333" operator="containsText" text="Missing">
      <formula>NOT(ISERROR(SEARCH("Missing",K2424)))</formula>
    </cfRule>
  </conditionalFormatting>
  <conditionalFormatting sqref="J2487">
    <cfRule type="containsText" dxfId="3982" priority="3618" operator="containsText" text="Missing">
      <formula>NOT(ISERROR(SEARCH("Missing",J2487)))</formula>
    </cfRule>
  </conditionalFormatting>
  <conditionalFormatting sqref="L2422">
    <cfRule type="containsText" dxfId="3981" priority="4354" operator="containsText" text="Positive">
      <formula>NOT(ISERROR(SEARCH("Positive",L2422)))</formula>
    </cfRule>
    <cfRule type="containsText" dxfId="3980" priority="4355" operator="containsText" text="Negative">
      <formula>NOT(ISERROR(SEARCH("Negative",L2422)))</formula>
    </cfRule>
  </conditionalFormatting>
  <conditionalFormatting sqref="L2422">
    <cfRule type="containsText" dxfId="3979" priority="4352" operator="containsText" text="Positive">
      <formula>NOT(ISERROR(SEARCH("Positive",L2422)))</formula>
    </cfRule>
    <cfRule type="containsText" dxfId="3978" priority="4353" operator="containsText" text="Negative">
      <formula>NOT(ISERROR(SEARCH("Negative",L2422)))</formula>
    </cfRule>
  </conditionalFormatting>
  <conditionalFormatting sqref="J2474">
    <cfRule type="containsText" dxfId="3977" priority="3664" operator="containsText" text="Missing">
      <formula>NOT(ISERROR(SEARCH("Missing",J2474)))</formula>
    </cfRule>
  </conditionalFormatting>
  <conditionalFormatting sqref="K2424">
    <cfRule type="containsText" dxfId="3976" priority="4334" operator="containsText" text="Missing">
      <formula>NOT(ISERROR(SEARCH("Missing",K2424)))</formula>
    </cfRule>
  </conditionalFormatting>
  <conditionalFormatting sqref="K2481">
    <cfRule type="containsText" dxfId="3975" priority="3539" operator="containsText" text="Missing">
      <formula>NOT(ISERROR(SEARCH("Missing",K2481)))</formula>
    </cfRule>
  </conditionalFormatting>
  <conditionalFormatting sqref="L2422">
    <cfRule type="containsText" dxfId="3974" priority="4350" operator="containsText" text="Positive">
      <formula>NOT(ISERROR(SEARCH("Positive",L2422)))</formula>
    </cfRule>
    <cfRule type="containsText" dxfId="3973" priority="4351" operator="containsText" text="Negative">
      <formula>NOT(ISERROR(SEARCH("Negative",L2422)))</formula>
    </cfRule>
  </conditionalFormatting>
  <conditionalFormatting sqref="K2422">
    <cfRule type="containsText" dxfId="3972" priority="4345" operator="containsText" text="Missing">
      <formula>NOT(ISERROR(SEARCH("Missing",K2422)))</formula>
    </cfRule>
  </conditionalFormatting>
  <conditionalFormatting sqref="K2424">
    <cfRule type="containsText" dxfId="3971" priority="4332" operator="containsText" text="Missing">
      <formula>NOT(ISERROR(SEARCH("Missing",K2424)))</formula>
    </cfRule>
  </conditionalFormatting>
  <conditionalFormatting sqref="H2422">
    <cfRule type="containsText" dxfId="3970" priority="4344" operator="containsText" text="Missing">
      <formula>NOT(ISERROR(SEARCH("Missing",H2422)))</formula>
    </cfRule>
  </conditionalFormatting>
  <conditionalFormatting sqref="H2422">
    <cfRule type="containsText" dxfId="3969" priority="4343" operator="containsText" text="Missing">
      <formula>NOT(ISERROR(SEARCH("Missing",H2422)))</formula>
    </cfRule>
  </conditionalFormatting>
  <conditionalFormatting sqref="L2424">
    <cfRule type="containsText" dxfId="3968" priority="4341" operator="containsText" text="Positive">
      <formula>NOT(ISERROR(SEARCH("Positive",L2424)))</formula>
    </cfRule>
    <cfRule type="containsText" dxfId="3967" priority="4342" operator="containsText" text="Negative">
      <formula>NOT(ISERROR(SEARCH("Negative",L2424)))</formula>
    </cfRule>
  </conditionalFormatting>
  <conditionalFormatting sqref="L2424">
    <cfRule type="containsText" dxfId="3966" priority="4339" operator="containsText" text="Positive">
      <formula>NOT(ISERROR(SEARCH("Positive",L2424)))</formula>
    </cfRule>
    <cfRule type="containsText" dxfId="3965" priority="4340" operator="containsText" text="Negative">
      <formula>NOT(ISERROR(SEARCH("Negative",L2424)))</formula>
    </cfRule>
  </conditionalFormatting>
  <conditionalFormatting sqref="H2481">
    <cfRule type="containsText" dxfId="3964" priority="3538" operator="containsText" text="Missing">
      <formula>NOT(ISERROR(SEARCH("Missing",H2481)))</formula>
    </cfRule>
  </conditionalFormatting>
  <conditionalFormatting sqref="K2425">
    <cfRule type="containsText" dxfId="3963" priority="4320" operator="containsText" text="Missing">
      <formula>NOT(ISERROR(SEARCH("Missing",K2425)))</formula>
    </cfRule>
  </conditionalFormatting>
  <conditionalFormatting sqref="J2475">
    <cfRule type="containsText" dxfId="3962" priority="3652" operator="containsText" text="Missing">
      <formula>NOT(ISERROR(SEARCH("Missing",J2475)))</formula>
    </cfRule>
  </conditionalFormatting>
  <conditionalFormatting sqref="J2475">
    <cfRule type="containsText" dxfId="3961" priority="3651" operator="containsText" text="Missing">
      <formula>NOT(ISERROR(SEARCH("Missing",J2475)))</formula>
    </cfRule>
  </conditionalFormatting>
  <conditionalFormatting sqref="K2477">
    <cfRule type="containsText" dxfId="3960" priority="3602" operator="containsText" text="Missing">
      <formula>NOT(ISERROR(SEARCH("Missing",K2477)))</formula>
    </cfRule>
  </conditionalFormatting>
  <conditionalFormatting sqref="L2424">
    <cfRule type="containsText" dxfId="3959" priority="4337" operator="containsText" text="Positive">
      <formula>NOT(ISERROR(SEARCH("Positive",L2424)))</formula>
    </cfRule>
    <cfRule type="containsText" dxfId="3958" priority="4338" operator="containsText" text="Negative">
      <formula>NOT(ISERROR(SEARCH("Negative",L2424)))</formula>
    </cfRule>
  </conditionalFormatting>
  <conditionalFormatting sqref="H2424">
    <cfRule type="containsText" dxfId="3957" priority="4331" operator="containsText" text="Missing">
      <formula>NOT(ISERROR(SEARCH("Missing",H2424)))</formula>
    </cfRule>
  </conditionalFormatting>
  <conditionalFormatting sqref="H2474">
    <cfRule type="containsText" dxfId="3956" priority="3659" operator="containsText" text="Missing">
      <formula>NOT(ISERROR(SEARCH("Missing",H2474)))</formula>
    </cfRule>
  </conditionalFormatting>
  <conditionalFormatting sqref="J2427">
    <cfRule type="containsText" dxfId="3955" priority="4275" operator="containsText" text="Missing">
      <formula>NOT(ISERROR(SEARCH("Missing",J2427)))</formula>
    </cfRule>
  </conditionalFormatting>
  <conditionalFormatting sqref="H2435">
    <cfRule type="containsText" dxfId="3954" priority="4304" operator="containsText" text="Missing">
      <formula>NOT(ISERROR(SEARCH("Missing",H2435)))</formula>
    </cfRule>
  </conditionalFormatting>
  <conditionalFormatting sqref="H2425">
    <cfRule type="containsText" dxfId="3953" priority="4318" operator="containsText" text="Missing">
      <formula>NOT(ISERROR(SEARCH("Missing",H2425)))</formula>
    </cfRule>
  </conditionalFormatting>
  <conditionalFormatting sqref="L2475">
    <cfRule type="containsText" dxfId="3952" priority="3657" operator="containsText" text="Positive">
      <formula>NOT(ISERROR(SEARCH("Positive",L2475)))</formula>
    </cfRule>
    <cfRule type="containsText" dxfId="3951" priority="3658" operator="containsText" text="Negative">
      <formula>NOT(ISERROR(SEARCH("Negative",L2475)))</formula>
    </cfRule>
  </conditionalFormatting>
  <conditionalFormatting sqref="L2425">
    <cfRule type="containsText" dxfId="3950" priority="4324" operator="containsText" text="Positive">
      <formula>NOT(ISERROR(SEARCH("Positive",L2425)))</formula>
    </cfRule>
    <cfRule type="containsText" dxfId="3949" priority="4325" operator="containsText" text="Negative">
      <formula>NOT(ISERROR(SEARCH("Negative",L2425)))</formula>
    </cfRule>
  </conditionalFormatting>
  <conditionalFormatting sqref="L2425">
    <cfRule type="containsText" dxfId="3948" priority="4326" operator="containsText" text="Positive">
      <formula>NOT(ISERROR(SEARCH("Positive",L2425)))</formula>
    </cfRule>
    <cfRule type="containsText" dxfId="3947" priority="4327" operator="containsText" text="Negative">
      <formula>NOT(ISERROR(SEARCH("Negative",L2425)))</formula>
    </cfRule>
  </conditionalFormatting>
  <conditionalFormatting sqref="J2427">
    <cfRule type="containsText" dxfId="3946" priority="4274" operator="containsText" text="Missing">
      <formula>NOT(ISERROR(SEARCH("Missing",J2427)))</formula>
    </cfRule>
  </conditionalFormatting>
  <conditionalFormatting sqref="K2425">
    <cfRule type="containsText" dxfId="3945" priority="4319" operator="containsText" text="Missing">
      <formula>NOT(ISERROR(SEARCH("Missing",K2425)))</formula>
    </cfRule>
  </conditionalFormatting>
  <conditionalFormatting sqref="K2433">
    <cfRule type="containsText" dxfId="3944" priority="4180" operator="containsText" text="Missing">
      <formula>NOT(ISERROR(SEARCH("Missing",K2433)))</formula>
    </cfRule>
  </conditionalFormatting>
  <conditionalFormatting sqref="H2425">
    <cfRule type="containsText" dxfId="3943" priority="4317" operator="containsText" text="Missing">
      <formula>NOT(ISERROR(SEARCH("Missing",H2425)))</formula>
    </cfRule>
  </conditionalFormatting>
  <conditionalFormatting sqref="K2479">
    <cfRule type="containsText" dxfId="3942" priority="3589" operator="containsText" text="Missing">
      <formula>NOT(ISERROR(SEARCH("Missing",K2479)))</formula>
    </cfRule>
  </conditionalFormatting>
  <conditionalFormatting sqref="K2429">
    <cfRule type="containsText" dxfId="3941" priority="4261" operator="containsText" text="Missing">
      <formula>NOT(ISERROR(SEARCH("Missing",K2429)))</formula>
    </cfRule>
  </conditionalFormatting>
  <conditionalFormatting sqref="I2435">
    <cfRule type="containsText" dxfId="3940" priority="4305" operator="containsText" text="Missing">
      <formula>NOT(ISERROR(SEARCH("Missing",I2435)))</formula>
    </cfRule>
  </conditionalFormatting>
  <conditionalFormatting sqref="L2485">
    <cfRule type="containsText" dxfId="3939" priority="3644" operator="containsText" text="Positive">
      <formula>NOT(ISERROR(SEARCH("Positive",L2485)))</formula>
    </cfRule>
    <cfRule type="containsText" dxfId="3938" priority="3645" operator="containsText" text="Negative">
      <formula>NOT(ISERROR(SEARCH("Negative",L2485)))</formula>
    </cfRule>
  </conditionalFormatting>
  <conditionalFormatting sqref="L2435">
    <cfRule type="containsText" dxfId="3937" priority="4311" operator="containsText" text="Positive">
      <formula>NOT(ISERROR(SEARCH("Positive",L2435)))</formula>
    </cfRule>
    <cfRule type="containsText" dxfId="3936" priority="4312" operator="containsText" text="Negative">
      <formula>NOT(ISERROR(SEARCH("Negative",L2435)))</formula>
    </cfRule>
  </conditionalFormatting>
  <conditionalFormatting sqref="L2435">
    <cfRule type="containsText" dxfId="3935" priority="4313" operator="containsText" text="Positive">
      <formula>NOT(ISERROR(SEARCH("Positive",L2435)))</formula>
    </cfRule>
    <cfRule type="containsText" dxfId="3934" priority="4314" operator="containsText" text="Negative">
      <formula>NOT(ISERROR(SEARCH("Negative",L2435)))</formula>
    </cfRule>
  </conditionalFormatting>
  <conditionalFormatting sqref="J2487">
    <cfRule type="containsText" dxfId="3933" priority="3619" operator="containsText" text="Missing">
      <formula>NOT(ISERROR(SEARCH("Missing",J2487)))</formula>
    </cfRule>
  </conditionalFormatting>
  <conditionalFormatting sqref="J2432">
    <cfRule type="containsText" dxfId="3932" priority="4253" operator="containsText" text="Missing">
      <formula>NOT(ISERROR(SEARCH("Missing",J2432)))</formula>
    </cfRule>
  </conditionalFormatting>
  <conditionalFormatting sqref="J2432">
    <cfRule type="containsText" dxfId="3931" priority="4252" operator="containsText" text="Missing">
      <formula>NOT(ISERROR(SEARCH("Missing",J2432)))</formula>
    </cfRule>
  </conditionalFormatting>
  <conditionalFormatting sqref="I2476">
    <cfRule type="containsText" dxfId="3930" priority="3629" operator="containsText" text="Missing">
      <formula>NOT(ISERROR(SEARCH("Missing",I2476)))</formula>
    </cfRule>
  </conditionalFormatting>
  <conditionalFormatting sqref="H2427 H2429 H2432">
    <cfRule type="containsText" dxfId="3929" priority="4248" operator="containsText" text="Missing">
      <formula>NOT(ISERROR(SEARCH("Missing",H2427)))</formula>
    </cfRule>
  </conditionalFormatting>
  <conditionalFormatting sqref="H2477 H2479 H2482">
    <cfRule type="containsText" dxfId="3928" priority="3576" operator="containsText" text="Missing">
      <formula>NOT(ISERROR(SEARCH("Missing",H2477)))</formula>
    </cfRule>
  </conditionalFormatting>
  <conditionalFormatting sqref="K2432">
    <cfRule type="containsText" dxfId="3927" priority="4251" operator="containsText" text="Missing">
      <formula>NOT(ISERROR(SEARCH("Missing",K2432)))</formula>
    </cfRule>
  </conditionalFormatting>
  <conditionalFormatting sqref="I2400">
    <cfRule type="containsText" dxfId="3926" priority="4159" operator="containsText" text="Missing">
      <formula>NOT(ISERROR(SEARCH("Missing",I2400)))</formula>
    </cfRule>
  </conditionalFormatting>
  <conditionalFormatting sqref="I2400">
    <cfRule type="containsText" dxfId="3925" priority="4160" operator="containsText" text="Missing">
      <formula>NOT(ISERROR(SEARCH("Missing",I2400)))</formula>
    </cfRule>
  </conditionalFormatting>
  <conditionalFormatting sqref="L2487">
    <cfRule type="containsText" dxfId="3924" priority="3624" operator="containsText" text="Positive">
      <formula>NOT(ISERROR(SEARCH("Positive",L2487)))</formula>
    </cfRule>
    <cfRule type="containsText" dxfId="3923" priority="3625" operator="containsText" text="Negative">
      <formula>NOT(ISERROR(SEARCH("Negative",L2487)))</formula>
    </cfRule>
  </conditionalFormatting>
  <conditionalFormatting sqref="L2436">
    <cfRule type="containsText" dxfId="3922" priority="4291" operator="containsText" text="Positive">
      <formula>NOT(ISERROR(SEARCH("Positive",L2436)))</formula>
    </cfRule>
    <cfRule type="containsText" dxfId="3921" priority="4292" operator="containsText" text="Negative">
      <formula>NOT(ISERROR(SEARCH("Negative",L2436)))</formula>
    </cfRule>
  </conditionalFormatting>
  <conditionalFormatting sqref="L2487">
    <cfRule type="containsText" dxfId="3920" priority="3622" operator="containsText" text="Positive">
      <formula>NOT(ISERROR(SEARCH("Positive",L2487)))</formula>
    </cfRule>
    <cfRule type="containsText" dxfId="3919" priority="3623" operator="containsText" text="Negative">
      <formula>NOT(ISERROR(SEARCH("Negative",L2487)))</formula>
    </cfRule>
  </conditionalFormatting>
  <conditionalFormatting sqref="J2401">
    <cfRule type="containsText" dxfId="3918" priority="4158" operator="containsText" text="Missing">
      <formula>NOT(ISERROR(SEARCH("Missing",J2401)))</formula>
    </cfRule>
  </conditionalFormatting>
  <conditionalFormatting sqref="J2480">
    <cfRule type="containsText" dxfId="3917" priority="3556" operator="containsText" text="Missing">
      <formula>NOT(ISERROR(SEARCH("Missing",J2480)))</formula>
    </cfRule>
  </conditionalFormatting>
  <conditionalFormatting sqref="K2487">
    <cfRule type="containsText" dxfId="3916" priority="3615" operator="containsText" text="Missing">
      <formula>NOT(ISERROR(SEARCH("Missing",K2487)))</formula>
    </cfRule>
  </conditionalFormatting>
  <conditionalFormatting sqref="H2433">
    <cfRule type="containsText" dxfId="3915" priority="4177" operator="containsText" text="Missing">
      <formula>NOT(ISERROR(SEARCH("Missing",H2433)))</formula>
    </cfRule>
  </conditionalFormatting>
  <conditionalFormatting sqref="K2433">
    <cfRule type="containsText" dxfId="3914" priority="4178" operator="containsText" text="Missing">
      <formula>NOT(ISERROR(SEARCH("Missing",K2433)))</formula>
    </cfRule>
  </conditionalFormatting>
  <conditionalFormatting sqref="I2431">
    <cfRule type="containsText" dxfId="3913" priority="4202" operator="containsText" text="Missing">
      <formula>NOT(ISERROR(SEARCH("Missing",I2431)))</formula>
    </cfRule>
  </conditionalFormatting>
  <conditionalFormatting sqref="I2429">
    <cfRule type="containsText" dxfId="3912" priority="4203" operator="containsText" text="Missing">
      <formula>NOT(ISERROR(SEARCH("Missing",I2429)))</formula>
    </cfRule>
  </conditionalFormatting>
  <conditionalFormatting sqref="K2433">
    <cfRule type="containsText" dxfId="3911" priority="4179" operator="containsText" text="Missing">
      <formula>NOT(ISERROR(SEARCH("Missing",K2433)))</formula>
    </cfRule>
  </conditionalFormatting>
  <conditionalFormatting sqref="L2430">
    <cfRule type="containsText" dxfId="3910" priority="4232" operator="containsText" text="Positive">
      <formula>NOT(ISERROR(SEARCH("Positive",L2430)))</formula>
    </cfRule>
    <cfRule type="containsText" dxfId="3909" priority="4233" operator="containsText" text="Negative">
      <formula>NOT(ISERROR(SEARCH("Negative",L2430)))</formula>
    </cfRule>
  </conditionalFormatting>
  <conditionalFormatting sqref="L2430">
    <cfRule type="containsText" dxfId="3908" priority="4228" operator="containsText" text="Positive">
      <formula>NOT(ISERROR(SEARCH("Positive",L2430)))</formula>
    </cfRule>
    <cfRule type="containsText" dxfId="3907" priority="4229" operator="containsText" text="Negative">
      <formula>NOT(ISERROR(SEARCH("Negative",L2430)))</formula>
    </cfRule>
  </conditionalFormatting>
  <conditionalFormatting sqref="L2430">
    <cfRule type="containsText" dxfId="3906" priority="4230" operator="containsText" text="Positive">
      <formula>NOT(ISERROR(SEARCH("Positive",L2430)))</formula>
    </cfRule>
    <cfRule type="containsText" dxfId="3905" priority="4231" operator="containsText" text="Negative">
      <formula>NOT(ISERROR(SEARCH("Negative",L2430)))</formula>
    </cfRule>
  </conditionalFormatting>
  <conditionalFormatting sqref="J2433">
    <cfRule type="containsText" dxfId="3904" priority="4182" operator="containsText" text="Missing">
      <formula>NOT(ISERROR(SEARCH("Missing",J2433)))</formula>
    </cfRule>
  </conditionalFormatting>
  <conditionalFormatting sqref="J2433">
    <cfRule type="containsText" dxfId="3903" priority="4181" operator="containsText" text="Missing">
      <formula>NOT(ISERROR(SEARCH("Missing",J2433)))</formula>
    </cfRule>
  </conditionalFormatting>
  <conditionalFormatting sqref="K2480">
    <cfRule type="containsText" dxfId="3902" priority="3552" operator="containsText" text="Missing">
      <formula>NOT(ISERROR(SEARCH("Missing",K2480)))</formula>
    </cfRule>
  </conditionalFormatting>
  <conditionalFormatting sqref="J2481">
    <cfRule type="containsText" dxfId="3901" priority="3542" operator="containsText" text="Missing">
      <formula>NOT(ISERROR(SEARCH("Missing",J2481)))</formula>
    </cfRule>
  </conditionalFormatting>
  <conditionalFormatting sqref="K2481">
    <cfRule type="containsText" dxfId="3900" priority="3541" operator="containsText" text="Missing">
      <formula>NOT(ISERROR(SEARCH("Missing",K2481)))</formula>
    </cfRule>
  </conditionalFormatting>
  <conditionalFormatting sqref="K2481">
    <cfRule type="containsText" dxfId="3899" priority="3540" operator="containsText" text="Missing">
      <formula>NOT(ISERROR(SEARCH("Missing",K2481)))</formula>
    </cfRule>
  </conditionalFormatting>
  <conditionalFormatting sqref="H2400">
    <cfRule type="containsText" dxfId="3898" priority="4161" operator="containsText" text="Missing">
      <formula>NOT(ISERROR(SEARCH("Missing",H2400)))</formula>
    </cfRule>
  </conditionalFormatting>
  <conditionalFormatting sqref="I2480">
    <cfRule type="containsText" dxfId="3897" priority="3535" operator="containsText" text="Missing">
      <formula>NOT(ISERROR(SEARCH("Missing",I2480)))</formula>
    </cfRule>
  </conditionalFormatting>
  <conditionalFormatting sqref="I2478">
    <cfRule type="containsText" dxfId="3896" priority="3536" operator="containsText" text="Missing">
      <formula>NOT(ISERROR(SEARCH("Missing",I2478)))</formula>
    </cfRule>
  </conditionalFormatting>
  <conditionalFormatting sqref="H2481">
    <cfRule type="containsText" dxfId="3895" priority="3537" operator="containsText" text="Missing">
      <formula>NOT(ISERROR(SEARCH("Missing",H2481)))</formula>
    </cfRule>
  </conditionalFormatting>
  <conditionalFormatting sqref="I2487">
    <cfRule type="containsText" dxfId="3894" priority="3614" operator="containsText" text="Missing">
      <formula>NOT(ISERROR(SEARCH("Missing",I2487)))</formula>
    </cfRule>
  </conditionalFormatting>
  <conditionalFormatting sqref="H2487">
    <cfRule type="containsText" dxfId="3893" priority="3613" operator="containsText" text="Missing">
      <formula>NOT(ISERROR(SEARCH("Missing",H2487)))</formula>
    </cfRule>
  </conditionalFormatting>
  <conditionalFormatting sqref="H2487">
    <cfRule type="containsText" dxfId="3892" priority="3611" operator="containsText" text="Missing">
      <formula>NOT(ISERROR(SEARCH("Missing",H2487)))</formula>
    </cfRule>
  </conditionalFormatting>
  <conditionalFormatting sqref="H2487">
    <cfRule type="containsText" dxfId="3891" priority="3612" operator="containsText" text="Missing">
      <formula>NOT(ISERROR(SEARCH("Missing",H2487)))</formula>
    </cfRule>
  </conditionalFormatting>
  <conditionalFormatting sqref="L2481">
    <cfRule type="containsText" dxfId="3890" priority="3546" operator="containsText" text="Positive">
      <formula>NOT(ISERROR(SEARCH("Positive",L2481)))</formula>
    </cfRule>
    <cfRule type="containsText" dxfId="3889" priority="3547" operator="containsText" text="Negative">
      <formula>NOT(ISERROR(SEARCH("Negative",L2481)))</formula>
    </cfRule>
  </conditionalFormatting>
  <conditionalFormatting sqref="L2481">
    <cfRule type="containsText" dxfId="3888" priority="3544" operator="containsText" text="Positive">
      <formula>NOT(ISERROR(SEARCH("Positive",L2481)))</formula>
    </cfRule>
    <cfRule type="containsText" dxfId="3887" priority="3545" operator="containsText" text="Negative">
      <formula>NOT(ISERROR(SEARCH("Negative",L2481)))</formula>
    </cfRule>
  </conditionalFormatting>
  <conditionalFormatting sqref="L2428">
    <cfRule type="containsText" dxfId="3886" priority="4243" operator="containsText" text="Positive">
      <formula>NOT(ISERROR(SEARCH("Positive",L2428)))</formula>
    </cfRule>
    <cfRule type="containsText" dxfId="3885" priority="4244" operator="containsText" text="Negative">
      <formula>NOT(ISERROR(SEARCH("Negative",L2428)))</formula>
    </cfRule>
  </conditionalFormatting>
  <conditionalFormatting sqref="L2428">
    <cfRule type="containsText" dxfId="3884" priority="4241" operator="containsText" text="Positive">
      <formula>NOT(ISERROR(SEARCH("Positive",L2428)))</formula>
    </cfRule>
    <cfRule type="containsText" dxfId="3883" priority="4242" operator="containsText" text="Negative">
      <formula>NOT(ISERROR(SEARCH("Negative",L2428)))</formula>
    </cfRule>
  </conditionalFormatting>
  <conditionalFormatting sqref="K2428">
    <cfRule type="containsText" dxfId="3882" priority="4237" operator="containsText" text="Missing">
      <formula>NOT(ISERROR(SEARCH("Missing",K2428)))</formula>
    </cfRule>
  </conditionalFormatting>
  <conditionalFormatting sqref="K2402">
    <cfRule type="containsText" dxfId="3881" priority="4134" operator="containsText" text="Missing">
      <formula>NOT(ISERROR(SEARCH("Missing",K2402)))</formula>
    </cfRule>
  </conditionalFormatting>
  <conditionalFormatting sqref="K2432">
    <cfRule type="containsText" dxfId="3880" priority="4249" operator="containsText" text="Missing">
      <formula>NOT(ISERROR(SEARCH("Missing",K2432)))</formula>
    </cfRule>
  </conditionalFormatting>
  <conditionalFormatting sqref="K2428">
    <cfRule type="containsText" dxfId="3879" priority="4238" operator="containsText" text="Missing">
      <formula>NOT(ISERROR(SEARCH("Missing",K2428)))</formula>
    </cfRule>
  </conditionalFormatting>
  <conditionalFormatting sqref="K2434">
    <cfRule type="containsText" dxfId="3878" priority="4193" operator="containsText" text="Missing">
      <formula>NOT(ISERROR(SEARCH("Missing",K2434)))</formula>
    </cfRule>
  </conditionalFormatting>
  <conditionalFormatting sqref="H2480">
    <cfRule type="containsText" dxfId="3877" priority="3551" operator="containsText" text="Missing">
      <formula>NOT(ISERROR(SEARCH("Missing",H2480)))</formula>
    </cfRule>
  </conditionalFormatting>
  <conditionalFormatting sqref="K2428">
    <cfRule type="containsText" dxfId="3876" priority="4236" operator="containsText" text="Missing">
      <formula>NOT(ISERROR(SEARCH("Missing",K2428)))</formula>
    </cfRule>
  </conditionalFormatting>
  <conditionalFormatting sqref="J2480">
    <cfRule type="containsText" dxfId="3875" priority="3555" operator="containsText" text="Missing">
      <formula>NOT(ISERROR(SEARCH("Missing",J2480)))</formula>
    </cfRule>
  </conditionalFormatting>
  <conditionalFormatting sqref="K2480">
    <cfRule type="containsText" dxfId="3874" priority="3554" operator="containsText" text="Missing">
      <formula>NOT(ISERROR(SEARCH("Missing",K2480)))</formula>
    </cfRule>
  </conditionalFormatting>
  <conditionalFormatting sqref="J2403">
    <cfRule type="containsText" dxfId="3873" priority="4123" operator="containsText" text="Missing">
      <formula>NOT(ISERROR(SEARCH("Missing",J2403)))</formula>
    </cfRule>
  </conditionalFormatting>
  <conditionalFormatting sqref="K2432">
    <cfRule type="containsText" dxfId="3872" priority="4250" operator="containsText" text="Missing">
      <formula>NOT(ISERROR(SEARCH("Missing",K2432)))</formula>
    </cfRule>
  </conditionalFormatting>
  <conditionalFormatting sqref="H2478">
    <cfRule type="containsText" dxfId="3871" priority="3563" operator="containsText" text="Missing">
      <formula>NOT(ISERROR(SEARCH("Missing",H2478)))</formula>
    </cfRule>
  </conditionalFormatting>
  <conditionalFormatting sqref="J2428">
    <cfRule type="containsText" dxfId="3870" priority="4239" operator="containsText" text="Missing">
      <formula>NOT(ISERROR(SEARCH("Missing",J2428)))</formula>
    </cfRule>
  </conditionalFormatting>
  <conditionalFormatting sqref="J2428">
    <cfRule type="containsText" dxfId="3869" priority="4240" operator="containsText" text="Missing">
      <formula>NOT(ISERROR(SEARCH("Missing",J2428)))</formula>
    </cfRule>
  </conditionalFormatting>
  <conditionalFormatting sqref="H2401">
    <cfRule type="containsText" dxfId="3868" priority="4147" operator="containsText" text="Missing">
      <formula>NOT(ISERROR(SEARCH("Missing",H2401)))</formula>
    </cfRule>
  </conditionalFormatting>
  <conditionalFormatting sqref="J2401">
    <cfRule type="containsText" dxfId="3867" priority="4153" operator="containsText" text="Missing">
      <formula>NOT(ISERROR(SEARCH("Missing",J2401)))</formula>
    </cfRule>
  </conditionalFormatting>
  <conditionalFormatting sqref="J2481">
    <cfRule type="containsText" dxfId="3866" priority="3543" operator="containsText" text="Missing">
      <formula>NOT(ISERROR(SEARCH("Missing",J2481)))</formula>
    </cfRule>
  </conditionalFormatting>
  <conditionalFormatting sqref="H2428">
    <cfRule type="containsText" dxfId="3865" priority="4235" operator="containsText" text="Missing">
      <formula>NOT(ISERROR(SEARCH("Missing",H2428)))</formula>
    </cfRule>
  </conditionalFormatting>
  <conditionalFormatting sqref="J2429">
    <cfRule type="containsText" dxfId="3864" priority="4263" operator="containsText" text="Missing">
      <formula>NOT(ISERROR(SEARCH("Missing",J2429)))</formula>
    </cfRule>
  </conditionalFormatting>
  <conditionalFormatting sqref="J2429">
    <cfRule type="containsText" dxfId="3863" priority="4264" operator="containsText" text="Missing">
      <formula>NOT(ISERROR(SEARCH("Missing",J2429)))</formula>
    </cfRule>
  </conditionalFormatting>
  <conditionalFormatting sqref="L2433">
    <cfRule type="containsText" dxfId="3862" priority="4183" operator="containsText" text="Positive">
      <formula>NOT(ISERROR(SEARCH("Positive",L2433)))</formula>
    </cfRule>
    <cfRule type="containsText" dxfId="3861" priority="4184" operator="containsText" text="Negative">
      <formula>NOT(ISERROR(SEARCH("Negative",L2433)))</formula>
    </cfRule>
  </conditionalFormatting>
  <conditionalFormatting sqref="L2433">
    <cfRule type="containsText" dxfId="3860" priority="4187" operator="containsText" text="Positive">
      <formula>NOT(ISERROR(SEARCH("Positive",L2433)))</formula>
    </cfRule>
    <cfRule type="containsText" dxfId="3859" priority="4188" operator="containsText" text="Negative">
      <formula>NOT(ISERROR(SEARCH("Negative",L2433)))</formula>
    </cfRule>
  </conditionalFormatting>
  <conditionalFormatting sqref="L2481">
    <cfRule type="containsText" dxfId="3858" priority="3548" operator="containsText" text="Positive">
      <formula>NOT(ISERROR(SEARCH("Positive",L2481)))</formula>
    </cfRule>
    <cfRule type="containsText" dxfId="3857" priority="3549" operator="containsText" text="Negative">
      <formula>NOT(ISERROR(SEARCH("Negative",L2481)))</formula>
    </cfRule>
  </conditionalFormatting>
  <conditionalFormatting sqref="K2403">
    <cfRule type="containsText" dxfId="3856" priority="4120" operator="containsText" text="Missing">
      <formula>NOT(ISERROR(SEARCH("Missing",K2403)))</formula>
    </cfRule>
  </conditionalFormatting>
  <conditionalFormatting sqref="K2403">
    <cfRule type="containsText" dxfId="3855" priority="4119" operator="containsText" text="Missing">
      <formula>NOT(ISERROR(SEARCH("Missing",K2403)))</formula>
    </cfRule>
  </conditionalFormatting>
  <conditionalFormatting sqref="K2480">
    <cfRule type="containsText" dxfId="3854" priority="3553" operator="containsText" text="Missing">
      <formula>NOT(ISERROR(SEARCH("Missing",K2480)))</formula>
    </cfRule>
  </conditionalFormatting>
  <conditionalFormatting sqref="J2434">
    <cfRule type="containsText" dxfId="3853" priority="4194" operator="containsText" text="Missing">
      <formula>NOT(ISERROR(SEARCH("Missing",J2434)))</formula>
    </cfRule>
  </conditionalFormatting>
  <conditionalFormatting sqref="I2401">
    <cfRule type="containsText" dxfId="3852" priority="4145" operator="containsText" text="Missing">
      <formula>NOT(ISERROR(SEARCH("Missing",I2401)))</formula>
    </cfRule>
  </conditionalFormatting>
  <conditionalFormatting sqref="K2434">
    <cfRule type="containsText" dxfId="3851" priority="4192" operator="containsText" text="Missing">
      <formula>NOT(ISERROR(SEARCH("Missing",K2434)))</formula>
    </cfRule>
  </conditionalFormatting>
  <conditionalFormatting sqref="H2400">
    <cfRule type="containsText" dxfId="3850" priority="4162" operator="containsText" text="Missing">
      <formula>NOT(ISERROR(SEARCH("Missing",H2400)))</formula>
    </cfRule>
  </conditionalFormatting>
  <conditionalFormatting sqref="K2402">
    <cfRule type="containsText" dxfId="3849" priority="4133" operator="containsText" text="Missing">
      <formula>NOT(ISERROR(SEARCH("Missing",K2402)))</formula>
    </cfRule>
  </conditionalFormatting>
  <conditionalFormatting sqref="H2402">
    <cfRule type="containsText" dxfId="3848" priority="4131" operator="containsText" text="Missing">
      <formula>NOT(ISERROR(SEARCH("Missing",H2402)))</formula>
    </cfRule>
  </conditionalFormatting>
  <conditionalFormatting sqref="I2432">
    <cfRule type="containsText" dxfId="3847" priority="4205" operator="containsText" text="Missing">
      <formula>NOT(ISERROR(SEARCH("Missing",I2432)))</formula>
    </cfRule>
  </conditionalFormatting>
  <conditionalFormatting sqref="H2480">
    <cfRule type="containsText" dxfId="3846" priority="3550" operator="containsText" text="Missing">
      <formula>NOT(ISERROR(SEARCH("Missing",H2480)))</formula>
    </cfRule>
  </conditionalFormatting>
  <conditionalFormatting sqref="I2427">
    <cfRule type="containsText" dxfId="3845" priority="4204" operator="containsText" text="Missing">
      <formula>NOT(ISERROR(SEARCH("Missing",I2427)))</formula>
    </cfRule>
  </conditionalFormatting>
  <conditionalFormatting sqref="L2402">
    <cfRule type="containsText" dxfId="3844" priority="4139" operator="containsText" text="Positive">
      <formula>NOT(ISERROR(SEARCH("Positive",L2402)))</formula>
    </cfRule>
    <cfRule type="containsText" dxfId="3843" priority="4140" operator="containsText" text="Negative">
      <formula>NOT(ISERROR(SEARCH("Negative",L2402)))</formula>
    </cfRule>
  </conditionalFormatting>
  <conditionalFormatting sqref="L2434">
    <cfRule type="containsText" dxfId="3842" priority="4200" operator="containsText" text="Positive">
      <formula>NOT(ISERROR(SEARCH("Positive",L2434)))</formula>
    </cfRule>
    <cfRule type="containsText" dxfId="3841" priority="4201" operator="containsText" text="Negative">
      <formula>NOT(ISERROR(SEARCH("Negative",L2434)))</formula>
    </cfRule>
  </conditionalFormatting>
  <conditionalFormatting sqref="L2434">
    <cfRule type="containsText" dxfId="3840" priority="4198" operator="containsText" text="Positive">
      <formula>NOT(ISERROR(SEARCH("Positive",L2434)))</formula>
    </cfRule>
    <cfRule type="containsText" dxfId="3839" priority="4199" operator="containsText" text="Negative">
      <formula>NOT(ISERROR(SEARCH("Negative",L2434)))</formula>
    </cfRule>
  </conditionalFormatting>
  <conditionalFormatting sqref="I2401">
    <cfRule type="containsText" dxfId="3838" priority="4144" operator="containsText" text="Missing">
      <formula>NOT(ISERROR(SEARCH("Missing",I2401)))</formula>
    </cfRule>
  </conditionalFormatting>
  <conditionalFormatting sqref="K2434">
    <cfRule type="containsText" dxfId="3837" priority="4191" operator="containsText" text="Missing">
      <formula>NOT(ISERROR(SEARCH("Missing",K2434)))</formula>
    </cfRule>
  </conditionalFormatting>
  <conditionalFormatting sqref="J2402">
    <cfRule type="containsText" dxfId="3836" priority="4143" operator="containsText" text="Missing">
      <formula>NOT(ISERROR(SEARCH("Missing",J2402)))</formula>
    </cfRule>
  </conditionalFormatting>
  <conditionalFormatting sqref="L2427">
    <cfRule type="containsText" dxfId="3835" priority="4280" operator="containsText" text="Positive">
      <formula>NOT(ISERROR(SEARCH("Positive",L2427)))</formula>
    </cfRule>
    <cfRule type="containsText" dxfId="3834" priority="4281" operator="containsText" text="Negative">
      <formula>NOT(ISERROR(SEARCH("Negative",L2427)))</formula>
    </cfRule>
  </conditionalFormatting>
  <conditionalFormatting sqref="H2401">
    <cfRule type="containsText" dxfId="3833" priority="4146" operator="containsText" text="Missing">
      <formula>NOT(ISERROR(SEARCH("Missing",H2401)))</formula>
    </cfRule>
  </conditionalFormatting>
  <conditionalFormatting sqref="H2434">
    <cfRule type="containsText" dxfId="3832" priority="4190" operator="containsText" text="Missing">
      <formula>NOT(ISERROR(SEARCH("Missing",H2434)))</formula>
    </cfRule>
  </conditionalFormatting>
  <conditionalFormatting sqref="H2434">
    <cfRule type="containsText" dxfId="3831" priority="4189" operator="containsText" text="Missing">
      <formula>NOT(ISERROR(SEARCH("Missing",H2434)))</formula>
    </cfRule>
  </conditionalFormatting>
  <conditionalFormatting sqref="L2477">
    <cfRule type="containsText" dxfId="3830" priority="3607" operator="containsText" text="Positive">
      <formula>NOT(ISERROR(SEARCH("Positive",L2477)))</formula>
    </cfRule>
    <cfRule type="containsText" dxfId="3829" priority="3608" operator="containsText" text="Negative">
      <formula>NOT(ISERROR(SEARCH("Negative",L2477)))</formula>
    </cfRule>
  </conditionalFormatting>
  <conditionalFormatting sqref="K2477">
    <cfRule type="containsText" dxfId="3828" priority="3601" operator="containsText" text="Missing">
      <formula>NOT(ISERROR(SEARCH("Missing",K2477)))</formula>
    </cfRule>
  </conditionalFormatting>
  <conditionalFormatting sqref="K2477">
    <cfRule type="containsText" dxfId="3827" priority="3600" operator="containsText" text="Missing">
      <formula>NOT(ISERROR(SEARCH("Missing",K2477)))</formula>
    </cfRule>
  </conditionalFormatting>
  <conditionalFormatting sqref="J2434">
    <cfRule type="containsText" dxfId="3826" priority="4195" operator="containsText" text="Missing">
      <formula>NOT(ISERROR(SEARCH("Missing",J2434)))</formula>
    </cfRule>
  </conditionalFormatting>
  <conditionalFormatting sqref="J2400">
    <cfRule type="containsText" dxfId="3825" priority="4173" operator="containsText" text="Missing">
      <formula>NOT(ISERROR(SEARCH("Missing",J2400)))</formula>
    </cfRule>
  </conditionalFormatting>
  <conditionalFormatting sqref="L2429">
    <cfRule type="containsText" dxfId="3824" priority="4269" operator="containsText" text="Positive">
      <formula>NOT(ISERROR(SEARCH("Positive",L2429)))</formula>
    </cfRule>
    <cfRule type="containsText" dxfId="3823" priority="4270" operator="containsText" text="Negative">
      <formula>NOT(ISERROR(SEARCH("Negative",L2429)))</formula>
    </cfRule>
  </conditionalFormatting>
  <conditionalFormatting sqref="L2432">
    <cfRule type="containsText" dxfId="3822" priority="4256" operator="containsText" text="Positive">
      <formula>NOT(ISERROR(SEARCH("Positive",L2432)))</formula>
    </cfRule>
    <cfRule type="containsText" dxfId="3821" priority="4257" operator="containsText" text="Negative">
      <formula>NOT(ISERROR(SEARCH("Negative",L2432)))</formula>
    </cfRule>
  </conditionalFormatting>
  <conditionalFormatting sqref="L2432">
    <cfRule type="containsText" dxfId="3820" priority="4254" operator="containsText" text="Positive">
      <formula>NOT(ISERROR(SEARCH("Positive",L2432)))</formula>
    </cfRule>
    <cfRule type="containsText" dxfId="3819" priority="4255" operator="containsText" text="Negative">
      <formula>NOT(ISERROR(SEARCH("Negative",L2432)))</formula>
    </cfRule>
  </conditionalFormatting>
  <conditionalFormatting sqref="H2402">
    <cfRule type="containsText" dxfId="3818" priority="4132" operator="containsText" text="Missing">
      <formula>NOT(ISERROR(SEARCH("Missing",H2402)))</formula>
    </cfRule>
  </conditionalFormatting>
  <conditionalFormatting sqref="K2403">
    <cfRule type="containsText" dxfId="3817" priority="4118" operator="containsText" text="Missing">
      <formula>NOT(ISERROR(SEARCH("Missing",K2403)))</formula>
    </cfRule>
  </conditionalFormatting>
  <conditionalFormatting sqref="H2403">
    <cfRule type="containsText" dxfId="3816" priority="4117" operator="containsText" text="Missing">
      <formula>NOT(ISERROR(SEARCH("Missing",H2403)))</formula>
    </cfRule>
  </conditionalFormatting>
  <conditionalFormatting sqref="H2403">
    <cfRule type="containsText" dxfId="3815" priority="4116" operator="containsText" text="Missing">
      <formula>NOT(ISERROR(SEARCH("Missing",H2403)))</formula>
    </cfRule>
  </conditionalFormatting>
  <conditionalFormatting sqref="L2400">
    <cfRule type="containsText" dxfId="3814" priority="4166" operator="containsText" text="Positive">
      <formula>NOT(ISERROR(SEARCH("Positive",L2400)))</formula>
    </cfRule>
    <cfRule type="containsText" dxfId="3813" priority="4167" operator="containsText" text="Negative">
      <formula>NOT(ISERROR(SEARCH("Negative",L2400)))</formula>
    </cfRule>
  </conditionalFormatting>
  <conditionalFormatting sqref="L2401">
    <cfRule type="containsText" dxfId="3812" priority="4154" operator="containsText" text="Positive">
      <formula>NOT(ISERROR(SEARCH("Positive",L2401)))</formula>
    </cfRule>
    <cfRule type="containsText" dxfId="3811" priority="4155" operator="containsText" text="Negative">
      <formula>NOT(ISERROR(SEARCH("Negative",L2401)))</formula>
    </cfRule>
  </conditionalFormatting>
  <conditionalFormatting sqref="L2433">
    <cfRule type="containsText" dxfId="3810" priority="4185" operator="containsText" text="Positive">
      <formula>NOT(ISERROR(SEARCH("Positive",L2433)))</formula>
    </cfRule>
    <cfRule type="containsText" dxfId="3809" priority="4186" operator="containsText" text="Negative">
      <formula>NOT(ISERROR(SEARCH("Negative",L2433)))</formula>
    </cfRule>
  </conditionalFormatting>
  <conditionalFormatting sqref="K2401">
    <cfRule type="containsText" dxfId="3808" priority="4149" operator="containsText" text="Missing">
      <formula>NOT(ISERROR(SEARCH("Missing",K2401)))</formula>
    </cfRule>
  </conditionalFormatting>
  <conditionalFormatting sqref="K2401">
    <cfRule type="containsText" dxfId="3807" priority="4148" operator="containsText" text="Missing">
      <formula>NOT(ISERROR(SEARCH("Missing",K2401)))</formula>
    </cfRule>
  </conditionalFormatting>
  <conditionalFormatting sqref="I2402">
    <cfRule type="containsText" dxfId="3806" priority="4130" operator="containsText" text="Missing">
      <formula>NOT(ISERROR(SEARCH("Missing",I2402)))</formula>
    </cfRule>
  </conditionalFormatting>
  <conditionalFormatting sqref="L2477">
    <cfRule type="containsText" dxfId="3805" priority="3605" operator="containsText" text="Positive">
      <formula>NOT(ISERROR(SEARCH("Positive",L2477)))</formula>
    </cfRule>
    <cfRule type="containsText" dxfId="3804" priority="3606" operator="containsText" text="Negative">
      <formula>NOT(ISERROR(SEARCH("Negative",L2477)))</formula>
    </cfRule>
  </conditionalFormatting>
  <conditionalFormatting sqref="L2402">
    <cfRule type="containsText" dxfId="3803" priority="4141" operator="containsText" text="Positive">
      <formula>NOT(ISERROR(SEARCH("Positive",L2402)))</formula>
    </cfRule>
    <cfRule type="containsText" dxfId="3802" priority="4142" operator="containsText" text="Negative">
      <formula>NOT(ISERROR(SEARCH("Negative",L2402)))</formula>
    </cfRule>
  </conditionalFormatting>
  <conditionalFormatting sqref="K2402">
    <cfRule type="containsText" dxfId="3801" priority="4135" operator="containsText" text="Missing">
      <formula>NOT(ISERROR(SEARCH("Missing",K2402)))</formula>
    </cfRule>
  </conditionalFormatting>
  <conditionalFormatting sqref="I2433">
    <cfRule type="containsText" dxfId="3800" priority="4174" operator="containsText" text="Missing">
      <formula>NOT(ISERROR(SEARCH("Missing",I2433)))</formula>
    </cfRule>
  </conditionalFormatting>
  <conditionalFormatting sqref="H2433">
    <cfRule type="containsText" dxfId="3799" priority="4176" operator="containsText" text="Missing">
      <formula>NOT(ISERROR(SEARCH("Missing",H2433)))</formula>
    </cfRule>
  </conditionalFormatting>
  <conditionalFormatting sqref="I2434">
    <cfRule type="containsText" dxfId="3798" priority="4175" operator="containsText" text="Missing">
      <formula>NOT(ISERROR(SEARCH("Missing",I2434)))</formula>
    </cfRule>
  </conditionalFormatting>
  <conditionalFormatting sqref="L2428">
    <cfRule type="containsText" dxfId="3797" priority="4245" operator="containsText" text="Positive">
      <formula>NOT(ISERROR(SEARCH("Positive",L2428)))</formula>
    </cfRule>
    <cfRule type="containsText" dxfId="3796" priority="4246" operator="containsText" text="Negative">
      <formula>NOT(ISERROR(SEARCH("Negative",L2428)))</formula>
    </cfRule>
  </conditionalFormatting>
  <conditionalFormatting sqref="L2434">
    <cfRule type="containsText" dxfId="3795" priority="4196" operator="containsText" text="Positive">
      <formula>NOT(ISERROR(SEARCH("Positive",L2434)))</formula>
    </cfRule>
    <cfRule type="containsText" dxfId="3794" priority="4197" operator="containsText" text="Negative">
      <formula>NOT(ISERROR(SEARCH("Negative",L2434)))</formula>
    </cfRule>
  </conditionalFormatting>
  <conditionalFormatting sqref="L2403">
    <cfRule type="containsText" dxfId="3793" priority="4126" operator="containsText" text="Positive">
      <formula>NOT(ISERROR(SEARCH("Positive",L2403)))</formula>
    </cfRule>
    <cfRule type="containsText" dxfId="3792" priority="4127" operator="containsText" text="Negative">
      <formula>NOT(ISERROR(SEARCH("Negative",L2403)))</formula>
    </cfRule>
  </conditionalFormatting>
  <conditionalFormatting sqref="L2403">
    <cfRule type="containsText" dxfId="3791" priority="4124" operator="containsText" text="Positive">
      <formula>NOT(ISERROR(SEARCH("Positive",L2403)))</formula>
    </cfRule>
    <cfRule type="containsText" dxfId="3790" priority="4125" operator="containsText" text="Negative">
      <formula>NOT(ISERROR(SEARCH("Negative",L2403)))</formula>
    </cfRule>
  </conditionalFormatting>
  <conditionalFormatting sqref="I2402">
    <cfRule type="containsText" dxfId="3789" priority="4129" operator="containsText" text="Missing">
      <formula>NOT(ISERROR(SEARCH("Missing",I2402)))</formula>
    </cfRule>
  </conditionalFormatting>
  <conditionalFormatting sqref="J2400">
    <cfRule type="containsText" dxfId="3788" priority="4168" operator="containsText" text="Missing">
      <formula>NOT(ISERROR(SEARCH("Missing",J2400)))</formula>
    </cfRule>
  </conditionalFormatting>
  <conditionalFormatting sqref="J2408">
    <cfRule type="containsText" dxfId="3787" priority="4095" operator="containsText" text="Missing">
      <formula>NOT(ISERROR(SEARCH("Missing",J2408)))</formula>
    </cfRule>
  </conditionalFormatting>
  <conditionalFormatting sqref="J2416">
    <cfRule type="containsText" dxfId="3786" priority="4031" operator="containsText" text="Missing">
      <formula>NOT(ISERROR(SEARCH("Missing",J2416)))</formula>
    </cfRule>
  </conditionalFormatting>
  <conditionalFormatting sqref="K2400">
    <cfRule type="containsText" dxfId="3785" priority="4163" operator="containsText" text="Missing">
      <formula>NOT(ISERROR(SEARCH("Missing",K2400)))</formula>
    </cfRule>
  </conditionalFormatting>
  <conditionalFormatting sqref="K2400">
    <cfRule type="containsText" dxfId="3784" priority="4164" operator="containsText" text="Missing">
      <formula>NOT(ISERROR(SEARCH("Missing",K2400)))</formula>
    </cfRule>
  </conditionalFormatting>
  <conditionalFormatting sqref="K2408">
    <cfRule type="containsText" dxfId="3783" priority="4091" operator="containsText" text="Missing">
      <formula>NOT(ISERROR(SEARCH("Missing",K2408)))</formula>
    </cfRule>
  </conditionalFormatting>
  <conditionalFormatting sqref="K2401">
    <cfRule type="containsText" dxfId="3782" priority="4150" operator="containsText" text="Missing">
      <formula>NOT(ISERROR(SEARCH("Missing",K2401)))</formula>
    </cfRule>
  </conditionalFormatting>
  <conditionalFormatting sqref="K2408">
    <cfRule type="containsText" dxfId="3781" priority="4092" operator="containsText" text="Missing">
      <formula>NOT(ISERROR(SEARCH("Missing",K2408)))</formula>
    </cfRule>
  </conditionalFormatting>
  <conditionalFormatting sqref="L2401">
    <cfRule type="containsText" dxfId="3780" priority="4151" operator="containsText" text="Positive">
      <formula>NOT(ISERROR(SEARCH("Positive",L2401)))</formula>
    </cfRule>
    <cfRule type="containsText" dxfId="3779" priority="4152" operator="containsText" text="Negative">
      <formula>NOT(ISERROR(SEARCH("Negative",L2401)))</formula>
    </cfRule>
  </conditionalFormatting>
  <conditionalFormatting sqref="L2401">
    <cfRule type="containsText" dxfId="3778" priority="4156" operator="containsText" text="Positive">
      <formula>NOT(ISERROR(SEARCH("Positive",L2401)))</formula>
    </cfRule>
    <cfRule type="containsText" dxfId="3777" priority="4157" operator="containsText" text="Negative">
      <formula>NOT(ISERROR(SEARCH("Negative",L2401)))</formula>
    </cfRule>
  </conditionalFormatting>
  <conditionalFormatting sqref="J2402">
    <cfRule type="containsText" dxfId="3776" priority="4138" operator="containsText" text="Missing">
      <formula>NOT(ISERROR(SEARCH("Missing",J2402)))</formula>
    </cfRule>
  </conditionalFormatting>
  <conditionalFormatting sqref="L2402">
    <cfRule type="containsText" dxfId="3775" priority="4136" operator="containsText" text="Positive">
      <formula>NOT(ISERROR(SEARCH("Positive",L2402)))</formula>
    </cfRule>
    <cfRule type="containsText" dxfId="3774" priority="4137" operator="containsText" text="Negative">
      <formula>NOT(ISERROR(SEARCH("Negative",L2402)))</formula>
    </cfRule>
  </conditionalFormatting>
  <conditionalFormatting sqref="L2403">
    <cfRule type="containsText" dxfId="3773" priority="4121" operator="containsText" text="Positive">
      <formula>NOT(ISERROR(SEARCH("Positive",L2403)))</formula>
    </cfRule>
    <cfRule type="containsText" dxfId="3772" priority="4122" operator="containsText" text="Negative">
      <formula>NOT(ISERROR(SEARCH("Negative",L2403)))</formula>
    </cfRule>
  </conditionalFormatting>
  <conditionalFormatting sqref="J2403">
    <cfRule type="containsText" dxfId="3771" priority="4128" operator="containsText" text="Missing">
      <formula>NOT(ISERROR(SEARCH("Missing",J2403)))</formula>
    </cfRule>
  </conditionalFormatting>
  <conditionalFormatting sqref="H2407">
    <cfRule type="containsText" dxfId="3770" priority="4103" operator="containsText" text="Missing">
      <formula>NOT(ISERROR(SEARCH("Missing",H2407)))</formula>
    </cfRule>
  </conditionalFormatting>
  <conditionalFormatting sqref="H2407">
    <cfRule type="containsText" dxfId="3769" priority="4104" operator="containsText" text="Missing">
      <formula>NOT(ISERROR(SEARCH("Missing",H2407)))</formula>
    </cfRule>
  </conditionalFormatting>
  <conditionalFormatting sqref="K2400">
    <cfRule type="containsText" dxfId="3768" priority="4165" operator="containsText" text="Missing">
      <formula>NOT(ISERROR(SEARCH("Missing",K2400)))</formula>
    </cfRule>
  </conditionalFormatting>
  <conditionalFormatting sqref="K2415">
    <cfRule type="containsText" dxfId="3767" priority="4038" operator="containsText" text="Missing">
      <formula>NOT(ISERROR(SEARCH("Missing",K2415)))</formula>
    </cfRule>
  </conditionalFormatting>
  <conditionalFormatting sqref="L2400">
    <cfRule type="containsText" dxfId="3766" priority="4171" operator="containsText" text="Positive">
      <formula>NOT(ISERROR(SEARCH("Positive",L2400)))</formula>
    </cfRule>
    <cfRule type="containsText" dxfId="3765" priority="4172" operator="containsText" text="Negative">
      <formula>NOT(ISERROR(SEARCH("Negative",L2400)))</formula>
    </cfRule>
  </conditionalFormatting>
  <conditionalFormatting sqref="L2400">
    <cfRule type="containsText" dxfId="3764" priority="4169" operator="containsText" text="Positive">
      <formula>NOT(ISERROR(SEARCH("Positive",L2400)))</formula>
    </cfRule>
    <cfRule type="containsText" dxfId="3763" priority="4170" operator="containsText" text="Negative">
      <formula>NOT(ISERROR(SEARCH("Negative",L2400)))</formula>
    </cfRule>
  </conditionalFormatting>
  <conditionalFormatting sqref="I2407">
    <cfRule type="containsText" dxfId="3762" priority="4102" operator="containsText" text="Missing">
      <formula>NOT(ISERROR(SEARCH("Missing",I2407)))</formula>
    </cfRule>
  </conditionalFormatting>
  <conditionalFormatting sqref="I2407">
    <cfRule type="containsText" dxfId="3761" priority="4101" operator="containsText" text="Missing">
      <formula>NOT(ISERROR(SEARCH("Missing",I2407)))</formula>
    </cfRule>
  </conditionalFormatting>
  <conditionalFormatting sqref="J2408">
    <cfRule type="containsText" dxfId="3760" priority="4100" operator="containsText" text="Missing">
      <formula>NOT(ISERROR(SEARCH("Missing",J2408)))</formula>
    </cfRule>
  </conditionalFormatting>
  <conditionalFormatting sqref="J2414">
    <cfRule type="containsText" dxfId="3759" priority="4056" operator="containsText" text="Missing">
      <formula>NOT(ISERROR(SEARCH("Missing",J2414)))</formula>
    </cfRule>
  </conditionalFormatting>
  <conditionalFormatting sqref="J2443">
    <cfRule type="containsText" dxfId="3758" priority="3907" operator="containsText" text="Missing">
      <formula>NOT(ISERROR(SEARCH("Missing",J2443)))</formula>
    </cfRule>
  </conditionalFormatting>
  <conditionalFormatting sqref="K2438">
    <cfRule type="containsText" dxfId="3757" priority="3969" operator="containsText" text="Missing">
      <formula>NOT(ISERROR(SEARCH("Missing",K2438)))</formula>
    </cfRule>
  </conditionalFormatting>
  <conditionalFormatting sqref="L2414">
    <cfRule type="containsText" dxfId="3756" priority="4057" operator="containsText" text="Positive">
      <formula>NOT(ISERROR(SEARCH("Positive",L2414)))</formula>
    </cfRule>
    <cfRule type="containsText" dxfId="3755" priority="4058" operator="containsText" text="Negative">
      <formula>NOT(ISERROR(SEARCH("Negative",L2414)))</formula>
    </cfRule>
  </conditionalFormatting>
  <conditionalFormatting sqref="L2409">
    <cfRule type="containsText" dxfId="3754" priority="4085" operator="containsText" text="Positive">
      <formula>NOT(ISERROR(SEARCH("Positive",L2409)))</formula>
    </cfRule>
    <cfRule type="containsText" dxfId="3753" priority="4086" operator="containsText" text="Negative">
      <formula>NOT(ISERROR(SEARCH("Negative",L2409)))</formula>
    </cfRule>
  </conditionalFormatting>
  <conditionalFormatting sqref="H2410">
    <cfRule type="containsText" dxfId="3752" priority="4062" operator="containsText" text="Missing">
      <formula>NOT(ISERROR(SEARCH("Missing",H2410)))</formula>
    </cfRule>
  </conditionalFormatting>
  <conditionalFormatting sqref="K2459">
    <cfRule type="containsText" dxfId="3751" priority="3408" operator="containsText" text="Missing">
      <formula>NOT(ISERROR(SEARCH("Missing",K2459)))</formula>
    </cfRule>
  </conditionalFormatting>
  <conditionalFormatting sqref="K2459">
    <cfRule type="containsText" dxfId="3750" priority="3407" operator="containsText" text="Missing">
      <formula>NOT(ISERROR(SEARCH("Missing",K2459)))</formula>
    </cfRule>
  </conditionalFormatting>
  <conditionalFormatting sqref="K2459">
    <cfRule type="containsText" dxfId="3749" priority="3406" operator="containsText" text="Missing">
      <formula>NOT(ISERROR(SEARCH("Missing",K2459)))</formula>
    </cfRule>
  </conditionalFormatting>
  <conditionalFormatting sqref="H2409">
    <cfRule type="containsText" dxfId="3748" priority="4075" operator="containsText" text="Missing">
      <formula>NOT(ISERROR(SEARCH("Missing",H2409)))</formula>
    </cfRule>
  </conditionalFormatting>
  <conditionalFormatting sqref="H2459">
    <cfRule type="containsText" dxfId="3747" priority="3405" operator="containsText" text="Missing">
      <formula>NOT(ISERROR(SEARCH("Missing",H2459)))</formula>
    </cfRule>
  </conditionalFormatting>
  <conditionalFormatting sqref="J2415">
    <cfRule type="containsText" dxfId="3746" priority="4041" operator="containsText" text="Missing">
      <formula>NOT(ISERROR(SEARCH("Missing",J2415)))</formula>
    </cfRule>
  </conditionalFormatting>
  <conditionalFormatting sqref="I2408">
    <cfRule type="containsText" dxfId="3745" priority="4001" operator="containsText" text="Missing">
      <formula>NOT(ISERROR(SEARCH("Missing",I2408)))</formula>
    </cfRule>
  </conditionalFormatting>
  <conditionalFormatting sqref="I2410">
    <cfRule type="containsText" dxfId="3744" priority="3997" operator="containsText" text="Missing">
      <formula>NOT(ISERROR(SEARCH("Missing",I2410)))</formula>
    </cfRule>
  </conditionalFormatting>
  <conditionalFormatting sqref="L2415">
    <cfRule type="containsText" dxfId="3743" priority="4042" operator="containsText" text="Positive">
      <formula>NOT(ISERROR(SEARCH("Positive",L2415)))</formula>
    </cfRule>
    <cfRule type="containsText" dxfId="3742" priority="4043" operator="containsText" text="Negative">
      <formula>NOT(ISERROR(SEARCH("Negative",L2415)))</formula>
    </cfRule>
  </conditionalFormatting>
  <conditionalFormatting sqref="L2439">
    <cfRule type="containsText" dxfId="3741" priority="3961" operator="containsText" text="Positive">
      <formula>NOT(ISERROR(SEARCH("Positive",L2439)))</formula>
    </cfRule>
    <cfRule type="containsText" dxfId="3740" priority="3962" operator="containsText" text="Negative">
      <formula>NOT(ISERROR(SEARCH("Negative",L2439)))</formula>
    </cfRule>
  </conditionalFormatting>
  <conditionalFormatting sqref="L2410">
    <cfRule type="containsText" dxfId="3739" priority="4072" operator="containsText" text="Positive">
      <formula>NOT(ISERROR(SEARCH("Positive",L2410)))</formula>
    </cfRule>
    <cfRule type="containsText" dxfId="3738" priority="4073" operator="containsText" text="Negative">
      <formula>NOT(ISERROR(SEARCH("Negative",L2410)))</formula>
    </cfRule>
  </conditionalFormatting>
  <conditionalFormatting sqref="H2414">
    <cfRule type="containsText" dxfId="3737" priority="4049" operator="containsText" text="Missing">
      <formula>NOT(ISERROR(SEARCH("Missing",H2414)))</formula>
    </cfRule>
  </conditionalFormatting>
  <conditionalFormatting sqref="K2410">
    <cfRule type="containsText" dxfId="3736" priority="4066" operator="containsText" text="Missing">
      <formula>NOT(ISERROR(SEARCH("Missing",K2410)))</formula>
    </cfRule>
  </conditionalFormatting>
  <conditionalFormatting sqref="K2410">
    <cfRule type="containsText" dxfId="3735" priority="4065" operator="containsText" text="Missing">
      <formula>NOT(ISERROR(SEARCH("Missing",K2410)))</formula>
    </cfRule>
  </conditionalFormatting>
  <conditionalFormatting sqref="K2410">
    <cfRule type="containsText" dxfId="3734" priority="4064" operator="containsText" text="Missing">
      <formula>NOT(ISERROR(SEARCH("Missing",K2410)))</formula>
    </cfRule>
  </conditionalFormatting>
  <conditionalFormatting sqref="H2416">
    <cfRule type="containsText" dxfId="3733" priority="4019" operator="containsText" text="Missing">
      <formula>NOT(ISERROR(SEARCH("Missing",H2416)))</formula>
    </cfRule>
  </conditionalFormatting>
  <conditionalFormatting sqref="H2410">
    <cfRule type="containsText" dxfId="3732" priority="4063" operator="containsText" text="Missing">
      <formula>NOT(ISERROR(SEARCH("Missing",H2410)))</formula>
    </cfRule>
  </conditionalFormatting>
  <conditionalFormatting sqref="J2416">
    <cfRule type="containsText" dxfId="3731" priority="4026" operator="containsText" text="Missing">
      <formula>NOT(ISERROR(SEARCH("Missing",J2416)))</formula>
    </cfRule>
  </conditionalFormatting>
  <conditionalFormatting sqref="I2440">
    <cfRule type="containsText" dxfId="3730" priority="3943" operator="containsText" text="Missing">
      <formula>NOT(ISERROR(SEARCH("Missing",I2440)))</formula>
    </cfRule>
  </conditionalFormatting>
  <conditionalFormatting sqref="J2437">
    <cfRule type="containsText" dxfId="3729" priority="3984" operator="containsText" text="Missing">
      <formula>NOT(ISERROR(SEARCH("Missing",J2437)))</formula>
    </cfRule>
  </conditionalFormatting>
  <conditionalFormatting sqref="L2416">
    <cfRule type="containsText" dxfId="3728" priority="4027" operator="containsText" text="Positive">
      <formula>NOT(ISERROR(SEARCH("Positive",L2416)))</formula>
    </cfRule>
    <cfRule type="containsText" dxfId="3727" priority="4028" operator="containsText" text="Negative">
      <formula>NOT(ISERROR(SEARCH("Negative",L2416)))</formula>
    </cfRule>
  </conditionalFormatting>
  <conditionalFormatting sqref="L2414">
    <cfRule type="containsText" dxfId="3726" priority="4059" operator="containsText" text="Positive">
      <formula>NOT(ISERROR(SEARCH("Positive",L2414)))</formula>
    </cfRule>
    <cfRule type="containsText" dxfId="3725" priority="4060" operator="containsText" text="Negative">
      <formula>NOT(ISERROR(SEARCH("Negative",L2414)))</formula>
    </cfRule>
  </conditionalFormatting>
  <conditionalFormatting sqref="H2415">
    <cfRule type="containsText" dxfId="3724" priority="4034" operator="containsText" text="Missing">
      <formula>NOT(ISERROR(SEARCH("Missing",H2415)))</formula>
    </cfRule>
  </conditionalFormatting>
  <conditionalFormatting sqref="K2414">
    <cfRule type="containsText" dxfId="3723" priority="4053" operator="containsText" text="Missing">
      <formula>NOT(ISERROR(SEARCH("Missing",K2414)))</formula>
    </cfRule>
  </conditionalFormatting>
  <conditionalFormatting sqref="J2407">
    <cfRule type="containsText" dxfId="3722" priority="4110" operator="containsText" text="Missing">
      <formula>NOT(ISERROR(SEARCH("Missing",J2407)))</formula>
    </cfRule>
  </conditionalFormatting>
  <conditionalFormatting sqref="K2414">
    <cfRule type="containsText" dxfId="3721" priority="4051" operator="containsText" text="Missing">
      <formula>NOT(ISERROR(SEARCH("Missing",K2414)))</formula>
    </cfRule>
  </conditionalFormatting>
  <conditionalFormatting sqref="K2407">
    <cfRule type="containsText" dxfId="3720" priority="4107" operator="containsText" text="Missing">
      <formula>NOT(ISERROR(SEARCH("Missing",K2407)))</formula>
    </cfRule>
  </conditionalFormatting>
  <conditionalFormatting sqref="H2414">
    <cfRule type="containsText" dxfId="3719" priority="4050" operator="containsText" text="Missing">
      <formula>NOT(ISERROR(SEARCH("Missing",H2414)))</formula>
    </cfRule>
  </conditionalFormatting>
  <conditionalFormatting sqref="H2417">
    <cfRule type="containsText" dxfId="3718" priority="4004" operator="containsText" text="Missing">
      <formula>NOT(ISERROR(SEARCH("Missing",H2417)))</formula>
    </cfRule>
  </conditionalFormatting>
  <conditionalFormatting sqref="K2414">
    <cfRule type="containsText" dxfId="3717" priority="4052" operator="containsText" text="Missing">
      <formula>NOT(ISERROR(SEARCH("Missing",K2414)))</formula>
    </cfRule>
  </conditionalFormatting>
  <conditionalFormatting sqref="K2407">
    <cfRule type="containsText" dxfId="3716" priority="4106" operator="containsText" text="Missing">
      <formula>NOT(ISERROR(SEARCH("Missing",K2407)))</formula>
    </cfRule>
  </conditionalFormatting>
  <conditionalFormatting sqref="L2407">
    <cfRule type="containsText" dxfId="3715" priority="4108" operator="containsText" text="Positive">
      <formula>NOT(ISERROR(SEARCH("Positive",L2407)))</formula>
    </cfRule>
    <cfRule type="containsText" dxfId="3714" priority="4109" operator="containsText" text="Negative">
      <formula>NOT(ISERROR(SEARCH("Negative",L2407)))</formula>
    </cfRule>
  </conditionalFormatting>
  <conditionalFormatting sqref="L2407">
    <cfRule type="containsText" dxfId="3713" priority="4113" operator="containsText" text="Positive">
      <formula>NOT(ISERROR(SEARCH("Positive",L2407)))</formula>
    </cfRule>
    <cfRule type="containsText" dxfId="3712" priority="4114" operator="containsText" text="Negative">
      <formula>NOT(ISERROR(SEARCH("Negative",L2407)))</formula>
    </cfRule>
  </conditionalFormatting>
  <conditionalFormatting sqref="L2407">
    <cfRule type="containsText" dxfId="3711" priority="4111" operator="containsText" text="Positive">
      <formula>NOT(ISERROR(SEARCH("Positive",L2407)))</formula>
    </cfRule>
    <cfRule type="containsText" dxfId="3710" priority="4112" operator="containsText" text="Negative">
      <formula>NOT(ISERROR(SEARCH("Negative",L2407)))</formula>
    </cfRule>
  </conditionalFormatting>
  <conditionalFormatting sqref="J2407">
    <cfRule type="containsText" dxfId="3709" priority="4115" operator="containsText" text="Missing">
      <formula>NOT(ISERROR(SEARCH("Missing",J2407)))</formula>
    </cfRule>
  </conditionalFormatting>
  <conditionalFormatting sqref="K2407">
    <cfRule type="containsText" dxfId="3708" priority="4105" operator="containsText" text="Missing">
      <formula>NOT(ISERROR(SEARCH("Missing",K2407)))</formula>
    </cfRule>
  </conditionalFormatting>
  <conditionalFormatting sqref="K2415">
    <cfRule type="containsText" dxfId="3707" priority="4036" operator="containsText" text="Missing">
      <formula>NOT(ISERROR(SEARCH("Missing",K2415)))</formula>
    </cfRule>
  </conditionalFormatting>
  <conditionalFormatting sqref="H2415">
    <cfRule type="containsText" dxfId="3706" priority="4035" operator="containsText" text="Missing">
      <formula>NOT(ISERROR(SEARCH("Missing",H2415)))</formula>
    </cfRule>
  </conditionalFormatting>
  <conditionalFormatting sqref="K2415">
    <cfRule type="containsText" dxfId="3705" priority="4037" operator="containsText" text="Missing">
      <formula>NOT(ISERROR(SEARCH("Missing",K2415)))</formula>
    </cfRule>
  </conditionalFormatting>
  <conditionalFormatting sqref="L2408">
    <cfRule type="containsText" dxfId="3704" priority="4093" operator="containsText" text="Positive">
      <formula>NOT(ISERROR(SEARCH("Positive",L2408)))</formula>
    </cfRule>
    <cfRule type="containsText" dxfId="3703" priority="4094" operator="containsText" text="Negative">
      <formula>NOT(ISERROR(SEARCH("Negative",L2408)))</formula>
    </cfRule>
  </conditionalFormatting>
  <conditionalFormatting sqref="L2408">
    <cfRule type="containsText" dxfId="3702" priority="4098" operator="containsText" text="Positive">
      <formula>NOT(ISERROR(SEARCH("Positive",L2408)))</formula>
    </cfRule>
    <cfRule type="containsText" dxfId="3701" priority="4099" operator="containsText" text="Negative">
      <formula>NOT(ISERROR(SEARCH("Negative",L2408)))</formula>
    </cfRule>
  </conditionalFormatting>
  <conditionalFormatting sqref="L2408">
    <cfRule type="containsText" dxfId="3700" priority="4096" operator="containsText" text="Positive">
      <formula>NOT(ISERROR(SEARCH("Positive",L2408)))</formula>
    </cfRule>
    <cfRule type="containsText" dxfId="3699" priority="4097" operator="containsText" text="Negative">
      <formula>NOT(ISERROR(SEARCH("Negative",L2408)))</formula>
    </cfRule>
  </conditionalFormatting>
  <conditionalFormatting sqref="K2408">
    <cfRule type="containsText" dxfId="3698" priority="4090" operator="containsText" text="Missing">
      <formula>NOT(ISERROR(SEARCH("Missing",K2408)))</formula>
    </cfRule>
  </conditionalFormatting>
  <conditionalFormatting sqref="H2408">
    <cfRule type="containsText" dxfId="3697" priority="4089" operator="containsText" text="Missing">
      <formula>NOT(ISERROR(SEARCH("Missing",H2408)))</formula>
    </cfRule>
  </conditionalFormatting>
  <conditionalFormatting sqref="H2408">
    <cfRule type="containsText" dxfId="3696" priority="4088" operator="containsText" text="Missing">
      <formula>NOT(ISERROR(SEARCH("Missing",H2408)))</formula>
    </cfRule>
  </conditionalFormatting>
  <conditionalFormatting sqref="J2444">
    <cfRule type="containsText" dxfId="3695" priority="3897" operator="containsText" text="Missing">
      <formula>NOT(ISERROR(SEARCH("Missing",J2444)))</formula>
    </cfRule>
  </conditionalFormatting>
  <conditionalFormatting sqref="J2417">
    <cfRule type="containsText" dxfId="3694" priority="4011" operator="containsText" text="Missing">
      <formula>NOT(ISERROR(SEARCH("Missing",J2417)))</formula>
    </cfRule>
  </conditionalFormatting>
  <conditionalFormatting sqref="K2438">
    <cfRule type="containsText" dxfId="3693" priority="3968" operator="containsText" text="Missing">
      <formula>NOT(ISERROR(SEARCH("Missing",K2438)))</formula>
    </cfRule>
  </conditionalFormatting>
  <conditionalFormatting sqref="J2409">
    <cfRule type="containsText" dxfId="3692" priority="4082" operator="containsText" text="Missing">
      <formula>NOT(ISERROR(SEARCH("Missing",J2409)))</formula>
    </cfRule>
  </conditionalFormatting>
  <conditionalFormatting sqref="L2409">
    <cfRule type="containsText" dxfId="3691" priority="4080" operator="containsText" text="Positive">
      <formula>NOT(ISERROR(SEARCH("Positive",L2409)))</formula>
    </cfRule>
    <cfRule type="containsText" dxfId="3690" priority="4081" operator="containsText" text="Negative">
      <formula>NOT(ISERROR(SEARCH("Negative",L2409)))</formula>
    </cfRule>
  </conditionalFormatting>
  <conditionalFormatting sqref="L2409">
    <cfRule type="containsText" dxfId="3689" priority="4083" operator="containsText" text="Positive">
      <formula>NOT(ISERROR(SEARCH("Positive",L2409)))</formula>
    </cfRule>
    <cfRule type="containsText" dxfId="3688" priority="4084" operator="containsText" text="Negative">
      <formula>NOT(ISERROR(SEARCH("Negative",L2409)))</formula>
    </cfRule>
  </conditionalFormatting>
  <conditionalFormatting sqref="J2409">
    <cfRule type="containsText" dxfId="3687" priority="4087" operator="containsText" text="Missing">
      <formula>NOT(ISERROR(SEARCH("Missing",J2409)))</formula>
    </cfRule>
  </conditionalFormatting>
  <conditionalFormatting sqref="H2437:H2438">
    <cfRule type="containsText" dxfId="3686" priority="3993" operator="containsText" text="Missing">
      <formula>NOT(ISERROR(SEARCH("Missing",H2437)))</formula>
    </cfRule>
  </conditionalFormatting>
  <conditionalFormatting sqref="H2437:H2438">
    <cfRule type="containsText" dxfId="3685" priority="3992" operator="containsText" text="Missing">
      <formula>NOT(ISERROR(SEARCH("Missing",H2437)))</formula>
    </cfRule>
  </conditionalFormatting>
  <conditionalFormatting sqref="J2410">
    <cfRule type="containsText" dxfId="3684" priority="4069" operator="containsText" text="Missing">
      <formula>NOT(ISERROR(SEARCH("Missing",J2410)))</formula>
    </cfRule>
  </conditionalFormatting>
  <conditionalFormatting sqref="K2441">
    <cfRule type="containsText" dxfId="3683" priority="3927" operator="containsText" text="Missing">
      <formula>NOT(ISERROR(SEARCH("Missing",K2441)))</formula>
    </cfRule>
  </conditionalFormatting>
  <conditionalFormatting sqref="I2410">
    <cfRule type="containsText" dxfId="3682" priority="3996" operator="containsText" text="Missing">
      <formula>NOT(ISERROR(SEARCH("Missing",I2410)))</formula>
    </cfRule>
  </conditionalFormatting>
  <conditionalFormatting sqref="K2441">
    <cfRule type="containsText" dxfId="3681" priority="3926" operator="containsText" text="Missing">
      <formula>NOT(ISERROR(SEARCH("Missing",K2441)))</formula>
    </cfRule>
  </conditionalFormatting>
  <conditionalFormatting sqref="K2417">
    <cfRule type="containsText" dxfId="3680" priority="4008" operator="containsText" text="Missing">
      <formula>NOT(ISERROR(SEARCH("Missing",K2417)))</formula>
    </cfRule>
  </conditionalFormatting>
  <conditionalFormatting sqref="L2410">
    <cfRule type="containsText" dxfId="3679" priority="4067" operator="containsText" text="Positive">
      <formula>NOT(ISERROR(SEARCH("Positive",L2410)))</formula>
    </cfRule>
    <cfRule type="containsText" dxfId="3678" priority="4068" operator="containsText" text="Negative">
      <formula>NOT(ISERROR(SEARCH("Negative",L2410)))</formula>
    </cfRule>
  </conditionalFormatting>
  <conditionalFormatting sqref="L2410">
    <cfRule type="containsText" dxfId="3677" priority="4070" operator="containsText" text="Positive">
      <formula>NOT(ISERROR(SEARCH("Positive",L2410)))</formula>
    </cfRule>
    <cfRule type="containsText" dxfId="3676" priority="4071" operator="containsText" text="Negative">
      <formula>NOT(ISERROR(SEARCH("Negative",L2410)))</formula>
    </cfRule>
  </conditionalFormatting>
  <conditionalFormatting sqref="J2410">
    <cfRule type="containsText" dxfId="3675" priority="4074" operator="containsText" text="Missing">
      <formula>NOT(ISERROR(SEARCH("Missing",J2410)))</formula>
    </cfRule>
  </conditionalFormatting>
  <conditionalFormatting sqref="K2417">
    <cfRule type="containsText" dxfId="3674" priority="4007" operator="containsText" text="Missing">
      <formula>NOT(ISERROR(SEARCH("Missing",K2417)))</formula>
    </cfRule>
  </conditionalFormatting>
  <conditionalFormatting sqref="K2417">
    <cfRule type="containsText" dxfId="3673" priority="4006" operator="containsText" text="Missing">
      <formula>NOT(ISERROR(SEARCH("Missing",K2417)))</formula>
    </cfRule>
  </conditionalFormatting>
  <conditionalFormatting sqref="H2417">
    <cfRule type="containsText" dxfId="3672" priority="4005" operator="containsText" text="Missing">
      <formula>NOT(ISERROR(SEARCH("Missing",H2417)))</formula>
    </cfRule>
  </conditionalFormatting>
  <conditionalFormatting sqref="K2439">
    <cfRule type="containsText" dxfId="3671" priority="3958" operator="containsText" text="Missing">
      <formula>NOT(ISERROR(SEARCH("Missing",K2439)))</formula>
    </cfRule>
  </conditionalFormatting>
  <conditionalFormatting sqref="I2403">
    <cfRule type="containsText" dxfId="3670" priority="4002" operator="containsText" text="Missing">
      <formula>NOT(ISERROR(SEARCH("Missing",I2403)))</formula>
    </cfRule>
  </conditionalFormatting>
  <conditionalFormatting sqref="H2491">
    <cfRule type="containsText" dxfId="3669" priority="3268" operator="containsText" text="Missing">
      <formula>NOT(ISERROR(SEARCH("Missing",H2491)))</formula>
    </cfRule>
  </conditionalFormatting>
  <conditionalFormatting sqref="I2414">
    <cfRule type="containsText" dxfId="3668" priority="4047" operator="containsText" text="Missing">
      <formula>NOT(ISERROR(SEARCH("Missing",I2414)))</formula>
    </cfRule>
  </conditionalFormatting>
  <conditionalFormatting sqref="J2437">
    <cfRule type="containsText" dxfId="3667" priority="3983" operator="containsText" text="Missing">
      <formula>NOT(ISERROR(SEARCH("Missing",J2437)))</formula>
    </cfRule>
  </conditionalFormatting>
  <conditionalFormatting sqref="L2437">
    <cfRule type="containsText" dxfId="3666" priority="3985" operator="containsText" text="Positive">
      <formula>NOT(ISERROR(SEARCH("Positive",L2437)))</formula>
    </cfRule>
    <cfRule type="containsText" dxfId="3665" priority="3986" operator="containsText" text="Negative">
      <formula>NOT(ISERROR(SEARCH("Negative",L2437)))</formula>
    </cfRule>
  </conditionalFormatting>
  <conditionalFormatting sqref="L2445">
    <cfRule type="containsText" dxfId="3664" priority="3885" operator="containsText" text="Positive">
      <formula>NOT(ISERROR(SEARCH("Positive",L2445)))</formula>
    </cfRule>
    <cfRule type="containsText" dxfId="3663" priority="3886" operator="containsText" text="Negative">
      <formula>NOT(ISERROR(SEARCH("Negative",L2445)))</formula>
    </cfRule>
  </conditionalFormatting>
  <conditionalFormatting sqref="K2416">
    <cfRule type="containsText" dxfId="3662" priority="4023" operator="containsText" text="Missing">
      <formula>NOT(ISERROR(SEARCH("Missing",K2416)))</formula>
    </cfRule>
  </conditionalFormatting>
  <conditionalFormatting sqref="K2437">
    <cfRule type="containsText" dxfId="3661" priority="3982" operator="containsText" text="Missing">
      <formula>NOT(ISERROR(SEARCH("Missing",K2437)))</formula>
    </cfRule>
  </conditionalFormatting>
  <conditionalFormatting sqref="I2409">
    <cfRule type="containsText" dxfId="3660" priority="3998" operator="containsText" text="Missing">
      <formula>NOT(ISERROR(SEARCH("Missing",I2409)))</formula>
    </cfRule>
  </conditionalFormatting>
  <conditionalFormatting sqref="K2437">
    <cfRule type="containsText" dxfId="3659" priority="3980" operator="containsText" text="Missing">
      <formula>NOT(ISERROR(SEARCH("Missing",K2437)))</formula>
    </cfRule>
  </conditionalFormatting>
  <conditionalFormatting sqref="I2417">
    <cfRule type="containsText" dxfId="3658" priority="3995" operator="containsText" text="Missing">
      <formula>NOT(ISERROR(SEARCH("Missing",I2417)))</formula>
    </cfRule>
  </conditionalFormatting>
  <conditionalFormatting sqref="I2437">
    <cfRule type="containsText" dxfId="3657" priority="3979" operator="containsText" text="Missing">
      <formula>NOT(ISERROR(SEARCH("Missing",I2437)))</formula>
    </cfRule>
  </conditionalFormatting>
  <conditionalFormatting sqref="I2415">
    <cfRule type="containsText" dxfId="3656" priority="4032" operator="containsText" text="Missing">
      <formula>NOT(ISERROR(SEARCH("Missing",I2415)))</formula>
    </cfRule>
  </conditionalFormatting>
  <conditionalFormatting sqref="L2444">
    <cfRule type="containsText" dxfId="3655" priority="3902" operator="containsText" text="Positive">
      <formula>NOT(ISERROR(SEARCH("Positive",L2444)))</formula>
    </cfRule>
    <cfRule type="containsText" dxfId="3654" priority="3903" operator="containsText" text="Negative">
      <formula>NOT(ISERROR(SEARCH("Negative",L2444)))</formula>
    </cfRule>
  </conditionalFormatting>
  <conditionalFormatting sqref="L2438">
    <cfRule type="containsText" dxfId="3653" priority="3975" operator="containsText" text="Positive">
      <formula>NOT(ISERROR(SEARCH("Positive",L2438)))</formula>
    </cfRule>
    <cfRule type="containsText" dxfId="3652" priority="3976" operator="containsText" text="Negative">
      <formula>NOT(ISERROR(SEARCH("Negative",L2438)))</formula>
    </cfRule>
  </conditionalFormatting>
  <conditionalFormatting sqref="L2438">
    <cfRule type="containsText" dxfId="3651" priority="3973" operator="containsText" text="Positive">
      <formula>NOT(ISERROR(SEARCH("Positive",L2438)))</formula>
    </cfRule>
    <cfRule type="containsText" dxfId="3650" priority="3974" operator="containsText" text="Negative">
      <formula>NOT(ISERROR(SEARCH("Negative",L2438)))</formula>
    </cfRule>
  </conditionalFormatting>
  <conditionalFormatting sqref="K2416">
    <cfRule type="containsText" dxfId="3649" priority="4022" operator="containsText" text="Missing">
      <formula>NOT(ISERROR(SEARCH("Missing",K2416)))</formula>
    </cfRule>
  </conditionalFormatting>
  <conditionalFormatting sqref="I2438">
    <cfRule type="containsText" dxfId="3648" priority="3967" operator="containsText" text="Missing">
      <formula>NOT(ISERROR(SEARCH("Missing",I2438)))</formula>
    </cfRule>
  </conditionalFormatting>
  <conditionalFormatting sqref="H2440">
    <cfRule type="containsText" dxfId="3647" priority="3937" operator="containsText" text="Missing">
      <formula>NOT(ISERROR(SEARCH("Missing",H2440)))</formula>
    </cfRule>
  </conditionalFormatting>
  <conditionalFormatting sqref="I2446">
    <cfRule type="containsText" dxfId="3646" priority="3865" operator="containsText" text="Missing">
      <formula>NOT(ISERROR(SEARCH("Missing",I2446)))</formula>
    </cfRule>
  </conditionalFormatting>
  <conditionalFormatting sqref="J2444">
    <cfRule type="containsText" dxfId="3645" priority="3896" operator="containsText" text="Missing">
      <formula>NOT(ISERROR(SEARCH("Missing",J2444)))</formula>
    </cfRule>
  </conditionalFormatting>
  <conditionalFormatting sqref="I2439">
    <cfRule type="containsText" dxfId="3644" priority="3955" operator="containsText" text="Missing">
      <formula>NOT(ISERROR(SEARCH("Missing",I2439)))</formula>
    </cfRule>
  </conditionalFormatting>
  <conditionalFormatting sqref="K2444">
    <cfRule type="containsText" dxfId="3643" priority="3893" operator="containsText" text="Missing">
      <formula>NOT(ISERROR(SEARCH("Missing",K2444)))</formula>
    </cfRule>
  </conditionalFormatting>
  <conditionalFormatting sqref="L2442">
    <cfRule type="containsText" dxfId="3642" priority="3920" operator="containsText" text="Positive">
      <formula>NOT(ISERROR(SEARCH("Positive",L2442)))</formula>
    </cfRule>
    <cfRule type="containsText" dxfId="3641" priority="3921" operator="containsText" text="Negative">
      <formula>NOT(ISERROR(SEARCH("Negative",L2442)))</formula>
    </cfRule>
  </conditionalFormatting>
  <conditionalFormatting sqref="J2440">
    <cfRule type="containsText" dxfId="3640" priority="3948" operator="containsText" text="Missing">
      <formula>NOT(ISERROR(SEARCH("Missing",J2440)))</formula>
    </cfRule>
  </conditionalFormatting>
  <conditionalFormatting sqref="H2440">
    <cfRule type="containsText" dxfId="3639" priority="3938" operator="containsText" text="Missing">
      <formula>NOT(ISERROR(SEARCH("Missing",H2440)))</formula>
    </cfRule>
  </conditionalFormatting>
  <conditionalFormatting sqref="K2437">
    <cfRule type="containsText" dxfId="3638" priority="3981" operator="containsText" text="Missing">
      <formula>NOT(ISERROR(SEARCH("Missing",K2437)))</formula>
    </cfRule>
  </conditionalFormatting>
  <conditionalFormatting sqref="H2439">
    <cfRule type="containsText" dxfId="3637" priority="3940" operator="containsText" text="Missing">
      <formula>NOT(ISERROR(SEARCH("Missing",H2439)))</formula>
    </cfRule>
  </conditionalFormatting>
  <conditionalFormatting sqref="J2438">
    <cfRule type="containsText" dxfId="3636" priority="3972" operator="containsText" text="Missing">
      <formula>NOT(ISERROR(SEARCH("Missing",J2438)))</formula>
    </cfRule>
  </conditionalFormatting>
  <conditionalFormatting sqref="K2445">
    <cfRule type="containsText" dxfId="3635" priority="3880" operator="containsText" text="Missing">
      <formula>NOT(ISERROR(SEARCH("Missing",K2445)))</formula>
    </cfRule>
  </conditionalFormatting>
  <conditionalFormatting sqref="L2446">
    <cfRule type="containsText" dxfId="3634" priority="3872" operator="containsText" text="Positive">
      <formula>NOT(ISERROR(SEARCH("Positive",L2446)))</formula>
    </cfRule>
    <cfRule type="containsText" dxfId="3633" priority="3873" operator="containsText" text="Negative">
      <formula>NOT(ISERROR(SEARCH("Negative",L2446)))</formula>
    </cfRule>
  </conditionalFormatting>
  <conditionalFormatting sqref="K2446">
    <cfRule type="containsText" dxfId="3632" priority="3869" operator="containsText" text="Missing">
      <formula>NOT(ISERROR(SEARCH("Missing",K2446)))</formula>
    </cfRule>
  </conditionalFormatting>
  <conditionalFormatting sqref="K2445">
    <cfRule type="containsText" dxfId="3631" priority="3879" operator="containsText" text="Missing">
      <formula>NOT(ISERROR(SEARCH("Missing",K2445)))</formula>
    </cfRule>
  </conditionalFormatting>
  <conditionalFormatting sqref="K2412">
    <cfRule type="containsText" dxfId="3630" priority="3802" operator="containsText" text="Missing">
      <formula>NOT(ISERROR(SEARCH("Missing",K2412)))</formula>
    </cfRule>
  </conditionalFormatting>
  <conditionalFormatting sqref="K2444">
    <cfRule type="containsText" dxfId="3629" priority="3895" operator="containsText" text="Missing">
      <formula>NOT(ISERROR(SEARCH("Missing",K2444)))</formula>
    </cfRule>
  </conditionalFormatting>
  <conditionalFormatting sqref="H2445:H2446">
    <cfRule type="containsText" dxfId="3628" priority="3864" operator="containsText" text="Missing">
      <formula>NOT(ISERROR(SEARCH("Missing",H2445)))</formula>
    </cfRule>
  </conditionalFormatting>
  <conditionalFormatting sqref="K2441">
    <cfRule type="containsText" dxfId="3627" priority="3928" operator="containsText" text="Missing">
      <formula>NOT(ISERROR(SEARCH("Missing",K2441)))</formula>
    </cfRule>
  </conditionalFormatting>
  <conditionalFormatting sqref="I2416">
    <cfRule type="containsText" dxfId="3626" priority="4017" operator="containsText" text="Missing">
      <formula>NOT(ISERROR(SEARCH("Missing",I2416)))</formula>
    </cfRule>
  </conditionalFormatting>
  <conditionalFormatting sqref="H2441">
    <cfRule type="containsText" dxfId="3625" priority="3892" operator="containsText" text="Missing">
      <formula>NOT(ISERROR(SEARCH("Missing",H2441)))</formula>
    </cfRule>
  </conditionalFormatting>
  <conditionalFormatting sqref="L2404">
    <cfRule type="containsText" dxfId="3624" priority="3855" operator="containsText" text="Positive">
      <formula>NOT(ISERROR(SEARCH("Positive",L2404)))</formula>
    </cfRule>
    <cfRule type="containsText" dxfId="3623" priority="3856" operator="containsText" text="Negative">
      <formula>NOT(ISERROR(SEARCH("Negative",L2404)))</formula>
    </cfRule>
  </conditionalFormatting>
  <conditionalFormatting sqref="L2445">
    <cfRule type="containsText" dxfId="3622" priority="3887" operator="containsText" text="Positive">
      <formula>NOT(ISERROR(SEARCH("Positive",L2445)))</formula>
    </cfRule>
    <cfRule type="containsText" dxfId="3621" priority="3888" operator="containsText" text="Negative">
      <formula>NOT(ISERROR(SEARCH("Negative",L2445)))</formula>
    </cfRule>
  </conditionalFormatting>
  <conditionalFormatting sqref="L2404">
    <cfRule type="containsText" dxfId="3620" priority="3858" operator="containsText" text="Positive">
      <formula>NOT(ISERROR(SEARCH("Positive",L2404)))</formula>
    </cfRule>
    <cfRule type="containsText" dxfId="3619" priority="3859" operator="containsText" text="Negative">
      <formula>NOT(ISERROR(SEARCH("Negative",L2404)))</formula>
    </cfRule>
  </conditionalFormatting>
  <conditionalFormatting sqref="I2417">
    <cfRule type="containsText" dxfId="3618" priority="3994" operator="containsText" text="Missing">
      <formula>NOT(ISERROR(SEARCH("Missing",I2417)))</formula>
    </cfRule>
  </conditionalFormatting>
  <conditionalFormatting sqref="H2442">
    <cfRule type="containsText" dxfId="3617" priority="3891" operator="containsText" text="Missing">
      <formula>NOT(ISERROR(SEARCH("Missing",H2442)))</formula>
    </cfRule>
  </conditionalFormatting>
  <conditionalFormatting sqref="H2495">
    <cfRule type="containsText" dxfId="3616" priority="3218" operator="containsText" text="Missing">
      <formula>NOT(ISERROR(SEARCH("Missing",H2495)))</formula>
    </cfRule>
  </conditionalFormatting>
  <conditionalFormatting sqref="J2445">
    <cfRule type="containsText" dxfId="3615" priority="3882" operator="containsText" text="Missing">
      <formula>NOT(ISERROR(SEARCH("Missing",J2445)))</formula>
    </cfRule>
  </conditionalFormatting>
  <conditionalFormatting sqref="K2446">
    <cfRule type="containsText" dxfId="3614" priority="3867" operator="containsText" text="Missing">
      <formula>NOT(ISERROR(SEARCH("Missing",K2446)))</formula>
    </cfRule>
  </conditionalFormatting>
  <conditionalFormatting sqref="J2412">
    <cfRule type="containsText" dxfId="3613" priority="3805" operator="containsText" text="Missing">
      <formula>NOT(ISERROR(SEARCH("Missing",J2412)))</formula>
    </cfRule>
  </conditionalFormatting>
  <conditionalFormatting sqref="J2414">
    <cfRule type="containsText" dxfId="3612" priority="4061" operator="containsText" text="Missing">
      <formula>NOT(ISERROR(SEARCH("Missing",J2414)))</formula>
    </cfRule>
  </conditionalFormatting>
  <conditionalFormatting sqref="I2408">
    <cfRule type="containsText" dxfId="3611" priority="4000" operator="containsText" text="Missing">
      <formula>NOT(ISERROR(SEARCH("Missing",I2408)))</formula>
    </cfRule>
  </conditionalFormatting>
  <conditionalFormatting sqref="L2437">
    <cfRule type="containsText" dxfId="3610" priority="3989" operator="containsText" text="Positive">
      <formula>NOT(ISERROR(SEARCH("Positive",L2437)))</formula>
    </cfRule>
    <cfRule type="containsText" dxfId="3609" priority="3990" operator="containsText" text="Negative">
      <formula>NOT(ISERROR(SEARCH("Negative",L2437)))</formula>
    </cfRule>
  </conditionalFormatting>
  <conditionalFormatting sqref="L2404">
    <cfRule type="containsText" dxfId="3608" priority="3860" operator="containsText" text="Positive">
      <formula>NOT(ISERROR(SEARCH("Positive",L2404)))</formula>
    </cfRule>
    <cfRule type="containsText" dxfId="3607" priority="3861" operator="containsText" text="Negative">
      <formula>NOT(ISERROR(SEARCH("Negative",L2404)))</formula>
    </cfRule>
  </conditionalFormatting>
  <conditionalFormatting sqref="K2438">
    <cfRule type="containsText" dxfId="3606" priority="3970" operator="containsText" text="Missing">
      <formula>NOT(ISERROR(SEARCH("Missing",K2438)))</formula>
    </cfRule>
  </conditionalFormatting>
  <conditionalFormatting sqref="I2409">
    <cfRule type="containsText" dxfId="3605" priority="3999" operator="containsText" text="Missing">
      <formula>NOT(ISERROR(SEARCH("Missing",I2409)))</formula>
    </cfRule>
  </conditionalFormatting>
  <conditionalFormatting sqref="L2414">
    <cfRule type="containsText" dxfId="3604" priority="4054" operator="containsText" text="Positive">
      <formula>NOT(ISERROR(SEARCH("Positive",L2414)))</formula>
    </cfRule>
    <cfRule type="containsText" dxfId="3603" priority="4055" operator="containsText" text="Negative">
      <formula>NOT(ISERROR(SEARCH("Negative",L2414)))</formula>
    </cfRule>
  </conditionalFormatting>
  <conditionalFormatting sqref="L2417">
    <cfRule type="containsText" dxfId="3602" priority="4012" operator="containsText" text="Positive">
      <formula>NOT(ISERROR(SEARCH("Positive",L2417)))</formula>
    </cfRule>
    <cfRule type="containsText" dxfId="3601" priority="4013" operator="containsText" text="Negative">
      <formula>NOT(ISERROR(SEARCH("Negative",L2417)))</formula>
    </cfRule>
  </conditionalFormatting>
  <conditionalFormatting sqref="H2439">
    <cfRule type="containsText" dxfId="3600" priority="3942" operator="containsText" text="Missing">
      <formula>NOT(ISERROR(SEARCH("Missing",H2439)))</formula>
    </cfRule>
  </conditionalFormatting>
  <conditionalFormatting sqref="J2445">
    <cfRule type="containsText" dxfId="3599" priority="3881" operator="containsText" text="Missing">
      <formula>NOT(ISERROR(SEARCH("Missing",J2445)))</formula>
    </cfRule>
  </conditionalFormatting>
  <conditionalFormatting sqref="K2416">
    <cfRule type="containsText" dxfId="3598" priority="4021" operator="containsText" text="Missing">
      <formula>NOT(ISERROR(SEARCH("Missing",K2416)))</formula>
    </cfRule>
  </conditionalFormatting>
  <conditionalFormatting sqref="H2416">
    <cfRule type="containsText" dxfId="3597" priority="4020" operator="containsText" text="Missing">
      <formula>NOT(ISERROR(SEARCH("Missing",H2416)))</formula>
    </cfRule>
  </conditionalFormatting>
  <conditionalFormatting sqref="I2414">
    <cfRule type="containsText" dxfId="3596" priority="4048" operator="containsText" text="Missing">
      <formula>NOT(ISERROR(SEARCH("Missing",I2414)))</formula>
    </cfRule>
  </conditionalFormatting>
  <conditionalFormatting sqref="K2445">
    <cfRule type="containsText" dxfId="3595" priority="3878" operator="containsText" text="Missing">
      <formula>NOT(ISERROR(SEARCH("Missing",K2445)))</formula>
    </cfRule>
  </conditionalFormatting>
  <conditionalFormatting sqref="J2443">
    <cfRule type="containsText" dxfId="3594" priority="3908" operator="containsText" text="Missing">
      <formula>NOT(ISERROR(SEARCH("Missing",J2443)))</formula>
    </cfRule>
  </conditionalFormatting>
  <conditionalFormatting sqref="L2415">
    <cfRule type="containsText" dxfId="3593" priority="4039" operator="containsText" text="Positive">
      <formula>NOT(ISERROR(SEARCH("Positive",L2415)))</formula>
    </cfRule>
    <cfRule type="containsText" dxfId="3592" priority="4040" operator="containsText" text="Negative">
      <formula>NOT(ISERROR(SEARCH("Negative",L2415)))</formula>
    </cfRule>
  </conditionalFormatting>
  <conditionalFormatting sqref="L2415">
    <cfRule type="containsText" dxfId="3591" priority="4044" operator="containsText" text="Positive">
      <formula>NOT(ISERROR(SEARCH("Positive",L2415)))</formula>
    </cfRule>
    <cfRule type="containsText" dxfId="3590" priority="4045" operator="containsText" text="Negative">
      <formula>NOT(ISERROR(SEARCH("Negative",L2415)))</formula>
    </cfRule>
  </conditionalFormatting>
  <conditionalFormatting sqref="J2415">
    <cfRule type="containsText" dxfId="3589" priority="4046" operator="containsText" text="Missing">
      <formula>NOT(ISERROR(SEARCH("Missing",J2415)))</formula>
    </cfRule>
  </conditionalFormatting>
  <conditionalFormatting sqref="K2493">
    <cfRule type="containsText" dxfId="3588" priority="3246" operator="containsText" text="Missing">
      <formula>NOT(ISERROR(SEARCH("Missing",K2493)))</formula>
    </cfRule>
  </conditionalFormatting>
  <conditionalFormatting sqref="I2415">
    <cfRule type="containsText" dxfId="3587" priority="4033" operator="containsText" text="Missing">
      <formula>NOT(ISERROR(SEARCH("Missing",I2415)))</formula>
    </cfRule>
  </conditionalFormatting>
  <conditionalFormatting sqref="H2445:H2446">
    <cfRule type="containsText" dxfId="3586" priority="3863" operator="containsText" text="Missing">
      <formula>NOT(ISERROR(SEARCH("Missing",H2445)))</formula>
    </cfRule>
  </conditionalFormatting>
  <conditionalFormatting sqref="K2444">
    <cfRule type="containsText" dxfId="3585" priority="3894" operator="containsText" text="Missing">
      <formula>NOT(ISERROR(SEARCH("Missing",K2444)))</formula>
    </cfRule>
  </conditionalFormatting>
  <conditionalFormatting sqref="L2416">
    <cfRule type="containsText" dxfId="3584" priority="4024" operator="containsText" text="Positive">
      <formula>NOT(ISERROR(SEARCH("Positive",L2416)))</formula>
    </cfRule>
    <cfRule type="containsText" dxfId="3583" priority="4025" operator="containsText" text="Negative">
      <formula>NOT(ISERROR(SEARCH("Negative",L2416)))</formula>
    </cfRule>
  </conditionalFormatting>
  <conditionalFormatting sqref="L2416">
    <cfRule type="containsText" dxfId="3582" priority="4029" operator="containsText" text="Positive">
      <formula>NOT(ISERROR(SEARCH("Positive",L2416)))</formula>
    </cfRule>
    <cfRule type="containsText" dxfId="3581" priority="4030" operator="containsText" text="Negative">
      <formula>NOT(ISERROR(SEARCH("Negative",L2416)))</formula>
    </cfRule>
  </conditionalFormatting>
  <conditionalFormatting sqref="H2437:H2438">
    <cfRule type="containsText" dxfId="3580" priority="3991" operator="containsText" text="Missing">
      <formula>NOT(ISERROR(SEARCH("Missing",H2437)))</formula>
    </cfRule>
  </conditionalFormatting>
  <conditionalFormatting sqref="K2439">
    <cfRule type="containsText" dxfId="3579" priority="3957" operator="containsText" text="Missing">
      <formula>NOT(ISERROR(SEARCH("Missing",K2439)))</formula>
    </cfRule>
  </conditionalFormatting>
  <conditionalFormatting sqref="I2416">
    <cfRule type="containsText" dxfId="3578" priority="4018" operator="containsText" text="Missing">
      <formula>NOT(ISERROR(SEARCH("Missing",I2416)))</formula>
    </cfRule>
  </conditionalFormatting>
  <conditionalFormatting sqref="J2440">
    <cfRule type="containsText" dxfId="3577" priority="3947" operator="containsText" text="Missing">
      <formula>NOT(ISERROR(SEARCH("Missing",J2440)))</formula>
    </cfRule>
  </conditionalFormatting>
  <conditionalFormatting sqref="L2417">
    <cfRule type="containsText" dxfId="3576" priority="4009" operator="containsText" text="Positive">
      <formula>NOT(ISERROR(SEARCH("Positive",L2417)))</formula>
    </cfRule>
    <cfRule type="containsText" dxfId="3575" priority="4010" operator="containsText" text="Negative">
      <formula>NOT(ISERROR(SEARCH("Negative",L2417)))</formula>
    </cfRule>
  </conditionalFormatting>
  <conditionalFormatting sqref="L2417">
    <cfRule type="containsText" dxfId="3574" priority="4014" operator="containsText" text="Positive">
      <formula>NOT(ISERROR(SEARCH("Positive",L2417)))</formula>
    </cfRule>
    <cfRule type="containsText" dxfId="3573" priority="4015" operator="containsText" text="Negative">
      <formula>NOT(ISERROR(SEARCH("Negative",L2417)))</formula>
    </cfRule>
  </conditionalFormatting>
  <conditionalFormatting sqref="J2417">
    <cfRule type="containsText" dxfId="3572" priority="4016" operator="containsText" text="Missing">
      <formula>NOT(ISERROR(SEARCH("Missing",J2417)))</formula>
    </cfRule>
  </conditionalFormatting>
  <conditionalFormatting sqref="I2403">
    <cfRule type="containsText" dxfId="3571" priority="4003" operator="containsText" text="Missing">
      <formula>NOT(ISERROR(SEARCH("Missing",I2403)))</formula>
    </cfRule>
  </conditionalFormatting>
  <conditionalFormatting sqref="K2440">
    <cfRule type="containsText" dxfId="3570" priority="3945" operator="containsText" text="Missing">
      <formula>NOT(ISERROR(SEARCH("Missing",K2440)))</formula>
    </cfRule>
  </conditionalFormatting>
  <conditionalFormatting sqref="K2440">
    <cfRule type="containsText" dxfId="3569" priority="3946" operator="containsText" text="Missing">
      <formula>NOT(ISERROR(SEARCH("Missing",K2440)))</formula>
    </cfRule>
  </conditionalFormatting>
  <conditionalFormatting sqref="I2445">
    <cfRule type="containsText" dxfId="3568" priority="3866" operator="containsText" text="Missing">
      <formula>NOT(ISERROR(SEARCH("Missing",I2445)))</formula>
    </cfRule>
  </conditionalFormatting>
  <conditionalFormatting sqref="K2462">
    <cfRule type="containsText" dxfId="3567" priority="3130" operator="containsText" text="Missing">
      <formula>NOT(ISERROR(SEARCH("Missing",K2462)))</formula>
    </cfRule>
  </conditionalFormatting>
  <conditionalFormatting sqref="H2494">
    <cfRule type="containsText" dxfId="3566" priority="3219" operator="containsText" text="Missing">
      <formula>NOT(ISERROR(SEARCH("Missing",H2494)))</formula>
    </cfRule>
  </conditionalFormatting>
  <conditionalFormatting sqref="K2404">
    <cfRule type="containsText" dxfId="3565" priority="3853" operator="containsText" text="Missing">
      <formula>NOT(ISERROR(SEARCH("Missing",K2404)))</formula>
    </cfRule>
  </conditionalFormatting>
  <conditionalFormatting sqref="J2411">
    <cfRule type="containsText" dxfId="3564" priority="3818" operator="containsText" text="Missing">
      <formula>NOT(ISERROR(SEARCH("Missing",J2411)))</formula>
    </cfRule>
  </conditionalFormatting>
  <conditionalFormatting sqref="K2494">
    <cfRule type="containsText" dxfId="3563" priority="3233" operator="containsText" text="Missing">
      <formula>NOT(ISERROR(SEARCH("Missing",K2494)))</formula>
    </cfRule>
  </conditionalFormatting>
  <conditionalFormatting sqref="J2438">
    <cfRule type="containsText" dxfId="3562" priority="3971" operator="containsText" text="Missing">
      <formula>NOT(ISERROR(SEARCH("Missing",J2438)))</formula>
    </cfRule>
  </conditionalFormatting>
  <conditionalFormatting sqref="L2437">
    <cfRule type="containsText" dxfId="3561" priority="3987" operator="containsText" text="Positive">
      <formula>NOT(ISERROR(SEARCH("Positive",L2437)))</formula>
    </cfRule>
    <cfRule type="containsText" dxfId="3560" priority="3988" operator="containsText" text="Negative">
      <formula>NOT(ISERROR(SEARCH("Negative",L2437)))</formula>
    </cfRule>
  </conditionalFormatting>
  <conditionalFormatting sqref="L2438">
    <cfRule type="containsText" dxfId="3559" priority="3977" operator="containsText" text="Positive">
      <formula>NOT(ISERROR(SEARCH("Positive",L2438)))</formula>
    </cfRule>
    <cfRule type="containsText" dxfId="3558" priority="3978" operator="containsText" text="Negative">
      <formula>NOT(ISERROR(SEARCH("Negative",L2438)))</formula>
    </cfRule>
  </conditionalFormatting>
  <conditionalFormatting sqref="J2439">
    <cfRule type="containsText" dxfId="3557" priority="3959" operator="containsText" text="Missing">
      <formula>NOT(ISERROR(SEARCH("Missing",J2439)))</formula>
    </cfRule>
  </conditionalFormatting>
  <conditionalFormatting sqref="J2490">
    <cfRule type="containsText" dxfId="3556" priority="3289" operator="containsText" text="Missing">
      <formula>NOT(ISERROR(SEARCH("Missing",J2490)))</formula>
    </cfRule>
  </conditionalFormatting>
  <conditionalFormatting sqref="K2439">
    <cfRule type="containsText" dxfId="3555" priority="3956" operator="containsText" text="Missing">
      <formula>NOT(ISERROR(SEARCH("Missing",K2439)))</formula>
    </cfRule>
  </conditionalFormatting>
  <conditionalFormatting sqref="L2439">
    <cfRule type="containsText" dxfId="3554" priority="3965" operator="containsText" text="Positive">
      <formula>NOT(ISERROR(SEARCH("Positive",L2439)))</formula>
    </cfRule>
    <cfRule type="containsText" dxfId="3553" priority="3966" operator="containsText" text="Negative">
      <formula>NOT(ISERROR(SEARCH("Negative",L2439)))</formula>
    </cfRule>
  </conditionalFormatting>
  <conditionalFormatting sqref="L2439">
    <cfRule type="containsText" dxfId="3552" priority="3963" operator="containsText" text="Positive">
      <formula>NOT(ISERROR(SEARCH("Positive",L2439)))</formula>
    </cfRule>
    <cfRule type="containsText" dxfId="3551" priority="3964" operator="containsText" text="Negative">
      <formula>NOT(ISERROR(SEARCH("Negative",L2439)))</formula>
    </cfRule>
  </conditionalFormatting>
  <conditionalFormatting sqref="K2446">
    <cfRule type="containsText" dxfId="3550" priority="3868" operator="containsText" text="Missing">
      <formula>NOT(ISERROR(SEARCH("Missing",K2446)))</formula>
    </cfRule>
  </conditionalFormatting>
  <conditionalFormatting sqref="L2440">
    <cfRule type="containsText" dxfId="3549" priority="3953" operator="containsText" text="Positive">
      <formula>NOT(ISERROR(SEARCH("Positive",L2440)))</formula>
    </cfRule>
    <cfRule type="containsText" dxfId="3548" priority="3954" operator="containsText" text="Negative">
      <formula>NOT(ISERROR(SEARCH("Negative",L2440)))</formula>
    </cfRule>
  </conditionalFormatting>
  <conditionalFormatting sqref="L2440">
    <cfRule type="containsText" dxfId="3547" priority="3949" operator="containsText" text="Positive">
      <formula>NOT(ISERROR(SEARCH("Positive",L2440)))</formula>
    </cfRule>
    <cfRule type="containsText" dxfId="3546" priority="3950" operator="containsText" text="Negative">
      <formula>NOT(ISERROR(SEARCH("Negative",L2440)))</formula>
    </cfRule>
  </conditionalFormatting>
  <conditionalFormatting sqref="L2440">
    <cfRule type="containsText" dxfId="3545" priority="3951" operator="containsText" text="Positive">
      <formula>NOT(ISERROR(SEARCH("Positive",L2440)))</formula>
    </cfRule>
    <cfRule type="containsText" dxfId="3544" priority="3952" operator="containsText" text="Negative">
      <formula>NOT(ISERROR(SEARCH("Negative",L2440)))</formula>
    </cfRule>
  </conditionalFormatting>
  <conditionalFormatting sqref="K2491">
    <cfRule type="containsText" dxfId="3543" priority="3273" operator="containsText" text="Missing">
      <formula>NOT(ISERROR(SEARCH("Missing",K2491)))</formula>
    </cfRule>
  </conditionalFormatting>
  <conditionalFormatting sqref="K2493">
    <cfRule type="containsText" dxfId="3542" priority="3244" operator="containsText" text="Missing">
      <formula>NOT(ISERROR(SEARCH("Missing",K2493)))</formula>
    </cfRule>
  </conditionalFormatting>
  <conditionalFormatting sqref="J2404">
    <cfRule type="containsText" dxfId="3541" priority="3857" operator="containsText" text="Missing">
      <formula>NOT(ISERROR(SEARCH("Missing",J2404)))</formula>
    </cfRule>
  </conditionalFormatting>
  <conditionalFormatting sqref="H2439">
    <cfRule type="containsText" dxfId="3540" priority="3941" operator="containsText" text="Missing">
      <formula>NOT(ISERROR(SEARCH("Missing",H2439)))</formula>
    </cfRule>
  </conditionalFormatting>
  <conditionalFormatting sqref="K2405">
    <cfRule type="containsText" dxfId="3539" priority="3841" operator="containsText" text="Missing">
      <formula>NOT(ISERROR(SEARCH("Missing",K2405)))</formula>
    </cfRule>
  </conditionalFormatting>
  <conditionalFormatting sqref="J2404">
    <cfRule type="containsText" dxfId="3538" priority="3862" operator="containsText" text="Missing">
      <formula>NOT(ISERROR(SEARCH("Missing",J2404)))</formula>
    </cfRule>
  </conditionalFormatting>
  <conditionalFormatting sqref="J2461">
    <cfRule type="containsText" dxfId="3537" priority="3152" operator="containsText" text="Missing">
      <formula>NOT(ISERROR(SEARCH("Missing",J2461)))</formula>
    </cfRule>
  </conditionalFormatting>
  <conditionalFormatting sqref="K2494">
    <cfRule type="containsText" dxfId="3536" priority="3235" operator="containsText" text="Missing">
      <formula>NOT(ISERROR(SEARCH("Missing",K2494)))</formula>
    </cfRule>
  </conditionalFormatting>
  <conditionalFormatting sqref="K2494">
    <cfRule type="containsText" dxfId="3535" priority="3234" operator="containsText" text="Missing">
      <formula>NOT(ISERROR(SEARCH("Missing",K2494)))</formula>
    </cfRule>
  </conditionalFormatting>
  <conditionalFormatting sqref="J2492">
    <cfRule type="containsText" dxfId="3534" priority="3258" operator="containsText" text="Missing">
      <formula>NOT(ISERROR(SEARCH("Missing",J2492)))</formula>
    </cfRule>
  </conditionalFormatting>
  <conditionalFormatting sqref="K2404">
    <cfRule type="containsText" dxfId="3533" priority="3854" operator="containsText" text="Missing">
      <formula>NOT(ISERROR(SEARCH("Missing",K2404)))</formula>
    </cfRule>
  </conditionalFormatting>
  <conditionalFormatting sqref="J2492">
    <cfRule type="containsText" dxfId="3532" priority="3259" operator="containsText" text="Missing">
      <formula>NOT(ISERROR(SEARCH("Missing",J2492)))</formula>
    </cfRule>
  </conditionalFormatting>
  <conditionalFormatting sqref="K2404">
    <cfRule type="containsText" dxfId="3531" priority="3852" operator="containsText" text="Missing">
      <formula>NOT(ISERROR(SEARCH("Missing",K2404)))</formula>
    </cfRule>
  </conditionalFormatting>
  <conditionalFormatting sqref="J2405">
    <cfRule type="containsText" dxfId="3530" priority="3844" operator="containsText" text="Missing">
      <formula>NOT(ISERROR(SEARCH("Missing",J2405)))</formula>
    </cfRule>
  </conditionalFormatting>
  <conditionalFormatting sqref="J2493">
    <cfRule type="containsText" dxfId="3529" priority="3247" operator="containsText" text="Missing">
      <formula>NOT(ISERROR(SEARCH("Missing",J2493)))</formula>
    </cfRule>
  </conditionalFormatting>
  <conditionalFormatting sqref="L2441">
    <cfRule type="containsText" dxfId="3528" priority="3935" operator="containsText" text="Positive">
      <formula>NOT(ISERROR(SEARCH("Positive",L2441)))</formula>
    </cfRule>
    <cfRule type="containsText" dxfId="3527" priority="3936" operator="containsText" text="Negative">
      <formula>NOT(ISERROR(SEARCH("Negative",L2441)))</formula>
    </cfRule>
  </conditionalFormatting>
  <conditionalFormatting sqref="L2441">
    <cfRule type="containsText" dxfId="3526" priority="3931" operator="containsText" text="Positive">
      <formula>NOT(ISERROR(SEARCH("Positive",L2441)))</formula>
    </cfRule>
    <cfRule type="containsText" dxfId="3525" priority="3932" operator="containsText" text="Negative">
      <formula>NOT(ISERROR(SEARCH("Negative",L2441)))</formula>
    </cfRule>
  </conditionalFormatting>
  <conditionalFormatting sqref="L2441">
    <cfRule type="containsText" dxfId="3524" priority="3933" operator="containsText" text="Positive">
      <formula>NOT(ISERROR(SEARCH("Positive",L2441)))</formula>
    </cfRule>
    <cfRule type="containsText" dxfId="3523" priority="3934" operator="containsText" text="Negative">
      <formula>NOT(ISERROR(SEARCH("Negative",L2441)))</formula>
    </cfRule>
  </conditionalFormatting>
  <conditionalFormatting sqref="J2493">
    <cfRule type="containsText" dxfId="3522" priority="3248" operator="containsText" text="Missing">
      <formula>NOT(ISERROR(SEARCH("Missing",J2493)))</formula>
    </cfRule>
  </conditionalFormatting>
  <conditionalFormatting sqref="K2493">
    <cfRule type="containsText" dxfId="3521" priority="3245" operator="containsText" text="Missing">
      <formula>NOT(ISERROR(SEARCH("Missing",K2493)))</formula>
    </cfRule>
  </conditionalFormatting>
  <conditionalFormatting sqref="L2442">
    <cfRule type="containsText" dxfId="3520" priority="3924" operator="containsText" text="Positive">
      <formula>NOT(ISERROR(SEARCH("Positive",L2442)))</formula>
    </cfRule>
    <cfRule type="containsText" dxfId="3519" priority="3925" operator="containsText" text="Negative">
      <formula>NOT(ISERROR(SEARCH("Negative",L2442)))</formula>
    </cfRule>
  </conditionalFormatting>
  <conditionalFormatting sqref="L2493">
    <cfRule type="containsText" dxfId="3518" priority="3251" operator="containsText" text="Positive">
      <formula>NOT(ISERROR(SEARCH("Positive",L2493)))</formula>
    </cfRule>
    <cfRule type="containsText" dxfId="3517" priority="3252" operator="containsText" text="Negative">
      <formula>NOT(ISERROR(SEARCH("Negative",L2493)))</formula>
    </cfRule>
  </conditionalFormatting>
  <conditionalFormatting sqref="J2446">
    <cfRule type="containsText" dxfId="3516" priority="3871" operator="containsText" text="Missing">
      <formula>NOT(ISERROR(SEARCH("Missing",J2446)))</formula>
    </cfRule>
  </conditionalFormatting>
  <conditionalFormatting sqref="J2446">
    <cfRule type="containsText" dxfId="3515" priority="3870" operator="containsText" text="Missing">
      <formula>NOT(ISERROR(SEARCH("Missing",J2446)))</formula>
    </cfRule>
  </conditionalFormatting>
  <conditionalFormatting sqref="L2443">
    <cfRule type="containsText" dxfId="3514" priority="3913" operator="containsText" text="Positive">
      <formula>NOT(ISERROR(SEARCH("Positive",L2443)))</formula>
    </cfRule>
    <cfRule type="containsText" dxfId="3513" priority="3914" operator="containsText" text="Negative">
      <formula>NOT(ISERROR(SEARCH("Negative",L2443)))</formula>
    </cfRule>
  </conditionalFormatting>
  <conditionalFormatting sqref="L2443">
    <cfRule type="containsText" dxfId="3512" priority="3909" operator="containsText" text="Positive">
      <formula>NOT(ISERROR(SEARCH("Positive",L2443)))</formula>
    </cfRule>
    <cfRule type="containsText" dxfId="3511" priority="3910" operator="containsText" text="Negative">
      <formula>NOT(ISERROR(SEARCH("Negative",L2443)))</formula>
    </cfRule>
  </conditionalFormatting>
  <conditionalFormatting sqref="L2443">
    <cfRule type="containsText" dxfId="3510" priority="3911" operator="containsText" text="Positive">
      <formula>NOT(ISERROR(SEARCH("Positive",L2443)))</formula>
    </cfRule>
    <cfRule type="containsText" dxfId="3509" priority="3912" operator="containsText" text="Negative">
      <formula>NOT(ISERROR(SEARCH("Negative",L2443)))</formula>
    </cfRule>
  </conditionalFormatting>
  <conditionalFormatting sqref="H2405">
    <cfRule type="containsText" dxfId="3508" priority="3837" operator="containsText" text="Missing">
      <formula>NOT(ISERROR(SEARCH("Missing",H2405)))</formula>
    </cfRule>
  </conditionalFormatting>
  <conditionalFormatting sqref="L2405">
    <cfRule type="containsText" dxfId="3507" priority="3842" operator="containsText" text="Positive">
      <formula>NOT(ISERROR(SEARCH("Positive",L2405)))</formula>
    </cfRule>
    <cfRule type="containsText" dxfId="3506" priority="3843" operator="containsText" text="Negative">
      <formula>NOT(ISERROR(SEARCH("Negative",L2405)))</formula>
    </cfRule>
  </conditionalFormatting>
  <conditionalFormatting sqref="L2444">
    <cfRule type="containsText" dxfId="3505" priority="3898" operator="containsText" text="Positive">
      <formula>NOT(ISERROR(SEARCH("Positive",L2444)))</formula>
    </cfRule>
    <cfRule type="containsText" dxfId="3504" priority="3899" operator="containsText" text="Negative">
      <formula>NOT(ISERROR(SEARCH("Negative",L2444)))</formula>
    </cfRule>
  </conditionalFormatting>
  <conditionalFormatting sqref="L2444">
    <cfRule type="containsText" dxfId="3503" priority="3900" operator="containsText" text="Positive">
      <formula>NOT(ISERROR(SEARCH("Positive",L2444)))</formula>
    </cfRule>
    <cfRule type="containsText" dxfId="3502" priority="3901" operator="containsText" text="Negative">
      <formula>NOT(ISERROR(SEARCH("Negative",L2444)))</formula>
    </cfRule>
  </conditionalFormatting>
  <conditionalFormatting sqref="I2456">
    <cfRule type="containsText" dxfId="3501" priority="3061" operator="containsText" text="Missing">
      <formula>NOT(ISERROR(SEARCH("Missing",I2456)))</formula>
    </cfRule>
  </conditionalFormatting>
  <conditionalFormatting sqref="J2413">
    <cfRule type="containsText" dxfId="3500" priority="3792" operator="containsText" text="Missing">
      <formula>NOT(ISERROR(SEARCH("Missing",J2413)))</formula>
    </cfRule>
  </conditionalFormatting>
  <conditionalFormatting sqref="H2404">
    <cfRule type="containsText" dxfId="3499" priority="3850" operator="containsText" text="Missing">
      <formula>NOT(ISERROR(SEARCH("Missing",H2404)))</formula>
    </cfRule>
  </conditionalFormatting>
  <conditionalFormatting sqref="H2404">
    <cfRule type="containsText" dxfId="3498" priority="3851" operator="containsText" text="Missing">
      <formula>NOT(ISERROR(SEARCH("Missing",H2404)))</formula>
    </cfRule>
  </conditionalFormatting>
  <conditionalFormatting sqref="J2455">
    <cfRule type="containsText" dxfId="3497" priority="3178" operator="containsText" text="Missing">
      <formula>NOT(ISERROR(SEARCH("Missing",J2455)))</formula>
    </cfRule>
  </conditionalFormatting>
  <conditionalFormatting sqref="I2462">
    <cfRule type="containsText" dxfId="3496" priority="3057" operator="containsText" text="Missing">
      <formula>NOT(ISERROR(SEARCH("Missing",I2462)))</formula>
    </cfRule>
  </conditionalFormatting>
  <conditionalFormatting sqref="K2405">
    <cfRule type="containsText" dxfId="3495" priority="3840" operator="containsText" text="Missing">
      <formula>NOT(ISERROR(SEARCH("Missing",K2405)))</formula>
    </cfRule>
  </conditionalFormatting>
  <conditionalFormatting sqref="H2405">
    <cfRule type="containsText" dxfId="3494" priority="3838" operator="containsText" text="Missing">
      <formula>NOT(ISERROR(SEARCH("Missing",H2405)))</formula>
    </cfRule>
  </conditionalFormatting>
  <conditionalFormatting sqref="L2405">
    <cfRule type="containsText" dxfId="3493" priority="3847" operator="containsText" text="Positive">
      <formula>NOT(ISERROR(SEARCH("Positive",L2405)))</formula>
    </cfRule>
    <cfRule type="containsText" dxfId="3492" priority="3848" operator="containsText" text="Negative">
      <formula>NOT(ISERROR(SEARCH("Negative",L2405)))</formula>
    </cfRule>
  </conditionalFormatting>
  <conditionalFormatting sqref="L2445">
    <cfRule type="containsText" dxfId="3491" priority="3883" operator="containsText" text="Positive">
      <formula>NOT(ISERROR(SEARCH("Positive",L2445)))</formula>
    </cfRule>
    <cfRule type="containsText" dxfId="3490" priority="3884" operator="containsText" text="Negative">
      <formula>NOT(ISERROR(SEARCH("Negative",L2445)))</formula>
    </cfRule>
  </conditionalFormatting>
  <conditionalFormatting sqref="L2405">
    <cfRule type="containsText" dxfId="3489" priority="3845" operator="containsText" text="Positive">
      <formula>NOT(ISERROR(SEARCH("Positive",L2405)))</formula>
    </cfRule>
    <cfRule type="containsText" dxfId="3488" priority="3846" operator="containsText" text="Negative">
      <formula>NOT(ISERROR(SEARCH("Negative",L2405)))</formula>
    </cfRule>
  </conditionalFormatting>
  <conditionalFormatting sqref="L2446">
    <cfRule type="containsText" dxfId="3487" priority="3876" operator="containsText" text="Positive">
      <formula>NOT(ISERROR(SEARCH("Positive",L2446)))</formula>
    </cfRule>
    <cfRule type="containsText" dxfId="3486" priority="3877" operator="containsText" text="Negative">
      <formula>NOT(ISERROR(SEARCH("Negative",L2446)))</formula>
    </cfRule>
  </conditionalFormatting>
  <conditionalFormatting sqref="L2446">
    <cfRule type="containsText" dxfId="3485" priority="3874" operator="containsText" text="Positive">
      <formula>NOT(ISERROR(SEARCH("Positive",L2446)))</formula>
    </cfRule>
    <cfRule type="containsText" dxfId="3484" priority="3875" operator="containsText" text="Negative">
      <formula>NOT(ISERROR(SEARCH("Negative",L2446)))</formula>
    </cfRule>
  </conditionalFormatting>
  <conditionalFormatting sqref="I2463">
    <cfRule type="containsText" dxfId="3483" priority="3056" operator="containsText" text="Missing">
      <formula>NOT(ISERROR(SEARCH("Missing",I2463)))</formula>
    </cfRule>
  </conditionalFormatting>
  <conditionalFormatting sqref="K2463">
    <cfRule type="containsText" dxfId="3482" priority="3116" operator="containsText" text="Missing">
      <formula>NOT(ISERROR(SEARCH("Missing",K2463)))</formula>
    </cfRule>
  </conditionalFormatting>
  <conditionalFormatting sqref="K2413">
    <cfRule type="containsText" dxfId="3481" priority="3788" operator="containsText" text="Missing">
      <formula>NOT(ISERROR(SEARCH("Missing",K2413)))</formula>
    </cfRule>
  </conditionalFormatting>
  <conditionalFormatting sqref="K2463">
    <cfRule type="containsText" dxfId="3480" priority="3118" operator="containsText" text="Missing">
      <formula>NOT(ISERROR(SEARCH("Missing",K2463)))</formula>
    </cfRule>
  </conditionalFormatting>
  <conditionalFormatting sqref="J2418">
    <cfRule type="containsText" dxfId="3479" priority="3779" operator="containsText" text="Missing">
      <formula>NOT(ISERROR(SEARCH("Missing",J2418)))</formula>
    </cfRule>
  </conditionalFormatting>
  <conditionalFormatting sqref="K2468">
    <cfRule type="containsText" dxfId="3478" priority="3105" operator="containsText" text="Missing">
      <formula>NOT(ISERROR(SEARCH("Missing",K2468)))</formula>
    </cfRule>
  </conditionalFormatting>
  <conditionalFormatting sqref="K2418">
    <cfRule type="containsText" dxfId="3477" priority="3774" operator="containsText" text="Missing">
      <formula>NOT(ISERROR(SEARCH("Missing",K2418)))</formula>
    </cfRule>
  </conditionalFormatting>
  <conditionalFormatting sqref="K2468">
    <cfRule type="containsText" dxfId="3476" priority="3104" operator="containsText" text="Missing">
      <formula>NOT(ISERROR(SEARCH("Missing",K2468)))</formula>
    </cfRule>
  </conditionalFormatting>
  <conditionalFormatting sqref="L2406">
    <cfRule type="containsText" dxfId="3475" priority="3829" operator="containsText" text="Positive">
      <formula>NOT(ISERROR(SEARCH("Positive",L2406)))</formula>
    </cfRule>
    <cfRule type="containsText" dxfId="3474" priority="3830" operator="containsText" text="Negative">
      <formula>NOT(ISERROR(SEARCH("Negative",L2406)))</formula>
    </cfRule>
  </conditionalFormatting>
  <conditionalFormatting sqref="L2406">
    <cfRule type="containsText" dxfId="3473" priority="3834" operator="containsText" text="Positive">
      <formula>NOT(ISERROR(SEARCH("Positive",L2406)))</formula>
    </cfRule>
    <cfRule type="containsText" dxfId="3472" priority="3835" operator="containsText" text="Negative">
      <formula>NOT(ISERROR(SEARCH("Negative",L2406)))</formula>
    </cfRule>
  </conditionalFormatting>
  <conditionalFormatting sqref="J2456">
    <cfRule type="containsText" dxfId="3471" priority="3165" operator="containsText" text="Missing">
      <formula>NOT(ISERROR(SEARCH("Missing",J2456)))</formula>
    </cfRule>
  </conditionalFormatting>
  <conditionalFormatting sqref="I2463">
    <cfRule type="containsText" dxfId="3470" priority="3055" operator="containsText" text="Missing">
      <formula>NOT(ISERROR(SEARCH("Missing",I2463)))</formula>
    </cfRule>
  </conditionalFormatting>
  <conditionalFormatting sqref="I2462">
    <cfRule type="containsText" dxfId="3469" priority="3058" operator="containsText" text="Missing">
      <formula>NOT(ISERROR(SEARCH("Missing",I2462)))</formula>
    </cfRule>
  </conditionalFormatting>
  <conditionalFormatting sqref="L2411">
    <cfRule type="containsText" dxfId="3468" priority="3816" operator="containsText" text="Positive">
      <formula>NOT(ISERROR(SEARCH("Positive",L2411)))</formula>
    </cfRule>
    <cfRule type="containsText" dxfId="3467" priority="3817" operator="containsText" text="Negative">
      <formula>NOT(ISERROR(SEARCH("Negative",L2411)))</formula>
    </cfRule>
  </conditionalFormatting>
  <conditionalFormatting sqref="L2411">
    <cfRule type="containsText" dxfId="3466" priority="3821" operator="containsText" text="Positive">
      <formula>NOT(ISERROR(SEARCH("Positive",L2411)))</formula>
    </cfRule>
    <cfRule type="containsText" dxfId="3465" priority="3822" operator="containsText" text="Negative">
      <formula>NOT(ISERROR(SEARCH("Negative",L2411)))</formula>
    </cfRule>
  </conditionalFormatting>
  <conditionalFormatting sqref="L2411">
    <cfRule type="containsText" dxfId="3464" priority="3819" operator="containsText" text="Positive">
      <formula>NOT(ISERROR(SEARCH("Positive",L2411)))</formula>
    </cfRule>
    <cfRule type="containsText" dxfId="3463" priority="3820" operator="containsText" text="Negative">
      <formula>NOT(ISERROR(SEARCH("Negative",L2411)))</formula>
    </cfRule>
  </conditionalFormatting>
  <conditionalFormatting sqref="I2470">
    <cfRule type="containsText" dxfId="3462" priority="3049" operator="containsText" text="Missing">
      <formula>NOT(ISERROR(SEARCH("Missing",I2470)))</formula>
    </cfRule>
  </conditionalFormatting>
  <conditionalFormatting sqref="L2412">
    <cfRule type="containsText" dxfId="3461" priority="3803" operator="containsText" text="Positive">
      <formula>NOT(ISERROR(SEARCH("Positive",L2412)))</formula>
    </cfRule>
    <cfRule type="containsText" dxfId="3460" priority="3804" operator="containsText" text="Negative">
      <formula>NOT(ISERROR(SEARCH("Negative",L2412)))</formula>
    </cfRule>
  </conditionalFormatting>
  <conditionalFormatting sqref="L2412">
    <cfRule type="containsText" dxfId="3459" priority="3808" operator="containsText" text="Positive">
      <formula>NOT(ISERROR(SEARCH("Positive",L2412)))</formula>
    </cfRule>
    <cfRule type="containsText" dxfId="3458" priority="3809" operator="containsText" text="Negative">
      <formula>NOT(ISERROR(SEARCH("Negative",L2412)))</formula>
    </cfRule>
  </conditionalFormatting>
  <conditionalFormatting sqref="L2412">
    <cfRule type="containsText" dxfId="3457" priority="3806" operator="containsText" text="Positive">
      <formula>NOT(ISERROR(SEARCH("Positive",L2412)))</formula>
    </cfRule>
    <cfRule type="containsText" dxfId="3456" priority="3807" operator="containsText" text="Negative">
      <formula>NOT(ISERROR(SEARCH("Negative",L2412)))</formula>
    </cfRule>
  </conditionalFormatting>
  <conditionalFormatting sqref="H2462">
    <cfRule type="containsText" dxfId="3455" priority="3127" operator="containsText" text="Missing">
      <formula>NOT(ISERROR(SEARCH("Missing",H2462)))</formula>
    </cfRule>
  </conditionalFormatting>
  <conditionalFormatting sqref="L2463">
    <cfRule type="containsText" dxfId="3454" priority="3119" operator="containsText" text="Positive">
      <formula>NOT(ISERROR(SEARCH("Positive",L2463)))</formula>
    </cfRule>
    <cfRule type="containsText" dxfId="3453" priority="3120" operator="containsText" text="Negative">
      <formula>NOT(ISERROR(SEARCH("Negative",L2463)))</formula>
    </cfRule>
  </conditionalFormatting>
  <conditionalFormatting sqref="L2413">
    <cfRule type="containsText" dxfId="3452" priority="3795" operator="containsText" text="Positive">
      <formula>NOT(ISERROR(SEARCH("Positive",L2413)))</formula>
    </cfRule>
    <cfRule type="containsText" dxfId="3451" priority="3796" operator="containsText" text="Negative">
      <formula>NOT(ISERROR(SEARCH("Negative",L2413)))</formula>
    </cfRule>
  </conditionalFormatting>
  <conditionalFormatting sqref="L2413">
    <cfRule type="containsText" dxfId="3450" priority="3793" operator="containsText" text="Positive">
      <formula>NOT(ISERROR(SEARCH("Positive",L2413)))</formula>
    </cfRule>
    <cfRule type="containsText" dxfId="3449" priority="3794" operator="containsText" text="Negative">
      <formula>NOT(ISERROR(SEARCH("Negative",L2413)))</formula>
    </cfRule>
  </conditionalFormatting>
  <conditionalFormatting sqref="H2463">
    <cfRule type="containsText" dxfId="3448" priority="3114" operator="containsText" text="Missing">
      <formula>NOT(ISERROR(SEARCH("Missing",H2463)))</formula>
    </cfRule>
  </conditionalFormatting>
  <conditionalFormatting sqref="K2420">
    <cfRule type="containsText" dxfId="3447" priority="3749" operator="containsText" text="Missing">
      <formula>NOT(ISERROR(SEARCH("Missing",K2420)))</formula>
    </cfRule>
  </conditionalFormatting>
  <conditionalFormatting sqref="K2420">
    <cfRule type="containsText" dxfId="3446" priority="3748" operator="containsText" text="Missing">
      <formula>NOT(ISERROR(SEARCH("Missing",K2420)))</formula>
    </cfRule>
  </conditionalFormatting>
  <conditionalFormatting sqref="H2420">
    <cfRule type="containsText" dxfId="3445" priority="3747" operator="containsText" text="Missing">
      <formula>NOT(ISERROR(SEARCH("Missing",H2420)))</formula>
    </cfRule>
  </conditionalFormatting>
  <conditionalFormatting sqref="K2420">
    <cfRule type="containsText" dxfId="3444" priority="3750" operator="containsText" text="Missing">
      <formula>NOT(ISERROR(SEARCH("Missing",K2420)))</formula>
    </cfRule>
  </conditionalFormatting>
  <conditionalFormatting sqref="J2420">
    <cfRule type="containsText" dxfId="3443" priority="3753" operator="containsText" text="Missing">
      <formula>NOT(ISERROR(SEARCH("Missing",J2420)))</formula>
    </cfRule>
  </conditionalFormatting>
  <conditionalFormatting sqref="H2418">
    <cfRule type="containsText" dxfId="3442" priority="3773" operator="containsText" text="Missing">
      <formula>NOT(ISERROR(SEARCH("Missing",H2418)))</formula>
    </cfRule>
  </conditionalFormatting>
  <conditionalFormatting sqref="J2419">
    <cfRule type="containsText" dxfId="3441" priority="3766" operator="containsText" text="Missing">
      <formula>NOT(ISERROR(SEARCH("Missing",J2419)))</formula>
    </cfRule>
  </conditionalFormatting>
  <conditionalFormatting sqref="L2418">
    <cfRule type="containsText" dxfId="3440" priority="3777" operator="containsText" text="Positive">
      <formula>NOT(ISERROR(SEARCH("Positive",L2418)))</formula>
    </cfRule>
    <cfRule type="containsText" dxfId="3439" priority="3778" operator="containsText" text="Negative">
      <formula>NOT(ISERROR(SEARCH("Negative",L2418)))</formula>
    </cfRule>
  </conditionalFormatting>
  <conditionalFormatting sqref="L2418">
    <cfRule type="containsText" dxfId="3438" priority="3782" operator="containsText" text="Positive">
      <formula>NOT(ISERROR(SEARCH("Positive",L2418)))</formula>
    </cfRule>
    <cfRule type="containsText" dxfId="3437" priority="3783" operator="containsText" text="Negative">
      <formula>NOT(ISERROR(SEARCH("Negative",L2418)))</formula>
    </cfRule>
  </conditionalFormatting>
  <conditionalFormatting sqref="L2418">
    <cfRule type="containsText" dxfId="3436" priority="3780" operator="containsText" text="Positive">
      <formula>NOT(ISERROR(SEARCH("Positive",L2418)))</formula>
    </cfRule>
    <cfRule type="containsText" dxfId="3435" priority="3781" operator="containsText" text="Negative">
      <formula>NOT(ISERROR(SEARCH("Negative",L2418)))</formula>
    </cfRule>
  </conditionalFormatting>
  <conditionalFormatting sqref="H2418">
    <cfRule type="containsText" dxfId="3434" priority="3772" operator="containsText" text="Missing">
      <formula>NOT(ISERROR(SEARCH("Missing",H2418)))</formula>
    </cfRule>
  </conditionalFormatting>
  <conditionalFormatting sqref="K2419">
    <cfRule type="containsText" dxfId="3433" priority="3763" operator="containsText" text="Missing">
      <formula>NOT(ISERROR(SEARCH("Missing",K2419)))</formula>
    </cfRule>
  </conditionalFormatting>
  <conditionalFormatting sqref="K2419">
    <cfRule type="containsText" dxfId="3432" priority="3762" operator="containsText" text="Missing">
      <formula>NOT(ISERROR(SEARCH("Missing",K2419)))</formula>
    </cfRule>
  </conditionalFormatting>
  <conditionalFormatting sqref="L2419">
    <cfRule type="containsText" dxfId="3431" priority="3764" operator="containsText" text="Positive">
      <formula>NOT(ISERROR(SEARCH("Positive",L2419)))</formula>
    </cfRule>
    <cfRule type="containsText" dxfId="3430" priority="3765" operator="containsText" text="Negative">
      <formula>NOT(ISERROR(SEARCH("Negative",L2419)))</formula>
    </cfRule>
  </conditionalFormatting>
  <conditionalFormatting sqref="L2419">
    <cfRule type="containsText" dxfId="3429" priority="3769" operator="containsText" text="Positive">
      <formula>NOT(ISERROR(SEARCH("Positive",L2419)))</formula>
    </cfRule>
    <cfRule type="containsText" dxfId="3428" priority="3770" operator="containsText" text="Negative">
      <formula>NOT(ISERROR(SEARCH("Negative",L2419)))</formula>
    </cfRule>
  </conditionalFormatting>
  <conditionalFormatting sqref="L2419">
    <cfRule type="containsText" dxfId="3427" priority="3767" operator="containsText" text="Positive">
      <formula>NOT(ISERROR(SEARCH("Positive",L2419)))</formula>
    </cfRule>
    <cfRule type="containsText" dxfId="3426" priority="3768" operator="containsText" text="Negative">
      <formula>NOT(ISERROR(SEARCH("Negative",L2419)))</formula>
    </cfRule>
  </conditionalFormatting>
  <conditionalFormatting sqref="K2419">
    <cfRule type="containsText" dxfId="3425" priority="3761" operator="containsText" text="Missing">
      <formula>NOT(ISERROR(SEARCH("Missing",K2419)))</formula>
    </cfRule>
  </conditionalFormatting>
  <conditionalFormatting sqref="H2419">
    <cfRule type="containsText" dxfId="3424" priority="3760" operator="containsText" text="Missing">
      <formula>NOT(ISERROR(SEARCH("Missing",H2419)))</formula>
    </cfRule>
  </conditionalFormatting>
  <conditionalFormatting sqref="H2419">
    <cfRule type="containsText" dxfId="3423" priority="3759" operator="containsText" text="Missing">
      <formula>NOT(ISERROR(SEARCH("Missing",H2419)))</formula>
    </cfRule>
  </conditionalFormatting>
  <conditionalFormatting sqref="L2420">
    <cfRule type="containsText" dxfId="3422" priority="3751" operator="containsText" text="Positive">
      <formula>NOT(ISERROR(SEARCH("Positive",L2420)))</formula>
    </cfRule>
    <cfRule type="containsText" dxfId="3421" priority="3752" operator="containsText" text="Negative">
      <formula>NOT(ISERROR(SEARCH("Negative",L2420)))</formula>
    </cfRule>
  </conditionalFormatting>
  <conditionalFormatting sqref="L2420">
    <cfRule type="containsText" dxfId="3420" priority="3756" operator="containsText" text="Positive">
      <formula>NOT(ISERROR(SEARCH("Positive",L2420)))</formula>
    </cfRule>
    <cfRule type="containsText" dxfId="3419" priority="3757" operator="containsText" text="Negative">
      <formula>NOT(ISERROR(SEARCH("Negative",L2420)))</formula>
    </cfRule>
  </conditionalFormatting>
  <conditionalFormatting sqref="L2420">
    <cfRule type="containsText" dxfId="3418" priority="3754" operator="containsText" text="Positive">
      <formula>NOT(ISERROR(SEARCH("Positive",L2420)))</formula>
    </cfRule>
    <cfRule type="containsText" dxfId="3417" priority="3755" operator="containsText" text="Negative">
      <formula>NOT(ISERROR(SEARCH("Negative",L2420)))</formula>
    </cfRule>
  </conditionalFormatting>
  <conditionalFormatting sqref="J2470">
    <cfRule type="containsText" dxfId="3416" priority="3087" operator="containsText" text="Missing">
      <formula>NOT(ISERROR(SEARCH("Missing",J2470)))</formula>
    </cfRule>
  </conditionalFormatting>
  <conditionalFormatting sqref="H2420">
    <cfRule type="containsText" dxfId="3415" priority="3746" operator="containsText" text="Missing">
      <formula>NOT(ISERROR(SEARCH("Missing",H2420)))</formula>
    </cfRule>
  </conditionalFormatting>
  <conditionalFormatting sqref="I2442">
    <cfRule type="containsText" dxfId="3414" priority="3742" operator="containsText" text="Missing">
      <formula>NOT(ISERROR(SEARCH("Missing",I2442)))</formula>
    </cfRule>
  </conditionalFormatting>
  <conditionalFormatting sqref="I2443">
    <cfRule type="containsText" dxfId="3413" priority="3740" operator="containsText" text="Missing">
      <formula>NOT(ISERROR(SEARCH("Missing",I2443)))</formula>
    </cfRule>
  </conditionalFormatting>
  <conditionalFormatting sqref="I2443">
    <cfRule type="containsText" dxfId="3412" priority="3741" operator="containsText" text="Missing">
      <formula>NOT(ISERROR(SEARCH("Missing",I2443)))</formula>
    </cfRule>
  </conditionalFormatting>
  <conditionalFormatting sqref="I2444">
    <cfRule type="containsText" dxfId="3411" priority="3738" operator="containsText" text="Missing">
      <formula>NOT(ISERROR(SEARCH("Missing",I2444)))</formula>
    </cfRule>
  </conditionalFormatting>
  <conditionalFormatting sqref="I2444">
    <cfRule type="containsText" dxfId="3410" priority="3739" operator="containsText" text="Missing">
      <formula>NOT(ISERROR(SEARCH("Missing",I2444)))</formula>
    </cfRule>
  </conditionalFormatting>
  <conditionalFormatting sqref="I2404">
    <cfRule type="containsText" dxfId="3409" priority="3736" operator="containsText" text="Missing">
      <formula>NOT(ISERROR(SEARCH("Missing",I2404)))</formula>
    </cfRule>
  </conditionalFormatting>
  <conditionalFormatting sqref="I2404">
    <cfRule type="containsText" dxfId="3408" priority="3737" operator="containsText" text="Missing">
      <formula>NOT(ISERROR(SEARCH("Missing",I2404)))</formula>
    </cfRule>
  </conditionalFormatting>
  <conditionalFormatting sqref="I2405">
    <cfRule type="containsText" dxfId="3407" priority="3734" operator="containsText" text="Missing">
      <formula>NOT(ISERROR(SEARCH("Missing",I2405)))</formula>
    </cfRule>
  </conditionalFormatting>
  <conditionalFormatting sqref="I2405">
    <cfRule type="containsText" dxfId="3406" priority="3735" operator="containsText" text="Missing">
      <formula>NOT(ISERROR(SEARCH("Missing",I2405)))</formula>
    </cfRule>
  </conditionalFormatting>
  <conditionalFormatting sqref="I2406">
    <cfRule type="containsText" dxfId="3405" priority="3733" operator="containsText" text="Missing">
      <formula>NOT(ISERROR(SEARCH("Missing",I2406)))</formula>
    </cfRule>
  </conditionalFormatting>
  <conditionalFormatting sqref="I2411">
    <cfRule type="containsText" dxfId="3404" priority="3730" operator="containsText" text="Missing">
      <formula>NOT(ISERROR(SEARCH("Missing",I2411)))</formula>
    </cfRule>
  </conditionalFormatting>
  <conditionalFormatting sqref="I2411">
    <cfRule type="containsText" dxfId="3403" priority="3731" operator="containsText" text="Missing">
      <formula>NOT(ISERROR(SEARCH("Missing",I2411)))</formula>
    </cfRule>
  </conditionalFormatting>
  <conditionalFormatting sqref="I2419">
    <cfRule type="containsText" dxfId="3402" priority="3722" operator="containsText" text="Missing">
      <formula>NOT(ISERROR(SEARCH("Missing",I2419)))</formula>
    </cfRule>
  </conditionalFormatting>
  <conditionalFormatting sqref="I2420">
    <cfRule type="containsText" dxfId="3401" priority="3721" operator="containsText" text="Missing">
      <formula>NOT(ISERROR(SEARCH("Missing",I2420)))</formula>
    </cfRule>
  </conditionalFormatting>
  <conditionalFormatting sqref="L2473">
    <cfRule type="containsText" dxfId="3400" priority="3707" operator="containsText" text="Positive">
      <formula>NOT(ISERROR(SEARCH("Positive",L2473)))</formula>
    </cfRule>
    <cfRule type="containsText" dxfId="3399" priority="3708" operator="containsText" text="Negative">
      <formula>NOT(ISERROR(SEARCH("Negative",L2473)))</formula>
    </cfRule>
  </conditionalFormatting>
  <conditionalFormatting sqref="L2473">
    <cfRule type="containsText" dxfId="3398" priority="3705" operator="containsText" text="Positive">
      <formula>NOT(ISERROR(SEARCH("Positive",L2473)))</formula>
    </cfRule>
    <cfRule type="containsText" dxfId="3397" priority="3706" operator="containsText" text="Negative">
      <formula>NOT(ISERROR(SEARCH("Negative",L2473)))</formula>
    </cfRule>
  </conditionalFormatting>
  <conditionalFormatting sqref="L2471">
    <cfRule type="containsText" dxfId="3396" priority="3718" operator="containsText" text="Positive">
      <formula>NOT(ISERROR(SEARCH("Positive",L2471)))</formula>
    </cfRule>
    <cfRule type="containsText" dxfId="3395" priority="3719" operator="containsText" text="Negative">
      <formula>NOT(ISERROR(SEARCH("Negative",L2471)))</formula>
    </cfRule>
  </conditionalFormatting>
  <conditionalFormatting sqref="L2471">
    <cfRule type="containsText" dxfId="3394" priority="3716" operator="containsText" text="Positive">
      <formula>NOT(ISERROR(SEARCH("Positive",L2471)))</formula>
    </cfRule>
    <cfRule type="containsText" dxfId="3393" priority="3717" operator="containsText" text="Negative">
      <formula>NOT(ISERROR(SEARCH("Negative",L2471)))</formula>
    </cfRule>
  </conditionalFormatting>
  <conditionalFormatting sqref="K2473">
    <cfRule type="containsText" dxfId="3392" priority="3698" operator="containsText" text="Missing">
      <formula>NOT(ISERROR(SEARCH("Missing",K2473)))</formula>
    </cfRule>
  </conditionalFormatting>
  <conditionalFormatting sqref="K2473">
    <cfRule type="containsText" dxfId="3391" priority="3699" operator="containsText" text="Missing">
      <formula>NOT(ISERROR(SEARCH("Missing",K2473)))</formula>
    </cfRule>
  </conditionalFormatting>
  <conditionalFormatting sqref="J2471">
    <cfRule type="containsText" dxfId="3390" priority="3713" operator="containsText" text="Missing">
      <formula>NOT(ISERROR(SEARCH("Missing",J2471)))</formula>
    </cfRule>
  </conditionalFormatting>
  <conditionalFormatting sqref="J2472">
    <cfRule type="containsText" dxfId="3389" priority="3678" operator="containsText" text="Missing">
      <formula>NOT(ISERROR(SEARCH("Missing",J2472)))</formula>
    </cfRule>
  </conditionalFormatting>
  <conditionalFormatting sqref="J2471">
    <cfRule type="containsText" dxfId="3388" priority="3712" operator="containsText" text="Missing">
      <formula>NOT(ISERROR(SEARCH("Missing",J2471)))</formula>
    </cfRule>
  </conditionalFormatting>
  <conditionalFormatting sqref="K2471">
    <cfRule type="containsText" dxfId="3387" priority="3711" operator="containsText" text="Missing">
      <formula>NOT(ISERROR(SEARCH("Missing",K2471)))</formula>
    </cfRule>
  </conditionalFormatting>
  <conditionalFormatting sqref="K2473">
    <cfRule type="containsText" dxfId="3386" priority="3700" operator="containsText" text="Missing">
      <formula>NOT(ISERROR(SEARCH("Missing",K2473)))</formula>
    </cfRule>
  </conditionalFormatting>
  <conditionalFormatting sqref="J2476">
    <cfRule type="containsText" dxfId="3385" priority="3690" operator="containsText" text="Missing">
      <formula>NOT(ISERROR(SEARCH("Missing",J2476)))</formula>
    </cfRule>
  </conditionalFormatting>
  <conditionalFormatting sqref="J2476">
    <cfRule type="containsText" dxfId="3384" priority="3691" operator="containsText" text="Missing">
      <formula>NOT(ISERROR(SEARCH("Missing",J2476)))</formula>
    </cfRule>
  </conditionalFormatting>
  <conditionalFormatting sqref="J2485">
    <cfRule type="containsText" dxfId="3383" priority="3638" operator="containsText" text="Missing">
      <formula>NOT(ISERROR(SEARCH("Missing",J2485)))</formula>
    </cfRule>
  </conditionalFormatting>
  <conditionalFormatting sqref="K2485">
    <cfRule type="containsText" dxfId="3382" priority="3637" operator="containsText" text="Missing">
      <formula>NOT(ISERROR(SEARCH("Missing",K2485)))</formula>
    </cfRule>
  </conditionalFormatting>
  <conditionalFormatting sqref="K2485">
    <cfRule type="containsText" dxfId="3381" priority="3636" operator="containsText" text="Missing">
      <formula>NOT(ISERROR(SEARCH("Missing",K2485)))</formula>
    </cfRule>
  </conditionalFormatting>
  <conditionalFormatting sqref="H2473 H2476 H2471">
    <cfRule type="containsText" dxfId="3380" priority="3685" operator="containsText" text="Missing">
      <formula>NOT(ISERROR(SEARCH("Missing",H2471)))</formula>
    </cfRule>
  </conditionalFormatting>
  <conditionalFormatting sqref="I2473">
    <cfRule type="containsText" dxfId="3379" priority="3627" operator="containsText" text="Missing">
      <formula>NOT(ISERROR(SEARCH("Missing",I2473)))</formula>
    </cfRule>
  </conditionalFormatting>
  <conditionalFormatting sqref="L2482">
    <cfRule type="containsText" dxfId="3378" priority="3587" operator="containsText" text="Positive">
      <formula>NOT(ISERROR(SEARCH("Positive",L2482)))</formula>
    </cfRule>
    <cfRule type="containsText" dxfId="3377" priority="3588" operator="containsText" text="Negative">
      <formula>NOT(ISERROR(SEARCH("Negative",L2482)))</formula>
    </cfRule>
  </conditionalFormatting>
  <conditionalFormatting sqref="L2471">
    <cfRule type="containsText" dxfId="3376" priority="3714" operator="containsText" text="Positive">
      <formula>NOT(ISERROR(SEARCH("Positive",L2471)))</formula>
    </cfRule>
    <cfRule type="containsText" dxfId="3375" priority="3715" operator="containsText" text="Negative">
      <formula>NOT(ISERROR(SEARCH("Negative",L2471)))</formula>
    </cfRule>
  </conditionalFormatting>
  <conditionalFormatting sqref="I2475">
    <cfRule type="containsText" dxfId="3374" priority="3626" operator="containsText" text="Missing">
      <formula>NOT(ISERROR(SEARCH("Missing",I2475)))</formula>
    </cfRule>
  </conditionalFormatting>
  <conditionalFormatting sqref="K2471">
    <cfRule type="containsText" dxfId="3373" priority="3709" operator="containsText" text="Missing">
      <formula>NOT(ISERROR(SEARCH("Missing",K2471)))</formula>
    </cfRule>
  </conditionalFormatting>
  <conditionalFormatting sqref="L2473">
    <cfRule type="containsText" dxfId="3372" priority="3703" operator="containsText" text="Positive">
      <formula>NOT(ISERROR(SEARCH("Positive",L2473)))</formula>
    </cfRule>
    <cfRule type="containsText" dxfId="3371" priority="3704" operator="containsText" text="Negative">
      <formula>NOT(ISERROR(SEARCH("Negative",L2473)))</formula>
    </cfRule>
  </conditionalFormatting>
  <conditionalFormatting sqref="L2476">
    <cfRule type="containsText" dxfId="3370" priority="3696" operator="containsText" text="Positive">
      <formula>NOT(ISERROR(SEARCH("Positive",L2476)))</formula>
    </cfRule>
    <cfRule type="containsText" dxfId="3369" priority="3697" operator="containsText" text="Negative">
      <formula>NOT(ISERROR(SEARCH("Negative",L2476)))</formula>
    </cfRule>
  </conditionalFormatting>
  <conditionalFormatting sqref="L2476">
    <cfRule type="containsText" dxfId="3368" priority="3692" operator="containsText" text="Positive">
      <formula>NOT(ISERROR(SEARCH("Positive",L2476)))</formula>
    </cfRule>
    <cfRule type="containsText" dxfId="3367" priority="3693" operator="containsText" text="Negative">
      <formula>NOT(ISERROR(SEARCH("Negative",L2476)))</formula>
    </cfRule>
  </conditionalFormatting>
  <conditionalFormatting sqref="L2476">
    <cfRule type="containsText" dxfId="3366" priority="3694" operator="containsText" text="Positive">
      <formula>NOT(ISERROR(SEARCH("Positive",L2476)))</formula>
    </cfRule>
    <cfRule type="containsText" dxfId="3365" priority="3695" operator="containsText" text="Negative">
      <formula>NOT(ISERROR(SEARCH("Negative",L2476)))</formula>
    </cfRule>
  </conditionalFormatting>
  <conditionalFormatting sqref="K2476">
    <cfRule type="containsText" dxfId="3364" priority="3689" operator="containsText" text="Missing">
      <formula>NOT(ISERROR(SEARCH("Missing",K2476)))</formula>
    </cfRule>
  </conditionalFormatting>
  <conditionalFormatting sqref="K2476">
    <cfRule type="containsText" dxfId="3363" priority="3688" operator="containsText" text="Missing">
      <formula>NOT(ISERROR(SEARCH("Missing",K2476)))</formula>
    </cfRule>
  </conditionalFormatting>
  <conditionalFormatting sqref="K2476">
    <cfRule type="containsText" dxfId="3362" priority="3687" operator="containsText" text="Missing">
      <formula>NOT(ISERROR(SEARCH("Missing",K2476)))</formula>
    </cfRule>
  </conditionalFormatting>
  <conditionalFormatting sqref="L2479">
    <cfRule type="containsText" dxfId="3361" priority="3596" operator="containsText" text="Positive">
      <formula>NOT(ISERROR(SEARCH("Positive",L2479)))</formula>
    </cfRule>
    <cfRule type="containsText" dxfId="3360" priority="3597" operator="containsText" text="Negative">
      <formula>NOT(ISERROR(SEARCH("Negative",L2479)))</formula>
    </cfRule>
  </conditionalFormatting>
  <conditionalFormatting sqref="K2479">
    <cfRule type="containsText" dxfId="3359" priority="3591" operator="containsText" text="Missing">
      <formula>NOT(ISERROR(SEARCH("Missing",K2479)))</formula>
    </cfRule>
  </conditionalFormatting>
  <conditionalFormatting sqref="K2472">
    <cfRule type="containsText" dxfId="3358" priority="3676" operator="containsText" text="Missing">
      <formula>NOT(ISERROR(SEARCH("Missing",K2472)))</formula>
    </cfRule>
  </conditionalFormatting>
  <conditionalFormatting sqref="K2472">
    <cfRule type="containsText" dxfId="3357" priority="3675" operator="containsText" text="Missing">
      <formula>NOT(ISERROR(SEARCH("Missing",K2472)))</formula>
    </cfRule>
  </conditionalFormatting>
  <conditionalFormatting sqref="H2473 H2476 H2471">
    <cfRule type="containsText" dxfId="3356" priority="3686" operator="containsText" text="Missing">
      <formula>NOT(ISERROR(SEARCH("Missing",H2471)))</formula>
    </cfRule>
  </conditionalFormatting>
  <conditionalFormatting sqref="K2485">
    <cfRule type="containsText" dxfId="3355" priority="3635" operator="containsText" text="Missing">
      <formula>NOT(ISERROR(SEARCH("Missing",K2485)))</formula>
    </cfRule>
  </conditionalFormatting>
  <conditionalFormatting sqref="J2474">
    <cfRule type="containsText" dxfId="3354" priority="3665" operator="containsText" text="Missing">
      <formula>NOT(ISERROR(SEARCH("Missing",J2474)))</formula>
    </cfRule>
  </conditionalFormatting>
  <conditionalFormatting sqref="J2472">
    <cfRule type="containsText" dxfId="3353" priority="3677" operator="containsText" text="Missing">
      <formula>NOT(ISERROR(SEARCH("Missing",J2472)))</formula>
    </cfRule>
  </conditionalFormatting>
  <conditionalFormatting sqref="K2474">
    <cfRule type="containsText" dxfId="3352" priority="3662" operator="containsText" text="Missing">
      <formula>NOT(ISERROR(SEARCH("Missing",K2474)))</formula>
    </cfRule>
  </conditionalFormatting>
  <conditionalFormatting sqref="L2472">
    <cfRule type="containsText" dxfId="3351" priority="3683" operator="containsText" text="Positive">
      <formula>NOT(ISERROR(SEARCH("Positive",L2472)))</formula>
    </cfRule>
    <cfRule type="containsText" dxfId="3350" priority="3684" operator="containsText" text="Negative">
      <formula>NOT(ISERROR(SEARCH("Negative",L2472)))</formula>
    </cfRule>
  </conditionalFormatting>
  <conditionalFormatting sqref="L2472">
    <cfRule type="containsText" dxfId="3349" priority="3681" operator="containsText" text="Positive">
      <formula>NOT(ISERROR(SEARCH("Positive",L2472)))</formula>
    </cfRule>
    <cfRule type="containsText" dxfId="3348" priority="3682" operator="containsText" text="Negative">
      <formula>NOT(ISERROR(SEARCH("Negative",L2472)))</formula>
    </cfRule>
  </conditionalFormatting>
  <conditionalFormatting sqref="K2474">
    <cfRule type="containsText" dxfId="3347" priority="3663" operator="containsText" text="Missing">
      <formula>NOT(ISERROR(SEARCH("Missing",K2474)))</formula>
    </cfRule>
  </conditionalFormatting>
  <conditionalFormatting sqref="L2472">
    <cfRule type="containsText" dxfId="3346" priority="3679" operator="containsText" text="Positive">
      <formula>NOT(ISERROR(SEARCH("Positive",L2472)))</formula>
    </cfRule>
    <cfRule type="containsText" dxfId="3345" priority="3680" operator="containsText" text="Negative">
      <formula>NOT(ISERROR(SEARCH("Negative",L2472)))</formula>
    </cfRule>
  </conditionalFormatting>
  <conditionalFormatting sqref="K2472">
    <cfRule type="containsText" dxfId="3344" priority="3674" operator="containsText" text="Missing">
      <formula>NOT(ISERROR(SEARCH("Missing",K2472)))</formula>
    </cfRule>
  </conditionalFormatting>
  <conditionalFormatting sqref="K2474">
    <cfRule type="containsText" dxfId="3343" priority="3661" operator="containsText" text="Missing">
      <formula>NOT(ISERROR(SEARCH("Missing",K2474)))</formula>
    </cfRule>
  </conditionalFormatting>
  <conditionalFormatting sqref="H2472">
    <cfRule type="containsText" dxfId="3342" priority="3673" operator="containsText" text="Missing">
      <formula>NOT(ISERROR(SEARCH("Missing",H2472)))</formula>
    </cfRule>
  </conditionalFormatting>
  <conditionalFormatting sqref="H2472">
    <cfRule type="containsText" dxfId="3341" priority="3672" operator="containsText" text="Missing">
      <formula>NOT(ISERROR(SEARCH("Missing",H2472)))</formula>
    </cfRule>
  </conditionalFormatting>
  <conditionalFormatting sqref="L2474">
    <cfRule type="containsText" dxfId="3340" priority="3670" operator="containsText" text="Positive">
      <formula>NOT(ISERROR(SEARCH("Positive",L2474)))</formula>
    </cfRule>
    <cfRule type="containsText" dxfId="3339" priority="3671" operator="containsText" text="Negative">
      <formula>NOT(ISERROR(SEARCH("Negative",L2474)))</formula>
    </cfRule>
  </conditionalFormatting>
  <conditionalFormatting sqref="L2474">
    <cfRule type="containsText" dxfId="3338" priority="3668" operator="containsText" text="Positive">
      <formula>NOT(ISERROR(SEARCH("Positive",L2474)))</formula>
    </cfRule>
    <cfRule type="containsText" dxfId="3337" priority="3669" operator="containsText" text="Negative">
      <formula>NOT(ISERROR(SEARCH("Negative",L2474)))</formula>
    </cfRule>
  </conditionalFormatting>
  <conditionalFormatting sqref="K2475">
    <cfRule type="containsText" dxfId="3336" priority="3649" operator="containsText" text="Missing">
      <formula>NOT(ISERROR(SEARCH("Missing",K2475)))</formula>
    </cfRule>
  </conditionalFormatting>
  <conditionalFormatting sqref="L2474">
    <cfRule type="containsText" dxfId="3335" priority="3666" operator="containsText" text="Positive">
      <formula>NOT(ISERROR(SEARCH("Positive",L2474)))</formula>
    </cfRule>
    <cfRule type="containsText" dxfId="3334" priority="3667" operator="containsText" text="Negative">
      <formula>NOT(ISERROR(SEARCH("Negative",L2474)))</formula>
    </cfRule>
  </conditionalFormatting>
  <conditionalFormatting sqref="H2474">
    <cfRule type="containsText" dxfId="3333" priority="3660" operator="containsText" text="Missing">
      <formula>NOT(ISERROR(SEARCH("Missing",H2474)))</formula>
    </cfRule>
  </conditionalFormatting>
  <conditionalFormatting sqref="J2477">
    <cfRule type="containsText" dxfId="3332" priority="3604" operator="containsText" text="Missing">
      <formula>NOT(ISERROR(SEARCH("Missing",J2477)))</formula>
    </cfRule>
  </conditionalFormatting>
  <conditionalFormatting sqref="H2485">
    <cfRule type="containsText" dxfId="3331" priority="3633" operator="containsText" text="Missing">
      <formula>NOT(ISERROR(SEARCH("Missing",H2485)))</formula>
    </cfRule>
  </conditionalFormatting>
  <conditionalFormatting sqref="H2475">
    <cfRule type="containsText" dxfId="3330" priority="3647" operator="containsText" text="Missing">
      <formula>NOT(ISERROR(SEARCH("Missing",H2475)))</formula>
    </cfRule>
  </conditionalFormatting>
  <conditionalFormatting sqref="L2475">
    <cfRule type="containsText" dxfId="3329" priority="3653" operator="containsText" text="Positive">
      <formula>NOT(ISERROR(SEARCH("Positive",L2475)))</formula>
    </cfRule>
    <cfRule type="containsText" dxfId="3328" priority="3654" operator="containsText" text="Negative">
      <formula>NOT(ISERROR(SEARCH("Negative",L2475)))</formula>
    </cfRule>
  </conditionalFormatting>
  <conditionalFormatting sqref="L2475">
    <cfRule type="containsText" dxfId="3327" priority="3655" operator="containsText" text="Positive">
      <formula>NOT(ISERROR(SEARCH("Positive",L2475)))</formula>
    </cfRule>
    <cfRule type="containsText" dxfId="3326" priority="3656" operator="containsText" text="Negative">
      <formula>NOT(ISERROR(SEARCH("Negative",L2475)))</formula>
    </cfRule>
  </conditionalFormatting>
  <conditionalFormatting sqref="J2477">
    <cfRule type="containsText" dxfId="3325" priority="3603" operator="containsText" text="Missing">
      <formula>NOT(ISERROR(SEARCH("Missing",J2477)))</formula>
    </cfRule>
  </conditionalFormatting>
  <conditionalFormatting sqref="K2475">
    <cfRule type="containsText" dxfId="3324" priority="3648" operator="containsText" text="Missing">
      <formula>NOT(ISERROR(SEARCH("Missing",K2475)))</formula>
    </cfRule>
  </conditionalFormatting>
  <conditionalFormatting sqref="K2483">
    <cfRule type="containsText" dxfId="3323" priority="3509" operator="containsText" text="Missing">
      <formula>NOT(ISERROR(SEARCH("Missing",K2483)))</formula>
    </cfRule>
  </conditionalFormatting>
  <conditionalFormatting sqref="H2475">
    <cfRule type="containsText" dxfId="3322" priority="3646" operator="containsText" text="Missing">
      <formula>NOT(ISERROR(SEARCH("Missing",H2475)))</formula>
    </cfRule>
  </conditionalFormatting>
  <conditionalFormatting sqref="K2479">
    <cfRule type="containsText" dxfId="3321" priority="3590" operator="containsText" text="Missing">
      <formula>NOT(ISERROR(SEARCH("Missing",K2479)))</formula>
    </cfRule>
  </conditionalFormatting>
  <conditionalFormatting sqref="I2485">
    <cfRule type="containsText" dxfId="3320" priority="3634" operator="containsText" text="Missing">
      <formula>NOT(ISERROR(SEARCH("Missing",I2485)))</formula>
    </cfRule>
  </conditionalFormatting>
  <conditionalFormatting sqref="L2485">
    <cfRule type="containsText" dxfId="3319" priority="3640" operator="containsText" text="Positive">
      <formula>NOT(ISERROR(SEARCH("Positive",L2485)))</formula>
    </cfRule>
    <cfRule type="containsText" dxfId="3318" priority="3641" operator="containsText" text="Negative">
      <formula>NOT(ISERROR(SEARCH("Negative",L2485)))</formula>
    </cfRule>
  </conditionalFormatting>
  <conditionalFormatting sqref="L2485">
    <cfRule type="containsText" dxfId="3317" priority="3642" operator="containsText" text="Positive">
      <formula>NOT(ISERROR(SEARCH("Positive",L2485)))</formula>
    </cfRule>
    <cfRule type="containsText" dxfId="3316" priority="3643" operator="containsText" text="Negative">
      <formula>NOT(ISERROR(SEARCH("Negative",L2485)))</formula>
    </cfRule>
  </conditionalFormatting>
  <conditionalFormatting sqref="J2482">
    <cfRule type="containsText" dxfId="3315" priority="3582" operator="containsText" text="Missing">
      <formula>NOT(ISERROR(SEARCH("Missing",J2482)))</formula>
    </cfRule>
  </conditionalFormatting>
  <conditionalFormatting sqref="J2482">
    <cfRule type="containsText" dxfId="3314" priority="3581" operator="containsText" text="Missing">
      <formula>NOT(ISERROR(SEARCH("Missing",J2482)))</formula>
    </cfRule>
  </conditionalFormatting>
  <conditionalFormatting sqref="H2477 H2479 H2482">
    <cfRule type="containsText" dxfId="3313" priority="3577" operator="containsText" text="Missing">
      <formula>NOT(ISERROR(SEARCH("Missing",H2477)))</formula>
    </cfRule>
  </conditionalFormatting>
  <conditionalFormatting sqref="K2482">
    <cfRule type="containsText" dxfId="3312" priority="3580" operator="containsText" text="Missing">
      <formula>NOT(ISERROR(SEARCH("Missing",K2482)))</formula>
    </cfRule>
  </conditionalFormatting>
  <conditionalFormatting sqref="I2450">
    <cfRule type="containsText" dxfId="3311" priority="3488" operator="containsText" text="Missing">
      <formula>NOT(ISERROR(SEARCH("Missing",I2450)))</formula>
    </cfRule>
  </conditionalFormatting>
  <conditionalFormatting sqref="I2450">
    <cfRule type="containsText" dxfId="3310" priority="3489" operator="containsText" text="Missing">
      <formula>NOT(ISERROR(SEARCH("Missing",I2450)))</formula>
    </cfRule>
  </conditionalFormatting>
  <conditionalFormatting sqref="L2487">
    <cfRule type="containsText" dxfId="3309" priority="3620" operator="containsText" text="Positive">
      <formula>NOT(ISERROR(SEARCH("Positive",L2487)))</formula>
    </cfRule>
    <cfRule type="containsText" dxfId="3308" priority="3621" operator="containsText" text="Negative">
      <formula>NOT(ISERROR(SEARCH("Negative",L2487)))</formula>
    </cfRule>
  </conditionalFormatting>
  <conditionalFormatting sqref="J2451">
    <cfRule type="containsText" dxfId="3307" priority="3487" operator="containsText" text="Missing">
      <formula>NOT(ISERROR(SEARCH("Missing",J2451)))</formula>
    </cfRule>
  </conditionalFormatting>
  <conditionalFormatting sqref="H2483">
    <cfRule type="containsText" dxfId="3306" priority="3506" operator="containsText" text="Missing">
      <formula>NOT(ISERROR(SEARCH("Missing",H2483)))</formula>
    </cfRule>
  </conditionalFormatting>
  <conditionalFormatting sqref="K2483">
    <cfRule type="containsText" dxfId="3305" priority="3507" operator="containsText" text="Missing">
      <formula>NOT(ISERROR(SEARCH("Missing",K2483)))</formula>
    </cfRule>
  </conditionalFormatting>
  <conditionalFormatting sqref="I2481">
    <cfRule type="containsText" dxfId="3304" priority="3531" operator="containsText" text="Missing">
      <formula>NOT(ISERROR(SEARCH("Missing",I2481)))</formula>
    </cfRule>
  </conditionalFormatting>
  <conditionalFormatting sqref="I2479">
    <cfRule type="containsText" dxfId="3303" priority="3532" operator="containsText" text="Missing">
      <formula>NOT(ISERROR(SEARCH("Missing",I2479)))</formula>
    </cfRule>
  </conditionalFormatting>
  <conditionalFormatting sqref="K2483">
    <cfRule type="containsText" dxfId="3302" priority="3508" operator="containsText" text="Missing">
      <formula>NOT(ISERROR(SEARCH("Missing",K2483)))</formula>
    </cfRule>
  </conditionalFormatting>
  <conditionalFormatting sqref="L2480">
    <cfRule type="containsText" dxfId="3301" priority="3561" operator="containsText" text="Positive">
      <formula>NOT(ISERROR(SEARCH("Positive",L2480)))</formula>
    </cfRule>
    <cfRule type="containsText" dxfId="3300" priority="3562" operator="containsText" text="Negative">
      <formula>NOT(ISERROR(SEARCH("Negative",L2480)))</formula>
    </cfRule>
  </conditionalFormatting>
  <conditionalFormatting sqref="L2480">
    <cfRule type="containsText" dxfId="3299" priority="3557" operator="containsText" text="Positive">
      <formula>NOT(ISERROR(SEARCH("Positive",L2480)))</formula>
    </cfRule>
    <cfRule type="containsText" dxfId="3298" priority="3558" operator="containsText" text="Negative">
      <formula>NOT(ISERROR(SEARCH("Negative",L2480)))</formula>
    </cfRule>
  </conditionalFormatting>
  <conditionalFormatting sqref="L2480">
    <cfRule type="containsText" dxfId="3297" priority="3559" operator="containsText" text="Positive">
      <formula>NOT(ISERROR(SEARCH("Positive",L2480)))</formula>
    </cfRule>
    <cfRule type="containsText" dxfId="3296" priority="3560" operator="containsText" text="Negative">
      <formula>NOT(ISERROR(SEARCH("Negative",L2480)))</formula>
    </cfRule>
  </conditionalFormatting>
  <conditionalFormatting sqref="J2483">
    <cfRule type="containsText" dxfId="3295" priority="3511" operator="containsText" text="Missing">
      <formula>NOT(ISERROR(SEARCH("Missing",J2483)))</formula>
    </cfRule>
  </conditionalFormatting>
  <conditionalFormatting sqref="J2483">
    <cfRule type="containsText" dxfId="3294" priority="3510" operator="containsText" text="Missing">
      <formula>NOT(ISERROR(SEARCH("Missing",J2483)))</formula>
    </cfRule>
  </conditionalFormatting>
  <conditionalFormatting sqref="H2450">
    <cfRule type="containsText" dxfId="3293" priority="3490" operator="containsText" text="Missing">
      <formula>NOT(ISERROR(SEARCH("Missing",H2450)))</formula>
    </cfRule>
  </conditionalFormatting>
  <conditionalFormatting sqref="L2478">
    <cfRule type="containsText" dxfId="3292" priority="3572" operator="containsText" text="Positive">
      <formula>NOT(ISERROR(SEARCH("Positive",L2478)))</formula>
    </cfRule>
    <cfRule type="containsText" dxfId="3291" priority="3573" operator="containsText" text="Negative">
      <formula>NOT(ISERROR(SEARCH("Negative",L2478)))</formula>
    </cfRule>
  </conditionalFormatting>
  <conditionalFormatting sqref="L2478">
    <cfRule type="containsText" dxfId="3290" priority="3570" operator="containsText" text="Positive">
      <formula>NOT(ISERROR(SEARCH("Positive",L2478)))</formula>
    </cfRule>
    <cfRule type="containsText" dxfId="3289" priority="3571" operator="containsText" text="Negative">
      <formula>NOT(ISERROR(SEARCH("Negative",L2478)))</formula>
    </cfRule>
  </conditionalFormatting>
  <conditionalFormatting sqref="K2478">
    <cfRule type="containsText" dxfId="3288" priority="3566" operator="containsText" text="Missing">
      <formula>NOT(ISERROR(SEARCH("Missing",K2478)))</formula>
    </cfRule>
  </conditionalFormatting>
  <conditionalFormatting sqref="K2452">
    <cfRule type="containsText" dxfId="3287" priority="3463" operator="containsText" text="Missing">
      <formula>NOT(ISERROR(SEARCH("Missing",K2452)))</formula>
    </cfRule>
  </conditionalFormatting>
  <conditionalFormatting sqref="K2482">
    <cfRule type="containsText" dxfId="3286" priority="3578" operator="containsText" text="Missing">
      <formula>NOT(ISERROR(SEARCH("Missing",K2482)))</formula>
    </cfRule>
  </conditionalFormatting>
  <conditionalFormatting sqref="K2478">
    <cfRule type="containsText" dxfId="3285" priority="3567" operator="containsText" text="Missing">
      <formula>NOT(ISERROR(SEARCH("Missing",K2478)))</formula>
    </cfRule>
  </conditionalFormatting>
  <conditionalFormatting sqref="K2484">
    <cfRule type="containsText" dxfId="3284" priority="3522" operator="containsText" text="Missing">
      <formula>NOT(ISERROR(SEARCH("Missing",K2484)))</formula>
    </cfRule>
  </conditionalFormatting>
  <conditionalFormatting sqref="K2478">
    <cfRule type="containsText" dxfId="3283" priority="3565" operator="containsText" text="Missing">
      <formula>NOT(ISERROR(SEARCH("Missing",K2478)))</formula>
    </cfRule>
  </conditionalFormatting>
  <conditionalFormatting sqref="J2453">
    <cfRule type="containsText" dxfId="3282" priority="3452" operator="containsText" text="Missing">
      <formula>NOT(ISERROR(SEARCH("Missing",J2453)))</formula>
    </cfRule>
  </conditionalFormatting>
  <conditionalFormatting sqref="K2482">
    <cfRule type="containsText" dxfId="3281" priority="3579" operator="containsText" text="Missing">
      <formula>NOT(ISERROR(SEARCH("Missing",K2482)))</formula>
    </cfRule>
  </conditionalFormatting>
  <conditionalFormatting sqref="J2478">
    <cfRule type="containsText" dxfId="3280" priority="3568" operator="containsText" text="Missing">
      <formula>NOT(ISERROR(SEARCH("Missing",J2478)))</formula>
    </cfRule>
  </conditionalFormatting>
  <conditionalFormatting sqref="J2478">
    <cfRule type="containsText" dxfId="3279" priority="3569" operator="containsText" text="Missing">
      <formula>NOT(ISERROR(SEARCH("Missing",J2478)))</formula>
    </cfRule>
  </conditionalFormatting>
  <conditionalFormatting sqref="H2451">
    <cfRule type="containsText" dxfId="3278" priority="3476" operator="containsText" text="Missing">
      <formula>NOT(ISERROR(SEARCH("Missing",H2451)))</formula>
    </cfRule>
  </conditionalFormatting>
  <conditionalFormatting sqref="J2451">
    <cfRule type="containsText" dxfId="3277" priority="3482" operator="containsText" text="Missing">
      <formula>NOT(ISERROR(SEARCH("Missing",J2451)))</formula>
    </cfRule>
  </conditionalFormatting>
  <conditionalFormatting sqref="H2478">
    <cfRule type="containsText" dxfId="3276" priority="3564" operator="containsText" text="Missing">
      <formula>NOT(ISERROR(SEARCH("Missing",H2478)))</formula>
    </cfRule>
  </conditionalFormatting>
  <conditionalFormatting sqref="J2479">
    <cfRule type="containsText" dxfId="3275" priority="3592" operator="containsText" text="Missing">
      <formula>NOT(ISERROR(SEARCH("Missing",J2479)))</formula>
    </cfRule>
  </conditionalFormatting>
  <conditionalFormatting sqref="J2479">
    <cfRule type="containsText" dxfId="3274" priority="3593" operator="containsText" text="Missing">
      <formula>NOT(ISERROR(SEARCH("Missing",J2479)))</formula>
    </cfRule>
  </conditionalFormatting>
  <conditionalFormatting sqref="L2483">
    <cfRule type="containsText" dxfId="3273" priority="3512" operator="containsText" text="Positive">
      <formula>NOT(ISERROR(SEARCH("Positive",L2483)))</formula>
    </cfRule>
    <cfRule type="containsText" dxfId="3272" priority="3513" operator="containsText" text="Negative">
      <formula>NOT(ISERROR(SEARCH("Negative",L2483)))</formula>
    </cfRule>
  </conditionalFormatting>
  <conditionalFormatting sqref="L2483">
    <cfRule type="containsText" dxfId="3271" priority="3516" operator="containsText" text="Positive">
      <formula>NOT(ISERROR(SEARCH("Positive",L2483)))</formula>
    </cfRule>
    <cfRule type="containsText" dxfId="3270" priority="3517" operator="containsText" text="Negative">
      <formula>NOT(ISERROR(SEARCH("Negative",L2483)))</formula>
    </cfRule>
  </conditionalFormatting>
  <conditionalFormatting sqref="K2453">
    <cfRule type="containsText" dxfId="3269" priority="3449" operator="containsText" text="Missing">
      <formula>NOT(ISERROR(SEARCH("Missing",K2453)))</formula>
    </cfRule>
  </conditionalFormatting>
  <conditionalFormatting sqref="K2453">
    <cfRule type="containsText" dxfId="3268" priority="3448" operator="containsText" text="Missing">
      <formula>NOT(ISERROR(SEARCH("Missing",K2453)))</formula>
    </cfRule>
  </conditionalFormatting>
  <conditionalFormatting sqref="J2484">
    <cfRule type="containsText" dxfId="3267" priority="3523" operator="containsText" text="Missing">
      <formula>NOT(ISERROR(SEARCH("Missing",J2484)))</formula>
    </cfRule>
  </conditionalFormatting>
  <conditionalFormatting sqref="I2451">
    <cfRule type="containsText" dxfId="3266" priority="3474" operator="containsText" text="Missing">
      <formula>NOT(ISERROR(SEARCH("Missing",I2451)))</formula>
    </cfRule>
  </conditionalFormatting>
  <conditionalFormatting sqref="K2484">
    <cfRule type="containsText" dxfId="3265" priority="3521" operator="containsText" text="Missing">
      <formula>NOT(ISERROR(SEARCH("Missing",K2484)))</formula>
    </cfRule>
  </conditionalFormatting>
  <conditionalFormatting sqref="H2450">
    <cfRule type="containsText" dxfId="3264" priority="3491" operator="containsText" text="Missing">
      <formula>NOT(ISERROR(SEARCH("Missing",H2450)))</formula>
    </cfRule>
  </conditionalFormatting>
  <conditionalFormatting sqref="K2452">
    <cfRule type="containsText" dxfId="3263" priority="3462" operator="containsText" text="Missing">
      <formula>NOT(ISERROR(SEARCH("Missing",K2452)))</formula>
    </cfRule>
  </conditionalFormatting>
  <conditionalFormatting sqref="H2452">
    <cfRule type="containsText" dxfId="3262" priority="3460" operator="containsText" text="Missing">
      <formula>NOT(ISERROR(SEARCH("Missing",H2452)))</formula>
    </cfRule>
  </conditionalFormatting>
  <conditionalFormatting sqref="I2482">
    <cfRule type="containsText" dxfId="3261" priority="3534" operator="containsText" text="Missing">
      <formula>NOT(ISERROR(SEARCH("Missing",I2482)))</formula>
    </cfRule>
  </conditionalFormatting>
  <conditionalFormatting sqref="I2477">
    <cfRule type="containsText" dxfId="3260" priority="3533" operator="containsText" text="Missing">
      <formula>NOT(ISERROR(SEARCH("Missing",I2477)))</formula>
    </cfRule>
  </conditionalFormatting>
  <conditionalFormatting sqref="L2452">
    <cfRule type="containsText" dxfId="3259" priority="3468" operator="containsText" text="Positive">
      <formula>NOT(ISERROR(SEARCH("Positive",L2452)))</formula>
    </cfRule>
    <cfRule type="containsText" dxfId="3258" priority="3469" operator="containsText" text="Negative">
      <formula>NOT(ISERROR(SEARCH("Negative",L2452)))</formula>
    </cfRule>
  </conditionalFormatting>
  <conditionalFormatting sqref="L2484">
    <cfRule type="containsText" dxfId="3257" priority="3529" operator="containsText" text="Positive">
      <formula>NOT(ISERROR(SEARCH("Positive",L2484)))</formula>
    </cfRule>
    <cfRule type="containsText" dxfId="3256" priority="3530" operator="containsText" text="Negative">
      <formula>NOT(ISERROR(SEARCH("Negative",L2484)))</formula>
    </cfRule>
  </conditionalFormatting>
  <conditionalFormatting sqref="L2484">
    <cfRule type="containsText" dxfId="3255" priority="3527" operator="containsText" text="Positive">
      <formula>NOT(ISERROR(SEARCH("Positive",L2484)))</formula>
    </cfRule>
    <cfRule type="containsText" dxfId="3254" priority="3528" operator="containsText" text="Negative">
      <formula>NOT(ISERROR(SEARCH("Negative",L2484)))</formula>
    </cfRule>
  </conditionalFormatting>
  <conditionalFormatting sqref="I2451">
    <cfRule type="containsText" dxfId="3253" priority="3473" operator="containsText" text="Missing">
      <formula>NOT(ISERROR(SEARCH("Missing",I2451)))</formula>
    </cfRule>
  </conditionalFormatting>
  <conditionalFormatting sqref="K2484">
    <cfRule type="containsText" dxfId="3252" priority="3520" operator="containsText" text="Missing">
      <formula>NOT(ISERROR(SEARCH("Missing",K2484)))</formula>
    </cfRule>
  </conditionalFormatting>
  <conditionalFormatting sqref="J2452">
    <cfRule type="containsText" dxfId="3251" priority="3472" operator="containsText" text="Missing">
      <formula>NOT(ISERROR(SEARCH("Missing",J2452)))</formula>
    </cfRule>
  </conditionalFormatting>
  <conditionalFormatting sqref="L2477">
    <cfRule type="containsText" dxfId="3250" priority="3609" operator="containsText" text="Positive">
      <formula>NOT(ISERROR(SEARCH("Positive",L2477)))</formula>
    </cfRule>
    <cfRule type="containsText" dxfId="3249" priority="3610" operator="containsText" text="Negative">
      <formula>NOT(ISERROR(SEARCH("Negative",L2477)))</formula>
    </cfRule>
  </conditionalFormatting>
  <conditionalFormatting sqref="H2451">
    <cfRule type="containsText" dxfId="3248" priority="3475" operator="containsText" text="Missing">
      <formula>NOT(ISERROR(SEARCH("Missing",H2451)))</formula>
    </cfRule>
  </conditionalFormatting>
  <conditionalFormatting sqref="H2484">
    <cfRule type="containsText" dxfId="3247" priority="3519" operator="containsText" text="Missing">
      <formula>NOT(ISERROR(SEARCH("Missing",H2484)))</formula>
    </cfRule>
  </conditionalFormatting>
  <conditionalFormatting sqref="H2484">
    <cfRule type="containsText" dxfId="3246" priority="3518" operator="containsText" text="Missing">
      <formula>NOT(ISERROR(SEARCH("Missing",H2484)))</formula>
    </cfRule>
  </conditionalFormatting>
  <conditionalFormatting sqref="J2484">
    <cfRule type="containsText" dxfId="3245" priority="3524" operator="containsText" text="Missing">
      <formula>NOT(ISERROR(SEARCH("Missing",J2484)))</formula>
    </cfRule>
  </conditionalFormatting>
  <conditionalFormatting sqref="J2450">
    <cfRule type="containsText" dxfId="3244" priority="3502" operator="containsText" text="Missing">
      <formula>NOT(ISERROR(SEARCH("Missing",J2450)))</formula>
    </cfRule>
  </conditionalFormatting>
  <conditionalFormatting sqref="L2479">
    <cfRule type="containsText" dxfId="3243" priority="3598" operator="containsText" text="Positive">
      <formula>NOT(ISERROR(SEARCH("Positive",L2479)))</formula>
    </cfRule>
    <cfRule type="containsText" dxfId="3242" priority="3599" operator="containsText" text="Negative">
      <formula>NOT(ISERROR(SEARCH("Negative",L2479)))</formula>
    </cfRule>
  </conditionalFormatting>
  <conditionalFormatting sqref="L2482">
    <cfRule type="containsText" dxfId="3241" priority="3585" operator="containsText" text="Positive">
      <formula>NOT(ISERROR(SEARCH("Positive",L2482)))</formula>
    </cfRule>
    <cfRule type="containsText" dxfId="3240" priority="3586" operator="containsText" text="Negative">
      <formula>NOT(ISERROR(SEARCH("Negative",L2482)))</formula>
    </cfRule>
  </conditionalFormatting>
  <conditionalFormatting sqref="L2482">
    <cfRule type="containsText" dxfId="3239" priority="3583" operator="containsText" text="Positive">
      <formula>NOT(ISERROR(SEARCH("Positive",L2482)))</formula>
    </cfRule>
    <cfRule type="containsText" dxfId="3238" priority="3584" operator="containsText" text="Negative">
      <formula>NOT(ISERROR(SEARCH("Negative",L2482)))</formula>
    </cfRule>
  </conditionalFormatting>
  <conditionalFormatting sqref="H2452">
    <cfRule type="containsText" dxfId="3237" priority="3461" operator="containsText" text="Missing">
      <formula>NOT(ISERROR(SEARCH("Missing",H2452)))</formula>
    </cfRule>
  </conditionalFormatting>
  <conditionalFormatting sqref="K2453">
    <cfRule type="containsText" dxfId="3236" priority="3447" operator="containsText" text="Missing">
      <formula>NOT(ISERROR(SEARCH("Missing",K2453)))</formula>
    </cfRule>
  </conditionalFormatting>
  <conditionalFormatting sqref="H2453">
    <cfRule type="containsText" dxfId="3235" priority="3446" operator="containsText" text="Missing">
      <formula>NOT(ISERROR(SEARCH("Missing",H2453)))</formula>
    </cfRule>
  </conditionalFormatting>
  <conditionalFormatting sqref="H2453">
    <cfRule type="containsText" dxfId="3234" priority="3445" operator="containsText" text="Missing">
      <formula>NOT(ISERROR(SEARCH("Missing",H2453)))</formula>
    </cfRule>
  </conditionalFormatting>
  <conditionalFormatting sqref="L2450">
    <cfRule type="containsText" dxfId="3233" priority="3495" operator="containsText" text="Positive">
      <formula>NOT(ISERROR(SEARCH("Positive",L2450)))</formula>
    </cfRule>
    <cfRule type="containsText" dxfId="3232" priority="3496" operator="containsText" text="Negative">
      <formula>NOT(ISERROR(SEARCH("Negative",L2450)))</formula>
    </cfRule>
  </conditionalFormatting>
  <conditionalFormatting sqref="L2451">
    <cfRule type="containsText" dxfId="3231" priority="3483" operator="containsText" text="Positive">
      <formula>NOT(ISERROR(SEARCH("Positive",L2451)))</formula>
    </cfRule>
    <cfRule type="containsText" dxfId="3230" priority="3484" operator="containsText" text="Negative">
      <formula>NOT(ISERROR(SEARCH("Negative",L2451)))</formula>
    </cfRule>
  </conditionalFormatting>
  <conditionalFormatting sqref="L2483">
    <cfRule type="containsText" dxfId="3229" priority="3514" operator="containsText" text="Positive">
      <formula>NOT(ISERROR(SEARCH("Positive",L2483)))</formula>
    </cfRule>
    <cfRule type="containsText" dxfId="3228" priority="3515" operator="containsText" text="Negative">
      <formula>NOT(ISERROR(SEARCH("Negative",L2483)))</formula>
    </cfRule>
  </conditionalFormatting>
  <conditionalFormatting sqref="K2451">
    <cfRule type="containsText" dxfId="3227" priority="3478" operator="containsText" text="Missing">
      <formula>NOT(ISERROR(SEARCH("Missing",K2451)))</formula>
    </cfRule>
  </conditionalFormatting>
  <conditionalFormatting sqref="K2451">
    <cfRule type="containsText" dxfId="3226" priority="3477" operator="containsText" text="Missing">
      <formula>NOT(ISERROR(SEARCH("Missing",K2451)))</formula>
    </cfRule>
  </conditionalFormatting>
  <conditionalFormatting sqref="I2452">
    <cfRule type="containsText" dxfId="3225" priority="3459" operator="containsText" text="Missing">
      <formula>NOT(ISERROR(SEARCH("Missing",I2452)))</formula>
    </cfRule>
  </conditionalFormatting>
  <conditionalFormatting sqref="L2452">
    <cfRule type="containsText" dxfId="3224" priority="3470" operator="containsText" text="Positive">
      <formula>NOT(ISERROR(SEARCH("Positive",L2452)))</formula>
    </cfRule>
    <cfRule type="containsText" dxfId="3223" priority="3471" operator="containsText" text="Negative">
      <formula>NOT(ISERROR(SEARCH("Negative",L2452)))</formula>
    </cfRule>
  </conditionalFormatting>
  <conditionalFormatting sqref="K2452">
    <cfRule type="containsText" dxfId="3222" priority="3464" operator="containsText" text="Missing">
      <formula>NOT(ISERROR(SEARCH("Missing",K2452)))</formula>
    </cfRule>
  </conditionalFormatting>
  <conditionalFormatting sqref="I2483">
    <cfRule type="containsText" dxfId="3221" priority="3503" operator="containsText" text="Missing">
      <formula>NOT(ISERROR(SEARCH("Missing",I2483)))</formula>
    </cfRule>
  </conditionalFormatting>
  <conditionalFormatting sqref="H2483">
    <cfRule type="containsText" dxfId="3220" priority="3505" operator="containsText" text="Missing">
      <formula>NOT(ISERROR(SEARCH("Missing",H2483)))</formula>
    </cfRule>
  </conditionalFormatting>
  <conditionalFormatting sqref="I2484">
    <cfRule type="containsText" dxfId="3219" priority="3504" operator="containsText" text="Missing">
      <formula>NOT(ISERROR(SEARCH("Missing",I2484)))</formula>
    </cfRule>
  </conditionalFormatting>
  <conditionalFormatting sqref="L2478">
    <cfRule type="containsText" dxfId="3218" priority="3574" operator="containsText" text="Positive">
      <formula>NOT(ISERROR(SEARCH("Positive",L2478)))</formula>
    </cfRule>
    <cfRule type="containsText" dxfId="3217" priority="3575" operator="containsText" text="Negative">
      <formula>NOT(ISERROR(SEARCH("Negative",L2478)))</formula>
    </cfRule>
  </conditionalFormatting>
  <conditionalFormatting sqref="L2484">
    <cfRule type="containsText" dxfId="3216" priority="3525" operator="containsText" text="Positive">
      <formula>NOT(ISERROR(SEARCH("Positive",L2484)))</formula>
    </cfRule>
    <cfRule type="containsText" dxfId="3215" priority="3526" operator="containsText" text="Negative">
      <formula>NOT(ISERROR(SEARCH("Negative",L2484)))</formula>
    </cfRule>
  </conditionalFormatting>
  <conditionalFormatting sqref="L2453">
    <cfRule type="containsText" dxfId="3214" priority="3455" operator="containsText" text="Positive">
      <formula>NOT(ISERROR(SEARCH("Positive",L2453)))</formula>
    </cfRule>
    <cfRule type="containsText" dxfId="3213" priority="3456" operator="containsText" text="Negative">
      <formula>NOT(ISERROR(SEARCH("Negative",L2453)))</formula>
    </cfRule>
  </conditionalFormatting>
  <conditionalFormatting sqref="L2453">
    <cfRule type="containsText" dxfId="3212" priority="3453" operator="containsText" text="Positive">
      <formula>NOT(ISERROR(SEARCH("Positive",L2453)))</formula>
    </cfRule>
    <cfRule type="containsText" dxfId="3211" priority="3454" operator="containsText" text="Negative">
      <formula>NOT(ISERROR(SEARCH("Negative",L2453)))</formula>
    </cfRule>
  </conditionalFormatting>
  <conditionalFormatting sqref="I2452">
    <cfRule type="containsText" dxfId="3210" priority="3458" operator="containsText" text="Missing">
      <formula>NOT(ISERROR(SEARCH("Missing",I2452)))</formula>
    </cfRule>
  </conditionalFormatting>
  <conditionalFormatting sqref="J2450">
    <cfRule type="containsText" dxfId="3209" priority="3497" operator="containsText" text="Missing">
      <formula>NOT(ISERROR(SEARCH("Missing",J2450)))</formula>
    </cfRule>
  </conditionalFormatting>
  <conditionalFormatting sqref="J2458">
    <cfRule type="containsText" dxfId="3208" priority="3424" operator="containsText" text="Missing">
      <formula>NOT(ISERROR(SEARCH("Missing",J2458)))</formula>
    </cfRule>
  </conditionalFormatting>
  <conditionalFormatting sqref="J2466">
    <cfRule type="containsText" dxfId="3207" priority="3360" operator="containsText" text="Missing">
      <formula>NOT(ISERROR(SEARCH("Missing",J2466)))</formula>
    </cfRule>
  </conditionalFormatting>
  <conditionalFormatting sqref="K2450">
    <cfRule type="containsText" dxfId="3206" priority="3492" operator="containsText" text="Missing">
      <formula>NOT(ISERROR(SEARCH("Missing",K2450)))</formula>
    </cfRule>
  </conditionalFormatting>
  <conditionalFormatting sqref="K2450">
    <cfRule type="containsText" dxfId="3205" priority="3493" operator="containsText" text="Missing">
      <formula>NOT(ISERROR(SEARCH("Missing",K2450)))</formula>
    </cfRule>
  </conditionalFormatting>
  <conditionalFormatting sqref="K2458">
    <cfRule type="containsText" dxfId="3204" priority="3420" operator="containsText" text="Missing">
      <formula>NOT(ISERROR(SEARCH("Missing",K2458)))</formula>
    </cfRule>
  </conditionalFormatting>
  <conditionalFormatting sqref="K2451">
    <cfRule type="containsText" dxfId="3203" priority="3479" operator="containsText" text="Missing">
      <formula>NOT(ISERROR(SEARCH("Missing",K2451)))</formula>
    </cfRule>
  </conditionalFormatting>
  <conditionalFormatting sqref="K2458">
    <cfRule type="containsText" dxfId="3202" priority="3421" operator="containsText" text="Missing">
      <formula>NOT(ISERROR(SEARCH("Missing",K2458)))</formula>
    </cfRule>
  </conditionalFormatting>
  <conditionalFormatting sqref="L2451">
    <cfRule type="containsText" dxfId="3201" priority="3480" operator="containsText" text="Positive">
      <formula>NOT(ISERROR(SEARCH("Positive",L2451)))</formula>
    </cfRule>
    <cfRule type="containsText" dxfId="3200" priority="3481" operator="containsText" text="Negative">
      <formula>NOT(ISERROR(SEARCH("Negative",L2451)))</formula>
    </cfRule>
  </conditionalFormatting>
  <conditionalFormatting sqref="L2451">
    <cfRule type="containsText" dxfId="3199" priority="3485" operator="containsText" text="Positive">
      <formula>NOT(ISERROR(SEARCH("Positive",L2451)))</formula>
    </cfRule>
    <cfRule type="containsText" dxfId="3198" priority="3486" operator="containsText" text="Negative">
      <formula>NOT(ISERROR(SEARCH("Negative",L2451)))</formula>
    </cfRule>
  </conditionalFormatting>
  <conditionalFormatting sqref="J2452">
    <cfRule type="containsText" dxfId="3197" priority="3467" operator="containsText" text="Missing">
      <formula>NOT(ISERROR(SEARCH("Missing",J2452)))</formula>
    </cfRule>
  </conditionalFormatting>
  <conditionalFormatting sqref="L2452">
    <cfRule type="containsText" dxfId="3196" priority="3465" operator="containsText" text="Positive">
      <formula>NOT(ISERROR(SEARCH("Positive",L2452)))</formula>
    </cfRule>
    <cfRule type="containsText" dxfId="3195" priority="3466" operator="containsText" text="Negative">
      <formula>NOT(ISERROR(SEARCH("Negative",L2452)))</formula>
    </cfRule>
  </conditionalFormatting>
  <conditionalFormatting sqref="L2453">
    <cfRule type="containsText" dxfId="3194" priority="3450" operator="containsText" text="Positive">
      <formula>NOT(ISERROR(SEARCH("Positive",L2453)))</formula>
    </cfRule>
    <cfRule type="containsText" dxfId="3193" priority="3451" operator="containsText" text="Negative">
      <formula>NOT(ISERROR(SEARCH("Negative",L2453)))</formula>
    </cfRule>
  </conditionalFormatting>
  <conditionalFormatting sqref="J2453">
    <cfRule type="containsText" dxfId="3192" priority="3457" operator="containsText" text="Missing">
      <formula>NOT(ISERROR(SEARCH("Missing",J2453)))</formula>
    </cfRule>
  </conditionalFormatting>
  <conditionalFormatting sqref="H2457">
    <cfRule type="containsText" dxfId="3191" priority="3432" operator="containsText" text="Missing">
      <formula>NOT(ISERROR(SEARCH("Missing",H2457)))</formula>
    </cfRule>
  </conditionalFormatting>
  <conditionalFormatting sqref="H2457">
    <cfRule type="containsText" dxfId="3190" priority="3433" operator="containsText" text="Missing">
      <formula>NOT(ISERROR(SEARCH("Missing",H2457)))</formula>
    </cfRule>
  </conditionalFormatting>
  <conditionalFormatting sqref="K2450">
    <cfRule type="containsText" dxfId="3189" priority="3494" operator="containsText" text="Missing">
      <formula>NOT(ISERROR(SEARCH("Missing",K2450)))</formula>
    </cfRule>
  </conditionalFormatting>
  <conditionalFormatting sqref="K2465">
    <cfRule type="containsText" dxfId="3188" priority="3367" operator="containsText" text="Missing">
      <formula>NOT(ISERROR(SEARCH("Missing",K2465)))</formula>
    </cfRule>
  </conditionalFormatting>
  <conditionalFormatting sqref="L2450">
    <cfRule type="containsText" dxfId="3187" priority="3500" operator="containsText" text="Positive">
      <formula>NOT(ISERROR(SEARCH("Positive",L2450)))</formula>
    </cfRule>
    <cfRule type="containsText" dxfId="3186" priority="3501" operator="containsText" text="Negative">
      <formula>NOT(ISERROR(SEARCH("Negative",L2450)))</formula>
    </cfRule>
  </conditionalFormatting>
  <conditionalFormatting sqref="L2450">
    <cfRule type="containsText" dxfId="3185" priority="3498" operator="containsText" text="Positive">
      <formula>NOT(ISERROR(SEARCH("Positive",L2450)))</formula>
    </cfRule>
    <cfRule type="containsText" dxfId="3184" priority="3499" operator="containsText" text="Negative">
      <formula>NOT(ISERROR(SEARCH("Negative",L2450)))</formula>
    </cfRule>
  </conditionalFormatting>
  <conditionalFormatting sqref="I2457">
    <cfRule type="containsText" dxfId="3183" priority="3431" operator="containsText" text="Missing">
      <formula>NOT(ISERROR(SEARCH("Missing",I2457)))</formula>
    </cfRule>
  </conditionalFormatting>
  <conditionalFormatting sqref="I2457">
    <cfRule type="containsText" dxfId="3182" priority="3430" operator="containsText" text="Missing">
      <formula>NOT(ISERROR(SEARCH("Missing",I2457)))</formula>
    </cfRule>
  </conditionalFormatting>
  <conditionalFormatting sqref="J2458">
    <cfRule type="containsText" dxfId="3181" priority="3429" operator="containsText" text="Missing">
      <formula>NOT(ISERROR(SEARCH("Missing",J2458)))</formula>
    </cfRule>
  </conditionalFormatting>
  <conditionalFormatting sqref="J2464">
    <cfRule type="containsText" dxfId="3180" priority="3385" operator="containsText" text="Missing">
      <formula>NOT(ISERROR(SEARCH("Missing",J2464)))</formula>
    </cfRule>
  </conditionalFormatting>
  <conditionalFormatting sqref="J2494">
    <cfRule type="containsText" dxfId="3179" priority="3236" operator="containsText" text="Missing">
      <formula>NOT(ISERROR(SEARCH("Missing",J2494)))</formula>
    </cfRule>
  </conditionalFormatting>
  <conditionalFormatting sqref="K2489">
    <cfRule type="containsText" dxfId="3178" priority="3298" operator="containsText" text="Missing">
      <formula>NOT(ISERROR(SEARCH("Missing",K2489)))</formula>
    </cfRule>
  </conditionalFormatting>
  <conditionalFormatting sqref="L2464">
    <cfRule type="containsText" dxfId="3177" priority="3386" operator="containsText" text="Positive">
      <formula>NOT(ISERROR(SEARCH("Positive",L2464)))</formula>
    </cfRule>
    <cfRule type="containsText" dxfId="3176" priority="3387" operator="containsText" text="Negative">
      <formula>NOT(ISERROR(SEARCH("Negative",L2464)))</formula>
    </cfRule>
  </conditionalFormatting>
  <conditionalFormatting sqref="L2459">
    <cfRule type="containsText" dxfId="3175" priority="3414" operator="containsText" text="Positive">
      <formula>NOT(ISERROR(SEARCH("Positive",L2459)))</formula>
    </cfRule>
    <cfRule type="containsText" dxfId="3174" priority="3415" operator="containsText" text="Negative">
      <formula>NOT(ISERROR(SEARCH("Negative",L2459)))</formula>
    </cfRule>
  </conditionalFormatting>
  <conditionalFormatting sqref="H2460">
    <cfRule type="containsText" dxfId="3173" priority="3391" operator="containsText" text="Missing">
      <formula>NOT(ISERROR(SEARCH("Missing",H2460)))</formula>
    </cfRule>
  </conditionalFormatting>
  <conditionalFormatting sqref="H2459">
    <cfRule type="containsText" dxfId="3172" priority="3404" operator="containsText" text="Missing">
      <formula>NOT(ISERROR(SEARCH("Missing",H2459)))</formula>
    </cfRule>
  </conditionalFormatting>
  <conditionalFormatting sqref="J2465">
    <cfRule type="containsText" dxfId="3171" priority="3370" operator="containsText" text="Missing">
      <formula>NOT(ISERROR(SEARCH("Missing",J2465)))</formula>
    </cfRule>
  </conditionalFormatting>
  <conditionalFormatting sqref="I2458">
    <cfRule type="containsText" dxfId="3170" priority="3330" operator="containsText" text="Missing">
      <formula>NOT(ISERROR(SEARCH("Missing",I2458)))</formula>
    </cfRule>
  </conditionalFormatting>
  <conditionalFormatting sqref="I2460">
    <cfRule type="containsText" dxfId="3169" priority="3326" operator="containsText" text="Missing">
      <formula>NOT(ISERROR(SEARCH("Missing",I2460)))</formula>
    </cfRule>
  </conditionalFormatting>
  <conditionalFormatting sqref="L2465">
    <cfRule type="containsText" dxfId="3168" priority="3371" operator="containsText" text="Positive">
      <formula>NOT(ISERROR(SEARCH("Positive",L2465)))</formula>
    </cfRule>
    <cfRule type="containsText" dxfId="3167" priority="3372" operator="containsText" text="Negative">
      <formula>NOT(ISERROR(SEARCH("Negative",L2465)))</formula>
    </cfRule>
  </conditionalFormatting>
  <conditionalFormatting sqref="L2490">
    <cfRule type="containsText" dxfId="3166" priority="3290" operator="containsText" text="Positive">
      <formula>NOT(ISERROR(SEARCH("Positive",L2490)))</formula>
    </cfRule>
    <cfRule type="containsText" dxfId="3165" priority="3291" operator="containsText" text="Negative">
      <formula>NOT(ISERROR(SEARCH("Negative",L2490)))</formula>
    </cfRule>
  </conditionalFormatting>
  <conditionalFormatting sqref="L2460">
    <cfRule type="containsText" dxfId="3164" priority="3401" operator="containsText" text="Positive">
      <formula>NOT(ISERROR(SEARCH("Positive",L2460)))</formula>
    </cfRule>
    <cfRule type="containsText" dxfId="3163" priority="3402" operator="containsText" text="Negative">
      <formula>NOT(ISERROR(SEARCH("Negative",L2460)))</formula>
    </cfRule>
  </conditionalFormatting>
  <conditionalFormatting sqref="H2464">
    <cfRule type="containsText" dxfId="3162" priority="3378" operator="containsText" text="Missing">
      <formula>NOT(ISERROR(SEARCH("Missing",H2464)))</formula>
    </cfRule>
  </conditionalFormatting>
  <conditionalFormatting sqref="K2460">
    <cfRule type="containsText" dxfId="3161" priority="3395" operator="containsText" text="Missing">
      <formula>NOT(ISERROR(SEARCH("Missing",K2460)))</formula>
    </cfRule>
  </conditionalFormatting>
  <conditionalFormatting sqref="K2460">
    <cfRule type="containsText" dxfId="3160" priority="3394" operator="containsText" text="Missing">
      <formula>NOT(ISERROR(SEARCH("Missing",K2460)))</formula>
    </cfRule>
  </conditionalFormatting>
  <conditionalFormatting sqref="K2460">
    <cfRule type="containsText" dxfId="3159" priority="3393" operator="containsText" text="Missing">
      <formula>NOT(ISERROR(SEARCH("Missing",K2460)))</formula>
    </cfRule>
  </conditionalFormatting>
  <conditionalFormatting sqref="H2466">
    <cfRule type="containsText" dxfId="3158" priority="3348" operator="containsText" text="Missing">
      <formula>NOT(ISERROR(SEARCH("Missing",H2466)))</formula>
    </cfRule>
  </conditionalFormatting>
  <conditionalFormatting sqref="H2460">
    <cfRule type="containsText" dxfId="3157" priority="3392" operator="containsText" text="Missing">
      <formula>NOT(ISERROR(SEARCH("Missing",H2460)))</formula>
    </cfRule>
  </conditionalFormatting>
  <conditionalFormatting sqref="J2466">
    <cfRule type="containsText" dxfId="3156" priority="3355" operator="containsText" text="Missing">
      <formula>NOT(ISERROR(SEARCH("Missing",J2466)))</formula>
    </cfRule>
  </conditionalFormatting>
  <conditionalFormatting sqref="I2491">
    <cfRule type="containsText" dxfId="3155" priority="3272" operator="containsText" text="Missing">
      <formula>NOT(ISERROR(SEARCH("Missing",I2491)))</formula>
    </cfRule>
  </conditionalFormatting>
  <conditionalFormatting sqref="J2488">
    <cfRule type="containsText" dxfId="3154" priority="3313" operator="containsText" text="Missing">
      <formula>NOT(ISERROR(SEARCH("Missing",J2488)))</formula>
    </cfRule>
  </conditionalFormatting>
  <conditionalFormatting sqref="L2466">
    <cfRule type="containsText" dxfId="3153" priority="3356" operator="containsText" text="Positive">
      <formula>NOT(ISERROR(SEARCH("Positive",L2466)))</formula>
    </cfRule>
    <cfRule type="containsText" dxfId="3152" priority="3357" operator="containsText" text="Negative">
      <formula>NOT(ISERROR(SEARCH("Negative",L2466)))</formula>
    </cfRule>
  </conditionalFormatting>
  <conditionalFormatting sqref="L2464">
    <cfRule type="containsText" dxfId="3151" priority="3388" operator="containsText" text="Positive">
      <formula>NOT(ISERROR(SEARCH("Positive",L2464)))</formula>
    </cfRule>
    <cfRule type="containsText" dxfId="3150" priority="3389" operator="containsText" text="Negative">
      <formula>NOT(ISERROR(SEARCH("Negative",L2464)))</formula>
    </cfRule>
  </conditionalFormatting>
  <conditionalFormatting sqref="H2465">
    <cfRule type="containsText" dxfId="3149" priority="3363" operator="containsText" text="Missing">
      <formula>NOT(ISERROR(SEARCH("Missing",H2465)))</formula>
    </cfRule>
  </conditionalFormatting>
  <conditionalFormatting sqref="K2464">
    <cfRule type="containsText" dxfId="3148" priority="3382" operator="containsText" text="Missing">
      <formula>NOT(ISERROR(SEARCH("Missing",K2464)))</formula>
    </cfRule>
  </conditionalFormatting>
  <conditionalFormatting sqref="J2457">
    <cfRule type="containsText" dxfId="3147" priority="3439" operator="containsText" text="Missing">
      <formula>NOT(ISERROR(SEARCH("Missing",J2457)))</formula>
    </cfRule>
  </conditionalFormatting>
  <conditionalFormatting sqref="K2464">
    <cfRule type="containsText" dxfId="3146" priority="3380" operator="containsText" text="Missing">
      <formula>NOT(ISERROR(SEARCH("Missing",K2464)))</formula>
    </cfRule>
  </conditionalFormatting>
  <conditionalFormatting sqref="K2457">
    <cfRule type="containsText" dxfId="3145" priority="3436" operator="containsText" text="Missing">
      <formula>NOT(ISERROR(SEARCH("Missing",K2457)))</formula>
    </cfRule>
  </conditionalFormatting>
  <conditionalFormatting sqref="H2464">
    <cfRule type="containsText" dxfId="3144" priority="3379" operator="containsText" text="Missing">
      <formula>NOT(ISERROR(SEARCH("Missing",H2464)))</formula>
    </cfRule>
  </conditionalFormatting>
  <conditionalFormatting sqref="H2467">
    <cfRule type="containsText" dxfId="3143" priority="3333" operator="containsText" text="Missing">
      <formula>NOT(ISERROR(SEARCH("Missing",H2467)))</formula>
    </cfRule>
  </conditionalFormatting>
  <conditionalFormatting sqref="K2464">
    <cfRule type="containsText" dxfId="3142" priority="3381" operator="containsText" text="Missing">
      <formula>NOT(ISERROR(SEARCH("Missing",K2464)))</formula>
    </cfRule>
  </conditionalFormatting>
  <conditionalFormatting sqref="K2457">
    <cfRule type="containsText" dxfId="3141" priority="3435" operator="containsText" text="Missing">
      <formula>NOT(ISERROR(SEARCH("Missing",K2457)))</formula>
    </cfRule>
  </conditionalFormatting>
  <conditionalFormatting sqref="L2457">
    <cfRule type="containsText" dxfId="3140" priority="3437" operator="containsText" text="Positive">
      <formula>NOT(ISERROR(SEARCH("Positive",L2457)))</formula>
    </cfRule>
    <cfRule type="containsText" dxfId="3139" priority="3438" operator="containsText" text="Negative">
      <formula>NOT(ISERROR(SEARCH("Negative",L2457)))</formula>
    </cfRule>
  </conditionalFormatting>
  <conditionalFormatting sqref="L2457">
    <cfRule type="containsText" dxfId="3138" priority="3442" operator="containsText" text="Positive">
      <formula>NOT(ISERROR(SEARCH("Positive",L2457)))</formula>
    </cfRule>
    <cfRule type="containsText" dxfId="3137" priority="3443" operator="containsText" text="Negative">
      <formula>NOT(ISERROR(SEARCH("Negative",L2457)))</formula>
    </cfRule>
  </conditionalFormatting>
  <conditionalFormatting sqref="L2457">
    <cfRule type="containsText" dxfId="3136" priority="3440" operator="containsText" text="Positive">
      <formula>NOT(ISERROR(SEARCH("Positive",L2457)))</formula>
    </cfRule>
    <cfRule type="containsText" dxfId="3135" priority="3441" operator="containsText" text="Negative">
      <formula>NOT(ISERROR(SEARCH("Negative",L2457)))</formula>
    </cfRule>
  </conditionalFormatting>
  <conditionalFormatting sqref="J2457">
    <cfRule type="containsText" dxfId="3134" priority="3444" operator="containsText" text="Missing">
      <formula>NOT(ISERROR(SEARCH("Missing",J2457)))</formula>
    </cfRule>
  </conditionalFormatting>
  <conditionalFormatting sqref="K2457">
    <cfRule type="containsText" dxfId="3133" priority="3434" operator="containsText" text="Missing">
      <formula>NOT(ISERROR(SEARCH("Missing",K2457)))</formula>
    </cfRule>
  </conditionalFormatting>
  <conditionalFormatting sqref="K2465">
    <cfRule type="containsText" dxfId="3132" priority="3365" operator="containsText" text="Missing">
      <formula>NOT(ISERROR(SEARCH("Missing",K2465)))</formula>
    </cfRule>
  </conditionalFormatting>
  <conditionalFormatting sqref="H2465">
    <cfRule type="containsText" dxfId="3131" priority="3364" operator="containsText" text="Missing">
      <formula>NOT(ISERROR(SEARCH("Missing",H2465)))</formula>
    </cfRule>
  </conditionalFormatting>
  <conditionalFormatting sqref="K2465">
    <cfRule type="containsText" dxfId="3130" priority="3366" operator="containsText" text="Missing">
      <formula>NOT(ISERROR(SEARCH("Missing",K2465)))</formula>
    </cfRule>
  </conditionalFormatting>
  <conditionalFormatting sqref="L2458">
    <cfRule type="containsText" dxfId="3129" priority="3422" operator="containsText" text="Positive">
      <formula>NOT(ISERROR(SEARCH("Positive",L2458)))</formula>
    </cfRule>
    <cfRule type="containsText" dxfId="3128" priority="3423" operator="containsText" text="Negative">
      <formula>NOT(ISERROR(SEARCH("Negative",L2458)))</formula>
    </cfRule>
  </conditionalFormatting>
  <conditionalFormatting sqref="L2458">
    <cfRule type="containsText" dxfId="3127" priority="3427" operator="containsText" text="Positive">
      <formula>NOT(ISERROR(SEARCH("Positive",L2458)))</formula>
    </cfRule>
    <cfRule type="containsText" dxfId="3126" priority="3428" operator="containsText" text="Negative">
      <formula>NOT(ISERROR(SEARCH("Negative",L2458)))</formula>
    </cfRule>
  </conditionalFormatting>
  <conditionalFormatting sqref="L2458">
    <cfRule type="containsText" dxfId="3125" priority="3425" operator="containsText" text="Positive">
      <formula>NOT(ISERROR(SEARCH("Positive",L2458)))</formula>
    </cfRule>
    <cfRule type="containsText" dxfId="3124" priority="3426" operator="containsText" text="Negative">
      <formula>NOT(ISERROR(SEARCH("Negative",L2458)))</formula>
    </cfRule>
  </conditionalFormatting>
  <conditionalFormatting sqref="K2458">
    <cfRule type="containsText" dxfId="3123" priority="3419" operator="containsText" text="Missing">
      <formula>NOT(ISERROR(SEARCH("Missing",K2458)))</formula>
    </cfRule>
  </conditionalFormatting>
  <conditionalFormatting sqref="H2458">
    <cfRule type="containsText" dxfId="3122" priority="3418" operator="containsText" text="Missing">
      <formula>NOT(ISERROR(SEARCH("Missing",H2458)))</formula>
    </cfRule>
  </conditionalFormatting>
  <conditionalFormatting sqref="H2458">
    <cfRule type="containsText" dxfId="3121" priority="3417" operator="containsText" text="Missing">
      <formula>NOT(ISERROR(SEARCH("Missing",H2458)))</formula>
    </cfRule>
  </conditionalFormatting>
  <conditionalFormatting sqref="J2495">
    <cfRule type="containsText" dxfId="3120" priority="3226" operator="containsText" text="Missing">
      <formula>NOT(ISERROR(SEARCH("Missing",J2495)))</formula>
    </cfRule>
  </conditionalFormatting>
  <conditionalFormatting sqref="J2467">
    <cfRule type="containsText" dxfId="3119" priority="3340" operator="containsText" text="Missing">
      <formula>NOT(ISERROR(SEARCH("Missing",J2467)))</formula>
    </cfRule>
  </conditionalFormatting>
  <conditionalFormatting sqref="K2489">
    <cfRule type="containsText" dxfId="3118" priority="3297" operator="containsText" text="Missing">
      <formula>NOT(ISERROR(SEARCH("Missing",K2489)))</formula>
    </cfRule>
  </conditionalFormatting>
  <conditionalFormatting sqref="J2459">
    <cfRule type="containsText" dxfId="3117" priority="3411" operator="containsText" text="Missing">
      <formula>NOT(ISERROR(SEARCH("Missing",J2459)))</formula>
    </cfRule>
  </conditionalFormatting>
  <conditionalFormatting sqref="L2459">
    <cfRule type="containsText" dxfId="3116" priority="3409" operator="containsText" text="Positive">
      <formula>NOT(ISERROR(SEARCH("Positive",L2459)))</formula>
    </cfRule>
    <cfRule type="containsText" dxfId="3115" priority="3410" operator="containsText" text="Negative">
      <formula>NOT(ISERROR(SEARCH("Negative",L2459)))</formula>
    </cfRule>
  </conditionalFormatting>
  <conditionalFormatting sqref="L2459">
    <cfRule type="containsText" dxfId="3114" priority="3412" operator="containsText" text="Positive">
      <formula>NOT(ISERROR(SEARCH("Positive",L2459)))</formula>
    </cfRule>
    <cfRule type="containsText" dxfId="3113" priority="3413" operator="containsText" text="Negative">
      <formula>NOT(ISERROR(SEARCH("Negative",L2459)))</formula>
    </cfRule>
  </conditionalFormatting>
  <conditionalFormatting sqref="J2459">
    <cfRule type="containsText" dxfId="3112" priority="3416" operator="containsText" text="Missing">
      <formula>NOT(ISERROR(SEARCH("Missing",J2459)))</formula>
    </cfRule>
  </conditionalFormatting>
  <conditionalFormatting sqref="H2488:H2489">
    <cfRule type="containsText" dxfId="3111" priority="3322" operator="containsText" text="Missing">
      <formula>NOT(ISERROR(SEARCH("Missing",H2488)))</formula>
    </cfRule>
  </conditionalFormatting>
  <conditionalFormatting sqref="H2488:H2489">
    <cfRule type="containsText" dxfId="3110" priority="3321" operator="containsText" text="Missing">
      <formula>NOT(ISERROR(SEARCH("Missing",H2488)))</formula>
    </cfRule>
  </conditionalFormatting>
  <conditionalFormatting sqref="J2460">
    <cfRule type="containsText" dxfId="3109" priority="3398" operator="containsText" text="Missing">
      <formula>NOT(ISERROR(SEARCH("Missing",J2460)))</formula>
    </cfRule>
  </conditionalFormatting>
  <conditionalFormatting sqref="K2492">
    <cfRule type="containsText" dxfId="3108" priority="3256" operator="containsText" text="Missing">
      <formula>NOT(ISERROR(SEARCH("Missing",K2492)))</formula>
    </cfRule>
  </conditionalFormatting>
  <conditionalFormatting sqref="I2460">
    <cfRule type="containsText" dxfId="3107" priority="3325" operator="containsText" text="Missing">
      <formula>NOT(ISERROR(SEARCH("Missing",I2460)))</formula>
    </cfRule>
  </conditionalFormatting>
  <conditionalFormatting sqref="K2492">
    <cfRule type="containsText" dxfId="3106" priority="3255" operator="containsText" text="Missing">
      <formula>NOT(ISERROR(SEARCH("Missing",K2492)))</formula>
    </cfRule>
  </conditionalFormatting>
  <conditionalFormatting sqref="K2467">
    <cfRule type="containsText" dxfId="3105" priority="3337" operator="containsText" text="Missing">
      <formula>NOT(ISERROR(SEARCH("Missing",K2467)))</formula>
    </cfRule>
  </conditionalFormatting>
  <conditionalFormatting sqref="L2460">
    <cfRule type="containsText" dxfId="3104" priority="3396" operator="containsText" text="Positive">
      <formula>NOT(ISERROR(SEARCH("Positive",L2460)))</formula>
    </cfRule>
    <cfRule type="containsText" dxfId="3103" priority="3397" operator="containsText" text="Negative">
      <formula>NOT(ISERROR(SEARCH("Negative",L2460)))</formula>
    </cfRule>
  </conditionalFormatting>
  <conditionalFormatting sqref="L2460">
    <cfRule type="containsText" dxfId="3102" priority="3399" operator="containsText" text="Positive">
      <formula>NOT(ISERROR(SEARCH("Positive",L2460)))</formula>
    </cfRule>
    <cfRule type="containsText" dxfId="3101" priority="3400" operator="containsText" text="Negative">
      <formula>NOT(ISERROR(SEARCH("Negative",L2460)))</formula>
    </cfRule>
  </conditionalFormatting>
  <conditionalFormatting sqref="J2460">
    <cfRule type="containsText" dxfId="3100" priority="3403" operator="containsText" text="Missing">
      <formula>NOT(ISERROR(SEARCH("Missing",J2460)))</formula>
    </cfRule>
  </conditionalFormatting>
  <conditionalFormatting sqref="K2467">
    <cfRule type="containsText" dxfId="3099" priority="3336" operator="containsText" text="Missing">
      <formula>NOT(ISERROR(SEARCH("Missing",K2467)))</formula>
    </cfRule>
  </conditionalFormatting>
  <conditionalFormatting sqref="K2467">
    <cfRule type="containsText" dxfId="3098" priority="3335" operator="containsText" text="Missing">
      <formula>NOT(ISERROR(SEARCH("Missing",K2467)))</formula>
    </cfRule>
  </conditionalFormatting>
  <conditionalFormatting sqref="H2467">
    <cfRule type="containsText" dxfId="3097" priority="3334" operator="containsText" text="Missing">
      <formula>NOT(ISERROR(SEARCH("Missing",H2467)))</formula>
    </cfRule>
  </conditionalFormatting>
  <conditionalFormatting sqref="K2490">
    <cfRule type="containsText" dxfId="3096" priority="3287" operator="containsText" text="Missing">
      <formula>NOT(ISERROR(SEARCH("Missing",K2490)))</formula>
    </cfRule>
  </conditionalFormatting>
  <conditionalFormatting sqref="I2453">
    <cfRule type="containsText" dxfId="3095" priority="3331" operator="containsText" text="Missing">
      <formula>NOT(ISERROR(SEARCH("Missing",I2453)))</formula>
    </cfRule>
  </conditionalFormatting>
  <conditionalFormatting sqref="I2464">
    <cfRule type="containsText" dxfId="3094" priority="3376" operator="containsText" text="Missing">
      <formula>NOT(ISERROR(SEARCH("Missing",I2464)))</formula>
    </cfRule>
  </conditionalFormatting>
  <conditionalFormatting sqref="J2488">
    <cfRule type="containsText" dxfId="3093" priority="3312" operator="containsText" text="Missing">
      <formula>NOT(ISERROR(SEARCH("Missing",J2488)))</formula>
    </cfRule>
  </conditionalFormatting>
  <conditionalFormatting sqref="L2488">
    <cfRule type="containsText" dxfId="3092" priority="3314" operator="containsText" text="Positive">
      <formula>NOT(ISERROR(SEARCH("Positive",L2488)))</formula>
    </cfRule>
    <cfRule type="containsText" dxfId="3091" priority="3315" operator="containsText" text="Negative">
      <formula>NOT(ISERROR(SEARCH("Negative",L2488)))</formula>
    </cfRule>
  </conditionalFormatting>
  <conditionalFormatting sqref="L2496">
    <cfRule type="containsText" dxfId="3090" priority="3214" operator="containsText" text="Positive">
      <formula>NOT(ISERROR(SEARCH("Positive",L2496)))</formula>
    </cfRule>
    <cfRule type="containsText" dxfId="3089" priority="3215" operator="containsText" text="Negative">
      <formula>NOT(ISERROR(SEARCH("Negative",L2496)))</formula>
    </cfRule>
  </conditionalFormatting>
  <conditionalFormatting sqref="K2466">
    <cfRule type="containsText" dxfId="3088" priority="3352" operator="containsText" text="Missing">
      <formula>NOT(ISERROR(SEARCH("Missing",K2466)))</formula>
    </cfRule>
  </conditionalFormatting>
  <conditionalFormatting sqref="K2488">
    <cfRule type="containsText" dxfId="3087" priority="3311" operator="containsText" text="Missing">
      <formula>NOT(ISERROR(SEARCH("Missing",K2488)))</formula>
    </cfRule>
  </conditionalFormatting>
  <conditionalFormatting sqref="I2459">
    <cfRule type="containsText" dxfId="3086" priority="3327" operator="containsText" text="Missing">
      <formula>NOT(ISERROR(SEARCH("Missing",I2459)))</formula>
    </cfRule>
  </conditionalFormatting>
  <conditionalFormatting sqref="K2488">
    <cfRule type="containsText" dxfId="3085" priority="3309" operator="containsText" text="Missing">
      <formula>NOT(ISERROR(SEARCH("Missing",K2488)))</formula>
    </cfRule>
  </conditionalFormatting>
  <conditionalFormatting sqref="I2467">
    <cfRule type="containsText" dxfId="3084" priority="3324" operator="containsText" text="Missing">
      <formula>NOT(ISERROR(SEARCH("Missing",I2467)))</formula>
    </cfRule>
  </conditionalFormatting>
  <conditionalFormatting sqref="I2488">
    <cfRule type="containsText" dxfId="3083" priority="3308" operator="containsText" text="Missing">
      <formula>NOT(ISERROR(SEARCH("Missing",I2488)))</formula>
    </cfRule>
  </conditionalFormatting>
  <conditionalFormatting sqref="I2465">
    <cfRule type="containsText" dxfId="3082" priority="3361" operator="containsText" text="Missing">
      <formula>NOT(ISERROR(SEARCH("Missing",I2465)))</formula>
    </cfRule>
  </conditionalFormatting>
  <conditionalFormatting sqref="L2495">
    <cfRule type="containsText" dxfId="3081" priority="3231" operator="containsText" text="Positive">
      <formula>NOT(ISERROR(SEARCH("Positive",L2495)))</formula>
    </cfRule>
    <cfRule type="containsText" dxfId="3080" priority="3232" operator="containsText" text="Negative">
      <formula>NOT(ISERROR(SEARCH("Negative",L2495)))</formula>
    </cfRule>
  </conditionalFormatting>
  <conditionalFormatting sqref="L2489">
    <cfRule type="containsText" dxfId="3079" priority="3304" operator="containsText" text="Positive">
      <formula>NOT(ISERROR(SEARCH("Positive",L2489)))</formula>
    </cfRule>
    <cfRule type="containsText" dxfId="3078" priority="3305" operator="containsText" text="Negative">
      <formula>NOT(ISERROR(SEARCH("Negative",L2489)))</formula>
    </cfRule>
  </conditionalFormatting>
  <conditionalFormatting sqref="L2489">
    <cfRule type="containsText" dxfId="3077" priority="3302" operator="containsText" text="Positive">
      <formula>NOT(ISERROR(SEARCH("Positive",L2489)))</formula>
    </cfRule>
    <cfRule type="containsText" dxfId="3076" priority="3303" operator="containsText" text="Negative">
      <formula>NOT(ISERROR(SEARCH("Negative",L2489)))</formula>
    </cfRule>
  </conditionalFormatting>
  <conditionalFormatting sqref="K2466">
    <cfRule type="containsText" dxfId="3075" priority="3351" operator="containsText" text="Missing">
      <formula>NOT(ISERROR(SEARCH("Missing",K2466)))</formula>
    </cfRule>
  </conditionalFormatting>
  <conditionalFormatting sqref="I2489">
    <cfRule type="containsText" dxfId="3074" priority="3296" operator="containsText" text="Missing">
      <formula>NOT(ISERROR(SEARCH("Missing",I2489)))</formula>
    </cfRule>
  </conditionalFormatting>
  <conditionalFormatting sqref="H2491">
    <cfRule type="containsText" dxfId="3073" priority="3266" operator="containsText" text="Missing">
      <formula>NOT(ISERROR(SEARCH("Missing",H2491)))</formula>
    </cfRule>
  </conditionalFormatting>
  <conditionalFormatting sqref="I2497">
    <cfRule type="containsText" dxfId="3072" priority="3194" operator="containsText" text="Missing">
      <formula>NOT(ISERROR(SEARCH("Missing",I2497)))</formula>
    </cfRule>
  </conditionalFormatting>
  <conditionalFormatting sqref="J2495">
    <cfRule type="containsText" dxfId="3071" priority="3225" operator="containsText" text="Missing">
      <formula>NOT(ISERROR(SEARCH("Missing",J2495)))</formula>
    </cfRule>
  </conditionalFormatting>
  <conditionalFormatting sqref="I2490">
    <cfRule type="containsText" dxfId="3070" priority="3284" operator="containsText" text="Missing">
      <formula>NOT(ISERROR(SEARCH("Missing",I2490)))</formula>
    </cfRule>
  </conditionalFormatting>
  <conditionalFormatting sqref="K2495">
    <cfRule type="containsText" dxfId="3069" priority="3222" operator="containsText" text="Missing">
      <formula>NOT(ISERROR(SEARCH("Missing",K2495)))</formula>
    </cfRule>
  </conditionalFormatting>
  <conditionalFormatting sqref="L2493">
    <cfRule type="containsText" dxfId="3068" priority="3249" operator="containsText" text="Positive">
      <formula>NOT(ISERROR(SEARCH("Positive",L2493)))</formula>
    </cfRule>
    <cfRule type="containsText" dxfId="3067" priority="3250" operator="containsText" text="Negative">
      <formula>NOT(ISERROR(SEARCH("Negative",L2493)))</formula>
    </cfRule>
  </conditionalFormatting>
  <conditionalFormatting sqref="J2491">
    <cfRule type="containsText" dxfId="3066" priority="3277" operator="containsText" text="Missing">
      <formula>NOT(ISERROR(SEARCH("Missing",J2491)))</formula>
    </cfRule>
  </conditionalFormatting>
  <conditionalFormatting sqref="H2491">
    <cfRule type="containsText" dxfId="3065" priority="3267" operator="containsText" text="Missing">
      <formula>NOT(ISERROR(SEARCH("Missing",H2491)))</formula>
    </cfRule>
  </conditionalFormatting>
  <conditionalFormatting sqref="K2488">
    <cfRule type="containsText" dxfId="3064" priority="3310" operator="containsText" text="Missing">
      <formula>NOT(ISERROR(SEARCH("Missing",K2488)))</formula>
    </cfRule>
  </conditionalFormatting>
  <conditionalFormatting sqref="H2490">
    <cfRule type="containsText" dxfId="3063" priority="3269" operator="containsText" text="Missing">
      <formula>NOT(ISERROR(SEARCH("Missing",H2490)))</formula>
    </cfRule>
  </conditionalFormatting>
  <conditionalFormatting sqref="J2489">
    <cfRule type="containsText" dxfId="3062" priority="3301" operator="containsText" text="Missing">
      <formula>NOT(ISERROR(SEARCH("Missing",J2489)))</formula>
    </cfRule>
  </conditionalFormatting>
  <conditionalFormatting sqref="K2496">
    <cfRule type="containsText" dxfId="3061" priority="3209" operator="containsText" text="Missing">
      <formula>NOT(ISERROR(SEARCH("Missing",K2496)))</formula>
    </cfRule>
  </conditionalFormatting>
  <conditionalFormatting sqref="L2497">
    <cfRule type="containsText" dxfId="3060" priority="3201" operator="containsText" text="Positive">
      <formula>NOT(ISERROR(SEARCH("Positive",L2497)))</formula>
    </cfRule>
    <cfRule type="containsText" dxfId="3059" priority="3202" operator="containsText" text="Negative">
      <formula>NOT(ISERROR(SEARCH("Negative",L2497)))</formula>
    </cfRule>
  </conditionalFormatting>
  <conditionalFormatting sqref="K2497">
    <cfRule type="containsText" dxfId="3058" priority="3198" operator="containsText" text="Missing">
      <formula>NOT(ISERROR(SEARCH("Missing",K2497)))</formula>
    </cfRule>
  </conditionalFormatting>
  <conditionalFormatting sqref="K2496">
    <cfRule type="containsText" dxfId="3057" priority="3208" operator="containsText" text="Missing">
      <formula>NOT(ISERROR(SEARCH("Missing",K2496)))</formula>
    </cfRule>
  </conditionalFormatting>
  <conditionalFormatting sqref="K2462">
    <cfRule type="containsText" dxfId="3056" priority="3131" operator="containsText" text="Missing">
      <formula>NOT(ISERROR(SEARCH("Missing",K2462)))</formula>
    </cfRule>
  </conditionalFormatting>
  <conditionalFormatting sqref="K2495">
    <cfRule type="containsText" dxfId="3055" priority="3224" operator="containsText" text="Missing">
      <formula>NOT(ISERROR(SEARCH("Missing",K2495)))</formula>
    </cfRule>
  </conditionalFormatting>
  <conditionalFormatting sqref="H2496:H2497">
    <cfRule type="containsText" dxfId="3054" priority="3193" operator="containsText" text="Missing">
      <formula>NOT(ISERROR(SEARCH("Missing",H2496)))</formula>
    </cfRule>
  </conditionalFormatting>
  <conditionalFormatting sqref="K2492">
    <cfRule type="containsText" dxfId="3053" priority="3257" operator="containsText" text="Missing">
      <formula>NOT(ISERROR(SEARCH("Missing",K2492)))</formula>
    </cfRule>
  </conditionalFormatting>
  <conditionalFormatting sqref="I2466">
    <cfRule type="containsText" dxfId="3052" priority="3346" operator="containsText" text="Missing">
      <formula>NOT(ISERROR(SEARCH("Missing",I2466)))</formula>
    </cfRule>
  </conditionalFormatting>
  <conditionalFormatting sqref="H2492">
    <cfRule type="containsText" dxfId="3051" priority="3221" operator="containsText" text="Missing">
      <formula>NOT(ISERROR(SEARCH("Missing",H2492)))</formula>
    </cfRule>
  </conditionalFormatting>
  <conditionalFormatting sqref="L2454">
    <cfRule type="containsText" dxfId="3050" priority="3184" operator="containsText" text="Positive">
      <formula>NOT(ISERROR(SEARCH("Positive",L2454)))</formula>
    </cfRule>
    <cfRule type="containsText" dxfId="3049" priority="3185" operator="containsText" text="Negative">
      <formula>NOT(ISERROR(SEARCH("Negative",L2454)))</formula>
    </cfRule>
  </conditionalFormatting>
  <conditionalFormatting sqref="L2496">
    <cfRule type="containsText" dxfId="3048" priority="3216" operator="containsText" text="Positive">
      <formula>NOT(ISERROR(SEARCH("Positive",L2496)))</formula>
    </cfRule>
    <cfRule type="containsText" dxfId="3047" priority="3217" operator="containsText" text="Negative">
      <formula>NOT(ISERROR(SEARCH("Negative",L2496)))</formula>
    </cfRule>
  </conditionalFormatting>
  <conditionalFormatting sqref="L2454">
    <cfRule type="containsText" dxfId="3046" priority="3187" operator="containsText" text="Positive">
      <formula>NOT(ISERROR(SEARCH("Positive",L2454)))</formula>
    </cfRule>
    <cfRule type="containsText" dxfId="3045" priority="3188" operator="containsText" text="Negative">
      <formula>NOT(ISERROR(SEARCH("Negative",L2454)))</formula>
    </cfRule>
  </conditionalFormatting>
  <conditionalFormatting sqref="I2467">
    <cfRule type="containsText" dxfId="3044" priority="3323" operator="containsText" text="Missing">
      <formula>NOT(ISERROR(SEARCH("Missing",I2467)))</formula>
    </cfRule>
  </conditionalFormatting>
  <conditionalFormatting sqref="H2493">
    <cfRule type="containsText" dxfId="3043" priority="3220" operator="containsText" text="Missing">
      <formula>NOT(ISERROR(SEARCH("Missing",H2493)))</formula>
    </cfRule>
  </conditionalFormatting>
  <conditionalFormatting sqref="J2496">
    <cfRule type="containsText" dxfId="3042" priority="3211" operator="containsText" text="Missing">
      <formula>NOT(ISERROR(SEARCH("Missing",J2496)))</formula>
    </cfRule>
  </conditionalFormatting>
  <conditionalFormatting sqref="K2497">
    <cfRule type="containsText" dxfId="3041" priority="3196" operator="containsText" text="Missing">
      <formula>NOT(ISERROR(SEARCH("Missing",K2497)))</formula>
    </cfRule>
  </conditionalFormatting>
  <conditionalFormatting sqref="J2462">
    <cfRule type="containsText" dxfId="3040" priority="3134" operator="containsText" text="Missing">
      <formula>NOT(ISERROR(SEARCH("Missing",J2462)))</formula>
    </cfRule>
  </conditionalFormatting>
  <conditionalFormatting sqref="J2464">
    <cfRule type="containsText" dxfId="3039" priority="3390" operator="containsText" text="Missing">
      <formula>NOT(ISERROR(SEARCH("Missing",J2464)))</formula>
    </cfRule>
  </conditionalFormatting>
  <conditionalFormatting sqref="I2458">
    <cfRule type="containsText" dxfId="3038" priority="3329" operator="containsText" text="Missing">
      <formula>NOT(ISERROR(SEARCH("Missing",I2458)))</formula>
    </cfRule>
  </conditionalFormatting>
  <conditionalFormatting sqref="L2488">
    <cfRule type="containsText" dxfId="3037" priority="3318" operator="containsText" text="Positive">
      <formula>NOT(ISERROR(SEARCH("Positive",L2488)))</formula>
    </cfRule>
    <cfRule type="containsText" dxfId="3036" priority="3319" operator="containsText" text="Negative">
      <formula>NOT(ISERROR(SEARCH("Negative",L2488)))</formula>
    </cfRule>
  </conditionalFormatting>
  <conditionalFormatting sqref="L2454">
    <cfRule type="containsText" dxfId="3035" priority="3189" operator="containsText" text="Positive">
      <formula>NOT(ISERROR(SEARCH("Positive",L2454)))</formula>
    </cfRule>
    <cfRule type="containsText" dxfId="3034" priority="3190" operator="containsText" text="Negative">
      <formula>NOT(ISERROR(SEARCH("Negative",L2454)))</formula>
    </cfRule>
  </conditionalFormatting>
  <conditionalFormatting sqref="K2489">
    <cfRule type="containsText" dxfId="3033" priority="3299" operator="containsText" text="Missing">
      <formula>NOT(ISERROR(SEARCH("Missing",K2489)))</formula>
    </cfRule>
  </conditionalFormatting>
  <conditionalFormatting sqref="I2459">
    <cfRule type="containsText" dxfId="3032" priority="3328" operator="containsText" text="Missing">
      <formula>NOT(ISERROR(SEARCH("Missing",I2459)))</formula>
    </cfRule>
  </conditionalFormatting>
  <conditionalFormatting sqref="L2464">
    <cfRule type="containsText" dxfId="3031" priority="3383" operator="containsText" text="Positive">
      <formula>NOT(ISERROR(SEARCH("Positive",L2464)))</formula>
    </cfRule>
    <cfRule type="containsText" dxfId="3030" priority="3384" operator="containsText" text="Negative">
      <formula>NOT(ISERROR(SEARCH("Negative",L2464)))</formula>
    </cfRule>
  </conditionalFormatting>
  <conditionalFormatting sqref="L2467">
    <cfRule type="containsText" dxfId="3029" priority="3341" operator="containsText" text="Positive">
      <formula>NOT(ISERROR(SEARCH("Positive",L2467)))</formula>
    </cfRule>
    <cfRule type="containsText" dxfId="3028" priority="3342" operator="containsText" text="Negative">
      <formula>NOT(ISERROR(SEARCH("Negative",L2467)))</formula>
    </cfRule>
  </conditionalFormatting>
  <conditionalFormatting sqref="H2490">
    <cfRule type="containsText" dxfId="3027" priority="3271" operator="containsText" text="Missing">
      <formula>NOT(ISERROR(SEARCH("Missing",H2490)))</formula>
    </cfRule>
  </conditionalFormatting>
  <conditionalFormatting sqref="J2496">
    <cfRule type="containsText" dxfId="3026" priority="3210" operator="containsText" text="Missing">
      <formula>NOT(ISERROR(SEARCH("Missing",J2496)))</formula>
    </cfRule>
  </conditionalFormatting>
  <conditionalFormatting sqref="K2466">
    <cfRule type="containsText" dxfId="3025" priority="3350" operator="containsText" text="Missing">
      <formula>NOT(ISERROR(SEARCH("Missing",K2466)))</formula>
    </cfRule>
  </conditionalFormatting>
  <conditionalFormatting sqref="H2466">
    <cfRule type="containsText" dxfId="3024" priority="3349" operator="containsText" text="Missing">
      <formula>NOT(ISERROR(SEARCH("Missing",H2466)))</formula>
    </cfRule>
  </conditionalFormatting>
  <conditionalFormatting sqref="I2464">
    <cfRule type="containsText" dxfId="3023" priority="3377" operator="containsText" text="Missing">
      <formula>NOT(ISERROR(SEARCH("Missing",I2464)))</formula>
    </cfRule>
  </conditionalFormatting>
  <conditionalFormatting sqref="K2496">
    <cfRule type="containsText" dxfId="3022" priority="3207" operator="containsText" text="Missing">
      <formula>NOT(ISERROR(SEARCH("Missing",K2496)))</formula>
    </cfRule>
  </conditionalFormatting>
  <conditionalFormatting sqref="J2494">
    <cfRule type="containsText" dxfId="3021" priority="3237" operator="containsText" text="Missing">
      <formula>NOT(ISERROR(SEARCH("Missing",J2494)))</formula>
    </cfRule>
  </conditionalFormatting>
  <conditionalFormatting sqref="L2465">
    <cfRule type="containsText" dxfId="3020" priority="3368" operator="containsText" text="Positive">
      <formula>NOT(ISERROR(SEARCH("Positive",L2465)))</formula>
    </cfRule>
    <cfRule type="containsText" dxfId="3019" priority="3369" operator="containsText" text="Negative">
      <formula>NOT(ISERROR(SEARCH("Negative",L2465)))</formula>
    </cfRule>
  </conditionalFormatting>
  <conditionalFormatting sqref="L2465">
    <cfRule type="containsText" dxfId="3018" priority="3373" operator="containsText" text="Positive">
      <formula>NOT(ISERROR(SEARCH("Positive",L2465)))</formula>
    </cfRule>
    <cfRule type="containsText" dxfId="3017" priority="3374" operator="containsText" text="Negative">
      <formula>NOT(ISERROR(SEARCH("Negative",L2465)))</formula>
    </cfRule>
  </conditionalFormatting>
  <conditionalFormatting sqref="J2465">
    <cfRule type="containsText" dxfId="3016" priority="3375" operator="containsText" text="Missing">
      <formula>NOT(ISERROR(SEARCH("Missing",J2465)))</formula>
    </cfRule>
  </conditionalFormatting>
  <conditionalFormatting sqref="I2465">
    <cfRule type="containsText" dxfId="3015" priority="3362" operator="containsText" text="Missing">
      <formula>NOT(ISERROR(SEARCH("Missing",I2465)))</formula>
    </cfRule>
  </conditionalFormatting>
  <conditionalFormatting sqref="H2496:H2497">
    <cfRule type="containsText" dxfId="3014" priority="3192" operator="containsText" text="Missing">
      <formula>NOT(ISERROR(SEARCH("Missing",H2496)))</formula>
    </cfRule>
  </conditionalFormatting>
  <conditionalFormatting sqref="K2495">
    <cfRule type="containsText" dxfId="3013" priority="3223" operator="containsText" text="Missing">
      <formula>NOT(ISERROR(SEARCH("Missing",K2495)))</formula>
    </cfRule>
  </conditionalFormatting>
  <conditionalFormatting sqref="L2466">
    <cfRule type="containsText" dxfId="3012" priority="3353" operator="containsText" text="Positive">
      <formula>NOT(ISERROR(SEARCH("Positive",L2466)))</formula>
    </cfRule>
    <cfRule type="containsText" dxfId="3011" priority="3354" operator="containsText" text="Negative">
      <formula>NOT(ISERROR(SEARCH("Negative",L2466)))</formula>
    </cfRule>
  </conditionalFormatting>
  <conditionalFormatting sqref="L2466">
    <cfRule type="containsText" dxfId="3010" priority="3358" operator="containsText" text="Positive">
      <formula>NOT(ISERROR(SEARCH("Positive",L2466)))</formula>
    </cfRule>
    <cfRule type="containsText" dxfId="3009" priority="3359" operator="containsText" text="Negative">
      <formula>NOT(ISERROR(SEARCH("Negative",L2466)))</formula>
    </cfRule>
  </conditionalFormatting>
  <conditionalFormatting sqref="H2488:H2489">
    <cfRule type="containsText" dxfId="3008" priority="3320" operator="containsText" text="Missing">
      <formula>NOT(ISERROR(SEARCH("Missing",H2488)))</formula>
    </cfRule>
  </conditionalFormatting>
  <conditionalFormatting sqref="K2490">
    <cfRule type="containsText" dxfId="3007" priority="3286" operator="containsText" text="Missing">
      <formula>NOT(ISERROR(SEARCH("Missing",K2490)))</formula>
    </cfRule>
  </conditionalFormatting>
  <conditionalFormatting sqref="I2466">
    <cfRule type="containsText" dxfId="3006" priority="3347" operator="containsText" text="Missing">
      <formula>NOT(ISERROR(SEARCH("Missing",I2466)))</formula>
    </cfRule>
  </conditionalFormatting>
  <conditionalFormatting sqref="J2491">
    <cfRule type="containsText" dxfId="3005" priority="3276" operator="containsText" text="Missing">
      <formula>NOT(ISERROR(SEARCH("Missing",J2491)))</formula>
    </cfRule>
  </conditionalFormatting>
  <conditionalFormatting sqref="L2467">
    <cfRule type="containsText" dxfId="3004" priority="3338" operator="containsText" text="Positive">
      <formula>NOT(ISERROR(SEARCH("Positive",L2467)))</formula>
    </cfRule>
    <cfRule type="containsText" dxfId="3003" priority="3339" operator="containsText" text="Negative">
      <formula>NOT(ISERROR(SEARCH("Negative",L2467)))</formula>
    </cfRule>
  </conditionalFormatting>
  <conditionalFormatting sqref="L2467">
    <cfRule type="containsText" dxfId="3002" priority="3343" operator="containsText" text="Positive">
      <formula>NOT(ISERROR(SEARCH("Positive",L2467)))</formula>
    </cfRule>
    <cfRule type="containsText" dxfId="3001" priority="3344" operator="containsText" text="Negative">
      <formula>NOT(ISERROR(SEARCH("Negative",L2467)))</formula>
    </cfRule>
  </conditionalFormatting>
  <conditionalFormatting sqref="J2467">
    <cfRule type="containsText" dxfId="3000" priority="3345" operator="containsText" text="Missing">
      <formula>NOT(ISERROR(SEARCH("Missing",J2467)))</formula>
    </cfRule>
  </conditionalFormatting>
  <conditionalFormatting sqref="I2453">
    <cfRule type="containsText" dxfId="2999" priority="3332" operator="containsText" text="Missing">
      <formula>NOT(ISERROR(SEARCH("Missing",I2453)))</formula>
    </cfRule>
  </conditionalFormatting>
  <conditionalFormatting sqref="K2491">
    <cfRule type="containsText" dxfId="2998" priority="3274" operator="containsText" text="Missing">
      <formula>NOT(ISERROR(SEARCH("Missing",K2491)))</formula>
    </cfRule>
  </conditionalFormatting>
  <conditionalFormatting sqref="K2491">
    <cfRule type="containsText" dxfId="2997" priority="3275" operator="containsText" text="Missing">
      <formula>NOT(ISERROR(SEARCH("Missing",K2491)))</formula>
    </cfRule>
  </conditionalFormatting>
  <conditionalFormatting sqref="I2496">
    <cfRule type="containsText" dxfId="2996" priority="3195" operator="containsText" text="Missing">
      <formula>NOT(ISERROR(SEARCH("Missing",I2496)))</formula>
    </cfRule>
  </conditionalFormatting>
  <conditionalFormatting sqref="K2454">
    <cfRule type="containsText" dxfId="2995" priority="3182" operator="containsText" text="Missing">
      <formula>NOT(ISERROR(SEARCH("Missing",K2454)))</formula>
    </cfRule>
  </conditionalFormatting>
  <conditionalFormatting sqref="J2461">
    <cfRule type="containsText" dxfId="2994" priority="3147" operator="containsText" text="Missing">
      <formula>NOT(ISERROR(SEARCH("Missing",J2461)))</formula>
    </cfRule>
  </conditionalFormatting>
  <conditionalFormatting sqref="J2489">
    <cfRule type="containsText" dxfId="2993" priority="3300" operator="containsText" text="Missing">
      <formula>NOT(ISERROR(SEARCH("Missing",J2489)))</formula>
    </cfRule>
  </conditionalFormatting>
  <conditionalFormatting sqref="L2488">
    <cfRule type="containsText" dxfId="2992" priority="3316" operator="containsText" text="Positive">
      <formula>NOT(ISERROR(SEARCH("Positive",L2488)))</formula>
    </cfRule>
    <cfRule type="containsText" dxfId="2991" priority="3317" operator="containsText" text="Negative">
      <formula>NOT(ISERROR(SEARCH("Negative",L2488)))</formula>
    </cfRule>
  </conditionalFormatting>
  <conditionalFormatting sqref="L2489">
    <cfRule type="containsText" dxfId="2990" priority="3306" operator="containsText" text="Positive">
      <formula>NOT(ISERROR(SEARCH("Positive",L2489)))</formula>
    </cfRule>
    <cfRule type="containsText" dxfId="2989" priority="3307" operator="containsText" text="Negative">
      <formula>NOT(ISERROR(SEARCH("Negative",L2489)))</formula>
    </cfRule>
  </conditionalFormatting>
  <conditionalFormatting sqref="J2490">
    <cfRule type="containsText" dxfId="2988" priority="3288" operator="containsText" text="Missing">
      <formula>NOT(ISERROR(SEARCH("Missing",J2490)))</formula>
    </cfRule>
  </conditionalFormatting>
  <conditionalFormatting sqref="K2490">
    <cfRule type="containsText" dxfId="2987" priority="3285" operator="containsText" text="Missing">
      <formula>NOT(ISERROR(SEARCH("Missing",K2490)))</formula>
    </cfRule>
  </conditionalFormatting>
  <conditionalFormatting sqref="L2490">
    <cfRule type="containsText" dxfId="2986" priority="3294" operator="containsText" text="Positive">
      <formula>NOT(ISERROR(SEARCH("Positive",L2490)))</formula>
    </cfRule>
    <cfRule type="containsText" dxfId="2985" priority="3295" operator="containsText" text="Negative">
      <formula>NOT(ISERROR(SEARCH("Negative",L2490)))</formula>
    </cfRule>
  </conditionalFormatting>
  <conditionalFormatting sqref="L2490">
    <cfRule type="containsText" dxfId="2984" priority="3292" operator="containsText" text="Positive">
      <formula>NOT(ISERROR(SEARCH("Positive",L2490)))</formula>
    </cfRule>
    <cfRule type="containsText" dxfId="2983" priority="3293" operator="containsText" text="Negative">
      <formula>NOT(ISERROR(SEARCH("Negative",L2490)))</formula>
    </cfRule>
  </conditionalFormatting>
  <conditionalFormatting sqref="K2497">
    <cfRule type="containsText" dxfId="2982" priority="3197" operator="containsText" text="Missing">
      <formula>NOT(ISERROR(SEARCH("Missing",K2497)))</formula>
    </cfRule>
  </conditionalFormatting>
  <conditionalFormatting sqref="L2491">
    <cfRule type="containsText" dxfId="2981" priority="3282" operator="containsText" text="Positive">
      <formula>NOT(ISERROR(SEARCH("Positive",L2491)))</formula>
    </cfRule>
    <cfRule type="containsText" dxfId="2980" priority="3283" operator="containsText" text="Negative">
      <formula>NOT(ISERROR(SEARCH("Negative",L2491)))</formula>
    </cfRule>
  </conditionalFormatting>
  <conditionalFormatting sqref="L2491">
    <cfRule type="containsText" dxfId="2979" priority="3278" operator="containsText" text="Positive">
      <formula>NOT(ISERROR(SEARCH("Positive",L2491)))</formula>
    </cfRule>
    <cfRule type="containsText" dxfId="2978" priority="3279" operator="containsText" text="Negative">
      <formula>NOT(ISERROR(SEARCH("Negative",L2491)))</formula>
    </cfRule>
  </conditionalFormatting>
  <conditionalFormatting sqref="L2491">
    <cfRule type="containsText" dxfId="2977" priority="3280" operator="containsText" text="Positive">
      <formula>NOT(ISERROR(SEARCH("Positive",L2491)))</formula>
    </cfRule>
    <cfRule type="containsText" dxfId="2976" priority="3281" operator="containsText" text="Negative">
      <formula>NOT(ISERROR(SEARCH("Negative",L2491)))</formula>
    </cfRule>
  </conditionalFormatting>
  <conditionalFormatting sqref="J2454">
    <cfRule type="containsText" dxfId="2975" priority="3186" operator="containsText" text="Missing">
      <formula>NOT(ISERROR(SEARCH("Missing",J2454)))</formula>
    </cfRule>
  </conditionalFormatting>
  <conditionalFormatting sqref="H2490">
    <cfRule type="containsText" dxfId="2974" priority="3270" operator="containsText" text="Missing">
      <formula>NOT(ISERROR(SEARCH("Missing",H2490)))</formula>
    </cfRule>
  </conditionalFormatting>
  <conditionalFormatting sqref="K2455">
    <cfRule type="containsText" dxfId="2973" priority="3170" operator="containsText" text="Missing">
      <formula>NOT(ISERROR(SEARCH("Missing",K2455)))</formula>
    </cfRule>
  </conditionalFormatting>
  <conditionalFormatting sqref="J2454">
    <cfRule type="containsText" dxfId="2972" priority="3191" operator="containsText" text="Missing">
      <formula>NOT(ISERROR(SEARCH("Missing",J2454)))</formula>
    </cfRule>
  </conditionalFormatting>
  <conditionalFormatting sqref="K2454">
    <cfRule type="containsText" dxfId="2971" priority="3183" operator="containsText" text="Missing">
      <formula>NOT(ISERROR(SEARCH("Missing",K2454)))</formula>
    </cfRule>
  </conditionalFormatting>
  <conditionalFormatting sqref="K2454">
    <cfRule type="containsText" dxfId="2970" priority="3181" operator="containsText" text="Missing">
      <formula>NOT(ISERROR(SEARCH("Missing",K2454)))</formula>
    </cfRule>
  </conditionalFormatting>
  <conditionalFormatting sqref="J2455">
    <cfRule type="containsText" dxfId="2969" priority="3173" operator="containsText" text="Missing">
      <formula>NOT(ISERROR(SEARCH("Missing",J2455)))</formula>
    </cfRule>
  </conditionalFormatting>
  <conditionalFormatting sqref="L2492">
    <cfRule type="containsText" dxfId="2968" priority="3264" operator="containsText" text="Positive">
      <formula>NOT(ISERROR(SEARCH("Positive",L2492)))</formula>
    </cfRule>
    <cfRule type="containsText" dxfId="2967" priority="3265" operator="containsText" text="Negative">
      <formula>NOT(ISERROR(SEARCH("Negative",L2492)))</formula>
    </cfRule>
  </conditionalFormatting>
  <conditionalFormatting sqref="L2492">
    <cfRule type="containsText" dxfId="2966" priority="3260" operator="containsText" text="Positive">
      <formula>NOT(ISERROR(SEARCH("Positive",L2492)))</formula>
    </cfRule>
    <cfRule type="containsText" dxfId="2965" priority="3261" operator="containsText" text="Negative">
      <formula>NOT(ISERROR(SEARCH("Negative",L2492)))</formula>
    </cfRule>
  </conditionalFormatting>
  <conditionalFormatting sqref="L2492">
    <cfRule type="containsText" dxfId="2964" priority="3262" operator="containsText" text="Positive">
      <formula>NOT(ISERROR(SEARCH("Positive",L2492)))</formula>
    </cfRule>
    <cfRule type="containsText" dxfId="2963" priority="3263" operator="containsText" text="Negative">
      <formula>NOT(ISERROR(SEARCH("Negative",L2492)))</formula>
    </cfRule>
  </conditionalFormatting>
  <conditionalFormatting sqref="L2493">
    <cfRule type="containsText" dxfId="2962" priority="3253" operator="containsText" text="Positive">
      <formula>NOT(ISERROR(SEARCH("Positive",L2493)))</formula>
    </cfRule>
    <cfRule type="containsText" dxfId="2961" priority="3254" operator="containsText" text="Negative">
      <formula>NOT(ISERROR(SEARCH("Negative",L2493)))</formula>
    </cfRule>
  </conditionalFormatting>
  <conditionalFormatting sqref="J2497">
    <cfRule type="containsText" dxfId="2960" priority="3200" operator="containsText" text="Missing">
      <formula>NOT(ISERROR(SEARCH("Missing",J2497)))</formula>
    </cfRule>
  </conditionalFormatting>
  <conditionalFormatting sqref="J2497">
    <cfRule type="containsText" dxfId="2959" priority="3199" operator="containsText" text="Missing">
      <formula>NOT(ISERROR(SEARCH("Missing",J2497)))</formula>
    </cfRule>
  </conditionalFormatting>
  <conditionalFormatting sqref="L2494">
    <cfRule type="containsText" dxfId="2958" priority="3242" operator="containsText" text="Positive">
      <formula>NOT(ISERROR(SEARCH("Positive",L2494)))</formula>
    </cfRule>
    <cfRule type="containsText" dxfId="2957" priority="3243" operator="containsText" text="Negative">
      <formula>NOT(ISERROR(SEARCH("Negative",L2494)))</formula>
    </cfRule>
  </conditionalFormatting>
  <conditionalFormatting sqref="L2494">
    <cfRule type="containsText" dxfId="2956" priority="3238" operator="containsText" text="Positive">
      <formula>NOT(ISERROR(SEARCH("Positive",L2494)))</formula>
    </cfRule>
    <cfRule type="containsText" dxfId="2955" priority="3239" operator="containsText" text="Negative">
      <formula>NOT(ISERROR(SEARCH("Negative",L2494)))</formula>
    </cfRule>
  </conditionalFormatting>
  <conditionalFormatting sqref="L2494">
    <cfRule type="containsText" dxfId="2954" priority="3240" operator="containsText" text="Positive">
      <formula>NOT(ISERROR(SEARCH("Positive",L2494)))</formula>
    </cfRule>
    <cfRule type="containsText" dxfId="2953" priority="3241" operator="containsText" text="Negative">
      <formula>NOT(ISERROR(SEARCH("Negative",L2494)))</formula>
    </cfRule>
  </conditionalFormatting>
  <conditionalFormatting sqref="H2455">
    <cfRule type="containsText" dxfId="2952" priority="3166" operator="containsText" text="Missing">
      <formula>NOT(ISERROR(SEARCH("Missing",H2455)))</formula>
    </cfRule>
  </conditionalFormatting>
  <conditionalFormatting sqref="L2455">
    <cfRule type="containsText" dxfId="2951" priority="3171" operator="containsText" text="Positive">
      <formula>NOT(ISERROR(SEARCH("Positive",L2455)))</formula>
    </cfRule>
    <cfRule type="containsText" dxfId="2950" priority="3172" operator="containsText" text="Negative">
      <formula>NOT(ISERROR(SEARCH("Negative",L2455)))</formula>
    </cfRule>
  </conditionalFormatting>
  <conditionalFormatting sqref="L2495">
    <cfRule type="containsText" dxfId="2949" priority="3227" operator="containsText" text="Positive">
      <formula>NOT(ISERROR(SEARCH("Positive",L2495)))</formula>
    </cfRule>
    <cfRule type="containsText" dxfId="2948" priority="3228" operator="containsText" text="Negative">
      <formula>NOT(ISERROR(SEARCH("Negative",L2495)))</formula>
    </cfRule>
  </conditionalFormatting>
  <conditionalFormatting sqref="L2495">
    <cfRule type="containsText" dxfId="2947" priority="3229" operator="containsText" text="Positive">
      <formula>NOT(ISERROR(SEARCH("Positive",L2495)))</formula>
    </cfRule>
    <cfRule type="containsText" dxfId="2946" priority="3230" operator="containsText" text="Negative">
      <formula>NOT(ISERROR(SEARCH("Negative",L2495)))</formula>
    </cfRule>
  </conditionalFormatting>
  <conditionalFormatting sqref="J2463">
    <cfRule type="containsText" dxfId="2945" priority="3121" operator="containsText" text="Missing">
      <formula>NOT(ISERROR(SEARCH("Missing",J2463)))</formula>
    </cfRule>
  </conditionalFormatting>
  <conditionalFormatting sqref="H2454">
    <cfRule type="containsText" dxfId="2944" priority="3179" operator="containsText" text="Missing">
      <formula>NOT(ISERROR(SEARCH("Missing",H2454)))</formula>
    </cfRule>
  </conditionalFormatting>
  <conditionalFormatting sqref="H2454">
    <cfRule type="containsText" dxfId="2943" priority="3180" operator="containsText" text="Missing">
      <formula>NOT(ISERROR(SEARCH("Missing",H2454)))</formula>
    </cfRule>
  </conditionalFormatting>
  <conditionalFormatting sqref="K2455">
    <cfRule type="containsText" dxfId="2942" priority="3169" operator="containsText" text="Missing">
      <formula>NOT(ISERROR(SEARCH("Missing",K2455)))</formula>
    </cfRule>
  </conditionalFormatting>
  <conditionalFormatting sqref="H2455">
    <cfRule type="containsText" dxfId="2941" priority="3167" operator="containsText" text="Missing">
      <formula>NOT(ISERROR(SEARCH("Missing",H2455)))</formula>
    </cfRule>
  </conditionalFormatting>
  <conditionalFormatting sqref="L2455">
    <cfRule type="containsText" dxfId="2940" priority="3176" operator="containsText" text="Positive">
      <formula>NOT(ISERROR(SEARCH("Positive",L2455)))</formula>
    </cfRule>
    <cfRule type="containsText" dxfId="2939" priority="3177" operator="containsText" text="Negative">
      <formula>NOT(ISERROR(SEARCH("Negative",L2455)))</formula>
    </cfRule>
  </conditionalFormatting>
  <conditionalFormatting sqref="L2496">
    <cfRule type="containsText" dxfId="2938" priority="3212" operator="containsText" text="Positive">
      <formula>NOT(ISERROR(SEARCH("Positive",L2496)))</formula>
    </cfRule>
    <cfRule type="containsText" dxfId="2937" priority="3213" operator="containsText" text="Negative">
      <formula>NOT(ISERROR(SEARCH("Negative",L2496)))</formula>
    </cfRule>
  </conditionalFormatting>
  <conditionalFormatting sqref="L2455">
    <cfRule type="containsText" dxfId="2936" priority="3174" operator="containsText" text="Positive">
      <formula>NOT(ISERROR(SEARCH("Positive",L2455)))</formula>
    </cfRule>
    <cfRule type="containsText" dxfId="2935" priority="3175" operator="containsText" text="Negative">
      <formula>NOT(ISERROR(SEARCH("Negative",L2455)))</formula>
    </cfRule>
  </conditionalFormatting>
  <conditionalFormatting sqref="L2497">
    <cfRule type="containsText" dxfId="2934" priority="3205" operator="containsText" text="Positive">
      <formula>NOT(ISERROR(SEARCH("Positive",L2497)))</formula>
    </cfRule>
    <cfRule type="containsText" dxfId="2933" priority="3206" operator="containsText" text="Negative">
      <formula>NOT(ISERROR(SEARCH("Negative",L2497)))</formula>
    </cfRule>
  </conditionalFormatting>
  <conditionalFormatting sqref="L2497">
    <cfRule type="containsText" dxfId="2932" priority="3203" operator="containsText" text="Positive">
      <formula>NOT(ISERROR(SEARCH("Positive",L2497)))</formula>
    </cfRule>
    <cfRule type="containsText" dxfId="2931" priority="3204" operator="containsText" text="Negative">
      <formula>NOT(ISERROR(SEARCH("Negative",L2497)))</formula>
    </cfRule>
  </conditionalFormatting>
  <conditionalFormatting sqref="K2463">
    <cfRule type="containsText" dxfId="2930" priority="3117" operator="containsText" text="Missing">
      <formula>NOT(ISERROR(SEARCH("Missing",K2463)))</formula>
    </cfRule>
  </conditionalFormatting>
  <conditionalFormatting sqref="J2468">
    <cfRule type="containsText" dxfId="2929" priority="3108" operator="containsText" text="Missing">
      <formula>NOT(ISERROR(SEARCH("Missing",J2468)))</formula>
    </cfRule>
  </conditionalFormatting>
  <conditionalFormatting sqref="K2468">
    <cfRule type="containsText" dxfId="2928" priority="3103" operator="containsText" text="Missing">
      <formula>NOT(ISERROR(SEARCH("Missing",K2468)))</formula>
    </cfRule>
  </conditionalFormatting>
  <conditionalFormatting sqref="L2456">
    <cfRule type="containsText" dxfId="2927" priority="3158" operator="containsText" text="Positive">
      <formula>NOT(ISERROR(SEARCH("Positive",L2456)))</formula>
    </cfRule>
    <cfRule type="containsText" dxfId="2926" priority="3159" operator="containsText" text="Negative">
      <formula>NOT(ISERROR(SEARCH("Negative",L2456)))</formula>
    </cfRule>
  </conditionalFormatting>
  <conditionalFormatting sqref="L2456">
    <cfRule type="containsText" dxfId="2925" priority="3163" operator="containsText" text="Positive">
      <formula>NOT(ISERROR(SEARCH("Positive",L2456)))</formula>
    </cfRule>
    <cfRule type="containsText" dxfId="2924" priority="3164" operator="containsText" text="Negative">
      <formula>NOT(ISERROR(SEARCH("Negative",L2456)))</formula>
    </cfRule>
  </conditionalFormatting>
  <conditionalFormatting sqref="L2461">
    <cfRule type="containsText" dxfId="2923" priority="3145" operator="containsText" text="Positive">
      <formula>NOT(ISERROR(SEARCH("Positive",L2461)))</formula>
    </cfRule>
    <cfRule type="containsText" dxfId="2922" priority="3146" operator="containsText" text="Negative">
      <formula>NOT(ISERROR(SEARCH("Negative",L2461)))</formula>
    </cfRule>
  </conditionalFormatting>
  <conditionalFormatting sqref="L2461">
    <cfRule type="containsText" dxfId="2921" priority="3150" operator="containsText" text="Positive">
      <formula>NOT(ISERROR(SEARCH("Positive",L2461)))</formula>
    </cfRule>
    <cfRule type="containsText" dxfId="2920" priority="3151" operator="containsText" text="Negative">
      <formula>NOT(ISERROR(SEARCH("Negative",L2461)))</formula>
    </cfRule>
  </conditionalFormatting>
  <conditionalFormatting sqref="L2461">
    <cfRule type="containsText" dxfId="2919" priority="3148" operator="containsText" text="Positive">
      <formula>NOT(ISERROR(SEARCH("Positive",L2461)))</formula>
    </cfRule>
    <cfRule type="containsText" dxfId="2918" priority="3149" operator="containsText" text="Negative">
      <formula>NOT(ISERROR(SEARCH("Negative",L2461)))</formula>
    </cfRule>
  </conditionalFormatting>
  <conditionalFormatting sqref="L2462">
    <cfRule type="containsText" dxfId="2917" priority="3132" operator="containsText" text="Positive">
      <formula>NOT(ISERROR(SEARCH("Positive",L2462)))</formula>
    </cfRule>
    <cfRule type="containsText" dxfId="2916" priority="3133" operator="containsText" text="Negative">
      <formula>NOT(ISERROR(SEARCH("Negative",L2462)))</formula>
    </cfRule>
  </conditionalFormatting>
  <conditionalFormatting sqref="L2462">
    <cfRule type="containsText" dxfId="2915" priority="3137" operator="containsText" text="Positive">
      <formula>NOT(ISERROR(SEARCH("Positive",L2462)))</formula>
    </cfRule>
    <cfRule type="containsText" dxfId="2914" priority="3138" operator="containsText" text="Negative">
      <formula>NOT(ISERROR(SEARCH("Negative",L2462)))</formula>
    </cfRule>
  </conditionalFormatting>
  <conditionalFormatting sqref="L2462">
    <cfRule type="containsText" dxfId="2913" priority="3135" operator="containsText" text="Positive">
      <formula>NOT(ISERROR(SEARCH("Positive",L2462)))</formula>
    </cfRule>
    <cfRule type="containsText" dxfId="2912" priority="3136" operator="containsText" text="Negative">
      <formula>NOT(ISERROR(SEARCH("Negative",L2462)))</formula>
    </cfRule>
  </conditionalFormatting>
  <conditionalFormatting sqref="L2463">
    <cfRule type="containsText" dxfId="2911" priority="3124" operator="containsText" text="Positive">
      <formula>NOT(ISERROR(SEARCH("Positive",L2463)))</formula>
    </cfRule>
    <cfRule type="containsText" dxfId="2910" priority="3125" operator="containsText" text="Negative">
      <formula>NOT(ISERROR(SEARCH("Negative",L2463)))</formula>
    </cfRule>
  </conditionalFormatting>
  <conditionalFormatting sqref="L2463">
    <cfRule type="containsText" dxfId="2909" priority="3122" operator="containsText" text="Positive">
      <formula>NOT(ISERROR(SEARCH("Positive",L2463)))</formula>
    </cfRule>
    <cfRule type="containsText" dxfId="2908" priority="3123" operator="containsText" text="Negative">
      <formula>NOT(ISERROR(SEARCH("Negative",L2463)))</formula>
    </cfRule>
  </conditionalFormatting>
  <conditionalFormatting sqref="K2470">
    <cfRule type="containsText" dxfId="2907" priority="3078" operator="containsText" text="Missing">
      <formula>NOT(ISERROR(SEARCH("Missing",K2470)))</formula>
    </cfRule>
  </conditionalFormatting>
  <conditionalFormatting sqref="K2470">
    <cfRule type="containsText" dxfId="2906" priority="3077" operator="containsText" text="Missing">
      <formula>NOT(ISERROR(SEARCH("Missing",K2470)))</formula>
    </cfRule>
  </conditionalFormatting>
  <conditionalFormatting sqref="H2470">
    <cfRule type="containsText" dxfId="2905" priority="3076" operator="containsText" text="Missing">
      <formula>NOT(ISERROR(SEARCH("Missing",H2470)))</formula>
    </cfRule>
  </conditionalFormatting>
  <conditionalFormatting sqref="K2470">
    <cfRule type="containsText" dxfId="2904" priority="3079" operator="containsText" text="Missing">
      <formula>NOT(ISERROR(SEARCH("Missing",K2470)))</formula>
    </cfRule>
  </conditionalFormatting>
  <conditionalFormatting sqref="J2470">
    <cfRule type="containsText" dxfId="2903" priority="3082" operator="containsText" text="Missing">
      <formula>NOT(ISERROR(SEARCH("Missing",J2470)))</formula>
    </cfRule>
  </conditionalFormatting>
  <conditionalFormatting sqref="H2468">
    <cfRule type="containsText" dxfId="2902" priority="3102" operator="containsText" text="Missing">
      <formula>NOT(ISERROR(SEARCH("Missing",H2468)))</formula>
    </cfRule>
  </conditionalFormatting>
  <conditionalFormatting sqref="J2469">
    <cfRule type="containsText" dxfId="2901" priority="3095" operator="containsText" text="Missing">
      <formula>NOT(ISERROR(SEARCH("Missing",J2469)))</formula>
    </cfRule>
  </conditionalFormatting>
  <conditionalFormatting sqref="L2468">
    <cfRule type="containsText" dxfId="2900" priority="3106" operator="containsText" text="Positive">
      <formula>NOT(ISERROR(SEARCH("Positive",L2468)))</formula>
    </cfRule>
    <cfRule type="containsText" dxfId="2899" priority="3107" operator="containsText" text="Negative">
      <formula>NOT(ISERROR(SEARCH("Negative",L2468)))</formula>
    </cfRule>
  </conditionalFormatting>
  <conditionalFormatting sqref="L2468">
    <cfRule type="containsText" dxfId="2898" priority="3111" operator="containsText" text="Positive">
      <formula>NOT(ISERROR(SEARCH("Positive",L2468)))</formula>
    </cfRule>
    <cfRule type="containsText" dxfId="2897" priority="3112" operator="containsText" text="Negative">
      <formula>NOT(ISERROR(SEARCH("Negative",L2468)))</formula>
    </cfRule>
  </conditionalFormatting>
  <conditionalFormatting sqref="L2468">
    <cfRule type="containsText" dxfId="2896" priority="3109" operator="containsText" text="Positive">
      <formula>NOT(ISERROR(SEARCH("Positive",L2468)))</formula>
    </cfRule>
    <cfRule type="containsText" dxfId="2895" priority="3110" operator="containsText" text="Negative">
      <formula>NOT(ISERROR(SEARCH("Negative",L2468)))</formula>
    </cfRule>
  </conditionalFormatting>
  <conditionalFormatting sqref="H2468">
    <cfRule type="containsText" dxfId="2894" priority="3101" operator="containsText" text="Missing">
      <formula>NOT(ISERROR(SEARCH("Missing",H2468)))</formula>
    </cfRule>
  </conditionalFormatting>
  <conditionalFormatting sqref="K2469">
    <cfRule type="containsText" dxfId="2893" priority="3092" operator="containsText" text="Missing">
      <formula>NOT(ISERROR(SEARCH("Missing",K2469)))</formula>
    </cfRule>
  </conditionalFormatting>
  <conditionalFormatting sqref="K2469">
    <cfRule type="containsText" dxfId="2892" priority="3091" operator="containsText" text="Missing">
      <formula>NOT(ISERROR(SEARCH("Missing",K2469)))</formula>
    </cfRule>
  </conditionalFormatting>
  <conditionalFormatting sqref="L2469">
    <cfRule type="containsText" dxfId="2891" priority="3093" operator="containsText" text="Positive">
      <formula>NOT(ISERROR(SEARCH("Positive",L2469)))</formula>
    </cfRule>
    <cfRule type="containsText" dxfId="2890" priority="3094" operator="containsText" text="Negative">
      <formula>NOT(ISERROR(SEARCH("Negative",L2469)))</formula>
    </cfRule>
  </conditionalFormatting>
  <conditionalFormatting sqref="L2469">
    <cfRule type="containsText" dxfId="2889" priority="3098" operator="containsText" text="Positive">
      <formula>NOT(ISERROR(SEARCH("Positive",L2469)))</formula>
    </cfRule>
    <cfRule type="containsText" dxfId="2888" priority="3099" operator="containsText" text="Negative">
      <formula>NOT(ISERROR(SEARCH("Negative",L2469)))</formula>
    </cfRule>
  </conditionalFormatting>
  <conditionalFormatting sqref="L2469">
    <cfRule type="containsText" dxfId="2887" priority="3096" operator="containsText" text="Positive">
      <formula>NOT(ISERROR(SEARCH("Positive",L2469)))</formula>
    </cfRule>
    <cfRule type="containsText" dxfId="2886" priority="3097" operator="containsText" text="Negative">
      <formula>NOT(ISERROR(SEARCH("Negative",L2469)))</formula>
    </cfRule>
  </conditionalFormatting>
  <conditionalFormatting sqref="K2469">
    <cfRule type="containsText" dxfId="2885" priority="3090" operator="containsText" text="Missing">
      <formula>NOT(ISERROR(SEARCH("Missing",K2469)))</formula>
    </cfRule>
  </conditionalFormatting>
  <conditionalFormatting sqref="H2469">
    <cfRule type="containsText" dxfId="2884" priority="3089" operator="containsText" text="Missing">
      <formula>NOT(ISERROR(SEARCH("Missing",H2469)))</formula>
    </cfRule>
  </conditionalFormatting>
  <conditionalFormatting sqref="H2469">
    <cfRule type="containsText" dxfId="2883" priority="3088" operator="containsText" text="Missing">
      <formula>NOT(ISERROR(SEARCH("Missing",H2469)))</formula>
    </cfRule>
  </conditionalFormatting>
  <conditionalFormatting sqref="L2470">
    <cfRule type="containsText" dxfId="2882" priority="3080" operator="containsText" text="Positive">
      <formula>NOT(ISERROR(SEARCH("Positive",L2470)))</formula>
    </cfRule>
    <cfRule type="containsText" dxfId="2881" priority="3081" operator="containsText" text="Negative">
      <formula>NOT(ISERROR(SEARCH("Negative",L2470)))</formula>
    </cfRule>
  </conditionalFormatting>
  <conditionalFormatting sqref="L2470">
    <cfRule type="containsText" dxfId="2880" priority="3085" operator="containsText" text="Positive">
      <formula>NOT(ISERROR(SEARCH("Positive",L2470)))</formula>
    </cfRule>
    <cfRule type="containsText" dxfId="2879" priority="3086" operator="containsText" text="Negative">
      <formula>NOT(ISERROR(SEARCH("Negative",L2470)))</formula>
    </cfRule>
  </conditionalFormatting>
  <conditionalFormatting sqref="L2470">
    <cfRule type="containsText" dxfId="2878" priority="3083" operator="containsText" text="Positive">
      <formula>NOT(ISERROR(SEARCH("Positive",L2470)))</formula>
    </cfRule>
    <cfRule type="containsText" dxfId="2877" priority="3084" operator="containsText" text="Negative">
      <formula>NOT(ISERROR(SEARCH("Negative",L2470)))</formula>
    </cfRule>
  </conditionalFormatting>
  <conditionalFormatting sqref="H2470">
    <cfRule type="containsText" dxfId="2876" priority="3075" operator="containsText" text="Missing">
      <formula>NOT(ISERROR(SEARCH("Missing",H2470)))</formula>
    </cfRule>
  </conditionalFormatting>
  <conditionalFormatting sqref="I2454">
    <cfRule type="containsText" dxfId="2875" priority="3065" operator="containsText" text="Missing">
      <formula>NOT(ISERROR(SEARCH("Missing",I2454)))</formula>
    </cfRule>
  </conditionalFormatting>
  <conditionalFormatting sqref="I2454">
    <cfRule type="containsText" dxfId="2874" priority="3066" operator="containsText" text="Missing">
      <formula>NOT(ISERROR(SEARCH("Missing",I2454)))</formula>
    </cfRule>
  </conditionalFormatting>
  <conditionalFormatting sqref="I2455">
    <cfRule type="containsText" dxfId="2873" priority="3063" operator="containsText" text="Missing">
      <formula>NOT(ISERROR(SEARCH("Missing",I2455)))</formula>
    </cfRule>
  </conditionalFormatting>
  <conditionalFormatting sqref="I2455">
    <cfRule type="containsText" dxfId="2872" priority="3064" operator="containsText" text="Missing">
      <formula>NOT(ISERROR(SEARCH("Missing",I2455)))</formula>
    </cfRule>
  </conditionalFormatting>
  <conditionalFormatting sqref="I2456">
    <cfRule type="containsText" dxfId="2871" priority="3062" operator="containsText" text="Missing">
      <formula>NOT(ISERROR(SEARCH("Missing",I2456)))</formula>
    </cfRule>
  </conditionalFormatting>
  <conditionalFormatting sqref="I2461">
    <cfRule type="containsText" dxfId="2870" priority="3059" operator="containsText" text="Missing">
      <formula>NOT(ISERROR(SEARCH("Missing",I2461)))</formula>
    </cfRule>
  </conditionalFormatting>
  <conditionalFormatting sqref="I2461">
    <cfRule type="containsText" dxfId="2869" priority="3060" operator="containsText" text="Missing">
      <formula>NOT(ISERROR(SEARCH("Missing",I2461)))</formula>
    </cfRule>
  </conditionalFormatting>
  <conditionalFormatting sqref="I2469">
    <cfRule type="containsText" dxfId="2868" priority="3051" operator="containsText" text="Missing">
      <formula>NOT(ISERROR(SEARCH("Missing",I2469)))</formula>
    </cfRule>
  </conditionalFormatting>
  <conditionalFormatting sqref="I2470">
    <cfRule type="containsText" dxfId="2867" priority="3050" operator="containsText" text="Missing">
      <formula>NOT(ISERROR(SEARCH("Missing",I2470)))</formula>
    </cfRule>
  </conditionalFormatting>
  <conditionalFormatting sqref="L2551:L2552">
    <cfRule type="containsText" dxfId="2866" priority="3043" operator="containsText" text="Positive">
      <formula>NOT(ISERROR(SEARCH("Positive",L2551)))</formula>
    </cfRule>
    <cfRule type="containsText" dxfId="2865" priority="3044" operator="containsText" text="Negative">
      <formula>NOT(ISERROR(SEARCH("Negative",L2551)))</formula>
    </cfRule>
  </conditionalFormatting>
  <conditionalFormatting sqref="L2551:L2552">
    <cfRule type="containsText" dxfId="2864" priority="3047" operator="containsText" text="Positive">
      <formula>NOT(ISERROR(SEARCH("Positive",L2551)))</formula>
    </cfRule>
    <cfRule type="containsText" dxfId="2863" priority="3048" operator="containsText" text="Negative">
      <formula>NOT(ISERROR(SEARCH("Negative",L2551)))</formula>
    </cfRule>
  </conditionalFormatting>
  <conditionalFormatting sqref="J2552">
    <cfRule type="containsText" dxfId="2862" priority="3040" operator="containsText" text="Missing">
      <formula>NOT(ISERROR(SEARCH("Missing",J2552)))</formula>
    </cfRule>
  </conditionalFormatting>
  <conditionalFormatting sqref="J2552">
    <cfRule type="containsText" dxfId="2861" priority="3039" operator="containsText" text="Missing">
      <formula>NOT(ISERROR(SEARCH("Missing",J2552)))</formula>
    </cfRule>
  </conditionalFormatting>
  <conditionalFormatting sqref="L2551:L2552">
    <cfRule type="containsText" dxfId="2860" priority="3045" operator="containsText" text="Positive">
      <formula>NOT(ISERROR(SEARCH("Positive",L2551)))</formula>
    </cfRule>
    <cfRule type="containsText" dxfId="2859" priority="3046" operator="containsText" text="Negative">
      <formula>NOT(ISERROR(SEARCH("Negative",L2551)))</formula>
    </cfRule>
  </conditionalFormatting>
  <conditionalFormatting sqref="K2551:K2552">
    <cfRule type="containsText" dxfId="2858" priority="3036" operator="containsText" text="Missing">
      <formula>NOT(ISERROR(SEARCH("Missing",K2551)))</formula>
    </cfRule>
  </conditionalFormatting>
  <conditionalFormatting sqref="J2551">
    <cfRule type="containsText" dxfId="2857" priority="3042" operator="containsText" text="Missing">
      <formula>NOT(ISERROR(SEARCH("Missing",J2551)))</formula>
    </cfRule>
  </conditionalFormatting>
  <conditionalFormatting sqref="J2551">
    <cfRule type="containsText" dxfId="2856" priority="3041" operator="containsText" text="Missing">
      <formula>NOT(ISERROR(SEARCH("Missing",J2551)))</formula>
    </cfRule>
  </conditionalFormatting>
  <conditionalFormatting sqref="K2551:K2552">
    <cfRule type="containsText" dxfId="2855" priority="3038" operator="containsText" text="Missing">
      <formula>NOT(ISERROR(SEARCH("Missing",K2551)))</formula>
    </cfRule>
  </conditionalFormatting>
  <conditionalFormatting sqref="K2551:K2552">
    <cfRule type="containsText" dxfId="2854" priority="3037" operator="containsText" text="Missing">
      <formula>NOT(ISERROR(SEARCH("Missing",K2551)))</formula>
    </cfRule>
  </conditionalFormatting>
  <conditionalFormatting sqref="H2551:H2552">
    <cfRule type="containsText" dxfId="2853" priority="3034" operator="containsText" text="Missing">
      <formula>NOT(ISERROR(SEARCH("Missing",H2551)))</formula>
    </cfRule>
  </conditionalFormatting>
  <conditionalFormatting sqref="H2551:H2552">
    <cfRule type="containsText" dxfId="2852" priority="3035" operator="containsText" text="Missing">
      <formula>NOT(ISERROR(SEARCH("Missing",H2551)))</formula>
    </cfRule>
  </conditionalFormatting>
  <conditionalFormatting sqref="I2551">
    <cfRule type="containsText" dxfId="2851" priority="3033" operator="containsText" text="Missing">
      <formula>NOT(ISERROR(SEARCH("Missing",I2551)))</formula>
    </cfRule>
  </conditionalFormatting>
  <conditionalFormatting sqref="I2552">
    <cfRule type="containsText" dxfId="2850" priority="3032" operator="containsText" text="Missing">
      <formula>NOT(ISERROR(SEARCH("Missing",I2552)))</formula>
    </cfRule>
  </conditionalFormatting>
  <conditionalFormatting sqref="K2525">
    <cfRule type="containsText" dxfId="2849" priority="3022" operator="containsText" text="Missing">
      <formula>NOT(ISERROR(SEARCH("Missing",K2525)))</formula>
    </cfRule>
  </conditionalFormatting>
  <conditionalFormatting sqref="J2527">
    <cfRule type="containsText" dxfId="2848" priority="3014" operator="containsText" text="Missing">
      <formula>NOT(ISERROR(SEARCH("Missing",J2527)))</formula>
    </cfRule>
  </conditionalFormatting>
  <conditionalFormatting sqref="K2535">
    <cfRule type="containsText" dxfId="2847" priority="2851" operator="containsText" text="Missing">
      <formula>NOT(ISERROR(SEARCH("Missing",K2535)))</formula>
    </cfRule>
  </conditionalFormatting>
  <conditionalFormatting sqref="J2527">
    <cfRule type="containsText" dxfId="2846" priority="3013" operator="containsText" text="Missing">
      <formula>NOT(ISERROR(SEARCH("Missing",J2527)))</formula>
    </cfRule>
  </conditionalFormatting>
  <conditionalFormatting sqref="H2528">
    <cfRule type="containsText" dxfId="2845" priority="2971" operator="containsText" text="Missing">
      <formula>NOT(ISERROR(SEARCH("Missing",H2528)))</formula>
    </cfRule>
  </conditionalFormatting>
  <conditionalFormatting sqref="L2529">
    <cfRule type="containsText" dxfId="2844" priority="2969" operator="containsText" text="Positive">
      <formula>NOT(ISERROR(SEARCH("Positive",L2529)))</formula>
    </cfRule>
    <cfRule type="containsText" dxfId="2843" priority="2970" operator="containsText" text="Negative">
      <formula>NOT(ISERROR(SEARCH("Negative",L2529)))</formula>
    </cfRule>
  </conditionalFormatting>
  <conditionalFormatting sqref="L2539">
    <cfRule type="containsText" dxfId="2842" priority="2956" operator="containsText" text="Positive">
      <formula>NOT(ISERROR(SEARCH("Positive",L2539)))</formula>
    </cfRule>
    <cfRule type="containsText" dxfId="2841" priority="2957" operator="containsText" text="Negative">
      <formula>NOT(ISERROR(SEARCH("Negative",L2539)))</formula>
    </cfRule>
  </conditionalFormatting>
  <conditionalFormatting sqref="K2529">
    <cfRule type="containsText" dxfId="2840" priority="2962" operator="containsText" text="Missing">
      <formula>NOT(ISERROR(SEARCH("Missing",K2529)))</formula>
    </cfRule>
  </conditionalFormatting>
  <conditionalFormatting sqref="J2528">
    <cfRule type="containsText" dxfId="2839" priority="2976" operator="containsText" text="Missing">
      <formula>NOT(ISERROR(SEARCH("Missing",J2528)))</formula>
    </cfRule>
  </conditionalFormatting>
  <conditionalFormatting sqref="K2522">
    <cfRule type="containsText" dxfId="2838" priority="2417" operator="containsText" text="Missing">
      <formula>NOT(ISERROR(SEARCH("Missing",K2522)))</formula>
    </cfRule>
  </conditionalFormatting>
  <conditionalFormatting sqref="L2533">
    <cfRule type="containsText" dxfId="2837" priority="2906" operator="containsText" text="Positive">
      <formula>NOT(ISERROR(SEARCH("Positive",L2533)))</formula>
    </cfRule>
    <cfRule type="containsText" dxfId="2836" priority="2907" operator="containsText" text="Negative">
      <formula>NOT(ISERROR(SEARCH("Negative",L2533)))</formula>
    </cfRule>
  </conditionalFormatting>
  <conditionalFormatting sqref="K2531">
    <cfRule type="containsText" dxfId="2835" priority="2913" operator="containsText" text="Missing">
      <formula>NOT(ISERROR(SEARCH("Missing",K2531)))</formula>
    </cfRule>
  </conditionalFormatting>
  <conditionalFormatting sqref="K2531">
    <cfRule type="containsText" dxfId="2834" priority="2914" operator="containsText" text="Missing">
      <formula>NOT(ISERROR(SEARCH("Missing",K2531)))</formula>
    </cfRule>
  </conditionalFormatting>
  <conditionalFormatting sqref="L2535">
    <cfRule type="containsText" dxfId="2833" priority="2856" operator="containsText" text="Positive">
      <formula>NOT(ISERROR(SEARCH("Positive",L2535)))</formula>
    </cfRule>
    <cfRule type="containsText" dxfId="2832" priority="2857" operator="containsText" text="Negative">
      <formula>NOT(ISERROR(SEARCH("Negative",L2535)))</formula>
    </cfRule>
  </conditionalFormatting>
  <conditionalFormatting sqref="L2535">
    <cfRule type="containsText" dxfId="2831" priority="2858" operator="containsText" text="Positive">
      <formula>NOT(ISERROR(SEARCH("Positive",L2535)))</formula>
    </cfRule>
    <cfRule type="containsText" dxfId="2830" priority="2859" operator="containsText" text="Negative">
      <formula>NOT(ISERROR(SEARCH("Negative",L2535)))</formula>
    </cfRule>
  </conditionalFormatting>
  <conditionalFormatting sqref="H2535">
    <cfRule type="containsText" dxfId="2829" priority="2850" operator="containsText" text="Missing">
      <formula>NOT(ISERROR(SEARCH("Missing",H2535)))</formula>
    </cfRule>
  </conditionalFormatting>
  <conditionalFormatting sqref="H2535">
    <cfRule type="containsText" dxfId="2828" priority="2849" operator="containsText" text="Missing">
      <formula>NOT(ISERROR(SEARCH("Missing",H2535)))</formula>
    </cfRule>
  </conditionalFormatting>
  <conditionalFormatting sqref="J2529">
    <cfRule type="containsText" dxfId="2827" priority="2963" operator="containsText" text="Missing">
      <formula>NOT(ISERROR(SEARCH("Missing",J2529)))</formula>
    </cfRule>
  </conditionalFormatting>
  <conditionalFormatting sqref="I2532">
    <cfRule type="containsText" dxfId="2826" priority="2848" operator="containsText" text="Missing">
      <formula>NOT(ISERROR(SEARCH("Missing",I2532)))</formula>
    </cfRule>
  </conditionalFormatting>
  <conditionalFormatting sqref="L2531">
    <cfRule type="containsText" dxfId="2825" priority="2919" operator="containsText" text="Positive">
      <formula>NOT(ISERROR(SEARCH("Positive",L2531)))</formula>
    </cfRule>
    <cfRule type="containsText" dxfId="2824" priority="2920" operator="containsText" text="Negative">
      <formula>NOT(ISERROR(SEARCH("Negative",L2531)))</formula>
    </cfRule>
  </conditionalFormatting>
  <conditionalFormatting sqref="H2532">
    <cfRule type="containsText" dxfId="2823" priority="2875" operator="containsText" text="Missing">
      <formula>NOT(ISERROR(SEARCH("Missing",H2532)))</formula>
    </cfRule>
  </conditionalFormatting>
  <conditionalFormatting sqref="H2539">
    <cfRule type="containsText" dxfId="2822" priority="2944" operator="containsText" text="Missing">
      <formula>NOT(ISERROR(SEARCH("Missing",H2539)))</formula>
    </cfRule>
  </conditionalFormatting>
  <conditionalFormatting sqref="H2540">
    <cfRule type="containsText" dxfId="2821" priority="2925" operator="containsText" text="Missing">
      <formula>NOT(ISERROR(SEARCH("Missing",H2540)))</formula>
    </cfRule>
  </conditionalFormatting>
  <conditionalFormatting sqref="I2526">
    <cfRule type="containsText" dxfId="2820" priority="2943" operator="containsText" text="Missing">
      <formula>NOT(ISERROR(SEARCH("Missing",I2526)))</formula>
    </cfRule>
  </conditionalFormatting>
  <conditionalFormatting sqref="I2528">
    <cfRule type="containsText" dxfId="2819" priority="2942" operator="containsText" text="Missing">
      <formula>NOT(ISERROR(SEARCH("Missing",I2528)))</formula>
    </cfRule>
  </conditionalFormatting>
  <conditionalFormatting sqref="H2540">
    <cfRule type="containsText" dxfId="2818" priority="2924" operator="containsText" text="Missing">
      <formula>NOT(ISERROR(SEARCH("Missing",H2540)))</formula>
    </cfRule>
  </conditionalFormatting>
  <conditionalFormatting sqref="H2540">
    <cfRule type="containsText" dxfId="2817" priority="2923" operator="containsText" text="Missing">
      <formula>NOT(ISERROR(SEARCH("Missing",H2540)))</formula>
    </cfRule>
  </conditionalFormatting>
  <conditionalFormatting sqref="J2540">
    <cfRule type="containsText" dxfId="2816" priority="2931" operator="containsText" text="Missing">
      <formula>NOT(ISERROR(SEARCH("Missing",J2540)))</formula>
    </cfRule>
  </conditionalFormatting>
  <conditionalFormatting sqref="J2539">
    <cfRule type="containsText" dxfId="2815" priority="2951" operator="containsText" text="Missing">
      <formula>NOT(ISERROR(SEARCH("Missing",J2539)))</formula>
    </cfRule>
  </conditionalFormatting>
  <conditionalFormatting sqref="J2529">
    <cfRule type="containsText" dxfId="2814" priority="2964" operator="containsText" text="Missing">
      <formula>NOT(ISERROR(SEARCH("Missing",J2529)))</formula>
    </cfRule>
  </conditionalFormatting>
  <conditionalFormatting sqref="I2525">
    <cfRule type="containsText" dxfId="2813" priority="2940" operator="containsText" text="Missing">
      <formula>NOT(ISERROR(SEARCH("Missing",I2525)))</formula>
    </cfRule>
  </conditionalFormatting>
  <conditionalFormatting sqref="K2531">
    <cfRule type="containsText" dxfId="2812" priority="2912" operator="containsText" text="Missing">
      <formula>NOT(ISERROR(SEARCH("Missing",K2531)))</formula>
    </cfRule>
  </conditionalFormatting>
  <conditionalFormatting sqref="K2534">
    <cfRule type="containsText" dxfId="2811" priority="2864" operator="containsText" text="Missing">
      <formula>NOT(ISERROR(SEARCH("Missing",K2534)))</formula>
    </cfRule>
  </conditionalFormatting>
  <conditionalFormatting sqref="K2534">
    <cfRule type="containsText" dxfId="2810" priority="2865" operator="containsText" text="Missing">
      <formula>NOT(ISERROR(SEARCH("Missing",K2534)))</formula>
    </cfRule>
  </conditionalFormatting>
  <conditionalFormatting sqref="K2534">
    <cfRule type="containsText" dxfId="2809" priority="2866" operator="containsText" text="Missing">
      <formula>NOT(ISERROR(SEARCH("Missing",K2534)))</formula>
    </cfRule>
  </conditionalFormatting>
  <conditionalFormatting sqref="L2531">
    <cfRule type="containsText" dxfId="2808" priority="2917" operator="containsText" text="Positive">
      <formula>NOT(ISERROR(SEARCH("Positive",L2531)))</formula>
    </cfRule>
    <cfRule type="containsText" dxfId="2807" priority="2918" operator="containsText" text="Negative">
      <formula>NOT(ISERROR(SEARCH("Negative",L2531)))</formula>
    </cfRule>
  </conditionalFormatting>
  <conditionalFormatting sqref="I2530">
    <cfRule type="containsText" dxfId="2806" priority="2941" operator="containsText" text="Missing">
      <formula>NOT(ISERROR(SEARCH("Missing",I2530)))</formula>
    </cfRule>
  </conditionalFormatting>
  <conditionalFormatting sqref="H2534">
    <cfRule type="containsText" dxfId="2805" priority="2863" operator="containsText" text="Missing">
      <formula>NOT(ISERROR(SEARCH("Missing",H2534)))</formula>
    </cfRule>
  </conditionalFormatting>
  <conditionalFormatting sqref="K2533">
    <cfRule type="containsText" dxfId="2804" priority="2901" operator="containsText" text="Missing">
      <formula>NOT(ISERROR(SEARCH("Missing",K2533)))</formula>
    </cfRule>
  </conditionalFormatting>
  <conditionalFormatting sqref="I2540">
    <cfRule type="containsText" dxfId="2803" priority="2926" operator="containsText" text="Missing">
      <formula>NOT(ISERROR(SEARCH("Missing",I2540)))</formula>
    </cfRule>
  </conditionalFormatting>
  <conditionalFormatting sqref="I2534">
    <cfRule type="containsText" dxfId="2802" priority="2847" operator="containsText" text="Missing">
      <formula>NOT(ISERROR(SEARCH("Missing",I2534)))</formula>
    </cfRule>
  </conditionalFormatting>
  <conditionalFormatting sqref="H2531 H2533 H2536">
    <cfRule type="containsText" dxfId="2801" priority="2888" operator="containsText" text="Missing">
      <formula>NOT(ISERROR(SEARCH("Missing",H2531)))</formula>
    </cfRule>
  </conditionalFormatting>
  <conditionalFormatting sqref="K2535">
    <cfRule type="containsText" dxfId="2800" priority="2852" operator="containsText" text="Missing">
      <formula>NOT(ISERROR(SEARCH("Missing",K2535)))</formula>
    </cfRule>
  </conditionalFormatting>
  <conditionalFormatting sqref="J2534">
    <cfRule type="containsText" dxfId="2799" priority="2868" operator="containsText" text="Missing">
      <formula>NOT(ISERROR(SEARCH("Missing",J2534)))</formula>
    </cfRule>
  </conditionalFormatting>
  <conditionalFormatting sqref="J2540">
    <cfRule type="containsText" dxfId="2798" priority="2930" operator="containsText" text="Missing">
      <formula>NOT(ISERROR(SEARCH("Missing",J2540)))</formula>
    </cfRule>
  </conditionalFormatting>
  <conditionalFormatting sqref="K2540">
    <cfRule type="containsText" dxfId="2797" priority="2929" operator="containsText" text="Missing">
      <formula>NOT(ISERROR(SEARCH("Missing",K2540)))</formula>
    </cfRule>
  </conditionalFormatting>
  <conditionalFormatting sqref="L2540">
    <cfRule type="containsText" dxfId="2796" priority="2936" operator="containsText" text="Positive">
      <formula>NOT(ISERROR(SEARCH("Positive",L2540)))</formula>
    </cfRule>
    <cfRule type="containsText" dxfId="2795" priority="2937" operator="containsText" text="Negative">
      <formula>NOT(ISERROR(SEARCH("Negative",L2540)))</formula>
    </cfRule>
  </conditionalFormatting>
  <conditionalFormatting sqref="L2540">
    <cfRule type="containsText" dxfId="2794" priority="2934" operator="containsText" text="Positive">
      <formula>NOT(ISERROR(SEARCH("Positive",L2540)))</formula>
    </cfRule>
    <cfRule type="containsText" dxfId="2793" priority="2935" operator="containsText" text="Negative">
      <formula>NOT(ISERROR(SEARCH("Negative",L2540)))</formula>
    </cfRule>
  </conditionalFormatting>
  <conditionalFormatting sqref="K2540">
    <cfRule type="containsText" dxfId="2792" priority="2928" operator="containsText" text="Missing">
      <formula>NOT(ISERROR(SEARCH("Missing",K2540)))</formula>
    </cfRule>
  </conditionalFormatting>
  <conditionalFormatting sqref="K2540">
    <cfRule type="containsText" dxfId="2791" priority="2927" operator="containsText" text="Missing">
      <formula>NOT(ISERROR(SEARCH("Missing",K2540)))</formula>
    </cfRule>
  </conditionalFormatting>
  <conditionalFormatting sqref="J2535">
    <cfRule type="containsText" dxfId="2790" priority="2855" operator="containsText" text="Missing">
      <formula>NOT(ISERROR(SEARCH("Missing",J2535)))</formula>
    </cfRule>
  </conditionalFormatting>
  <conditionalFormatting sqref="H2534">
    <cfRule type="containsText" dxfId="2789" priority="2862" operator="containsText" text="Missing">
      <formula>NOT(ISERROR(SEARCH("Missing",H2534)))</formula>
    </cfRule>
  </conditionalFormatting>
  <conditionalFormatting sqref="L2535">
    <cfRule type="containsText" dxfId="2788" priority="2860" operator="containsText" text="Positive">
      <formula>NOT(ISERROR(SEARCH("Positive",L2535)))</formula>
    </cfRule>
    <cfRule type="containsText" dxfId="2787" priority="2861" operator="containsText" text="Negative">
      <formula>NOT(ISERROR(SEARCH("Negative",L2535)))</formula>
    </cfRule>
  </conditionalFormatting>
  <conditionalFormatting sqref="J2534">
    <cfRule type="containsText" dxfId="2786" priority="2867" operator="containsText" text="Missing">
      <formula>NOT(ISERROR(SEARCH("Missing",J2534)))</formula>
    </cfRule>
  </conditionalFormatting>
  <conditionalFormatting sqref="K2535">
    <cfRule type="containsText" dxfId="2785" priority="2853" operator="containsText" text="Missing">
      <formula>NOT(ISERROR(SEARCH("Missing",K2535)))</formula>
    </cfRule>
  </conditionalFormatting>
  <conditionalFormatting sqref="J2535">
    <cfRule type="containsText" dxfId="2784" priority="2854" operator="containsText" text="Missing">
      <formula>NOT(ISERROR(SEARCH("Missing",J2535)))</formula>
    </cfRule>
  </conditionalFormatting>
  <conditionalFormatting sqref="K2513">
    <cfRule type="containsText" dxfId="2783" priority="2718" operator="containsText" text="Missing">
      <formula>NOT(ISERROR(SEARCH("Missing",K2513)))</formula>
    </cfRule>
  </conditionalFormatting>
  <conditionalFormatting sqref="H2513">
    <cfRule type="containsText" dxfId="2782" priority="2717" operator="containsText" text="Missing">
      <formula>NOT(ISERROR(SEARCH("Missing",H2513)))</formula>
    </cfRule>
  </conditionalFormatting>
  <conditionalFormatting sqref="K2513">
    <cfRule type="containsText" dxfId="2781" priority="2720" operator="containsText" text="Missing">
      <formula>NOT(ISERROR(SEARCH("Missing",K2513)))</formula>
    </cfRule>
  </conditionalFormatting>
  <conditionalFormatting sqref="K2513">
    <cfRule type="containsText" dxfId="2780" priority="2719" operator="containsText" text="Missing">
      <formula>NOT(ISERROR(SEARCH("Missing",K2513)))</formula>
    </cfRule>
  </conditionalFormatting>
  <conditionalFormatting sqref="K2547">
    <cfRule type="containsText" dxfId="2779" priority="2546" operator="containsText" text="Missing">
      <formula>NOT(ISERROR(SEARCH("Missing",K2547)))</formula>
    </cfRule>
  </conditionalFormatting>
  <conditionalFormatting sqref="L2510">
    <cfRule type="containsText" dxfId="2778" priority="2473" operator="containsText" text="Positive">
      <formula>NOT(ISERROR(SEARCH("Positive",L2510)))</formula>
    </cfRule>
    <cfRule type="containsText" dxfId="2777" priority="2474" operator="containsText" text="Negative">
      <formula>NOT(ISERROR(SEARCH("Negative",L2510)))</formula>
    </cfRule>
  </conditionalFormatting>
  <conditionalFormatting sqref="H2510">
    <cfRule type="containsText" dxfId="2776" priority="2466" operator="containsText" text="Missing">
      <formula>NOT(ISERROR(SEARCH("Missing",H2510)))</formula>
    </cfRule>
  </conditionalFormatting>
  <conditionalFormatting sqref="K2547">
    <cfRule type="containsText" dxfId="2775" priority="2547" operator="containsText" text="Missing">
      <formula>NOT(ISERROR(SEARCH("Missing",K2547)))</formula>
    </cfRule>
  </conditionalFormatting>
  <conditionalFormatting sqref="K2547">
    <cfRule type="containsText" dxfId="2774" priority="2545" operator="containsText" text="Missing">
      <formula>NOT(ISERROR(SEARCH("Missing",K2547)))</formula>
    </cfRule>
  </conditionalFormatting>
  <conditionalFormatting sqref="J2546">
    <cfRule type="containsText" dxfId="2773" priority="2560" operator="containsText" text="Missing">
      <formula>NOT(ISERROR(SEARCH("Missing",J2546)))</formula>
    </cfRule>
  </conditionalFormatting>
  <conditionalFormatting sqref="J2546">
    <cfRule type="containsText" dxfId="2772" priority="2559" operator="containsText" text="Missing">
      <formula>NOT(ISERROR(SEARCH("Missing",J2546)))</formula>
    </cfRule>
  </conditionalFormatting>
  <conditionalFormatting sqref="L2546">
    <cfRule type="containsText" dxfId="2771" priority="2563" operator="containsText" text="Positive">
      <formula>NOT(ISERROR(SEARCH("Positive",L2546)))</formula>
    </cfRule>
    <cfRule type="containsText" dxfId="2770" priority="2564" operator="containsText" text="Negative">
      <formula>NOT(ISERROR(SEARCH("Negative",L2546)))</formula>
    </cfRule>
  </conditionalFormatting>
  <conditionalFormatting sqref="J2543">
    <cfRule type="containsText" dxfId="2769" priority="2601" operator="containsText" text="Missing">
      <formula>NOT(ISERROR(SEARCH("Missing",J2543)))</formula>
    </cfRule>
  </conditionalFormatting>
  <conditionalFormatting sqref="K2544">
    <cfRule type="containsText" dxfId="2768" priority="2585" operator="containsText" text="Missing">
      <formula>NOT(ISERROR(SEARCH("Missing",K2544)))</formula>
    </cfRule>
  </conditionalFormatting>
  <conditionalFormatting sqref="K2515">
    <cfRule type="containsText" dxfId="2767" priority="2454" operator="containsText" text="Missing">
      <formula>NOT(ISERROR(SEARCH("Missing",K2515)))</formula>
    </cfRule>
  </conditionalFormatting>
  <conditionalFormatting sqref="J2545">
    <cfRule type="containsText" dxfId="2766" priority="2571" operator="containsText" text="Missing">
      <formula>NOT(ISERROR(SEARCH("Missing",J2545)))</formula>
    </cfRule>
  </conditionalFormatting>
  <conditionalFormatting sqref="H2510">
    <cfRule type="containsText" dxfId="2765" priority="2465" operator="containsText" text="Missing">
      <formula>NOT(ISERROR(SEARCH("Missing",H2510)))</formula>
    </cfRule>
  </conditionalFormatting>
  <conditionalFormatting sqref="K2565">
    <cfRule type="containsText" dxfId="2764" priority="1783" operator="containsText" text="Missing">
      <formula>NOT(ISERROR(SEARCH("Missing",K2565)))</formula>
    </cfRule>
  </conditionalFormatting>
  <conditionalFormatting sqref="J2545">
    <cfRule type="containsText" dxfId="2763" priority="2570" operator="containsText" text="Missing">
      <formula>NOT(ISERROR(SEARCH("Missing",J2545)))</formula>
    </cfRule>
  </conditionalFormatting>
  <conditionalFormatting sqref="K2510">
    <cfRule type="containsText" dxfId="2762" priority="2469" operator="containsText" text="Missing">
      <formula>NOT(ISERROR(SEARCH("Missing",K2510)))</formula>
    </cfRule>
  </conditionalFormatting>
  <conditionalFormatting sqref="H2515">
    <cfRule type="containsText" dxfId="2761" priority="2453" operator="containsText" text="Missing">
      <formula>NOT(ISERROR(SEARCH("Missing",H2515)))</formula>
    </cfRule>
  </conditionalFormatting>
  <conditionalFormatting sqref="K2546">
    <cfRule type="containsText" dxfId="2760" priority="2558" operator="containsText" text="Missing">
      <formula>NOT(ISERROR(SEARCH("Missing",K2546)))</formula>
    </cfRule>
  </conditionalFormatting>
  <conditionalFormatting sqref="K2546">
    <cfRule type="containsText" dxfId="2759" priority="2557" operator="containsText" text="Missing">
      <formula>NOT(ISERROR(SEARCH("Missing",K2546)))</formula>
    </cfRule>
  </conditionalFormatting>
  <conditionalFormatting sqref="K2546">
    <cfRule type="containsText" dxfId="2758" priority="2556" operator="containsText" text="Missing">
      <formula>NOT(ISERROR(SEARCH("Missing",K2546)))</formula>
    </cfRule>
  </conditionalFormatting>
  <conditionalFormatting sqref="K2560">
    <cfRule type="containsText" dxfId="2757" priority="1798" operator="containsText" text="Missing">
      <formula>NOT(ISERROR(SEARCH("Missing",K2560)))</formula>
    </cfRule>
  </conditionalFormatting>
  <conditionalFormatting sqref="J2510">
    <cfRule type="containsText" dxfId="2756" priority="2472" operator="containsText" text="Missing">
      <formula>NOT(ISERROR(SEARCH("Missing",J2510)))</formula>
    </cfRule>
  </conditionalFormatting>
  <conditionalFormatting sqref="K2510">
    <cfRule type="containsText" dxfId="2755" priority="2468" operator="containsText" text="Missing">
      <formula>NOT(ISERROR(SEARCH("Missing",K2510)))</formula>
    </cfRule>
  </conditionalFormatting>
  <conditionalFormatting sqref="K2510">
    <cfRule type="containsText" dxfId="2754" priority="2467" operator="containsText" text="Missing">
      <formula>NOT(ISERROR(SEARCH("Missing",K2510)))</formula>
    </cfRule>
  </conditionalFormatting>
  <conditionalFormatting sqref="L2560">
    <cfRule type="containsText" dxfId="2753" priority="1802" operator="containsText" text="Positive">
      <formula>NOT(ISERROR(SEARCH("Positive",L2560)))</formula>
    </cfRule>
    <cfRule type="containsText" dxfId="2752" priority="1803" operator="containsText" text="Negative">
      <formula>NOT(ISERROR(SEARCH("Negative",L2560)))</formula>
    </cfRule>
  </conditionalFormatting>
  <conditionalFormatting sqref="H2547">
    <cfRule type="containsText" dxfId="2751" priority="2531" operator="containsText" text="Missing">
      <formula>NOT(ISERROR(SEARCH("Missing",H2547)))</formula>
    </cfRule>
  </conditionalFormatting>
  <conditionalFormatting sqref="K2515">
    <cfRule type="containsText" dxfId="2750" priority="2456" operator="containsText" text="Missing">
      <formula>NOT(ISERROR(SEARCH("Missing",K2515)))</formula>
    </cfRule>
  </conditionalFormatting>
  <conditionalFormatting sqref="K2515">
    <cfRule type="containsText" dxfId="2749" priority="2455" operator="containsText" text="Missing">
      <formula>NOT(ISERROR(SEARCH("Missing",K2515)))</formula>
    </cfRule>
  </conditionalFormatting>
  <conditionalFormatting sqref="J2560">
    <cfRule type="containsText" dxfId="2748" priority="1801" operator="containsText" text="Missing">
      <formula>NOT(ISERROR(SEARCH("Missing",J2560)))</formula>
    </cfRule>
  </conditionalFormatting>
  <conditionalFormatting sqref="H2548">
    <cfRule type="containsText" dxfId="2747" priority="2530" operator="containsText" text="Missing">
      <formula>NOT(ISERROR(SEARCH("Missing",H2548)))</formula>
    </cfRule>
  </conditionalFormatting>
  <conditionalFormatting sqref="H2516">
    <cfRule type="containsText" dxfId="2746" priority="2440" operator="containsText" text="Missing">
      <formula>NOT(ISERROR(SEARCH("Missing",H2516)))</formula>
    </cfRule>
  </conditionalFormatting>
  <conditionalFormatting sqref="K2565">
    <cfRule type="containsText" dxfId="2745" priority="1784" operator="containsText" text="Missing">
      <formula>NOT(ISERROR(SEARCH("Missing",K2565)))</formula>
    </cfRule>
  </conditionalFormatting>
  <conditionalFormatting sqref="H2544">
    <cfRule type="containsText" dxfId="2744" priority="2580" operator="containsText" text="Missing">
      <formula>NOT(ISERROR(SEARCH("Missing",H2544)))</formula>
    </cfRule>
  </conditionalFormatting>
  <conditionalFormatting sqref="K2509">
    <cfRule type="containsText" dxfId="2743" priority="2480" operator="containsText" text="Missing">
      <formula>NOT(ISERROR(SEARCH("Missing",K2509)))</formula>
    </cfRule>
  </conditionalFormatting>
  <conditionalFormatting sqref="J2510">
    <cfRule type="containsText" dxfId="2742" priority="2477" operator="containsText" text="Missing">
      <formula>NOT(ISERROR(SEARCH("Missing",J2510)))</formula>
    </cfRule>
  </conditionalFormatting>
  <conditionalFormatting sqref="K2516">
    <cfRule type="containsText" dxfId="2741" priority="2441" operator="containsText" text="Missing">
      <formula>NOT(ISERROR(SEARCH("Missing",K2516)))</formula>
    </cfRule>
  </conditionalFormatting>
  <conditionalFormatting sqref="K2516">
    <cfRule type="containsText" dxfId="2740" priority="2442" operator="containsText" text="Missing">
      <formula>NOT(ISERROR(SEARCH("Missing",K2516)))</formula>
    </cfRule>
  </conditionalFormatting>
  <conditionalFormatting sqref="H2516">
    <cfRule type="containsText" dxfId="2739" priority="2439" operator="containsText" text="Missing">
      <formula>NOT(ISERROR(SEARCH("Missing",H2516)))</formula>
    </cfRule>
  </conditionalFormatting>
  <conditionalFormatting sqref="J2509">
    <cfRule type="containsText" dxfId="2738" priority="2490" operator="containsText" text="Missing">
      <formula>NOT(ISERROR(SEARCH("Missing",J2509)))</formula>
    </cfRule>
  </conditionalFormatting>
  <conditionalFormatting sqref="H2517">
    <cfRule type="containsText" dxfId="2737" priority="2427" operator="containsText" text="Missing">
      <formula>NOT(ISERROR(SEARCH("Missing",H2517)))</formula>
    </cfRule>
  </conditionalFormatting>
  <conditionalFormatting sqref="H2566">
    <cfRule type="containsText" dxfId="2736" priority="1769" operator="containsText" text="Missing">
      <formula>NOT(ISERROR(SEARCH("Missing",H2566)))</formula>
    </cfRule>
  </conditionalFormatting>
  <conditionalFormatting sqref="K2517">
    <cfRule type="containsText" dxfId="2735" priority="2428" operator="containsText" text="Missing">
      <formula>NOT(ISERROR(SEARCH("Missing",K2517)))</formula>
    </cfRule>
  </conditionalFormatting>
  <conditionalFormatting sqref="K2522">
    <cfRule type="containsText" dxfId="2734" priority="2416" operator="containsText" text="Missing">
      <formula>NOT(ISERROR(SEARCH("Missing",K2522)))</formula>
    </cfRule>
  </conditionalFormatting>
  <conditionalFormatting sqref="K2559">
    <cfRule type="containsText" dxfId="2733" priority="1809" operator="containsText" text="Missing">
      <formula>NOT(ISERROR(SEARCH("Missing",K2559)))</formula>
    </cfRule>
  </conditionalFormatting>
  <conditionalFormatting sqref="H2560">
    <cfRule type="containsText" dxfId="2732" priority="1795" operator="containsText" text="Missing">
      <formula>NOT(ISERROR(SEARCH("Missing",H2560)))</formula>
    </cfRule>
  </conditionalFormatting>
  <conditionalFormatting sqref="J2516">
    <cfRule type="containsText" dxfId="2731" priority="2451" operator="containsText" text="Missing">
      <formula>NOT(ISERROR(SEARCH("Missing",J2516)))</formula>
    </cfRule>
  </conditionalFormatting>
  <conditionalFormatting sqref="H2565">
    <cfRule type="containsText" dxfId="2730" priority="1782" operator="containsText" text="Missing">
      <formula>NOT(ISERROR(SEARCH("Missing",H2565)))</formula>
    </cfRule>
  </conditionalFormatting>
  <conditionalFormatting sqref="H2515">
    <cfRule type="containsText" dxfId="2729" priority="2452" operator="containsText" text="Missing">
      <formula>NOT(ISERROR(SEARCH("Missing",H2515)))</formula>
    </cfRule>
  </conditionalFormatting>
  <conditionalFormatting sqref="J2523">
    <cfRule type="containsText" dxfId="2728" priority="2412" operator="containsText" text="Missing">
      <formula>NOT(ISERROR(SEARCH("Missing",J2523)))</formula>
    </cfRule>
  </conditionalFormatting>
  <conditionalFormatting sqref="H2567">
    <cfRule type="containsText" dxfId="2727" priority="1756" operator="containsText" text="Missing">
      <formula>NOT(ISERROR(SEARCH("Missing",H2567)))</formula>
    </cfRule>
  </conditionalFormatting>
  <conditionalFormatting sqref="K2517">
    <cfRule type="containsText" dxfId="2726" priority="2430" operator="containsText" text="Missing">
      <formula>NOT(ISERROR(SEARCH("Missing",K2517)))</formula>
    </cfRule>
  </conditionalFormatting>
  <conditionalFormatting sqref="L2517">
    <cfRule type="containsText" dxfId="2725" priority="2431" operator="containsText" text="Positive">
      <formula>NOT(ISERROR(SEARCH("Positive",L2517)))</formula>
    </cfRule>
    <cfRule type="containsText" dxfId="2724" priority="2432" operator="containsText" text="Negative">
      <formula>NOT(ISERROR(SEARCH("Negative",L2517)))</formula>
    </cfRule>
  </conditionalFormatting>
  <conditionalFormatting sqref="J2522">
    <cfRule type="containsText" dxfId="2723" priority="2425" operator="containsText" text="Missing">
      <formula>NOT(ISERROR(SEARCH("Missing",J2522)))</formula>
    </cfRule>
  </conditionalFormatting>
  <conditionalFormatting sqref="J2517">
    <cfRule type="containsText" dxfId="2722" priority="2438" operator="containsText" text="Missing">
      <formula>NOT(ISERROR(SEARCH("Missing",J2517)))</formula>
    </cfRule>
  </conditionalFormatting>
  <conditionalFormatting sqref="K2566">
    <cfRule type="containsText" dxfId="2721" priority="1770" operator="containsText" text="Missing">
      <formula>NOT(ISERROR(SEARCH("Missing",K2566)))</formula>
    </cfRule>
  </conditionalFormatting>
  <conditionalFormatting sqref="K2560">
    <cfRule type="containsText" dxfId="2720" priority="1796" operator="containsText" text="Missing">
      <formula>NOT(ISERROR(SEARCH("Missing",K2560)))</formula>
    </cfRule>
  </conditionalFormatting>
  <conditionalFormatting sqref="K2560">
    <cfRule type="containsText" dxfId="2719" priority="1797" operator="containsText" text="Missing">
      <formula>NOT(ISERROR(SEARCH("Missing",K2560)))</formula>
    </cfRule>
  </conditionalFormatting>
  <conditionalFormatting sqref="I2522">
    <cfRule type="containsText" dxfId="2718" priority="2366" operator="containsText" text="Missing">
      <formula>NOT(ISERROR(SEARCH("Missing",I2522)))</formula>
    </cfRule>
  </conditionalFormatting>
  <conditionalFormatting sqref="H2560">
    <cfRule type="containsText" dxfId="2717" priority="1794" operator="containsText" text="Missing">
      <formula>NOT(ISERROR(SEARCH("Missing",H2560)))</formula>
    </cfRule>
  </conditionalFormatting>
  <conditionalFormatting sqref="I2523">
    <cfRule type="containsText" dxfId="2716" priority="2364" operator="containsText" text="Missing">
      <formula>NOT(ISERROR(SEARCH("Missing",I2523)))</formula>
    </cfRule>
  </conditionalFormatting>
  <conditionalFormatting sqref="I2522">
    <cfRule type="containsText" dxfId="2715" priority="2365" operator="containsText" text="Missing">
      <formula>NOT(ISERROR(SEARCH("Missing",I2522)))</formula>
    </cfRule>
  </conditionalFormatting>
  <conditionalFormatting sqref="J2515">
    <cfRule type="containsText" dxfId="2714" priority="2464" operator="containsText" text="Missing">
      <formula>NOT(ISERROR(SEARCH("Missing",J2515)))</formula>
    </cfRule>
  </conditionalFormatting>
  <conditionalFormatting sqref="J2566">
    <cfRule type="containsText" dxfId="2713" priority="1780" operator="containsText" text="Missing">
      <formula>NOT(ISERROR(SEARCH("Missing",J2566)))</formula>
    </cfRule>
  </conditionalFormatting>
  <conditionalFormatting sqref="K2565">
    <cfRule type="containsText" dxfId="2712" priority="1785" operator="containsText" text="Missing">
      <formula>NOT(ISERROR(SEARCH("Missing",K2565)))</formula>
    </cfRule>
  </conditionalFormatting>
  <conditionalFormatting sqref="H2565">
    <cfRule type="containsText" dxfId="2711" priority="1781" operator="containsText" text="Missing">
      <formula>NOT(ISERROR(SEARCH("Missing",H2565)))</formula>
    </cfRule>
  </conditionalFormatting>
  <conditionalFormatting sqref="J2567">
    <cfRule type="containsText" dxfId="2710" priority="1767" operator="containsText" text="Missing">
      <formula>NOT(ISERROR(SEARCH("Missing",J2567)))</formula>
    </cfRule>
  </conditionalFormatting>
  <conditionalFormatting sqref="J2572">
    <cfRule type="containsText" dxfId="2709" priority="1754" operator="containsText" text="Missing">
      <formula>NOT(ISERROR(SEARCH("Missing",J2572)))</formula>
    </cfRule>
  </conditionalFormatting>
  <conditionalFormatting sqref="H2517">
    <cfRule type="containsText" dxfId="2708" priority="2426" operator="containsText" text="Missing">
      <formula>NOT(ISERROR(SEARCH("Missing",H2517)))</formula>
    </cfRule>
  </conditionalFormatting>
  <conditionalFormatting sqref="J2573">
    <cfRule type="containsText" dxfId="2707" priority="1741" operator="containsText" text="Missing">
      <formula>NOT(ISERROR(SEARCH("Missing",J2573)))</formula>
    </cfRule>
  </conditionalFormatting>
  <conditionalFormatting sqref="J2524">
    <cfRule type="containsText" dxfId="2706" priority="2399" operator="containsText" text="Missing">
      <formula>NOT(ISERROR(SEARCH("Missing",J2524)))</formula>
    </cfRule>
  </conditionalFormatting>
  <conditionalFormatting sqref="I2545">
    <cfRule type="containsText" dxfId="2705" priority="2385" operator="containsText" text="Missing">
      <formula>NOT(ISERROR(SEARCH("Missing",I2545)))</formula>
    </cfRule>
  </conditionalFormatting>
  <conditionalFormatting sqref="I2545">
    <cfRule type="containsText" dxfId="2704" priority="2386" operator="containsText" text="Missing">
      <formula>NOT(ISERROR(SEARCH("Missing",I2545)))</formula>
    </cfRule>
  </conditionalFormatting>
  <conditionalFormatting sqref="I2546">
    <cfRule type="containsText" dxfId="2703" priority="2384" operator="containsText" text="Missing">
      <formula>NOT(ISERROR(SEARCH("Missing",I2546)))</formula>
    </cfRule>
  </conditionalFormatting>
  <conditionalFormatting sqref="I2510">
    <cfRule type="containsText" dxfId="2702" priority="2373" operator="containsText" text="Missing">
      <formula>NOT(ISERROR(SEARCH("Missing",I2510)))</formula>
    </cfRule>
  </conditionalFormatting>
  <conditionalFormatting sqref="I2516">
    <cfRule type="containsText" dxfId="2701" priority="2369" operator="containsText" text="Missing">
      <formula>NOT(ISERROR(SEARCH("Missing",I2516)))</formula>
    </cfRule>
  </conditionalFormatting>
  <conditionalFormatting sqref="I2516">
    <cfRule type="containsText" dxfId="2700" priority="2370" operator="containsText" text="Missing">
      <formula>NOT(ISERROR(SEARCH("Missing",I2516)))</formula>
    </cfRule>
  </conditionalFormatting>
  <conditionalFormatting sqref="I2517">
    <cfRule type="containsText" dxfId="2699" priority="2367" operator="containsText" text="Missing">
      <formula>NOT(ISERROR(SEARCH("Missing",I2517)))</formula>
    </cfRule>
  </conditionalFormatting>
  <conditionalFormatting sqref="I2517">
    <cfRule type="containsText" dxfId="2698" priority="2368" operator="containsText" text="Missing">
      <formula>NOT(ISERROR(SEARCH("Missing",I2517)))</formula>
    </cfRule>
  </conditionalFormatting>
  <conditionalFormatting sqref="I2572">
    <cfRule type="containsText" dxfId="2697" priority="1694" operator="containsText" text="Missing">
      <formula>NOT(ISERROR(SEARCH("Missing",I2572)))</formula>
    </cfRule>
  </conditionalFormatting>
  <conditionalFormatting sqref="I2572">
    <cfRule type="containsText" dxfId="2696" priority="1695" operator="containsText" text="Missing">
      <formula>NOT(ISERROR(SEARCH("Missing",I2572)))</formula>
    </cfRule>
  </conditionalFormatting>
  <conditionalFormatting sqref="I2573">
    <cfRule type="containsText" dxfId="2695" priority="1693" operator="containsText" text="Missing">
      <formula>NOT(ISERROR(SEARCH("Missing",I2573)))</formula>
    </cfRule>
  </conditionalFormatting>
  <conditionalFormatting sqref="I2524">
    <cfRule type="containsText" dxfId="2694" priority="2361" operator="containsText" text="Missing">
      <formula>NOT(ISERROR(SEARCH("Missing",I2524)))</formula>
    </cfRule>
  </conditionalFormatting>
  <conditionalFormatting sqref="L2527">
    <cfRule type="containsText" dxfId="2693" priority="3019" operator="containsText" text="Positive">
      <formula>NOT(ISERROR(SEARCH("Positive",L2527)))</formula>
    </cfRule>
    <cfRule type="containsText" dxfId="2692" priority="3020" operator="containsText" text="Negative">
      <formula>NOT(ISERROR(SEARCH("Negative",L2527)))</formula>
    </cfRule>
  </conditionalFormatting>
  <conditionalFormatting sqref="L2527">
    <cfRule type="containsText" dxfId="2691" priority="3017" operator="containsText" text="Positive">
      <formula>NOT(ISERROR(SEARCH("Positive",L2527)))</formula>
    </cfRule>
    <cfRule type="containsText" dxfId="2690" priority="3018" operator="containsText" text="Negative">
      <formula>NOT(ISERROR(SEARCH("Negative",L2527)))</formula>
    </cfRule>
  </conditionalFormatting>
  <conditionalFormatting sqref="L2525">
    <cfRule type="containsText" dxfId="2689" priority="3030" operator="containsText" text="Positive">
      <formula>NOT(ISERROR(SEARCH("Positive",L2525)))</formula>
    </cfRule>
    <cfRule type="containsText" dxfId="2688" priority="3031" operator="containsText" text="Negative">
      <formula>NOT(ISERROR(SEARCH("Negative",L2525)))</formula>
    </cfRule>
  </conditionalFormatting>
  <conditionalFormatting sqref="L2525">
    <cfRule type="containsText" dxfId="2687" priority="3028" operator="containsText" text="Positive">
      <formula>NOT(ISERROR(SEARCH("Positive",L2525)))</formula>
    </cfRule>
    <cfRule type="containsText" dxfId="2686" priority="3029" operator="containsText" text="Negative">
      <formula>NOT(ISERROR(SEARCH("Negative",L2525)))</formula>
    </cfRule>
  </conditionalFormatting>
  <conditionalFormatting sqref="I2575">
    <cfRule type="containsText" dxfId="2685" priority="2269" operator="containsText" text="Missing">
      <formula>NOT(ISERROR(SEARCH("Missing",I2575)))</formula>
    </cfRule>
  </conditionalFormatting>
  <conditionalFormatting sqref="K2527">
    <cfRule type="containsText" dxfId="2684" priority="3010" operator="containsText" text="Missing">
      <formula>NOT(ISERROR(SEARCH("Missing",K2527)))</formula>
    </cfRule>
  </conditionalFormatting>
  <conditionalFormatting sqref="K2527">
    <cfRule type="containsText" dxfId="2683" priority="3011" operator="containsText" text="Missing">
      <formula>NOT(ISERROR(SEARCH("Missing",K2527)))</formula>
    </cfRule>
  </conditionalFormatting>
  <conditionalFormatting sqref="J2577">
    <cfRule type="containsText" dxfId="2682" priority="2343" operator="containsText" text="Missing">
      <formula>NOT(ISERROR(SEARCH("Missing",J2577)))</formula>
    </cfRule>
  </conditionalFormatting>
  <conditionalFormatting sqref="K2590">
    <cfRule type="containsText" dxfId="2681" priority="2258" operator="containsText" text="Missing">
      <formula>NOT(ISERROR(SEARCH("Missing",K2590)))</formula>
    </cfRule>
  </conditionalFormatting>
  <conditionalFormatting sqref="J2525">
    <cfRule type="containsText" dxfId="2680" priority="3025" operator="containsText" text="Missing">
      <formula>NOT(ISERROR(SEARCH("Missing",J2525)))</formula>
    </cfRule>
  </conditionalFormatting>
  <conditionalFormatting sqref="J2526">
    <cfRule type="containsText" dxfId="2679" priority="2990" operator="containsText" text="Missing">
      <formula>NOT(ISERROR(SEARCH("Missing",J2526)))</formula>
    </cfRule>
  </conditionalFormatting>
  <conditionalFormatting sqref="J2525">
    <cfRule type="containsText" dxfId="2678" priority="3024" operator="containsText" text="Missing">
      <formula>NOT(ISERROR(SEARCH("Missing",J2525)))</formula>
    </cfRule>
  </conditionalFormatting>
  <conditionalFormatting sqref="K2525">
    <cfRule type="containsText" dxfId="2677" priority="3023" operator="containsText" text="Missing">
      <formula>NOT(ISERROR(SEARCH("Missing",K2525)))</formula>
    </cfRule>
  </conditionalFormatting>
  <conditionalFormatting sqref="J2577">
    <cfRule type="containsText" dxfId="2676" priority="2342" operator="containsText" text="Missing">
      <formula>NOT(ISERROR(SEARCH("Missing",J2577)))</formula>
    </cfRule>
  </conditionalFormatting>
  <conditionalFormatting sqref="K2527">
    <cfRule type="containsText" dxfId="2675" priority="3012" operator="containsText" text="Missing">
      <formula>NOT(ISERROR(SEARCH("Missing",K2527)))</formula>
    </cfRule>
  </conditionalFormatting>
  <conditionalFormatting sqref="J2530">
    <cfRule type="containsText" dxfId="2674" priority="3002" operator="containsText" text="Missing">
      <formula>NOT(ISERROR(SEARCH("Missing",J2530)))</formula>
    </cfRule>
  </conditionalFormatting>
  <conditionalFormatting sqref="J2530">
    <cfRule type="containsText" dxfId="2673" priority="3003" operator="containsText" text="Missing">
      <formula>NOT(ISERROR(SEARCH("Missing",J2530)))</formula>
    </cfRule>
  </conditionalFormatting>
  <conditionalFormatting sqref="J2539">
    <cfRule type="containsText" dxfId="2672" priority="2950" operator="containsText" text="Missing">
      <formula>NOT(ISERROR(SEARCH("Missing",J2539)))</formula>
    </cfRule>
  </conditionalFormatting>
  <conditionalFormatting sqref="K2539">
    <cfRule type="containsText" dxfId="2671" priority="2949" operator="containsText" text="Missing">
      <formula>NOT(ISERROR(SEARCH("Missing",K2539)))</formula>
    </cfRule>
  </conditionalFormatting>
  <conditionalFormatting sqref="K2539">
    <cfRule type="containsText" dxfId="2670" priority="2948" operator="containsText" text="Missing">
      <formula>NOT(ISERROR(SEARCH("Missing",K2539)))</formula>
    </cfRule>
  </conditionalFormatting>
  <conditionalFormatting sqref="J2589">
    <cfRule type="containsText" dxfId="2669" priority="2280" operator="containsText" text="Missing">
      <formula>NOT(ISERROR(SEARCH("Missing",J2589)))</formula>
    </cfRule>
  </conditionalFormatting>
  <conditionalFormatting sqref="I2576">
    <cfRule type="containsText" dxfId="2668" priority="2272" operator="containsText" text="Missing">
      <formula>NOT(ISERROR(SEARCH("Missing",I2576)))</formula>
    </cfRule>
  </conditionalFormatting>
  <conditionalFormatting sqref="H2589">
    <cfRule type="containsText" dxfId="2667" priority="2273" operator="containsText" text="Missing">
      <formula>NOT(ISERROR(SEARCH("Missing",H2589)))</formula>
    </cfRule>
  </conditionalFormatting>
  <conditionalFormatting sqref="K2579">
    <cfRule type="containsText" dxfId="2666" priority="2291" operator="containsText" text="Missing">
      <formula>NOT(ISERROR(SEARCH("Missing",K2579)))</formula>
    </cfRule>
  </conditionalFormatting>
  <conditionalFormatting sqref="H2527 H2530 H2525">
    <cfRule type="containsText" dxfId="2665" priority="2997" operator="containsText" text="Missing">
      <formula>NOT(ISERROR(SEARCH("Missing",H2525)))</formula>
    </cfRule>
  </conditionalFormatting>
  <conditionalFormatting sqref="I2527">
    <cfRule type="containsText" dxfId="2664" priority="2939" operator="containsText" text="Missing">
      <formula>NOT(ISERROR(SEARCH("Missing",I2527)))</formula>
    </cfRule>
  </conditionalFormatting>
  <conditionalFormatting sqref="L2536">
    <cfRule type="containsText" dxfId="2663" priority="2899" operator="containsText" text="Positive">
      <formula>NOT(ISERROR(SEARCH("Positive",L2536)))</formula>
    </cfRule>
    <cfRule type="containsText" dxfId="2662" priority="2900" operator="containsText" text="Negative">
      <formula>NOT(ISERROR(SEARCH("Negative",L2536)))</formula>
    </cfRule>
  </conditionalFormatting>
  <conditionalFormatting sqref="I2578">
    <cfRule type="containsText" dxfId="2661" priority="2271" operator="containsText" text="Missing">
      <formula>NOT(ISERROR(SEARCH("Missing",I2578)))</formula>
    </cfRule>
  </conditionalFormatting>
  <conditionalFormatting sqref="L2525">
    <cfRule type="containsText" dxfId="2660" priority="3026" operator="containsText" text="Positive">
      <formula>NOT(ISERROR(SEARCH("Positive",L2525)))</formula>
    </cfRule>
    <cfRule type="containsText" dxfId="2659" priority="3027" operator="containsText" text="Negative">
      <formula>NOT(ISERROR(SEARCH("Negative",L2525)))</formula>
    </cfRule>
  </conditionalFormatting>
  <conditionalFormatting sqref="I2529">
    <cfRule type="containsText" dxfId="2658" priority="2938" operator="containsText" text="Missing">
      <formula>NOT(ISERROR(SEARCH("Missing",I2529)))</formula>
    </cfRule>
  </conditionalFormatting>
  <conditionalFormatting sqref="K2525">
    <cfRule type="containsText" dxfId="2657" priority="3021" operator="containsText" text="Missing">
      <formula>NOT(ISERROR(SEARCH("Missing",K2525)))</formula>
    </cfRule>
  </conditionalFormatting>
  <conditionalFormatting sqref="K2575">
    <cfRule type="containsText" dxfId="2656" priority="2351" operator="containsText" text="Missing">
      <formula>NOT(ISERROR(SEARCH("Missing",K2575)))</formula>
    </cfRule>
  </conditionalFormatting>
  <conditionalFormatting sqref="L2527">
    <cfRule type="containsText" dxfId="2655" priority="3015" operator="containsText" text="Positive">
      <formula>NOT(ISERROR(SEARCH("Positive",L2527)))</formula>
    </cfRule>
    <cfRule type="containsText" dxfId="2654" priority="3016" operator="containsText" text="Negative">
      <formula>NOT(ISERROR(SEARCH("Negative",L2527)))</formula>
    </cfRule>
  </conditionalFormatting>
  <conditionalFormatting sqref="L2530">
    <cfRule type="containsText" dxfId="2653" priority="3008" operator="containsText" text="Positive">
      <formula>NOT(ISERROR(SEARCH("Positive",L2530)))</formula>
    </cfRule>
    <cfRule type="containsText" dxfId="2652" priority="3009" operator="containsText" text="Negative">
      <formula>NOT(ISERROR(SEARCH("Negative",L2530)))</formula>
    </cfRule>
  </conditionalFormatting>
  <conditionalFormatting sqref="L2530">
    <cfRule type="containsText" dxfId="2651" priority="3004" operator="containsText" text="Positive">
      <formula>NOT(ISERROR(SEARCH("Positive",L2530)))</formula>
    </cfRule>
    <cfRule type="containsText" dxfId="2650" priority="3005" operator="containsText" text="Negative">
      <formula>NOT(ISERROR(SEARCH("Negative",L2530)))</formula>
    </cfRule>
  </conditionalFormatting>
  <conditionalFormatting sqref="L2530">
    <cfRule type="containsText" dxfId="2649" priority="3006" operator="containsText" text="Positive">
      <formula>NOT(ISERROR(SEARCH("Positive",L2530)))</formula>
    </cfRule>
    <cfRule type="containsText" dxfId="2648" priority="3007" operator="containsText" text="Negative">
      <formula>NOT(ISERROR(SEARCH("Negative",L2530)))</formula>
    </cfRule>
  </conditionalFormatting>
  <conditionalFormatting sqref="K2530">
    <cfRule type="containsText" dxfId="2647" priority="3001" operator="containsText" text="Missing">
      <formula>NOT(ISERROR(SEARCH("Missing",K2530)))</formula>
    </cfRule>
  </conditionalFormatting>
  <conditionalFormatting sqref="K2530">
    <cfRule type="containsText" dxfId="2646" priority="3000" operator="containsText" text="Missing">
      <formula>NOT(ISERROR(SEARCH("Missing",K2530)))</formula>
    </cfRule>
  </conditionalFormatting>
  <conditionalFormatting sqref="K2530">
    <cfRule type="containsText" dxfId="2645" priority="2999" operator="containsText" text="Missing">
      <formula>NOT(ISERROR(SEARCH("Missing",K2530)))</formula>
    </cfRule>
  </conditionalFormatting>
  <conditionalFormatting sqref="L2533">
    <cfRule type="containsText" dxfId="2644" priority="2908" operator="containsText" text="Positive">
      <formula>NOT(ISERROR(SEARCH("Positive",L2533)))</formula>
    </cfRule>
    <cfRule type="containsText" dxfId="2643" priority="2909" operator="containsText" text="Negative">
      <formula>NOT(ISERROR(SEARCH("Negative",L2533)))</formula>
    </cfRule>
  </conditionalFormatting>
  <conditionalFormatting sqref="L2583">
    <cfRule type="containsText" dxfId="2642" priority="2235" operator="containsText" text="Positive">
      <formula>NOT(ISERROR(SEARCH("Positive",L2583)))</formula>
    </cfRule>
    <cfRule type="containsText" dxfId="2641" priority="2236" operator="containsText" text="Negative">
      <formula>NOT(ISERROR(SEARCH("Negative",L2583)))</formula>
    </cfRule>
  </conditionalFormatting>
  <conditionalFormatting sqref="K2533">
    <cfRule type="containsText" dxfId="2640" priority="2903" operator="containsText" text="Missing">
      <formula>NOT(ISERROR(SEARCH("Missing",K2533)))</formula>
    </cfRule>
  </conditionalFormatting>
  <conditionalFormatting sqref="K2526">
    <cfRule type="containsText" dxfId="2639" priority="2988" operator="containsText" text="Missing">
      <formula>NOT(ISERROR(SEARCH("Missing",K2526)))</formula>
    </cfRule>
  </conditionalFormatting>
  <conditionalFormatting sqref="K2526">
    <cfRule type="containsText" dxfId="2638" priority="2987" operator="containsText" text="Missing">
      <formula>NOT(ISERROR(SEARCH("Missing",K2526)))</formula>
    </cfRule>
  </conditionalFormatting>
  <conditionalFormatting sqref="H2527 H2530 H2525">
    <cfRule type="containsText" dxfId="2637" priority="2998" operator="containsText" text="Missing">
      <formula>NOT(ISERROR(SEARCH("Missing",H2525)))</formula>
    </cfRule>
  </conditionalFormatting>
  <conditionalFormatting sqref="K2539">
    <cfRule type="containsText" dxfId="2636" priority="2947" operator="containsText" text="Missing">
      <formula>NOT(ISERROR(SEARCH("Missing",K2539)))</formula>
    </cfRule>
  </conditionalFormatting>
  <conditionalFormatting sqref="J2528">
    <cfRule type="containsText" dxfId="2635" priority="2977" operator="containsText" text="Missing">
      <formula>NOT(ISERROR(SEARCH("Missing",J2528)))</formula>
    </cfRule>
  </conditionalFormatting>
  <conditionalFormatting sqref="K2590">
    <cfRule type="containsText" dxfId="2634" priority="2257" operator="containsText" text="Missing">
      <formula>NOT(ISERROR(SEARCH("Missing",K2590)))</formula>
    </cfRule>
  </conditionalFormatting>
  <conditionalFormatting sqref="J2526">
    <cfRule type="containsText" dxfId="2633" priority="2989" operator="containsText" text="Missing">
      <formula>NOT(ISERROR(SEARCH("Missing",J2526)))</formula>
    </cfRule>
  </conditionalFormatting>
  <conditionalFormatting sqref="K2528">
    <cfRule type="containsText" dxfId="2632" priority="2974" operator="containsText" text="Missing">
      <formula>NOT(ISERROR(SEARCH("Missing",K2528)))</formula>
    </cfRule>
  </conditionalFormatting>
  <conditionalFormatting sqref="J2590">
    <cfRule type="containsText" dxfId="2631" priority="2259" operator="containsText" text="Missing">
      <formula>NOT(ISERROR(SEARCH("Missing",J2590)))</formula>
    </cfRule>
  </conditionalFormatting>
  <conditionalFormatting sqref="L2526">
    <cfRule type="containsText" dxfId="2630" priority="2995" operator="containsText" text="Positive">
      <formula>NOT(ISERROR(SEARCH("Positive",L2526)))</formula>
    </cfRule>
    <cfRule type="containsText" dxfId="2629" priority="2996" operator="containsText" text="Negative">
      <formula>NOT(ISERROR(SEARCH("Negative",L2526)))</formula>
    </cfRule>
  </conditionalFormatting>
  <conditionalFormatting sqref="L2526">
    <cfRule type="containsText" dxfId="2628" priority="2993" operator="containsText" text="Positive">
      <formula>NOT(ISERROR(SEARCH("Positive",L2526)))</formula>
    </cfRule>
    <cfRule type="containsText" dxfId="2627" priority="2994" operator="containsText" text="Negative">
      <formula>NOT(ISERROR(SEARCH("Negative",L2526)))</formula>
    </cfRule>
  </conditionalFormatting>
  <conditionalFormatting sqref="J2578">
    <cfRule type="containsText" dxfId="2626" priority="2305" operator="containsText" text="Missing">
      <formula>NOT(ISERROR(SEARCH("Missing",J2578)))</formula>
    </cfRule>
  </conditionalFormatting>
  <conditionalFormatting sqref="K2528">
    <cfRule type="containsText" dxfId="2625" priority="2975" operator="containsText" text="Missing">
      <formula>NOT(ISERROR(SEARCH("Missing",K2528)))</formula>
    </cfRule>
  </conditionalFormatting>
  <conditionalFormatting sqref="K2585">
    <cfRule type="containsText" dxfId="2624" priority="2180" operator="containsText" text="Missing">
      <formula>NOT(ISERROR(SEARCH("Missing",K2585)))</formula>
    </cfRule>
  </conditionalFormatting>
  <conditionalFormatting sqref="L2526">
    <cfRule type="containsText" dxfId="2623" priority="2991" operator="containsText" text="Positive">
      <formula>NOT(ISERROR(SEARCH("Positive",L2526)))</formula>
    </cfRule>
    <cfRule type="containsText" dxfId="2622" priority="2992" operator="containsText" text="Negative">
      <formula>NOT(ISERROR(SEARCH("Negative",L2526)))</formula>
    </cfRule>
  </conditionalFormatting>
  <conditionalFormatting sqref="K2526">
    <cfRule type="containsText" dxfId="2621" priority="2986" operator="containsText" text="Missing">
      <formula>NOT(ISERROR(SEARCH("Missing",K2526)))</formula>
    </cfRule>
  </conditionalFormatting>
  <conditionalFormatting sqref="K2528">
    <cfRule type="containsText" dxfId="2620" priority="2973" operator="containsText" text="Missing">
      <formula>NOT(ISERROR(SEARCH("Missing",K2528)))</formula>
    </cfRule>
  </conditionalFormatting>
  <conditionalFormatting sqref="H2526">
    <cfRule type="containsText" dxfId="2619" priority="2985" operator="containsText" text="Missing">
      <formula>NOT(ISERROR(SEARCH("Missing",H2526)))</formula>
    </cfRule>
  </conditionalFormatting>
  <conditionalFormatting sqref="H2526">
    <cfRule type="containsText" dxfId="2618" priority="2984" operator="containsText" text="Missing">
      <formula>NOT(ISERROR(SEARCH("Missing",H2526)))</formula>
    </cfRule>
  </conditionalFormatting>
  <conditionalFormatting sqref="L2528">
    <cfRule type="containsText" dxfId="2617" priority="2982" operator="containsText" text="Positive">
      <formula>NOT(ISERROR(SEARCH("Positive",L2528)))</formula>
    </cfRule>
    <cfRule type="containsText" dxfId="2616" priority="2983" operator="containsText" text="Negative">
      <formula>NOT(ISERROR(SEARCH("Negative",L2528)))</formula>
    </cfRule>
  </conditionalFormatting>
  <conditionalFormatting sqref="L2528">
    <cfRule type="containsText" dxfId="2615" priority="2980" operator="containsText" text="Positive">
      <formula>NOT(ISERROR(SEARCH("Positive",L2528)))</formula>
    </cfRule>
    <cfRule type="containsText" dxfId="2614" priority="2981" operator="containsText" text="Negative">
      <formula>NOT(ISERROR(SEARCH("Negative",L2528)))</formula>
    </cfRule>
  </conditionalFormatting>
  <conditionalFormatting sqref="H2585">
    <cfRule type="containsText" dxfId="2613" priority="2179" operator="containsText" text="Missing">
      <formula>NOT(ISERROR(SEARCH("Missing",H2585)))</formula>
    </cfRule>
  </conditionalFormatting>
  <conditionalFormatting sqref="K2529">
    <cfRule type="containsText" dxfId="2612" priority="2961" operator="containsText" text="Missing">
      <formula>NOT(ISERROR(SEARCH("Missing",K2529)))</formula>
    </cfRule>
  </conditionalFormatting>
  <conditionalFormatting sqref="J2579">
    <cfRule type="containsText" dxfId="2611" priority="2293" operator="containsText" text="Missing">
      <formula>NOT(ISERROR(SEARCH("Missing",J2579)))</formula>
    </cfRule>
  </conditionalFormatting>
  <conditionalFormatting sqref="J2579">
    <cfRule type="containsText" dxfId="2610" priority="2292" operator="containsText" text="Missing">
      <formula>NOT(ISERROR(SEARCH("Missing",J2579)))</formula>
    </cfRule>
  </conditionalFormatting>
  <conditionalFormatting sqref="K2581">
    <cfRule type="containsText" dxfId="2609" priority="2243" operator="containsText" text="Missing">
      <formula>NOT(ISERROR(SEARCH("Missing",K2581)))</formula>
    </cfRule>
  </conditionalFormatting>
  <conditionalFormatting sqref="L2528">
    <cfRule type="containsText" dxfId="2608" priority="2978" operator="containsText" text="Positive">
      <formula>NOT(ISERROR(SEARCH("Positive",L2528)))</formula>
    </cfRule>
    <cfRule type="containsText" dxfId="2607" priority="2979" operator="containsText" text="Negative">
      <formula>NOT(ISERROR(SEARCH("Negative",L2528)))</formula>
    </cfRule>
  </conditionalFormatting>
  <conditionalFormatting sqref="H2528">
    <cfRule type="containsText" dxfId="2606" priority="2972" operator="containsText" text="Missing">
      <formula>NOT(ISERROR(SEARCH("Missing",H2528)))</formula>
    </cfRule>
  </conditionalFormatting>
  <conditionalFormatting sqref="H2578">
    <cfRule type="containsText" dxfId="2605" priority="2300" operator="containsText" text="Missing">
      <formula>NOT(ISERROR(SEARCH("Missing",H2578)))</formula>
    </cfRule>
  </conditionalFormatting>
  <conditionalFormatting sqref="J2531">
    <cfRule type="containsText" dxfId="2604" priority="2916" operator="containsText" text="Missing">
      <formula>NOT(ISERROR(SEARCH("Missing",J2531)))</formula>
    </cfRule>
  </conditionalFormatting>
  <conditionalFormatting sqref="H2539">
    <cfRule type="containsText" dxfId="2603" priority="2945" operator="containsText" text="Missing">
      <formula>NOT(ISERROR(SEARCH("Missing",H2539)))</formula>
    </cfRule>
  </conditionalFormatting>
  <conditionalFormatting sqref="H2529">
    <cfRule type="containsText" dxfId="2602" priority="2959" operator="containsText" text="Missing">
      <formula>NOT(ISERROR(SEARCH("Missing",H2529)))</formula>
    </cfRule>
  </conditionalFormatting>
  <conditionalFormatting sqref="L2579">
    <cfRule type="containsText" dxfId="2601" priority="2298" operator="containsText" text="Positive">
      <formula>NOT(ISERROR(SEARCH("Positive",L2579)))</formula>
    </cfRule>
    <cfRule type="containsText" dxfId="2600" priority="2299" operator="containsText" text="Negative">
      <formula>NOT(ISERROR(SEARCH("Negative",L2579)))</formula>
    </cfRule>
  </conditionalFormatting>
  <conditionalFormatting sqref="L2529">
    <cfRule type="containsText" dxfId="2599" priority="2965" operator="containsText" text="Positive">
      <formula>NOT(ISERROR(SEARCH("Positive",L2529)))</formula>
    </cfRule>
    <cfRule type="containsText" dxfId="2598" priority="2966" operator="containsText" text="Negative">
      <formula>NOT(ISERROR(SEARCH("Negative",L2529)))</formula>
    </cfRule>
  </conditionalFormatting>
  <conditionalFormatting sqref="L2529">
    <cfRule type="containsText" dxfId="2597" priority="2967" operator="containsText" text="Positive">
      <formula>NOT(ISERROR(SEARCH("Positive",L2529)))</formula>
    </cfRule>
    <cfRule type="containsText" dxfId="2596" priority="2968" operator="containsText" text="Negative">
      <formula>NOT(ISERROR(SEARCH("Negative",L2529)))</formula>
    </cfRule>
  </conditionalFormatting>
  <conditionalFormatting sqref="J2531">
    <cfRule type="containsText" dxfId="2595" priority="2915" operator="containsText" text="Missing">
      <formula>NOT(ISERROR(SEARCH("Missing",J2531)))</formula>
    </cfRule>
  </conditionalFormatting>
  <conditionalFormatting sqref="K2529">
    <cfRule type="containsText" dxfId="2594" priority="2960" operator="containsText" text="Missing">
      <formula>NOT(ISERROR(SEARCH("Missing",K2529)))</formula>
    </cfRule>
  </conditionalFormatting>
  <conditionalFormatting sqref="K2537">
    <cfRule type="containsText" dxfId="2593" priority="2821" operator="containsText" text="Missing">
      <formula>NOT(ISERROR(SEARCH("Missing",K2537)))</formula>
    </cfRule>
  </conditionalFormatting>
  <conditionalFormatting sqref="H2529">
    <cfRule type="containsText" dxfId="2592" priority="2958" operator="containsText" text="Missing">
      <formula>NOT(ISERROR(SEARCH("Missing",H2529)))</formula>
    </cfRule>
  </conditionalFormatting>
  <conditionalFormatting sqref="K2583">
    <cfRule type="containsText" dxfId="2591" priority="2230" operator="containsText" text="Missing">
      <formula>NOT(ISERROR(SEARCH("Missing",K2583)))</formula>
    </cfRule>
  </conditionalFormatting>
  <conditionalFormatting sqref="K2533">
    <cfRule type="containsText" dxfId="2590" priority="2902" operator="containsText" text="Missing">
      <formula>NOT(ISERROR(SEARCH("Missing",K2533)))</formula>
    </cfRule>
  </conditionalFormatting>
  <conditionalFormatting sqref="I2539">
    <cfRule type="containsText" dxfId="2589" priority="2946" operator="containsText" text="Missing">
      <formula>NOT(ISERROR(SEARCH("Missing",I2539)))</formula>
    </cfRule>
  </conditionalFormatting>
  <conditionalFormatting sqref="L2589">
    <cfRule type="containsText" dxfId="2588" priority="2285" operator="containsText" text="Positive">
      <formula>NOT(ISERROR(SEARCH("Positive",L2589)))</formula>
    </cfRule>
    <cfRule type="containsText" dxfId="2587" priority="2286" operator="containsText" text="Negative">
      <formula>NOT(ISERROR(SEARCH("Negative",L2589)))</formula>
    </cfRule>
  </conditionalFormatting>
  <conditionalFormatting sqref="L2539">
    <cfRule type="containsText" dxfId="2586" priority="2952" operator="containsText" text="Positive">
      <formula>NOT(ISERROR(SEARCH("Positive",L2539)))</formula>
    </cfRule>
    <cfRule type="containsText" dxfId="2585" priority="2953" operator="containsText" text="Negative">
      <formula>NOT(ISERROR(SEARCH("Negative",L2539)))</formula>
    </cfRule>
  </conditionalFormatting>
  <conditionalFormatting sqref="L2539">
    <cfRule type="containsText" dxfId="2584" priority="2954" operator="containsText" text="Positive">
      <formula>NOT(ISERROR(SEARCH("Positive",L2539)))</formula>
    </cfRule>
    <cfRule type="containsText" dxfId="2583" priority="2955" operator="containsText" text="Negative">
      <formula>NOT(ISERROR(SEARCH("Negative",L2539)))</formula>
    </cfRule>
  </conditionalFormatting>
  <conditionalFormatting sqref="J2590">
    <cfRule type="containsText" dxfId="2582" priority="2260" operator="containsText" text="Missing">
      <formula>NOT(ISERROR(SEARCH("Missing",J2590)))</formula>
    </cfRule>
  </conditionalFormatting>
  <conditionalFormatting sqref="J2536">
    <cfRule type="containsText" dxfId="2581" priority="2894" operator="containsText" text="Missing">
      <formula>NOT(ISERROR(SEARCH("Missing",J2536)))</formula>
    </cfRule>
  </conditionalFormatting>
  <conditionalFormatting sqref="J2536">
    <cfRule type="containsText" dxfId="2580" priority="2893" operator="containsText" text="Missing">
      <formula>NOT(ISERROR(SEARCH("Missing",J2536)))</formula>
    </cfRule>
  </conditionalFormatting>
  <conditionalFormatting sqref="I2580">
    <cfRule type="containsText" dxfId="2579" priority="2270" operator="containsText" text="Missing">
      <formula>NOT(ISERROR(SEARCH("Missing",I2580)))</formula>
    </cfRule>
  </conditionalFormatting>
  <conditionalFormatting sqref="H2531 H2533 H2536">
    <cfRule type="containsText" dxfId="2578" priority="2889" operator="containsText" text="Missing">
      <formula>NOT(ISERROR(SEARCH("Missing",H2531)))</formula>
    </cfRule>
  </conditionalFormatting>
  <conditionalFormatting sqref="H2581 H2583 H2586">
    <cfRule type="containsText" dxfId="2577" priority="2217" operator="containsText" text="Missing">
      <formula>NOT(ISERROR(SEARCH("Missing",H2581)))</formula>
    </cfRule>
  </conditionalFormatting>
  <conditionalFormatting sqref="K2536">
    <cfRule type="containsText" dxfId="2576" priority="2892" operator="containsText" text="Missing">
      <formula>NOT(ISERROR(SEARCH("Missing",K2536)))</formula>
    </cfRule>
  </conditionalFormatting>
  <conditionalFormatting sqref="I2504">
    <cfRule type="containsText" dxfId="2575" priority="2800" operator="containsText" text="Missing">
      <formula>NOT(ISERROR(SEARCH("Missing",I2504)))</formula>
    </cfRule>
  </conditionalFormatting>
  <conditionalFormatting sqref="I2504">
    <cfRule type="containsText" dxfId="2574" priority="2801" operator="containsText" text="Missing">
      <formula>NOT(ISERROR(SEARCH("Missing",I2504)))</formula>
    </cfRule>
  </conditionalFormatting>
  <conditionalFormatting sqref="L2590">
    <cfRule type="containsText" dxfId="2573" priority="2265" operator="containsText" text="Positive">
      <formula>NOT(ISERROR(SEARCH("Positive",L2590)))</formula>
    </cfRule>
    <cfRule type="containsText" dxfId="2572" priority="2266" operator="containsText" text="Negative">
      <formula>NOT(ISERROR(SEARCH("Negative",L2590)))</formula>
    </cfRule>
  </conditionalFormatting>
  <conditionalFormatting sqref="L2540">
    <cfRule type="containsText" dxfId="2571" priority="2932" operator="containsText" text="Positive">
      <formula>NOT(ISERROR(SEARCH("Positive",L2540)))</formula>
    </cfRule>
    <cfRule type="containsText" dxfId="2570" priority="2933" operator="containsText" text="Negative">
      <formula>NOT(ISERROR(SEARCH("Negative",L2540)))</formula>
    </cfRule>
  </conditionalFormatting>
  <conditionalFormatting sqref="L2590">
    <cfRule type="containsText" dxfId="2569" priority="2263" operator="containsText" text="Positive">
      <formula>NOT(ISERROR(SEARCH("Positive",L2590)))</formula>
    </cfRule>
    <cfRule type="containsText" dxfId="2568" priority="2264" operator="containsText" text="Negative">
      <formula>NOT(ISERROR(SEARCH("Negative",L2590)))</formula>
    </cfRule>
  </conditionalFormatting>
  <conditionalFormatting sqref="J2505">
    <cfRule type="containsText" dxfId="2567" priority="2799" operator="containsText" text="Missing">
      <formula>NOT(ISERROR(SEARCH("Missing",J2505)))</formula>
    </cfRule>
  </conditionalFormatting>
  <conditionalFormatting sqref="J2584">
    <cfRule type="containsText" dxfId="2566" priority="2197" operator="containsText" text="Missing">
      <formula>NOT(ISERROR(SEARCH("Missing",J2584)))</formula>
    </cfRule>
  </conditionalFormatting>
  <conditionalFormatting sqref="K2590">
    <cfRule type="containsText" dxfId="2565" priority="2256" operator="containsText" text="Missing">
      <formula>NOT(ISERROR(SEARCH("Missing",K2590)))</formula>
    </cfRule>
  </conditionalFormatting>
  <conditionalFormatting sqref="H2537">
    <cfRule type="containsText" dxfId="2564" priority="2818" operator="containsText" text="Missing">
      <formula>NOT(ISERROR(SEARCH("Missing",H2537)))</formula>
    </cfRule>
  </conditionalFormatting>
  <conditionalFormatting sqref="K2537">
    <cfRule type="containsText" dxfId="2563" priority="2819" operator="containsText" text="Missing">
      <formula>NOT(ISERROR(SEARCH("Missing",K2537)))</formula>
    </cfRule>
  </conditionalFormatting>
  <conditionalFormatting sqref="I2535">
    <cfRule type="containsText" dxfId="2562" priority="2843" operator="containsText" text="Missing">
      <formula>NOT(ISERROR(SEARCH("Missing",I2535)))</formula>
    </cfRule>
  </conditionalFormatting>
  <conditionalFormatting sqref="I2533">
    <cfRule type="containsText" dxfId="2561" priority="2844" operator="containsText" text="Missing">
      <formula>NOT(ISERROR(SEARCH("Missing",I2533)))</formula>
    </cfRule>
  </conditionalFormatting>
  <conditionalFormatting sqref="K2537">
    <cfRule type="containsText" dxfId="2560" priority="2820" operator="containsText" text="Missing">
      <formula>NOT(ISERROR(SEARCH("Missing",K2537)))</formula>
    </cfRule>
  </conditionalFormatting>
  <conditionalFormatting sqref="L2534">
    <cfRule type="containsText" dxfId="2559" priority="2873" operator="containsText" text="Positive">
      <formula>NOT(ISERROR(SEARCH("Positive",L2534)))</formula>
    </cfRule>
    <cfRule type="containsText" dxfId="2558" priority="2874" operator="containsText" text="Negative">
      <formula>NOT(ISERROR(SEARCH("Negative",L2534)))</formula>
    </cfRule>
  </conditionalFormatting>
  <conditionalFormatting sqref="L2534">
    <cfRule type="containsText" dxfId="2557" priority="2869" operator="containsText" text="Positive">
      <formula>NOT(ISERROR(SEARCH("Positive",L2534)))</formula>
    </cfRule>
    <cfRule type="containsText" dxfId="2556" priority="2870" operator="containsText" text="Negative">
      <formula>NOT(ISERROR(SEARCH("Negative",L2534)))</formula>
    </cfRule>
  </conditionalFormatting>
  <conditionalFormatting sqref="L2534">
    <cfRule type="containsText" dxfId="2555" priority="2871" operator="containsText" text="Positive">
      <formula>NOT(ISERROR(SEARCH("Positive",L2534)))</formula>
    </cfRule>
    <cfRule type="containsText" dxfId="2554" priority="2872" operator="containsText" text="Negative">
      <formula>NOT(ISERROR(SEARCH("Negative",L2534)))</formula>
    </cfRule>
  </conditionalFormatting>
  <conditionalFormatting sqref="J2537">
    <cfRule type="containsText" dxfId="2553" priority="2823" operator="containsText" text="Missing">
      <formula>NOT(ISERROR(SEARCH("Missing",J2537)))</formula>
    </cfRule>
  </conditionalFormatting>
  <conditionalFormatting sqref="J2537">
    <cfRule type="containsText" dxfId="2552" priority="2822" operator="containsText" text="Missing">
      <formula>NOT(ISERROR(SEARCH("Missing",J2537)))</formula>
    </cfRule>
  </conditionalFormatting>
  <conditionalFormatting sqref="K2584">
    <cfRule type="containsText" dxfId="2551" priority="2193" operator="containsText" text="Missing">
      <formula>NOT(ISERROR(SEARCH("Missing",K2584)))</formula>
    </cfRule>
  </conditionalFormatting>
  <conditionalFormatting sqref="J2585">
    <cfRule type="containsText" dxfId="2550" priority="2183" operator="containsText" text="Missing">
      <formula>NOT(ISERROR(SEARCH("Missing",J2585)))</formula>
    </cfRule>
  </conditionalFormatting>
  <conditionalFormatting sqref="K2585">
    <cfRule type="containsText" dxfId="2549" priority="2182" operator="containsText" text="Missing">
      <formula>NOT(ISERROR(SEARCH("Missing",K2585)))</formula>
    </cfRule>
  </conditionalFormatting>
  <conditionalFormatting sqref="K2585">
    <cfRule type="containsText" dxfId="2548" priority="2181" operator="containsText" text="Missing">
      <formula>NOT(ISERROR(SEARCH("Missing",K2585)))</formula>
    </cfRule>
  </conditionalFormatting>
  <conditionalFormatting sqref="H2504">
    <cfRule type="containsText" dxfId="2547" priority="2802" operator="containsText" text="Missing">
      <formula>NOT(ISERROR(SEARCH("Missing",H2504)))</formula>
    </cfRule>
  </conditionalFormatting>
  <conditionalFormatting sqref="I2584">
    <cfRule type="containsText" dxfId="2546" priority="2176" operator="containsText" text="Missing">
      <formula>NOT(ISERROR(SEARCH("Missing",I2584)))</formula>
    </cfRule>
  </conditionalFormatting>
  <conditionalFormatting sqref="I2582">
    <cfRule type="containsText" dxfId="2545" priority="2177" operator="containsText" text="Missing">
      <formula>NOT(ISERROR(SEARCH("Missing",I2582)))</formula>
    </cfRule>
  </conditionalFormatting>
  <conditionalFormatting sqref="H2585">
    <cfRule type="containsText" dxfId="2544" priority="2178" operator="containsText" text="Missing">
      <formula>NOT(ISERROR(SEARCH("Missing",H2585)))</formula>
    </cfRule>
  </conditionalFormatting>
  <conditionalFormatting sqref="I2590">
    <cfRule type="containsText" dxfId="2543" priority="2255" operator="containsText" text="Missing">
      <formula>NOT(ISERROR(SEARCH("Missing",I2590)))</formula>
    </cfRule>
  </conditionalFormatting>
  <conditionalFormatting sqref="H2590">
    <cfRule type="containsText" dxfId="2542" priority="2254" operator="containsText" text="Missing">
      <formula>NOT(ISERROR(SEARCH("Missing",H2590)))</formula>
    </cfRule>
  </conditionalFormatting>
  <conditionalFormatting sqref="H2590">
    <cfRule type="containsText" dxfId="2541" priority="2252" operator="containsText" text="Missing">
      <formula>NOT(ISERROR(SEARCH("Missing",H2590)))</formula>
    </cfRule>
  </conditionalFormatting>
  <conditionalFormatting sqref="H2590">
    <cfRule type="containsText" dxfId="2540" priority="2253" operator="containsText" text="Missing">
      <formula>NOT(ISERROR(SEARCH("Missing",H2590)))</formula>
    </cfRule>
  </conditionalFormatting>
  <conditionalFormatting sqref="L2585">
    <cfRule type="containsText" dxfId="2539" priority="2187" operator="containsText" text="Positive">
      <formula>NOT(ISERROR(SEARCH("Positive",L2585)))</formula>
    </cfRule>
    <cfRule type="containsText" dxfId="2538" priority="2188" operator="containsText" text="Negative">
      <formula>NOT(ISERROR(SEARCH("Negative",L2585)))</formula>
    </cfRule>
  </conditionalFormatting>
  <conditionalFormatting sqref="L2585">
    <cfRule type="containsText" dxfId="2537" priority="2185" operator="containsText" text="Positive">
      <formula>NOT(ISERROR(SEARCH("Positive",L2585)))</formula>
    </cfRule>
    <cfRule type="containsText" dxfId="2536" priority="2186" operator="containsText" text="Negative">
      <formula>NOT(ISERROR(SEARCH("Negative",L2585)))</formula>
    </cfRule>
  </conditionalFormatting>
  <conditionalFormatting sqref="L2532">
    <cfRule type="containsText" dxfId="2535" priority="2884" operator="containsText" text="Positive">
      <formula>NOT(ISERROR(SEARCH("Positive",L2532)))</formula>
    </cfRule>
    <cfRule type="containsText" dxfId="2534" priority="2885" operator="containsText" text="Negative">
      <formula>NOT(ISERROR(SEARCH("Negative",L2532)))</formula>
    </cfRule>
  </conditionalFormatting>
  <conditionalFormatting sqref="L2532">
    <cfRule type="containsText" dxfId="2533" priority="2882" operator="containsText" text="Positive">
      <formula>NOT(ISERROR(SEARCH("Positive",L2532)))</formula>
    </cfRule>
    <cfRule type="containsText" dxfId="2532" priority="2883" operator="containsText" text="Negative">
      <formula>NOT(ISERROR(SEARCH("Negative",L2532)))</formula>
    </cfRule>
  </conditionalFormatting>
  <conditionalFormatting sqref="K2532">
    <cfRule type="containsText" dxfId="2531" priority="2878" operator="containsText" text="Missing">
      <formula>NOT(ISERROR(SEARCH("Missing",K2532)))</formula>
    </cfRule>
  </conditionalFormatting>
  <conditionalFormatting sqref="K2506">
    <cfRule type="containsText" dxfId="2530" priority="2775" operator="containsText" text="Missing">
      <formula>NOT(ISERROR(SEARCH("Missing",K2506)))</formula>
    </cfRule>
  </conditionalFormatting>
  <conditionalFormatting sqref="K2536">
    <cfRule type="containsText" dxfId="2529" priority="2890" operator="containsText" text="Missing">
      <formula>NOT(ISERROR(SEARCH("Missing",K2536)))</formula>
    </cfRule>
  </conditionalFormatting>
  <conditionalFormatting sqref="K2532">
    <cfRule type="containsText" dxfId="2528" priority="2879" operator="containsText" text="Missing">
      <formula>NOT(ISERROR(SEARCH("Missing",K2532)))</formula>
    </cfRule>
  </conditionalFormatting>
  <conditionalFormatting sqref="K2538">
    <cfRule type="containsText" dxfId="2527" priority="2834" operator="containsText" text="Missing">
      <formula>NOT(ISERROR(SEARCH("Missing",K2538)))</formula>
    </cfRule>
  </conditionalFormatting>
  <conditionalFormatting sqref="H2584">
    <cfRule type="containsText" dxfId="2526" priority="2192" operator="containsText" text="Missing">
      <formula>NOT(ISERROR(SEARCH("Missing",H2584)))</formula>
    </cfRule>
  </conditionalFormatting>
  <conditionalFormatting sqref="K2532">
    <cfRule type="containsText" dxfId="2525" priority="2877" operator="containsText" text="Missing">
      <formula>NOT(ISERROR(SEARCH("Missing",K2532)))</formula>
    </cfRule>
  </conditionalFormatting>
  <conditionalFormatting sqref="J2584">
    <cfRule type="containsText" dxfId="2524" priority="2196" operator="containsText" text="Missing">
      <formula>NOT(ISERROR(SEARCH("Missing",J2584)))</formula>
    </cfRule>
  </conditionalFormatting>
  <conditionalFormatting sqref="K2584">
    <cfRule type="containsText" dxfId="2523" priority="2195" operator="containsText" text="Missing">
      <formula>NOT(ISERROR(SEARCH("Missing",K2584)))</formula>
    </cfRule>
  </conditionalFormatting>
  <conditionalFormatting sqref="J2507">
    <cfRule type="containsText" dxfId="2522" priority="2764" operator="containsText" text="Missing">
      <formula>NOT(ISERROR(SEARCH("Missing",J2507)))</formula>
    </cfRule>
  </conditionalFormatting>
  <conditionalFormatting sqref="K2536">
    <cfRule type="containsText" dxfId="2521" priority="2891" operator="containsText" text="Missing">
      <formula>NOT(ISERROR(SEARCH("Missing",K2536)))</formula>
    </cfRule>
  </conditionalFormatting>
  <conditionalFormatting sqref="H2582">
    <cfRule type="containsText" dxfId="2520" priority="2204" operator="containsText" text="Missing">
      <formula>NOT(ISERROR(SEARCH("Missing",H2582)))</formula>
    </cfRule>
  </conditionalFormatting>
  <conditionalFormatting sqref="J2532">
    <cfRule type="containsText" dxfId="2519" priority="2880" operator="containsText" text="Missing">
      <formula>NOT(ISERROR(SEARCH("Missing",J2532)))</formula>
    </cfRule>
  </conditionalFormatting>
  <conditionalFormatting sqref="J2532">
    <cfRule type="containsText" dxfId="2518" priority="2881" operator="containsText" text="Missing">
      <formula>NOT(ISERROR(SEARCH("Missing",J2532)))</formula>
    </cfRule>
  </conditionalFormatting>
  <conditionalFormatting sqref="H2505">
    <cfRule type="containsText" dxfId="2517" priority="2788" operator="containsText" text="Missing">
      <formula>NOT(ISERROR(SEARCH("Missing",H2505)))</formula>
    </cfRule>
  </conditionalFormatting>
  <conditionalFormatting sqref="J2505">
    <cfRule type="containsText" dxfId="2516" priority="2794" operator="containsText" text="Missing">
      <formula>NOT(ISERROR(SEARCH("Missing",J2505)))</formula>
    </cfRule>
  </conditionalFormatting>
  <conditionalFormatting sqref="J2585">
    <cfRule type="containsText" dxfId="2515" priority="2184" operator="containsText" text="Missing">
      <formula>NOT(ISERROR(SEARCH("Missing",J2585)))</formula>
    </cfRule>
  </conditionalFormatting>
  <conditionalFormatting sqref="H2532">
    <cfRule type="containsText" dxfId="2514" priority="2876" operator="containsText" text="Missing">
      <formula>NOT(ISERROR(SEARCH("Missing",H2532)))</formula>
    </cfRule>
  </conditionalFormatting>
  <conditionalFormatting sqref="J2533">
    <cfRule type="containsText" dxfId="2513" priority="2904" operator="containsText" text="Missing">
      <formula>NOT(ISERROR(SEARCH("Missing",J2533)))</formula>
    </cfRule>
  </conditionalFormatting>
  <conditionalFormatting sqref="J2533">
    <cfRule type="containsText" dxfId="2512" priority="2905" operator="containsText" text="Missing">
      <formula>NOT(ISERROR(SEARCH("Missing",J2533)))</formula>
    </cfRule>
  </conditionalFormatting>
  <conditionalFormatting sqref="L2537">
    <cfRule type="containsText" dxfId="2511" priority="2824" operator="containsText" text="Positive">
      <formula>NOT(ISERROR(SEARCH("Positive",L2537)))</formula>
    </cfRule>
    <cfRule type="containsText" dxfId="2510" priority="2825" operator="containsText" text="Negative">
      <formula>NOT(ISERROR(SEARCH("Negative",L2537)))</formula>
    </cfRule>
  </conditionalFormatting>
  <conditionalFormatting sqref="L2537">
    <cfRule type="containsText" dxfId="2509" priority="2828" operator="containsText" text="Positive">
      <formula>NOT(ISERROR(SEARCH("Positive",L2537)))</formula>
    </cfRule>
    <cfRule type="containsText" dxfId="2508" priority="2829" operator="containsText" text="Negative">
      <formula>NOT(ISERROR(SEARCH("Negative",L2537)))</formula>
    </cfRule>
  </conditionalFormatting>
  <conditionalFormatting sqref="L2585">
    <cfRule type="containsText" dxfId="2507" priority="2189" operator="containsText" text="Positive">
      <formula>NOT(ISERROR(SEARCH("Positive",L2585)))</formula>
    </cfRule>
    <cfRule type="containsText" dxfId="2506" priority="2190" operator="containsText" text="Negative">
      <formula>NOT(ISERROR(SEARCH("Negative",L2585)))</formula>
    </cfRule>
  </conditionalFormatting>
  <conditionalFormatting sqref="K2507">
    <cfRule type="containsText" dxfId="2505" priority="2761" operator="containsText" text="Missing">
      <formula>NOT(ISERROR(SEARCH("Missing",K2507)))</formula>
    </cfRule>
  </conditionalFormatting>
  <conditionalFormatting sqref="K2507">
    <cfRule type="containsText" dxfId="2504" priority="2760" operator="containsText" text="Missing">
      <formula>NOT(ISERROR(SEARCH("Missing",K2507)))</formula>
    </cfRule>
  </conditionalFormatting>
  <conditionalFormatting sqref="K2584">
    <cfRule type="containsText" dxfId="2503" priority="2194" operator="containsText" text="Missing">
      <formula>NOT(ISERROR(SEARCH("Missing",K2584)))</formula>
    </cfRule>
  </conditionalFormatting>
  <conditionalFormatting sqref="J2538">
    <cfRule type="containsText" dxfId="2502" priority="2835" operator="containsText" text="Missing">
      <formula>NOT(ISERROR(SEARCH("Missing",J2538)))</formula>
    </cfRule>
  </conditionalFormatting>
  <conditionalFormatting sqref="I2505">
    <cfRule type="containsText" dxfId="2501" priority="2786" operator="containsText" text="Missing">
      <formula>NOT(ISERROR(SEARCH("Missing",I2505)))</formula>
    </cfRule>
  </conditionalFormatting>
  <conditionalFormatting sqref="K2538">
    <cfRule type="containsText" dxfId="2500" priority="2833" operator="containsText" text="Missing">
      <formula>NOT(ISERROR(SEARCH("Missing",K2538)))</formula>
    </cfRule>
  </conditionalFormatting>
  <conditionalFormatting sqref="H2504">
    <cfRule type="containsText" dxfId="2499" priority="2803" operator="containsText" text="Missing">
      <formula>NOT(ISERROR(SEARCH("Missing",H2504)))</formula>
    </cfRule>
  </conditionalFormatting>
  <conditionalFormatting sqref="K2506">
    <cfRule type="containsText" dxfId="2498" priority="2774" operator="containsText" text="Missing">
      <formula>NOT(ISERROR(SEARCH("Missing",K2506)))</formula>
    </cfRule>
  </conditionalFormatting>
  <conditionalFormatting sqref="H2506">
    <cfRule type="containsText" dxfId="2497" priority="2772" operator="containsText" text="Missing">
      <formula>NOT(ISERROR(SEARCH("Missing",H2506)))</formula>
    </cfRule>
  </conditionalFormatting>
  <conditionalFormatting sqref="I2536">
    <cfRule type="containsText" dxfId="2496" priority="2846" operator="containsText" text="Missing">
      <formula>NOT(ISERROR(SEARCH("Missing",I2536)))</formula>
    </cfRule>
  </conditionalFormatting>
  <conditionalFormatting sqref="H2584">
    <cfRule type="containsText" dxfId="2495" priority="2191" operator="containsText" text="Missing">
      <formula>NOT(ISERROR(SEARCH("Missing",H2584)))</formula>
    </cfRule>
  </conditionalFormatting>
  <conditionalFormatting sqref="I2531">
    <cfRule type="containsText" dxfId="2494" priority="2845" operator="containsText" text="Missing">
      <formula>NOT(ISERROR(SEARCH("Missing",I2531)))</formula>
    </cfRule>
  </conditionalFormatting>
  <conditionalFormatting sqref="L2506">
    <cfRule type="containsText" dxfId="2493" priority="2780" operator="containsText" text="Positive">
      <formula>NOT(ISERROR(SEARCH("Positive",L2506)))</formula>
    </cfRule>
    <cfRule type="containsText" dxfId="2492" priority="2781" operator="containsText" text="Negative">
      <formula>NOT(ISERROR(SEARCH("Negative",L2506)))</formula>
    </cfRule>
  </conditionalFormatting>
  <conditionalFormatting sqref="L2538">
    <cfRule type="containsText" dxfId="2491" priority="2841" operator="containsText" text="Positive">
      <formula>NOT(ISERROR(SEARCH("Positive",L2538)))</formula>
    </cfRule>
    <cfRule type="containsText" dxfId="2490" priority="2842" operator="containsText" text="Negative">
      <formula>NOT(ISERROR(SEARCH("Negative",L2538)))</formula>
    </cfRule>
  </conditionalFormatting>
  <conditionalFormatting sqref="L2538">
    <cfRule type="containsText" dxfId="2489" priority="2839" operator="containsText" text="Positive">
      <formula>NOT(ISERROR(SEARCH("Positive",L2538)))</formula>
    </cfRule>
    <cfRule type="containsText" dxfId="2488" priority="2840" operator="containsText" text="Negative">
      <formula>NOT(ISERROR(SEARCH("Negative",L2538)))</formula>
    </cfRule>
  </conditionalFormatting>
  <conditionalFormatting sqref="I2505">
    <cfRule type="containsText" dxfId="2487" priority="2785" operator="containsText" text="Missing">
      <formula>NOT(ISERROR(SEARCH("Missing",I2505)))</formula>
    </cfRule>
  </conditionalFormatting>
  <conditionalFormatting sqref="K2538">
    <cfRule type="containsText" dxfId="2486" priority="2832" operator="containsText" text="Missing">
      <formula>NOT(ISERROR(SEARCH("Missing",K2538)))</formula>
    </cfRule>
  </conditionalFormatting>
  <conditionalFormatting sqref="J2506">
    <cfRule type="containsText" dxfId="2485" priority="2784" operator="containsText" text="Missing">
      <formula>NOT(ISERROR(SEARCH("Missing",J2506)))</formula>
    </cfRule>
  </conditionalFormatting>
  <conditionalFormatting sqref="L2531">
    <cfRule type="containsText" dxfId="2484" priority="2921" operator="containsText" text="Positive">
      <formula>NOT(ISERROR(SEARCH("Positive",L2531)))</formula>
    </cfRule>
    <cfRule type="containsText" dxfId="2483" priority="2922" operator="containsText" text="Negative">
      <formula>NOT(ISERROR(SEARCH("Negative",L2531)))</formula>
    </cfRule>
  </conditionalFormatting>
  <conditionalFormatting sqref="H2505">
    <cfRule type="containsText" dxfId="2482" priority="2787" operator="containsText" text="Missing">
      <formula>NOT(ISERROR(SEARCH("Missing",H2505)))</formula>
    </cfRule>
  </conditionalFormatting>
  <conditionalFormatting sqref="H2538">
    <cfRule type="containsText" dxfId="2481" priority="2831" operator="containsText" text="Missing">
      <formula>NOT(ISERROR(SEARCH("Missing",H2538)))</formula>
    </cfRule>
  </conditionalFormatting>
  <conditionalFormatting sqref="H2538">
    <cfRule type="containsText" dxfId="2480" priority="2830" operator="containsText" text="Missing">
      <formula>NOT(ISERROR(SEARCH("Missing",H2538)))</formula>
    </cfRule>
  </conditionalFormatting>
  <conditionalFormatting sqref="L2581">
    <cfRule type="containsText" dxfId="2479" priority="2248" operator="containsText" text="Positive">
      <formula>NOT(ISERROR(SEARCH("Positive",L2581)))</formula>
    </cfRule>
    <cfRule type="containsText" dxfId="2478" priority="2249" operator="containsText" text="Negative">
      <formula>NOT(ISERROR(SEARCH("Negative",L2581)))</formula>
    </cfRule>
  </conditionalFormatting>
  <conditionalFormatting sqref="K2581">
    <cfRule type="containsText" dxfId="2477" priority="2242" operator="containsText" text="Missing">
      <formula>NOT(ISERROR(SEARCH("Missing",K2581)))</formula>
    </cfRule>
  </conditionalFormatting>
  <conditionalFormatting sqref="K2581">
    <cfRule type="containsText" dxfId="2476" priority="2241" operator="containsText" text="Missing">
      <formula>NOT(ISERROR(SEARCH("Missing",K2581)))</formula>
    </cfRule>
  </conditionalFormatting>
  <conditionalFormatting sqref="J2538">
    <cfRule type="containsText" dxfId="2475" priority="2836" operator="containsText" text="Missing">
      <formula>NOT(ISERROR(SEARCH("Missing",J2538)))</formula>
    </cfRule>
  </conditionalFormatting>
  <conditionalFormatting sqref="J2504">
    <cfRule type="containsText" dxfId="2474" priority="2814" operator="containsText" text="Missing">
      <formula>NOT(ISERROR(SEARCH("Missing",J2504)))</formula>
    </cfRule>
  </conditionalFormatting>
  <conditionalFormatting sqref="L2533">
    <cfRule type="containsText" dxfId="2473" priority="2910" operator="containsText" text="Positive">
      <formula>NOT(ISERROR(SEARCH("Positive",L2533)))</formula>
    </cfRule>
    <cfRule type="containsText" dxfId="2472" priority="2911" operator="containsText" text="Negative">
      <formula>NOT(ISERROR(SEARCH("Negative",L2533)))</formula>
    </cfRule>
  </conditionalFormatting>
  <conditionalFormatting sqref="L2536">
    <cfRule type="containsText" dxfId="2471" priority="2897" operator="containsText" text="Positive">
      <formula>NOT(ISERROR(SEARCH("Positive",L2536)))</formula>
    </cfRule>
    <cfRule type="containsText" dxfId="2470" priority="2898" operator="containsText" text="Negative">
      <formula>NOT(ISERROR(SEARCH("Negative",L2536)))</formula>
    </cfRule>
  </conditionalFormatting>
  <conditionalFormatting sqref="L2536">
    <cfRule type="containsText" dxfId="2469" priority="2895" operator="containsText" text="Positive">
      <formula>NOT(ISERROR(SEARCH("Positive",L2536)))</formula>
    </cfRule>
    <cfRule type="containsText" dxfId="2468" priority="2896" operator="containsText" text="Negative">
      <formula>NOT(ISERROR(SEARCH("Negative",L2536)))</formula>
    </cfRule>
  </conditionalFormatting>
  <conditionalFormatting sqref="H2506">
    <cfRule type="containsText" dxfId="2467" priority="2773" operator="containsText" text="Missing">
      <formula>NOT(ISERROR(SEARCH("Missing",H2506)))</formula>
    </cfRule>
  </conditionalFormatting>
  <conditionalFormatting sqref="K2507">
    <cfRule type="containsText" dxfId="2466" priority="2759" operator="containsText" text="Missing">
      <formula>NOT(ISERROR(SEARCH("Missing",K2507)))</formula>
    </cfRule>
  </conditionalFormatting>
  <conditionalFormatting sqref="H2507">
    <cfRule type="containsText" dxfId="2465" priority="2758" operator="containsText" text="Missing">
      <formula>NOT(ISERROR(SEARCH("Missing",H2507)))</formula>
    </cfRule>
  </conditionalFormatting>
  <conditionalFormatting sqref="H2507">
    <cfRule type="containsText" dxfId="2464" priority="2757" operator="containsText" text="Missing">
      <formula>NOT(ISERROR(SEARCH("Missing",H2507)))</formula>
    </cfRule>
  </conditionalFormatting>
  <conditionalFormatting sqref="L2504">
    <cfRule type="containsText" dxfId="2463" priority="2807" operator="containsText" text="Positive">
      <formula>NOT(ISERROR(SEARCH("Positive",L2504)))</formula>
    </cfRule>
    <cfRule type="containsText" dxfId="2462" priority="2808" operator="containsText" text="Negative">
      <formula>NOT(ISERROR(SEARCH("Negative",L2504)))</formula>
    </cfRule>
  </conditionalFormatting>
  <conditionalFormatting sqref="L2505">
    <cfRule type="containsText" dxfId="2461" priority="2795" operator="containsText" text="Positive">
      <formula>NOT(ISERROR(SEARCH("Positive",L2505)))</formula>
    </cfRule>
    <cfRule type="containsText" dxfId="2460" priority="2796" operator="containsText" text="Negative">
      <formula>NOT(ISERROR(SEARCH("Negative",L2505)))</formula>
    </cfRule>
  </conditionalFormatting>
  <conditionalFormatting sqref="L2537">
    <cfRule type="containsText" dxfId="2459" priority="2826" operator="containsText" text="Positive">
      <formula>NOT(ISERROR(SEARCH("Positive",L2537)))</formula>
    </cfRule>
    <cfRule type="containsText" dxfId="2458" priority="2827" operator="containsText" text="Negative">
      <formula>NOT(ISERROR(SEARCH("Negative",L2537)))</formula>
    </cfRule>
  </conditionalFormatting>
  <conditionalFormatting sqref="K2505">
    <cfRule type="containsText" dxfId="2457" priority="2790" operator="containsText" text="Missing">
      <formula>NOT(ISERROR(SEARCH("Missing",K2505)))</formula>
    </cfRule>
  </conditionalFormatting>
  <conditionalFormatting sqref="K2505">
    <cfRule type="containsText" dxfId="2456" priority="2789" operator="containsText" text="Missing">
      <formula>NOT(ISERROR(SEARCH("Missing",K2505)))</formula>
    </cfRule>
  </conditionalFormatting>
  <conditionalFormatting sqref="I2506">
    <cfRule type="containsText" dxfId="2455" priority="2771" operator="containsText" text="Missing">
      <formula>NOT(ISERROR(SEARCH("Missing",I2506)))</formula>
    </cfRule>
  </conditionalFormatting>
  <conditionalFormatting sqref="L2581">
    <cfRule type="containsText" dxfId="2454" priority="2246" operator="containsText" text="Positive">
      <formula>NOT(ISERROR(SEARCH("Positive",L2581)))</formula>
    </cfRule>
    <cfRule type="containsText" dxfId="2453" priority="2247" operator="containsText" text="Negative">
      <formula>NOT(ISERROR(SEARCH("Negative",L2581)))</formula>
    </cfRule>
  </conditionalFormatting>
  <conditionalFormatting sqref="L2506">
    <cfRule type="containsText" dxfId="2452" priority="2782" operator="containsText" text="Positive">
      <formula>NOT(ISERROR(SEARCH("Positive",L2506)))</formula>
    </cfRule>
    <cfRule type="containsText" dxfId="2451" priority="2783" operator="containsText" text="Negative">
      <formula>NOT(ISERROR(SEARCH("Negative",L2506)))</formula>
    </cfRule>
  </conditionalFormatting>
  <conditionalFormatting sqref="K2506">
    <cfRule type="containsText" dxfId="2450" priority="2776" operator="containsText" text="Missing">
      <formula>NOT(ISERROR(SEARCH("Missing",K2506)))</formula>
    </cfRule>
  </conditionalFormatting>
  <conditionalFormatting sqref="I2537">
    <cfRule type="containsText" dxfId="2449" priority="2815" operator="containsText" text="Missing">
      <formula>NOT(ISERROR(SEARCH("Missing",I2537)))</formula>
    </cfRule>
  </conditionalFormatting>
  <conditionalFormatting sqref="H2537">
    <cfRule type="containsText" dxfId="2448" priority="2817" operator="containsText" text="Missing">
      <formula>NOT(ISERROR(SEARCH("Missing",H2537)))</formula>
    </cfRule>
  </conditionalFormatting>
  <conditionalFormatting sqref="I2538">
    <cfRule type="containsText" dxfId="2447" priority="2816" operator="containsText" text="Missing">
      <formula>NOT(ISERROR(SEARCH("Missing",I2538)))</formula>
    </cfRule>
  </conditionalFormatting>
  <conditionalFormatting sqref="L2532">
    <cfRule type="containsText" dxfId="2446" priority="2886" operator="containsText" text="Positive">
      <formula>NOT(ISERROR(SEARCH("Positive",L2532)))</formula>
    </cfRule>
    <cfRule type="containsText" dxfId="2445" priority="2887" operator="containsText" text="Negative">
      <formula>NOT(ISERROR(SEARCH("Negative",L2532)))</formula>
    </cfRule>
  </conditionalFormatting>
  <conditionalFormatting sqref="L2538">
    <cfRule type="containsText" dxfId="2444" priority="2837" operator="containsText" text="Positive">
      <formula>NOT(ISERROR(SEARCH("Positive",L2538)))</formula>
    </cfRule>
    <cfRule type="containsText" dxfId="2443" priority="2838" operator="containsText" text="Negative">
      <formula>NOT(ISERROR(SEARCH("Negative",L2538)))</formula>
    </cfRule>
  </conditionalFormatting>
  <conditionalFormatting sqref="L2507">
    <cfRule type="containsText" dxfId="2442" priority="2767" operator="containsText" text="Positive">
      <formula>NOT(ISERROR(SEARCH("Positive",L2507)))</formula>
    </cfRule>
    <cfRule type="containsText" dxfId="2441" priority="2768" operator="containsText" text="Negative">
      <formula>NOT(ISERROR(SEARCH("Negative",L2507)))</formula>
    </cfRule>
  </conditionalFormatting>
  <conditionalFormatting sqref="L2507">
    <cfRule type="containsText" dxfId="2440" priority="2765" operator="containsText" text="Positive">
      <formula>NOT(ISERROR(SEARCH("Positive",L2507)))</formula>
    </cfRule>
    <cfRule type="containsText" dxfId="2439" priority="2766" operator="containsText" text="Negative">
      <formula>NOT(ISERROR(SEARCH("Negative",L2507)))</formula>
    </cfRule>
  </conditionalFormatting>
  <conditionalFormatting sqref="I2506">
    <cfRule type="containsText" dxfId="2438" priority="2770" operator="containsText" text="Missing">
      <formula>NOT(ISERROR(SEARCH("Missing",I2506)))</formula>
    </cfRule>
  </conditionalFormatting>
  <conditionalFormatting sqref="J2504">
    <cfRule type="containsText" dxfId="2437" priority="2809" operator="containsText" text="Missing">
      <formula>NOT(ISERROR(SEARCH("Missing",J2504)))</formula>
    </cfRule>
  </conditionalFormatting>
  <conditionalFormatting sqref="J2512">
    <cfRule type="containsText" dxfId="2436" priority="2736" operator="containsText" text="Missing">
      <formula>NOT(ISERROR(SEARCH("Missing",J2512)))</formula>
    </cfRule>
  </conditionalFormatting>
  <conditionalFormatting sqref="J2520">
    <cfRule type="containsText" dxfId="2435" priority="2672" operator="containsText" text="Missing">
      <formula>NOT(ISERROR(SEARCH("Missing",J2520)))</formula>
    </cfRule>
  </conditionalFormatting>
  <conditionalFormatting sqref="K2504">
    <cfRule type="containsText" dxfId="2434" priority="2804" operator="containsText" text="Missing">
      <formula>NOT(ISERROR(SEARCH("Missing",K2504)))</formula>
    </cfRule>
  </conditionalFormatting>
  <conditionalFormatting sqref="K2504">
    <cfRule type="containsText" dxfId="2433" priority="2805" operator="containsText" text="Missing">
      <formula>NOT(ISERROR(SEARCH("Missing",K2504)))</formula>
    </cfRule>
  </conditionalFormatting>
  <conditionalFormatting sqref="K2512">
    <cfRule type="containsText" dxfId="2432" priority="2732" operator="containsText" text="Missing">
      <formula>NOT(ISERROR(SEARCH("Missing",K2512)))</formula>
    </cfRule>
  </conditionalFormatting>
  <conditionalFormatting sqref="K2505">
    <cfRule type="containsText" dxfId="2431" priority="2791" operator="containsText" text="Missing">
      <formula>NOT(ISERROR(SEARCH("Missing",K2505)))</formula>
    </cfRule>
  </conditionalFormatting>
  <conditionalFormatting sqref="K2512">
    <cfRule type="containsText" dxfId="2430" priority="2733" operator="containsText" text="Missing">
      <formula>NOT(ISERROR(SEARCH("Missing",K2512)))</formula>
    </cfRule>
  </conditionalFormatting>
  <conditionalFormatting sqref="L2505">
    <cfRule type="containsText" dxfId="2429" priority="2792" operator="containsText" text="Positive">
      <formula>NOT(ISERROR(SEARCH("Positive",L2505)))</formula>
    </cfRule>
    <cfRule type="containsText" dxfId="2428" priority="2793" operator="containsText" text="Negative">
      <formula>NOT(ISERROR(SEARCH("Negative",L2505)))</formula>
    </cfRule>
  </conditionalFormatting>
  <conditionalFormatting sqref="L2505">
    <cfRule type="containsText" dxfId="2427" priority="2797" operator="containsText" text="Positive">
      <formula>NOT(ISERROR(SEARCH("Positive",L2505)))</formula>
    </cfRule>
    <cfRule type="containsText" dxfId="2426" priority="2798" operator="containsText" text="Negative">
      <formula>NOT(ISERROR(SEARCH("Negative",L2505)))</formula>
    </cfRule>
  </conditionalFormatting>
  <conditionalFormatting sqref="J2506">
    <cfRule type="containsText" dxfId="2425" priority="2779" operator="containsText" text="Missing">
      <formula>NOT(ISERROR(SEARCH("Missing",J2506)))</formula>
    </cfRule>
  </conditionalFormatting>
  <conditionalFormatting sqref="L2506">
    <cfRule type="containsText" dxfId="2424" priority="2777" operator="containsText" text="Positive">
      <formula>NOT(ISERROR(SEARCH("Positive",L2506)))</formula>
    </cfRule>
    <cfRule type="containsText" dxfId="2423" priority="2778" operator="containsText" text="Negative">
      <formula>NOT(ISERROR(SEARCH("Negative",L2506)))</formula>
    </cfRule>
  </conditionalFormatting>
  <conditionalFormatting sqref="L2507">
    <cfRule type="containsText" dxfId="2422" priority="2762" operator="containsText" text="Positive">
      <formula>NOT(ISERROR(SEARCH("Positive",L2507)))</formula>
    </cfRule>
    <cfRule type="containsText" dxfId="2421" priority="2763" operator="containsText" text="Negative">
      <formula>NOT(ISERROR(SEARCH("Negative",L2507)))</formula>
    </cfRule>
  </conditionalFormatting>
  <conditionalFormatting sqref="J2507">
    <cfRule type="containsText" dxfId="2420" priority="2769" operator="containsText" text="Missing">
      <formula>NOT(ISERROR(SEARCH("Missing",J2507)))</formula>
    </cfRule>
  </conditionalFormatting>
  <conditionalFormatting sqref="H2511">
    <cfRule type="containsText" dxfId="2419" priority="2744" operator="containsText" text="Missing">
      <formula>NOT(ISERROR(SEARCH("Missing",H2511)))</formula>
    </cfRule>
  </conditionalFormatting>
  <conditionalFormatting sqref="H2511">
    <cfRule type="containsText" dxfId="2418" priority="2745" operator="containsText" text="Missing">
      <formula>NOT(ISERROR(SEARCH("Missing",H2511)))</formula>
    </cfRule>
  </conditionalFormatting>
  <conditionalFormatting sqref="K2504">
    <cfRule type="containsText" dxfId="2417" priority="2806" operator="containsText" text="Missing">
      <formula>NOT(ISERROR(SEARCH("Missing",K2504)))</formula>
    </cfRule>
  </conditionalFormatting>
  <conditionalFormatting sqref="K2519">
    <cfRule type="containsText" dxfId="2416" priority="2679" operator="containsText" text="Missing">
      <formula>NOT(ISERROR(SEARCH("Missing",K2519)))</formula>
    </cfRule>
  </conditionalFormatting>
  <conditionalFormatting sqref="L2504">
    <cfRule type="containsText" dxfId="2415" priority="2812" operator="containsText" text="Positive">
      <formula>NOT(ISERROR(SEARCH("Positive",L2504)))</formula>
    </cfRule>
    <cfRule type="containsText" dxfId="2414" priority="2813" operator="containsText" text="Negative">
      <formula>NOT(ISERROR(SEARCH("Negative",L2504)))</formula>
    </cfRule>
  </conditionalFormatting>
  <conditionalFormatting sqref="L2504">
    <cfRule type="containsText" dxfId="2413" priority="2810" operator="containsText" text="Positive">
      <formula>NOT(ISERROR(SEARCH("Positive",L2504)))</formula>
    </cfRule>
    <cfRule type="containsText" dxfId="2412" priority="2811" operator="containsText" text="Negative">
      <formula>NOT(ISERROR(SEARCH("Negative",L2504)))</formula>
    </cfRule>
  </conditionalFormatting>
  <conditionalFormatting sqref="I2511">
    <cfRule type="containsText" dxfId="2411" priority="2743" operator="containsText" text="Missing">
      <formula>NOT(ISERROR(SEARCH("Missing",I2511)))</formula>
    </cfRule>
  </conditionalFormatting>
  <conditionalFormatting sqref="I2511">
    <cfRule type="containsText" dxfId="2410" priority="2742" operator="containsText" text="Missing">
      <formula>NOT(ISERROR(SEARCH("Missing",I2511)))</formula>
    </cfRule>
  </conditionalFormatting>
  <conditionalFormatting sqref="J2512">
    <cfRule type="containsText" dxfId="2409" priority="2741" operator="containsText" text="Missing">
      <formula>NOT(ISERROR(SEARCH("Missing",J2512)))</formula>
    </cfRule>
  </conditionalFormatting>
  <conditionalFormatting sqref="J2518">
    <cfRule type="containsText" dxfId="2408" priority="2697" operator="containsText" text="Missing">
      <formula>NOT(ISERROR(SEARCH("Missing",J2518)))</formula>
    </cfRule>
  </conditionalFormatting>
  <conditionalFormatting sqref="J2547">
    <cfRule type="containsText" dxfId="2407" priority="2548" operator="containsText" text="Missing">
      <formula>NOT(ISERROR(SEARCH("Missing",J2547)))</formula>
    </cfRule>
  </conditionalFormatting>
  <conditionalFormatting sqref="K2542">
    <cfRule type="containsText" dxfId="2406" priority="2610" operator="containsText" text="Missing">
      <formula>NOT(ISERROR(SEARCH("Missing",K2542)))</formula>
    </cfRule>
  </conditionalFormatting>
  <conditionalFormatting sqref="L2518">
    <cfRule type="containsText" dxfId="2405" priority="2698" operator="containsText" text="Positive">
      <formula>NOT(ISERROR(SEARCH("Positive",L2518)))</formula>
    </cfRule>
    <cfRule type="containsText" dxfId="2404" priority="2699" operator="containsText" text="Negative">
      <formula>NOT(ISERROR(SEARCH("Negative",L2518)))</formula>
    </cfRule>
  </conditionalFormatting>
  <conditionalFormatting sqref="L2513">
    <cfRule type="containsText" dxfId="2403" priority="2726" operator="containsText" text="Positive">
      <formula>NOT(ISERROR(SEARCH("Positive",L2513)))</formula>
    </cfRule>
    <cfRule type="containsText" dxfId="2402" priority="2727" operator="containsText" text="Negative">
      <formula>NOT(ISERROR(SEARCH("Negative",L2513)))</formula>
    </cfRule>
  </conditionalFormatting>
  <conditionalFormatting sqref="H2514">
    <cfRule type="containsText" dxfId="2401" priority="2703" operator="containsText" text="Missing">
      <formula>NOT(ISERROR(SEARCH("Missing",H2514)))</formula>
    </cfRule>
  </conditionalFormatting>
  <conditionalFormatting sqref="K2563">
    <cfRule type="containsText" dxfId="2400" priority="2049" operator="containsText" text="Missing">
      <formula>NOT(ISERROR(SEARCH("Missing",K2563)))</formula>
    </cfRule>
  </conditionalFormatting>
  <conditionalFormatting sqref="K2563">
    <cfRule type="containsText" dxfId="2399" priority="2048" operator="containsText" text="Missing">
      <formula>NOT(ISERROR(SEARCH("Missing",K2563)))</formula>
    </cfRule>
  </conditionalFormatting>
  <conditionalFormatting sqref="K2563">
    <cfRule type="containsText" dxfId="2398" priority="2047" operator="containsText" text="Missing">
      <formula>NOT(ISERROR(SEARCH("Missing",K2563)))</formula>
    </cfRule>
  </conditionalFormatting>
  <conditionalFormatting sqref="H2513">
    <cfRule type="containsText" dxfId="2397" priority="2716" operator="containsText" text="Missing">
      <formula>NOT(ISERROR(SEARCH("Missing",H2513)))</formula>
    </cfRule>
  </conditionalFormatting>
  <conditionalFormatting sqref="H2563">
    <cfRule type="containsText" dxfId="2396" priority="2046" operator="containsText" text="Missing">
      <formula>NOT(ISERROR(SEARCH("Missing",H2563)))</formula>
    </cfRule>
  </conditionalFormatting>
  <conditionalFormatting sqref="J2519">
    <cfRule type="containsText" dxfId="2395" priority="2682" operator="containsText" text="Missing">
      <formula>NOT(ISERROR(SEARCH("Missing",J2519)))</formula>
    </cfRule>
  </conditionalFormatting>
  <conditionalFormatting sqref="I2512">
    <cfRule type="containsText" dxfId="2394" priority="2642" operator="containsText" text="Missing">
      <formula>NOT(ISERROR(SEARCH("Missing",I2512)))</formula>
    </cfRule>
  </conditionalFormatting>
  <conditionalFormatting sqref="I2514">
    <cfRule type="containsText" dxfId="2393" priority="2638" operator="containsText" text="Missing">
      <formula>NOT(ISERROR(SEARCH("Missing",I2514)))</formula>
    </cfRule>
  </conditionalFormatting>
  <conditionalFormatting sqref="L2519">
    <cfRule type="containsText" dxfId="2392" priority="2683" operator="containsText" text="Positive">
      <formula>NOT(ISERROR(SEARCH("Positive",L2519)))</formula>
    </cfRule>
    <cfRule type="containsText" dxfId="2391" priority="2684" operator="containsText" text="Negative">
      <formula>NOT(ISERROR(SEARCH("Negative",L2519)))</formula>
    </cfRule>
  </conditionalFormatting>
  <conditionalFormatting sqref="L2543">
    <cfRule type="containsText" dxfId="2390" priority="2602" operator="containsText" text="Positive">
      <formula>NOT(ISERROR(SEARCH("Positive",L2543)))</formula>
    </cfRule>
    <cfRule type="containsText" dxfId="2389" priority="2603" operator="containsText" text="Negative">
      <formula>NOT(ISERROR(SEARCH("Negative",L2543)))</formula>
    </cfRule>
  </conditionalFormatting>
  <conditionalFormatting sqref="L2514">
    <cfRule type="containsText" dxfId="2388" priority="2713" operator="containsText" text="Positive">
      <formula>NOT(ISERROR(SEARCH("Positive",L2514)))</formula>
    </cfRule>
    <cfRule type="containsText" dxfId="2387" priority="2714" operator="containsText" text="Negative">
      <formula>NOT(ISERROR(SEARCH("Negative",L2514)))</formula>
    </cfRule>
  </conditionalFormatting>
  <conditionalFormatting sqref="H2518">
    <cfRule type="containsText" dxfId="2386" priority="2690" operator="containsText" text="Missing">
      <formula>NOT(ISERROR(SEARCH("Missing",H2518)))</formula>
    </cfRule>
  </conditionalFormatting>
  <conditionalFormatting sqref="K2514">
    <cfRule type="containsText" dxfId="2385" priority="2707" operator="containsText" text="Missing">
      <formula>NOT(ISERROR(SEARCH("Missing",K2514)))</formula>
    </cfRule>
  </conditionalFormatting>
  <conditionalFormatting sqref="K2514">
    <cfRule type="containsText" dxfId="2384" priority="2706" operator="containsText" text="Missing">
      <formula>NOT(ISERROR(SEARCH("Missing",K2514)))</formula>
    </cfRule>
  </conditionalFormatting>
  <conditionalFormatting sqref="K2514">
    <cfRule type="containsText" dxfId="2383" priority="2705" operator="containsText" text="Missing">
      <formula>NOT(ISERROR(SEARCH("Missing",K2514)))</formula>
    </cfRule>
  </conditionalFormatting>
  <conditionalFormatting sqref="H2520">
    <cfRule type="containsText" dxfId="2382" priority="2660" operator="containsText" text="Missing">
      <formula>NOT(ISERROR(SEARCH("Missing",H2520)))</formula>
    </cfRule>
  </conditionalFormatting>
  <conditionalFormatting sqref="H2514">
    <cfRule type="containsText" dxfId="2381" priority="2704" operator="containsText" text="Missing">
      <formula>NOT(ISERROR(SEARCH("Missing",H2514)))</formula>
    </cfRule>
  </conditionalFormatting>
  <conditionalFormatting sqref="J2520">
    <cfRule type="containsText" dxfId="2380" priority="2667" operator="containsText" text="Missing">
      <formula>NOT(ISERROR(SEARCH("Missing",J2520)))</formula>
    </cfRule>
  </conditionalFormatting>
  <conditionalFormatting sqref="I2544">
    <cfRule type="containsText" dxfId="2379" priority="2584" operator="containsText" text="Missing">
      <formula>NOT(ISERROR(SEARCH("Missing",I2544)))</formula>
    </cfRule>
  </conditionalFormatting>
  <conditionalFormatting sqref="J2541">
    <cfRule type="containsText" dxfId="2378" priority="2625" operator="containsText" text="Missing">
      <formula>NOT(ISERROR(SEARCH("Missing",J2541)))</formula>
    </cfRule>
  </conditionalFormatting>
  <conditionalFormatting sqref="L2520">
    <cfRule type="containsText" dxfId="2377" priority="2668" operator="containsText" text="Positive">
      <formula>NOT(ISERROR(SEARCH("Positive",L2520)))</formula>
    </cfRule>
    <cfRule type="containsText" dxfId="2376" priority="2669" operator="containsText" text="Negative">
      <formula>NOT(ISERROR(SEARCH("Negative",L2520)))</formula>
    </cfRule>
  </conditionalFormatting>
  <conditionalFormatting sqref="L2518">
    <cfRule type="containsText" dxfId="2375" priority="2700" operator="containsText" text="Positive">
      <formula>NOT(ISERROR(SEARCH("Positive",L2518)))</formula>
    </cfRule>
    <cfRule type="containsText" dxfId="2374" priority="2701" operator="containsText" text="Negative">
      <formula>NOT(ISERROR(SEARCH("Negative",L2518)))</formula>
    </cfRule>
  </conditionalFormatting>
  <conditionalFormatting sqref="H2519">
    <cfRule type="containsText" dxfId="2373" priority="2675" operator="containsText" text="Missing">
      <formula>NOT(ISERROR(SEARCH("Missing",H2519)))</formula>
    </cfRule>
  </conditionalFormatting>
  <conditionalFormatting sqref="K2518">
    <cfRule type="containsText" dxfId="2372" priority="2694" operator="containsText" text="Missing">
      <formula>NOT(ISERROR(SEARCH("Missing",K2518)))</formula>
    </cfRule>
  </conditionalFormatting>
  <conditionalFormatting sqref="J2511">
    <cfRule type="containsText" dxfId="2371" priority="2751" operator="containsText" text="Missing">
      <formula>NOT(ISERROR(SEARCH("Missing",J2511)))</formula>
    </cfRule>
  </conditionalFormatting>
  <conditionalFormatting sqref="K2518">
    <cfRule type="containsText" dxfId="2370" priority="2692" operator="containsText" text="Missing">
      <formula>NOT(ISERROR(SEARCH("Missing",K2518)))</formula>
    </cfRule>
  </conditionalFormatting>
  <conditionalFormatting sqref="K2511">
    <cfRule type="containsText" dxfId="2369" priority="2748" operator="containsText" text="Missing">
      <formula>NOT(ISERROR(SEARCH("Missing",K2511)))</formula>
    </cfRule>
  </conditionalFormatting>
  <conditionalFormatting sqref="H2518">
    <cfRule type="containsText" dxfId="2368" priority="2691" operator="containsText" text="Missing">
      <formula>NOT(ISERROR(SEARCH("Missing",H2518)))</formula>
    </cfRule>
  </conditionalFormatting>
  <conditionalFormatting sqref="H2521">
    <cfRule type="containsText" dxfId="2367" priority="2645" operator="containsText" text="Missing">
      <formula>NOT(ISERROR(SEARCH("Missing",H2521)))</formula>
    </cfRule>
  </conditionalFormatting>
  <conditionalFormatting sqref="K2518">
    <cfRule type="containsText" dxfId="2366" priority="2693" operator="containsText" text="Missing">
      <formula>NOT(ISERROR(SEARCH("Missing",K2518)))</formula>
    </cfRule>
  </conditionalFormatting>
  <conditionalFormatting sqref="K2511">
    <cfRule type="containsText" dxfId="2365" priority="2747" operator="containsText" text="Missing">
      <formula>NOT(ISERROR(SEARCH("Missing",K2511)))</formula>
    </cfRule>
  </conditionalFormatting>
  <conditionalFormatting sqref="L2511">
    <cfRule type="containsText" dxfId="2364" priority="2749" operator="containsText" text="Positive">
      <formula>NOT(ISERROR(SEARCH("Positive",L2511)))</formula>
    </cfRule>
    <cfRule type="containsText" dxfId="2363" priority="2750" operator="containsText" text="Negative">
      <formula>NOT(ISERROR(SEARCH("Negative",L2511)))</formula>
    </cfRule>
  </conditionalFormatting>
  <conditionalFormatting sqref="L2511">
    <cfRule type="containsText" dxfId="2362" priority="2754" operator="containsText" text="Positive">
      <formula>NOT(ISERROR(SEARCH("Positive",L2511)))</formula>
    </cfRule>
    <cfRule type="containsText" dxfId="2361" priority="2755" operator="containsText" text="Negative">
      <formula>NOT(ISERROR(SEARCH("Negative",L2511)))</formula>
    </cfRule>
  </conditionalFormatting>
  <conditionalFormatting sqref="L2511">
    <cfRule type="containsText" dxfId="2360" priority="2752" operator="containsText" text="Positive">
      <formula>NOT(ISERROR(SEARCH("Positive",L2511)))</formula>
    </cfRule>
    <cfRule type="containsText" dxfId="2359" priority="2753" operator="containsText" text="Negative">
      <formula>NOT(ISERROR(SEARCH("Negative",L2511)))</formula>
    </cfRule>
  </conditionalFormatting>
  <conditionalFormatting sqref="J2511">
    <cfRule type="containsText" dxfId="2358" priority="2756" operator="containsText" text="Missing">
      <formula>NOT(ISERROR(SEARCH("Missing",J2511)))</formula>
    </cfRule>
  </conditionalFormatting>
  <conditionalFormatting sqref="K2511">
    <cfRule type="containsText" dxfId="2357" priority="2746" operator="containsText" text="Missing">
      <formula>NOT(ISERROR(SEARCH("Missing",K2511)))</formula>
    </cfRule>
  </conditionalFormatting>
  <conditionalFormatting sqref="K2519">
    <cfRule type="containsText" dxfId="2356" priority="2677" operator="containsText" text="Missing">
      <formula>NOT(ISERROR(SEARCH("Missing",K2519)))</formula>
    </cfRule>
  </conditionalFormatting>
  <conditionalFormatting sqref="H2519">
    <cfRule type="containsText" dxfId="2355" priority="2676" operator="containsText" text="Missing">
      <formula>NOT(ISERROR(SEARCH("Missing",H2519)))</formula>
    </cfRule>
  </conditionalFormatting>
  <conditionalFormatting sqref="K2519">
    <cfRule type="containsText" dxfId="2354" priority="2678" operator="containsText" text="Missing">
      <formula>NOT(ISERROR(SEARCH("Missing",K2519)))</formula>
    </cfRule>
  </conditionalFormatting>
  <conditionalFormatting sqref="L2512">
    <cfRule type="containsText" dxfId="2353" priority="2734" operator="containsText" text="Positive">
      <formula>NOT(ISERROR(SEARCH("Positive",L2512)))</formula>
    </cfRule>
    <cfRule type="containsText" dxfId="2352" priority="2735" operator="containsText" text="Negative">
      <formula>NOT(ISERROR(SEARCH("Negative",L2512)))</formula>
    </cfRule>
  </conditionalFormatting>
  <conditionalFormatting sqref="L2512">
    <cfRule type="containsText" dxfId="2351" priority="2739" operator="containsText" text="Positive">
      <formula>NOT(ISERROR(SEARCH("Positive",L2512)))</formula>
    </cfRule>
    <cfRule type="containsText" dxfId="2350" priority="2740" operator="containsText" text="Negative">
      <formula>NOT(ISERROR(SEARCH("Negative",L2512)))</formula>
    </cfRule>
  </conditionalFormatting>
  <conditionalFormatting sqref="L2512">
    <cfRule type="containsText" dxfId="2349" priority="2737" operator="containsText" text="Positive">
      <formula>NOT(ISERROR(SEARCH("Positive",L2512)))</formula>
    </cfRule>
    <cfRule type="containsText" dxfId="2348" priority="2738" operator="containsText" text="Negative">
      <formula>NOT(ISERROR(SEARCH("Negative",L2512)))</formula>
    </cfRule>
  </conditionalFormatting>
  <conditionalFormatting sqref="K2512">
    <cfRule type="containsText" dxfId="2347" priority="2731" operator="containsText" text="Missing">
      <formula>NOT(ISERROR(SEARCH("Missing",K2512)))</formula>
    </cfRule>
  </conditionalFormatting>
  <conditionalFormatting sqref="H2512">
    <cfRule type="containsText" dxfId="2346" priority="2730" operator="containsText" text="Missing">
      <formula>NOT(ISERROR(SEARCH("Missing",H2512)))</formula>
    </cfRule>
  </conditionalFormatting>
  <conditionalFormatting sqref="H2512">
    <cfRule type="containsText" dxfId="2345" priority="2729" operator="containsText" text="Missing">
      <formula>NOT(ISERROR(SEARCH("Missing",H2512)))</formula>
    </cfRule>
  </conditionalFormatting>
  <conditionalFormatting sqref="J2548">
    <cfRule type="containsText" dxfId="2344" priority="2538" operator="containsText" text="Missing">
      <formula>NOT(ISERROR(SEARCH("Missing",J2548)))</formula>
    </cfRule>
  </conditionalFormatting>
  <conditionalFormatting sqref="J2521">
    <cfRule type="containsText" dxfId="2343" priority="2652" operator="containsText" text="Missing">
      <formula>NOT(ISERROR(SEARCH("Missing",J2521)))</formula>
    </cfRule>
  </conditionalFormatting>
  <conditionalFormatting sqref="K2542">
    <cfRule type="containsText" dxfId="2342" priority="2609" operator="containsText" text="Missing">
      <formula>NOT(ISERROR(SEARCH("Missing",K2542)))</formula>
    </cfRule>
  </conditionalFormatting>
  <conditionalFormatting sqref="J2513">
    <cfRule type="containsText" dxfId="2341" priority="2723" operator="containsText" text="Missing">
      <formula>NOT(ISERROR(SEARCH("Missing",J2513)))</formula>
    </cfRule>
  </conditionalFormatting>
  <conditionalFormatting sqref="L2513">
    <cfRule type="containsText" dxfId="2340" priority="2721" operator="containsText" text="Positive">
      <formula>NOT(ISERROR(SEARCH("Positive",L2513)))</formula>
    </cfRule>
    <cfRule type="containsText" dxfId="2339" priority="2722" operator="containsText" text="Negative">
      <formula>NOT(ISERROR(SEARCH("Negative",L2513)))</formula>
    </cfRule>
  </conditionalFormatting>
  <conditionalFormatting sqref="L2513">
    <cfRule type="containsText" dxfId="2338" priority="2724" operator="containsText" text="Positive">
      <formula>NOT(ISERROR(SEARCH("Positive",L2513)))</formula>
    </cfRule>
    <cfRule type="containsText" dxfId="2337" priority="2725" operator="containsText" text="Negative">
      <formula>NOT(ISERROR(SEARCH("Negative",L2513)))</formula>
    </cfRule>
  </conditionalFormatting>
  <conditionalFormatting sqref="J2513">
    <cfRule type="containsText" dxfId="2336" priority="2728" operator="containsText" text="Missing">
      <formula>NOT(ISERROR(SEARCH("Missing",J2513)))</formula>
    </cfRule>
  </conditionalFormatting>
  <conditionalFormatting sqref="H2541:H2542">
    <cfRule type="containsText" dxfId="2335" priority="2634" operator="containsText" text="Missing">
      <formula>NOT(ISERROR(SEARCH("Missing",H2541)))</formula>
    </cfRule>
  </conditionalFormatting>
  <conditionalFormatting sqref="H2541:H2542">
    <cfRule type="containsText" dxfId="2334" priority="2633" operator="containsText" text="Missing">
      <formula>NOT(ISERROR(SEARCH("Missing",H2541)))</formula>
    </cfRule>
  </conditionalFormatting>
  <conditionalFormatting sqref="J2514">
    <cfRule type="containsText" dxfId="2333" priority="2710" operator="containsText" text="Missing">
      <formula>NOT(ISERROR(SEARCH("Missing",J2514)))</formula>
    </cfRule>
  </conditionalFormatting>
  <conditionalFormatting sqref="K2545">
    <cfRule type="containsText" dxfId="2332" priority="2568" operator="containsText" text="Missing">
      <formula>NOT(ISERROR(SEARCH("Missing",K2545)))</formula>
    </cfRule>
  </conditionalFormatting>
  <conditionalFormatting sqref="I2514">
    <cfRule type="containsText" dxfId="2331" priority="2637" operator="containsText" text="Missing">
      <formula>NOT(ISERROR(SEARCH("Missing",I2514)))</formula>
    </cfRule>
  </conditionalFormatting>
  <conditionalFormatting sqref="K2545">
    <cfRule type="containsText" dxfId="2330" priority="2567" operator="containsText" text="Missing">
      <formula>NOT(ISERROR(SEARCH("Missing",K2545)))</formula>
    </cfRule>
  </conditionalFormatting>
  <conditionalFormatting sqref="K2521">
    <cfRule type="containsText" dxfId="2329" priority="2649" operator="containsText" text="Missing">
      <formula>NOT(ISERROR(SEARCH("Missing",K2521)))</formula>
    </cfRule>
  </conditionalFormatting>
  <conditionalFormatting sqref="L2514">
    <cfRule type="containsText" dxfId="2328" priority="2708" operator="containsText" text="Positive">
      <formula>NOT(ISERROR(SEARCH("Positive",L2514)))</formula>
    </cfRule>
    <cfRule type="containsText" dxfId="2327" priority="2709" operator="containsText" text="Negative">
      <formula>NOT(ISERROR(SEARCH("Negative",L2514)))</formula>
    </cfRule>
  </conditionalFormatting>
  <conditionalFormatting sqref="L2514">
    <cfRule type="containsText" dxfId="2326" priority="2711" operator="containsText" text="Positive">
      <formula>NOT(ISERROR(SEARCH("Positive",L2514)))</formula>
    </cfRule>
    <cfRule type="containsText" dxfId="2325" priority="2712" operator="containsText" text="Negative">
      <formula>NOT(ISERROR(SEARCH("Negative",L2514)))</formula>
    </cfRule>
  </conditionalFormatting>
  <conditionalFormatting sqref="J2514">
    <cfRule type="containsText" dxfId="2324" priority="2715" operator="containsText" text="Missing">
      <formula>NOT(ISERROR(SEARCH("Missing",J2514)))</formula>
    </cfRule>
  </conditionalFormatting>
  <conditionalFormatting sqref="K2521">
    <cfRule type="containsText" dxfId="2323" priority="2648" operator="containsText" text="Missing">
      <formula>NOT(ISERROR(SEARCH("Missing",K2521)))</formula>
    </cfRule>
  </conditionalFormatting>
  <conditionalFormatting sqref="K2521">
    <cfRule type="containsText" dxfId="2322" priority="2647" operator="containsText" text="Missing">
      <formula>NOT(ISERROR(SEARCH("Missing",K2521)))</formula>
    </cfRule>
  </conditionalFormatting>
  <conditionalFormatting sqref="H2521">
    <cfRule type="containsText" dxfId="2321" priority="2646" operator="containsText" text="Missing">
      <formula>NOT(ISERROR(SEARCH("Missing",H2521)))</formula>
    </cfRule>
  </conditionalFormatting>
  <conditionalFormatting sqref="K2543">
    <cfRule type="containsText" dxfId="2320" priority="2599" operator="containsText" text="Missing">
      <formula>NOT(ISERROR(SEARCH("Missing",K2543)))</formula>
    </cfRule>
  </conditionalFormatting>
  <conditionalFormatting sqref="I2507">
    <cfRule type="containsText" dxfId="2319" priority="2643" operator="containsText" text="Missing">
      <formula>NOT(ISERROR(SEARCH("Missing",I2507)))</formula>
    </cfRule>
  </conditionalFormatting>
  <conditionalFormatting sqref="H2594">
    <cfRule type="containsText" dxfId="2318" priority="1909" operator="containsText" text="Missing">
      <formula>NOT(ISERROR(SEARCH("Missing",H2594)))</formula>
    </cfRule>
  </conditionalFormatting>
  <conditionalFormatting sqref="I2518">
    <cfRule type="containsText" dxfId="2317" priority="2688" operator="containsText" text="Missing">
      <formula>NOT(ISERROR(SEARCH("Missing",I2518)))</formula>
    </cfRule>
  </conditionalFormatting>
  <conditionalFormatting sqref="J2541">
    <cfRule type="containsText" dxfId="2316" priority="2624" operator="containsText" text="Missing">
      <formula>NOT(ISERROR(SEARCH("Missing",J2541)))</formula>
    </cfRule>
  </conditionalFormatting>
  <conditionalFormatting sqref="L2541">
    <cfRule type="containsText" dxfId="2315" priority="2626" operator="containsText" text="Positive">
      <formula>NOT(ISERROR(SEARCH("Positive",L2541)))</formula>
    </cfRule>
    <cfRule type="containsText" dxfId="2314" priority="2627" operator="containsText" text="Negative">
      <formula>NOT(ISERROR(SEARCH("Negative",L2541)))</formula>
    </cfRule>
  </conditionalFormatting>
  <conditionalFormatting sqref="L2549">
    <cfRule type="containsText" dxfId="2313" priority="2526" operator="containsText" text="Positive">
      <formula>NOT(ISERROR(SEARCH("Positive",L2549)))</formula>
    </cfRule>
    <cfRule type="containsText" dxfId="2312" priority="2527" operator="containsText" text="Negative">
      <formula>NOT(ISERROR(SEARCH("Negative",L2549)))</formula>
    </cfRule>
  </conditionalFormatting>
  <conditionalFormatting sqref="K2520">
    <cfRule type="containsText" dxfId="2311" priority="2664" operator="containsText" text="Missing">
      <formula>NOT(ISERROR(SEARCH("Missing",K2520)))</formula>
    </cfRule>
  </conditionalFormatting>
  <conditionalFormatting sqref="K2541">
    <cfRule type="containsText" dxfId="2310" priority="2623" operator="containsText" text="Missing">
      <formula>NOT(ISERROR(SEARCH("Missing",K2541)))</formula>
    </cfRule>
  </conditionalFormatting>
  <conditionalFormatting sqref="I2513">
    <cfRule type="containsText" dxfId="2309" priority="2639" operator="containsText" text="Missing">
      <formula>NOT(ISERROR(SEARCH("Missing",I2513)))</formula>
    </cfRule>
  </conditionalFormatting>
  <conditionalFormatting sqref="K2541">
    <cfRule type="containsText" dxfId="2308" priority="2621" operator="containsText" text="Missing">
      <formula>NOT(ISERROR(SEARCH("Missing",K2541)))</formula>
    </cfRule>
  </conditionalFormatting>
  <conditionalFormatting sqref="I2521">
    <cfRule type="containsText" dxfId="2307" priority="2636" operator="containsText" text="Missing">
      <formula>NOT(ISERROR(SEARCH("Missing",I2521)))</formula>
    </cfRule>
  </conditionalFormatting>
  <conditionalFormatting sqref="I2541">
    <cfRule type="containsText" dxfId="2306" priority="2620" operator="containsText" text="Missing">
      <formula>NOT(ISERROR(SEARCH("Missing",I2541)))</formula>
    </cfRule>
  </conditionalFormatting>
  <conditionalFormatting sqref="I2519">
    <cfRule type="containsText" dxfId="2305" priority="2673" operator="containsText" text="Missing">
      <formula>NOT(ISERROR(SEARCH("Missing",I2519)))</formula>
    </cfRule>
  </conditionalFormatting>
  <conditionalFormatting sqref="L2548">
    <cfRule type="containsText" dxfId="2304" priority="2543" operator="containsText" text="Positive">
      <formula>NOT(ISERROR(SEARCH("Positive",L2548)))</formula>
    </cfRule>
    <cfRule type="containsText" dxfId="2303" priority="2544" operator="containsText" text="Negative">
      <formula>NOT(ISERROR(SEARCH("Negative",L2548)))</formula>
    </cfRule>
  </conditionalFormatting>
  <conditionalFormatting sqref="L2542">
    <cfRule type="containsText" dxfId="2302" priority="2616" operator="containsText" text="Positive">
      <formula>NOT(ISERROR(SEARCH("Positive",L2542)))</formula>
    </cfRule>
    <cfRule type="containsText" dxfId="2301" priority="2617" operator="containsText" text="Negative">
      <formula>NOT(ISERROR(SEARCH("Negative",L2542)))</formula>
    </cfRule>
  </conditionalFormatting>
  <conditionalFormatting sqref="L2542">
    <cfRule type="containsText" dxfId="2300" priority="2614" operator="containsText" text="Positive">
      <formula>NOT(ISERROR(SEARCH("Positive",L2542)))</formula>
    </cfRule>
    <cfRule type="containsText" dxfId="2299" priority="2615" operator="containsText" text="Negative">
      <formula>NOT(ISERROR(SEARCH("Negative",L2542)))</formula>
    </cfRule>
  </conditionalFormatting>
  <conditionalFormatting sqref="K2520">
    <cfRule type="containsText" dxfId="2298" priority="2663" operator="containsText" text="Missing">
      <formula>NOT(ISERROR(SEARCH("Missing",K2520)))</formula>
    </cfRule>
  </conditionalFormatting>
  <conditionalFormatting sqref="I2542">
    <cfRule type="containsText" dxfId="2297" priority="2608" operator="containsText" text="Missing">
      <formula>NOT(ISERROR(SEARCH("Missing",I2542)))</formula>
    </cfRule>
  </conditionalFormatting>
  <conditionalFormatting sqref="H2544">
    <cfRule type="containsText" dxfId="2296" priority="2578" operator="containsText" text="Missing">
      <formula>NOT(ISERROR(SEARCH("Missing",H2544)))</formula>
    </cfRule>
  </conditionalFormatting>
  <conditionalFormatting sqref="I2550">
    <cfRule type="containsText" dxfId="2295" priority="2506" operator="containsText" text="Missing">
      <formula>NOT(ISERROR(SEARCH("Missing",I2550)))</formula>
    </cfRule>
  </conditionalFormatting>
  <conditionalFormatting sqref="J2548">
    <cfRule type="containsText" dxfId="2294" priority="2537" operator="containsText" text="Missing">
      <formula>NOT(ISERROR(SEARCH("Missing",J2548)))</formula>
    </cfRule>
  </conditionalFormatting>
  <conditionalFormatting sqref="I2543">
    <cfRule type="containsText" dxfId="2293" priority="2596" operator="containsText" text="Missing">
      <formula>NOT(ISERROR(SEARCH("Missing",I2543)))</formula>
    </cfRule>
  </conditionalFormatting>
  <conditionalFormatting sqref="K2548">
    <cfRule type="containsText" dxfId="2292" priority="2534" operator="containsText" text="Missing">
      <formula>NOT(ISERROR(SEARCH("Missing",K2548)))</formula>
    </cfRule>
  </conditionalFormatting>
  <conditionalFormatting sqref="L2546">
    <cfRule type="containsText" dxfId="2291" priority="2561" operator="containsText" text="Positive">
      <formula>NOT(ISERROR(SEARCH("Positive",L2546)))</formula>
    </cfRule>
    <cfRule type="containsText" dxfId="2290" priority="2562" operator="containsText" text="Negative">
      <formula>NOT(ISERROR(SEARCH("Negative",L2546)))</formula>
    </cfRule>
  </conditionalFormatting>
  <conditionalFormatting sqref="J2544">
    <cfRule type="containsText" dxfId="2289" priority="2589" operator="containsText" text="Missing">
      <formula>NOT(ISERROR(SEARCH("Missing",J2544)))</formula>
    </cfRule>
  </conditionalFormatting>
  <conditionalFormatting sqref="H2544">
    <cfRule type="containsText" dxfId="2288" priority="2579" operator="containsText" text="Missing">
      <formula>NOT(ISERROR(SEARCH("Missing",H2544)))</formula>
    </cfRule>
  </conditionalFormatting>
  <conditionalFormatting sqref="K2541">
    <cfRule type="containsText" dxfId="2287" priority="2622" operator="containsText" text="Missing">
      <formula>NOT(ISERROR(SEARCH("Missing",K2541)))</formula>
    </cfRule>
  </conditionalFormatting>
  <conditionalFormatting sqref="H2543">
    <cfRule type="containsText" dxfId="2286" priority="2581" operator="containsText" text="Missing">
      <formula>NOT(ISERROR(SEARCH("Missing",H2543)))</formula>
    </cfRule>
  </conditionalFormatting>
  <conditionalFormatting sqref="J2542">
    <cfRule type="containsText" dxfId="2285" priority="2613" operator="containsText" text="Missing">
      <formula>NOT(ISERROR(SEARCH("Missing",J2542)))</formula>
    </cfRule>
  </conditionalFormatting>
  <conditionalFormatting sqref="K2549">
    <cfRule type="containsText" dxfId="2284" priority="2521" operator="containsText" text="Missing">
      <formula>NOT(ISERROR(SEARCH("Missing",K2549)))</formula>
    </cfRule>
  </conditionalFormatting>
  <conditionalFormatting sqref="L2550">
    <cfRule type="containsText" dxfId="2283" priority="2513" operator="containsText" text="Positive">
      <formula>NOT(ISERROR(SEARCH("Positive",L2550)))</formula>
    </cfRule>
    <cfRule type="containsText" dxfId="2282" priority="2514" operator="containsText" text="Negative">
      <formula>NOT(ISERROR(SEARCH("Negative",L2550)))</formula>
    </cfRule>
  </conditionalFormatting>
  <conditionalFormatting sqref="K2550">
    <cfRule type="containsText" dxfId="2281" priority="2510" operator="containsText" text="Missing">
      <formula>NOT(ISERROR(SEARCH("Missing",K2550)))</formula>
    </cfRule>
  </conditionalFormatting>
  <conditionalFormatting sqref="K2549">
    <cfRule type="containsText" dxfId="2280" priority="2520" operator="containsText" text="Missing">
      <formula>NOT(ISERROR(SEARCH("Missing",K2549)))</formula>
    </cfRule>
  </conditionalFormatting>
  <conditionalFormatting sqref="K2516">
    <cfRule type="containsText" dxfId="2279" priority="2443" operator="containsText" text="Missing">
      <formula>NOT(ISERROR(SEARCH("Missing",K2516)))</formula>
    </cfRule>
  </conditionalFormatting>
  <conditionalFormatting sqref="K2548">
    <cfRule type="containsText" dxfId="2278" priority="2536" operator="containsText" text="Missing">
      <formula>NOT(ISERROR(SEARCH("Missing",K2548)))</formula>
    </cfRule>
  </conditionalFormatting>
  <conditionalFormatting sqref="H2549:H2550">
    <cfRule type="containsText" dxfId="2277" priority="2505" operator="containsText" text="Missing">
      <formula>NOT(ISERROR(SEARCH("Missing",H2549)))</formula>
    </cfRule>
  </conditionalFormatting>
  <conditionalFormatting sqref="K2545">
    <cfRule type="containsText" dxfId="2276" priority="2569" operator="containsText" text="Missing">
      <formula>NOT(ISERROR(SEARCH("Missing",K2545)))</formula>
    </cfRule>
  </conditionalFormatting>
  <conditionalFormatting sqref="I2520">
    <cfRule type="containsText" dxfId="2275" priority="2658" operator="containsText" text="Missing">
      <formula>NOT(ISERROR(SEARCH("Missing",I2520)))</formula>
    </cfRule>
  </conditionalFormatting>
  <conditionalFormatting sqref="H2545">
    <cfRule type="containsText" dxfId="2274" priority="2533" operator="containsText" text="Missing">
      <formula>NOT(ISERROR(SEARCH("Missing",H2545)))</formula>
    </cfRule>
  </conditionalFormatting>
  <conditionalFormatting sqref="L2508">
    <cfRule type="containsText" dxfId="2273" priority="2496" operator="containsText" text="Positive">
      <formula>NOT(ISERROR(SEARCH("Positive",L2508)))</formula>
    </cfRule>
    <cfRule type="containsText" dxfId="2272" priority="2497" operator="containsText" text="Negative">
      <formula>NOT(ISERROR(SEARCH("Negative",L2508)))</formula>
    </cfRule>
  </conditionalFormatting>
  <conditionalFormatting sqref="L2549">
    <cfRule type="containsText" dxfId="2271" priority="2528" operator="containsText" text="Positive">
      <formula>NOT(ISERROR(SEARCH("Positive",L2549)))</formula>
    </cfRule>
    <cfRule type="containsText" dxfId="2270" priority="2529" operator="containsText" text="Negative">
      <formula>NOT(ISERROR(SEARCH("Negative",L2549)))</formula>
    </cfRule>
  </conditionalFormatting>
  <conditionalFormatting sqref="L2508">
    <cfRule type="containsText" dxfId="2269" priority="2499" operator="containsText" text="Positive">
      <formula>NOT(ISERROR(SEARCH("Positive",L2508)))</formula>
    </cfRule>
    <cfRule type="containsText" dxfId="2268" priority="2500" operator="containsText" text="Negative">
      <formula>NOT(ISERROR(SEARCH("Negative",L2508)))</formula>
    </cfRule>
  </conditionalFormatting>
  <conditionalFormatting sqref="I2521">
    <cfRule type="containsText" dxfId="2267" priority="2635" operator="containsText" text="Missing">
      <formula>NOT(ISERROR(SEARCH("Missing",I2521)))</formula>
    </cfRule>
  </conditionalFormatting>
  <conditionalFormatting sqref="H2546">
    <cfRule type="containsText" dxfId="2266" priority="2532" operator="containsText" text="Missing">
      <formula>NOT(ISERROR(SEARCH("Missing",H2546)))</formula>
    </cfRule>
  </conditionalFormatting>
  <conditionalFormatting sqref="H2598">
    <cfRule type="containsText" dxfId="2265" priority="1859" operator="containsText" text="Missing">
      <formula>NOT(ISERROR(SEARCH("Missing",H2598)))</formula>
    </cfRule>
  </conditionalFormatting>
  <conditionalFormatting sqref="J2549">
    <cfRule type="containsText" dxfId="2264" priority="2523" operator="containsText" text="Missing">
      <formula>NOT(ISERROR(SEARCH("Missing",J2549)))</formula>
    </cfRule>
  </conditionalFormatting>
  <conditionalFormatting sqref="K2550">
    <cfRule type="containsText" dxfId="2263" priority="2508" operator="containsText" text="Missing">
      <formula>NOT(ISERROR(SEARCH("Missing",K2550)))</formula>
    </cfRule>
  </conditionalFormatting>
  <conditionalFormatting sqref="J2516">
    <cfRule type="containsText" dxfId="2262" priority="2446" operator="containsText" text="Missing">
      <formula>NOT(ISERROR(SEARCH("Missing",J2516)))</formula>
    </cfRule>
  </conditionalFormatting>
  <conditionalFormatting sqref="J2518">
    <cfRule type="containsText" dxfId="2261" priority="2702" operator="containsText" text="Missing">
      <formula>NOT(ISERROR(SEARCH("Missing",J2518)))</formula>
    </cfRule>
  </conditionalFormatting>
  <conditionalFormatting sqref="I2512">
    <cfRule type="containsText" dxfId="2260" priority="2641" operator="containsText" text="Missing">
      <formula>NOT(ISERROR(SEARCH("Missing",I2512)))</formula>
    </cfRule>
  </conditionalFormatting>
  <conditionalFormatting sqref="L2541">
    <cfRule type="containsText" dxfId="2259" priority="2630" operator="containsText" text="Positive">
      <formula>NOT(ISERROR(SEARCH("Positive",L2541)))</formula>
    </cfRule>
    <cfRule type="containsText" dxfId="2258" priority="2631" operator="containsText" text="Negative">
      <formula>NOT(ISERROR(SEARCH("Negative",L2541)))</formula>
    </cfRule>
  </conditionalFormatting>
  <conditionalFormatting sqref="L2508">
    <cfRule type="containsText" dxfId="2257" priority="2501" operator="containsText" text="Positive">
      <formula>NOT(ISERROR(SEARCH("Positive",L2508)))</formula>
    </cfRule>
    <cfRule type="containsText" dxfId="2256" priority="2502" operator="containsText" text="Negative">
      <formula>NOT(ISERROR(SEARCH("Negative",L2508)))</formula>
    </cfRule>
  </conditionalFormatting>
  <conditionalFormatting sqref="K2542">
    <cfRule type="containsText" dxfId="2255" priority="2611" operator="containsText" text="Missing">
      <formula>NOT(ISERROR(SEARCH("Missing",K2542)))</formula>
    </cfRule>
  </conditionalFormatting>
  <conditionalFormatting sqref="I2513">
    <cfRule type="containsText" dxfId="2254" priority="2640" operator="containsText" text="Missing">
      <formula>NOT(ISERROR(SEARCH("Missing",I2513)))</formula>
    </cfRule>
  </conditionalFormatting>
  <conditionalFormatting sqref="L2518">
    <cfRule type="containsText" dxfId="2253" priority="2695" operator="containsText" text="Positive">
      <formula>NOT(ISERROR(SEARCH("Positive",L2518)))</formula>
    </cfRule>
    <cfRule type="containsText" dxfId="2252" priority="2696" operator="containsText" text="Negative">
      <formula>NOT(ISERROR(SEARCH("Negative",L2518)))</formula>
    </cfRule>
  </conditionalFormatting>
  <conditionalFormatting sqref="L2521">
    <cfRule type="containsText" dxfId="2251" priority="2653" operator="containsText" text="Positive">
      <formula>NOT(ISERROR(SEARCH("Positive",L2521)))</formula>
    </cfRule>
    <cfRule type="containsText" dxfId="2250" priority="2654" operator="containsText" text="Negative">
      <formula>NOT(ISERROR(SEARCH("Negative",L2521)))</formula>
    </cfRule>
  </conditionalFormatting>
  <conditionalFormatting sqref="H2543">
    <cfRule type="containsText" dxfId="2249" priority="2583" operator="containsText" text="Missing">
      <formula>NOT(ISERROR(SEARCH("Missing",H2543)))</formula>
    </cfRule>
  </conditionalFormatting>
  <conditionalFormatting sqref="J2549">
    <cfRule type="containsText" dxfId="2248" priority="2522" operator="containsText" text="Missing">
      <formula>NOT(ISERROR(SEARCH("Missing",J2549)))</formula>
    </cfRule>
  </conditionalFormatting>
  <conditionalFormatting sqref="K2520">
    <cfRule type="containsText" dxfId="2247" priority="2662" operator="containsText" text="Missing">
      <formula>NOT(ISERROR(SEARCH("Missing",K2520)))</formula>
    </cfRule>
  </conditionalFormatting>
  <conditionalFormatting sqref="H2520">
    <cfRule type="containsText" dxfId="2246" priority="2661" operator="containsText" text="Missing">
      <formula>NOT(ISERROR(SEARCH("Missing",H2520)))</formula>
    </cfRule>
  </conditionalFormatting>
  <conditionalFormatting sqref="I2518">
    <cfRule type="containsText" dxfId="2245" priority="2689" operator="containsText" text="Missing">
      <formula>NOT(ISERROR(SEARCH("Missing",I2518)))</formula>
    </cfRule>
  </conditionalFormatting>
  <conditionalFormatting sqref="K2549">
    <cfRule type="containsText" dxfId="2244" priority="2519" operator="containsText" text="Missing">
      <formula>NOT(ISERROR(SEARCH("Missing",K2549)))</formula>
    </cfRule>
  </conditionalFormatting>
  <conditionalFormatting sqref="J2547">
    <cfRule type="containsText" dxfId="2243" priority="2549" operator="containsText" text="Missing">
      <formula>NOT(ISERROR(SEARCH("Missing",J2547)))</formula>
    </cfRule>
  </conditionalFormatting>
  <conditionalFormatting sqref="L2519">
    <cfRule type="containsText" dxfId="2242" priority="2680" operator="containsText" text="Positive">
      <formula>NOT(ISERROR(SEARCH("Positive",L2519)))</formula>
    </cfRule>
    <cfRule type="containsText" dxfId="2241" priority="2681" operator="containsText" text="Negative">
      <formula>NOT(ISERROR(SEARCH("Negative",L2519)))</formula>
    </cfRule>
  </conditionalFormatting>
  <conditionalFormatting sqref="L2519">
    <cfRule type="containsText" dxfId="2240" priority="2685" operator="containsText" text="Positive">
      <formula>NOT(ISERROR(SEARCH("Positive",L2519)))</formula>
    </cfRule>
    <cfRule type="containsText" dxfId="2239" priority="2686" operator="containsText" text="Negative">
      <formula>NOT(ISERROR(SEARCH("Negative",L2519)))</formula>
    </cfRule>
  </conditionalFormatting>
  <conditionalFormatting sqref="J2519">
    <cfRule type="containsText" dxfId="2238" priority="2687" operator="containsText" text="Missing">
      <formula>NOT(ISERROR(SEARCH("Missing",J2519)))</formula>
    </cfRule>
  </conditionalFormatting>
  <conditionalFormatting sqref="K2596">
    <cfRule type="containsText" dxfId="2237" priority="1887" operator="containsText" text="Missing">
      <formula>NOT(ISERROR(SEARCH("Missing",K2596)))</formula>
    </cfRule>
  </conditionalFormatting>
  <conditionalFormatting sqref="I2519">
    <cfRule type="containsText" dxfId="2236" priority="2674" operator="containsText" text="Missing">
      <formula>NOT(ISERROR(SEARCH("Missing",I2519)))</formula>
    </cfRule>
  </conditionalFormatting>
  <conditionalFormatting sqref="H2549:H2550">
    <cfRule type="containsText" dxfId="2235" priority="2504" operator="containsText" text="Missing">
      <formula>NOT(ISERROR(SEARCH("Missing",H2549)))</formula>
    </cfRule>
  </conditionalFormatting>
  <conditionalFormatting sqref="K2548">
    <cfRule type="containsText" dxfId="2234" priority="2535" operator="containsText" text="Missing">
      <formula>NOT(ISERROR(SEARCH("Missing",K2548)))</formula>
    </cfRule>
  </conditionalFormatting>
  <conditionalFormatting sqref="L2520">
    <cfRule type="containsText" dxfId="2233" priority="2665" operator="containsText" text="Positive">
      <formula>NOT(ISERROR(SEARCH("Positive",L2520)))</formula>
    </cfRule>
    <cfRule type="containsText" dxfId="2232" priority="2666" operator="containsText" text="Negative">
      <formula>NOT(ISERROR(SEARCH("Negative",L2520)))</formula>
    </cfRule>
  </conditionalFormatting>
  <conditionalFormatting sqref="L2520">
    <cfRule type="containsText" dxfId="2231" priority="2670" operator="containsText" text="Positive">
      <formula>NOT(ISERROR(SEARCH("Positive",L2520)))</formula>
    </cfRule>
    <cfRule type="containsText" dxfId="2230" priority="2671" operator="containsText" text="Negative">
      <formula>NOT(ISERROR(SEARCH("Negative",L2520)))</formula>
    </cfRule>
  </conditionalFormatting>
  <conditionalFormatting sqref="H2541:H2542">
    <cfRule type="containsText" dxfId="2229" priority="2632" operator="containsText" text="Missing">
      <formula>NOT(ISERROR(SEARCH("Missing",H2541)))</formula>
    </cfRule>
  </conditionalFormatting>
  <conditionalFormatting sqref="K2543">
    <cfRule type="containsText" dxfId="2228" priority="2598" operator="containsText" text="Missing">
      <formula>NOT(ISERROR(SEARCH("Missing",K2543)))</formula>
    </cfRule>
  </conditionalFormatting>
  <conditionalFormatting sqref="I2520">
    <cfRule type="containsText" dxfId="2227" priority="2659" operator="containsText" text="Missing">
      <formula>NOT(ISERROR(SEARCH("Missing",I2520)))</formula>
    </cfRule>
  </conditionalFormatting>
  <conditionalFormatting sqref="J2544">
    <cfRule type="containsText" dxfId="2226" priority="2588" operator="containsText" text="Missing">
      <formula>NOT(ISERROR(SEARCH("Missing",J2544)))</formula>
    </cfRule>
  </conditionalFormatting>
  <conditionalFormatting sqref="L2521">
    <cfRule type="containsText" dxfId="2225" priority="2650" operator="containsText" text="Positive">
      <formula>NOT(ISERROR(SEARCH("Positive",L2521)))</formula>
    </cfRule>
    <cfRule type="containsText" dxfId="2224" priority="2651" operator="containsText" text="Negative">
      <formula>NOT(ISERROR(SEARCH("Negative",L2521)))</formula>
    </cfRule>
  </conditionalFormatting>
  <conditionalFormatting sqref="L2521">
    <cfRule type="containsText" dxfId="2223" priority="2655" operator="containsText" text="Positive">
      <formula>NOT(ISERROR(SEARCH("Positive",L2521)))</formula>
    </cfRule>
    <cfRule type="containsText" dxfId="2222" priority="2656" operator="containsText" text="Negative">
      <formula>NOT(ISERROR(SEARCH("Negative",L2521)))</formula>
    </cfRule>
  </conditionalFormatting>
  <conditionalFormatting sqref="J2521">
    <cfRule type="containsText" dxfId="2221" priority="2657" operator="containsText" text="Missing">
      <formula>NOT(ISERROR(SEARCH("Missing",J2521)))</formula>
    </cfRule>
  </conditionalFormatting>
  <conditionalFormatting sqref="I2507">
    <cfRule type="containsText" dxfId="2220" priority="2644" operator="containsText" text="Missing">
      <formula>NOT(ISERROR(SEARCH("Missing",I2507)))</formula>
    </cfRule>
  </conditionalFormatting>
  <conditionalFormatting sqref="K2544">
    <cfRule type="containsText" dxfId="2219" priority="2586" operator="containsText" text="Missing">
      <formula>NOT(ISERROR(SEARCH("Missing",K2544)))</formula>
    </cfRule>
  </conditionalFormatting>
  <conditionalFormatting sqref="K2544">
    <cfRule type="containsText" dxfId="2218" priority="2587" operator="containsText" text="Missing">
      <formula>NOT(ISERROR(SEARCH("Missing",K2544)))</formula>
    </cfRule>
  </conditionalFormatting>
  <conditionalFormatting sqref="I2549">
    <cfRule type="containsText" dxfId="2217" priority="2507" operator="containsText" text="Missing">
      <formula>NOT(ISERROR(SEARCH("Missing",I2549)))</formula>
    </cfRule>
  </conditionalFormatting>
  <conditionalFormatting sqref="K2566">
    <cfRule type="containsText" dxfId="2216" priority="1771" operator="containsText" text="Missing">
      <formula>NOT(ISERROR(SEARCH("Missing",K2566)))</formula>
    </cfRule>
  </conditionalFormatting>
  <conditionalFormatting sqref="H2597">
    <cfRule type="containsText" dxfId="2215" priority="1860" operator="containsText" text="Missing">
      <formula>NOT(ISERROR(SEARCH("Missing",H2597)))</formula>
    </cfRule>
  </conditionalFormatting>
  <conditionalFormatting sqref="K2508">
    <cfRule type="containsText" dxfId="2214" priority="2494" operator="containsText" text="Missing">
      <formula>NOT(ISERROR(SEARCH("Missing",K2508)))</formula>
    </cfRule>
  </conditionalFormatting>
  <conditionalFormatting sqref="J2515">
    <cfRule type="containsText" dxfId="2213" priority="2459" operator="containsText" text="Missing">
      <formula>NOT(ISERROR(SEARCH("Missing",J2515)))</formula>
    </cfRule>
  </conditionalFormatting>
  <conditionalFormatting sqref="K2597">
    <cfRule type="containsText" dxfId="2212" priority="1874" operator="containsText" text="Missing">
      <formula>NOT(ISERROR(SEARCH("Missing",K2597)))</formula>
    </cfRule>
  </conditionalFormatting>
  <conditionalFormatting sqref="J2542">
    <cfRule type="containsText" dxfId="2211" priority="2612" operator="containsText" text="Missing">
      <formula>NOT(ISERROR(SEARCH("Missing",J2542)))</formula>
    </cfRule>
  </conditionalFormatting>
  <conditionalFormatting sqref="L2541">
    <cfRule type="containsText" dxfId="2210" priority="2628" operator="containsText" text="Positive">
      <formula>NOT(ISERROR(SEARCH("Positive",L2541)))</formula>
    </cfRule>
    <cfRule type="containsText" dxfId="2209" priority="2629" operator="containsText" text="Negative">
      <formula>NOT(ISERROR(SEARCH("Negative",L2541)))</formula>
    </cfRule>
  </conditionalFormatting>
  <conditionalFormatting sqref="L2542">
    <cfRule type="containsText" dxfId="2208" priority="2618" operator="containsText" text="Positive">
      <formula>NOT(ISERROR(SEARCH("Positive",L2542)))</formula>
    </cfRule>
    <cfRule type="containsText" dxfId="2207" priority="2619" operator="containsText" text="Negative">
      <formula>NOT(ISERROR(SEARCH("Negative",L2542)))</formula>
    </cfRule>
  </conditionalFormatting>
  <conditionalFormatting sqref="J2543">
    <cfRule type="containsText" dxfId="2206" priority="2600" operator="containsText" text="Missing">
      <formula>NOT(ISERROR(SEARCH("Missing",J2543)))</formula>
    </cfRule>
  </conditionalFormatting>
  <conditionalFormatting sqref="J2593">
    <cfRule type="containsText" dxfId="2205" priority="1930" operator="containsText" text="Missing">
      <formula>NOT(ISERROR(SEARCH("Missing",J2593)))</formula>
    </cfRule>
  </conditionalFormatting>
  <conditionalFormatting sqref="K2543">
    <cfRule type="containsText" dxfId="2204" priority="2597" operator="containsText" text="Missing">
      <formula>NOT(ISERROR(SEARCH("Missing",K2543)))</formula>
    </cfRule>
  </conditionalFormatting>
  <conditionalFormatting sqref="L2543">
    <cfRule type="containsText" dxfId="2203" priority="2606" operator="containsText" text="Positive">
      <formula>NOT(ISERROR(SEARCH("Positive",L2543)))</formula>
    </cfRule>
    <cfRule type="containsText" dxfId="2202" priority="2607" operator="containsText" text="Negative">
      <formula>NOT(ISERROR(SEARCH("Negative",L2543)))</formula>
    </cfRule>
  </conditionalFormatting>
  <conditionalFormatting sqref="L2543">
    <cfRule type="containsText" dxfId="2201" priority="2604" operator="containsText" text="Positive">
      <formula>NOT(ISERROR(SEARCH("Positive",L2543)))</formula>
    </cfRule>
    <cfRule type="containsText" dxfId="2200" priority="2605" operator="containsText" text="Negative">
      <formula>NOT(ISERROR(SEARCH("Negative",L2543)))</formula>
    </cfRule>
  </conditionalFormatting>
  <conditionalFormatting sqref="K2550">
    <cfRule type="containsText" dxfId="2199" priority="2509" operator="containsText" text="Missing">
      <formula>NOT(ISERROR(SEARCH("Missing",K2550)))</formula>
    </cfRule>
  </conditionalFormatting>
  <conditionalFormatting sqref="L2544">
    <cfRule type="containsText" dxfId="2198" priority="2594" operator="containsText" text="Positive">
      <formula>NOT(ISERROR(SEARCH("Positive",L2544)))</formula>
    </cfRule>
    <cfRule type="containsText" dxfId="2197" priority="2595" operator="containsText" text="Negative">
      <formula>NOT(ISERROR(SEARCH("Negative",L2544)))</formula>
    </cfRule>
  </conditionalFormatting>
  <conditionalFormatting sqref="L2544">
    <cfRule type="containsText" dxfId="2196" priority="2590" operator="containsText" text="Positive">
      <formula>NOT(ISERROR(SEARCH("Positive",L2544)))</formula>
    </cfRule>
    <cfRule type="containsText" dxfId="2195" priority="2591" operator="containsText" text="Negative">
      <formula>NOT(ISERROR(SEARCH("Negative",L2544)))</formula>
    </cfRule>
  </conditionalFormatting>
  <conditionalFormatting sqref="L2544">
    <cfRule type="containsText" dxfId="2194" priority="2592" operator="containsText" text="Positive">
      <formula>NOT(ISERROR(SEARCH("Positive",L2544)))</formula>
    </cfRule>
    <cfRule type="containsText" dxfId="2193" priority="2593" operator="containsText" text="Negative">
      <formula>NOT(ISERROR(SEARCH("Negative",L2544)))</formula>
    </cfRule>
  </conditionalFormatting>
  <conditionalFormatting sqref="K2594">
    <cfRule type="containsText" dxfId="2192" priority="1914" operator="containsText" text="Missing">
      <formula>NOT(ISERROR(SEARCH("Missing",K2594)))</formula>
    </cfRule>
  </conditionalFormatting>
  <conditionalFormatting sqref="K2596">
    <cfRule type="containsText" dxfId="2191" priority="1885" operator="containsText" text="Missing">
      <formula>NOT(ISERROR(SEARCH("Missing",K2596)))</formula>
    </cfRule>
  </conditionalFormatting>
  <conditionalFormatting sqref="J2508">
    <cfRule type="containsText" dxfId="2190" priority="2498" operator="containsText" text="Missing">
      <formula>NOT(ISERROR(SEARCH("Missing",J2508)))</formula>
    </cfRule>
  </conditionalFormatting>
  <conditionalFormatting sqref="H2543">
    <cfRule type="containsText" dxfId="2189" priority="2582" operator="containsText" text="Missing">
      <formula>NOT(ISERROR(SEARCH("Missing",H2543)))</formula>
    </cfRule>
  </conditionalFormatting>
  <conditionalFormatting sqref="K2509">
    <cfRule type="containsText" dxfId="2188" priority="2482" operator="containsText" text="Missing">
      <formula>NOT(ISERROR(SEARCH("Missing",K2509)))</formula>
    </cfRule>
  </conditionalFormatting>
  <conditionalFormatting sqref="J2508">
    <cfRule type="containsText" dxfId="2187" priority="2503" operator="containsText" text="Missing">
      <formula>NOT(ISERROR(SEARCH("Missing",J2508)))</formula>
    </cfRule>
  </conditionalFormatting>
  <conditionalFormatting sqref="J2565">
    <cfRule type="containsText" dxfId="2186" priority="1793" operator="containsText" text="Missing">
      <formula>NOT(ISERROR(SEARCH("Missing",J2565)))</formula>
    </cfRule>
  </conditionalFormatting>
  <conditionalFormatting sqref="K2597">
    <cfRule type="containsText" dxfId="2185" priority="1876" operator="containsText" text="Missing">
      <formula>NOT(ISERROR(SEARCH("Missing",K2597)))</formula>
    </cfRule>
  </conditionalFormatting>
  <conditionalFormatting sqref="K2597">
    <cfRule type="containsText" dxfId="2184" priority="1875" operator="containsText" text="Missing">
      <formula>NOT(ISERROR(SEARCH("Missing",K2597)))</formula>
    </cfRule>
  </conditionalFormatting>
  <conditionalFormatting sqref="J2595">
    <cfRule type="containsText" dxfId="2183" priority="1899" operator="containsText" text="Missing">
      <formula>NOT(ISERROR(SEARCH("Missing",J2595)))</formula>
    </cfRule>
  </conditionalFormatting>
  <conditionalFormatting sqref="K2508">
    <cfRule type="containsText" dxfId="2182" priority="2495" operator="containsText" text="Missing">
      <formula>NOT(ISERROR(SEARCH("Missing",K2508)))</formula>
    </cfRule>
  </conditionalFormatting>
  <conditionalFormatting sqref="J2595">
    <cfRule type="containsText" dxfId="2181" priority="1900" operator="containsText" text="Missing">
      <formula>NOT(ISERROR(SEARCH("Missing",J2595)))</formula>
    </cfRule>
  </conditionalFormatting>
  <conditionalFormatting sqref="K2508">
    <cfRule type="containsText" dxfId="2180" priority="2493" operator="containsText" text="Missing">
      <formula>NOT(ISERROR(SEARCH("Missing",K2508)))</formula>
    </cfRule>
  </conditionalFormatting>
  <conditionalFormatting sqref="J2509">
    <cfRule type="containsText" dxfId="2179" priority="2485" operator="containsText" text="Missing">
      <formula>NOT(ISERROR(SEARCH("Missing",J2509)))</formula>
    </cfRule>
  </conditionalFormatting>
  <conditionalFormatting sqref="J2596">
    <cfRule type="containsText" dxfId="2178" priority="1888" operator="containsText" text="Missing">
      <formula>NOT(ISERROR(SEARCH("Missing",J2596)))</formula>
    </cfRule>
  </conditionalFormatting>
  <conditionalFormatting sqref="L2545">
    <cfRule type="containsText" dxfId="2177" priority="2576" operator="containsText" text="Positive">
      <formula>NOT(ISERROR(SEARCH("Positive",L2545)))</formula>
    </cfRule>
    <cfRule type="containsText" dxfId="2176" priority="2577" operator="containsText" text="Negative">
      <formula>NOT(ISERROR(SEARCH("Negative",L2545)))</formula>
    </cfRule>
  </conditionalFormatting>
  <conditionalFormatting sqref="L2545">
    <cfRule type="containsText" dxfId="2175" priority="2572" operator="containsText" text="Positive">
      <formula>NOT(ISERROR(SEARCH("Positive",L2545)))</formula>
    </cfRule>
    <cfRule type="containsText" dxfId="2174" priority="2573" operator="containsText" text="Negative">
      <formula>NOT(ISERROR(SEARCH("Negative",L2545)))</formula>
    </cfRule>
  </conditionalFormatting>
  <conditionalFormatting sqref="L2545">
    <cfRule type="containsText" dxfId="2173" priority="2574" operator="containsText" text="Positive">
      <formula>NOT(ISERROR(SEARCH("Positive",L2545)))</formula>
    </cfRule>
    <cfRule type="containsText" dxfId="2172" priority="2575" operator="containsText" text="Negative">
      <formula>NOT(ISERROR(SEARCH("Negative",L2545)))</formula>
    </cfRule>
  </conditionalFormatting>
  <conditionalFormatting sqref="J2596">
    <cfRule type="containsText" dxfId="2171" priority="1889" operator="containsText" text="Missing">
      <formula>NOT(ISERROR(SEARCH("Missing",J2596)))</formula>
    </cfRule>
  </conditionalFormatting>
  <conditionalFormatting sqref="K2596">
    <cfRule type="containsText" dxfId="2170" priority="1886" operator="containsText" text="Missing">
      <formula>NOT(ISERROR(SEARCH("Missing",K2596)))</formula>
    </cfRule>
  </conditionalFormatting>
  <conditionalFormatting sqref="L2546">
    <cfRule type="containsText" dxfId="2169" priority="2565" operator="containsText" text="Positive">
      <formula>NOT(ISERROR(SEARCH("Positive",L2546)))</formula>
    </cfRule>
    <cfRule type="containsText" dxfId="2168" priority="2566" operator="containsText" text="Negative">
      <formula>NOT(ISERROR(SEARCH("Negative",L2546)))</formula>
    </cfRule>
  </conditionalFormatting>
  <conditionalFormatting sqref="L2596">
    <cfRule type="containsText" dxfId="2167" priority="1892" operator="containsText" text="Positive">
      <formula>NOT(ISERROR(SEARCH("Positive",L2596)))</formula>
    </cfRule>
    <cfRule type="containsText" dxfId="2166" priority="1893" operator="containsText" text="Negative">
      <formula>NOT(ISERROR(SEARCH("Negative",L2596)))</formula>
    </cfRule>
  </conditionalFormatting>
  <conditionalFormatting sqref="J2550">
    <cfRule type="containsText" dxfId="2165" priority="2512" operator="containsText" text="Missing">
      <formula>NOT(ISERROR(SEARCH("Missing",J2550)))</formula>
    </cfRule>
  </conditionalFormatting>
  <conditionalFormatting sqref="J2550">
    <cfRule type="containsText" dxfId="2164" priority="2511" operator="containsText" text="Missing">
      <formula>NOT(ISERROR(SEARCH("Missing",J2550)))</formula>
    </cfRule>
  </conditionalFormatting>
  <conditionalFormatting sqref="I2596">
    <cfRule type="containsText" dxfId="2163" priority="1713" operator="containsText" text="Missing">
      <formula>NOT(ISERROR(SEARCH("Missing",I2596)))</formula>
    </cfRule>
  </conditionalFormatting>
  <conditionalFormatting sqref="L2547">
    <cfRule type="containsText" dxfId="2162" priority="2554" operator="containsText" text="Positive">
      <formula>NOT(ISERROR(SEARCH("Positive",L2547)))</formula>
    </cfRule>
    <cfRule type="containsText" dxfId="2161" priority="2555" operator="containsText" text="Negative">
      <formula>NOT(ISERROR(SEARCH("Negative",L2547)))</formula>
    </cfRule>
  </conditionalFormatting>
  <conditionalFormatting sqref="L2547">
    <cfRule type="containsText" dxfId="2160" priority="2550" operator="containsText" text="Positive">
      <formula>NOT(ISERROR(SEARCH("Positive",L2547)))</formula>
    </cfRule>
    <cfRule type="containsText" dxfId="2159" priority="2551" operator="containsText" text="Negative">
      <formula>NOT(ISERROR(SEARCH("Negative",L2547)))</formula>
    </cfRule>
  </conditionalFormatting>
  <conditionalFormatting sqref="L2547">
    <cfRule type="containsText" dxfId="2158" priority="2552" operator="containsText" text="Positive">
      <formula>NOT(ISERROR(SEARCH("Positive",L2547)))</formula>
    </cfRule>
    <cfRule type="containsText" dxfId="2157" priority="2553" operator="containsText" text="Negative">
      <formula>NOT(ISERROR(SEARCH("Negative",L2547)))</formula>
    </cfRule>
  </conditionalFormatting>
  <conditionalFormatting sqref="H2509">
    <cfRule type="containsText" dxfId="2156" priority="2478" operator="containsText" text="Missing">
      <formula>NOT(ISERROR(SEARCH("Missing",H2509)))</formula>
    </cfRule>
  </conditionalFormatting>
  <conditionalFormatting sqref="L2509">
    <cfRule type="containsText" dxfId="2155" priority="2483" operator="containsText" text="Positive">
      <formula>NOT(ISERROR(SEARCH("Positive",L2509)))</formula>
    </cfRule>
    <cfRule type="containsText" dxfId="2154" priority="2484" operator="containsText" text="Negative">
      <formula>NOT(ISERROR(SEARCH("Negative",L2509)))</formula>
    </cfRule>
  </conditionalFormatting>
  <conditionalFormatting sqref="L2548">
    <cfRule type="containsText" dxfId="2153" priority="2539" operator="containsText" text="Positive">
      <formula>NOT(ISERROR(SEARCH("Positive",L2548)))</formula>
    </cfRule>
    <cfRule type="containsText" dxfId="2152" priority="2540" operator="containsText" text="Negative">
      <formula>NOT(ISERROR(SEARCH("Negative",L2548)))</formula>
    </cfRule>
  </conditionalFormatting>
  <conditionalFormatting sqref="L2548">
    <cfRule type="containsText" dxfId="2151" priority="2541" operator="containsText" text="Positive">
      <formula>NOT(ISERROR(SEARCH("Positive",L2548)))</formula>
    </cfRule>
    <cfRule type="containsText" dxfId="2150" priority="2542" operator="containsText" text="Negative">
      <formula>NOT(ISERROR(SEARCH("Negative",L2548)))</formula>
    </cfRule>
  </conditionalFormatting>
  <conditionalFormatting sqref="I2560">
    <cfRule type="containsText" dxfId="2149" priority="1702" operator="containsText" text="Missing">
      <formula>NOT(ISERROR(SEARCH("Missing",I2560)))</formula>
    </cfRule>
  </conditionalFormatting>
  <conditionalFormatting sqref="J2517">
    <cfRule type="containsText" dxfId="2148" priority="2433" operator="containsText" text="Missing">
      <formula>NOT(ISERROR(SEARCH("Missing",J2517)))</formula>
    </cfRule>
  </conditionalFormatting>
  <conditionalFormatting sqref="H2508">
    <cfRule type="containsText" dxfId="2147" priority="2491" operator="containsText" text="Missing">
      <formula>NOT(ISERROR(SEARCH("Missing",H2508)))</formula>
    </cfRule>
  </conditionalFormatting>
  <conditionalFormatting sqref="H2508">
    <cfRule type="containsText" dxfId="2146" priority="2492" operator="containsText" text="Missing">
      <formula>NOT(ISERROR(SEARCH("Missing",H2508)))</formula>
    </cfRule>
  </conditionalFormatting>
  <conditionalFormatting sqref="J2559">
    <cfRule type="containsText" dxfId="2145" priority="1819" operator="containsText" text="Missing">
      <formula>NOT(ISERROR(SEARCH("Missing",J2559)))</formula>
    </cfRule>
  </conditionalFormatting>
  <conditionalFormatting sqref="I2566">
    <cfRule type="containsText" dxfId="2144" priority="1698" operator="containsText" text="Missing">
      <formula>NOT(ISERROR(SEARCH("Missing",I2566)))</formula>
    </cfRule>
  </conditionalFormatting>
  <conditionalFormatting sqref="K2509">
    <cfRule type="containsText" dxfId="2143" priority="2481" operator="containsText" text="Missing">
      <formula>NOT(ISERROR(SEARCH("Missing",K2509)))</formula>
    </cfRule>
  </conditionalFormatting>
  <conditionalFormatting sqref="H2509">
    <cfRule type="containsText" dxfId="2142" priority="2479" operator="containsText" text="Missing">
      <formula>NOT(ISERROR(SEARCH("Missing",H2509)))</formula>
    </cfRule>
  </conditionalFormatting>
  <conditionalFormatting sqref="L2509">
    <cfRule type="containsText" dxfId="2141" priority="2488" operator="containsText" text="Positive">
      <formula>NOT(ISERROR(SEARCH("Positive",L2509)))</formula>
    </cfRule>
    <cfRule type="containsText" dxfId="2140" priority="2489" operator="containsText" text="Negative">
      <formula>NOT(ISERROR(SEARCH("Negative",L2509)))</formula>
    </cfRule>
  </conditionalFormatting>
  <conditionalFormatting sqref="L2549">
    <cfRule type="containsText" dxfId="2139" priority="2524" operator="containsText" text="Positive">
      <formula>NOT(ISERROR(SEARCH("Positive",L2549)))</formula>
    </cfRule>
    <cfRule type="containsText" dxfId="2138" priority="2525" operator="containsText" text="Negative">
      <formula>NOT(ISERROR(SEARCH("Negative",L2549)))</formula>
    </cfRule>
  </conditionalFormatting>
  <conditionalFormatting sqref="L2509">
    <cfRule type="containsText" dxfId="2137" priority="2486" operator="containsText" text="Positive">
      <formula>NOT(ISERROR(SEARCH("Positive",L2509)))</formula>
    </cfRule>
    <cfRule type="containsText" dxfId="2136" priority="2487" operator="containsText" text="Negative">
      <formula>NOT(ISERROR(SEARCH("Negative",L2509)))</formula>
    </cfRule>
  </conditionalFormatting>
  <conditionalFormatting sqref="L2550">
    <cfRule type="containsText" dxfId="2135" priority="2517" operator="containsText" text="Positive">
      <formula>NOT(ISERROR(SEARCH("Positive",L2550)))</formula>
    </cfRule>
    <cfRule type="containsText" dxfId="2134" priority="2518" operator="containsText" text="Negative">
      <formula>NOT(ISERROR(SEARCH("Negative",L2550)))</formula>
    </cfRule>
  </conditionalFormatting>
  <conditionalFormatting sqref="L2550">
    <cfRule type="containsText" dxfId="2133" priority="2515" operator="containsText" text="Positive">
      <formula>NOT(ISERROR(SEARCH("Positive",L2550)))</formula>
    </cfRule>
    <cfRule type="containsText" dxfId="2132" priority="2516" operator="containsText" text="Negative">
      <formula>NOT(ISERROR(SEARCH("Negative",L2550)))</formula>
    </cfRule>
  </conditionalFormatting>
  <conditionalFormatting sqref="I2567">
    <cfRule type="containsText" dxfId="2131" priority="1697" operator="containsText" text="Missing">
      <formula>NOT(ISERROR(SEARCH("Missing",I2567)))</formula>
    </cfRule>
  </conditionalFormatting>
  <conditionalFormatting sqref="K2567">
    <cfRule type="containsText" dxfId="2130" priority="1757" operator="containsText" text="Missing">
      <formula>NOT(ISERROR(SEARCH("Missing",K2567)))</formula>
    </cfRule>
  </conditionalFormatting>
  <conditionalFormatting sqref="K2517">
    <cfRule type="containsText" dxfId="2129" priority="2429" operator="containsText" text="Missing">
      <formula>NOT(ISERROR(SEARCH("Missing",K2517)))</formula>
    </cfRule>
  </conditionalFormatting>
  <conditionalFormatting sqref="K2567">
    <cfRule type="containsText" dxfId="2128" priority="1759" operator="containsText" text="Missing">
      <formula>NOT(ISERROR(SEARCH("Missing",K2567)))</formula>
    </cfRule>
  </conditionalFormatting>
  <conditionalFormatting sqref="J2522">
    <cfRule type="containsText" dxfId="2127" priority="2420" operator="containsText" text="Missing">
      <formula>NOT(ISERROR(SEARCH("Missing",J2522)))</formula>
    </cfRule>
  </conditionalFormatting>
  <conditionalFormatting sqref="K2572">
    <cfRule type="containsText" dxfId="2126" priority="1746" operator="containsText" text="Missing">
      <formula>NOT(ISERROR(SEARCH("Missing",K2572)))</formula>
    </cfRule>
  </conditionalFormatting>
  <conditionalFormatting sqref="K2522">
    <cfRule type="containsText" dxfId="2125" priority="2415" operator="containsText" text="Missing">
      <formula>NOT(ISERROR(SEARCH("Missing",K2522)))</formula>
    </cfRule>
  </conditionalFormatting>
  <conditionalFormatting sqref="K2572">
    <cfRule type="containsText" dxfId="2124" priority="1745" operator="containsText" text="Missing">
      <formula>NOT(ISERROR(SEARCH("Missing",K2572)))</formula>
    </cfRule>
  </conditionalFormatting>
  <conditionalFormatting sqref="L2510">
    <cfRule type="containsText" dxfId="2123" priority="2470" operator="containsText" text="Positive">
      <formula>NOT(ISERROR(SEARCH("Positive",L2510)))</formula>
    </cfRule>
    <cfRule type="containsText" dxfId="2122" priority="2471" operator="containsText" text="Negative">
      <formula>NOT(ISERROR(SEARCH("Negative",L2510)))</formula>
    </cfRule>
  </conditionalFormatting>
  <conditionalFormatting sqref="L2510">
    <cfRule type="containsText" dxfId="2121" priority="2475" operator="containsText" text="Positive">
      <formula>NOT(ISERROR(SEARCH("Positive",L2510)))</formula>
    </cfRule>
    <cfRule type="containsText" dxfId="2120" priority="2476" operator="containsText" text="Negative">
      <formula>NOT(ISERROR(SEARCH("Negative",L2510)))</formula>
    </cfRule>
  </conditionalFormatting>
  <conditionalFormatting sqref="J2560">
    <cfRule type="containsText" dxfId="2119" priority="1806" operator="containsText" text="Missing">
      <formula>NOT(ISERROR(SEARCH("Missing",J2560)))</formula>
    </cfRule>
  </conditionalFormatting>
  <conditionalFormatting sqref="I2567">
    <cfRule type="containsText" dxfId="2118" priority="1696" operator="containsText" text="Missing">
      <formula>NOT(ISERROR(SEARCH("Missing",I2567)))</formula>
    </cfRule>
  </conditionalFormatting>
  <conditionalFormatting sqref="I2566">
    <cfRule type="containsText" dxfId="2117" priority="1699" operator="containsText" text="Missing">
      <formula>NOT(ISERROR(SEARCH("Missing",I2566)))</formula>
    </cfRule>
  </conditionalFormatting>
  <conditionalFormatting sqref="L2515">
    <cfRule type="containsText" dxfId="2116" priority="2457" operator="containsText" text="Positive">
      <formula>NOT(ISERROR(SEARCH("Positive",L2515)))</formula>
    </cfRule>
    <cfRule type="containsText" dxfId="2115" priority="2458" operator="containsText" text="Negative">
      <formula>NOT(ISERROR(SEARCH("Negative",L2515)))</formula>
    </cfRule>
  </conditionalFormatting>
  <conditionalFormatting sqref="L2515">
    <cfRule type="containsText" dxfId="2114" priority="2462" operator="containsText" text="Positive">
      <formula>NOT(ISERROR(SEARCH("Positive",L2515)))</formula>
    </cfRule>
    <cfRule type="containsText" dxfId="2113" priority="2463" operator="containsText" text="Negative">
      <formula>NOT(ISERROR(SEARCH("Negative",L2515)))</formula>
    </cfRule>
  </conditionalFormatting>
  <conditionalFormatting sqref="L2515">
    <cfRule type="containsText" dxfId="2112" priority="2460" operator="containsText" text="Positive">
      <formula>NOT(ISERROR(SEARCH("Positive",L2515)))</formula>
    </cfRule>
    <cfRule type="containsText" dxfId="2111" priority="2461" operator="containsText" text="Negative">
      <formula>NOT(ISERROR(SEARCH("Negative",L2515)))</formula>
    </cfRule>
  </conditionalFormatting>
  <conditionalFormatting sqref="I2574">
    <cfRule type="containsText" dxfId="2110" priority="1690" operator="containsText" text="Missing">
      <formula>NOT(ISERROR(SEARCH("Missing",I2574)))</formula>
    </cfRule>
  </conditionalFormatting>
  <conditionalFormatting sqref="L2516">
    <cfRule type="containsText" dxfId="2109" priority="2444" operator="containsText" text="Positive">
      <formula>NOT(ISERROR(SEARCH("Positive",L2516)))</formula>
    </cfRule>
    <cfRule type="containsText" dxfId="2108" priority="2445" operator="containsText" text="Negative">
      <formula>NOT(ISERROR(SEARCH("Negative",L2516)))</formula>
    </cfRule>
  </conditionalFormatting>
  <conditionalFormatting sqref="L2516">
    <cfRule type="containsText" dxfId="2107" priority="2449" operator="containsText" text="Positive">
      <formula>NOT(ISERROR(SEARCH("Positive",L2516)))</formula>
    </cfRule>
    <cfRule type="containsText" dxfId="2106" priority="2450" operator="containsText" text="Negative">
      <formula>NOT(ISERROR(SEARCH("Negative",L2516)))</formula>
    </cfRule>
  </conditionalFormatting>
  <conditionalFormatting sqref="L2516">
    <cfRule type="containsText" dxfId="2105" priority="2447" operator="containsText" text="Positive">
      <formula>NOT(ISERROR(SEARCH("Positive",L2516)))</formula>
    </cfRule>
    <cfRule type="containsText" dxfId="2104" priority="2448" operator="containsText" text="Negative">
      <formula>NOT(ISERROR(SEARCH("Negative",L2516)))</formula>
    </cfRule>
  </conditionalFormatting>
  <conditionalFormatting sqref="H2566">
    <cfRule type="containsText" dxfId="2103" priority="1768" operator="containsText" text="Missing">
      <formula>NOT(ISERROR(SEARCH("Missing",H2566)))</formula>
    </cfRule>
  </conditionalFormatting>
  <conditionalFormatting sqref="L2567">
    <cfRule type="containsText" dxfId="2102" priority="1760" operator="containsText" text="Positive">
      <formula>NOT(ISERROR(SEARCH("Positive",L2567)))</formula>
    </cfRule>
    <cfRule type="containsText" dxfId="2101" priority="1761" operator="containsText" text="Negative">
      <formula>NOT(ISERROR(SEARCH("Negative",L2567)))</formula>
    </cfRule>
  </conditionalFormatting>
  <conditionalFormatting sqref="L2517">
    <cfRule type="containsText" dxfId="2100" priority="2436" operator="containsText" text="Positive">
      <formula>NOT(ISERROR(SEARCH("Positive",L2517)))</formula>
    </cfRule>
    <cfRule type="containsText" dxfId="2099" priority="2437" operator="containsText" text="Negative">
      <formula>NOT(ISERROR(SEARCH("Negative",L2517)))</formula>
    </cfRule>
  </conditionalFormatting>
  <conditionalFormatting sqref="L2517">
    <cfRule type="containsText" dxfId="2098" priority="2434" operator="containsText" text="Positive">
      <formula>NOT(ISERROR(SEARCH("Positive",L2517)))</formula>
    </cfRule>
    <cfRule type="containsText" dxfId="2097" priority="2435" operator="containsText" text="Negative">
      <formula>NOT(ISERROR(SEARCH("Negative",L2517)))</formula>
    </cfRule>
  </conditionalFormatting>
  <conditionalFormatting sqref="H2567">
    <cfRule type="containsText" dxfId="2096" priority="1755" operator="containsText" text="Missing">
      <formula>NOT(ISERROR(SEARCH("Missing",H2567)))</formula>
    </cfRule>
  </conditionalFormatting>
  <conditionalFormatting sqref="K2524">
    <cfRule type="containsText" dxfId="2095" priority="2390" operator="containsText" text="Missing">
      <formula>NOT(ISERROR(SEARCH("Missing",K2524)))</formula>
    </cfRule>
  </conditionalFormatting>
  <conditionalFormatting sqref="K2524">
    <cfRule type="containsText" dxfId="2094" priority="2389" operator="containsText" text="Missing">
      <formula>NOT(ISERROR(SEARCH("Missing",K2524)))</formula>
    </cfRule>
  </conditionalFormatting>
  <conditionalFormatting sqref="H2524">
    <cfRule type="containsText" dxfId="2093" priority="2388" operator="containsText" text="Missing">
      <formula>NOT(ISERROR(SEARCH("Missing",H2524)))</formula>
    </cfRule>
  </conditionalFormatting>
  <conditionalFormatting sqref="K2524">
    <cfRule type="containsText" dxfId="2092" priority="2391" operator="containsText" text="Missing">
      <formula>NOT(ISERROR(SEARCH("Missing",K2524)))</formula>
    </cfRule>
  </conditionalFormatting>
  <conditionalFormatting sqref="J2524">
    <cfRule type="containsText" dxfId="2091" priority="2394" operator="containsText" text="Missing">
      <formula>NOT(ISERROR(SEARCH("Missing",J2524)))</formula>
    </cfRule>
  </conditionalFormatting>
  <conditionalFormatting sqref="I2595">
    <cfRule type="containsText" dxfId="2090" priority="1714" operator="containsText" text="Missing">
      <formula>NOT(ISERROR(SEARCH("Missing",I2595)))</formula>
    </cfRule>
  </conditionalFormatting>
  <conditionalFormatting sqref="H2522">
    <cfRule type="containsText" dxfId="2089" priority="2414" operator="containsText" text="Missing">
      <formula>NOT(ISERROR(SEARCH("Missing",H2522)))</formula>
    </cfRule>
  </conditionalFormatting>
  <conditionalFormatting sqref="J2523">
    <cfRule type="containsText" dxfId="2088" priority="2407" operator="containsText" text="Missing">
      <formula>NOT(ISERROR(SEARCH("Missing",J2523)))</formula>
    </cfRule>
  </conditionalFormatting>
  <conditionalFormatting sqref="L2522">
    <cfRule type="containsText" dxfId="2087" priority="2418" operator="containsText" text="Positive">
      <formula>NOT(ISERROR(SEARCH("Positive",L2522)))</formula>
    </cfRule>
    <cfRule type="containsText" dxfId="2086" priority="2419" operator="containsText" text="Negative">
      <formula>NOT(ISERROR(SEARCH("Negative",L2522)))</formula>
    </cfRule>
  </conditionalFormatting>
  <conditionalFormatting sqref="L2522">
    <cfRule type="containsText" dxfId="2085" priority="2423" operator="containsText" text="Positive">
      <formula>NOT(ISERROR(SEARCH("Positive",L2522)))</formula>
    </cfRule>
    <cfRule type="containsText" dxfId="2084" priority="2424" operator="containsText" text="Negative">
      <formula>NOT(ISERROR(SEARCH("Negative",L2522)))</formula>
    </cfRule>
  </conditionalFormatting>
  <conditionalFormatting sqref="L2522">
    <cfRule type="containsText" dxfId="2083" priority="2421" operator="containsText" text="Positive">
      <formula>NOT(ISERROR(SEARCH("Positive",L2522)))</formula>
    </cfRule>
    <cfRule type="containsText" dxfId="2082" priority="2422" operator="containsText" text="Negative">
      <formula>NOT(ISERROR(SEARCH("Negative",L2522)))</formula>
    </cfRule>
  </conditionalFormatting>
  <conditionalFormatting sqref="H2522">
    <cfRule type="containsText" dxfId="2081" priority="2413" operator="containsText" text="Missing">
      <formula>NOT(ISERROR(SEARCH("Missing",H2522)))</formula>
    </cfRule>
  </conditionalFormatting>
  <conditionalFormatting sqref="K2523">
    <cfRule type="containsText" dxfId="2080" priority="2404" operator="containsText" text="Missing">
      <formula>NOT(ISERROR(SEARCH("Missing",K2523)))</formula>
    </cfRule>
  </conditionalFormatting>
  <conditionalFormatting sqref="K2523">
    <cfRule type="containsText" dxfId="2079" priority="2403" operator="containsText" text="Missing">
      <formula>NOT(ISERROR(SEARCH("Missing",K2523)))</formula>
    </cfRule>
  </conditionalFormatting>
  <conditionalFormatting sqref="L2523">
    <cfRule type="containsText" dxfId="2078" priority="2405" operator="containsText" text="Positive">
      <formula>NOT(ISERROR(SEARCH("Positive",L2523)))</formula>
    </cfRule>
    <cfRule type="containsText" dxfId="2077" priority="2406" operator="containsText" text="Negative">
      <formula>NOT(ISERROR(SEARCH("Negative",L2523)))</formula>
    </cfRule>
  </conditionalFormatting>
  <conditionalFormatting sqref="L2523">
    <cfRule type="containsText" dxfId="2076" priority="2410" operator="containsText" text="Positive">
      <formula>NOT(ISERROR(SEARCH("Positive",L2523)))</formula>
    </cfRule>
    <cfRule type="containsText" dxfId="2075" priority="2411" operator="containsText" text="Negative">
      <formula>NOT(ISERROR(SEARCH("Negative",L2523)))</formula>
    </cfRule>
  </conditionalFormatting>
  <conditionalFormatting sqref="L2523">
    <cfRule type="containsText" dxfId="2074" priority="2408" operator="containsText" text="Positive">
      <formula>NOT(ISERROR(SEARCH("Positive",L2523)))</formula>
    </cfRule>
    <cfRule type="containsText" dxfId="2073" priority="2409" operator="containsText" text="Negative">
      <formula>NOT(ISERROR(SEARCH("Negative",L2523)))</formula>
    </cfRule>
  </conditionalFormatting>
  <conditionalFormatting sqref="K2523">
    <cfRule type="containsText" dxfId="2072" priority="2402" operator="containsText" text="Missing">
      <formula>NOT(ISERROR(SEARCH("Missing",K2523)))</formula>
    </cfRule>
  </conditionalFormatting>
  <conditionalFormatting sqref="H2523">
    <cfRule type="containsText" dxfId="2071" priority="2401" operator="containsText" text="Missing">
      <formula>NOT(ISERROR(SEARCH("Missing",H2523)))</formula>
    </cfRule>
  </conditionalFormatting>
  <conditionalFormatting sqref="H2523">
    <cfRule type="containsText" dxfId="2070" priority="2400" operator="containsText" text="Missing">
      <formula>NOT(ISERROR(SEARCH("Missing",H2523)))</formula>
    </cfRule>
  </conditionalFormatting>
  <conditionalFormatting sqref="L2524">
    <cfRule type="containsText" dxfId="2069" priority="2392" operator="containsText" text="Positive">
      <formula>NOT(ISERROR(SEARCH("Positive",L2524)))</formula>
    </cfRule>
    <cfRule type="containsText" dxfId="2068" priority="2393" operator="containsText" text="Negative">
      <formula>NOT(ISERROR(SEARCH("Negative",L2524)))</formula>
    </cfRule>
  </conditionalFormatting>
  <conditionalFormatting sqref="L2524">
    <cfRule type="containsText" dxfId="2067" priority="2397" operator="containsText" text="Positive">
      <formula>NOT(ISERROR(SEARCH("Positive",L2524)))</formula>
    </cfRule>
    <cfRule type="containsText" dxfId="2066" priority="2398" operator="containsText" text="Negative">
      <formula>NOT(ISERROR(SEARCH("Negative",L2524)))</formula>
    </cfRule>
  </conditionalFormatting>
  <conditionalFormatting sqref="L2524">
    <cfRule type="containsText" dxfId="2065" priority="2395" operator="containsText" text="Positive">
      <formula>NOT(ISERROR(SEARCH("Positive",L2524)))</formula>
    </cfRule>
    <cfRule type="containsText" dxfId="2064" priority="2396" operator="containsText" text="Negative">
      <formula>NOT(ISERROR(SEARCH("Negative",L2524)))</formula>
    </cfRule>
  </conditionalFormatting>
  <conditionalFormatting sqref="J2574">
    <cfRule type="containsText" dxfId="2063" priority="1728" operator="containsText" text="Missing">
      <formula>NOT(ISERROR(SEARCH("Missing",J2574)))</formula>
    </cfRule>
  </conditionalFormatting>
  <conditionalFormatting sqref="H2524">
    <cfRule type="containsText" dxfId="2062" priority="2387" operator="containsText" text="Missing">
      <formula>NOT(ISERROR(SEARCH("Missing",H2524)))</formula>
    </cfRule>
  </conditionalFormatting>
  <conditionalFormatting sqref="I2595">
    <cfRule type="containsText" dxfId="2061" priority="1715" operator="containsText" text="Missing">
      <formula>NOT(ISERROR(SEARCH("Missing",I2595)))</formula>
    </cfRule>
  </conditionalFormatting>
  <conditionalFormatting sqref="I2546">
    <cfRule type="containsText" dxfId="2060" priority="2383" operator="containsText" text="Missing">
      <formula>NOT(ISERROR(SEARCH("Missing",I2546)))</formula>
    </cfRule>
  </conditionalFormatting>
  <conditionalFormatting sqref="I2547">
    <cfRule type="containsText" dxfId="2059" priority="2381" operator="containsText" text="Missing">
      <formula>NOT(ISERROR(SEARCH("Missing",I2547)))</formula>
    </cfRule>
  </conditionalFormatting>
  <conditionalFormatting sqref="I2547">
    <cfRule type="containsText" dxfId="2058" priority="2382" operator="containsText" text="Missing">
      <formula>NOT(ISERROR(SEARCH("Missing",I2547)))</formula>
    </cfRule>
  </conditionalFormatting>
  <conditionalFormatting sqref="I2548">
    <cfRule type="containsText" dxfId="2057" priority="2379" operator="containsText" text="Missing">
      <formula>NOT(ISERROR(SEARCH("Missing",I2548)))</formula>
    </cfRule>
  </conditionalFormatting>
  <conditionalFormatting sqref="I2548">
    <cfRule type="containsText" dxfId="2056" priority="2380" operator="containsText" text="Missing">
      <formula>NOT(ISERROR(SEARCH("Missing",I2548)))</formula>
    </cfRule>
  </conditionalFormatting>
  <conditionalFormatting sqref="I2508">
    <cfRule type="containsText" dxfId="2055" priority="2377" operator="containsText" text="Missing">
      <formula>NOT(ISERROR(SEARCH("Missing",I2508)))</formula>
    </cfRule>
  </conditionalFormatting>
  <conditionalFormatting sqref="I2508">
    <cfRule type="containsText" dxfId="2054" priority="2378" operator="containsText" text="Missing">
      <formula>NOT(ISERROR(SEARCH("Missing",I2508)))</formula>
    </cfRule>
  </conditionalFormatting>
  <conditionalFormatting sqref="I2509">
    <cfRule type="containsText" dxfId="2053" priority="2375" operator="containsText" text="Missing">
      <formula>NOT(ISERROR(SEARCH("Missing",I2509)))</formula>
    </cfRule>
  </conditionalFormatting>
  <conditionalFormatting sqref="I2509">
    <cfRule type="containsText" dxfId="2052" priority="2376" operator="containsText" text="Missing">
      <formula>NOT(ISERROR(SEARCH("Missing",I2509)))</formula>
    </cfRule>
  </conditionalFormatting>
  <conditionalFormatting sqref="I2510">
    <cfRule type="containsText" dxfId="2051" priority="2374" operator="containsText" text="Missing">
      <formula>NOT(ISERROR(SEARCH("Missing",I2510)))</formula>
    </cfRule>
  </conditionalFormatting>
  <conditionalFormatting sqref="I2515">
    <cfRule type="containsText" dxfId="2050" priority="2371" operator="containsText" text="Missing">
      <formula>NOT(ISERROR(SEARCH("Missing",I2515)))</formula>
    </cfRule>
  </conditionalFormatting>
  <conditionalFormatting sqref="I2515">
    <cfRule type="containsText" dxfId="2049" priority="2372" operator="containsText" text="Missing">
      <formula>NOT(ISERROR(SEARCH("Missing",I2515)))</formula>
    </cfRule>
  </conditionalFormatting>
  <conditionalFormatting sqref="I2523">
    <cfRule type="containsText" dxfId="2048" priority="2363" operator="containsText" text="Missing">
      <formula>NOT(ISERROR(SEARCH("Missing",I2523)))</formula>
    </cfRule>
  </conditionalFormatting>
  <conditionalFormatting sqref="I2524">
    <cfRule type="containsText" dxfId="2047" priority="2362" operator="containsText" text="Missing">
      <formula>NOT(ISERROR(SEARCH("Missing",I2524)))</formula>
    </cfRule>
  </conditionalFormatting>
  <conditionalFormatting sqref="L2577">
    <cfRule type="containsText" dxfId="2046" priority="2348" operator="containsText" text="Positive">
      <formula>NOT(ISERROR(SEARCH("Positive",L2577)))</formula>
    </cfRule>
    <cfRule type="containsText" dxfId="2045" priority="2349" operator="containsText" text="Negative">
      <formula>NOT(ISERROR(SEARCH("Negative",L2577)))</formula>
    </cfRule>
  </conditionalFormatting>
  <conditionalFormatting sqref="L2577">
    <cfRule type="containsText" dxfId="2044" priority="2346" operator="containsText" text="Positive">
      <formula>NOT(ISERROR(SEARCH("Positive",L2577)))</formula>
    </cfRule>
    <cfRule type="containsText" dxfId="2043" priority="2347" operator="containsText" text="Negative">
      <formula>NOT(ISERROR(SEARCH("Negative",L2577)))</formula>
    </cfRule>
  </conditionalFormatting>
  <conditionalFormatting sqref="L2575">
    <cfRule type="containsText" dxfId="2042" priority="2359" operator="containsText" text="Positive">
      <formula>NOT(ISERROR(SEARCH("Positive",L2575)))</formula>
    </cfRule>
    <cfRule type="containsText" dxfId="2041" priority="2360" operator="containsText" text="Negative">
      <formula>NOT(ISERROR(SEARCH("Negative",L2575)))</formula>
    </cfRule>
  </conditionalFormatting>
  <conditionalFormatting sqref="L2575">
    <cfRule type="containsText" dxfId="2040" priority="2357" operator="containsText" text="Positive">
      <formula>NOT(ISERROR(SEARCH("Positive",L2575)))</formula>
    </cfRule>
    <cfRule type="containsText" dxfId="2039" priority="2358" operator="containsText" text="Negative">
      <formula>NOT(ISERROR(SEARCH("Negative",L2575)))</formula>
    </cfRule>
  </conditionalFormatting>
  <conditionalFormatting sqref="K2577">
    <cfRule type="containsText" dxfId="2038" priority="2339" operator="containsText" text="Missing">
      <formula>NOT(ISERROR(SEARCH("Missing",K2577)))</formula>
    </cfRule>
  </conditionalFormatting>
  <conditionalFormatting sqref="K2577">
    <cfRule type="containsText" dxfId="2037" priority="2340" operator="containsText" text="Missing">
      <formula>NOT(ISERROR(SEARCH("Missing",K2577)))</formula>
    </cfRule>
  </conditionalFormatting>
  <conditionalFormatting sqref="J2575">
    <cfRule type="containsText" dxfId="2036" priority="2354" operator="containsText" text="Missing">
      <formula>NOT(ISERROR(SEARCH("Missing",J2575)))</formula>
    </cfRule>
  </conditionalFormatting>
  <conditionalFormatting sqref="J2576">
    <cfRule type="containsText" dxfId="2035" priority="2319" operator="containsText" text="Missing">
      <formula>NOT(ISERROR(SEARCH("Missing",J2576)))</formula>
    </cfRule>
  </conditionalFormatting>
  <conditionalFormatting sqref="J2575">
    <cfRule type="containsText" dxfId="2034" priority="2353" operator="containsText" text="Missing">
      <formula>NOT(ISERROR(SEARCH("Missing",J2575)))</formula>
    </cfRule>
  </conditionalFormatting>
  <conditionalFormatting sqref="K2575">
    <cfRule type="containsText" dxfId="2033" priority="2352" operator="containsText" text="Missing">
      <formula>NOT(ISERROR(SEARCH("Missing",K2575)))</formula>
    </cfRule>
  </conditionalFormatting>
  <conditionalFormatting sqref="K2577">
    <cfRule type="containsText" dxfId="2032" priority="2341" operator="containsText" text="Missing">
      <formula>NOT(ISERROR(SEARCH("Missing",K2577)))</formula>
    </cfRule>
  </conditionalFormatting>
  <conditionalFormatting sqref="J2580">
    <cfRule type="containsText" dxfId="2031" priority="2331" operator="containsText" text="Missing">
      <formula>NOT(ISERROR(SEARCH("Missing",J2580)))</formula>
    </cfRule>
  </conditionalFormatting>
  <conditionalFormatting sqref="J2580">
    <cfRule type="containsText" dxfId="2030" priority="2332" operator="containsText" text="Missing">
      <formula>NOT(ISERROR(SEARCH("Missing",J2580)))</formula>
    </cfRule>
  </conditionalFormatting>
  <conditionalFormatting sqref="J2589">
    <cfRule type="containsText" dxfId="2029" priority="2279" operator="containsText" text="Missing">
      <formula>NOT(ISERROR(SEARCH("Missing",J2589)))</formula>
    </cfRule>
  </conditionalFormatting>
  <conditionalFormatting sqref="K2589">
    <cfRule type="containsText" dxfId="2028" priority="2278" operator="containsText" text="Missing">
      <formula>NOT(ISERROR(SEARCH("Missing",K2589)))</formula>
    </cfRule>
  </conditionalFormatting>
  <conditionalFormatting sqref="K2589">
    <cfRule type="containsText" dxfId="2027" priority="2277" operator="containsText" text="Missing">
      <formula>NOT(ISERROR(SEARCH("Missing",K2589)))</formula>
    </cfRule>
  </conditionalFormatting>
  <conditionalFormatting sqref="H2577 H2580 H2575">
    <cfRule type="containsText" dxfId="2026" priority="2326" operator="containsText" text="Missing">
      <formula>NOT(ISERROR(SEARCH("Missing",H2575)))</formula>
    </cfRule>
  </conditionalFormatting>
  <conditionalFormatting sqref="I2577">
    <cfRule type="containsText" dxfId="2025" priority="2268" operator="containsText" text="Missing">
      <formula>NOT(ISERROR(SEARCH("Missing",I2577)))</formula>
    </cfRule>
  </conditionalFormatting>
  <conditionalFormatting sqref="L2586">
    <cfRule type="containsText" dxfId="2024" priority="2228" operator="containsText" text="Positive">
      <formula>NOT(ISERROR(SEARCH("Positive",L2586)))</formula>
    </cfRule>
    <cfRule type="containsText" dxfId="2023" priority="2229" operator="containsText" text="Negative">
      <formula>NOT(ISERROR(SEARCH("Negative",L2586)))</formula>
    </cfRule>
  </conditionalFormatting>
  <conditionalFormatting sqref="L2575">
    <cfRule type="containsText" dxfId="2022" priority="2355" operator="containsText" text="Positive">
      <formula>NOT(ISERROR(SEARCH("Positive",L2575)))</formula>
    </cfRule>
    <cfRule type="containsText" dxfId="2021" priority="2356" operator="containsText" text="Negative">
      <formula>NOT(ISERROR(SEARCH("Negative",L2575)))</formula>
    </cfRule>
  </conditionalFormatting>
  <conditionalFormatting sqref="I2579">
    <cfRule type="containsText" dxfId="2020" priority="2267" operator="containsText" text="Missing">
      <formula>NOT(ISERROR(SEARCH("Missing",I2579)))</formula>
    </cfRule>
  </conditionalFormatting>
  <conditionalFormatting sqref="K2575">
    <cfRule type="containsText" dxfId="2019" priority="2350" operator="containsText" text="Missing">
      <formula>NOT(ISERROR(SEARCH("Missing",K2575)))</formula>
    </cfRule>
  </conditionalFormatting>
  <conditionalFormatting sqref="L2577">
    <cfRule type="containsText" dxfId="2018" priority="2344" operator="containsText" text="Positive">
      <formula>NOT(ISERROR(SEARCH("Positive",L2577)))</formula>
    </cfRule>
    <cfRule type="containsText" dxfId="2017" priority="2345" operator="containsText" text="Negative">
      <formula>NOT(ISERROR(SEARCH("Negative",L2577)))</formula>
    </cfRule>
  </conditionalFormatting>
  <conditionalFormatting sqref="L2580">
    <cfRule type="containsText" dxfId="2016" priority="2337" operator="containsText" text="Positive">
      <formula>NOT(ISERROR(SEARCH("Positive",L2580)))</formula>
    </cfRule>
    <cfRule type="containsText" dxfId="2015" priority="2338" operator="containsText" text="Negative">
      <formula>NOT(ISERROR(SEARCH("Negative",L2580)))</formula>
    </cfRule>
  </conditionalFormatting>
  <conditionalFormatting sqref="L2580">
    <cfRule type="containsText" dxfId="2014" priority="2333" operator="containsText" text="Positive">
      <formula>NOT(ISERROR(SEARCH("Positive",L2580)))</formula>
    </cfRule>
    <cfRule type="containsText" dxfId="2013" priority="2334" operator="containsText" text="Negative">
      <formula>NOT(ISERROR(SEARCH("Negative",L2580)))</formula>
    </cfRule>
  </conditionalFormatting>
  <conditionalFormatting sqref="L2580">
    <cfRule type="containsText" dxfId="2012" priority="2335" operator="containsText" text="Positive">
      <formula>NOT(ISERROR(SEARCH("Positive",L2580)))</formula>
    </cfRule>
    <cfRule type="containsText" dxfId="2011" priority="2336" operator="containsText" text="Negative">
      <formula>NOT(ISERROR(SEARCH("Negative",L2580)))</formula>
    </cfRule>
  </conditionalFormatting>
  <conditionalFormatting sqref="K2580">
    <cfRule type="containsText" dxfId="2010" priority="2330" operator="containsText" text="Missing">
      <formula>NOT(ISERROR(SEARCH("Missing",K2580)))</formula>
    </cfRule>
  </conditionalFormatting>
  <conditionalFormatting sqref="K2580">
    <cfRule type="containsText" dxfId="2009" priority="2329" operator="containsText" text="Missing">
      <formula>NOT(ISERROR(SEARCH("Missing",K2580)))</formula>
    </cfRule>
  </conditionalFormatting>
  <conditionalFormatting sqref="K2580">
    <cfRule type="containsText" dxfId="2008" priority="2328" operator="containsText" text="Missing">
      <formula>NOT(ISERROR(SEARCH("Missing",K2580)))</formula>
    </cfRule>
  </conditionalFormatting>
  <conditionalFormatting sqref="L2583">
    <cfRule type="containsText" dxfId="2007" priority="2237" operator="containsText" text="Positive">
      <formula>NOT(ISERROR(SEARCH("Positive",L2583)))</formula>
    </cfRule>
    <cfRule type="containsText" dxfId="2006" priority="2238" operator="containsText" text="Negative">
      <formula>NOT(ISERROR(SEARCH("Negative",L2583)))</formula>
    </cfRule>
  </conditionalFormatting>
  <conditionalFormatting sqref="K2583">
    <cfRule type="containsText" dxfId="2005" priority="2232" operator="containsText" text="Missing">
      <formula>NOT(ISERROR(SEARCH("Missing",K2583)))</formula>
    </cfRule>
  </conditionalFormatting>
  <conditionalFormatting sqref="K2576">
    <cfRule type="containsText" dxfId="2004" priority="2317" operator="containsText" text="Missing">
      <formula>NOT(ISERROR(SEARCH("Missing",K2576)))</formula>
    </cfRule>
  </conditionalFormatting>
  <conditionalFormatting sqref="K2576">
    <cfRule type="containsText" dxfId="2003" priority="2316" operator="containsText" text="Missing">
      <formula>NOT(ISERROR(SEARCH("Missing",K2576)))</formula>
    </cfRule>
  </conditionalFormatting>
  <conditionalFormatting sqref="H2577 H2580 H2575">
    <cfRule type="containsText" dxfId="2002" priority="2327" operator="containsText" text="Missing">
      <formula>NOT(ISERROR(SEARCH("Missing",H2575)))</formula>
    </cfRule>
  </conditionalFormatting>
  <conditionalFormatting sqref="K2589">
    <cfRule type="containsText" dxfId="2001" priority="2276" operator="containsText" text="Missing">
      <formula>NOT(ISERROR(SEARCH("Missing",K2589)))</formula>
    </cfRule>
  </conditionalFormatting>
  <conditionalFormatting sqref="J2578">
    <cfRule type="containsText" dxfId="2000" priority="2306" operator="containsText" text="Missing">
      <formula>NOT(ISERROR(SEARCH("Missing",J2578)))</formula>
    </cfRule>
  </conditionalFormatting>
  <conditionalFormatting sqref="J2576">
    <cfRule type="containsText" dxfId="1999" priority="2318" operator="containsText" text="Missing">
      <formula>NOT(ISERROR(SEARCH("Missing",J2576)))</formula>
    </cfRule>
  </conditionalFormatting>
  <conditionalFormatting sqref="K2578">
    <cfRule type="containsText" dxfId="1998" priority="2303" operator="containsText" text="Missing">
      <formula>NOT(ISERROR(SEARCH("Missing",K2578)))</formula>
    </cfRule>
  </conditionalFormatting>
  <conditionalFormatting sqref="L2576">
    <cfRule type="containsText" dxfId="1997" priority="2324" operator="containsText" text="Positive">
      <formula>NOT(ISERROR(SEARCH("Positive",L2576)))</formula>
    </cfRule>
    <cfRule type="containsText" dxfId="1996" priority="2325" operator="containsText" text="Negative">
      <formula>NOT(ISERROR(SEARCH("Negative",L2576)))</formula>
    </cfRule>
  </conditionalFormatting>
  <conditionalFormatting sqref="L2576">
    <cfRule type="containsText" dxfId="1995" priority="2322" operator="containsText" text="Positive">
      <formula>NOT(ISERROR(SEARCH("Positive",L2576)))</formula>
    </cfRule>
    <cfRule type="containsText" dxfId="1994" priority="2323" operator="containsText" text="Negative">
      <formula>NOT(ISERROR(SEARCH("Negative",L2576)))</formula>
    </cfRule>
  </conditionalFormatting>
  <conditionalFormatting sqref="K2578">
    <cfRule type="containsText" dxfId="1993" priority="2304" operator="containsText" text="Missing">
      <formula>NOT(ISERROR(SEARCH("Missing",K2578)))</formula>
    </cfRule>
  </conditionalFormatting>
  <conditionalFormatting sqref="L2576">
    <cfRule type="containsText" dxfId="1992" priority="2320" operator="containsText" text="Positive">
      <formula>NOT(ISERROR(SEARCH("Positive",L2576)))</formula>
    </cfRule>
    <cfRule type="containsText" dxfId="1991" priority="2321" operator="containsText" text="Negative">
      <formula>NOT(ISERROR(SEARCH("Negative",L2576)))</formula>
    </cfRule>
  </conditionalFormatting>
  <conditionalFormatting sqref="K2576">
    <cfRule type="containsText" dxfId="1990" priority="2315" operator="containsText" text="Missing">
      <formula>NOT(ISERROR(SEARCH("Missing",K2576)))</formula>
    </cfRule>
  </conditionalFormatting>
  <conditionalFormatting sqref="K2578">
    <cfRule type="containsText" dxfId="1989" priority="2302" operator="containsText" text="Missing">
      <formula>NOT(ISERROR(SEARCH("Missing",K2578)))</formula>
    </cfRule>
  </conditionalFormatting>
  <conditionalFormatting sqref="H2576">
    <cfRule type="containsText" dxfId="1988" priority="2314" operator="containsText" text="Missing">
      <formula>NOT(ISERROR(SEARCH("Missing",H2576)))</formula>
    </cfRule>
  </conditionalFormatting>
  <conditionalFormatting sqref="H2576">
    <cfRule type="containsText" dxfId="1987" priority="2313" operator="containsText" text="Missing">
      <formula>NOT(ISERROR(SEARCH("Missing",H2576)))</formula>
    </cfRule>
  </conditionalFormatting>
  <conditionalFormatting sqref="L2578">
    <cfRule type="containsText" dxfId="1986" priority="2311" operator="containsText" text="Positive">
      <formula>NOT(ISERROR(SEARCH("Positive",L2578)))</formula>
    </cfRule>
    <cfRule type="containsText" dxfId="1985" priority="2312" operator="containsText" text="Negative">
      <formula>NOT(ISERROR(SEARCH("Negative",L2578)))</formula>
    </cfRule>
  </conditionalFormatting>
  <conditionalFormatting sqref="L2578">
    <cfRule type="containsText" dxfId="1984" priority="2309" operator="containsText" text="Positive">
      <formula>NOT(ISERROR(SEARCH("Positive",L2578)))</formula>
    </cfRule>
    <cfRule type="containsText" dxfId="1983" priority="2310" operator="containsText" text="Negative">
      <formula>NOT(ISERROR(SEARCH("Negative",L2578)))</formula>
    </cfRule>
  </conditionalFormatting>
  <conditionalFormatting sqref="K2579">
    <cfRule type="containsText" dxfId="1982" priority="2290" operator="containsText" text="Missing">
      <formula>NOT(ISERROR(SEARCH("Missing",K2579)))</formula>
    </cfRule>
  </conditionalFormatting>
  <conditionalFormatting sqref="L2578">
    <cfRule type="containsText" dxfId="1981" priority="2307" operator="containsText" text="Positive">
      <formula>NOT(ISERROR(SEARCH("Positive",L2578)))</formula>
    </cfRule>
    <cfRule type="containsText" dxfId="1980" priority="2308" operator="containsText" text="Negative">
      <formula>NOT(ISERROR(SEARCH("Negative",L2578)))</formula>
    </cfRule>
  </conditionalFormatting>
  <conditionalFormatting sqref="H2578">
    <cfRule type="containsText" dxfId="1979" priority="2301" operator="containsText" text="Missing">
      <formula>NOT(ISERROR(SEARCH("Missing",H2578)))</formula>
    </cfRule>
  </conditionalFormatting>
  <conditionalFormatting sqref="J2581">
    <cfRule type="containsText" dxfId="1978" priority="2245" operator="containsText" text="Missing">
      <formula>NOT(ISERROR(SEARCH("Missing",J2581)))</formula>
    </cfRule>
  </conditionalFormatting>
  <conditionalFormatting sqref="H2589">
    <cfRule type="containsText" dxfId="1977" priority="2274" operator="containsText" text="Missing">
      <formula>NOT(ISERROR(SEARCH("Missing",H2589)))</formula>
    </cfRule>
  </conditionalFormatting>
  <conditionalFormatting sqref="H2579">
    <cfRule type="containsText" dxfId="1976" priority="2288" operator="containsText" text="Missing">
      <formula>NOT(ISERROR(SEARCH("Missing",H2579)))</formula>
    </cfRule>
  </conditionalFormatting>
  <conditionalFormatting sqref="L2579">
    <cfRule type="containsText" dxfId="1975" priority="2294" operator="containsText" text="Positive">
      <formula>NOT(ISERROR(SEARCH("Positive",L2579)))</formula>
    </cfRule>
    <cfRule type="containsText" dxfId="1974" priority="2295" operator="containsText" text="Negative">
      <formula>NOT(ISERROR(SEARCH("Negative",L2579)))</formula>
    </cfRule>
  </conditionalFormatting>
  <conditionalFormatting sqref="L2579">
    <cfRule type="containsText" dxfId="1973" priority="2296" operator="containsText" text="Positive">
      <formula>NOT(ISERROR(SEARCH("Positive",L2579)))</formula>
    </cfRule>
    <cfRule type="containsText" dxfId="1972" priority="2297" operator="containsText" text="Negative">
      <formula>NOT(ISERROR(SEARCH("Negative",L2579)))</formula>
    </cfRule>
  </conditionalFormatting>
  <conditionalFormatting sqref="J2581">
    <cfRule type="containsText" dxfId="1971" priority="2244" operator="containsText" text="Missing">
      <formula>NOT(ISERROR(SEARCH("Missing",J2581)))</formula>
    </cfRule>
  </conditionalFormatting>
  <conditionalFormatting sqref="K2579">
    <cfRule type="containsText" dxfId="1970" priority="2289" operator="containsText" text="Missing">
      <formula>NOT(ISERROR(SEARCH("Missing",K2579)))</formula>
    </cfRule>
  </conditionalFormatting>
  <conditionalFormatting sqref="K2587">
    <cfRule type="containsText" dxfId="1969" priority="2150" operator="containsText" text="Missing">
      <formula>NOT(ISERROR(SEARCH("Missing",K2587)))</formula>
    </cfRule>
  </conditionalFormatting>
  <conditionalFormatting sqref="H2579">
    <cfRule type="containsText" dxfId="1968" priority="2287" operator="containsText" text="Missing">
      <formula>NOT(ISERROR(SEARCH("Missing",H2579)))</formula>
    </cfRule>
  </conditionalFormatting>
  <conditionalFormatting sqref="K2583">
    <cfRule type="containsText" dxfId="1967" priority="2231" operator="containsText" text="Missing">
      <formula>NOT(ISERROR(SEARCH("Missing",K2583)))</formula>
    </cfRule>
  </conditionalFormatting>
  <conditionalFormatting sqref="I2589">
    <cfRule type="containsText" dxfId="1966" priority="2275" operator="containsText" text="Missing">
      <formula>NOT(ISERROR(SEARCH("Missing",I2589)))</formula>
    </cfRule>
  </conditionalFormatting>
  <conditionalFormatting sqref="L2589">
    <cfRule type="containsText" dxfId="1965" priority="2281" operator="containsText" text="Positive">
      <formula>NOT(ISERROR(SEARCH("Positive",L2589)))</formula>
    </cfRule>
    <cfRule type="containsText" dxfId="1964" priority="2282" operator="containsText" text="Negative">
      <formula>NOT(ISERROR(SEARCH("Negative",L2589)))</formula>
    </cfRule>
  </conditionalFormatting>
  <conditionalFormatting sqref="L2589">
    <cfRule type="containsText" dxfId="1963" priority="2283" operator="containsText" text="Positive">
      <formula>NOT(ISERROR(SEARCH("Positive",L2589)))</formula>
    </cfRule>
    <cfRule type="containsText" dxfId="1962" priority="2284" operator="containsText" text="Negative">
      <formula>NOT(ISERROR(SEARCH("Negative",L2589)))</formula>
    </cfRule>
  </conditionalFormatting>
  <conditionalFormatting sqref="J2586">
    <cfRule type="containsText" dxfId="1961" priority="2223" operator="containsText" text="Missing">
      <formula>NOT(ISERROR(SEARCH("Missing",J2586)))</formula>
    </cfRule>
  </conditionalFormatting>
  <conditionalFormatting sqref="J2586">
    <cfRule type="containsText" dxfId="1960" priority="2222" operator="containsText" text="Missing">
      <formula>NOT(ISERROR(SEARCH("Missing",J2586)))</formula>
    </cfRule>
  </conditionalFormatting>
  <conditionalFormatting sqref="H2581 H2583 H2586">
    <cfRule type="containsText" dxfId="1959" priority="2218" operator="containsText" text="Missing">
      <formula>NOT(ISERROR(SEARCH("Missing",H2581)))</formula>
    </cfRule>
  </conditionalFormatting>
  <conditionalFormatting sqref="K2586">
    <cfRule type="containsText" dxfId="1958" priority="2221" operator="containsText" text="Missing">
      <formula>NOT(ISERROR(SEARCH("Missing",K2586)))</formula>
    </cfRule>
  </conditionalFormatting>
  <conditionalFormatting sqref="I2554">
    <cfRule type="containsText" dxfId="1957" priority="2129" operator="containsText" text="Missing">
      <formula>NOT(ISERROR(SEARCH("Missing",I2554)))</formula>
    </cfRule>
  </conditionalFormatting>
  <conditionalFormatting sqref="I2554">
    <cfRule type="containsText" dxfId="1956" priority="2130" operator="containsText" text="Missing">
      <formula>NOT(ISERROR(SEARCH("Missing",I2554)))</formula>
    </cfRule>
  </conditionalFormatting>
  <conditionalFormatting sqref="L2590">
    <cfRule type="containsText" dxfId="1955" priority="2261" operator="containsText" text="Positive">
      <formula>NOT(ISERROR(SEARCH("Positive",L2590)))</formula>
    </cfRule>
    <cfRule type="containsText" dxfId="1954" priority="2262" operator="containsText" text="Negative">
      <formula>NOT(ISERROR(SEARCH("Negative",L2590)))</formula>
    </cfRule>
  </conditionalFormatting>
  <conditionalFormatting sqref="J2555">
    <cfRule type="containsText" dxfId="1953" priority="2128" operator="containsText" text="Missing">
      <formula>NOT(ISERROR(SEARCH("Missing",J2555)))</formula>
    </cfRule>
  </conditionalFormatting>
  <conditionalFormatting sqref="H2587">
    <cfRule type="containsText" dxfId="1952" priority="2147" operator="containsText" text="Missing">
      <formula>NOT(ISERROR(SEARCH("Missing",H2587)))</formula>
    </cfRule>
  </conditionalFormatting>
  <conditionalFormatting sqref="K2587">
    <cfRule type="containsText" dxfId="1951" priority="2148" operator="containsText" text="Missing">
      <formula>NOT(ISERROR(SEARCH("Missing",K2587)))</formula>
    </cfRule>
  </conditionalFormatting>
  <conditionalFormatting sqref="I2585">
    <cfRule type="containsText" dxfId="1950" priority="2172" operator="containsText" text="Missing">
      <formula>NOT(ISERROR(SEARCH("Missing",I2585)))</formula>
    </cfRule>
  </conditionalFormatting>
  <conditionalFormatting sqref="I2583">
    <cfRule type="containsText" dxfId="1949" priority="2173" operator="containsText" text="Missing">
      <formula>NOT(ISERROR(SEARCH("Missing",I2583)))</formula>
    </cfRule>
  </conditionalFormatting>
  <conditionalFormatting sqref="K2587">
    <cfRule type="containsText" dxfId="1948" priority="2149" operator="containsText" text="Missing">
      <formula>NOT(ISERROR(SEARCH("Missing",K2587)))</formula>
    </cfRule>
  </conditionalFormatting>
  <conditionalFormatting sqref="L2584">
    <cfRule type="containsText" dxfId="1947" priority="2202" operator="containsText" text="Positive">
      <formula>NOT(ISERROR(SEARCH("Positive",L2584)))</formula>
    </cfRule>
    <cfRule type="containsText" dxfId="1946" priority="2203" operator="containsText" text="Negative">
      <formula>NOT(ISERROR(SEARCH("Negative",L2584)))</formula>
    </cfRule>
  </conditionalFormatting>
  <conditionalFormatting sqref="L2584">
    <cfRule type="containsText" dxfId="1945" priority="2198" operator="containsText" text="Positive">
      <formula>NOT(ISERROR(SEARCH("Positive",L2584)))</formula>
    </cfRule>
    <cfRule type="containsText" dxfId="1944" priority="2199" operator="containsText" text="Negative">
      <formula>NOT(ISERROR(SEARCH("Negative",L2584)))</formula>
    </cfRule>
  </conditionalFormatting>
  <conditionalFormatting sqref="L2584">
    <cfRule type="containsText" dxfId="1943" priority="2200" operator="containsText" text="Positive">
      <formula>NOT(ISERROR(SEARCH("Positive",L2584)))</formula>
    </cfRule>
    <cfRule type="containsText" dxfId="1942" priority="2201" operator="containsText" text="Negative">
      <formula>NOT(ISERROR(SEARCH("Negative",L2584)))</formula>
    </cfRule>
  </conditionalFormatting>
  <conditionalFormatting sqref="J2587">
    <cfRule type="containsText" dxfId="1941" priority="2152" operator="containsText" text="Missing">
      <formula>NOT(ISERROR(SEARCH("Missing",J2587)))</formula>
    </cfRule>
  </conditionalFormatting>
  <conditionalFormatting sqref="J2587">
    <cfRule type="containsText" dxfId="1940" priority="2151" operator="containsText" text="Missing">
      <formula>NOT(ISERROR(SEARCH("Missing",J2587)))</formula>
    </cfRule>
  </conditionalFormatting>
  <conditionalFormatting sqref="H2554">
    <cfRule type="containsText" dxfId="1939" priority="2131" operator="containsText" text="Missing">
      <formula>NOT(ISERROR(SEARCH("Missing",H2554)))</formula>
    </cfRule>
  </conditionalFormatting>
  <conditionalFormatting sqref="L2582">
    <cfRule type="containsText" dxfId="1938" priority="2213" operator="containsText" text="Positive">
      <formula>NOT(ISERROR(SEARCH("Positive",L2582)))</formula>
    </cfRule>
    <cfRule type="containsText" dxfId="1937" priority="2214" operator="containsText" text="Negative">
      <formula>NOT(ISERROR(SEARCH("Negative",L2582)))</formula>
    </cfRule>
  </conditionalFormatting>
  <conditionalFormatting sqref="L2582">
    <cfRule type="containsText" dxfId="1936" priority="2211" operator="containsText" text="Positive">
      <formula>NOT(ISERROR(SEARCH("Positive",L2582)))</formula>
    </cfRule>
    <cfRule type="containsText" dxfId="1935" priority="2212" operator="containsText" text="Negative">
      <formula>NOT(ISERROR(SEARCH("Negative",L2582)))</formula>
    </cfRule>
  </conditionalFormatting>
  <conditionalFormatting sqref="K2582">
    <cfRule type="containsText" dxfId="1934" priority="2207" operator="containsText" text="Missing">
      <formula>NOT(ISERROR(SEARCH("Missing",K2582)))</formula>
    </cfRule>
  </conditionalFormatting>
  <conditionalFormatting sqref="K2556">
    <cfRule type="containsText" dxfId="1933" priority="2104" operator="containsText" text="Missing">
      <formula>NOT(ISERROR(SEARCH("Missing",K2556)))</formula>
    </cfRule>
  </conditionalFormatting>
  <conditionalFormatting sqref="K2586">
    <cfRule type="containsText" dxfId="1932" priority="2219" operator="containsText" text="Missing">
      <formula>NOT(ISERROR(SEARCH("Missing",K2586)))</formula>
    </cfRule>
  </conditionalFormatting>
  <conditionalFormatting sqref="K2582">
    <cfRule type="containsText" dxfId="1931" priority="2208" operator="containsText" text="Missing">
      <formula>NOT(ISERROR(SEARCH("Missing",K2582)))</formula>
    </cfRule>
  </conditionalFormatting>
  <conditionalFormatting sqref="K2588">
    <cfRule type="containsText" dxfId="1930" priority="2163" operator="containsText" text="Missing">
      <formula>NOT(ISERROR(SEARCH("Missing",K2588)))</formula>
    </cfRule>
  </conditionalFormatting>
  <conditionalFormatting sqref="K2582">
    <cfRule type="containsText" dxfId="1929" priority="2206" operator="containsText" text="Missing">
      <formula>NOT(ISERROR(SEARCH("Missing",K2582)))</formula>
    </cfRule>
  </conditionalFormatting>
  <conditionalFormatting sqref="J2557">
    <cfRule type="containsText" dxfId="1928" priority="2093" operator="containsText" text="Missing">
      <formula>NOT(ISERROR(SEARCH("Missing",J2557)))</formula>
    </cfRule>
  </conditionalFormatting>
  <conditionalFormatting sqref="K2586">
    <cfRule type="containsText" dxfId="1927" priority="2220" operator="containsText" text="Missing">
      <formula>NOT(ISERROR(SEARCH("Missing",K2586)))</formula>
    </cfRule>
  </conditionalFormatting>
  <conditionalFormatting sqref="J2582">
    <cfRule type="containsText" dxfId="1926" priority="2209" operator="containsText" text="Missing">
      <formula>NOT(ISERROR(SEARCH("Missing",J2582)))</formula>
    </cfRule>
  </conditionalFormatting>
  <conditionalFormatting sqref="J2582">
    <cfRule type="containsText" dxfId="1925" priority="2210" operator="containsText" text="Missing">
      <formula>NOT(ISERROR(SEARCH("Missing",J2582)))</formula>
    </cfRule>
  </conditionalFormatting>
  <conditionalFormatting sqref="H2555">
    <cfRule type="containsText" dxfId="1924" priority="2117" operator="containsText" text="Missing">
      <formula>NOT(ISERROR(SEARCH("Missing",H2555)))</formula>
    </cfRule>
  </conditionalFormatting>
  <conditionalFormatting sqref="J2555">
    <cfRule type="containsText" dxfId="1923" priority="2123" operator="containsText" text="Missing">
      <formula>NOT(ISERROR(SEARCH("Missing",J2555)))</formula>
    </cfRule>
  </conditionalFormatting>
  <conditionalFormatting sqref="H2582">
    <cfRule type="containsText" dxfId="1922" priority="2205" operator="containsText" text="Missing">
      <formula>NOT(ISERROR(SEARCH("Missing",H2582)))</formula>
    </cfRule>
  </conditionalFormatting>
  <conditionalFormatting sqref="J2583">
    <cfRule type="containsText" dxfId="1921" priority="2233" operator="containsText" text="Missing">
      <formula>NOT(ISERROR(SEARCH("Missing",J2583)))</formula>
    </cfRule>
  </conditionalFormatting>
  <conditionalFormatting sqref="J2583">
    <cfRule type="containsText" dxfId="1920" priority="2234" operator="containsText" text="Missing">
      <formula>NOT(ISERROR(SEARCH("Missing",J2583)))</formula>
    </cfRule>
  </conditionalFormatting>
  <conditionalFormatting sqref="L2587">
    <cfRule type="containsText" dxfId="1919" priority="2153" operator="containsText" text="Positive">
      <formula>NOT(ISERROR(SEARCH("Positive",L2587)))</formula>
    </cfRule>
    <cfRule type="containsText" dxfId="1918" priority="2154" operator="containsText" text="Negative">
      <formula>NOT(ISERROR(SEARCH("Negative",L2587)))</formula>
    </cfRule>
  </conditionalFormatting>
  <conditionalFormatting sqref="L2587">
    <cfRule type="containsText" dxfId="1917" priority="2157" operator="containsText" text="Positive">
      <formula>NOT(ISERROR(SEARCH("Positive",L2587)))</formula>
    </cfRule>
    <cfRule type="containsText" dxfId="1916" priority="2158" operator="containsText" text="Negative">
      <formula>NOT(ISERROR(SEARCH("Negative",L2587)))</formula>
    </cfRule>
  </conditionalFormatting>
  <conditionalFormatting sqref="K2557">
    <cfRule type="containsText" dxfId="1915" priority="2090" operator="containsText" text="Missing">
      <formula>NOT(ISERROR(SEARCH("Missing",K2557)))</formula>
    </cfRule>
  </conditionalFormatting>
  <conditionalFormatting sqref="K2557">
    <cfRule type="containsText" dxfId="1914" priority="2089" operator="containsText" text="Missing">
      <formula>NOT(ISERROR(SEARCH("Missing",K2557)))</formula>
    </cfRule>
  </conditionalFormatting>
  <conditionalFormatting sqref="J2588">
    <cfRule type="containsText" dxfId="1913" priority="2164" operator="containsText" text="Missing">
      <formula>NOT(ISERROR(SEARCH("Missing",J2588)))</formula>
    </cfRule>
  </conditionalFormatting>
  <conditionalFormatting sqref="I2555">
    <cfRule type="containsText" dxfId="1912" priority="2115" operator="containsText" text="Missing">
      <formula>NOT(ISERROR(SEARCH("Missing",I2555)))</formula>
    </cfRule>
  </conditionalFormatting>
  <conditionalFormatting sqref="K2588">
    <cfRule type="containsText" dxfId="1911" priority="2162" operator="containsText" text="Missing">
      <formula>NOT(ISERROR(SEARCH("Missing",K2588)))</formula>
    </cfRule>
  </conditionalFormatting>
  <conditionalFormatting sqref="H2554">
    <cfRule type="containsText" dxfId="1910" priority="2132" operator="containsText" text="Missing">
      <formula>NOT(ISERROR(SEARCH("Missing",H2554)))</formula>
    </cfRule>
  </conditionalFormatting>
  <conditionalFormatting sqref="K2556">
    <cfRule type="containsText" dxfId="1909" priority="2103" operator="containsText" text="Missing">
      <formula>NOT(ISERROR(SEARCH("Missing",K2556)))</formula>
    </cfRule>
  </conditionalFormatting>
  <conditionalFormatting sqref="H2556">
    <cfRule type="containsText" dxfId="1908" priority="2101" operator="containsText" text="Missing">
      <formula>NOT(ISERROR(SEARCH("Missing",H2556)))</formula>
    </cfRule>
  </conditionalFormatting>
  <conditionalFormatting sqref="I2586">
    <cfRule type="containsText" dxfId="1907" priority="2175" operator="containsText" text="Missing">
      <formula>NOT(ISERROR(SEARCH("Missing",I2586)))</formula>
    </cfRule>
  </conditionalFormatting>
  <conditionalFormatting sqref="I2581">
    <cfRule type="containsText" dxfId="1906" priority="2174" operator="containsText" text="Missing">
      <formula>NOT(ISERROR(SEARCH("Missing",I2581)))</formula>
    </cfRule>
  </conditionalFormatting>
  <conditionalFormatting sqref="L2556">
    <cfRule type="containsText" dxfId="1905" priority="2109" operator="containsText" text="Positive">
      <formula>NOT(ISERROR(SEARCH("Positive",L2556)))</formula>
    </cfRule>
    <cfRule type="containsText" dxfId="1904" priority="2110" operator="containsText" text="Negative">
      <formula>NOT(ISERROR(SEARCH("Negative",L2556)))</formula>
    </cfRule>
  </conditionalFormatting>
  <conditionalFormatting sqref="L2588">
    <cfRule type="containsText" dxfId="1903" priority="2170" operator="containsText" text="Positive">
      <formula>NOT(ISERROR(SEARCH("Positive",L2588)))</formula>
    </cfRule>
    <cfRule type="containsText" dxfId="1902" priority="2171" operator="containsText" text="Negative">
      <formula>NOT(ISERROR(SEARCH("Negative",L2588)))</formula>
    </cfRule>
  </conditionalFormatting>
  <conditionalFormatting sqref="L2588">
    <cfRule type="containsText" dxfId="1901" priority="2168" operator="containsText" text="Positive">
      <formula>NOT(ISERROR(SEARCH("Positive",L2588)))</formula>
    </cfRule>
    <cfRule type="containsText" dxfId="1900" priority="2169" operator="containsText" text="Negative">
      <formula>NOT(ISERROR(SEARCH("Negative",L2588)))</formula>
    </cfRule>
  </conditionalFormatting>
  <conditionalFormatting sqref="I2555">
    <cfRule type="containsText" dxfId="1899" priority="2114" operator="containsText" text="Missing">
      <formula>NOT(ISERROR(SEARCH("Missing",I2555)))</formula>
    </cfRule>
  </conditionalFormatting>
  <conditionalFormatting sqref="K2588">
    <cfRule type="containsText" dxfId="1898" priority="2161" operator="containsText" text="Missing">
      <formula>NOT(ISERROR(SEARCH("Missing",K2588)))</formula>
    </cfRule>
  </conditionalFormatting>
  <conditionalFormatting sqref="J2556">
    <cfRule type="containsText" dxfId="1897" priority="2113" operator="containsText" text="Missing">
      <formula>NOT(ISERROR(SEARCH("Missing",J2556)))</formula>
    </cfRule>
  </conditionalFormatting>
  <conditionalFormatting sqref="L2581">
    <cfRule type="containsText" dxfId="1896" priority="2250" operator="containsText" text="Positive">
      <formula>NOT(ISERROR(SEARCH("Positive",L2581)))</formula>
    </cfRule>
    <cfRule type="containsText" dxfId="1895" priority="2251" operator="containsText" text="Negative">
      <formula>NOT(ISERROR(SEARCH("Negative",L2581)))</formula>
    </cfRule>
  </conditionalFormatting>
  <conditionalFormatting sqref="H2555">
    <cfRule type="containsText" dxfId="1894" priority="2116" operator="containsText" text="Missing">
      <formula>NOT(ISERROR(SEARCH("Missing",H2555)))</formula>
    </cfRule>
  </conditionalFormatting>
  <conditionalFormatting sqref="H2588">
    <cfRule type="containsText" dxfId="1893" priority="2160" operator="containsText" text="Missing">
      <formula>NOT(ISERROR(SEARCH("Missing",H2588)))</formula>
    </cfRule>
  </conditionalFormatting>
  <conditionalFormatting sqref="H2588">
    <cfRule type="containsText" dxfId="1892" priority="2159" operator="containsText" text="Missing">
      <formula>NOT(ISERROR(SEARCH("Missing",H2588)))</formula>
    </cfRule>
  </conditionalFormatting>
  <conditionalFormatting sqref="J2588">
    <cfRule type="containsText" dxfId="1891" priority="2165" operator="containsText" text="Missing">
      <formula>NOT(ISERROR(SEARCH("Missing",J2588)))</formula>
    </cfRule>
  </conditionalFormatting>
  <conditionalFormatting sqref="J2554">
    <cfRule type="containsText" dxfId="1890" priority="2143" operator="containsText" text="Missing">
      <formula>NOT(ISERROR(SEARCH("Missing",J2554)))</formula>
    </cfRule>
  </conditionalFormatting>
  <conditionalFormatting sqref="L2583">
    <cfRule type="containsText" dxfId="1889" priority="2239" operator="containsText" text="Positive">
      <formula>NOT(ISERROR(SEARCH("Positive",L2583)))</formula>
    </cfRule>
    <cfRule type="containsText" dxfId="1888" priority="2240" operator="containsText" text="Negative">
      <formula>NOT(ISERROR(SEARCH("Negative",L2583)))</formula>
    </cfRule>
  </conditionalFormatting>
  <conditionalFormatting sqref="L2586">
    <cfRule type="containsText" dxfId="1887" priority="2226" operator="containsText" text="Positive">
      <formula>NOT(ISERROR(SEARCH("Positive",L2586)))</formula>
    </cfRule>
    <cfRule type="containsText" dxfId="1886" priority="2227" operator="containsText" text="Negative">
      <formula>NOT(ISERROR(SEARCH("Negative",L2586)))</formula>
    </cfRule>
  </conditionalFormatting>
  <conditionalFormatting sqref="L2586">
    <cfRule type="containsText" dxfId="1885" priority="2224" operator="containsText" text="Positive">
      <formula>NOT(ISERROR(SEARCH("Positive",L2586)))</formula>
    </cfRule>
    <cfRule type="containsText" dxfId="1884" priority="2225" operator="containsText" text="Negative">
      <formula>NOT(ISERROR(SEARCH("Negative",L2586)))</formula>
    </cfRule>
  </conditionalFormatting>
  <conditionalFormatting sqref="H2556">
    <cfRule type="containsText" dxfId="1883" priority="2102" operator="containsText" text="Missing">
      <formula>NOT(ISERROR(SEARCH("Missing",H2556)))</formula>
    </cfRule>
  </conditionalFormatting>
  <conditionalFormatting sqref="K2557">
    <cfRule type="containsText" dxfId="1882" priority="2088" operator="containsText" text="Missing">
      <formula>NOT(ISERROR(SEARCH("Missing",K2557)))</formula>
    </cfRule>
  </conditionalFormatting>
  <conditionalFormatting sqref="H2557">
    <cfRule type="containsText" dxfId="1881" priority="2087" operator="containsText" text="Missing">
      <formula>NOT(ISERROR(SEARCH("Missing",H2557)))</formula>
    </cfRule>
  </conditionalFormatting>
  <conditionalFormatting sqref="H2557">
    <cfRule type="containsText" dxfId="1880" priority="2086" operator="containsText" text="Missing">
      <formula>NOT(ISERROR(SEARCH("Missing",H2557)))</formula>
    </cfRule>
  </conditionalFormatting>
  <conditionalFormatting sqref="L2554">
    <cfRule type="containsText" dxfId="1879" priority="2136" operator="containsText" text="Positive">
      <formula>NOT(ISERROR(SEARCH("Positive",L2554)))</formula>
    </cfRule>
    <cfRule type="containsText" dxfId="1878" priority="2137" operator="containsText" text="Negative">
      <formula>NOT(ISERROR(SEARCH("Negative",L2554)))</formula>
    </cfRule>
  </conditionalFormatting>
  <conditionalFormatting sqref="L2555">
    <cfRule type="containsText" dxfId="1877" priority="2124" operator="containsText" text="Positive">
      <formula>NOT(ISERROR(SEARCH("Positive",L2555)))</formula>
    </cfRule>
    <cfRule type="containsText" dxfId="1876" priority="2125" operator="containsText" text="Negative">
      <formula>NOT(ISERROR(SEARCH("Negative",L2555)))</formula>
    </cfRule>
  </conditionalFormatting>
  <conditionalFormatting sqref="L2587">
    <cfRule type="containsText" dxfId="1875" priority="2155" operator="containsText" text="Positive">
      <formula>NOT(ISERROR(SEARCH("Positive",L2587)))</formula>
    </cfRule>
    <cfRule type="containsText" dxfId="1874" priority="2156" operator="containsText" text="Negative">
      <formula>NOT(ISERROR(SEARCH("Negative",L2587)))</formula>
    </cfRule>
  </conditionalFormatting>
  <conditionalFormatting sqref="K2555">
    <cfRule type="containsText" dxfId="1873" priority="2119" operator="containsText" text="Missing">
      <formula>NOT(ISERROR(SEARCH("Missing",K2555)))</formula>
    </cfRule>
  </conditionalFormatting>
  <conditionalFormatting sqref="K2555">
    <cfRule type="containsText" dxfId="1872" priority="2118" operator="containsText" text="Missing">
      <formula>NOT(ISERROR(SEARCH("Missing",K2555)))</formula>
    </cfRule>
  </conditionalFormatting>
  <conditionalFormatting sqref="I2556">
    <cfRule type="containsText" dxfId="1871" priority="2100" operator="containsText" text="Missing">
      <formula>NOT(ISERROR(SEARCH("Missing",I2556)))</formula>
    </cfRule>
  </conditionalFormatting>
  <conditionalFormatting sqref="L2556">
    <cfRule type="containsText" dxfId="1870" priority="2111" operator="containsText" text="Positive">
      <formula>NOT(ISERROR(SEARCH("Positive",L2556)))</formula>
    </cfRule>
    <cfRule type="containsText" dxfId="1869" priority="2112" operator="containsText" text="Negative">
      <formula>NOT(ISERROR(SEARCH("Negative",L2556)))</formula>
    </cfRule>
  </conditionalFormatting>
  <conditionalFormatting sqref="K2556">
    <cfRule type="containsText" dxfId="1868" priority="2105" operator="containsText" text="Missing">
      <formula>NOT(ISERROR(SEARCH("Missing",K2556)))</formula>
    </cfRule>
  </conditionalFormatting>
  <conditionalFormatting sqref="I2587">
    <cfRule type="containsText" dxfId="1867" priority="2144" operator="containsText" text="Missing">
      <formula>NOT(ISERROR(SEARCH("Missing",I2587)))</formula>
    </cfRule>
  </conditionalFormatting>
  <conditionalFormatting sqref="H2587">
    <cfRule type="containsText" dxfId="1866" priority="2146" operator="containsText" text="Missing">
      <formula>NOT(ISERROR(SEARCH("Missing",H2587)))</formula>
    </cfRule>
  </conditionalFormatting>
  <conditionalFormatting sqref="I2588">
    <cfRule type="containsText" dxfId="1865" priority="2145" operator="containsText" text="Missing">
      <formula>NOT(ISERROR(SEARCH("Missing",I2588)))</formula>
    </cfRule>
  </conditionalFormatting>
  <conditionalFormatting sqref="L2582">
    <cfRule type="containsText" dxfId="1864" priority="2215" operator="containsText" text="Positive">
      <formula>NOT(ISERROR(SEARCH("Positive",L2582)))</formula>
    </cfRule>
    <cfRule type="containsText" dxfId="1863" priority="2216" operator="containsText" text="Negative">
      <formula>NOT(ISERROR(SEARCH("Negative",L2582)))</formula>
    </cfRule>
  </conditionalFormatting>
  <conditionalFormatting sqref="L2588">
    <cfRule type="containsText" dxfId="1862" priority="2166" operator="containsText" text="Positive">
      <formula>NOT(ISERROR(SEARCH("Positive",L2588)))</formula>
    </cfRule>
    <cfRule type="containsText" dxfId="1861" priority="2167" operator="containsText" text="Negative">
      <formula>NOT(ISERROR(SEARCH("Negative",L2588)))</formula>
    </cfRule>
  </conditionalFormatting>
  <conditionalFormatting sqref="L2557">
    <cfRule type="containsText" dxfId="1860" priority="2096" operator="containsText" text="Positive">
      <formula>NOT(ISERROR(SEARCH("Positive",L2557)))</formula>
    </cfRule>
    <cfRule type="containsText" dxfId="1859" priority="2097" operator="containsText" text="Negative">
      <formula>NOT(ISERROR(SEARCH("Negative",L2557)))</formula>
    </cfRule>
  </conditionalFormatting>
  <conditionalFormatting sqref="L2557">
    <cfRule type="containsText" dxfId="1858" priority="2094" operator="containsText" text="Positive">
      <formula>NOT(ISERROR(SEARCH("Positive",L2557)))</formula>
    </cfRule>
    <cfRule type="containsText" dxfId="1857" priority="2095" operator="containsText" text="Negative">
      <formula>NOT(ISERROR(SEARCH("Negative",L2557)))</formula>
    </cfRule>
  </conditionalFormatting>
  <conditionalFormatting sqref="I2556">
    <cfRule type="containsText" dxfId="1856" priority="2099" operator="containsText" text="Missing">
      <formula>NOT(ISERROR(SEARCH("Missing",I2556)))</formula>
    </cfRule>
  </conditionalFormatting>
  <conditionalFormatting sqref="J2554">
    <cfRule type="containsText" dxfId="1855" priority="2138" operator="containsText" text="Missing">
      <formula>NOT(ISERROR(SEARCH("Missing",J2554)))</formula>
    </cfRule>
  </conditionalFormatting>
  <conditionalFormatting sqref="J2562">
    <cfRule type="containsText" dxfId="1854" priority="2065" operator="containsText" text="Missing">
      <formula>NOT(ISERROR(SEARCH("Missing",J2562)))</formula>
    </cfRule>
  </conditionalFormatting>
  <conditionalFormatting sqref="J2570">
    <cfRule type="containsText" dxfId="1853" priority="2001" operator="containsText" text="Missing">
      <formula>NOT(ISERROR(SEARCH("Missing",J2570)))</formula>
    </cfRule>
  </conditionalFormatting>
  <conditionalFormatting sqref="K2554">
    <cfRule type="containsText" dxfId="1852" priority="2133" operator="containsText" text="Missing">
      <formula>NOT(ISERROR(SEARCH("Missing",K2554)))</formula>
    </cfRule>
  </conditionalFormatting>
  <conditionalFormatting sqref="K2554">
    <cfRule type="containsText" dxfId="1851" priority="2134" operator="containsText" text="Missing">
      <formula>NOT(ISERROR(SEARCH("Missing",K2554)))</formula>
    </cfRule>
  </conditionalFormatting>
  <conditionalFormatting sqref="K2562">
    <cfRule type="containsText" dxfId="1850" priority="2061" operator="containsText" text="Missing">
      <formula>NOT(ISERROR(SEARCH("Missing",K2562)))</formula>
    </cfRule>
  </conditionalFormatting>
  <conditionalFormatting sqref="K2555">
    <cfRule type="containsText" dxfId="1849" priority="2120" operator="containsText" text="Missing">
      <formula>NOT(ISERROR(SEARCH("Missing",K2555)))</formula>
    </cfRule>
  </conditionalFormatting>
  <conditionalFormatting sqref="K2562">
    <cfRule type="containsText" dxfId="1848" priority="2062" operator="containsText" text="Missing">
      <formula>NOT(ISERROR(SEARCH("Missing",K2562)))</formula>
    </cfRule>
  </conditionalFormatting>
  <conditionalFormatting sqref="L2555">
    <cfRule type="containsText" dxfId="1847" priority="2121" operator="containsText" text="Positive">
      <formula>NOT(ISERROR(SEARCH("Positive",L2555)))</formula>
    </cfRule>
    <cfRule type="containsText" dxfId="1846" priority="2122" operator="containsText" text="Negative">
      <formula>NOT(ISERROR(SEARCH("Negative",L2555)))</formula>
    </cfRule>
  </conditionalFormatting>
  <conditionalFormatting sqref="L2555">
    <cfRule type="containsText" dxfId="1845" priority="2126" operator="containsText" text="Positive">
      <formula>NOT(ISERROR(SEARCH("Positive",L2555)))</formula>
    </cfRule>
    <cfRule type="containsText" dxfId="1844" priority="2127" operator="containsText" text="Negative">
      <formula>NOT(ISERROR(SEARCH("Negative",L2555)))</formula>
    </cfRule>
  </conditionalFormatting>
  <conditionalFormatting sqref="J2556">
    <cfRule type="containsText" dxfId="1843" priority="2108" operator="containsText" text="Missing">
      <formula>NOT(ISERROR(SEARCH("Missing",J2556)))</formula>
    </cfRule>
  </conditionalFormatting>
  <conditionalFormatting sqref="L2556">
    <cfRule type="containsText" dxfId="1842" priority="2106" operator="containsText" text="Positive">
      <formula>NOT(ISERROR(SEARCH("Positive",L2556)))</formula>
    </cfRule>
    <cfRule type="containsText" dxfId="1841" priority="2107" operator="containsText" text="Negative">
      <formula>NOT(ISERROR(SEARCH("Negative",L2556)))</formula>
    </cfRule>
  </conditionalFormatting>
  <conditionalFormatting sqref="L2557">
    <cfRule type="containsText" dxfId="1840" priority="2091" operator="containsText" text="Positive">
      <formula>NOT(ISERROR(SEARCH("Positive",L2557)))</formula>
    </cfRule>
    <cfRule type="containsText" dxfId="1839" priority="2092" operator="containsText" text="Negative">
      <formula>NOT(ISERROR(SEARCH("Negative",L2557)))</formula>
    </cfRule>
  </conditionalFormatting>
  <conditionalFormatting sqref="J2557">
    <cfRule type="containsText" dxfId="1838" priority="2098" operator="containsText" text="Missing">
      <formula>NOT(ISERROR(SEARCH("Missing",J2557)))</formula>
    </cfRule>
  </conditionalFormatting>
  <conditionalFormatting sqref="H2561">
    <cfRule type="containsText" dxfId="1837" priority="2073" operator="containsText" text="Missing">
      <formula>NOT(ISERROR(SEARCH("Missing",H2561)))</formula>
    </cfRule>
  </conditionalFormatting>
  <conditionalFormatting sqref="H2561">
    <cfRule type="containsText" dxfId="1836" priority="2074" operator="containsText" text="Missing">
      <formula>NOT(ISERROR(SEARCH("Missing",H2561)))</formula>
    </cfRule>
  </conditionalFormatting>
  <conditionalFormatting sqref="K2554">
    <cfRule type="containsText" dxfId="1835" priority="2135" operator="containsText" text="Missing">
      <formula>NOT(ISERROR(SEARCH("Missing",K2554)))</formula>
    </cfRule>
  </conditionalFormatting>
  <conditionalFormatting sqref="K2569">
    <cfRule type="containsText" dxfId="1834" priority="2008" operator="containsText" text="Missing">
      <formula>NOT(ISERROR(SEARCH("Missing",K2569)))</formula>
    </cfRule>
  </conditionalFormatting>
  <conditionalFormatting sqref="L2554">
    <cfRule type="containsText" dxfId="1833" priority="2141" operator="containsText" text="Positive">
      <formula>NOT(ISERROR(SEARCH("Positive",L2554)))</formula>
    </cfRule>
    <cfRule type="containsText" dxfId="1832" priority="2142" operator="containsText" text="Negative">
      <formula>NOT(ISERROR(SEARCH("Negative",L2554)))</formula>
    </cfRule>
  </conditionalFormatting>
  <conditionalFormatting sqref="L2554">
    <cfRule type="containsText" dxfId="1831" priority="2139" operator="containsText" text="Positive">
      <formula>NOT(ISERROR(SEARCH("Positive",L2554)))</formula>
    </cfRule>
    <cfRule type="containsText" dxfId="1830" priority="2140" operator="containsText" text="Negative">
      <formula>NOT(ISERROR(SEARCH("Negative",L2554)))</formula>
    </cfRule>
  </conditionalFormatting>
  <conditionalFormatting sqref="I2561">
    <cfRule type="containsText" dxfId="1829" priority="2072" operator="containsText" text="Missing">
      <formula>NOT(ISERROR(SEARCH("Missing",I2561)))</formula>
    </cfRule>
  </conditionalFormatting>
  <conditionalFormatting sqref="I2561">
    <cfRule type="containsText" dxfId="1828" priority="2071" operator="containsText" text="Missing">
      <formula>NOT(ISERROR(SEARCH("Missing",I2561)))</formula>
    </cfRule>
  </conditionalFormatting>
  <conditionalFormatting sqref="J2562">
    <cfRule type="containsText" dxfId="1827" priority="2070" operator="containsText" text="Missing">
      <formula>NOT(ISERROR(SEARCH("Missing",J2562)))</formula>
    </cfRule>
  </conditionalFormatting>
  <conditionalFormatting sqref="J2568">
    <cfRule type="containsText" dxfId="1826" priority="2026" operator="containsText" text="Missing">
      <formula>NOT(ISERROR(SEARCH("Missing",J2568)))</formula>
    </cfRule>
  </conditionalFormatting>
  <conditionalFormatting sqref="J2597">
    <cfRule type="containsText" dxfId="1825" priority="1877" operator="containsText" text="Missing">
      <formula>NOT(ISERROR(SEARCH("Missing",J2597)))</formula>
    </cfRule>
  </conditionalFormatting>
  <conditionalFormatting sqref="K2592">
    <cfRule type="containsText" dxfId="1824" priority="1939" operator="containsText" text="Missing">
      <formula>NOT(ISERROR(SEARCH("Missing",K2592)))</formula>
    </cfRule>
  </conditionalFormatting>
  <conditionalFormatting sqref="L2568">
    <cfRule type="containsText" dxfId="1823" priority="2027" operator="containsText" text="Positive">
      <formula>NOT(ISERROR(SEARCH("Positive",L2568)))</formula>
    </cfRule>
    <cfRule type="containsText" dxfId="1822" priority="2028" operator="containsText" text="Negative">
      <formula>NOT(ISERROR(SEARCH("Negative",L2568)))</formula>
    </cfRule>
  </conditionalFormatting>
  <conditionalFormatting sqref="L2563">
    <cfRule type="containsText" dxfId="1821" priority="2055" operator="containsText" text="Positive">
      <formula>NOT(ISERROR(SEARCH("Positive",L2563)))</formula>
    </cfRule>
    <cfRule type="containsText" dxfId="1820" priority="2056" operator="containsText" text="Negative">
      <formula>NOT(ISERROR(SEARCH("Negative",L2563)))</formula>
    </cfRule>
  </conditionalFormatting>
  <conditionalFormatting sqref="H2564">
    <cfRule type="containsText" dxfId="1819" priority="2032" operator="containsText" text="Missing">
      <formula>NOT(ISERROR(SEARCH("Missing",H2564)))</formula>
    </cfRule>
  </conditionalFormatting>
  <conditionalFormatting sqref="H2563">
    <cfRule type="containsText" dxfId="1818" priority="2045" operator="containsText" text="Missing">
      <formula>NOT(ISERROR(SEARCH("Missing",H2563)))</formula>
    </cfRule>
  </conditionalFormatting>
  <conditionalFormatting sqref="J2569">
    <cfRule type="containsText" dxfId="1817" priority="2011" operator="containsText" text="Missing">
      <formula>NOT(ISERROR(SEARCH("Missing",J2569)))</formula>
    </cfRule>
  </conditionalFormatting>
  <conditionalFormatting sqref="I2562">
    <cfRule type="containsText" dxfId="1816" priority="1971" operator="containsText" text="Missing">
      <formula>NOT(ISERROR(SEARCH("Missing",I2562)))</formula>
    </cfRule>
  </conditionalFormatting>
  <conditionalFormatting sqref="I2564">
    <cfRule type="containsText" dxfId="1815" priority="1967" operator="containsText" text="Missing">
      <formula>NOT(ISERROR(SEARCH("Missing",I2564)))</formula>
    </cfRule>
  </conditionalFormatting>
  <conditionalFormatting sqref="L2569">
    <cfRule type="containsText" dxfId="1814" priority="2012" operator="containsText" text="Positive">
      <formula>NOT(ISERROR(SEARCH("Positive",L2569)))</formula>
    </cfRule>
    <cfRule type="containsText" dxfId="1813" priority="2013" operator="containsText" text="Negative">
      <formula>NOT(ISERROR(SEARCH("Negative",L2569)))</formula>
    </cfRule>
  </conditionalFormatting>
  <conditionalFormatting sqref="L2593">
    <cfRule type="containsText" dxfId="1812" priority="1931" operator="containsText" text="Positive">
      <formula>NOT(ISERROR(SEARCH("Positive",L2593)))</formula>
    </cfRule>
    <cfRule type="containsText" dxfId="1811" priority="1932" operator="containsText" text="Negative">
      <formula>NOT(ISERROR(SEARCH("Negative",L2593)))</formula>
    </cfRule>
  </conditionalFormatting>
  <conditionalFormatting sqref="L2564">
    <cfRule type="containsText" dxfId="1810" priority="2042" operator="containsText" text="Positive">
      <formula>NOT(ISERROR(SEARCH("Positive",L2564)))</formula>
    </cfRule>
    <cfRule type="containsText" dxfId="1809" priority="2043" operator="containsText" text="Negative">
      <formula>NOT(ISERROR(SEARCH("Negative",L2564)))</formula>
    </cfRule>
  </conditionalFormatting>
  <conditionalFormatting sqref="H2568">
    <cfRule type="containsText" dxfId="1808" priority="2019" operator="containsText" text="Missing">
      <formula>NOT(ISERROR(SEARCH("Missing",H2568)))</formula>
    </cfRule>
  </conditionalFormatting>
  <conditionalFormatting sqref="K2564">
    <cfRule type="containsText" dxfId="1807" priority="2036" operator="containsText" text="Missing">
      <formula>NOT(ISERROR(SEARCH("Missing",K2564)))</formula>
    </cfRule>
  </conditionalFormatting>
  <conditionalFormatting sqref="K2564">
    <cfRule type="containsText" dxfId="1806" priority="2035" operator="containsText" text="Missing">
      <formula>NOT(ISERROR(SEARCH("Missing",K2564)))</formula>
    </cfRule>
  </conditionalFormatting>
  <conditionalFormatting sqref="K2564">
    <cfRule type="containsText" dxfId="1805" priority="2034" operator="containsText" text="Missing">
      <formula>NOT(ISERROR(SEARCH("Missing",K2564)))</formula>
    </cfRule>
  </conditionalFormatting>
  <conditionalFormatting sqref="H2570">
    <cfRule type="containsText" dxfId="1804" priority="1989" operator="containsText" text="Missing">
      <formula>NOT(ISERROR(SEARCH("Missing",H2570)))</formula>
    </cfRule>
  </conditionalFormatting>
  <conditionalFormatting sqref="H2564">
    <cfRule type="containsText" dxfId="1803" priority="2033" operator="containsText" text="Missing">
      <formula>NOT(ISERROR(SEARCH("Missing",H2564)))</formula>
    </cfRule>
  </conditionalFormatting>
  <conditionalFormatting sqref="J2570">
    <cfRule type="containsText" dxfId="1802" priority="1996" operator="containsText" text="Missing">
      <formula>NOT(ISERROR(SEARCH("Missing",J2570)))</formula>
    </cfRule>
  </conditionalFormatting>
  <conditionalFormatting sqref="I2594">
    <cfRule type="containsText" dxfId="1801" priority="1913" operator="containsText" text="Missing">
      <formula>NOT(ISERROR(SEARCH("Missing",I2594)))</formula>
    </cfRule>
  </conditionalFormatting>
  <conditionalFormatting sqref="J2591">
    <cfRule type="containsText" dxfId="1800" priority="1954" operator="containsText" text="Missing">
      <formula>NOT(ISERROR(SEARCH("Missing",J2591)))</formula>
    </cfRule>
  </conditionalFormatting>
  <conditionalFormatting sqref="L2570">
    <cfRule type="containsText" dxfId="1799" priority="1997" operator="containsText" text="Positive">
      <formula>NOT(ISERROR(SEARCH("Positive",L2570)))</formula>
    </cfRule>
    <cfRule type="containsText" dxfId="1798" priority="1998" operator="containsText" text="Negative">
      <formula>NOT(ISERROR(SEARCH("Negative",L2570)))</formula>
    </cfRule>
  </conditionalFormatting>
  <conditionalFormatting sqref="L2568">
    <cfRule type="containsText" dxfId="1797" priority="2029" operator="containsText" text="Positive">
      <formula>NOT(ISERROR(SEARCH("Positive",L2568)))</formula>
    </cfRule>
    <cfRule type="containsText" dxfId="1796" priority="2030" operator="containsText" text="Negative">
      <formula>NOT(ISERROR(SEARCH("Negative",L2568)))</formula>
    </cfRule>
  </conditionalFormatting>
  <conditionalFormatting sqref="H2569">
    <cfRule type="containsText" dxfId="1795" priority="2004" operator="containsText" text="Missing">
      <formula>NOT(ISERROR(SEARCH("Missing",H2569)))</formula>
    </cfRule>
  </conditionalFormatting>
  <conditionalFormatting sqref="K2568">
    <cfRule type="containsText" dxfId="1794" priority="2023" operator="containsText" text="Missing">
      <formula>NOT(ISERROR(SEARCH("Missing",K2568)))</formula>
    </cfRule>
  </conditionalFormatting>
  <conditionalFormatting sqref="J2561">
    <cfRule type="containsText" dxfId="1793" priority="2080" operator="containsText" text="Missing">
      <formula>NOT(ISERROR(SEARCH("Missing",J2561)))</formula>
    </cfRule>
  </conditionalFormatting>
  <conditionalFormatting sqref="K2568">
    <cfRule type="containsText" dxfId="1792" priority="2021" operator="containsText" text="Missing">
      <formula>NOT(ISERROR(SEARCH("Missing",K2568)))</formula>
    </cfRule>
  </conditionalFormatting>
  <conditionalFormatting sqref="K2561">
    <cfRule type="containsText" dxfId="1791" priority="2077" operator="containsText" text="Missing">
      <formula>NOT(ISERROR(SEARCH("Missing",K2561)))</formula>
    </cfRule>
  </conditionalFormatting>
  <conditionalFormatting sqref="H2568">
    <cfRule type="containsText" dxfId="1790" priority="2020" operator="containsText" text="Missing">
      <formula>NOT(ISERROR(SEARCH("Missing",H2568)))</formula>
    </cfRule>
  </conditionalFormatting>
  <conditionalFormatting sqref="H2571">
    <cfRule type="containsText" dxfId="1789" priority="1974" operator="containsText" text="Missing">
      <formula>NOT(ISERROR(SEARCH("Missing",H2571)))</formula>
    </cfRule>
  </conditionalFormatting>
  <conditionalFormatting sqref="K2568">
    <cfRule type="containsText" dxfId="1788" priority="2022" operator="containsText" text="Missing">
      <formula>NOT(ISERROR(SEARCH("Missing",K2568)))</formula>
    </cfRule>
  </conditionalFormatting>
  <conditionalFormatting sqref="K2561">
    <cfRule type="containsText" dxfId="1787" priority="2076" operator="containsText" text="Missing">
      <formula>NOT(ISERROR(SEARCH("Missing",K2561)))</formula>
    </cfRule>
  </conditionalFormatting>
  <conditionalFormatting sqref="L2561">
    <cfRule type="containsText" dxfId="1786" priority="2078" operator="containsText" text="Positive">
      <formula>NOT(ISERROR(SEARCH("Positive",L2561)))</formula>
    </cfRule>
    <cfRule type="containsText" dxfId="1785" priority="2079" operator="containsText" text="Negative">
      <formula>NOT(ISERROR(SEARCH("Negative",L2561)))</formula>
    </cfRule>
  </conditionalFormatting>
  <conditionalFormatting sqref="L2561">
    <cfRule type="containsText" dxfId="1784" priority="2083" operator="containsText" text="Positive">
      <formula>NOT(ISERROR(SEARCH("Positive",L2561)))</formula>
    </cfRule>
    <cfRule type="containsText" dxfId="1783" priority="2084" operator="containsText" text="Negative">
      <formula>NOT(ISERROR(SEARCH("Negative",L2561)))</formula>
    </cfRule>
  </conditionalFormatting>
  <conditionalFormatting sqref="L2561">
    <cfRule type="containsText" dxfId="1782" priority="2081" operator="containsText" text="Positive">
      <formula>NOT(ISERROR(SEARCH("Positive",L2561)))</formula>
    </cfRule>
    <cfRule type="containsText" dxfId="1781" priority="2082" operator="containsText" text="Negative">
      <formula>NOT(ISERROR(SEARCH("Negative",L2561)))</formula>
    </cfRule>
  </conditionalFormatting>
  <conditionalFormatting sqref="J2561">
    <cfRule type="containsText" dxfId="1780" priority="2085" operator="containsText" text="Missing">
      <formula>NOT(ISERROR(SEARCH("Missing",J2561)))</formula>
    </cfRule>
  </conditionalFormatting>
  <conditionalFormatting sqref="K2561">
    <cfRule type="containsText" dxfId="1779" priority="2075" operator="containsText" text="Missing">
      <formula>NOT(ISERROR(SEARCH("Missing",K2561)))</formula>
    </cfRule>
  </conditionalFormatting>
  <conditionalFormatting sqref="K2569">
    <cfRule type="containsText" dxfId="1778" priority="2006" operator="containsText" text="Missing">
      <formula>NOT(ISERROR(SEARCH("Missing",K2569)))</formula>
    </cfRule>
  </conditionalFormatting>
  <conditionalFormatting sqref="H2569">
    <cfRule type="containsText" dxfId="1777" priority="2005" operator="containsText" text="Missing">
      <formula>NOT(ISERROR(SEARCH("Missing",H2569)))</formula>
    </cfRule>
  </conditionalFormatting>
  <conditionalFormatting sqref="K2569">
    <cfRule type="containsText" dxfId="1776" priority="2007" operator="containsText" text="Missing">
      <formula>NOT(ISERROR(SEARCH("Missing",K2569)))</formula>
    </cfRule>
  </conditionalFormatting>
  <conditionalFormatting sqref="L2562">
    <cfRule type="containsText" dxfId="1775" priority="2063" operator="containsText" text="Positive">
      <formula>NOT(ISERROR(SEARCH("Positive",L2562)))</formula>
    </cfRule>
    <cfRule type="containsText" dxfId="1774" priority="2064" operator="containsText" text="Negative">
      <formula>NOT(ISERROR(SEARCH("Negative",L2562)))</formula>
    </cfRule>
  </conditionalFormatting>
  <conditionalFormatting sqref="L2562">
    <cfRule type="containsText" dxfId="1773" priority="2068" operator="containsText" text="Positive">
      <formula>NOT(ISERROR(SEARCH("Positive",L2562)))</formula>
    </cfRule>
    <cfRule type="containsText" dxfId="1772" priority="2069" operator="containsText" text="Negative">
      <formula>NOT(ISERROR(SEARCH("Negative",L2562)))</formula>
    </cfRule>
  </conditionalFormatting>
  <conditionalFormatting sqref="L2562">
    <cfRule type="containsText" dxfId="1771" priority="2066" operator="containsText" text="Positive">
      <formula>NOT(ISERROR(SEARCH("Positive",L2562)))</formula>
    </cfRule>
    <cfRule type="containsText" dxfId="1770" priority="2067" operator="containsText" text="Negative">
      <formula>NOT(ISERROR(SEARCH("Negative",L2562)))</formula>
    </cfRule>
  </conditionalFormatting>
  <conditionalFormatting sqref="K2562">
    <cfRule type="containsText" dxfId="1769" priority="2060" operator="containsText" text="Missing">
      <formula>NOT(ISERROR(SEARCH("Missing",K2562)))</formula>
    </cfRule>
  </conditionalFormatting>
  <conditionalFormatting sqref="H2562">
    <cfRule type="containsText" dxfId="1768" priority="2059" operator="containsText" text="Missing">
      <formula>NOT(ISERROR(SEARCH("Missing",H2562)))</formula>
    </cfRule>
  </conditionalFormatting>
  <conditionalFormatting sqref="H2562">
    <cfRule type="containsText" dxfId="1767" priority="2058" operator="containsText" text="Missing">
      <formula>NOT(ISERROR(SEARCH("Missing",H2562)))</formula>
    </cfRule>
  </conditionalFormatting>
  <conditionalFormatting sqref="J2598">
    <cfRule type="containsText" dxfId="1766" priority="1867" operator="containsText" text="Missing">
      <formula>NOT(ISERROR(SEARCH("Missing",J2598)))</formula>
    </cfRule>
  </conditionalFormatting>
  <conditionalFormatting sqref="J2571">
    <cfRule type="containsText" dxfId="1765" priority="1981" operator="containsText" text="Missing">
      <formula>NOT(ISERROR(SEARCH("Missing",J2571)))</formula>
    </cfRule>
  </conditionalFormatting>
  <conditionalFormatting sqref="K2592">
    <cfRule type="containsText" dxfId="1764" priority="1938" operator="containsText" text="Missing">
      <formula>NOT(ISERROR(SEARCH("Missing",K2592)))</formula>
    </cfRule>
  </conditionalFormatting>
  <conditionalFormatting sqref="J2563">
    <cfRule type="containsText" dxfId="1763" priority="2052" operator="containsText" text="Missing">
      <formula>NOT(ISERROR(SEARCH("Missing",J2563)))</formula>
    </cfRule>
  </conditionalFormatting>
  <conditionalFormatting sqref="L2563">
    <cfRule type="containsText" dxfId="1762" priority="2050" operator="containsText" text="Positive">
      <formula>NOT(ISERROR(SEARCH("Positive",L2563)))</formula>
    </cfRule>
    <cfRule type="containsText" dxfId="1761" priority="2051" operator="containsText" text="Negative">
      <formula>NOT(ISERROR(SEARCH("Negative",L2563)))</formula>
    </cfRule>
  </conditionalFormatting>
  <conditionalFormatting sqref="L2563">
    <cfRule type="containsText" dxfId="1760" priority="2053" operator="containsText" text="Positive">
      <formula>NOT(ISERROR(SEARCH("Positive",L2563)))</formula>
    </cfRule>
    <cfRule type="containsText" dxfId="1759" priority="2054" operator="containsText" text="Negative">
      <formula>NOT(ISERROR(SEARCH("Negative",L2563)))</formula>
    </cfRule>
  </conditionalFormatting>
  <conditionalFormatting sqref="J2563">
    <cfRule type="containsText" dxfId="1758" priority="2057" operator="containsText" text="Missing">
      <formula>NOT(ISERROR(SEARCH("Missing",J2563)))</formula>
    </cfRule>
  </conditionalFormatting>
  <conditionalFormatting sqref="H2591:H2592">
    <cfRule type="containsText" dxfId="1757" priority="1963" operator="containsText" text="Missing">
      <formula>NOT(ISERROR(SEARCH("Missing",H2591)))</formula>
    </cfRule>
  </conditionalFormatting>
  <conditionalFormatting sqref="H2591:H2592">
    <cfRule type="containsText" dxfId="1756" priority="1962" operator="containsText" text="Missing">
      <formula>NOT(ISERROR(SEARCH("Missing",H2591)))</formula>
    </cfRule>
  </conditionalFormatting>
  <conditionalFormatting sqref="J2564">
    <cfRule type="containsText" dxfId="1755" priority="2039" operator="containsText" text="Missing">
      <formula>NOT(ISERROR(SEARCH("Missing",J2564)))</formula>
    </cfRule>
  </conditionalFormatting>
  <conditionalFormatting sqref="K2595">
    <cfRule type="containsText" dxfId="1754" priority="1897" operator="containsText" text="Missing">
      <formula>NOT(ISERROR(SEARCH("Missing",K2595)))</formula>
    </cfRule>
  </conditionalFormatting>
  <conditionalFormatting sqref="I2564">
    <cfRule type="containsText" dxfId="1753" priority="1966" operator="containsText" text="Missing">
      <formula>NOT(ISERROR(SEARCH("Missing",I2564)))</formula>
    </cfRule>
  </conditionalFormatting>
  <conditionalFormatting sqref="K2595">
    <cfRule type="containsText" dxfId="1752" priority="1896" operator="containsText" text="Missing">
      <formula>NOT(ISERROR(SEARCH("Missing",K2595)))</formula>
    </cfRule>
  </conditionalFormatting>
  <conditionalFormatting sqref="K2571">
    <cfRule type="containsText" dxfId="1751" priority="1978" operator="containsText" text="Missing">
      <formula>NOT(ISERROR(SEARCH("Missing",K2571)))</formula>
    </cfRule>
  </conditionalFormatting>
  <conditionalFormatting sqref="L2564">
    <cfRule type="containsText" dxfId="1750" priority="2037" operator="containsText" text="Positive">
      <formula>NOT(ISERROR(SEARCH("Positive",L2564)))</formula>
    </cfRule>
    <cfRule type="containsText" dxfId="1749" priority="2038" operator="containsText" text="Negative">
      <formula>NOT(ISERROR(SEARCH("Negative",L2564)))</formula>
    </cfRule>
  </conditionalFormatting>
  <conditionalFormatting sqref="L2564">
    <cfRule type="containsText" dxfId="1748" priority="2040" operator="containsText" text="Positive">
      <formula>NOT(ISERROR(SEARCH("Positive",L2564)))</formula>
    </cfRule>
    <cfRule type="containsText" dxfId="1747" priority="2041" operator="containsText" text="Negative">
      <formula>NOT(ISERROR(SEARCH("Negative",L2564)))</formula>
    </cfRule>
  </conditionalFormatting>
  <conditionalFormatting sqref="J2564">
    <cfRule type="containsText" dxfId="1746" priority="2044" operator="containsText" text="Missing">
      <formula>NOT(ISERROR(SEARCH("Missing",J2564)))</formula>
    </cfRule>
  </conditionalFormatting>
  <conditionalFormatting sqref="K2571">
    <cfRule type="containsText" dxfId="1745" priority="1977" operator="containsText" text="Missing">
      <formula>NOT(ISERROR(SEARCH("Missing",K2571)))</formula>
    </cfRule>
  </conditionalFormatting>
  <conditionalFormatting sqref="K2571">
    <cfRule type="containsText" dxfId="1744" priority="1976" operator="containsText" text="Missing">
      <formula>NOT(ISERROR(SEARCH("Missing",K2571)))</formula>
    </cfRule>
  </conditionalFormatting>
  <conditionalFormatting sqref="H2571">
    <cfRule type="containsText" dxfId="1743" priority="1975" operator="containsText" text="Missing">
      <formula>NOT(ISERROR(SEARCH("Missing",H2571)))</formula>
    </cfRule>
  </conditionalFormatting>
  <conditionalFormatting sqref="K2593">
    <cfRule type="containsText" dxfId="1742" priority="1928" operator="containsText" text="Missing">
      <formula>NOT(ISERROR(SEARCH("Missing",K2593)))</formula>
    </cfRule>
  </conditionalFormatting>
  <conditionalFormatting sqref="I2557">
    <cfRule type="containsText" dxfId="1741" priority="1972" operator="containsText" text="Missing">
      <formula>NOT(ISERROR(SEARCH("Missing",I2557)))</formula>
    </cfRule>
  </conditionalFormatting>
  <conditionalFormatting sqref="I2568">
    <cfRule type="containsText" dxfId="1740" priority="2017" operator="containsText" text="Missing">
      <formula>NOT(ISERROR(SEARCH("Missing",I2568)))</formula>
    </cfRule>
  </conditionalFormatting>
  <conditionalFormatting sqref="J2591">
    <cfRule type="containsText" dxfId="1739" priority="1953" operator="containsText" text="Missing">
      <formula>NOT(ISERROR(SEARCH("Missing",J2591)))</formula>
    </cfRule>
  </conditionalFormatting>
  <conditionalFormatting sqref="L2591">
    <cfRule type="containsText" dxfId="1738" priority="1955" operator="containsText" text="Positive">
      <formula>NOT(ISERROR(SEARCH("Positive",L2591)))</formula>
    </cfRule>
    <cfRule type="containsText" dxfId="1737" priority="1956" operator="containsText" text="Negative">
      <formula>NOT(ISERROR(SEARCH("Negative",L2591)))</formula>
    </cfRule>
  </conditionalFormatting>
  <conditionalFormatting sqref="L2599">
    <cfRule type="containsText" dxfId="1736" priority="1855" operator="containsText" text="Positive">
      <formula>NOT(ISERROR(SEARCH("Positive",L2599)))</formula>
    </cfRule>
    <cfRule type="containsText" dxfId="1735" priority="1856" operator="containsText" text="Negative">
      <formula>NOT(ISERROR(SEARCH("Negative",L2599)))</formula>
    </cfRule>
  </conditionalFormatting>
  <conditionalFormatting sqref="K2570">
    <cfRule type="containsText" dxfId="1734" priority="1993" operator="containsText" text="Missing">
      <formula>NOT(ISERROR(SEARCH("Missing",K2570)))</formula>
    </cfRule>
  </conditionalFormatting>
  <conditionalFormatting sqref="K2591">
    <cfRule type="containsText" dxfId="1733" priority="1952" operator="containsText" text="Missing">
      <formula>NOT(ISERROR(SEARCH("Missing",K2591)))</formula>
    </cfRule>
  </conditionalFormatting>
  <conditionalFormatting sqref="I2563">
    <cfRule type="containsText" dxfId="1732" priority="1968" operator="containsText" text="Missing">
      <formula>NOT(ISERROR(SEARCH("Missing",I2563)))</formula>
    </cfRule>
  </conditionalFormatting>
  <conditionalFormatting sqref="K2591">
    <cfRule type="containsText" dxfId="1731" priority="1950" operator="containsText" text="Missing">
      <formula>NOT(ISERROR(SEARCH("Missing",K2591)))</formula>
    </cfRule>
  </conditionalFormatting>
  <conditionalFormatting sqref="I2571">
    <cfRule type="containsText" dxfId="1730" priority="1965" operator="containsText" text="Missing">
      <formula>NOT(ISERROR(SEARCH("Missing",I2571)))</formula>
    </cfRule>
  </conditionalFormatting>
  <conditionalFormatting sqref="I2591">
    <cfRule type="containsText" dxfId="1729" priority="1949" operator="containsText" text="Missing">
      <formula>NOT(ISERROR(SEARCH("Missing",I2591)))</formula>
    </cfRule>
  </conditionalFormatting>
  <conditionalFormatting sqref="I2569">
    <cfRule type="containsText" dxfId="1728" priority="2002" operator="containsText" text="Missing">
      <formula>NOT(ISERROR(SEARCH("Missing",I2569)))</formula>
    </cfRule>
  </conditionalFormatting>
  <conditionalFormatting sqref="L2598">
    <cfRule type="containsText" dxfId="1727" priority="1872" operator="containsText" text="Positive">
      <formula>NOT(ISERROR(SEARCH("Positive",L2598)))</formula>
    </cfRule>
    <cfRule type="containsText" dxfId="1726" priority="1873" operator="containsText" text="Negative">
      <formula>NOT(ISERROR(SEARCH("Negative",L2598)))</formula>
    </cfRule>
  </conditionalFormatting>
  <conditionalFormatting sqref="L2592">
    <cfRule type="containsText" dxfId="1725" priority="1945" operator="containsText" text="Positive">
      <formula>NOT(ISERROR(SEARCH("Positive",L2592)))</formula>
    </cfRule>
    <cfRule type="containsText" dxfId="1724" priority="1946" operator="containsText" text="Negative">
      <formula>NOT(ISERROR(SEARCH("Negative",L2592)))</formula>
    </cfRule>
  </conditionalFormatting>
  <conditionalFormatting sqref="L2592">
    <cfRule type="containsText" dxfId="1723" priority="1943" operator="containsText" text="Positive">
      <formula>NOT(ISERROR(SEARCH("Positive",L2592)))</formula>
    </cfRule>
    <cfRule type="containsText" dxfId="1722" priority="1944" operator="containsText" text="Negative">
      <formula>NOT(ISERROR(SEARCH("Negative",L2592)))</formula>
    </cfRule>
  </conditionalFormatting>
  <conditionalFormatting sqref="K2570">
    <cfRule type="containsText" dxfId="1721" priority="1992" operator="containsText" text="Missing">
      <formula>NOT(ISERROR(SEARCH("Missing",K2570)))</formula>
    </cfRule>
  </conditionalFormatting>
  <conditionalFormatting sqref="I2592">
    <cfRule type="containsText" dxfId="1720" priority="1937" operator="containsText" text="Missing">
      <formula>NOT(ISERROR(SEARCH("Missing",I2592)))</formula>
    </cfRule>
  </conditionalFormatting>
  <conditionalFormatting sqref="H2594">
    <cfRule type="containsText" dxfId="1719" priority="1907" operator="containsText" text="Missing">
      <formula>NOT(ISERROR(SEARCH("Missing",H2594)))</formula>
    </cfRule>
  </conditionalFormatting>
  <conditionalFormatting sqref="I2600">
    <cfRule type="containsText" dxfId="1718" priority="1835" operator="containsText" text="Missing">
      <formula>NOT(ISERROR(SEARCH("Missing",I2600)))</formula>
    </cfRule>
  </conditionalFormatting>
  <conditionalFormatting sqref="J2598">
    <cfRule type="containsText" dxfId="1717" priority="1866" operator="containsText" text="Missing">
      <formula>NOT(ISERROR(SEARCH("Missing",J2598)))</formula>
    </cfRule>
  </conditionalFormatting>
  <conditionalFormatting sqref="I2593">
    <cfRule type="containsText" dxfId="1716" priority="1925" operator="containsText" text="Missing">
      <formula>NOT(ISERROR(SEARCH("Missing",I2593)))</formula>
    </cfRule>
  </conditionalFormatting>
  <conditionalFormatting sqref="K2598">
    <cfRule type="containsText" dxfId="1715" priority="1863" operator="containsText" text="Missing">
      <formula>NOT(ISERROR(SEARCH("Missing",K2598)))</formula>
    </cfRule>
  </conditionalFormatting>
  <conditionalFormatting sqref="L2596">
    <cfRule type="containsText" dxfId="1714" priority="1890" operator="containsText" text="Positive">
      <formula>NOT(ISERROR(SEARCH("Positive",L2596)))</formula>
    </cfRule>
    <cfRule type="containsText" dxfId="1713" priority="1891" operator="containsText" text="Negative">
      <formula>NOT(ISERROR(SEARCH("Negative",L2596)))</formula>
    </cfRule>
  </conditionalFormatting>
  <conditionalFormatting sqref="J2594">
    <cfRule type="containsText" dxfId="1712" priority="1918" operator="containsText" text="Missing">
      <formula>NOT(ISERROR(SEARCH("Missing",J2594)))</formula>
    </cfRule>
  </conditionalFormatting>
  <conditionalFormatting sqref="H2594">
    <cfRule type="containsText" dxfId="1711" priority="1908" operator="containsText" text="Missing">
      <formula>NOT(ISERROR(SEARCH("Missing",H2594)))</formula>
    </cfRule>
  </conditionalFormatting>
  <conditionalFormatting sqref="K2591">
    <cfRule type="containsText" dxfId="1710" priority="1951" operator="containsText" text="Missing">
      <formula>NOT(ISERROR(SEARCH("Missing",K2591)))</formula>
    </cfRule>
  </conditionalFormatting>
  <conditionalFormatting sqref="H2593">
    <cfRule type="containsText" dxfId="1709" priority="1910" operator="containsText" text="Missing">
      <formula>NOT(ISERROR(SEARCH("Missing",H2593)))</formula>
    </cfRule>
  </conditionalFormatting>
  <conditionalFormatting sqref="J2592">
    <cfRule type="containsText" dxfId="1708" priority="1942" operator="containsText" text="Missing">
      <formula>NOT(ISERROR(SEARCH("Missing",J2592)))</formula>
    </cfRule>
  </conditionalFormatting>
  <conditionalFormatting sqref="K2599">
    <cfRule type="containsText" dxfId="1707" priority="1850" operator="containsText" text="Missing">
      <formula>NOT(ISERROR(SEARCH("Missing",K2599)))</formula>
    </cfRule>
  </conditionalFormatting>
  <conditionalFormatting sqref="L2600">
    <cfRule type="containsText" dxfId="1706" priority="1842" operator="containsText" text="Positive">
      <formula>NOT(ISERROR(SEARCH("Positive",L2600)))</formula>
    </cfRule>
    <cfRule type="containsText" dxfId="1705" priority="1843" operator="containsText" text="Negative">
      <formula>NOT(ISERROR(SEARCH("Negative",L2600)))</formula>
    </cfRule>
  </conditionalFormatting>
  <conditionalFormatting sqref="K2600">
    <cfRule type="containsText" dxfId="1704" priority="1839" operator="containsText" text="Missing">
      <formula>NOT(ISERROR(SEARCH("Missing",K2600)))</formula>
    </cfRule>
  </conditionalFormatting>
  <conditionalFormatting sqref="K2599">
    <cfRule type="containsText" dxfId="1703" priority="1849" operator="containsText" text="Missing">
      <formula>NOT(ISERROR(SEARCH("Missing",K2599)))</formula>
    </cfRule>
  </conditionalFormatting>
  <conditionalFormatting sqref="K2566">
    <cfRule type="containsText" dxfId="1702" priority="1772" operator="containsText" text="Missing">
      <formula>NOT(ISERROR(SEARCH("Missing",K2566)))</formula>
    </cfRule>
  </conditionalFormatting>
  <conditionalFormatting sqref="K2598">
    <cfRule type="containsText" dxfId="1701" priority="1865" operator="containsText" text="Missing">
      <formula>NOT(ISERROR(SEARCH("Missing",K2598)))</formula>
    </cfRule>
  </conditionalFormatting>
  <conditionalFormatting sqref="H2599:H2600">
    <cfRule type="containsText" dxfId="1700" priority="1834" operator="containsText" text="Missing">
      <formula>NOT(ISERROR(SEARCH("Missing",H2599)))</formula>
    </cfRule>
  </conditionalFormatting>
  <conditionalFormatting sqref="K2595">
    <cfRule type="containsText" dxfId="1699" priority="1898" operator="containsText" text="Missing">
      <formula>NOT(ISERROR(SEARCH("Missing",K2595)))</formula>
    </cfRule>
  </conditionalFormatting>
  <conditionalFormatting sqref="I2570">
    <cfRule type="containsText" dxfId="1698" priority="1987" operator="containsText" text="Missing">
      <formula>NOT(ISERROR(SEARCH("Missing",I2570)))</formula>
    </cfRule>
  </conditionalFormatting>
  <conditionalFormatting sqref="H2595">
    <cfRule type="containsText" dxfId="1697" priority="1862" operator="containsText" text="Missing">
      <formula>NOT(ISERROR(SEARCH("Missing",H2595)))</formula>
    </cfRule>
  </conditionalFormatting>
  <conditionalFormatting sqref="L2558">
    <cfRule type="containsText" dxfId="1696" priority="1825" operator="containsText" text="Positive">
      <formula>NOT(ISERROR(SEARCH("Positive",L2558)))</formula>
    </cfRule>
    <cfRule type="containsText" dxfId="1695" priority="1826" operator="containsText" text="Negative">
      <formula>NOT(ISERROR(SEARCH("Negative",L2558)))</formula>
    </cfRule>
  </conditionalFormatting>
  <conditionalFormatting sqref="L2599">
    <cfRule type="containsText" dxfId="1694" priority="1857" operator="containsText" text="Positive">
      <formula>NOT(ISERROR(SEARCH("Positive",L2599)))</formula>
    </cfRule>
    <cfRule type="containsText" dxfId="1693" priority="1858" operator="containsText" text="Negative">
      <formula>NOT(ISERROR(SEARCH("Negative",L2599)))</formula>
    </cfRule>
  </conditionalFormatting>
  <conditionalFormatting sqref="L2558">
    <cfRule type="containsText" dxfId="1692" priority="1828" operator="containsText" text="Positive">
      <formula>NOT(ISERROR(SEARCH("Positive",L2558)))</formula>
    </cfRule>
    <cfRule type="containsText" dxfId="1691" priority="1829" operator="containsText" text="Negative">
      <formula>NOT(ISERROR(SEARCH("Negative",L2558)))</formula>
    </cfRule>
  </conditionalFormatting>
  <conditionalFormatting sqref="I2571">
    <cfRule type="containsText" dxfId="1690" priority="1964" operator="containsText" text="Missing">
      <formula>NOT(ISERROR(SEARCH("Missing",I2571)))</formula>
    </cfRule>
  </conditionalFormatting>
  <conditionalFormatting sqref="H2596">
    <cfRule type="containsText" dxfId="1689" priority="1861" operator="containsText" text="Missing">
      <formula>NOT(ISERROR(SEARCH("Missing",H2596)))</formula>
    </cfRule>
  </conditionalFormatting>
  <conditionalFormatting sqref="J2599">
    <cfRule type="containsText" dxfId="1688" priority="1852" operator="containsText" text="Missing">
      <formula>NOT(ISERROR(SEARCH("Missing",J2599)))</formula>
    </cfRule>
  </conditionalFormatting>
  <conditionalFormatting sqref="K2600">
    <cfRule type="containsText" dxfId="1687" priority="1837" operator="containsText" text="Missing">
      <formula>NOT(ISERROR(SEARCH("Missing",K2600)))</formula>
    </cfRule>
  </conditionalFormatting>
  <conditionalFormatting sqref="J2566">
    <cfRule type="containsText" dxfId="1686" priority="1775" operator="containsText" text="Missing">
      <formula>NOT(ISERROR(SEARCH("Missing",J2566)))</formula>
    </cfRule>
  </conditionalFormatting>
  <conditionalFormatting sqref="J2568">
    <cfRule type="containsText" dxfId="1685" priority="2031" operator="containsText" text="Missing">
      <formula>NOT(ISERROR(SEARCH("Missing",J2568)))</formula>
    </cfRule>
  </conditionalFormatting>
  <conditionalFormatting sqref="I2562">
    <cfRule type="containsText" dxfId="1684" priority="1970" operator="containsText" text="Missing">
      <formula>NOT(ISERROR(SEARCH("Missing",I2562)))</formula>
    </cfRule>
  </conditionalFormatting>
  <conditionalFormatting sqref="L2591">
    <cfRule type="containsText" dxfId="1683" priority="1959" operator="containsText" text="Positive">
      <formula>NOT(ISERROR(SEARCH("Positive",L2591)))</formula>
    </cfRule>
    <cfRule type="containsText" dxfId="1682" priority="1960" operator="containsText" text="Negative">
      <formula>NOT(ISERROR(SEARCH("Negative",L2591)))</formula>
    </cfRule>
  </conditionalFormatting>
  <conditionalFormatting sqref="L2558">
    <cfRule type="containsText" dxfId="1681" priority="1830" operator="containsText" text="Positive">
      <formula>NOT(ISERROR(SEARCH("Positive",L2558)))</formula>
    </cfRule>
    <cfRule type="containsText" dxfId="1680" priority="1831" operator="containsText" text="Negative">
      <formula>NOT(ISERROR(SEARCH("Negative",L2558)))</formula>
    </cfRule>
  </conditionalFormatting>
  <conditionalFormatting sqref="K2592">
    <cfRule type="containsText" dxfId="1679" priority="1940" operator="containsText" text="Missing">
      <formula>NOT(ISERROR(SEARCH("Missing",K2592)))</formula>
    </cfRule>
  </conditionalFormatting>
  <conditionalFormatting sqref="I2563">
    <cfRule type="containsText" dxfId="1678" priority="1969" operator="containsText" text="Missing">
      <formula>NOT(ISERROR(SEARCH("Missing",I2563)))</formula>
    </cfRule>
  </conditionalFormatting>
  <conditionalFormatting sqref="L2568">
    <cfRule type="containsText" dxfId="1677" priority="2024" operator="containsText" text="Positive">
      <formula>NOT(ISERROR(SEARCH("Positive",L2568)))</formula>
    </cfRule>
    <cfRule type="containsText" dxfId="1676" priority="2025" operator="containsText" text="Negative">
      <formula>NOT(ISERROR(SEARCH("Negative",L2568)))</formula>
    </cfRule>
  </conditionalFormatting>
  <conditionalFormatting sqref="L2571">
    <cfRule type="containsText" dxfId="1675" priority="1982" operator="containsText" text="Positive">
      <formula>NOT(ISERROR(SEARCH("Positive",L2571)))</formula>
    </cfRule>
    <cfRule type="containsText" dxfId="1674" priority="1983" operator="containsText" text="Negative">
      <formula>NOT(ISERROR(SEARCH("Negative",L2571)))</formula>
    </cfRule>
  </conditionalFormatting>
  <conditionalFormatting sqref="H2593">
    <cfRule type="containsText" dxfId="1673" priority="1912" operator="containsText" text="Missing">
      <formula>NOT(ISERROR(SEARCH("Missing",H2593)))</formula>
    </cfRule>
  </conditionalFormatting>
  <conditionalFormatting sqref="J2599">
    <cfRule type="containsText" dxfId="1672" priority="1851" operator="containsText" text="Missing">
      <formula>NOT(ISERROR(SEARCH("Missing",J2599)))</formula>
    </cfRule>
  </conditionalFormatting>
  <conditionalFormatting sqref="K2570">
    <cfRule type="containsText" dxfId="1671" priority="1991" operator="containsText" text="Missing">
      <formula>NOT(ISERROR(SEARCH("Missing",K2570)))</formula>
    </cfRule>
  </conditionalFormatting>
  <conditionalFormatting sqref="H2570">
    <cfRule type="containsText" dxfId="1670" priority="1990" operator="containsText" text="Missing">
      <formula>NOT(ISERROR(SEARCH("Missing",H2570)))</formula>
    </cfRule>
  </conditionalFormatting>
  <conditionalFormatting sqref="I2568">
    <cfRule type="containsText" dxfId="1669" priority="2018" operator="containsText" text="Missing">
      <formula>NOT(ISERROR(SEARCH("Missing",I2568)))</formula>
    </cfRule>
  </conditionalFormatting>
  <conditionalFormatting sqref="K2599">
    <cfRule type="containsText" dxfId="1668" priority="1848" operator="containsText" text="Missing">
      <formula>NOT(ISERROR(SEARCH("Missing",K2599)))</formula>
    </cfRule>
  </conditionalFormatting>
  <conditionalFormatting sqref="J2597">
    <cfRule type="containsText" dxfId="1667" priority="1878" operator="containsText" text="Missing">
      <formula>NOT(ISERROR(SEARCH("Missing",J2597)))</formula>
    </cfRule>
  </conditionalFormatting>
  <conditionalFormatting sqref="L2569">
    <cfRule type="containsText" dxfId="1666" priority="2009" operator="containsText" text="Positive">
      <formula>NOT(ISERROR(SEARCH("Positive",L2569)))</formula>
    </cfRule>
    <cfRule type="containsText" dxfId="1665" priority="2010" operator="containsText" text="Negative">
      <formula>NOT(ISERROR(SEARCH("Negative",L2569)))</formula>
    </cfRule>
  </conditionalFormatting>
  <conditionalFormatting sqref="L2569">
    <cfRule type="containsText" dxfId="1664" priority="2014" operator="containsText" text="Positive">
      <formula>NOT(ISERROR(SEARCH("Positive",L2569)))</formula>
    </cfRule>
    <cfRule type="containsText" dxfId="1663" priority="2015" operator="containsText" text="Negative">
      <formula>NOT(ISERROR(SEARCH("Negative",L2569)))</formula>
    </cfRule>
  </conditionalFormatting>
  <conditionalFormatting sqref="J2569">
    <cfRule type="containsText" dxfId="1662" priority="2016" operator="containsText" text="Missing">
      <formula>NOT(ISERROR(SEARCH("Missing",J2569)))</formula>
    </cfRule>
  </conditionalFormatting>
  <conditionalFormatting sqref="I2569">
    <cfRule type="containsText" dxfId="1661" priority="2003" operator="containsText" text="Missing">
      <formula>NOT(ISERROR(SEARCH("Missing",I2569)))</formula>
    </cfRule>
  </conditionalFormatting>
  <conditionalFormatting sqref="H2599:H2600">
    <cfRule type="containsText" dxfId="1660" priority="1833" operator="containsText" text="Missing">
      <formula>NOT(ISERROR(SEARCH("Missing",H2599)))</formula>
    </cfRule>
  </conditionalFormatting>
  <conditionalFormatting sqref="K2598">
    <cfRule type="containsText" dxfId="1659" priority="1864" operator="containsText" text="Missing">
      <formula>NOT(ISERROR(SEARCH("Missing",K2598)))</formula>
    </cfRule>
  </conditionalFormatting>
  <conditionalFormatting sqref="L2570">
    <cfRule type="containsText" dxfId="1658" priority="1994" operator="containsText" text="Positive">
      <formula>NOT(ISERROR(SEARCH("Positive",L2570)))</formula>
    </cfRule>
    <cfRule type="containsText" dxfId="1657" priority="1995" operator="containsText" text="Negative">
      <formula>NOT(ISERROR(SEARCH("Negative",L2570)))</formula>
    </cfRule>
  </conditionalFormatting>
  <conditionalFormatting sqref="L2570">
    <cfRule type="containsText" dxfId="1656" priority="1999" operator="containsText" text="Positive">
      <formula>NOT(ISERROR(SEARCH("Positive",L2570)))</formula>
    </cfRule>
    <cfRule type="containsText" dxfId="1655" priority="2000" operator="containsText" text="Negative">
      <formula>NOT(ISERROR(SEARCH("Negative",L2570)))</formula>
    </cfRule>
  </conditionalFormatting>
  <conditionalFormatting sqref="H2591:H2592">
    <cfRule type="containsText" dxfId="1654" priority="1961" operator="containsText" text="Missing">
      <formula>NOT(ISERROR(SEARCH("Missing",H2591)))</formula>
    </cfRule>
  </conditionalFormatting>
  <conditionalFormatting sqref="K2593">
    <cfRule type="containsText" dxfId="1653" priority="1927" operator="containsText" text="Missing">
      <formula>NOT(ISERROR(SEARCH("Missing",K2593)))</formula>
    </cfRule>
  </conditionalFormatting>
  <conditionalFormatting sqref="I2570">
    <cfRule type="containsText" dxfId="1652" priority="1988" operator="containsText" text="Missing">
      <formula>NOT(ISERROR(SEARCH("Missing",I2570)))</formula>
    </cfRule>
  </conditionalFormatting>
  <conditionalFormatting sqref="J2594">
    <cfRule type="containsText" dxfId="1651" priority="1917" operator="containsText" text="Missing">
      <formula>NOT(ISERROR(SEARCH("Missing",J2594)))</formula>
    </cfRule>
  </conditionalFormatting>
  <conditionalFormatting sqref="L2571">
    <cfRule type="containsText" dxfId="1650" priority="1979" operator="containsText" text="Positive">
      <formula>NOT(ISERROR(SEARCH("Positive",L2571)))</formula>
    </cfRule>
    <cfRule type="containsText" dxfId="1649" priority="1980" operator="containsText" text="Negative">
      <formula>NOT(ISERROR(SEARCH("Negative",L2571)))</formula>
    </cfRule>
  </conditionalFormatting>
  <conditionalFormatting sqref="L2571">
    <cfRule type="containsText" dxfId="1648" priority="1984" operator="containsText" text="Positive">
      <formula>NOT(ISERROR(SEARCH("Positive",L2571)))</formula>
    </cfRule>
    <cfRule type="containsText" dxfId="1647" priority="1985" operator="containsText" text="Negative">
      <formula>NOT(ISERROR(SEARCH("Negative",L2571)))</formula>
    </cfRule>
  </conditionalFormatting>
  <conditionalFormatting sqref="J2571">
    <cfRule type="containsText" dxfId="1646" priority="1986" operator="containsText" text="Missing">
      <formula>NOT(ISERROR(SEARCH("Missing",J2571)))</formula>
    </cfRule>
  </conditionalFormatting>
  <conditionalFormatting sqref="I2557">
    <cfRule type="containsText" dxfId="1645" priority="1973" operator="containsText" text="Missing">
      <formula>NOT(ISERROR(SEARCH("Missing",I2557)))</formula>
    </cfRule>
  </conditionalFormatting>
  <conditionalFormatting sqref="K2594">
    <cfRule type="containsText" dxfId="1644" priority="1915" operator="containsText" text="Missing">
      <formula>NOT(ISERROR(SEARCH("Missing",K2594)))</formula>
    </cfRule>
  </conditionalFormatting>
  <conditionalFormatting sqref="K2594">
    <cfRule type="containsText" dxfId="1643" priority="1916" operator="containsText" text="Missing">
      <formula>NOT(ISERROR(SEARCH("Missing",K2594)))</formula>
    </cfRule>
  </conditionalFormatting>
  <conditionalFormatting sqref="I2599">
    <cfRule type="containsText" dxfId="1642" priority="1836" operator="containsText" text="Missing">
      <formula>NOT(ISERROR(SEARCH("Missing",I2599)))</formula>
    </cfRule>
  </conditionalFormatting>
  <conditionalFormatting sqref="K2558">
    <cfRule type="containsText" dxfId="1641" priority="1823" operator="containsText" text="Missing">
      <formula>NOT(ISERROR(SEARCH("Missing",K2558)))</formula>
    </cfRule>
  </conditionalFormatting>
  <conditionalFormatting sqref="J2565">
    <cfRule type="containsText" dxfId="1640" priority="1788" operator="containsText" text="Missing">
      <formula>NOT(ISERROR(SEARCH("Missing",J2565)))</formula>
    </cfRule>
  </conditionalFormatting>
  <conditionalFormatting sqref="J2592">
    <cfRule type="containsText" dxfId="1639" priority="1941" operator="containsText" text="Missing">
      <formula>NOT(ISERROR(SEARCH("Missing",J2592)))</formula>
    </cfRule>
  </conditionalFormatting>
  <conditionalFormatting sqref="L2591">
    <cfRule type="containsText" dxfId="1638" priority="1957" operator="containsText" text="Positive">
      <formula>NOT(ISERROR(SEARCH("Positive",L2591)))</formula>
    </cfRule>
    <cfRule type="containsText" dxfId="1637" priority="1958" operator="containsText" text="Negative">
      <formula>NOT(ISERROR(SEARCH("Negative",L2591)))</formula>
    </cfRule>
  </conditionalFormatting>
  <conditionalFormatting sqref="L2592">
    <cfRule type="containsText" dxfId="1636" priority="1947" operator="containsText" text="Positive">
      <formula>NOT(ISERROR(SEARCH("Positive",L2592)))</formula>
    </cfRule>
    <cfRule type="containsText" dxfId="1635" priority="1948" operator="containsText" text="Negative">
      <formula>NOT(ISERROR(SEARCH("Negative",L2592)))</formula>
    </cfRule>
  </conditionalFormatting>
  <conditionalFormatting sqref="J2593">
    <cfRule type="containsText" dxfId="1634" priority="1929" operator="containsText" text="Missing">
      <formula>NOT(ISERROR(SEARCH("Missing",J2593)))</formula>
    </cfRule>
  </conditionalFormatting>
  <conditionalFormatting sqref="K2593">
    <cfRule type="containsText" dxfId="1633" priority="1926" operator="containsText" text="Missing">
      <formula>NOT(ISERROR(SEARCH("Missing",K2593)))</formula>
    </cfRule>
  </conditionalFormatting>
  <conditionalFormatting sqref="L2593">
    <cfRule type="containsText" dxfId="1632" priority="1935" operator="containsText" text="Positive">
      <formula>NOT(ISERROR(SEARCH("Positive",L2593)))</formula>
    </cfRule>
    <cfRule type="containsText" dxfId="1631" priority="1936" operator="containsText" text="Negative">
      <formula>NOT(ISERROR(SEARCH("Negative",L2593)))</formula>
    </cfRule>
  </conditionalFormatting>
  <conditionalFormatting sqref="L2593">
    <cfRule type="containsText" dxfId="1630" priority="1933" operator="containsText" text="Positive">
      <formula>NOT(ISERROR(SEARCH("Positive",L2593)))</formula>
    </cfRule>
    <cfRule type="containsText" dxfId="1629" priority="1934" operator="containsText" text="Negative">
      <formula>NOT(ISERROR(SEARCH("Negative",L2593)))</formula>
    </cfRule>
  </conditionalFormatting>
  <conditionalFormatting sqref="K2600">
    <cfRule type="containsText" dxfId="1628" priority="1838" operator="containsText" text="Missing">
      <formula>NOT(ISERROR(SEARCH("Missing",K2600)))</formula>
    </cfRule>
  </conditionalFormatting>
  <conditionalFormatting sqref="L2594">
    <cfRule type="containsText" dxfId="1627" priority="1923" operator="containsText" text="Positive">
      <formula>NOT(ISERROR(SEARCH("Positive",L2594)))</formula>
    </cfRule>
    <cfRule type="containsText" dxfId="1626" priority="1924" operator="containsText" text="Negative">
      <formula>NOT(ISERROR(SEARCH("Negative",L2594)))</formula>
    </cfRule>
  </conditionalFormatting>
  <conditionalFormatting sqref="L2594">
    <cfRule type="containsText" dxfId="1625" priority="1919" operator="containsText" text="Positive">
      <formula>NOT(ISERROR(SEARCH("Positive",L2594)))</formula>
    </cfRule>
    <cfRule type="containsText" dxfId="1624" priority="1920" operator="containsText" text="Negative">
      <formula>NOT(ISERROR(SEARCH("Negative",L2594)))</formula>
    </cfRule>
  </conditionalFormatting>
  <conditionalFormatting sqref="L2594">
    <cfRule type="containsText" dxfId="1623" priority="1921" operator="containsText" text="Positive">
      <formula>NOT(ISERROR(SEARCH("Positive",L2594)))</formula>
    </cfRule>
    <cfRule type="containsText" dxfId="1622" priority="1922" operator="containsText" text="Negative">
      <formula>NOT(ISERROR(SEARCH("Negative",L2594)))</formula>
    </cfRule>
  </conditionalFormatting>
  <conditionalFormatting sqref="J2558">
    <cfRule type="containsText" dxfId="1621" priority="1827" operator="containsText" text="Missing">
      <formula>NOT(ISERROR(SEARCH("Missing",J2558)))</formula>
    </cfRule>
  </conditionalFormatting>
  <conditionalFormatting sqref="H2593">
    <cfRule type="containsText" dxfId="1620" priority="1911" operator="containsText" text="Missing">
      <formula>NOT(ISERROR(SEARCH("Missing",H2593)))</formula>
    </cfRule>
  </conditionalFormatting>
  <conditionalFormatting sqref="K2559">
    <cfRule type="containsText" dxfId="1619" priority="1811" operator="containsText" text="Missing">
      <formula>NOT(ISERROR(SEARCH("Missing",K2559)))</formula>
    </cfRule>
  </conditionalFormatting>
  <conditionalFormatting sqref="J2558">
    <cfRule type="containsText" dxfId="1618" priority="1832" operator="containsText" text="Missing">
      <formula>NOT(ISERROR(SEARCH("Missing",J2558)))</formula>
    </cfRule>
  </conditionalFormatting>
  <conditionalFormatting sqref="K2558">
    <cfRule type="containsText" dxfId="1617" priority="1824" operator="containsText" text="Missing">
      <formula>NOT(ISERROR(SEARCH("Missing",K2558)))</formula>
    </cfRule>
  </conditionalFormatting>
  <conditionalFormatting sqref="K2558">
    <cfRule type="containsText" dxfId="1616" priority="1822" operator="containsText" text="Missing">
      <formula>NOT(ISERROR(SEARCH("Missing",K2558)))</formula>
    </cfRule>
  </conditionalFormatting>
  <conditionalFormatting sqref="J2559">
    <cfRule type="containsText" dxfId="1615" priority="1814" operator="containsText" text="Missing">
      <formula>NOT(ISERROR(SEARCH("Missing",J2559)))</formula>
    </cfRule>
  </conditionalFormatting>
  <conditionalFormatting sqref="L2595">
    <cfRule type="containsText" dxfId="1614" priority="1905" operator="containsText" text="Positive">
      <formula>NOT(ISERROR(SEARCH("Positive",L2595)))</formula>
    </cfRule>
    <cfRule type="containsText" dxfId="1613" priority="1906" operator="containsText" text="Negative">
      <formula>NOT(ISERROR(SEARCH("Negative",L2595)))</formula>
    </cfRule>
  </conditionalFormatting>
  <conditionalFormatting sqref="L2595">
    <cfRule type="containsText" dxfId="1612" priority="1901" operator="containsText" text="Positive">
      <formula>NOT(ISERROR(SEARCH("Positive",L2595)))</formula>
    </cfRule>
    <cfRule type="containsText" dxfId="1611" priority="1902" operator="containsText" text="Negative">
      <formula>NOT(ISERROR(SEARCH("Negative",L2595)))</formula>
    </cfRule>
  </conditionalFormatting>
  <conditionalFormatting sqref="L2595">
    <cfRule type="containsText" dxfId="1610" priority="1903" operator="containsText" text="Positive">
      <formula>NOT(ISERROR(SEARCH("Positive",L2595)))</formula>
    </cfRule>
    <cfRule type="containsText" dxfId="1609" priority="1904" operator="containsText" text="Negative">
      <formula>NOT(ISERROR(SEARCH("Negative",L2595)))</formula>
    </cfRule>
  </conditionalFormatting>
  <conditionalFormatting sqref="L2596">
    <cfRule type="containsText" dxfId="1608" priority="1894" operator="containsText" text="Positive">
      <formula>NOT(ISERROR(SEARCH("Positive",L2596)))</formula>
    </cfRule>
    <cfRule type="containsText" dxfId="1607" priority="1895" operator="containsText" text="Negative">
      <formula>NOT(ISERROR(SEARCH("Negative",L2596)))</formula>
    </cfRule>
  </conditionalFormatting>
  <conditionalFormatting sqref="J2600">
    <cfRule type="containsText" dxfId="1606" priority="1841" operator="containsText" text="Missing">
      <formula>NOT(ISERROR(SEARCH("Missing",J2600)))</formula>
    </cfRule>
  </conditionalFormatting>
  <conditionalFormatting sqref="J2600">
    <cfRule type="containsText" dxfId="1605" priority="1840" operator="containsText" text="Missing">
      <formula>NOT(ISERROR(SEARCH("Missing",J2600)))</formula>
    </cfRule>
  </conditionalFormatting>
  <conditionalFormatting sqref="L2597">
    <cfRule type="containsText" dxfId="1604" priority="1883" operator="containsText" text="Positive">
      <formula>NOT(ISERROR(SEARCH("Positive",L2597)))</formula>
    </cfRule>
    <cfRule type="containsText" dxfId="1603" priority="1884" operator="containsText" text="Negative">
      <formula>NOT(ISERROR(SEARCH("Negative",L2597)))</formula>
    </cfRule>
  </conditionalFormatting>
  <conditionalFormatting sqref="L2597">
    <cfRule type="containsText" dxfId="1602" priority="1879" operator="containsText" text="Positive">
      <formula>NOT(ISERROR(SEARCH("Positive",L2597)))</formula>
    </cfRule>
    <cfRule type="containsText" dxfId="1601" priority="1880" operator="containsText" text="Negative">
      <formula>NOT(ISERROR(SEARCH("Negative",L2597)))</formula>
    </cfRule>
  </conditionalFormatting>
  <conditionalFormatting sqref="L2597">
    <cfRule type="containsText" dxfId="1600" priority="1881" operator="containsText" text="Positive">
      <formula>NOT(ISERROR(SEARCH("Positive",L2597)))</formula>
    </cfRule>
    <cfRule type="containsText" dxfId="1599" priority="1882" operator="containsText" text="Negative">
      <formula>NOT(ISERROR(SEARCH("Negative",L2597)))</formula>
    </cfRule>
  </conditionalFormatting>
  <conditionalFormatting sqref="H2559">
    <cfRule type="containsText" dxfId="1598" priority="1807" operator="containsText" text="Missing">
      <formula>NOT(ISERROR(SEARCH("Missing",H2559)))</formula>
    </cfRule>
  </conditionalFormatting>
  <conditionalFormatting sqref="L2559">
    <cfRule type="containsText" dxfId="1597" priority="1812" operator="containsText" text="Positive">
      <formula>NOT(ISERROR(SEARCH("Positive",L2559)))</formula>
    </cfRule>
    <cfRule type="containsText" dxfId="1596" priority="1813" operator="containsText" text="Negative">
      <formula>NOT(ISERROR(SEARCH("Negative",L2559)))</formula>
    </cfRule>
  </conditionalFormatting>
  <conditionalFormatting sqref="L2598">
    <cfRule type="containsText" dxfId="1595" priority="1868" operator="containsText" text="Positive">
      <formula>NOT(ISERROR(SEARCH("Positive",L2598)))</formula>
    </cfRule>
    <cfRule type="containsText" dxfId="1594" priority="1869" operator="containsText" text="Negative">
      <formula>NOT(ISERROR(SEARCH("Negative",L2598)))</formula>
    </cfRule>
  </conditionalFormatting>
  <conditionalFormatting sqref="L2598">
    <cfRule type="containsText" dxfId="1593" priority="1870" operator="containsText" text="Positive">
      <formula>NOT(ISERROR(SEARCH("Positive",L2598)))</formula>
    </cfRule>
    <cfRule type="containsText" dxfId="1592" priority="1871" operator="containsText" text="Negative">
      <formula>NOT(ISERROR(SEARCH("Negative",L2598)))</formula>
    </cfRule>
  </conditionalFormatting>
  <conditionalFormatting sqref="J2567">
    <cfRule type="containsText" dxfId="1591" priority="1762" operator="containsText" text="Missing">
      <formula>NOT(ISERROR(SEARCH("Missing",J2567)))</formula>
    </cfRule>
  </conditionalFormatting>
  <conditionalFormatting sqref="H2558">
    <cfRule type="containsText" dxfId="1590" priority="1820" operator="containsText" text="Missing">
      <formula>NOT(ISERROR(SEARCH("Missing",H2558)))</formula>
    </cfRule>
  </conditionalFormatting>
  <conditionalFormatting sqref="H2558">
    <cfRule type="containsText" dxfId="1589" priority="1821" operator="containsText" text="Missing">
      <formula>NOT(ISERROR(SEARCH("Missing",H2558)))</formula>
    </cfRule>
  </conditionalFormatting>
  <conditionalFormatting sqref="K2559">
    <cfRule type="containsText" dxfId="1588" priority="1810" operator="containsText" text="Missing">
      <formula>NOT(ISERROR(SEARCH("Missing",K2559)))</formula>
    </cfRule>
  </conditionalFormatting>
  <conditionalFormatting sqref="H2559">
    <cfRule type="containsText" dxfId="1587" priority="1808" operator="containsText" text="Missing">
      <formula>NOT(ISERROR(SEARCH("Missing",H2559)))</formula>
    </cfRule>
  </conditionalFormatting>
  <conditionalFormatting sqref="L2559">
    <cfRule type="containsText" dxfId="1586" priority="1817" operator="containsText" text="Positive">
      <formula>NOT(ISERROR(SEARCH("Positive",L2559)))</formula>
    </cfRule>
    <cfRule type="containsText" dxfId="1585" priority="1818" operator="containsText" text="Negative">
      <formula>NOT(ISERROR(SEARCH("Negative",L2559)))</formula>
    </cfRule>
  </conditionalFormatting>
  <conditionalFormatting sqref="L2599">
    <cfRule type="containsText" dxfId="1584" priority="1853" operator="containsText" text="Positive">
      <formula>NOT(ISERROR(SEARCH("Positive",L2599)))</formula>
    </cfRule>
    <cfRule type="containsText" dxfId="1583" priority="1854" operator="containsText" text="Negative">
      <formula>NOT(ISERROR(SEARCH("Negative",L2599)))</formula>
    </cfRule>
  </conditionalFormatting>
  <conditionalFormatting sqref="L2559">
    <cfRule type="containsText" dxfId="1582" priority="1815" operator="containsText" text="Positive">
      <formula>NOT(ISERROR(SEARCH("Positive",L2559)))</formula>
    </cfRule>
    <cfRule type="containsText" dxfId="1581" priority="1816" operator="containsText" text="Negative">
      <formula>NOT(ISERROR(SEARCH("Negative",L2559)))</formula>
    </cfRule>
  </conditionalFormatting>
  <conditionalFormatting sqref="L2600">
    <cfRule type="containsText" dxfId="1580" priority="1846" operator="containsText" text="Positive">
      <formula>NOT(ISERROR(SEARCH("Positive",L2600)))</formula>
    </cfRule>
    <cfRule type="containsText" dxfId="1579" priority="1847" operator="containsText" text="Negative">
      <formula>NOT(ISERROR(SEARCH("Negative",L2600)))</formula>
    </cfRule>
  </conditionalFormatting>
  <conditionalFormatting sqref="L2600">
    <cfRule type="containsText" dxfId="1578" priority="1844" operator="containsText" text="Positive">
      <formula>NOT(ISERROR(SEARCH("Positive",L2600)))</formula>
    </cfRule>
    <cfRule type="containsText" dxfId="1577" priority="1845" operator="containsText" text="Negative">
      <formula>NOT(ISERROR(SEARCH("Negative",L2600)))</formula>
    </cfRule>
  </conditionalFormatting>
  <conditionalFormatting sqref="K2567">
    <cfRule type="containsText" dxfId="1576" priority="1758" operator="containsText" text="Missing">
      <formula>NOT(ISERROR(SEARCH("Missing",K2567)))</formula>
    </cfRule>
  </conditionalFormatting>
  <conditionalFormatting sqref="J2572">
    <cfRule type="containsText" dxfId="1575" priority="1749" operator="containsText" text="Missing">
      <formula>NOT(ISERROR(SEARCH("Missing",J2572)))</formula>
    </cfRule>
  </conditionalFormatting>
  <conditionalFormatting sqref="K2572">
    <cfRule type="containsText" dxfId="1574" priority="1744" operator="containsText" text="Missing">
      <formula>NOT(ISERROR(SEARCH("Missing",K2572)))</formula>
    </cfRule>
  </conditionalFormatting>
  <conditionalFormatting sqref="L2560">
    <cfRule type="containsText" dxfId="1573" priority="1799" operator="containsText" text="Positive">
      <formula>NOT(ISERROR(SEARCH("Positive",L2560)))</formula>
    </cfRule>
    <cfRule type="containsText" dxfId="1572" priority="1800" operator="containsText" text="Negative">
      <formula>NOT(ISERROR(SEARCH("Negative",L2560)))</formula>
    </cfRule>
  </conditionalFormatting>
  <conditionalFormatting sqref="L2560">
    <cfRule type="containsText" dxfId="1571" priority="1804" operator="containsText" text="Positive">
      <formula>NOT(ISERROR(SEARCH("Positive",L2560)))</formula>
    </cfRule>
    <cfRule type="containsText" dxfId="1570" priority="1805" operator="containsText" text="Negative">
      <formula>NOT(ISERROR(SEARCH("Negative",L2560)))</formula>
    </cfRule>
  </conditionalFormatting>
  <conditionalFormatting sqref="L2565">
    <cfRule type="containsText" dxfId="1569" priority="1786" operator="containsText" text="Positive">
      <formula>NOT(ISERROR(SEARCH("Positive",L2565)))</formula>
    </cfRule>
    <cfRule type="containsText" dxfId="1568" priority="1787" operator="containsText" text="Negative">
      <formula>NOT(ISERROR(SEARCH("Negative",L2565)))</formula>
    </cfRule>
  </conditionalFormatting>
  <conditionalFormatting sqref="L2565">
    <cfRule type="containsText" dxfId="1567" priority="1791" operator="containsText" text="Positive">
      <formula>NOT(ISERROR(SEARCH("Positive",L2565)))</formula>
    </cfRule>
    <cfRule type="containsText" dxfId="1566" priority="1792" operator="containsText" text="Negative">
      <formula>NOT(ISERROR(SEARCH("Negative",L2565)))</formula>
    </cfRule>
  </conditionalFormatting>
  <conditionalFormatting sqref="L2565">
    <cfRule type="containsText" dxfId="1565" priority="1789" operator="containsText" text="Positive">
      <formula>NOT(ISERROR(SEARCH("Positive",L2565)))</formula>
    </cfRule>
    <cfRule type="containsText" dxfId="1564" priority="1790" operator="containsText" text="Negative">
      <formula>NOT(ISERROR(SEARCH("Negative",L2565)))</formula>
    </cfRule>
  </conditionalFormatting>
  <conditionalFormatting sqref="L2566">
    <cfRule type="containsText" dxfId="1563" priority="1773" operator="containsText" text="Positive">
      <formula>NOT(ISERROR(SEARCH("Positive",L2566)))</formula>
    </cfRule>
    <cfRule type="containsText" dxfId="1562" priority="1774" operator="containsText" text="Negative">
      <formula>NOT(ISERROR(SEARCH("Negative",L2566)))</formula>
    </cfRule>
  </conditionalFormatting>
  <conditionalFormatting sqref="L2566">
    <cfRule type="containsText" dxfId="1561" priority="1778" operator="containsText" text="Positive">
      <formula>NOT(ISERROR(SEARCH("Positive",L2566)))</formula>
    </cfRule>
    <cfRule type="containsText" dxfId="1560" priority="1779" operator="containsText" text="Negative">
      <formula>NOT(ISERROR(SEARCH("Negative",L2566)))</formula>
    </cfRule>
  </conditionalFormatting>
  <conditionalFormatting sqref="L2566">
    <cfRule type="containsText" dxfId="1559" priority="1776" operator="containsText" text="Positive">
      <formula>NOT(ISERROR(SEARCH("Positive",L2566)))</formula>
    </cfRule>
    <cfRule type="containsText" dxfId="1558" priority="1777" operator="containsText" text="Negative">
      <formula>NOT(ISERROR(SEARCH("Negative",L2566)))</formula>
    </cfRule>
  </conditionalFormatting>
  <conditionalFormatting sqref="L2567">
    <cfRule type="containsText" dxfId="1557" priority="1765" operator="containsText" text="Positive">
      <formula>NOT(ISERROR(SEARCH("Positive",L2567)))</formula>
    </cfRule>
    <cfRule type="containsText" dxfId="1556" priority="1766" operator="containsText" text="Negative">
      <formula>NOT(ISERROR(SEARCH("Negative",L2567)))</formula>
    </cfRule>
  </conditionalFormatting>
  <conditionalFormatting sqref="L2567">
    <cfRule type="containsText" dxfId="1555" priority="1763" operator="containsText" text="Positive">
      <formula>NOT(ISERROR(SEARCH("Positive",L2567)))</formula>
    </cfRule>
    <cfRule type="containsText" dxfId="1554" priority="1764" operator="containsText" text="Negative">
      <formula>NOT(ISERROR(SEARCH("Negative",L2567)))</formula>
    </cfRule>
  </conditionalFormatting>
  <conditionalFormatting sqref="K2574">
    <cfRule type="containsText" dxfId="1553" priority="1719" operator="containsText" text="Missing">
      <formula>NOT(ISERROR(SEARCH("Missing",K2574)))</formula>
    </cfRule>
  </conditionalFormatting>
  <conditionalFormatting sqref="K2574">
    <cfRule type="containsText" dxfId="1552" priority="1718" operator="containsText" text="Missing">
      <formula>NOT(ISERROR(SEARCH("Missing",K2574)))</formula>
    </cfRule>
  </conditionalFormatting>
  <conditionalFormatting sqref="H2574">
    <cfRule type="containsText" dxfId="1551" priority="1717" operator="containsText" text="Missing">
      <formula>NOT(ISERROR(SEARCH("Missing",H2574)))</formula>
    </cfRule>
  </conditionalFormatting>
  <conditionalFormatting sqref="K2574">
    <cfRule type="containsText" dxfId="1550" priority="1720" operator="containsText" text="Missing">
      <formula>NOT(ISERROR(SEARCH("Missing",K2574)))</formula>
    </cfRule>
  </conditionalFormatting>
  <conditionalFormatting sqref="J2574">
    <cfRule type="containsText" dxfId="1549" priority="1723" operator="containsText" text="Missing">
      <formula>NOT(ISERROR(SEARCH("Missing",J2574)))</formula>
    </cfRule>
  </conditionalFormatting>
  <conditionalFormatting sqref="H2572">
    <cfRule type="containsText" dxfId="1548" priority="1743" operator="containsText" text="Missing">
      <formula>NOT(ISERROR(SEARCH("Missing",H2572)))</formula>
    </cfRule>
  </conditionalFormatting>
  <conditionalFormatting sqref="J2573">
    <cfRule type="containsText" dxfId="1547" priority="1736" operator="containsText" text="Missing">
      <formula>NOT(ISERROR(SEARCH("Missing",J2573)))</formula>
    </cfRule>
  </conditionalFormatting>
  <conditionalFormatting sqref="L2572">
    <cfRule type="containsText" dxfId="1546" priority="1747" operator="containsText" text="Positive">
      <formula>NOT(ISERROR(SEARCH("Positive",L2572)))</formula>
    </cfRule>
    <cfRule type="containsText" dxfId="1545" priority="1748" operator="containsText" text="Negative">
      <formula>NOT(ISERROR(SEARCH("Negative",L2572)))</formula>
    </cfRule>
  </conditionalFormatting>
  <conditionalFormatting sqref="L2572">
    <cfRule type="containsText" dxfId="1544" priority="1752" operator="containsText" text="Positive">
      <formula>NOT(ISERROR(SEARCH("Positive",L2572)))</formula>
    </cfRule>
    <cfRule type="containsText" dxfId="1543" priority="1753" operator="containsText" text="Negative">
      <formula>NOT(ISERROR(SEARCH("Negative",L2572)))</formula>
    </cfRule>
  </conditionalFormatting>
  <conditionalFormatting sqref="L2572">
    <cfRule type="containsText" dxfId="1542" priority="1750" operator="containsText" text="Positive">
      <formula>NOT(ISERROR(SEARCH("Positive",L2572)))</formula>
    </cfRule>
    <cfRule type="containsText" dxfId="1541" priority="1751" operator="containsText" text="Negative">
      <formula>NOT(ISERROR(SEARCH("Negative",L2572)))</formula>
    </cfRule>
  </conditionalFormatting>
  <conditionalFormatting sqref="H2572">
    <cfRule type="containsText" dxfId="1540" priority="1742" operator="containsText" text="Missing">
      <formula>NOT(ISERROR(SEARCH("Missing",H2572)))</formula>
    </cfRule>
  </conditionalFormatting>
  <conditionalFormatting sqref="K2573">
    <cfRule type="containsText" dxfId="1539" priority="1733" operator="containsText" text="Missing">
      <formula>NOT(ISERROR(SEARCH("Missing",K2573)))</formula>
    </cfRule>
  </conditionalFormatting>
  <conditionalFormatting sqref="K2573">
    <cfRule type="containsText" dxfId="1538" priority="1732" operator="containsText" text="Missing">
      <formula>NOT(ISERROR(SEARCH("Missing",K2573)))</formula>
    </cfRule>
  </conditionalFormatting>
  <conditionalFormatting sqref="L2573">
    <cfRule type="containsText" dxfId="1537" priority="1734" operator="containsText" text="Positive">
      <formula>NOT(ISERROR(SEARCH("Positive",L2573)))</formula>
    </cfRule>
    <cfRule type="containsText" dxfId="1536" priority="1735" operator="containsText" text="Negative">
      <formula>NOT(ISERROR(SEARCH("Negative",L2573)))</formula>
    </cfRule>
  </conditionalFormatting>
  <conditionalFormatting sqref="L2573">
    <cfRule type="containsText" dxfId="1535" priority="1739" operator="containsText" text="Positive">
      <formula>NOT(ISERROR(SEARCH("Positive",L2573)))</formula>
    </cfRule>
    <cfRule type="containsText" dxfId="1534" priority="1740" operator="containsText" text="Negative">
      <formula>NOT(ISERROR(SEARCH("Negative",L2573)))</formula>
    </cfRule>
  </conditionalFormatting>
  <conditionalFormatting sqref="L2573">
    <cfRule type="containsText" dxfId="1533" priority="1737" operator="containsText" text="Positive">
      <formula>NOT(ISERROR(SEARCH("Positive",L2573)))</formula>
    </cfRule>
    <cfRule type="containsText" dxfId="1532" priority="1738" operator="containsText" text="Negative">
      <formula>NOT(ISERROR(SEARCH("Negative",L2573)))</formula>
    </cfRule>
  </conditionalFormatting>
  <conditionalFormatting sqref="K2573">
    <cfRule type="containsText" dxfId="1531" priority="1731" operator="containsText" text="Missing">
      <formula>NOT(ISERROR(SEARCH("Missing",K2573)))</formula>
    </cfRule>
  </conditionalFormatting>
  <conditionalFormatting sqref="H2573">
    <cfRule type="containsText" dxfId="1530" priority="1730" operator="containsText" text="Missing">
      <formula>NOT(ISERROR(SEARCH("Missing",H2573)))</formula>
    </cfRule>
  </conditionalFormatting>
  <conditionalFormatting sqref="H2573">
    <cfRule type="containsText" dxfId="1529" priority="1729" operator="containsText" text="Missing">
      <formula>NOT(ISERROR(SEARCH("Missing",H2573)))</formula>
    </cfRule>
  </conditionalFormatting>
  <conditionalFormatting sqref="L2574">
    <cfRule type="containsText" dxfId="1528" priority="1721" operator="containsText" text="Positive">
      <formula>NOT(ISERROR(SEARCH("Positive",L2574)))</formula>
    </cfRule>
    <cfRule type="containsText" dxfId="1527" priority="1722" operator="containsText" text="Negative">
      <formula>NOT(ISERROR(SEARCH("Negative",L2574)))</formula>
    </cfRule>
  </conditionalFormatting>
  <conditionalFormatting sqref="L2574">
    <cfRule type="containsText" dxfId="1526" priority="1726" operator="containsText" text="Positive">
      <formula>NOT(ISERROR(SEARCH("Positive",L2574)))</formula>
    </cfRule>
    <cfRule type="containsText" dxfId="1525" priority="1727" operator="containsText" text="Negative">
      <formula>NOT(ISERROR(SEARCH("Negative",L2574)))</formula>
    </cfRule>
  </conditionalFormatting>
  <conditionalFormatting sqref="L2574">
    <cfRule type="containsText" dxfId="1524" priority="1724" operator="containsText" text="Positive">
      <formula>NOT(ISERROR(SEARCH("Positive",L2574)))</formula>
    </cfRule>
    <cfRule type="containsText" dxfId="1523" priority="1725" operator="containsText" text="Negative">
      <formula>NOT(ISERROR(SEARCH("Negative",L2574)))</formula>
    </cfRule>
  </conditionalFormatting>
  <conditionalFormatting sqref="H2574">
    <cfRule type="containsText" dxfId="1522" priority="1716" operator="containsText" text="Missing">
      <formula>NOT(ISERROR(SEARCH("Missing",H2574)))</formula>
    </cfRule>
  </conditionalFormatting>
  <conditionalFormatting sqref="I2596">
    <cfRule type="containsText" dxfId="1521" priority="1712" operator="containsText" text="Missing">
      <formula>NOT(ISERROR(SEARCH("Missing",I2596)))</formula>
    </cfRule>
  </conditionalFormatting>
  <conditionalFormatting sqref="I2597">
    <cfRule type="containsText" dxfId="1520" priority="1710" operator="containsText" text="Missing">
      <formula>NOT(ISERROR(SEARCH("Missing",I2597)))</formula>
    </cfRule>
  </conditionalFormatting>
  <conditionalFormatting sqref="I2597">
    <cfRule type="containsText" dxfId="1519" priority="1711" operator="containsText" text="Missing">
      <formula>NOT(ISERROR(SEARCH("Missing",I2597)))</formula>
    </cfRule>
  </conditionalFormatting>
  <conditionalFormatting sqref="I2598">
    <cfRule type="containsText" dxfId="1518" priority="1708" operator="containsText" text="Missing">
      <formula>NOT(ISERROR(SEARCH("Missing",I2598)))</formula>
    </cfRule>
  </conditionalFormatting>
  <conditionalFormatting sqref="I2598">
    <cfRule type="containsText" dxfId="1517" priority="1709" operator="containsText" text="Missing">
      <formula>NOT(ISERROR(SEARCH("Missing",I2598)))</formula>
    </cfRule>
  </conditionalFormatting>
  <conditionalFormatting sqref="I2558">
    <cfRule type="containsText" dxfId="1516" priority="1706" operator="containsText" text="Missing">
      <formula>NOT(ISERROR(SEARCH("Missing",I2558)))</formula>
    </cfRule>
  </conditionalFormatting>
  <conditionalFormatting sqref="I2558">
    <cfRule type="containsText" dxfId="1515" priority="1707" operator="containsText" text="Missing">
      <formula>NOT(ISERROR(SEARCH("Missing",I2558)))</formula>
    </cfRule>
  </conditionalFormatting>
  <conditionalFormatting sqref="I2559">
    <cfRule type="containsText" dxfId="1514" priority="1704" operator="containsText" text="Missing">
      <formula>NOT(ISERROR(SEARCH("Missing",I2559)))</formula>
    </cfRule>
  </conditionalFormatting>
  <conditionalFormatting sqref="I2559">
    <cfRule type="containsText" dxfId="1513" priority="1705" operator="containsText" text="Missing">
      <formula>NOT(ISERROR(SEARCH("Missing",I2559)))</formula>
    </cfRule>
  </conditionalFormatting>
  <conditionalFormatting sqref="I2560">
    <cfRule type="containsText" dxfId="1512" priority="1703" operator="containsText" text="Missing">
      <formula>NOT(ISERROR(SEARCH("Missing",I2560)))</formula>
    </cfRule>
  </conditionalFormatting>
  <conditionalFormatting sqref="I2565">
    <cfRule type="containsText" dxfId="1511" priority="1700" operator="containsText" text="Missing">
      <formula>NOT(ISERROR(SEARCH("Missing",I2565)))</formula>
    </cfRule>
  </conditionalFormatting>
  <conditionalFormatting sqref="I2565">
    <cfRule type="containsText" dxfId="1510" priority="1701" operator="containsText" text="Missing">
      <formula>NOT(ISERROR(SEARCH("Missing",I2565)))</formula>
    </cfRule>
  </conditionalFormatting>
  <conditionalFormatting sqref="I2573">
    <cfRule type="containsText" dxfId="1509" priority="1692" operator="containsText" text="Missing">
      <formula>NOT(ISERROR(SEARCH("Missing",I2573)))</formula>
    </cfRule>
  </conditionalFormatting>
  <conditionalFormatting sqref="I2574">
    <cfRule type="containsText" dxfId="1508" priority="1691" operator="containsText" text="Missing">
      <formula>NOT(ISERROR(SEARCH("Missing",I2574)))</formula>
    </cfRule>
  </conditionalFormatting>
  <conditionalFormatting sqref="I686:K693">
    <cfRule type="containsText" dxfId="1507" priority="1689" operator="containsText" text="Missing">
      <formula>NOT(ISERROR(SEARCH("Missing",I686)))</formula>
    </cfRule>
  </conditionalFormatting>
  <conditionalFormatting sqref="L686:L693">
    <cfRule type="containsText" dxfId="1506" priority="1687" operator="containsText" text="Positive">
      <formula>NOT(ISERROR(SEARCH("Positive",L686)))</formula>
    </cfRule>
    <cfRule type="containsText" dxfId="1505" priority="1688" operator="containsText" text="Negative">
      <formula>NOT(ISERROR(SEARCH("Negative",L686)))</formula>
    </cfRule>
  </conditionalFormatting>
  <conditionalFormatting sqref="J684:K684">
    <cfRule type="containsText" dxfId="1504" priority="1686" operator="containsText" text="Missing">
      <formula>NOT(ISERROR(SEARCH("Missing",J684)))</formula>
    </cfRule>
  </conditionalFormatting>
  <conditionalFormatting sqref="H684">
    <cfRule type="containsText" dxfId="1503" priority="1685" operator="containsText" text="Missing">
      <formula>NOT(ISERROR(SEARCH("Missing",H684)))</formula>
    </cfRule>
  </conditionalFormatting>
  <conditionalFormatting sqref="H686:H693">
    <cfRule type="containsText" dxfId="1502" priority="1665" operator="containsText" text="Missing">
      <formula>NOT(ISERROR(SEARCH("Missing",H686)))</formula>
    </cfRule>
  </conditionalFormatting>
  <conditionalFormatting sqref="L684">
    <cfRule type="containsText" dxfId="1501" priority="1683" operator="containsText" text="Positive">
      <formula>NOT(ISERROR(SEARCH("Positive",L684)))</formula>
    </cfRule>
    <cfRule type="containsText" dxfId="1500" priority="1684" operator="containsText" text="Negative">
      <formula>NOT(ISERROR(SEARCH("Negative",L684)))</formula>
    </cfRule>
  </conditionalFormatting>
  <conditionalFormatting sqref="L684">
    <cfRule type="containsText" dxfId="1499" priority="1681" operator="containsText" text="Positive">
      <formula>NOT(ISERROR(SEARCH("Positive",L684)))</formula>
    </cfRule>
    <cfRule type="containsText" dxfId="1498" priority="1682" operator="containsText" text="Negative">
      <formula>NOT(ISERROR(SEARCH("Negative",L684)))</formula>
    </cfRule>
  </conditionalFormatting>
  <conditionalFormatting sqref="J684:K684">
    <cfRule type="containsText" dxfId="1497" priority="1680" operator="containsText" text="Missing">
      <formula>NOT(ISERROR(SEARCH("Missing",J684)))</formula>
    </cfRule>
  </conditionalFormatting>
  <conditionalFormatting sqref="L684">
    <cfRule type="containsText" dxfId="1496" priority="1678" operator="containsText" text="Positive">
      <formula>NOT(ISERROR(SEARCH("Positive",L684)))</formula>
    </cfRule>
    <cfRule type="containsText" dxfId="1495" priority="1679" operator="containsText" text="Negative">
      <formula>NOT(ISERROR(SEARCH("Negative",L684)))</formula>
    </cfRule>
  </conditionalFormatting>
  <conditionalFormatting sqref="H684">
    <cfRule type="containsText" dxfId="1494" priority="1677" operator="containsText" text="Missing">
      <formula>NOT(ISERROR(SEARCH("Missing",H684)))</formula>
    </cfRule>
  </conditionalFormatting>
  <conditionalFormatting sqref="H685">
    <cfRule type="containsText" dxfId="1493" priority="1666" operator="containsText" text="Missing">
      <formula>NOT(ISERROR(SEARCH("Missing",H685)))</formula>
    </cfRule>
  </conditionalFormatting>
  <conditionalFormatting sqref="J685:K685">
    <cfRule type="containsText" dxfId="1492" priority="1676" operator="containsText" text="Missing">
      <formula>NOT(ISERROR(SEARCH("Missing",J685)))</formula>
    </cfRule>
  </conditionalFormatting>
  <conditionalFormatting sqref="H686:H693">
    <cfRule type="containsText" dxfId="1491" priority="1664" operator="containsText" text="Missing">
      <formula>NOT(ISERROR(SEARCH("Missing",H686)))</formula>
    </cfRule>
  </conditionalFormatting>
  <conditionalFormatting sqref="I698:K699 I701:K702 I704:K705 I707:K708">
    <cfRule type="containsText" dxfId="1490" priority="1663" operator="containsText" text="Missing">
      <formula>NOT(ISERROR(SEARCH("Missing",I698)))</formula>
    </cfRule>
  </conditionalFormatting>
  <conditionalFormatting sqref="L685">
    <cfRule type="containsText" dxfId="1489" priority="1674" operator="containsText" text="Positive">
      <formula>NOT(ISERROR(SEARCH("Positive",L685)))</formula>
    </cfRule>
    <cfRule type="containsText" dxfId="1488" priority="1675" operator="containsText" text="Negative">
      <formula>NOT(ISERROR(SEARCH("Negative",L685)))</formula>
    </cfRule>
  </conditionalFormatting>
  <conditionalFormatting sqref="L685">
    <cfRule type="containsText" dxfId="1487" priority="1672" operator="containsText" text="Positive">
      <formula>NOT(ISERROR(SEARCH("Positive",L685)))</formula>
    </cfRule>
    <cfRule type="containsText" dxfId="1486" priority="1673" operator="containsText" text="Negative">
      <formula>NOT(ISERROR(SEARCH("Negative",L685)))</formula>
    </cfRule>
  </conditionalFormatting>
  <conditionalFormatting sqref="J685:K685">
    <cfRule type="containsText" dxfId="1485" priority="1671" operator="containsText" text="Missing">
      <formula>NOT(ISERROR(SEARCH("Missing",J685)))</formula>
    </cfRule>
  </conditionalFormatting>
  <conditionalFormatting sqref="L685">
    <cfRule type="containsText" dxfId="1484" priority="1669" operator="containsText" text="Positive">
      <formula>NOT(ISERROR(SEARCH("Positive",L685)))</formula>
    </cfRule>
    <cfRule type="containsText" dxfId="1483" priority="1670" operator="containsText" text="Negative">
      <formula>NOT(ISERROR(SEARCH("Negative",L685)))</formula>
    </cfRule>
  </conditionalFormatting>
  <conditionalFormatting sqref="H685">
    <cfRule type="containsText" dxfId="1482" priority="1667" operator="containsText" text="Missing">
      <formula>NOT(ISERROR(SEARCH("Missing",H685)))</formula>
    </cfRule>
  </conditionalFormatting>
  <conditionalFormatting sqref="H703">
    <cfRule type="containsText" dxfId="1481" priority="1589" operator="containsText" text="Missing">
      <formula>NOT(ISERROR(SEARCH("Missing",H703)))</formula>
    </cfRule>
  </conditionalFormatting>
  <conditionalFormatting sqref="I684:I685">
    <cfRule type="containsText" dxfId="1480" priority="1668" operator="containsText" text="Missing">
      <formula>NOT(ISERROR(SEARCH("Missing",I684)))</formula>
    </cfRule>
  </conditionalFormatting>
  <conditionalFormatting sqref="I717:K718">
    <cfRule type="containsText" dxfId="1479" priority="1575" operator="containsText" text="Missing">
      <formula>NOT(ISERROR(SEARCH("Missing",I717)))</formula>
    </cfRule>
  </conditionalFormatting>
  <conditionalFormatting sqref="J695:K695">
    <cfRule type="containsText" dxfId="1478" priority="1654" operator="containsText" text="Missing">
      <formula>NOT(ISERROR(SEARCH("Missing",J695)))</formula>
    </cfRule>
  </conditionalFormatting>
  <conditionalFormatting sqref="I695:I696">
    <cfRule type="containsText" dxfId="1477" priority="1642" operator="containsText" text="Missing">
      <formula>NOT(ISERROR(SEARCH("Missing",I695)))</formula>
    </cfRule>
  </conditionalFormatting>
  <conditionalFormatting sqref="H708">
    <cfRule type="containsText" dxfId="1476" priority="1583" operator="containsText" text="Missing">
      <formula>NOT(ISERROR(SEARCH("Missing",H708)))</formula>
    </cfRule>
  </conditionalFormatting>
  <conditionalFormatting sqref="H704:H705">
    <cfRule type="containsText" dxfId="1475" priority="1580" operator="containsText" text="Missing">
      <formula>NOT(ISERROR(SEARCH("Missing",H704)))</formula>
    </cfRule>
  </conditionalFormatting>
  <conditionalFormatting sqref="L694">
    <cfRule type="containsText" dxfId="1474" priority="1639" operator="containsText" text="Positive">
      <formula>NOT(ISERROR(SEARCH("Positive",L694)))</formula>
    </cfRule>
    <cfRule type="containsText" dxfId="1473" priority="1640" operator="containsText" text="Negative">
      <formula>NOT(ISERROR(SEARCH("Negative",L694)))</formula>
    </cfRule>
  </conditionalFormatting>
  <conditionalFormatting sqref="H768">
    <cfRule type="containsText" dxfId="1472" priority="1445" operator="containsText" text="Missing">
      <formula>NOT(ISERROR(SEARCH("Missing",H768)))</formula>
    </cfRule>
  </conditionalFormatting>
  <conditionalFormatting sqref="I768">
    <cfRule type="containsText" dxfId="1471" priority="1444" operator="containsText" text="Missing">
      <formula>NOT(ISERROR(SEARCH("Missing",I768)))</formula>
    </cfRule>
  </conditionalFormatting>
  <conditionalFormatting sqref="H795">
    <cfRule type="containsText" dxfId="1470" priority="1336" operator="containsText" text="Missing">
      <formula>NOT(ISERROR(SEARCH("Missing",H795)))</formula>
    </cfRule>
  </conditionalFormatting>
  <conditionalFormatting sqref="L694">
    <cfRule type="containsText" dxfId="1469" priority="1634" operator="containsText" text="Positive">
      <formula>NOT(ISERROR(SEARCH("Positive",L694)))</formula>
    </cfRule>
    <cfRule type="containsText" dxfId="1468" priority="1635" operator="containsText" text="Negative">
      <formula>NOT(ISERROR(SEARCH("Negative",L694)))</formula>
    </cfRule>
  </conditionalFormatting>
  <conditionalFormatting sqref="J847:K847">
    <cfRule type="containsText" dxfId="1467" priority="1213" operator="containsText" text="Missing">
      <formula>NOT(ISERROR(SEARCH("Missing",J847)))</formula>
    </cfRule>
  </conditionalFormatting>
  <conditionalFormatting sqref="J804:K804">
    <cfRule type="containsText" dxfId="1466" priority="1345" operator="containsText" text="Missing">
      <formula>NOT(ISERROR(SEARCH("Missing",J804)))</formula>
    </cfRule>
  </conditionalFormatting>
  <conditionalFormatting sqref="L698:L699 L701:L702 L704:L705 L707:L708">
    <cfRule type="containsText" dxfId="1465" priority="1661" operator="containsText" text="Positive">
      <formula>NOT(ISERROR(SEARCH("Positive",L698)))</formula>
    </cfRule>
    <cfRule type="containsText" dxfId="1464" priority="1662" operator="containsText" text="Negative">
      <formula>NOT(ISERROR(SEARCH("Negative",L698)))</formula>
    </cfRule>
  </conditionalFormatting>
  <conditionalFormatting sqref="J695:K695">
    <cfRule type="containsText" dxfId="1463" priority="1660" operator="containsText" text="Missing">
      <formula>NOT(ISERROR(SEARCH("Missing",J695)))</formula>
    </cfRule>
  </conditionalFormatting>
  <conditionalFormatting sqref="H695">
    <cfRule type="containsText" dxfId="1462" priority="1659" operator="containsText" text="Missing">
      <formula>NOT(ISERROR(SEARCH("Missing",H695)))</formula>
    </cfRule>
  </conditionalFormatting>
  <conditionalFormatting sqref="L695">
    <cfRule type="containsText" dxfId="1461" priority="1657" operator="containsText" text="Positive">
      <formula>NOT(ISERROR(SEARCH("Positive",L695)))</formula>
    </cfRule>
    <cfRule type="containsText" dxfId="1460" priority="1658" operator="containsText" text="Negative">
      <formula>NOT(ISERROR(SEARCH("Negative",L695)))</formula>
    </cfRule>
  </conditionalFormatting>
  <conditionalFormatting sqref="L695">
    <cfRule type="containsText" dxfId="1459" priority="1655" operator="containsText" text="Positive">
      <formula>NOT(ISERROR(SEARCH("Positive",L695)))</formula>
    </cfRule>
    <cfRule type="containsText" dxfId="1458" priority="1656" operator="containsText" text="Negative">
      <formula>NOT(ISERROR(SEARCH("Negative",L695)))</formula>
    </cfRule>
  </conditionalFormatting>
  <conditionalFormatting sqref="H707">
    <cfRule type="containsText" dxfId="1457" priority="1585" operator="containsText" text="Missing">
      <formula>NOT(ISERROR(SEARCH("Missing",H707)))</formula>
    </cfRule>
  </conditionalFormatting>
  <conditionalFormatting sqref="L695">
    <cfRule type="containsText" dxfId="1456" priority="1652" operator="containsText" text="Positive">
      <formula>NOT(ISERROR(SEARCH("Positive",L695)))</formula>
    </cfRule>
    <cfRule type="containsText" dxfId="1455" priority="1653" operator="containsText" text="Negative">
      <formula>NOT(ISERROR(SEARCH("Negative",L695)))</formula>
    </cfRule>
  </conditionalFormatting>
  <conditionalFormatting sqref="H695">
    <cfRule type="containsText" dxfId="1454" priority="1651" operator="containsText" text="Missing">
      <formula>NOT(ISERROR(SEARCH("Missing",H695)))</formula>
    </cfRule>
  </conditionalFormatting>
  <conditionalFormatting sqref="J696:K696">
    <cfRule type="containsText" dxfId="1453" priority="1650" operator="containsText" text="Missing">
      <formula>NOT(ISERROR(SEARCH("Missing",J696)))</formula>
    </cfRule>
  </conditionalFormatting>
  <conditionalFormatting sqref="L696">
    <cfRule type="containsText" dxfId="1452" priority="1648" operator="containsText" text="Positive">
      <formula>NOT(ISERROR(SEARCH("Positive",L696)))</formula>
    </cfRule>
    <cfRule type="containsText" dxfId="1451" priority="1649" operator="containsText" text="Negative">
      <formula>NOT(ISERROR(SEARCH("Negative",L696)))</formula>
    </cfRule>
  </conditionalFormatting>
  <conditionalFormatting sqref="L696">
    <cfRule type="containsText" dxfId="1450" priority="1646" operator="containsText" text="Positive">
      <formula>NOT(ISERROR(SEARCH("Positive",L696)))</formula>
    </cfRule>
    <cfRule type="containsText" dxfId="1449" priority="1647" operator="containsText" text="Negative">
      <formula>NOT(ISERROR(SEARCH("Negative",L696)))</formula>
    </cfRule>
  </conditionalFormatting>
  <conditionalFormatting sqref="J696:K696">
    <cfRule type="containsText" dxfId="1448" priority="1645" operator="containsText" text="Missing">
      <formula>NOT(ISERROR(SEARCH("Missing",J696)))</formula>
    </cfRule>
  </conditionalFormatting>
  <conditionalFormatting sqref="L696">
    <cfRule type="containsText" dxfId="1447" priority="1643" operator="containsText" text="Positive">
      <formula>NOT(ISERROR(SEARCH("Positive",L696)))</formula>
    </cfRule>
    <cfRule type="containsText" dxfId="1446" priority="1644" operator="containsText" text="Negative">
      <formula>NOT(ISERROR(SEARCH("Negative",L696)))</formula>
    </cfRule>
  </conditionalFormatting>
  <conditionalFormatting sqref="J694:K694">
    <cfRule type="containsText" dxfId="1445" priority="1636" operator="containsText" text="Missing">
      <formula>NOT(ISERROR(SEARCH("Missing",J694)))</formula>
    </cfRule>
  </conditionalFormatting>
  <conditionalFormatting sqref="H850">
    <cfRule type="containsText" dxfId="1444" priority="1187" operator="containsText" text="Missing">
      <formula>NOT(ISERROR(SEARCH("Missing",H850)))</formula>
    </cfRule>
  </conditionalFormatting>
  <conditionalFormatting sqref="H708">
    <cfRule type="containsText" dxfId="1443" priority="1582" operator="containsText" text="Missing">
      <formula>NOT(ISERROR(SEARCH("Missing",H708)))</formula>
    </cfRule>
  </conditionalFormatting>
  <conditionalFormatting sqref="H717:H718">
    <cfRule type="containsText" dxfId="1442" priority="1574" operator="containsText" text="Missing">
      <formula>NOT(ISERROR(SEARCH("Missing",H717)))</formula>
    </cfRule>
  </conditionalFormatting>
  <conditionalFormatting sqref="H801">
    <cfRule type="containsText" dxfId="1441" priority="1332" operator="containsText" text="Missing">
      <formula>NOT(ISERROR(SEARCH("Missing",H801)))</formula>
    </cfRule>
  </conditionalFormatting>
  <conditionalFormatting sqref="I752">
    <cfRule type="containsText" dxfId="1440" priority="1474" operator="containsText" text="Missing">
      <formula>NOT(ISERROR(SEARCH("Missing",I752)))</formula>
    </cfRule>
  </conditionalFormatting>
  <conditionalFormatting sqref="J694:K694">
    <cfRule type="containsText" dxfId="1439" priority="1641" operator="containsText" text="Missing">
      <formula>NOT(ISERROR(SEARCH("Missing",J694)))</formula>
    </cfRule>
  </conditionalFormatting>
  <conditionalFormatting sqref="I804">
    <cfRule type="containsText" dxfId="1438" priority="1338" operator="containsText" text="Missing">
      <formula>NOT(ISERROR(SEARCH("Missing",I804)))</formula>
    </cfRule>
  </conditionalFormatting>
  <conditionalFormatting sqref="L697">
    <cfRule type="containsText" dxfId="1437" priority="1631" operator="containsText" text="Positive">
      <formula>NOT(ISERROR(SEARCH("Positive",L697)))</formula>
    </cfRule>
    <cfRule type="containsText" dxfId="1436" priority="1632" operator="containsText" text="Negative">
      <formula>NOT(ISERROR(SEARCH("Negative",L697)))</formula>
    </cfRule>
  </conditionalFormatting>
  <conditionalFormatting sqref="L694">
    <cfRule type="containsText" dxfId="1435" priority="1637" operator="containsText" text="Positive">
      <formula>NOT(ISERROR(SEARCH("Positive",L694)))</formula>
    </cfRule>
    <cfRule type="containsText" dxfId="1434" priority="1638" operator="containsText" text="Negative">
      <formula>NOT(ISERROR(SEARCH("Negative",L694)))</formula>
    </cfRule>
  </conditionalFormatting>
  <conditionalFormatting sqref="J697:K697">
    <cfRule type="containsText" dxfId="1433" priority="1628" operator="containsText" text="Missing">
      <formula>NOT(ISERROR(SEARCH("Missing",J697)))</formula>
    </cfRule>
  </conditionalFormatting>
  <conditionalFormatting sqref="L697">
    <cfRule type="containsText" dxfId="1432" priority="1626" operator="containsText" text="Positive">
      <formula>NOT(ISERROR(SEARCH("Positive",L697)))</formula>
    </cfRule>
    <cfRule type="containsText" dxfId="1431" priority="1627" operator="containsText" text="Negative">
      <formula>NOT(ISERROR(SEARCH("Negative",L697)))</formula>
    </cfRule>
  </conditionalFormatting>
  <conditionalFormatting sqref="H913:H914">
    <cfRule type="containsText" dxfId="1430" priority="1030" operator="containsText" text="Missing">
      <formula>NOT(ISERROR(SEARCH("Missing",H913)))</formula>
    </cfRule>
  </conditionalFormatting>
  <conditionalFormatting sqref="H743">
    <cfRule type="containsText" dxfId="1429" priority="1477" operator="containsText" text="Missing">
      <formula>NOT(ISERROR(SEARCH("Missing",H743)))</formula>
    </cfRule>
  </conditionalFormatting>
  <conditionalFormatting sqref="L700">
    <cfRule type="containsText" dxfId="1428" priority="1623" operator="containsText" text="Positive">
      <formula>NOT(ISERROR(SEARCH("Positive",L700)))</formula>
    </cfRule>
    <cfRule type="containsText" dxfId="1427" priority="1624" operator="containsText" text="Negative">
      <formula>NOT(ISERROR(SEARCH("Negative",L700)))</formula>
    </cfRule>
  </conditionalFormatting>
  <conditionalFormatting sqref="L700">
    <cfRule type="containsText" dxfId="1426" priority="1618" operator="containsText" text="Positive">
      <formula>NOT(ISERROR(SEARCH("Positive",L700)))</formula>
    </cfRule>
    <cfRule type="containsText" dxfId="1425" priority="1619" operator="containsText" text="Negative">
      <formula>NOT(ISERROR(SEARCH("Negative",L700)))</formula>
    </cfRule>
  </conditionalFormatting>
  <conditionalFormatting sqref="J700:K700">
    <cfRule type="containsText" dxfId="1424" priority="1620" operator="containsText" text="Missing">
      <formula>NOT(ISERROR(SEARCH("Missing",J700)))</formula>
    </cfRule>
  </conditionalFormatting>
  <conditionalFormatting sqref="H749">
    <cfRule type="containsText" dxfId="1423" priority="1470" operator="containsText" text="Missing">
      <formula>NOT(ISERROR(SEARCH("Missing",H749)))</formula>
    </cfRule>
  </conditionalFormatting>
  <conditionalFormatting sqref="H753:H754">
    <cfRule type="containsText" dxfId="1422" priority="1459" operator="containsText" text="Missing">
      <formula>NOT(ISERROR(SEARCH("Missing",H753)))</formula>
    </cfRule>
  </conditionalFormatting>
  <conditionalFormatting sqref="J697:K697">
    <cfRule type="containsText" dxfId="1421" priority="1633" operator="containsText" text="Missing">
      <formula>NOT(ISERROR(SEARCH("Missing",J697)))</formula>
    </cfRule>
  </conditionalFormatting>
  <conditionalFormatting sqref="L697">
    <cfRule type="containsText" dxfId="1420" priority="1629" operator="containsText" text="Positive">
      <formula>NOT(ISERROR(SEARCH("Positive",L697)))</formula>
    </cfRule>
    <cfRule type="containsText" dxfId="1419" priority="1630" operator="containsText" text="Negative">
      <formula>NOT(ISERROR(SEARCH("Negative",L697)))</formula>
    </cfRule>
  </conditionalFormatting>
  <conditionalFormatting sqref="H719">
    <cfRule type="containsText" dxfId="1418" priority="1564" operator="containsText" text="Missing">
      <formula>NOT(ISERROR(SEARCH("Missing",H719)))</formula>
    </cfRule>
  </conditionalFormatting>
  <conditionalFormatting sqref="L703">
    <cfRule type="containsText" dxfId="1417" priority="1615" operator="containsText" text="Positive">
      <formula>NOT(ISERROR(SEARCH("Positive",L703)))</formula>
    </cfRule>
    <cfRule type="containsText" dxfId="1416" priority="1616" operator="containsText" text="Negative">
      <formula>NOT(ISERROR(SEARCH("Negative",L703)))</formula>
    </cfRule>
  </conditionalFormatting>
  <conditionalFormatting sqref="L703">
    <cfRule type="containsText" dxfId="1415" priority="1610" operator="containsText" text="Positive">
      <formula>NOT(ISERROR(SEARCH("Positive",L703)))</formula>
    </cfRule>
    <cfRule type="containsText" dxfId="1414" priority="1611" operator="containsText" text="Negative">
      <formula>NOT(ISERROR(SEARCH("Negative",L703)))</formula>
    </cfRule>
  </conditionalFormatting>
  <conditionalFormatting sqref="J703:K703">
    <cfRule type="containsText" dxfId="1413" priority="1612" operator="containsText" text="Missing">
      <formula>NOT(ISERROR(SEARCH("Missing",J703)))</formula>
    </cfRule>
  </conditionalFormatting>
  <conditionalFormatting sqref="H757">
    <cfRule type="containsText" dxfId="1412" priority="1461" operator="containsText" text="Missing">
      <formula>NOT(ISERROR(SEARCH("Missing",H757)))</formula>
    </cfRule>
  </conditionalFormatting>
  <conditionalFormatting sqref="H833">
    <cfRule type="containsText" dxfId="1411" priority="1150" operator="containsText" text="Missing">
      <formula>NOT(ISERROR(SEARCH("Missing",H833)))</formula>
    </cfRule>
  </conditionalFormatting>
  <conditionalFormatting sqref="J700:K700">
    <cfRule type="containsText" dxfId="1410" priority="1625" operator="containsText" text="Missing">
      <formula>NOT(ISERROR(SEARCH("Missing",J700)))</formula>
    </cfRule>
  </conditionalFormatting>
  <conditionalFormatting sqref="L700">
    <cfRule type="containsText" dxfId="1409" priority="1621" operator="containsText" text="Positive">
      <formula>NOT(ISERROR(SEARCH("Positive",L700)))</formula>
    </cfRule>
    <cfRule type="containsText" dxfId="1408" priority="1622" operator="containsText" text="Negative">
      <formula>NOT(ISERROR(SEARCH("Negative",L700)))</formula>
    </cfRule>
  </conditionalFormatting>
  <conditionalFormatting sqref="H783">
    <cfRule type="containsText" dxfId="1407" priority="1301" operator="containsText" text="Missing">
      <formula>NOT(ISERROR(SEARCH("Missing",H783)))</formula>
    </cfRule>
  </conditionalFormatting>
  <conditionalFormatting sqref="H793">
    <cfRule type="containsText" dxfId="1406" priority="1297" operator="containsText" text="Missing">
      <formula>NOT(ISERROR(SEARCH("Missing",H793)))</formula>
    </cfRule>
  </conditionalFormatting>
  <conditionalFormatting sqref="H794">
    <cfRule type="containsText" dxfId="1405" priority="1296" operator="containsText" text="Missing">
      <formula>NOT(ISERROR(SEARCH("Missing",H794)))</formula>
    </cfRule>
  </conditionalFormatting>
  <conditionalFormatting sqref="J718:K718">
    <cfRule type="containsText" dxfId="1404" priority="1558" operator="containsText" text="Missing">
      <formula>NOT(ISERROR(SEARCH("Missing",J718)))</formula>
    </cfRule>
  </conditionalFormatting>
  <conditionalFormatting sqref="J703:K703">
    <cfRule type="containsText" dxfId="1403" priority="1617" operator="containsText" text="Missing">
      <formula>NOT(ISERROR(SEARCH("Missing",J703)))</formula>
    </cfRule>
  </conditionalFormatting>
  <conditionalFormatting sqref="L703">
    <cfRule type="containsText" dxfId="1402" priority="1613" operator="containsText" text="Positive">
      <formula>NOT(ISERROR(SEARCH("Positive",L703)))</formula>
    </cfRule>
    <cfRule type="containsText" dxfId="1401" priority="1614" operator="containsText" text="Negative">
      <formula>NOT(ISERROR(SEARCH("Negative",L703)))</formula>
    </cfRule>
  </conditionalFormatting>
  <conditionalFormatting sqref="H753:H754">
    <cfRule type="containsText" dxfId="1400" priority="1460" operator="containsText" text="Missing">
      <formula>NOT(ISERROR(SEARCH("Missing",H753)))</formula>
    </cfRule>
  </conditionalFormatting>
  <conditionalFormatting sqref="L706">
    <cfRule type="containsText" dxfId="1399" priority="1607" operator="containsText" text="Positive">
      <formula>NOT(ISERROR(SEARCH("Positive",L706)))</formula>
    </cfRule>
    <cfRule type="containsText" dxfId="1398" priority="1608" operator="containsText" text="Negative">
      <formula>NOT(ISERROR(SEARCH("Negative",L706)))</formula>
    </cfRule>
  </conditionalFormatting>
  <conditionalFormatting sqref="L706">
    <cfRule type="containsText" dxfId="1397" priority="1602" operator="containsText" text="Positive">
      <formula>NOT(ISERROR(SEARCH("Positive",L706)))</formula>
    </cfRule>
    <cfRule type="containsText" dxfId="1396" priority="1603" operator="containsText" text="Negative">
      <formula>NOT(ISERROR(SEARCH("Negative",L706)))</formula>
    </cfRule>
  </conditionalFormatting>
  <conditionalFormatting sqref="J706:K706">
    <cfRule type="containsText" dxfId="1395" priority="1604" operator="containsText" text="Missing">
      <formula>NOT(ISERROR(SEARCH("Missing",J706)))</formula>
    </cfRule>
  </conditionalFormatting>
  <conditionalFormatting sqref="H766:H767">
    <cfRule type="containsText" dxfId="1394" priority="1454" operator="containsText" text="Missing">
      <formula>NOT(ISERROR(SEARCH("Missing",H766)))</formula>
    </cfRule>
  </conditionalFormatting>
  <conditionalFormatting sqref="J767:K767">
    <cfRule type="containsText" dxfId="1393" priority="1439" operator="containsText" text="Missing">
      <formula>NOT(ISERROR(SEARCH("Missing",J767)))</formula>
    </cfRule>
  </conditionalFormatting>
  <conditionalFormatting sqref="J706:K706">
    <cfRule type="containsText" dxfId="1392" priority="1609" operator="containsText" text="Missing">
      <formula>NOT(ISERROR(SEARCH("Missing",J706)))</formula>
    </cfRule>
  </conditionalFormatting>
  <conditionalFormatting sqref="L706">
    <cfRule type="containsText" dxfId="1391" priority="1605" operator="containsText" text="Positive">
      <formula>NOT(ISERROR(SEARCH("Positive",L706)))</formula>
    </cfRule>
    <cfRule type="containsText" dxfId="1390" priority="1606" operator="containsText" text="Negative">
      <formula>NOT(ISERROR(SEARCH("Negative",L706)))</formula>
    </cfRule>
  </conditionalFormatting>
  <conditionalFormatting sqref="H696">
    <cfRule type="containsText" dxfId="1389" priority="1601" operator="containsText" text="Missing">
      <formula>NOT(ISERROR(SEARCH("Missing",H696)))</formula>
    </cfRule>
  </conditionalFormatting>
  <conditionalFormatting sqref="H696">
    <cfRule type="containsText" dxfId="1388" priority="1600" operator="containsText" text="Missing">
      <formula>NOT(ISERROR(SEARCH("Missing",H696)))</formula>
    </cfRule>
  </conditionalFormatting>
  <conditionalFormatting sqref="H694">
    <cfRule type="containsText" dxfId="1387" priority="1599" operator="containsText" text="Missing">
      <formula>NOT(ISERROR(SEARCH("Missing",H694)))</formula>
    </cfRule>
  </conditionalFormatting>
  <conditionalFormatting sqref="H694">
    <cfRule type="containsText" dxfId="1386" priority="1598" operator="containsText" text="Missing">
      <formula>NOT(ISERROR(SEARCH("Missing",H694)))</formula>
    </cfRule>
  </conditionalFormatting>
  <conditionalFormatting sqref="I697">
    <cfRule type="containsText" dxfId="1385" priority="1597" operator="containsText" text="Missing">
      <formula>NOT(ISERROR(SEARCH("Missing",I697)))</formula>
    </cfRule>
  </conditionalFormatting>
  <conditionalFormatting sqref="I700">
    <cfRule type="containsText" dxfId="1384" priority="1596" operator="containsText" text="Missing">
      <formula>NOT(ISERROR(SEARCH("Missing",I700)))</formula>
    </cfRule>
  </conditionalFormatting>
  <conditionalFormatting sqref="I703">
    <cfRule type="containsText" dxfId="1383" priority="1595" operator="containsText" text="Missing">
      <formula>NOT(ISERROR(SEARCH("Missing",I703)))</formula>
    </cfRule>
  </conditionalFormatting>
  <conditionalFormatting sqref="I706">
    <cfRule type="containsText" dxfId="1382" priority="1594" operator="containsText" text="Missing">
      <formula>NOT(ISERROR(SEARCH("Missing",I706)))</formula>
    </cfRule>
  </conditionalFormatting>
  <conditionalFormatting sqref="H697">
    <cfRule type="containsText" dxfId="1381" priority="1593" operator="containsText" text="Missing">
      <formula>NOT(ISERROR(SEARCH("Missing",H697)))</formula>
    </cfRule>
  </conditionalFormatting>
  <conditionalFormatting sqref="H697">
    <cfRule type="containsText" dxfId="1380" priority="1592" operator="containsText" text="Missing">
      <formula>NOT(ISERROR(SEARCH("Missing",H697)))</formula>
    </cfRule>
  </conditionalFormatting>
  <conditionalFormatting sqref="H700">
    <cfRule type="containsText" dxfId="1379" priority="1591" operator="containsText" text="Missing">
      <formula>NOT(ISERROR(SEARCH("Missing",H700)))</formula>
    </cfRule>
  </conditionalFormatting>
  <conditionalFormatting sqref="H700">
    <cfRule type="containsText" dxfId="1378" priority="1590" operator="containsText" text="Missing">
      <formula>NOT(ISERROR(SEARCH("Missing",H700)))</formula>
    </cfRule>
  </conditionalFormatting>
  <conditionalFormatting sqref="J746">
    <cfRule type="containsText" dxfId="1377" priority="1504" operator="containsText" text="Missing">
      <formula>NOT(ISERROR(SEARCH("Missing",J746)))</formula>
    </cfRule>
  </conditionalFormatting>
  <conditionalFormatting sqref="H703">
    <cfRule type="containsText" dxfId="1376" priority="1588" operator="containsText" text="Missing">
      <formula>NOT(ISERROR(SEARCH("Missing",H703)))</formula>
    </cfRule>
  </conditionalFormatting>
  <conditionalFormatting sqref="H885">
    <cfRule type="containsText" dxfId="1375" priority="989" operator="containsText" text="Missing">
      <formula>NOT(ISERROR(SEARCH("Missing",H885)))</formula>
    </cfRule>
  </conditionalFormatting>
  <conditionalFormatting sqref="H794">
    <cfRule type="containsText" dxfId="1374" priority="1295" operator="containsText" text="Missing">
      <formula>NOT(ISERROR(SEARCH("Missing",H794)))</formula>
    </cfRule>
  </conditionalFormatting>
  <conditionalFormatting sqref="H885">
    <cfRule type="containsText" dxfId="1373" priority="988" operator="containsText" text="Missing">
      <formula>NOT(ISERROR(SEARCH("Missing",H885)))</formula>
    </cfRule>
  </conditionalFormatting>
  <conditionalFormatting sqref="I888:I889">
    <cfRule type="containsText" dxfId="1372" priority="973" operator="containsText" text="Missing">
      <formula>NOT(ISERROR(SEARCH("Missing",I888)))</formula>
    </cfRule>
  </conditionalFormatting>
  <conditionalFormatting sqref="H706">
    <cfRule type="containsText" dxfId="1371" priority="1587" operator="containsText" text="Missing">
      <formula>NOT(ISERROR(SEARCH("Missing",H706)))</formula>
    </cfRule>
  </conditionalFormatting>
  <conditionalFormatting sqref="H706">
    <cfRule type="containsText" dxfId="1370" priority="1586" operator="containsText" text="Missing">
      <formula>NOT(ISERROR(SEARCH("Missing",H706)))</formula>
    </cfRule>
  </conditionalFormatting>
  <conditionalFormatting sqref="I845:I846">
    <cfRule type="containsText" dxfId="1369" priority="1146" operator="containsText" text="Missing">
      <formula>NOT(ISERROR(SEARCH("Missing",I845)))</formula>
    </cfRule>
  </conditionalFormatting>
  <conditionalFormatting sqref="J768:K780">
    <cfRule type="containsText" dxfId="1368" priority="1447" operator="containsText" text="Missing">
      <formula>NOT(ISERROR(SEARCH("Missing",J768)))</formula>
    </cfRule>
  </conditionalFormatting>
  <conditionalFormatting sqref="J781:K781">
    <cfRule type="containsText" dxfId="1367" priority="1446" operator="containsText" text="Missing">
      <formula>NOT(ISERROR(SEARCH("Missing",J781)))</formula>
    </cfRule>
  </conditionalFormatting>
  <conditionalFormatting sqref="I792:I794">
    <cfRule type="containsText" dxfId="1366" priority="1299" operator="containsText" text="Missing">
      <formula>NOT(ISERROR(SEARCH("Missing",I792)))</formula>
    </cfRule>
  </conditionalFormatting>
  <conditionalFormatting sqref="H847">
    <cfRule type="containsText" dxfId="1365" priority="1189" operator="containsText" text="Missing">
      <formula>NOT(ISERROR(SEARCH("Missing",H847)))</formula>
    </cfRule>
  </conditionalFormatting>
  <conditionalFormatting sqref="H707">
    <cfRule type="containsText" dxfId="1364" priority="1584" operator="containsText" text="Missing">
      <formula>NOT(ISERROR(SEARCH("Missing",H707)))</formula>
    </cfRule>
  </conditionalFormatting>
  <conditionalFormatting sqref="H850">
    <cfRule type="containsText" dxfId="1363" priority="1186" operator="containsText" text="Missing">
      <formula>NOT(ISERROR(SEARCH("Missing",H850)))</formula>
    </cfRule>
  </conditionalFormatting>
  <conditionalFormatting sqref="H704:H705">
    <cfRule type="containsText" dxfId="1362" priority="1581" operator="containsText" text="Missing">
      <formula>NOT(ISERROR(SEARCH("Missing",H704)))</formula>
    </cfRule>
  </conditionalFormatting>
  <conditionalFormatting sqref="H792">
    <cfRule type="containsText" dxfId="1361" priority="1342" operator="containsText" text="Missing">
      <formula>NOT(ISERROR(SEARCH("Missing",H792)))</formula>
    </cfRule>
  </conditionalFormatting>
  <conditionalFormatting sqref="H698:H699">
    <cfRule type="containsText" dxfId="1360" priority="1579" operator="containsText" text="Missing">
      <formula>NOT(ISERROR(SEARCH("Missing",H698)))</formula>
    </cfRule>
  </conditionalFormatting>
  <conditionalFormatting sqref="H698:H699">
    <cfRule type="containsText" dxfId="1359" priority="1578" operator="containsText" text="Missing">
      <formula>NOT(ISERROR(SEARCH("Missing",H698)))</formula>
    </cfRule>
  </conditionalFormatting>
  <conditionalFormatting sqref="H701:H702">
    <cfRule type="containsText" dxfId="1358" priority="1577" operator="containsText" text="Missing">
      <formula>NOT(ISERROR(SEARCH("Missing",H701)))</formula>
    </cfRule>
  </conditionalFormatting>
  <conditionalFormatting sqref="H701:H702">
    <cfRule type="containsText" dxfId="1357" priority="1576" operator="containsText" text="Missing">
      <formula>NOT(ISERROR(SEARCH("Missing",H701)))</formula>
    </cfRule>
  </conditionalFormatting>
  <conditionalFormatting sqref="H896">
    <cfRule type="containsText" dxfId="1356" priority="1037" operator="containsText" text="Missing">
      <formula>NOT(ISERROR(SEARCH("Missing",H896)))</formula>
    </cfRule>
  </conditionalFormatting>
  <conditionalFormatting sqref="H798">
    <cfRule type="containsText" dxfId="1355" priority="1335" operator="containsText" text="Missing">
      <formula>NOT(ISERROR(SEARCH("Missing",H798)))</formula>
    </cfRule>
  </conditionalFormatting>
  <conditionalFormatting sqref="H717:H718">
    <cfRule type="containsText" dxfId="1354" priority="1573" operator="containsText" text="Missing">
      <formula>NOT(ISERROR(SEARCH("Missing",H717)))</formula>
    </cfRule>
  </conditionalFormatting>
  <conditionalFormatting sqref="L717:L718">
    <cfRule type="containsText" dxfId="1353" priority="1571" operator="containsText" text="Positive">
      <formula>NOT(ISERROR(SEARCH("Positive",L717)))</formula>
    </cfRule>
    <cfRule type="containsText" dxfId="1352" priority="1572" operator="containsText" text="Negative">
      <formula>NOT(ISERROR(SEARCH("Negative",L717)))</formula>
    </cfRule>
  </conditionalFormatting>
  <conditionalFormatting sqref="L719:L732">
    <cfRule type="containsText" dxfId="1351" priority="1567" operator="containsText" text="Positive">
      <formula>NOT(ISERROR(SEARCH("Positive",L719)))</formula>
    </cfRule>
    <cfRule type="containsText" dxfId="1350" priority="1568" operator="containsText" text="Negative">
      <formula>NOT(ISERROR(SEARCH("Negative",L719)))</formula>
    </cfRule>
  </conditionalFormatting>
  <conditionalFormatting sqref="L719:L732">
    <cfRule type="containsText" dxfId="1349" priority="1569" operator="containsText" text="Positive">
      <formula>NOT(ISERROR(SEARCH("Positive",L719)))</formula>
    </cfRule>
    <cfRule type="containsText" dxfId="1348" priority="1570" operator="containsText" text="Negative">
      <formula>NOT(ISERROR(SEARCH("Negative",L719)))</formula>
    </cfRule>
  </conditionalFormatting>
  <conditionalFormatting sqref="J719:K731">
    <cfRule type="containsText" dxfId="1347" priority="1566" operator="containsText" text="Missing">
      <formula>NOT(ISERROR(SEARCH("Missing",J719)))</formula>
    </cfRule>
  </conditionalFormatting>
  <conditionalFormatting sqref="H845">
    <cfRule type="containsText" dxfId="1346" priority="1143" operator="containsText" text="Missing">
      <formula>NOT(ISERROR(SEARCH("Missing",H845)))</formula>
    </cfRule>
  </conditionalFormatting>
  <conditionalFormatting sqref="I833:I834">
    <cfRule type="containsText" dxfId="1345" priority="1151" operator="containsText" text="Missing">
      <formula>NOT(ISERROR(SEARCH("Missing",I833)))</formula>
    </cfRule>
  </conditionalFormatting>
  <conditionalFormatting sqref="J732:K732">
    <cfRule type="containsText" dxfId="1344" priority="1565" operator="containsText" text="Missing">
      <formula>NOT(ISERROR(SEARCH("Missing",J732)))</formula>
    </cfRule>
  </conditionalFormatting>
  <conditionalFormatting sqref="H886">
    <cfRule type="containsText" dxfId="1343" priority="974" operator="containsText" text="Missing">
      <formula>NOT(ISERROR(SEARCH("Missing",H886)))</formula>
    </cfRule>
  </conditionalFormatting>
  <conditionalFormatting sqref="J817:K829">
    <cfRule type="containsText" dxfId="1342" priority="1314" operator="containsText" text="Missing">
      <formula>NOT(ISERROR(SEARCH("Missing",J817)))</formula>
    </cfRule>
  </conditionalFormatting>
  <conditionalFormatting sqref="H817">
    <cfRule type="containsText" dxfId="1341" priority="1312" operator="containsText" text="Missing">
      <formula>NOT(ISERROR(SEARCH("Missing",H817)))</formula>
    </cfRule>
  </conditionalFormatting>
  <conditionalFormatting sqref="H749">
    <cfRule type="containsText" dxfId="1340" priority="1469" operator="containsText" text="Missing">
      <formula>NOT(ISERROR(SEARCH("Missing",H749)))</formula>
    </cfRule>
  </conditionalFormatting>
  <conditionalFormatting sqref="H750:H751">
    <cfRule type="containsText" dxfId="1339" priority="1457" operator="containsText" text="Missing">
      <formula>NOT(ISERROR(SEARCH("Missing",H750)))</formula>
    </cfRule>
  </conditionalFormatting>
  <conditionalFormatting sqref="H855">
    <cfRule type="containsText" dxfId="1338" priority="1181" operator="containsText" text="Missing">
      <formula>NOT(ISERROR(SEARCH("Missing",H855)))</formula>
    </cfRule>
  </conditionalFormatting>
  <conditionalFormatting sqref="H854">
    <cfRule type="containsText" dxfId="1337" priority="1182" operator="containsText" text="Missing">
      <formula>NOT(ISERROR(SEARCH("Missing",H854)))</formula>
    </cfRule>
  </conditionalFormatting>
  <conditionalFormatting sqref="H750:H751">
    <cfRule type="containsText" dxfId="1336" priority="1458" operator="containsText" text="Missing">
      <formula>NOT(ISERROR(SEARCH("Missing",H750)))</formula>
    </cfRule>
  </conditionalFormatting>
  <conditionalFormatting sqref="H766:H767">
    <cfRule type="containsText" dxfId="1335" priority="1455" operator="containsText" text="Missing">
      <formula>NOT(ISERROR(SEARCH("Missing",H766)))</formula>
    </cfRule>
  </conditionalFormatting>
  <conditionalFormatting sqref="I719">
    <cfRule type="containsText" dxfId="1334" priority="1563" operator="containsText" text="Missing">
      <formula>NOT(ISERROR(SEARCH("Missing",I719)))</formula>
    </cfRule>
  </conditionalFormatting>
  <conditionalFormatting sqref="I786:I787">
    <cfRule type="containsText" dxfId="1333" priority="1305" operator="containsText" text="Missing">
      <formula>NOT(ISERROR(SEARCH("Missing",I786)))</formula>
    </cfRule>
  </conditionalFormatting>
  <conditionalFormatting sqref="I782:I783">
    <cfRule type="containsText" dxfId="1332" priority="1304" operator="containsText" text="Missing">
      <formula>NOT(ISERROR(SEARCH("Missing",I782)))</formula>
    </cfRule>
  </conditionalFormatting>
  <conditionalFormatting sqref="H782">
    <cfRule type="containsText" dxfId="1331" priority="1303" operator="containsText" text="Missing">
      <formula>NOT(ISERROR(SEARCH("Missing",H782)))</formula>
    </cfRule>
  </conditionalFormatting>
  <conditionalFormatting sqref="H782">
    <cfRule type="containsText" dxfId="1330" priority="1302" operator="containsText" text="Missing">
      <formula>NOT(ISERROR(SEARCH("Missing",H782)))</formula>
    </cfRule>
  </conditionalFormatting>
  <conditionalFormatting sqref="H884">
    <cfRule type="containsText" dxfId="1329" priority="990" operator="containsText" text="Missing">
      <formula>NOT(ISERROR(SEARCH("Missing",H884)))</formula>
    </cfRule>
  </conditionalFormatting>
  <conditionalFormatting sqref="H833">
    <cfRule type="containsText" dxfId="1328" priority="1149" operator="containsText" text="Missing">
      <formula>NOT(ISERROR(SEARCH("Missing",H833)))</formula>
    </cfRule>
  </conditionalFormatting>
  <conditionalFormatting sqref="H897">
    <cfRule type="containsText" dxfId="1327" priority="985" operator="containsText" text="Missing">
      <formula>NOT(ISERROR(SEARCH("Missing",H897)))</formula>
    </cfRule>
  </conditionalFormatting>
  <conditionalFormatting sqref="H783">
    <cfRule type="containsText" dxfId="1326" priority="1300" operator="containsText" text="Missing">
      <formula>NOT(ISERROR(SEARCH("Missing",H783)))</formula>
    </cfRule>
  </conditionalFormatting>
  <conditionalFormatting sqref="H894">
    <cfRule type="containsText" dxfId="1325" priority="995" operator="containsText" text="Missing">
      <formula>NOT(ISERROR(SEARCH("Missing",H894)))</formula>
    </cfRule>
  </conditionalFormatting>
  <conditionalFormatting sqref="H793">
    <cfRule type="containsText" dxfId="1324" priority="1298" operator="containsText" text="Missing">
      <formula>NOT(ISERROR(SEARCH("Missing",H793)))</formula>
    </cfRule>
  </conditionalFormatting>
  <conditionalFormatting sqref="I897:I898">
    <cfRule type="containsText" dxfId="1323" priority="984" operator="containsText" text="Missing">
      <formula>NOT(ISERROR(SEARCH("Missing",I897)))</formula>
    </cfRule>
  </conditionalFormatting>
  <conditionalFormatting sqref="H846">
    <cfRule type="containsText" dxfId="1322" priority="1142" operator="containsText" text="Missing">
      <formula>NOT(ISERROR(SEARCH("Missing",H846)))</formula>
    </cfRule>
  </conditionalFormatting>
  <conditionalFormatting sqref="H894">
    <cfRule type="containsText" dxfId="1321" priority="996" operator="containsText" text="Missing">
      <formula>NOT(ISERROR(SEARCH("Missing",H894)))</formula>
    </cfRule>
  </conditionalFormatting>
  <conditionalFormatting sqref="H898">
    <cfRule type="containsText" dxfId="1320" priority="983" operator="containsText" text="Missing">
      <formula>NOT(ISERROR(SEARCH("Missing",H898)))</formula>
    </cfRule>
  </conditionalFormatting>
  <conditionalFormatting sqref="H846">
    <cfRule type="containsText" dxfId="1319" priority="1141" operator="containsText" text="Missing">
      <formula>NOT(ISERROR(SEARCH("Missing",H846)))</formula>
    </cfRule>
  </conditionalFormatting>
  <conditionalFormatting sqref="L718">
    <cfRule type="containsText" dxfId="1318" priority="1559" operator="containsText" text="Positive">
      <formula>NOT(ISERROR(SEARCH("Positive",L718)))</formula>
    </cfRule>
    <cfRule type="containsText" dxfId="1317" priority="1560" operator="containsText" text="Negative">
      <formula>NOT(ISERROR(SEARCH("Negative",L718)))</formula>
    </cfRule>
  </conditionalFormatting>
  <conditionalFormatting sqref="L718">
    <cfRule type="containsText" dxfId="1316" priority="1561" operator="containsText" text="Positive">
      <formula>NOT(ISERROR(SEARCH("Positive",L718)))</formula>
    </cfRule>
    <cfRule type="containsText" dxfId="1315" priority="1562" operator="containsText" text="Negative">
      <formula>NOT(ISERROR(SEARCH("Negative",L718)))</formula>
    </cfRule>
  </conditionalFormatting>
  <conditionalFormatting sqref="I737:K742 J735:K736">
    <cfRule type="containsText" dxfId="1314" priority="1557" operator="containsText" text="Missing">
      <formula>NOT(ISERROR(SEARCH("Missing",I735)))</formula>
    </cfRule>
  </conditionalFormatting>
  <conditionalFormatting sqref="L735:L742">
    <cfRule type="containsText" dxfId="1313" priority="1555" operator="containsText" text="Positive">
      <formula>NOT(ISERROR(SEARCH("Positive",L735)))</formula>
    </cfRule>
    <cfRule type="containsText" dxfId="1312" priority="1556" operator="containsText" text="Negative">
      <formula>NOT(ISERROR(SEARCH("Negative",L735)))</formula>
    </cfRule>
  </conditionalFormatting>
  <conditionalFormatting sqref="J733:K733">
    <cfRule type="containsText" dxfId="1311" priority="1554" operator="containsText" text="Missing">
      <formula>NOT(ISERROR(SEARCH("Missing",J733)))</formula>
    </cfRule>
  </conditionalFormatting>
  <conditionalFormatting sqref="H737:H742">
    <cfRule type="containsText" dxfId="1310" priority="1538" operator="containsText" text="Missing">
      <formula>NOT(ISERROR(SEARCH("Missing",H737)))</formula>
    </cfRule>
  </conditionalFormatting>
  <conditionalFormatting sqref="L733">
    <cfRule type="containsText" dxfId="1309" priority="1552" operator="containsText" text="Positive">
      <formula>NOT(ISERROR(SEARCH("Positive",L733)))</formula>
    </cfRule>
    <cfRule type="containsText" dxfId="1308" priority="1553" operator="containsText" text="Negative">
      <formula>NOT(ISERROR(SEARCH("Negative",L733)))</formula>
    </cfRule>
  </conditionalFormatting>
  <conditionalFormatting sqref="L733">
    <cfRule type="containsText" dxfId="1307" priority="1550" operator="containsText" text="Positive">
      <formula>NOT(ISERROR(SEARCH("Positive",L733)))</formula>
    </cfRule>
    <cfRule type="containsText" dxfId="1306" priority="1551" operator="containsText" text="Negative">
      <formula>NOT(ISERROR(SEARCH("Negative",L733)))</formula>
    </cfRule>
  </conditionalFormatting>
  <conditionalFormatting sqref="J733:K733">
    <cfRule type="containsText" dxfId="1305" priority="1549" operator="containsText" text="Missing">
      <formula>NOT(ISERROR(SEARCH("Missing",J733)))</formula>
    </cfRule>
  </conditionalFormatting>
  <conditionalFormatting sqref="L733">
    <cfRule type="containsText" dxfId="1304" priority="1547" operator="containsText" text="Positive">
      <formula>NOT(ISERROR(SEARCH("Positive",L733)))</formula>
    </cfRule>
    <cfRule type="containsText" dxfId="1303" priority="1548" operator="containsText" text="Negative">
      <formula>NOT(ISERROR(SEARCH("Negative",L733)))</formula>
    </cfRule>
  </conditionalFormatting>
  <conditionalFormatting sqref="J796:K797 J799:K800 I802:K803 I805:K806">
    <cfRule type="containsText" dxfId="1302" priority="1401" operator="containsText" text="Missing">
      <formula>NOT(ISERROR(SEARCH("Missing",I796)))</formula>
    </cfRule>
  </conditionalFormatting>
  <conditionalFormatting sqref="J734:K734">
    <cfRule type="containsText" dxfId="1301" priority="1546" operator="containsText" text="Missing">
      <formula>NOT(ISERROR(SEARCH("Missing",J734)))</formula>
    </cfRule>
  </conditionalFormatting>
  <conditionalFormatting sqref="H737:H742">
    <cfRule type="containsText" dxfId="1300" priority="1537" operator="containsText" text="Missing">
      <formula>NOT(ISERROR(SEARCH("Missing",H737)))</formula>
    </cfRule>
  </conditionalFormatting>
  <conditionalFormatting sqref="J747:K748 I750:K751 I753:K754 I756:K757">
    <cfRule type="containsText" dxfId="1299" priority="1536" operator="containsText" text="Missing">
      <formula>NOT(ISERROR(SEARCH("Missing",I747)))</formula>
    </cfRule>
  </conditionalFormatting>
  <conditionalFormatting sqref="L734">
    <cfRule type="containsText" dxfId="1298" priority="1544" operator="containsText" text="Positive">
      <formula>NOT(ISERROR(SEARCH("Positive",L734)))</formula>
    </cfRule>
    <cfRule type="containsText" dxfId="1297" priority="1545" operator="containsText" text="Negative">
      <formula>NOT(ISERROR(SEARCH("Negative",L734)))</formula>
    </cfRule>
  </conditionalFormatting>
  <conditionalFormatting sqref="L734">
    <cfRule type="containsText" dxfId="1296" priority="1542" operator="containsText" text="Positive">
      <formula>NOT(ISERROR(SEARCH("Positive",L734)))</formula>
    </cfRule>
    <cfRule type="containsText" dxfId="1295" priority="1543" operator="containsText" text="Negative">
      <formula>NOT(ISERROR(SEARCH("Negative",L734)))</formula>
    </cfRule>
  </conditionalFormatting>
  <conditionalFormatting sqref="J734:K734">
    <cfRule type="containsText" dxfId="1294" priority="1541" operator="containsText" text="Missing">
      <formula>NOT(ISERROR(SEARCH("Missing",J734)))</formula>
    </cfRule>
  </conditionalFormatting>
  <conditionalFormatting sqref="L734">
    <cfRule type="containsText" dxfId="1293" priority="1539" operator="containsText" text="Positive">
      <formula>NOT(ISERROR(SEARCH("Positive",L734)))</formula>
    </cfRule>
    <cfRule type="containsText" dxfId="1292" priority="1540" operator="containsText" text="Negative">
      <formula>NOT(ISERROR(SEARCH("Negative",L734)))</formula>
    </cfRule>
  </conditionalFormatting>
  <conditionalFormatting sqref="H788:H791">
    <cfRule type="containsText" dxfId="1291" priority="1402" operator="containsText" text="Missing">
      <formula>NOT(ISERROR(SEARCH("Missing",H788)))</formula>
    </cfRule>
  </conditionalFormatting>
  <conditionalFormatting sqref="H752">
    <cfRule type="containsText" dxfId="1290" priority="1468" operator="containsText" text="Missing">
      <formula>NOT(ISERROR(SEARCH("Missing",H752)))</formula>
    </cfRule>
  </conditionalFormatting>
  <conditionalFormatting sqref="J793:K793">
    <cfRule type="containsText" dxfId="1289" priority="1398" operator="containsText" text="Missing">
      <formula>NOT(ISERROR(SEARCH("Missing",J793)))</formula>
    </cfRule>
  </conditionalFormatting>
  <conditionalFormatting sqref="I766:K767">
    <cfRule type="containsText" dxfId="1288" priority="1456" operator="containsText" text="Missing">
      <formula>NOT(ISERROR(SEARCH("Missing",I766)))</formula>
    </cfRule>
  </conditionalFormatting>
  <conditionalFormatting sqref="J744:K744">
    <cfRule type="containsText" dxfId="1287" priority="1528" operator="containsText" text="Missing">
      <formula>NOT(ISERROR(SEARCH("Missing",J744)))</formula>
    </cfRule>
  </conditionalFormatting>
  <conditionalFormatting sqref="J792:K792">
    <cfRule type="containsText" dxfId="1286" priority="1382" operator="containsText" text="Missing">
      <formula>NOT(ISERROR(SEARCH("Missing",J792)))</formula>
    </cfRule>
  </conditionalFormatting>
  <conditionalFormatting sqref="H757">
    <cfRule type="containsText" dxfId="1285" priority="1462" operator="containsText" text="Missing">
      <formula>NOT(ISERROR(SEARCH("Missing",H757)))</formula>
    </cfRule>
  </conditionalFormatting>
  <conditionalFormatting sqref="H842">
    <cfRule type="containsText" dxfId="1284" priority="1154" operator="containsText" text="Missing">
      <formula>NOT(ISERROR(SEARCH("Missing",H842)))</formula>
    </cfRule>
  </conditionalFormatting>
  <conditionalFormatting sqref="L743">
    <cfRule type="containsText" dxfId="1283" priority="1515" operator="containsText" text="Positive">
      <formula>NOT(ISERROR(SEARCH("Positive",L743)))</formula>
    </cfRule>
    <cfRule type="containsText" dxfId="1282" priority="1516" operator="containsText" text="Negative">
      <formula>NOT(ISERROR(SEARCH("Negative",L743)))</formula>
    </cfRule>
  </conditionalFormatting>
  <conditionalFormatting sqref="L743">
    <cfRule type="containsText" dxfId="1281" priority="1510" operator="containsText" text="Positive">
      <formula>NOT(ISERROR(SEARCH("Positive",L743)))</formula>
    </cfRule>
    <cfRule type="containsText" dxfId="1280" priority="1511" operator="containsText" text="Negative">
      <formula>NOT(ISERROR(SEARCH("Negative",L743)))</formula>
    </cfRule>
  </conditionalFormatting>
  <conditionalFormatting sqref="L747:L748 L750:L751 L753:L754 L756:L757">
    <cfRule type="containsText" dxfId="1279" priority="1534" operator="containsText" text="Positive">
      <formula>NOT(ISERROR(SEARCH("Positive",L747)))</formula>
    </cfRule>
    <cfRule type="containsText" dxfId="1278" priority="1535" operator="containsText" text="Negative">
      <formula>NOT(ISERROR(SEARCH("Negative",L747)))</formula>
    </cfRule>
  </conditionalFormatting>
  <conditionalFormatting sqref="J744:K744">
    <cfRule type="containsText" dxfId="1277" priority="1533" operator="containsText" text="Missing">
      <formula>NOT(ISERROR(SEARCH("Missing",J744)))</formula>
    </cfRule>
  </conditionalFormatting>
  <conditionalFormatting sqref="L744">
    <cfRule type="containsText" dxfId="1276" priority="1531" operator="containsText" text="Positive">
      <formula>NOT(ISERROR(SEARCH("Positive",L744)))</formula>
    </cfRule>
    <cfRule type="containsText" dxfId="1275" priority="1532" operator="containsText" text="Negative">
      <formula>NOT(ISERROR(SEARCH("Negative",L744)))</formula>
    </cfRule>
  </conditionalFormatting>
  <conditionalFormatting sqref="L744">
    <cfRule type="containsText" dxfId="1274" priority="1529" operator="containsText" text="Positive">
      <formula>NOT(ISERROR(SEARCH("Positive",L744)))</formula>
    </cfRule>
    <cfRule type="containsText" dxfId="1273" priority="1530" operator="containsText" text="Negative">
      <formula>NOT(ISERROR(SEARCH("Negative",L744)))</formula>
    </cfRule>
  </conditionalFormatting>
  <conditionalFormatting sqref="H756">
    <cfRule type="containsText" dxfId="1272" priority="1464" operator="containsText" text="Missing">
      <formula>NOT(ISERROR(SEARCH("Missing",H756)))</formula>
    </cfRule>
  </conditionalFormatting>
  <conditionalFormatting sqref="L744">
    <cfRule type="containsText" dxfId="1271" priority="1526" operator="containsText" text="Positive">
      <formula>NOT(ISERROR(SEARCH("Positive",L744)))</formula>
    </cfRule>
    <cfRule type="containsText" dxfId="1270" priority="1527" operator="containsText" text="Negative">
      <formula>NOT(ISERROR(SEARCH("Negative",L744)))</formula>
    </cfRule>
  </conditionalFormatting>
  <conditionalFormatting sqref="J745:K745">
    <cfRule type="containsText" dxfId="1269" priority="1525" operator="containsText" text="Missing">
      <formula>NOT(ISERROR(SEARCH("Missing",J745)))</formula>
    </cfRule>
  </conditionalFormatting>
  <conditionalFormatting sqref="L745">
    <cfRule type="containsText" dxfId="1268" priority="1523" operator="containsText" text="Positive">
      <formula>NOT(ISERROR(SEARCH("Positive",L745)))</formula>
    </cfRule>
    <cfRule type="containsText" dxfId="1267" priority="1524" operator="containsText" text="Negative">
      <formula>NOT(ISERROR(SEARCH("Negative",L745)))</formula>
    </cfRule>
  </conditionalFormatting>
  <conditionalFormatting sqref="L745">
    <cfRule type="containsText" dxfId="1266" priority="1521" operator="containsText" text="Positive">
      <formula>NOT(ISERROR(SEARCH("Positive",L745)))</formula>
    </cfRule>
    <cfRule type="containsText" dxfId="1265" priority="1522" operator="containsText" text="Negative">
      <formula>NOT(ISERROR(SEARCH("Negative",L745)))</formula>
    </cfRule>
  </conditionalFormatting>
  <conditionalFormatting sqref="J745:K745">
    <cfRule type="containsText" dxfId="1264" priority="1520" operator="containsText" text="Missing">
      <formula>NOT(ISERROR(SEARCH("Missing",J745)))</formula>
    </cfRule>
  </conditionalFormatting>
  <conditionalFormatting sqref="L745">
    <cfRule type="containsText" dxfId="1263" priority="1518" operator="containsText" text="Positive">
      <formula>NOT(ISERROR(SEARCH("Positive",L745)))</formula>
    </cfRule>
    <cfRule type="containsText" dxfId="1262" priority="1519" operator="containsText" text="Negative">
      <formula>NOT(ISERROR(SEARCH("Negative",L745)))</formula>
    </cfRule>
  </conditionalFormatting>
  <conditionalFormatting sqref="J743:K743">
    <cfRule type="containsText" dxfId="1261" priority="1512" operator="containsText" text="Missing">
      <formula>NOT(ISERROR(SEARCH("Missing",J743)))</formula>
    </cfRule>
  </conditionalFormatting>
  <conditionalFormatting sqref="I841:I843">
    <cfRule type="containsText" dxfId="1260" priority="1156" operator="containsText" text="Missing">
      <formula>NOT(ISERROR(SEARCH("Missing",I841)))</formula>
    </cfRule>
  </conditionalFormatting>
  <conditionalFormatting sqref="J816:K816">
    <cfRule type="containsText" dxfId="1259" priority="1306" operator="containsText" text="Missing">
      <formula>NOT(ISERROR(SEARCH("Missing",J816)))</formula>
    </cfRule>
  </conditionalFormatting>
  <conditionalFormatting sqref="J743:K743">
    <cfRule type="containsText" dxfId="1258" priority="1517" operator="containsText" text="Missing">
      <formula>NOT(ISERROR(SEARCH("Missing",J743)))</formula>
    </cfRule>
  </conditionalFormatting>
  <conditionalFormatting sqref="L746">
    <cfRule type="containsText" dxfId="1257" priority="1507" operator="containsText" text="Positive">
      <formula>NOT(ISERROR(SEARCH("Positive",L746)))</formula>
    </cfRule>
    <cfRule type="containsText" dxfId="1256" priority="1508" operator="containsText" text="Negative">
      <formula>NOT(ISERROR(SEARCH("Negative",L746)))</formula>
    </cfRule>
  </conditionalFormatting>
  <conditionalFormatting sqref="L743">
    <cfRule type="containsText" dxfId="1255" priority="1513" operator="containsText" text="Positive">
      <formula>NOT(ISERROR(SEARCH("Positive",L743)))</formula>
    </cfRule>
    <cfRule type="containsText" dxfId="1254" priority="1514" operator="containsText" text="Negative">
      <formula>NOT(ISERROR(SEARCH("Negative",L743)))</formula>
    </cfRule>
  </conditionalFormatting>
  <conditionalFormatting sqref="J853:K853">
    <cfRule type="containsText" dxfId="1253" priority="1197" operator="containsText" text="Missing">
      <formula>NOT(ISERROR(SEARCH("Missing",J853)))</formula>
    </cfRule>
  </conditionalFormatting>
  <conditionalFormatting sqref="L746">
    <cfRule type="containsText" dxfId="1252" priority="1502" operator="containsText" text="Positive">
      <formula>NOT(ISERROR(SEARCH("Positive",L746)))</formula>
    </cfRule>
    <cfRule type="containsText" dxfId="1251" priority="1503" operator="containsText" text="Negative">
      <formula>NOT(ISERROR(SEARCH("Negative",L746)))</formula>
    </cfRule>
  </conditionalFormatting>
  <conditionalFormatting sqref="L749">
    <cfRule type="containsText" dxfId="1250" priority="1499" operator="containsText" text="Positive">
      <formula>NOT(ISERROR(SEARCH("Positive",L749)))</formula>
    </cfRule>
    <cfRule type="containsText" dxfId="1249" priority="1500" operator="containsText" text="Negative">
      <formula>NOT(ISERROR(SEARCH("Negative",L749)))</formula>
    </cfRule>
  </conditionalFormatting>
  <conditionalFormatting sqref="L749">
    <cfRule type="containsText" dxfId="1248" priority="1494" operator="containsText" text="Positive">
      <formula>NOT(ISERROR(SEARCH("Positive",L749)))</formula>
    </cfRule>
    <cfRule type="containsText" dxfId="1247" priority="1495" operator="containsText" text="Negative">
      <formula>NOT(ISERROR(SEARCH("Negative",L749)))</formula>
    </cfRule>
  </conditionalFormatting>
  <conditionalFormatting sqref="J749:K749">
    <cfRule type="containsText" dxfId="1246" priority="1496" operator="containsText" text="Missing">
      <formula>NOT(ISERROR(SEARCH("Missing",J749)))</formula>
    </cfRule>
  </conditionalFormatting>
  <conditionalFormatting sqref="J746">
    <cfRule type="containsText" dxfId="1245" priority="1509" operator="containsText" text="Missing">
      <formula>NOT(ISERROR(SEARCH("Missing",J746)))</formula>
    </cfRule>
  </conditionalFormatting>
  <conditionalFormatting sqref="L746">
    <cfRule type="containsText" dxfId="1244" priority="1505" operator="containsText" text="Positive">
      <formula>NOT(ISERROR(SEARCH("Positive",L746)))</formula>
    </cfRule>
    <cfRule type="containsText" dxfId="1243" priority="1506" operator="containsText" text="Negative">
      <formula>NOT(ISERROR(SEARCH("Negative",L746)))</formula>
    </cfRule>
  </conditionalFormatting>
  <conditionalFormatting sqref="H938">
    <cfRule type="containsText" dxfId="1242" priority="874" operator="containsText" text="Missing">
      <formula>NOT(ISERROR(SEARCH("Missing",H938)))</formula>
    </cfRule>
  </conditionalFormatting>
  <conditionalFormatting sqref="L752">
    <cfRule type="containsText" dxfId="1241" priority="1491" operator="containsText" text="Positive">
      <formula>NOT(ISERROR(SEARCH("Positive",L752)))</formula>
    </cfRule>
    <cfRule type="containsText" dxfId="1240" priority="1492" operator="containsText" text="Negative">
      <formula>NOT(ISERROR(SEARCH("Negative",L752)))</formula>
    </cfRule>
  </conditionalFormatting>
  <conditionalFormatting sqref="L752">
    <cfRule type="containsText" dxfId="1239" priority="1486" operator="containsText" text="Positive">
      <formula>NOT(ISERROR(SEARCH("Positive",L752)))</formula>
    </cfRule>
    <cfRule type="containsText" dxfId="1238" priority="1487" operator="containsText" text="Negative">
      <formula>NOT(ISERROR(SEARCH("Negative",L752)))</formula>
    </cfRule>
  </conditionalFormatting>
  <conditionalFormatting sqref="J752:K752">
    <cfRule type="containsText" dxfId="1237" priority="1488" operator="containsText" text="Missing">
      <formula>NOT(ISERROR(SEARCH("Missing",J752)))</formula>
    </cfRule>
  </conditionalFormatting>
  <conditionalFormatting sqref="J749:K749">
    <cfRule type="containsText" dxfId="1236" priority="1501" operator="containsText" text="Missing">
      <formula>NOT(ISERROR(SEARCH("Missing",J749)))</formula>
    </cfRule>
  </conditionalFormatting>
  <conditionalFormatting sqref="L749">
    <cfRule type="containsText" dxfId="1235" priority="1497" operator="containsText" text="Positive">
      <formula>NOT(ISERROR(SEARCH("Positive",L749)))</formula>
    </cfRule>
    <cfRule type="containsText" dxfId="1234" priority="1498" operator="containsText" text="Negative">
      <formula>NOT(ISERROR(SEARCH("Negative",L749)))</formula>
    </cfRule>
  </conditionalFormatting>
  <conditionalFormatting sqref="J752:K752">
    <cfRule type="containsText" dxfId="1233" priority="1493" operator="containsText" text="Missing">
      <formula>NOT(ISERROR(SEARCH("Missing",J752)))</formula>
    </cfRule>
  </conditionalFormatting>
  <conditionalFormatting sqref="L752">
    <cfRule type="containsText" dxfId="1232" priority="1489" operator="containsText" text="Positive">
      <formula>NOT(ISERROR(SEARCH("Positive",L752)))</formula>
    </cfRule>
    <cfRule type="containsText" dxfId="1231" priority="1490" operator="containsText" text="Negative">
      <formula>NOT(ISERROR(SEARCH("Negative",L752)))</formula>
    </cfRule>
  </conditionalFormatting>
  <conditionalFormatting sqref="L755">
    <cfRule type="containsText" dxfId="1230" priority="1483" operator="containsText" text="Positive">
      <formula>NOT(ISERROR(SEARCH("Positive",L755)))</formula>
    </cfRule>
    <cfRule type="containsText" dxfId="1229" priority="1484" operator="containsText" text="Negative">
      <formula>NOT(ISERROR(SEARCH("Negative",L755)))</formula>
    </cfRule>
  </conditionalFormatting>
  <conditionalFormatting sqref="L755">
    <cfRule type="containsText" dxfId="1228" priority="1478" operator="containsText" text="Positive">
      <formula>NOT(ISERROR(SEARCH("Positive",L755)))</formula>
    </cfRule>
    <cfRule type="containsText" dxfId="1227" priority="1479" operator="containsText" text="Negative">
      <formula>NOT(ISERROR(SEARCH("Negative",L755)))</formula>
    </cfRule>
  </conditionalFormatting>
  <conditionalFormatting sqref="J755:K755">
    <cfRule type="containsText" dxfId="1226" priority="1480" operator="containsText" text="Missing">
      <formula>NOT(ISERROR(SEARCH("Missing",J755)))</formula>
    </cfRule>
  </conditionalFormatting>
  <conditionalFormatting sqref="J755:K755">
    <cfRule type="containsText" dxfId="1225" priority="1485" operator="containsText" text="Missing">
      <formula>NOT(ISERROR(SEARCH("Missing",J755)))</formula>
    </cfRule>
  </conditionalFormatting>
  <conditionalFormatting sqref="L755">
    <cfRule type="containsText" dxfId="1224" priority="1481" operator="containsText" text="Positive">
      <formula>NOT(ISERROR(SEARCH("Positive",L755)))</formula>
    </cfRule>
    <cfRule type="containsText" dxfId="1223" priority="1482" operator="containsText" text="Negative">
      <formula>NOT(ISERROR(SEARCH("Negative",L755)))</formula>
    </cfRule>
  </conditionalFormatting>
  <conditionalFormatting sqref="H847">
    <cfRule type="containsText" dxfId="1222" priority="1188" operator="containsText" text="Missing">
      <formula>NOT(ISERROR(SEARCH("Missing",H847)))</formula>
    </cfRule>
  </conditionalFormatting>
  <conditionalFormatting sqref="H804">
    <cfRule type="containsText" dxfId="1221" priority="1330" operator="containsText" text="Missing">
      <formula>NOT(ISERROR(SEARCH("Missing",H804)))</formula>
    </cfRule>
  </conditionalFormatting>
  <conditionalFormatting sqref="H805">
    <cfRule type="containsText" dxfId="1220" priority="1329" operator="containsText" text="Missing">
      <formula>NOT(ISERROR(SEARCH("Missing",H805)))</formula>
    </cfRule>
  </conditionalFormatting>
  <conditionalFormatting sqref="H743">
    <cfRule type="containsText" dxfId="1219" priority="1476" operator="containsText" text="Missing">
      <formula>NOT(ISERROR(SEARCH("Missing",H743)))</formula>
    </cfRule>
  </conditionalFormatting>
  <conditionalFormatting sqref="I749">
    <cfRule type="containsText" dxfId="1218" priority="1475" operator="containsText" text="Missing">
      <formula>NOT(ISERROR(SEARCH("Missing",I749)))</formula>
    </cfRule>
  </conditionalFormatting>
  <conditionalFormatting sqref="H802:H803">
    <cfRule type="containsText" dxfId="1217" priority="1325" operator="containsText" text="Missing">
      <formula>NOT(ISERROR(SEARCH("Missing",H802)))</formula>
    </cfRule>
  </conditionalFormatting>
  <conditionalFormatting sqref="I755">
    <cfRule type="containsText" dxfId="1216" priority="1473" operator="containsText" text="Missing">
      <formula>NOT(ISERROR(SEARCH("Missing",I755)))</formula>
    </cfRule>
  </conditionalFormatting>
  <conditionalFormatting sqref="H746">
    <cfRule type="containsText" dxfId="1215" priority="1472" operator="containsText" text="Missing">
      <formula>NOT(ISERROR(SEARCH("Missing",H746)))</formula>
    </cfRule>
  </conditionalFormatting>
  <conditionalFormatting sqref="H746">
    <cfRule type="containsText" dxfId="1214" priority="1471" operator="containsText" text="Missing">
      <formula>NOT(ISERROR(SEARCH("Missing",H746)))</formula>
    </cfRule>
  </conditionalFormatting>
  <conditionalFormatting sqref="I815:K816">
    <cfRule type="containsText" dxfId="1213" priority="1323" operator="containsText" text="Missing">
      <formula>NOT(ISERROR(SEARCH("Missing",I815)))</formula>
    </cfRule>
  </conditionalFormatting>
  <conditionalFormatting sqref="H815:H816">
    <cfRule type="containsText" dxfId="1212" priority="1322" operator="containsText" text="Missing">
      <formula>NOT(ISERROR(SEARCH("Missing",H815)))</formula>
    </cfRule>
  </conditionalFormatting>
  <conditionalFormatting sqref="H752">
    <cfRule type="containsText" dxfId="1211" priority="1467" operator="containsText" text="Missing">
      <formula>NOT(ISERROR(SEARCH("Missing",H752)))</formula>
    </cfRule>
  </conditionalFormatting>
  <conditionalFormatting sqref="H755">
    <cfRule type="containsText" dxfId="1210" priority="1466" operator="containsText" text="Missing">
      <formula>NOT(ISERROR(SEARCH("Missing",H755)))</formula>
    </cfRule>
  </conditionalFormatting>
  <conditionalFormatting sqref="H755">
    <cfRule type="containsText" dxfId="1209" priority="1465" operator="containsText" text="Missing">
      <formula>NOT(ISERROR(SEARCH("Missing",H755)))</formula>
    </cfRule>
  </conditionalFormatting>
  <conditionalFormatting sqref="H756">
    <cfRule type="containsText" dxfId="1208" priority="1463" operator="containsText" text="Missing">
      <formula>NOT(ISERROR(SEARCH("Missing",H756)))</formula>
    </cfRule>
  </conditionalFormatting>
  <conditionalFormatting sqref="J830:K830">
    <cfRule type="containsText" dxfId="1207" priority="1313" operator="containsText" text="Missing">
      <formula>NOT(ISERROR(SEARCH("Missing",J830)))</formula>
    </cfRule>
  </conditionalFormatting>
  <conditionalFormatting sqref="I817">
    <cfRule type="containsText" dxfId="1206" priority="1311" operator="containsText" text="Missing">
      <formula>NOT(ISERROR(SEARCH("Missing",I817)))</formula>
    </cfRule>
  </conditionalFormatting>
  <conditionalFormatting sqref="H843">
    <cfRule type="containsText" dxfId="1205" priority="1152" operator="containsText" text="Missing">
      <formula>NOT(ISERROR(SEARCH("Missing",H843)))</formula>
    </cfRule>
  </conditionalFormatting>
  <conditionalFormatting sqref="H897">
    <cfRule type="containsText" dxfId="1204" priority="986" operator="containsText" text="Missing">
      <formula>NOT(ISERROR(SEARCH("Missing",H897)))</formula>
    </cfRule>
  </conditionalFormatting>
  <conditionalFormatting sqref="H888">
    <cfRule type="containsText" dxfId="1203" priority="979" operator="containsText" text="Missing">
      <formula>NOT(ISERROR(SEARCH("Missing",H888)))</formula>
    </cfRule>
  </conditionalFormatting>
  <conditionalFormatting sqref="L766:L767">
    <cfRule type="containsText" dxfId="1202" priority="1452" operator="containsText" text="Positive">
      <formula>NOT(ISERROR(SEARCH("Positive",L766)))</formula>
    </cfRule>
    <cfRule type="containsText" dxfId="1201" priority="1453" operator="containsText" text="Negative">
      <formula>NOT(ISERROR(SEARCH("Negative",L766)))</formula>
    </cfRule>
  </conditionalFormatting>
  <conditionalFormatting sqref="L768:L781">
    <cfRule type="containsText" dxfId="1200" priority="1448" operator="containsText" text="Positive">
      <formula>NOT(ISERROR(SEARCH("Positive",L768)))</formula>
    </cfRule>
    <cfRule type="containsText" dxfId="1199" priority="1449" operator="containsText" text="Negative">
      <formula>NOT(ISERROR(SEARCH("Negative",L768)))</formula>
    </cfRule>
  </conditionalFormatting>
  <conditionalFormatting sqref="L768:L781">
    <cfRule type="containsText" dxfId="1198" priority="1450" operator="containsText" text="Positive">
      <formula>NOT(ISERROR(SEARCH("Positive",L768)))</formula>
    </cfRule>
    <cfRule type="containsText" dxfId="1197" priority="1451" operator="containsText" text="Negative">
      <formula>NOT(ISERROR(SEARCH("Negative",L768)))</formula>
    </cfRule>
  </conditionalFormatting>
  <conditionalFormatting sqref="I844">
    <cfRule type="containsText" dxfId="1196" priority="1145" operator="containsText" text="Missing">
      <formula>NOT(ISERROR(SEARCH("Missing",I844)))</formula>
    </cfRule>
  </conditionalFormatting>
  <conditionalFormatting sqref="H845">
    <cfRule type="containsText" dxfId="1195" priority="1144" operator="containsText" text="Missing">
      <formula>NOT(ISERROR(SEARCH("Missing",H845)))</formula>
    </cfRule>
  </conditionalFormatting>
  <conditionalFormatting sqref="L767">
    <cfRule type="containsText" dxfId="1194" priority="1440" operator="containsText" text="Positive">
      <formula>NOT(ISERROR(SEARCH("Positive",L767)))</formula>
    </cfRule>
    <cfRule type="containsText" dxfId="1193" priority="1441" operator="containsText" text="Negative">
      <formula>NOT(ISERROR(SEARCH("Negative",L767)))</formula>
    </cfRule>
  </conditionalFormatting>
  <conditionalFormatting sqref="L767">
    <cfRule type="containsText" dxfId="1192" priority="1442" operator="containsText" text="Positive">
      <formula>NOT(ISERROR(SEARCH("Positive",L767)))</formula>
    </cfRule>
    <cfRule type="containsText" dxfId="1191" priority="1443" operator="containsText" text="Negative">
      <formula>NOT(ISERROR(SEARCH("Negative",L767)))</formula>
    </cfRule>
  </conditionalFormatting>
  <conditionalFormatting sqref="I735:I736">
    <cfRule type="containsText" dxfId="1190" priority="1438" operator="containsText" text="Missing">
      <formula>NOT(ISERROR(SEARCH("Missing",I735)))</formula>
    </cfRule>
  </conditionalFormatting>
  <conditionalFormatting sqref="I733:I734">
    <cfRule type="containsText" dxfId="1189" priority="1437" operator="containsText" text="Missing">
      <formula>NOT(ISERROR(SEARCH("Missing",I733)))</formula>
    </cfRule>
  </conditionalFormatting>
  <conditionalFormatting sqref="H733">
    <cfRule type="containsText" dxfId="1188" priority="1436" operator="containsText" text="Missing">
      <formula>NOT(ISERROR(SEARCH("Missing",H733)))</formula>
    </cfRule>
  </conditionalFormatting>
  <conditionalFormatting sqref="H733">
    <cfRule type="containsText" dxfId="1187" priority="1435" operator="containsText" text="Missing">
      <formula>NOT(ISERROR(SEARCH("Missing",H733)))</formula>
    </cfRule>
  </conditionalFormatting>
  <conditionalFormatting sqref="H735:H736">
    <cfRule type="containsText" dxfId="1186" priority="1433" operator="containsText" text="Missing">
      <formula>NOT(ISERROR(SEARCH("Missing",H735)))</formula>
    </cfRule>
  </conditionalFormatting>
  <conditionalFormatting sqref="H735:H736">
    <cfRule type="containsText" dxfId="1185" priority="1434" operator="containsText" text="Missing">
      <formula>NOT(ISERROR(SEARCH("Missing",H735)))</formula>
    </cfRule>
  </conditionalFormatting>
  <conditionalFormatting sqref="H734">
    <cfRule type="containsText" dxfId="1184" priority="1432" operator="containsText" text="Missing">
      <formula>NOT(ISERROR(SEARCH("Missing",H734)))</formula>
    </cfRule>
  </conditionalFormatting>
  <conditionalFormatting sqref="H734">
    <cfRule type="containsText" dxfId="1183" priority="1431" operator="containsText" text="Missing">
      <formula>NOT(ISERROR(SEARCH("Missing",H734)))</formula>
    </cfRule>
  </conditionalFormatting>
  <conditionalFormatting sqref="I747:I748">
    <cfRule type="containsText" dxfId="1182" priority="1430" operator="containsText" text="Missing">
      <formula>NOT(ISERROR(SEARCH("Missing",I747)))</formula>
    </cfRule>
  </conditionalFormatting>
  <conditionalFormatting sqref="I743:I745">
    <cfRule type="containsText" dxfId="1181" priority="1429" operator="containsText" text="Missing">
      <formula>NOT(ISERROR(SEARCH("Missing",I743)))</formula>
    </cfRule>
  </conditionalFormatting>
  <conditionalFormatting sqref="H744">
    <cfRule type="containsText" dxfId="1180" priority="1427" operator="containsText" text="Missing">
      <formula>NOT(ISERROR(SEARCH("Missing",H744)))</formula>
    </cfRule>
  </conditionalFormatting>
  <conditionalFormatting sqref="H744">
    <cfRule type="containsText" dxfId="1179" priority="1428" operator="containsText" text="Missing">
      <formula>NOT(ISERROR(SEARCH("Missing",H744)))</formula>
    </cfRule>
  </conditionalFormatting>
  <conditionalFormatting sqref="H747:H748">
    <cfRule type="containsText" dxfId="1178" priority="1425" operator="containsText" text="Missing">
      <formula>NOT(ISERROR(SEARCH("Missing",H747)))</formula>
    </cfRule>
  </conditionalFormatting>
  <conditionalFormatting sqref="H747:H748">
    <cfRule type="containsText" dxfId="1177" priority="1426" operator="containsText" text="Missing">
      <formula>NOT(ISERROR(SEARCH("Missing",H747)))</formula>
    </cfRule>
  </conditionalFormatting>
  <conditionalFormatting sqref="H745">
    <cfRule type="containsText" dxfId="1176" priority="1423" operator="containsText" text="Missing">
      <formula>NOT(ISERROR(SEARCH("Missing",H745)))</formula>
    </cfRule>
  </conditionalFormatting>
  <conditionalFormatting sqref="H745">
    <cfRule type="containsText" dxfId="1175" priority="1424" operator="containsText" text="Missing">
      <formula>NOT(ISERROR(SEARCH("Missing",H745)))</formula>
    </cfRule>
  </conditionalFormatting>
  <conditionalFormatting sqref="H895">
    <cfRule type="containsText" dxfId="1174" priority="994" operator="containsText" text="Missing">
      <formula>NOT(ISERROR(SEARCH("Missing",H895)))</formula>
    </cfRule>
  </conditionalFormatting>
  <conditionalFormatting sqref="H843">
    <cfRule type="containsText" dxfId="1173" priority="1153" operator="containsText" text="Missing">
      <formula>NOT(ISERROR(SEARCH("Missing",H843)))</formula>
    </cfRule>
  </conditionalFormatting>
  <conditionalFormatting sqref="I801">
    <cfRule type="containsText" dxfId="1172" priority="1339" operator="containsText" text="Missing">
      <formula>NOT(ISERROR(SEARCH("Missing",I801)))</formula>
    </cfRule>
  </conditionalFormatting>
  <conditionalFormatting sqref="H853">
    <cfRule type="containsText" dxfId="1171" priority="1184" operator="containsText" text="Missing">
      <formula>NOT(ISERROR(SEARCH("Missing",H853)))</formula>
    </cfRule>
  </conditionalFormatting>
  <conditionalFormatting sqref="H856 H865">
    <cfRule type="containsText" dxfId="1170" priority="1178" operator="containsText" text="Missing">
      <formula>NOT(ISERROR(SEARCH("Missing",H856)))</formula>
    </cfRule>
  </conditionalFormatting>
  <conditionalFormatting sqref="H802:H803">
    <cfRule type="containsText" dxfId="1169" priority="1324" operator="containsText" text="Missing">
      <formula>NOT(ISERROR(SEARCH("Missing",H802)))</formula>
    </cfRule>
  </conditionalFormatting>
  <conditionalFormatting sqref="H806">
    <cfRule type="containsText" dxfId="1168" priority="1326" operator="containsText" text="Missing">
      <formula>NOT(ISERROR(SEARCH("Missing",H806)))</formula>
    </cfRule>
  </conditionalFormatting>
  <conditionalFormatting sqref="H866">
    <cfRule type="containsText" dxfId="1167" priority="1168" operator="containsText" text="Missing">
      <formula>NOT(ISERROR(SEARCH("Missing",H866)))</formula>
    </cfRule>
  </conditionalFormatting>
  <conditionalFormatting sqref="H815:H816">
    <cfRule type="containsText" dxfId="1166" priority="1321" operator="containsText" text="Missing">
      <formula>NOT(ISERROR(SEARCH("Missing",H815)))</formula>
    </cfRule>
  </conditionalFormatting>
  <conditionalFormatting sqref="H884">
    <cfRule type="containsText" dxfId="1165" priority="991" operator="containsText" text="Missing">
      <formula>NOT(ISERROR(SEARCH("Missing",H884)))</formula>
    </cfRule>
  </conditionalFormatting>
  <conditionalFormatting sqref="J795:K795">
    <cfRule type="containsText" dxfId="1164" priority="1369" operator="containsText" text="Missing">
      <formula>NOT(ISERROR(SEARCH("Missing",J795)))</formula>
    </cfRule>
  </conditionalFormatting>
  <conditionalFormatting sqref="H842">
    <cfRule type="containsText" dxfId="1163" priority="1155" operator="containsText" text="Missing">
      <formula>NOT(ISERROR(SEARCH("Missing",H842)))</formula>
    </cfRule>
  </conditionalFormatting>
  <conditionalFormatting sqref="H798">
    <cfRule type="containsText" dxfId="1162" priority="1334" operator="containsText" text="Missing">
      <formula>NOT(ISERROR(SEARCH("Missing",H798)))</formula>
    </cfRule>
  </conditionalFormatting>
  <conditionalFormatting sqref="H891">
    <cfRule type="containsText" dxfId="1161" priority="1006" operator="containsText" text="Missing">
      <formula>NOT(ISERROR(SEARCH("Missing",H891)))</formula>
    </cfRule>
  </conditionalFormatting>
  <conditionalFormatting sqref="H891">
    <cfRule type="containsText" dxfId="1160" priority="1007" operator="containsText" text="Missing">
      <formula>NOT(ISERROR(SEARCH("Missing",H891)))</formula>
    </cfRule>
  </conditionalFormatting>
  <conditionalFormatting sqref="H892">
    <cfRule type="containsText" dxfId="1159" priority="1004" operator="containsText" text="Missing">
      <formula>NOT(ISERROR(SEARCH("Missing",H892)))</formula>
    </cfRule>
  </conditionalFormatting>
  <conditionalFormatting sqref="I786:K791 J784:K785">
    <cfRule type="containsText" dxfId="1158" priority="1422" operator="containsText" text="Missing">
      <formula>NOT(ISERROR(SEARCH("Missing",I784)))</formula>
    </cfRule>
  </conditionalFormatting>
  <conditionalFormatting sqref="L784:L791">
    <cfRule type="containsText" dxfId="1157" priority="1420" operator="containsText" text="Positive">
      <formula>NOT(ISERROR(SEARCH("Positive",L784)))</formula>
    </cfRule>
    <cfRule type="containsText" dxfId="1156" priority="1421" operator="containsText" text="Negative">
      <formula>NOT(ISERROR(SEARCH("Negative",L784)))</formula>
    </cfRule>
  </conditionalFormatting>
  <conditionalFormatting sqref="J782:K782">
    <cfRule type="containsText" dxfId="1155" priority="1419" operator="containsText" text="Missing">
      <formula>NOT(ISERROR(SEARCH("Missing",J782)))</formula>
    </cfRule>
  </conditionalFormatting>
  <conditionalFormatting sqref="H788:H791">
    <cfRule type="containsText" dxfId="1154" priority="1403" operator="containsText" text="Missing">
      <formula>NOT(ISERROR(SEARCH("Missing",H788)))</formula>
    </cfRule>
  </conditionalFormatting>
  <conditionalFormatting sqref="L782">
    <cfRule type="containsText" dxfId="1153" priority="1417" operator="containsText" text="Positive">
      <formula>NOT(ISERROR(SEARCH("Positive",L782)))</formula>
    </cfRule>
    <cfRule type="containsText" dxfId="1152" priority="1418" operator="containsText" text="Negative">
      <formula>NOT(ISERROR(SEARCH("Negative",L782)))</formula>
    </cfRule>
  </conditionalFormatting>
  <conditionalFormatting sqref="L782">
    <cfRule type="containsText" dxfId="1151" priority="1415" operator="containsText" text="Positive">
      <formula>NOT(ISERROR(SEARCH("Positive",L782)))</formula>
    </cfRule>
    <cfRule type="containsText" dxfId="1150" priority="1416" operator="containsText" text="Negative">
      <formula>NOT(ISERROR(SEARCH("Negative",L782)))</formula>
    </cfRule>
  </conditionalFormatting>
  <conditionalFormatting sqref="J782:K782">
    <cfRule type="containsText" dxfId="1149" priority="1414" operator="containsText" text="Missing">
      <formula>NOT(ISERROR(SEARCH("Missing",J782)))</formula>
    </cfRule>
  </conditionalFormatting>
  <conditionalFormatting sqref="L782">
    <cfRule type="containsText" dxfId="1148" priority="1412" operator="containsText" text="Positive">
      <formula>NOT(ISERROR(SEARCH("Positive",L782)))</formula>
    </cfRule>
    <cfRule type="containsText" dxfId="1147" priority="1413" operator="containsText" text="Negative">
      <formula>NOT(ISERROR(SEARCH("Negative",L782)))</formula>
    </cfRule>
  </conditionalFormatting>
  <conditionalFormatting sqref="J783:K783">
    <cfRule type="containsText" dxfId="1146" priority="1411" operator="containsText" text="Missing">
      <formula>NOT(ISERROR(SEARCH("Missing",J783)))</formula>
    </cfRule>
  </conditionalFormatting>
  <conditionalFormatting sqref="J843:K843">
    <cfRule type="containsText" dxfId="1145" priority="1242" operator="containsText" text="Missing">
      <formula>NOT(ISERROR(SEARCH("Missing",J843)))</formula>
    </cfRule>
  </conditionalFormatting>
  <conditionalFormatting sqref="L783">
    <cfRule type="containsText" dxfId="1144" priority="1409" operator="containsText" text="Positive">
      <formula>NOT(ISERROR(SEARCH("Positive",L783)))</formula>
    </cfRule>
    <cfRule type="containsText" dxfId="1143" priority="1410" operator="containsText" text="Negative">
      <formula>NOT(ISERROR(SEARCH("Negative",L783)))</formula>
    </cfRule>
  </conditionalFormatting>
  <conditionalFormatting sqref="L783">
    <cfRule type="containsText" dxfId="1142" priority="1407" operator="containsText" text="Positive">
      <formula>NOT(ISERROR(SEARCH("Positive",L783)))</formula>
    </cfRule>
    <cfRule type="containsText" dxfId="1141" priority="1408" operator="containsText" text="Negative">
      <formula>NOT(ISERROR(SEARCH("Negative",L783)))</formula>
    </cfRule>
  </conditionalFormatting>
  <conditionalFormatting sqref="J783:K783">
    <cfRule type="containsText" dxfId="1140" priority="1406" operator="containsText" text="Missing">
      <formula>NOT(ISERROR(SEARCH("Missing",J783)))</formula>
    </cfRule>
  </conditionalFormatting>
  <conditionalFormatting sqref="L783">
    <cfRule type="containsText" dxfId="1139" priority="1404" operator="containsText" text="Positive">
      <formula>NOT(ISERROR(SEARCH("Positive",L783)))</formula>
    </cfRule>
    <cfRule type="containsText" dxfId="1138" priority="1405" operator="containsText" text="Negative">
      <formula>NOT(ISERROR(SEARCH("Negative",L783)))</formula>
    </cfRule>
  </conditionalFormatting>
  <conditionalFormatting sqref="H801">
    <cfRule type="containsText" dxfId="1137" priority="1333" operator="containsText" text="Missing">
      <formula>NOT(ISERROR(SEARCH("Missing",H801)))</formula>
    </cfRule>
  </conditionalFormatting>
  <conditionalFormatting sqref="H892">
    <cfRule type="containsText" dxfId="1136" priority="1005" operator="containsText" text="Missing">
      <formula>NOT(ISERROR(SEARCH("Missing",H892)))</formula>
    </cfRule>
  </conditionalFormatting>
  <conditionalFormatting sqref="J793:K793">
    <cfRule type="containsText" dxfId="1135" priority="1393" operator="containsText" text="Missing">
      <formula>NOT(ISERROR(SEARCH("Missing",J793)))</formula>
    </cfRule>
  </conditionalFormatting>
  <conditionalFormatting sqref="H806">
    <cfRule type="containsText" dxfId="1134" priority="1327" operator="containsText" text="Missing">
      <formula>NOT(ISERROR(SEARCH("Missing",H806)))</formula>
    </cfRule>
  </conditionalFormatting>
  <conditionalFormatting sqref="L792">
    <cfRule type="containsText" dxfId="1133" priority="1380" operator="containsText" text="Positive">
      <formula>NOT(ISERROR(SEARCH("Positive",L792)))</formula>
    </cfRule>
    <cfRule type="containsText" dxfId="1132" priority="1381" operator="containsText" text="Negative">
      <formula>NOT(ISERROR(SEARCH("Negative",L792)))</formula>
    </cfRule>
  </conditionalFormatting>
  <conditionalFormatting sqref="L792">
    <cfRule type="containsText" dxfId="1131" priority="1375" operator="containsText" text="Positive">
      <formula>NOT(ISERROR(SEARCH("Positive",L792)))</formula>
    </cfRule>
    <cfRule type="containsText" dxfId="1130" priority="1376" operator="containsText" text="Negative">
      <formula>NOT(ISERROR(SEARCH("Negative",L792)))</formula>
    </cfRule>
  </conditionalFormatting>
  <conditionalFormatting sqref="L796:L797 L799:L800 L802:L803 L805:L806">
    <cfRule type="containsText" dxfId="1129" priority="1399" operator="containsText" text="Positive">
      <formula>NOT(ISERROR(SEARCH("Positive",L796)))</formula>
    </cfRule>
    <cfRule type="containsText" dxfId="1128" priority="1400" operator="containsText" text="Negative">
      <formula>NOT(ISERROR(SEARCH("Negative",L796)))</formula>
    </cfRule>
  </conditionalFormatting>
  <conditionalFormatting sqref="L793">
    <cfRule type="containsText" dxfId="1127" priority="1396" operator="containsText" text="Positive">
      <formula>NOT(ISERROR(SEARCH("Positive",L793)))</formula>
    </cfRule>
    <cfRule type="containsText" dxfId="1126" priority="1397" operator="containsText" text="Negative">
      <formula>NOT(ISERROR(SEARCH("Negative",L793)))</formula>
    </cfRule>
  </conditionalFormatting>
  <conditionalFormatting sqref="L793">
    <cfRule type="containsText" dxfId="1125" priority="1394" operator="containsText" text="Positive">
      <formula>NOT(ISERROR(SEARCH("Positive",L793)))</formula>
    </cfRule>
    <cfRule type="containsText" dxfId="1124" priority="1395" operator="containsText" text="Negative">
      <formula>NOT(ISERROR(SEARCH("Negative",L793)))</formula>
    </cfRule>
  </conditionalFormatting>
  <conditionalFormatting sqref="I880:I881">
    <cfRule type="containsText" dxfId="1123" priority="1013" operator="containsText" text="Missing">
      <formula>NOT(ISERROR(SEARCH("Missing",I880)))</formula>
    </cfRule>
  </conditionalFormatting>
  <conditionalFormatting sqref="L793">
    <cfRule type="containsText" dxfId="1122" priority="1391" operator="containsText" text="Positive">
      <formula>NOT(ISERROR(SEARCH("Positive",L793)))</formula>
    </cfRule>
    <cfRule type="containsText" dxfId="1121" priority="1392" operator="containsText" text="Negative">
      <formula>NOT(ISERROR(SEARCH("Negative",L793)))</formula>
    </cfRule>
  </conditionalFormatting>
  <conditionalFormatting sqref="J794:K794">
    <cfRule type="containsText" dxfId="1120" priority="1390" operator="containsText" text="Missing">
      <formula>NOT(ISERROR(SEARCH("Missing",J794)))</formula>
    </cfRule>
  </conditionalFormatting>
  <conditionalFormatting sqref="L794">
    <cfRule type="containsText" dxfId="1119" priority="1388" operator="containsText" text="Positive">
      <formula>NOT(ISERROR(SEARCH("Positive",L794)))</formula>
    </cfRule>
    <cfRule type="containsText" dxfId="1118" priority="1389" operator="containsText" text="Negative">
      <formula>NOT(ISERROR(SEARCH("Negative",L794)))</formula>
    </cfRule>
  </conditionalFormatting>
  <conditionalFormatting sqref="L794">
    <cfRule type="containsText" dxfId="1117" priority="1386" operator="containsText" text="Positive">
      <formula>NOT(ISERROR(SEARCH("Positive",L794)))</formula>
    </cfRule>
    <cfRule type="containsText" dxfId="1116" priority="1387" operator="containsText" text="Negative">
      <formula>NOT(ISERROR(SEARCH("Negative",L794)))</formula>
    </cfRule>
  </conditionalFormatting>
  <conditionalFormatting sqref="J794:K794">
    <cfRule type="containsText" dxfId="1115" priority="1385" operator="containsText" text="Missing">
      <formula>NOT(ISERROR(SEARCH("Missing",J794)))</formula>
    </cfRule>
  </conditionalFormatting>
  <conditionalFormatting sqref="L794">
    <cfRule type="containsText" dxfId="1114" priority="1383" operator="containsText" text="Positive">
      <formula>NOT(ISERROR(SEARCH("Positive",L794)))</formula>
    </cfRule>
    <cfRule type="containsText" dxfId="1113" priority="1384" operator="containsText" text="Negative">
      <formula>NOT(ISERROR(SEARCH("Negative",L794)))</formula>
    </cfRule>
  </conditionalFormatting>
  <conditionalFormatting sqref="J792:K792">
    <cfRule type="containsText" dxfId="1112" priority="1377" operator="containsText" text="Missing">
      <formula>NOT(ISERROR(SEARCH("Missing",J792)))</formula>
    </cfRule>
  </conditionalFormatting>
  <conditionalFormatting sqref="L795">
    <cfRule type="containsText" dxfId="1111" priority="1372" operator="containsText" text="Positive">
      <formula>NOT(ISERROR(SEARCH("Positive",L795)))</formula>
    </cfRule>
    <cfRule type="containsText" dxfId="1110" priority="1373" operator="containsText" text="Negative">
      <formula>NOT(ISERROR(SEARCH("Negative",L795)))</formula>
    </cfRule>
  </conditionalFormatting>
  <conditionalFormatting sqref="L792">
    <cfRule type="containsText" dxfId="1109" priority="1378" operator="containsText" text="Positive">
      <formula>NOT(ISERROR(SEARCH("Positive",L792)))</formula>
    </cfRule>
    <cfRule type="containsText" dxfId="1108" priority="1379" operator="containsText" text="Negative">
      <formula>NOT(ISERROR(SEARCH("Negative",L792)))</formula>
    </cfRule>
  </conditionalFormatting>
  <conditionalFormatting sqref="L795">
    <cfRule type="containsText" dxfId="1107" priority="1367" operator="containsText" text="Positive">
      <formula>NOT(ISERROR(SEARCH("Positive",L795)))</formula>
    </cfRule>
    <cfRule type="containsText" dxfId="1106" priority="1368" operator="containsText" text="Negative">
      <formula>NOT(ISERROR(SEARCH("Negative",L795)))</formula>
    </cfRule>
  </conditionalFormatting>
  <conditionalFormatting sqref="L798">
    <cfRule type="containsText" dxfId="1105" priority="1364" operator="containsText" text="Positive">
      <formula>NOT(ISERROR(SEARCH("Positive",L798)))</formula>
    </cfRule>
    <cfRule type="containsText" dxfId="1104" priority="1365" operator="containsText" text="Negative">
      <formula>NOT(ISERROR(SEARCH("Negative",L798)))</formula>
    </cfRule>
  </conditionalFormatting>
  <conditionalFormatting sqref="L798">
    <cfRule type="containsText" dxfId="1103" priority="1359" operator="containsText" text="Positive">
      <formula>NOT(ISERROR(SEARCH("Positive",L798)))</formula>
    </cfRule>
    <cfRule type="containsText" dxfId="1102" priority="1360" operator="containsText" text="Negative">
      <formula>NOT(ISERROR(SEARCH("Negative",L798)))</formula>
    </cfRule>
  </conditionalFormatting>
  <conditionalFormatting sqref="J798:K798">
    <cfRule type="containsText" dxfId="1101" priority="1361" operator="containsText" text="Missing">
      <formula>NOT(ISERROR(SEARCH("Missing",J798)))</formula>
    </cfRule>
  </conditionalFormatting>
  <conditionalFormatting sqref="J795:K795">
    <cfRule type="containsText" dxfId="1100" priority="1374" operator="containsText" text="Missing">
      <formula>NOT(ISERROR(SEARCH("Missing",J795)))</formula>
    </cfRule>
  </conditionalFormatting>
  <conditionalFormatting sqref="L795">
    <cfRule type="containsText" dxfId="1099" priority="1370" operator="containsText" text="Positive">
      <formula>NOT(ISERROR(SEARCH("Positive",L795)))</formula>
    </cfRule>
    <cfRule type="containsText" dxfId="1098" priority="1371" operator="containsText" text="Negative">
      <formula>NOT(ISERROR(SEARCH("Negative",L795)))</formula>
    </cfRule>
  </conditionalFormatting>
  <conditionalFormatting sqref="L801">
    <cfRule type="containsText" dxfId="1097" priority="1356" operator="containsText" text="Positive">
      <formula>NOT(ISERROR(SEARCH("Positive",L801)))</formula>
    </cfRule>
    <cfRule type="containsText" dxfId="1096" priority="1357" operator="containsText" text="Negative">
      <formula>NOT(ISERROR(SEARCH("Negative",L801)))</formula>
    </cfRule>
  </conditionalFormatting>
  <conditionalFormatting sqref="L801">
    <cfRule type="containsText" dxfId="1095" priority="1351" operator="containsText" text="Positive">
      <formula>NOT(ISERROR(SEARCH("Positive",L801)))</formula>
    </cfRule>
    <cfRule type="containsText" dxfId="1094" priority="1352" operator="containsText" text="Negative">
      <formula>NOT(ISERROR(SEARCH("Negative",L801)))</formula>
    </cfRule>
  </conditionalFormatting>
  <conditionalFormatting sqref="J801:K801">
    <cfRule type="containsText" dxfId="1093" priority="1353" operator="containsText" text="Missing">
      <formula>NOT(ISERROR(SEARCH("Missing",J801)))</formula>
    </cfRule>
  </conditionalFormatting>
  <conditionalFormatting sqref="J798:K798">
    <cfRule type="containsText" dxfId="1092" priority="1366" operator="containsText" text="Missing">
      <formula>NOT(ISERROR(SEARCH("Missing",J798)))</formula>
    </cfRule>
  </conditionalFormatting>
  <conditionalFormatting sqref="L798">
    <cfRule type="containsText" dxfId="1091" priority="1362" operator="containsText" text="Positive">
      <formula>NOT(ISERROR(SEARCH("Positive",L798)))</formula>
    </cfRule>
    <cfRule type="containsText" dxfId="1090" priority="1363" operator="containsText" text="Negative">
      <formula>NOT(ISERROR(SEARCH("Negative",L798)))</formula>
    </cfRule>
  </conditionalFormatting>
  <conditionalFormatting sqref="J801:K801">
    <cfRule type="containsText" dxfId="1089" priority="1358" operator="containsText" text="Missing">
      <formula>NOT(ISERROR(SEARCH("Missing",J801)))</formula>
    </cfRule>
  </conditionalFormatting>
  <conditionalFormatting sqref="L801">
    <cfRule type="containsText" dxfId="1088" priority="1354" operator="containsText" text="Positive">
      <formula>NOT(ISERROR(SEARCH("Positive",L801)))</formula>
    </cfRule>
    <cfRule type="containsText" dxfId="1087" priority="1355" operator="containsText" text="Negative">
      <formula>NOT(ISERROR(SEARCH("Negative",L801)))</formula>
    </cfRule>
  </conditionalFormatting>
  <conditionalFormatting sqref="L804">
    <cfRule type="containsText" dxfId="1086" priority="1348" operator="containsText" text="Positive">
      <formula>NOT(ISERROR(SEARCH("Positive",L804)))</formula>
    </cfRule>
    <cfRule type="containsText" dxfId="1085" priority="1349" operator="containsText" text="Negative">
      <formula>NOT(ISERROR(SEARCH("Negative",L804)))</formula>
    </cfRule>
  </conditionalFormatting>
  <conditionalFormatting sqref="L804">
    <cfRule type="containsText" dxfId="1084" priority="1343" operator="containsText" text="Positive">
      <formula>NOT(ISERROR(SEARCH("Positive",L804)))</formula>
    </cfRule>
    <cfRule type="containsText" dxfId="1083" priority="1344" operator="containsText" text="Negative">
      <formula>NOT(ISERROR(SEARCH("Negative",L804)))</formula>
    </cfRule>
  </conditionalFormatting>
  <conditionalFormatting sqref="J804:K804">
    <cfRule type="containsText" dxfId="1082" priority="1350" operator="containsText" text="Missing">
      <formula>NOT(ISERROR(SEARCH("Missing",J804)))</formula>
    </cfRule>
  </conditionalFormatting>
  <conditionalFormatting sqref="L804">
    <cfRule type="containsText" dxfId="1081" priority="1346" operator="containsText" text="Positive">
      <formula>NOT(ISERROR(SEARCH("Positive",L804)))</formula>
    </cfRule>
    <cfRule type="containsText" dxfId="1080" priority="1347" operator="containsText" text="Negative">
      <formula>NOT(ISERROR(SEARCH("Negative",L804)))</formula>
    </cfRule>
  </conditionalFormatting>
  <conditionalFormatting sqref="H792">
    <cfRule type="containsText" dxfId="1079" priority="1341" operator="containsText" text="Missing">
      <formula>NOT(ISERROR(SEARCH("Missing",H792)))</formula>
    </cfRule>
  </conditionalFormatting>
  <conditionalFormatting sqref="I848:I849">
    <cfRule type="containsText" dxfId="1078" priority="1124" operator="containsText" text="Missing">
      <formula>NOT(ISERROR(SEARCH("Missing",I848)))</formula>
    </cfRule>
  </conditionalFormatting>
  <conditionalFormatting sqref="I798">
    <cfRule type="containsText" dxfId="1077" priority="1340" operator="containsText" text="Missing">
      <formula>NOT(ISERROR(SEARCH("Missing",I798)))</formula>
    </cfRule>
  </conditionalFormatting>
  <conditionalFormatting sqref="J915:K927">
    <cfRule type="containsText" dxfId="1076" priority="1022" operator="containsText" text="Missing">
      <formula>NOT(ISERROR(SEARCH("Missing",J915)))</formula>
    </cfRule>
  </conditionalFormatting>
  <conditionalFormatting sqref="H795">
    <cfRule type="containsText" dxfId="1075" priority="1337" operator="containsText" text="Missing">
      <formula>NOT(ISERROR(SEARCH("Missing",H795)))</formula>
    </cfRule>
  </conditionalFormatting>
  <conditionalFormatting sqref="I856:K856 I865:K865 J859:J862">
    <cfRule type="containsText" dxfId="1074" priority="1179" operator="containsText" text="Missing">
      <formula>NOT(ISERROR(SEARCH("Missing",I856)))</formula>
    </cfRule>
  </conditionalFormatting>
  <conditionalFormatting sqref="H804">
    <cfRule type="containsText" dxfId="1073" priority="1331" operator="containsText" text="Missing">
      <formula>NOT(ISERROR(SEARCH("Missing",H804)))</formula>
    </cfRule>
  </conditionalFormatting>
  <conditionalFormatting sqref="J914:K914">
    <cfRule type="containsText" dxfId="1072" priority="1014" operator="containsText" text="Missing">
      <formula>NOT(ISERROR(SEARCH("Missing",J914)))</formula>
    </cfRule>
  </conditionalFormatting>
  <conditionalFormatting sqref="H805">
    <cfRule type="containsText" dxfId="1071" priority="1328" operator="containsText" text="Missing">
      <formula>NOT(ISERROR(SEARCH("Missing",H805)))</formula>
    </cfRule>
  </conditionalFormatting>
  <conditionalFormatting sqref="L815:L816">
    <cfRule type="containsText" dxfId="1070" priority="1319" operator="containsText" text="Positive">
      <formula>NOT(ISERROR(SEARCH("Positive",L815)))</formula>
    </cfRule>
    <cfRule type="containsText" dxfId="1069" priority="1320" operator="containsText" text="Negative">
      <formula>NOT(ISERROR(SEARCH("Negative",L815)))</formula>
    </cfRule>
  </conditionalFormatting>
  <conditionalFormatting sqref="L817:L830">
    <cfRule type="containsText" dxfId="1068" priority="1315" operator="containsText" text="Positive">
      <formula>NOT(ISERROR(SEARCH("Positive",L817)))</formula>
    </cfRule>
    <cfRule type="containsText" dxfId="1067" priority="1316" operator="containsText" text="Negative">
      <formula>NOT(ISERROR(SEARCH("Negative",L817)))</formula>
    </cfRule>
  </conditionalFormatting>
  <conditionalFormatting sqref="L817:L830">
    <cfRule type="containsText" dxfId="1066" priority="1317" operator="containsText" text="Positive">
      <formula>NOT(ISERROR(SEARCH("Positive",L817)))</formula>
    </cfRule>
    <cfRule type="containsText" dxfId="1065" priority="1318" operator="containsText" text="Negative">
      <formula>NOT(ISERROR(SEARCH("Negative",L817)))</formula>
    </cfRule>
  </conditionalFormatting>
  <conditionalFormatting sqref="L816">
    <cfRule type="containsText" dxfId="1064" priority="1307" operator="containsText" text="Positive">
      <formula>NOT(ISERROR(SEARCH("Positive",L816)))</formula>
    </cfRule>
    <cfRule type="containsText" dxfId="1063" priority="1308" operator="containsText" text="Negative">
      <formula>NOT(ISERROR(SEARCH("Negative",L816)))</formula>
    </cfRule>
  </conditionalFormatting>
  <conditionalFormatting sqref="L816">
    <cfRule type="containsText" dxfId="1062" priority="1309" operator="containsText" text="Positive">
      <formula>NOT(ISERROR(SEARCH("Positive",L816)))</formula>
    </cfRule>
    <cfRule type="containsText" dxfId="1061" priority="1310" operator="containsText" text="Negative">
      <formula>NOT(ISERROR(SEARCH("Negative",L816)))</formula>
    </cfRule>
  </conditionalFormatting>
  <conditionalFormatting sqref="H834">
    <cfRule type="containsText" dxfId="1060" priority="1148" operator="containsText" text="Missing">
      <formula>NOT(ISERROR(SEARCH("Missing",H834)))</formula>
    </cfRule>
  </conditionalFormatting>
  <conditionalFormatting sqref="H834">
    <cfRule type="containsText" dxfId="1059" priority="1147" operator="containsText" text="Missing">
      <formula>NOT(ISERROR(SEARCH("Missing",H834)))</formula>
    </cfRule>
  </conditionalFormatting>
  <conditionalFormatting sqref="I894:I895">
    <cfRule type="containsText" dxfId="1058" priority="998" operator="containsText" text="Missing">
      <formula>NOT(ISERROR(SEARCH("Missing",I894)))</formula>
    </cfRule>
  </conditionalFormatting>
  <conditionalFormatting sqref="H888">
    <cfRule type="containsText" dxfId="1057" priority="978" operator="containsText" text="Missing">
      <formula>NOT(ISERROR(SEARCH("Missing",H888)))</formula>
    </cfRule>
  </conditionalFormatting>
  <conditionalFormatting sqref="I945">
    <cfRule type="containsText" dxfId="1056" priority="878" operator="containsText" text="Missing">
      <formula>NOT(ISERROR(SEARCH("Missing",I945)))</formula>
    </cfRule>
  </conditionalFormatting>
  <conditionalFormatting sqref="H938">
    <cfRule type="containsText" dxfId="1055" priority="875" operator="containsText" text="Missing">
      <formula>NOT(ISERROR(SEARCH("Missing",H938)))</formula>
    </cfRule>
  </conditionalFormatting>
  <conditionalFormatting sqref="I943:I944">
    <cfRule type="containsText" dxfId="1054" priority="861" operator="containsText" text="Missing">
      <formula>NOT(ISERROR(SEARCH("Missing",I943)))</formula>
    </cfRule>
  </conditionalFormatting>
  <conditionalFormatting sqref="H898">
    <cfRule type="containsText" dxfId="1053" priority="982" operator="containsText" text="Missing">
      <formula>NOT(ISERROR(SEARCH("Missing",H898)))</formula>
    </cfRule>
  </conditionalFormatting>
  <conditionalFormatting sqref="I784:I785">
    <cfRule type="containsText" dxfId="1052" priority="1294" operator="containsText" text="Missing">
      <formula>NOT(ISERROR(SEARCH("Missing",I784)))</formula>
    </cfRule>
  </conditionalFormatting>
  <conditionalFormatting sqref="H787">
    <cfRule type="containsText" dxfId="1051" priority="1293" operator="containsText" text="Missing">
      <formula>NOT(ISERROR(SEARCH("Missing",H787)))</formula>
    </cfRule>
  </conditionalFormatting>
  <conditionalFormatting sqref="H787">
    <cfRule type="containsText" dxfId="1050" priority="1292" operator="containsText" text="Missing">
      <formula>NOT(ISERROR(SEARCH("Missing",H787)))</formula>
    </cfRule>
  </conditionalFormatting>
  <conditionalFormatting sqref="H784">
    <cfRule type="containsText" dxfId="1049" priority="1290" operator="containsText" text="Missing">
      <formula>NOT(ISERROR(SEARCH("Missing",H784)))</formula>
    </cfRule>
  </conditionalFormatting>
  <conditionalFormatting sqref="H784">
    <cfRule type="containsText" dxfId="1048" priority="1291" operator="containsText" text="Missing">
      <formula>NOT(ISERROR(SEARCH("Missing",H784)))</formula>
    </cfRule>
  </conditionalFormatting>
  <conditionalFormatting sqref="H785">
    <cfRule type="containsText" dxfId="1047" priority="1288" operator="containsText" text="Missing">
      <formula>NOT(ISERROR(SEARCH("Missing",H785)))</formula>
    </cfRule>
  </conditionalFormatting>
  <conditionalFormatting sqref="H785">
    <cfRule type="containsText" dxfId="1046" priority="1289" operator="containsText" text="Missing">
      <formula>NOT(ISERROR(SEARCH("Missing",H785)))</formula>
    </cfRule>
  </conditionalFormatting>
  <conditionalFormatting sqref="H786">
    <cfRule type="containsText" dxfId="1045" priority="1287" operator="containsText" text="Missing">
      <formula>NOT(ISERROR(SEARCH("Missing",H786)))</formula>
    </cfRule>
  </conditionalFormatting>
  <conditionalFormatting sqref="H786">
    <cfRule type="containsText" dxfId="1044" priority="1286" operator="containsText" text="Missing">
      <formula>NOT(ISERROR(SEARCH("Missing",H786)))</formula>
    </cfRule>
  </conditionalFormatting>
  <conditionalFormatting sqref="I799:I800">
    <cfRule type="containsText" dxfId="1043" priority="1285" operator="containsText" text="Missing">
      <formula>NOT(ISERROR(SEARCH("Missing",I799)))</formula>
    </cfRule>
  </conditionalFormatting>
  <conditionalFormatting sqref="I796:I797">
    <cfRule type="containsText" dxfId="1042" priority="1284" operator="containsText" text="Missing">
      <formula>NOT(ISERROR(SEARCH("Missing",I796)))</formula>
    </cfRule>
  </conditionalFormatting>
  <conditionalFormatting sqref="I795">
    <cfRule type="containsText" dxfId="1041" priority="1283" operator="containsText" text="Missing">
      <formula>NOT(ISERROR(SEARCH("Missing",I795)))</formula>
    </cfRule>
  </conditionalFormatting>
  <conditionalFormatting sqref="H800">
    <cfRule type="containsText" dxfId="1040" priority="1282" operator="containsText" text="Missing">
      <formula>NOT(ISERROR(SEARCH("Missing",H800)))</formula>
    </cfRule>
  </conditionalFormatting>
  <conditionalFormatting sqref="H800">
    <cfRule type="containsText" dxfId="1039" priority="1281" operator="containsText" text="Missing">
      <formula>NOT(ISERROR(SEARCH("Missing",H800)))</formula>
    </cfRule>
  </conditionalFormatting>
  <conditionalFormatting sqref="H796">
    <cfRule type="containsText" dxfId="1038" priority="1279" operator="containsText" text="Missing">
      <formula>NOT(ISERROR(SEARCH("Missing",H796)))</formula>
    </cfRule>
  </conditionalFormatting>
  <conditionalFormatting sqref="H796">
    <cfRule type="containsText" dxfId="1037" priority="1280" operator="containsText" text="Missing">
      <formula>NOT(ISERROR(SEARCH("Missing",H796)))</formula>
    </cfRule>
  </conditionalFormatting>
  <conditionalFormatting sqref="H797">
    <cfRule type="containsText" dxfId="1036" priority="1277" operator="containsText" text="Missing">
      <formula>NOT(ISERROR(SEARCH("Missing",H797)))</formula>
    </cfRule>
  </conditionalFormatting>
  <conditionalFormatting sqref="H797">
    <cfRule type="containsText" dxfId="1035" priority="1278" operator="containsText" text="Missing">
      <formula>NOT(ISERROR(SEARCH("Missing",H797)))</formula>
    </cfRule>
  </conditionalFormatting>
  <conditionalFormatting sqref="H799">
    <cfRule type="containsText" dxfId="1034" priority="1276" operator="containsText" text="Missing">
      <formula>NOT(ISERROR(SEARCH("Missing",H799)))</formula>
    </cfRule>
  </conditionalFormatting>
  <conditionalFormatting sqref="H799">
    <cfRule type="containsText" dxfId="1033" priority="1275" operator="containsText" text="Missing">
      <formula>NOT(ISERROR(SEARCH("Missing",H799)))</formula>
    </cfRule>
  </conditionalFormatting>
  <conditionalFormatting sqref="H844">
    <cfRule type="containsText" dxfId="1032" priority="1190" operator="containsText" text="Missing">
      <formula>NOT(ISERROR(SEARCH("Missing",H844)))</formula>
    </cfRule>
  </conditionalFormatting>
  <conditionalFormatting sqref="H893">
    <cfRule type="containsText" dxfId="1031" priority="1038" operator="containsText" text="Missing">
      <formula>NOT(ISERROR(SEARCH("Missing",H893)))</formula>
    </cfRule>
  </conditionalFormatting>
  <conditionalFormatting sqref="H913:H914">
    <cfRule type="containsText" dxfId="1030" priority="1029" operator="containsText" text="Missing">
      <formula>NOT(ISERROR(SEARCH("Missing",H913)))</formula>
    </cfRule>
  </conditionalFormatting>
  <conditionalFormatting sqref="I853">
    <cfRule type="containsText" dxfId="1029" priority="1192" operator="containsText" text="Missing">
      <formula>NOT(ISERROR(SEARCH("Missing",I853)))</formula>
    </cfRule>
  </conditionalFormatting>
  <conditionalFormatting sqref="H832">
    <cfRule type="containsText" dxfId="1028" priority="1158" operator="containsText" text="Missing">
      <formula>NOT(ISERROR(SEARCH("Missing",H832)))</formula>
    </cfRule>
  </conditionalFormatting>
  <conditionalFormatting sqref="H895">
    <cfRule type="containsText" dxfId="1027" priority="993" operator="containsText" text="Missing">
      <formula>NOT(ISERROR(SEARCH("Missing",H895)))</formula>
    </cfRule>
  </conditionalFormatting>
  <conditionalFormatting sqref="I884:I885">
    <cfRule type="containsText" dxfId="1026" priority="992" operator="containsText" text="Missing">
      <formula>NOT(ISERROR(SEARCH("Missing",I884)))</formula>
    </cfRule>
  </conditionalFormatting>
  <conditionalFormatting sqref="H841">
    <cfRule type="containsText" dxfId="1025" priority="1194" operator="containsText" text="Missing">
      <formula>NOT(ISERROR(SEARCH("Missing",H841)))</formula>
    </cfRule>
  </conditionalFormatting>
  <conditionalFormatting sqref="J866:K878">
    <cfRule type="containsText" dxfId="1024" priority="1170" operator="containsText" text="Missing">
      <formula>NOT(ISERROR(SEARCH("Missing",J866)))</formula>
    </cfRule>
  </conditionalFormatting>
  <conditionalFormatting sqref="H881">
    <cfRule type="containsText" dxfId="1023" priority="1009" operator="containsText" text="Missing">
      <formula>NOT(ISERROR(SEARCH("Missing",H881)))</formula>
    </cfRule>
  </conditionalFormatting>
  <conditionalFormatting sqref="H882">
    <cfRule type="containsText" dxfId="1022" priority="1002" operator="containsText" text="Missing">
      <formula>NOT(ISERROR(SEARCH("Missing",H882)))</formula>
    </cfRule>
  </conditionalFormatting>
  <conditionalFormatting sqref="I831:I832">
    <cfRule type="containsText" dxfId="1021" priority="1161" operator="containsText" text="Missing">
      <formula>NOT(ISERROR(SEARCH("Missing",I831)))</formula>
    </cfRule>
  </conditionalFormatting>
  <conditionalFormatting sqref="H831">
    <cfRule type="containsText" dxfId="1020" priority="1160" operator="containsText" text="Missing">
      <formula>NOT(ISERROR(SEARCH("Missing",H831)))</formula>
    </cfRule>
  </conditionalFormatting>
  <conditionalFormatting sqref="H831">
    <cfRule type="containsText" dxfId="1019" priority="1159" operator="containsText" text="Missing">
      <formula>NOT(ISERROR(SEARCH("Missing",H831)))</formula>
    </cfRule>
  </conditionalFormatting>
  <conditionalFormatting sqref="H832">
    <cfRule type="containsText" dxfId="1018" priority="1157" operator="containsText" text="Missing">
      <formula>NOT(ISERROR(SEARCH("Missing",H832)))</formula>
    </cfRule>
  </conditionalFormatting>
  <conditionalFormatting sqref="J845:K846 J848:K849 J851:K852 I854:K855">
    <cfRule type="containsText" dxfId="1017" priority="1253" operator="containsText" text="Missing">
      <formula>NOT(ISERROR(SEARCH("Missing",I845)))</formula>
    </cfRule>
  </conditionalFormatting>
  <conditionalFormatting sqref="H839:H840">
    <cfRule type="containsText" dxfId="1016" priority="1254" operator="containsText" text="Missing">
      <formula>NOT(ISERROR(SEARCH("Missing",H839)))</formula>
    </cfRule>
  </conditionalFormatting>
  <conditionalFormatting sqref="J842:K842">
    <cfRule type="containsText" dxfId="1015" priority="1250" operator="containsText" text="Missing">
      <formula>NOT(ISERROR(SEARCH("Missing",J842)))</formula>
    </cfRule>
  </conditionalFormatting>
  <conditionalFormatting sqref="J841:K841">
    <cfRule type="containsText" dxfId="1014" priority="1234" operator="containsText" text="Missing">
      <formula>NOT(ISERROR(SEARCH("Missing",J841)))</formula>
    </cfRule>
  </conditionalFormatting>
  <conditionalFormatting sqref="J865:K865">
    <cfRule type="containsText" dxfId="1013" priority="1162" operator="containsText" text="Missing">
      <formula>NOT(ISERROR(SEARCH("Missing",J865)))</formula>
    </cfRule>
  </conditionalFormatting>
  <conditionalFormatting sqref="H854">
    <cfRule type="containsText" dxfId="1012" priority="1183" operator="containsText" text="Missing">
      <formula>NOT(ISERROR(SEARCH("Missing",H854)))</formula>
    </cfRule>
  </conditionalFormatting>
  <conditionalFormatting sqref="H915">
    <cfRule type="containsText" dxfId="1011" priority="1020" operator="containsText" text="Missing">
      <formula>NOT(ISERROR(SEARCH("Missing",H915)))</formula>
    </cfRule>
  </conditionalFormatting>
  <conditionalFormatting sqref="I915">
    <cfRule type="containsText" dxfId="1010" priority="1019" operator="containsText" text="Missing">
      <formula>NOT(ISERROR(SEARCH("Missing",I915)))</formula>
    </cfRule>
  </conditionalFormatting>
  <conditionalFormatting sqref="J879:K879">
    <cfRule type="containsText" dxfId="1009" priority="1169" operator="containsText" text="Missing">
      <formula>NOT(ISERROR(SEARCH("Missing",J879)))</formula>
    </cfRule>
  </conditionalFormatting>
  <conditionalFormatting sqref="I866">
    <cfRule type="containsText" dxfId="1008" priority="1167" operator="containsText" text="Missing">
      <formula>NOT(ISERROR(SEARCH("Missing",I866)))</formula>
    </cfRule>
  </conditionalFormatting>
  <conditionalFormatting sqref="H902">
    <cfRule type="containsText" dxfId="1007" priority="1032" operator="containsText" text="Missing">
      <formula>NOT(ISERROR(SEARCH("Missing",H902)))</formula>
    </cfRule>
  </conditionalFormatting>
  <conditionalFormatting sqref="H896">
    <cfRule type="containsText" dxfId="1006" priority="1036" operator="containsText" text="Missing">
      <formula>NOT(ISERROR(SEARCH("Missing",H896)))</formula>
    </cfRule>
  </conditionalFormatting>
  <conditionalFormatting sqref="H855">
    <cfRule type="containsText" dxfId="1005" priority="1180" operator="containsText" text="Missing">
      <formula>NOT(ISERROR(SEARCH("Missing",H855)))</formula>
    </cfRule>
  </conditionalFormatting>
  <conditionalFormatting sqref="H856 H865">
    <cfRule type="containsText" dxfId="1004" priority="1177" operator="containsText" text="Missing">
      <formula>NOT(ISERROR(SEARCH("Missing",H856)))</formula>
    </cfRule>
  </conditionalFormatting>
  <conditionalFormatting sqref="J844:K844">
    <cfRule type="containsText" dxfId="1003" priority="1221" operator="containsText" text="Missing">
      <formula>NOT(ISERROR(SEARCH("Missing",J844)))</formula>
    </cfRule>
  </conditionalFormatting>
  <conditionalFormatting sqref="I913:K914">
    <cfRule type="containsText" dxfId="1002" priority="1031" operator="containsText" text="Missing">
      <formula>NOT(ISERROR(SEARCH("Missing",I913)))</formula>
    </cfRule>
  </conditionalFormatting>
  <conditionalFormatting sqref="I839:K840 J833:K838">
    <cfRule type="containsText" dxfId="1001" priority="1274" operator="containsText" text="Missing">
      <formula>NOT(ISERROR(SEARCH("Missing",I833)))</formula>
    </cfRule>
  </conditionalFormatting>
  <conditionalFormatting sqref="L833:L840">
    <cfRule type="containsText" dxfId="1000" priority="1272" operator="containsText" text="Positive">
      <formula>NOT(ISERROR(SEARCH("Positive",L833)))</formula>
    </cfRule>
    <cfRule type="containsText" dxfId="999" priority="1273" operator="containsText" text="Negative">
      <formula>NOT(ISERROR(SEARCH("Negative",L833)))</formula>
    </cfRule>
  </conditionalFormatting>
  <conditionalFormatting sqref="J831:K831">
    <cfRule type="containsText" dxfId="998" priority="1271" operator="containsText" text="Missing">
      <formula>NOT(ISERROR(SEARCH("Missing",J831)))</formula>
    </cfRule>
  </conditionalFormatting>
  <conditionalFormatting sqref="H839:H840">
    <cfRule type="containsText" dxfId="997" priority="1255" operator="containsText" text="Missing">
      <formula>NOT(ISERROR(SEARCH("Missing",H839)))</formula>
    </cfRule>
  </conditionalFormatting>
  <conditionalFormatting sqref="L831">
    <cfRule type="containsText" dxfId="996" priority="1269" operator="containsText" text="Positive">
      <formula>NOT(ISERROR(SEARCH("Positive",L831)))</formula>
    </cfRule>
    <cfRule type="containsText" dxfId="995" priority="1270" operator="containsText" text="Negative">
      <formula>NOT(ISERROR(SEARCH("Negative",L831)))</formula>
    </cfRule>
  </conditionalFormatting>
  <conditionalFormatting sqref="L831">
    <cfRule type="containsText" dxfId="994" priority="1267" operator="containsText" text="Positive">
      <formula>NOT(ISERROR(SEARCH("Positive",L831)))</formula>
    </cfRule>
    <cfRule type="containsText" dxfId="993" priority="1268" operator="containsText" text="Negative">
      <formula>NOT(ISERROR(SEARCH("Negative",L831)))</formula>
    </cfRule>
  </conditionalFormatting>
  <conditionalFormatting sqref="J831:K831">
    <cfRule type="containsText" dxfId="992" priority="1266" operator="containsText" text="Missing">
      <formula>NOT(ISERROR(SEARCH("Missing",J831)))</formula>
    </cfRule>
  </conditionalFormatting>
  <conditionalFormatting sqref="L831">
    <cfRule type="containsText" dxfId="991" priority="1264" operator="containsText" text="Positive">
      <formula>NOT(ISERROR(SEARCH("Positive",L831)))</formula>
    </cfRule>
    <cfRule type="containsText" dxfId="990" priority="1265" operator="containsText" text="Negative">
      <formula>NOT(ISERROR(SEARCH("Negative",L831)))</formula>
    </cfRule>
  </conditionalFormatting>
  <conditionalFormatting sqref="J832:K832">
    <cfRule type="containsText" dxfId="989" priority="1263" operator="containsText" text="Missing">
      <formula>NOT(ISERROR(SEARCH("Missing",J832)))</formula>
    </cfRule>
  </conditionalFormatting>
  <conditionalFormatting sqref="L832">
    <cfRule type="containsText" dxfId="988" priority="1261" operator="containsText" text="Positive">
      <formula>NOT(ISERROR(SEARCH("Positive",L832)))</formula>
    </cfRule>
    <cfRule type="containsText" dxfId="987" priority="1262" operator="containsText" text="Negative">
      <formula>NOT(ISERROR(SEARCH("Negative",L832)))</formula>
    </cfRule>
  </conditionalFormatting>
  <conditionalFormatting sqref="L832">
    <cfRule type="containsText" dxfId="986" priority="1259" operator="containsText" text="Positive">
      <formula>NOT(ISERROR(SEARCH("Positive",L832)))</formula>
    </cfRule>
    <cfRule type="containsText" dxfId="985" priority="1260" operator="containsText" text="Negative">
      <formula>NOT(ISERROR(SEARCH("Negative",L832)))</formula>
    </cfRule>
  </conditionalFormatting>
  <conditionalFormatting sqref="J832:K832">
    <cfRule type="containsText" dxfId="984" priority="1258" operator="containsText" text="Missing">
      <formula>NOT(ISERROR(SEARCH("Missing",J832)))</formula>
    </cfRule>
  </conditionalFormatting>
  <conditionalFormatting sqref="L832">
    <cfRule type="containsText" dxfId="983" priority="1256" operator="containsText" text="Positive">
      <formula>NOT(ISERROR(SEARCH("Positive",L832)))</formula>
    </cfRule>
    <cfRule type="containsText" dxfId="982" priority="1257" operator="containsText" text="Negative">
      <formula>NOT(ISERROR(SEARCH("Negative",L832)))</formula>
    </cfRule>
  </conditionalFormatting>
  <conditionalFormatting sqref="J842:K842">
    <cfRule type="containsText" dxfId="981" priority="1245" operator="containsText" text="Missing">
      <formula>NOT(ISERROR(SEARCH("Missing",J842)))</formula>
    </cfRule>
  </conditionalFormatting>
  <conditionalFormatting sqref="L841">
    <cfRule type="containsText" dxfId="980" priority="1232" operator="containsText" text="Positive">
      <formula>NOT(ISERROR(SEARCH("Positive",L841)))</formula>
    </cfRule>
    <cfRule type="containsText" dxfId="979" priority="1233" operator="containsText" text="Negative">
      <formula>NOT(ISERROR(SEARCH("Negative",L841)))</formula>
    </cfRule>
  </conditionalFormatting>
  <conditionalFormatting sqref="L841">
    <cfRule type="containsText" dxfId="978" priority="1227" operator="containsText" text="Positive">
      <formula>NOT(ISERROR(SEARCH("Positive",L841)))</formula>
    </cfRule>
    <cfRule type="containsText" dxfId="977" priority="1228" operator="containsText" text="Negative">
      <formula>NOT(ISERROR(SEARCH("Negative",L841)))</formula>
    </cfRule>
  </conditionalFormatting>
  <conditionalFormatting sqref="L845:L846 L848:L849 L851:L852 L854:L855">
    <cfRule type="containsText" dxfId="976" priority="1251" operator="containsText" text="Positive">
      <formula>NOT(ISERROR(SEARCH("Positive",L845)))</formula>
    </cfRule>
    <cfRule type="containsText" dxfId="975" priority="1252" operator="containsText" text="Negative">
      <formula>NOT(ISERROR(SEARCH("Negative",L845)))</formula>
    </cfRule>
  </conditionalFormatting>
  <conditionalFormatting sqref="L842">
    <cfRule type="containsText" dxfId="974" priority="1248" operator="containsText" text="Positive">
      <formula>NOT(ISERROR(SEARCH("Positive",L842)))</formula>
    </cfRule>
    <cfRule type="containsText" dxfId="973" priority="1249" operator="containsText" text="Negative">
      <formula>NOT(ISERROR(SEARCH("Negative",L842)))</formula>
    </cfRule>
  </conditionalFormatting>
  <conditionalFormatting sqref="L842">
    <cfRule type="containsText" dxfId="972" priority="1246" operator="containsText" text="Positive">
      <formula>NOT(ISERROR(SEARCH("Positive",L842)))</formula>
    </cfRule>
    <cfRule type="containsText" dxfId="971" priority="1247" operator="containsText" text="Negative">
      <formula>NOT(ISERROR(SEARCH("Negative",L842)))</formula>
    </cfRule>
  </conditionalFormatting>
  <conditionalFormatting sqref="L842">
    <cfRule type="containsText" dxfId="970" priority="1243" operator="containsText" text="Positive">
      <formula>NOT(ISERROR(SEARCH("Positive",L842)))</formula>
    </cfRule>
    <cfRule type="containsText" dxfId="969" priority="1244" operator="containsText" text="Negative">
      <formula>NOT(ISERROR(SEARCH("Negative",L842)))</formula>
    </cfRule>
  </conditionalFormatting>
  <conditionalFormatting sqref="J890:K890">
    <cfRule type="containsText" dxfId="968" priority="1081" operator="containsText" text="Missing">
      <formula>NOT(ISERROR(SEARCH("Missing",J890)))</formula>
    </cfRule>
  </conditionalFormatting>
  <conditionalFormatting sqref="L843">
    <cfRule type="containsText" dxfId="967" priority="1240" operator="containsText" text="Positive">
      <formula>NOT(ISERROR(SEARCH("Positive",L843)))</formula>
    </cfRule>
    <cfRule type="containsText" dxfId="966" priority="1241" operator="containsText" text="Negative">
      <formula>NOT(ISERROR(SEARCH("Negative",L843)))</formula>
    </cfRule>
  </conditionalFormatting>
  <conditionalFormatting sqref="L843">
    <cfRule type="containsText" dxfId="965" priority="1238" operator="containsText" text="Positive">
      <formula>NOT(ISERROR(SEARCH("Positive",L843)))</formula>
    </cfRule>
    <cfRule type="containsText" dxfId="964" priority="1239" operator="containsText" text="Negative">
      <formula>NOT(ISERROR(SEARCH("Negative",L843)))</formula>
    </cfRule>
  </conditionalFormatting>
  <conditionalFormatting sqref="J843:K843">
    <cfRule type="containsText" dxfId="963" priority="1237" operator="containsText" text="Missing">
      <formula>NOT(ISERROR(SEARCH("Missing",J843)))</formula>
    </cfRule>
  </conditionalFormatting>
  <conditionalFormatting sqref="L843">
    <cfRule type="containsText" dxfId="962" priority="1235" operator="containsText" text="Positive">
      <formula>NOT(ISERROR(SEARCH("Positive",L843)))</formula>
    </cfRule>
    <cfRule type="containsText" dxfId="961" priority="1236" operator="containsText" text="Negative">
      <formula>NOT(ISERROR(SEARCH("Negative",L843)))</formula>
    </cfRule>
  </conditionalFormatting>
  <conditionalFormatting sqref="J841:K841">
    <cfRule type="containsText" dxfId="960" priority="1229" operator="containsText" text="Missing">
      <formula>NOT(ISERROR(SEARCH("Missing",J841)))</formula>
    </cfRule>
  </conditionalFormatting>
  <conditionalFormatting sqref="L844">
    <cfRule type="containsText" dxfId="959" priority="1224" operator="containsText" text="Positive">
      <formula>NOT(ISERROR(SEARCH("Positive",L844)))</formula>
    </cfRule>
    <cfRule type="containsText" dxfId="958" priority="1225" operator="containsText" text="Negative">
      <formula>NOT(ISERROR(SEARCH("Negative",L844)))</formula>
    </cfRule>
  </conditionalFormatting>
  <conditionalFormatting sqref="L841">
    <cfRule type="containsText" dxfId="957" priority="1230" operator="containsText" text="Positive">
      <formula>NOT(ISERROR(SEARCH("Positive",L841)))</formula>
    </cfRule>
    <cfRule type="containsText" dxfId="956" priority="1231" operator="containsText" text="Negative">
      <formula>NOT(ISERROR(SEARCH("Negative",L841)))</formula>
    </cfRule>
  </conditionalFormatting>
  <conditionalFormatting sqref="L844">
    <cfRule type="containsText" dxfId="955" priority="1219" operator="containsText" text="Positive">
      <formula>NOT(ISERROR(SEARCH("Positive",L844)))</formula>
    </cfRule>
    <cfRule type="containsText" dxfId="954" priority="1220" operator="containsText" text="Negative">
      <formula>NOT(ISERROR(SEARCH("Negative",L844)))</formula>
    </cfRule>
  </conditionalFormatting>
  <conditionalFormatting sqref="L847">
    <cfRule type="containsText" dxfId="953" priority="1216" operator="containsText" text="Positive">
      <formula>NOT(ISERROR(SEARCH("Positive",L847)))</formula>
    </cfRule>
    <cfRule type="containsText" dxfId="952" priority="1217" operator="containsText" text="Negative">
      <formula>NOT(ISERROR(SEARCH("Negative",L847)))</formula>
    </cfRule>
  </conditionalFormatting>
  <conditionalFormatting sqref="L847">
    <cfRule type="containsText" dxfId="951" priority="1211" operator="containsText" text="Positive">
      <formula>NOT(ISERROR(SEARCH("Positive",L847)))</formula>
    </cfRule>
    <cfRule type="containsText" dxfId="950" priority="1212" operator="containsText" text="Negative">
      <formula>NOT(ISERROR(SEARCH("Negative",L847)))</formula>
    </cfRule>
  </conditionalFormatting>
  <conditionalFormatting sqref="J899:K899">
    <cfRule type="containsText" dxfId="949" priority="1052" operator="containsText" text="Missing">
      <formula>NOT(ISERROR(SEARCH("Missing",J899)))</formula>
    </cfRule>
  </conditionalFormatting>
  <conditionalFormatting sqref="J844:K844">
    <cfRule type="containsText" dxfId="948" priority="1226" operator="containsText" text="Missing">
      <formula>NOT(ISERROR(SEARCH("Missing",J844)))</formula>
    </cfRule>
  </conditionalFormatting>
  <conditionalFormatting sqref="L844">
    <cfRule type="containsText" dxfId="947" priority="1222" operator="containsText" text="Positive">
      <formula>NOT(ISERROR(SEARCH("Positive",L844)))</formula>
    </cfRule>
    <cfRule type="containsText" dxfId="946" priority="1223" operator="containsText" text="Negative">
      <formula>NOT(ISERROR(SEARCH("Negative",L844)))</formula>
    </cfRule>
  </conditionalFormatting>
  <conditionalFormatting sqref="L850">
    <cfRule type="containsText" dxfId="945" priority="1208" operator="containsText" text="Positive">
      <formula>NOT(ISERROR(SEARCH("Positive",L850)))</formula>
    </cfRule>
    <cfRule type="containsText" dxfId="944" priority="1209" operator="containsText" text="Negative">
      <formula>NOT(ISERROR(SEARCH("Negative",L850)))</formula>
    </cfRule>
  </conditionalFormatting>
  <conditionalFormatting sqref="L850">
    <cfRule type="containsText" dxfId="943" priority="1203" operator="containsText" text="Positive">
      <formula>NOT(ISERROR(SEARCH("Positive",L850)))</formula>
    </cfRule>
    <cfRule type="containsText" dxfId="942" priority="1204" operator="containsText" text="Negative">
      <formula>NOT(ISERROR(SEARCH("Negative",L850)))</formula>
    </cfRule>
  </conditionalFormatting>
  <conditionalFormatting sqref="J850:K850">
    <cfRule type="containsText" dxfId="941" priority="1205" operator="containsText" text="Missing">
      <formula>NOT(ISERROR(SEARCH("Missing",J850)))</formula>
    </cfRule>
  </conditionalFormatting>
  <conditionalFormatting sqref="J847:K847">
    <cfRule type="containsText" dxfId="940" priority="1218" operator="containsText" text="Missing">
      <formula>NOT(ISERROR(SEARCH("Missing",J847)))</formula>
    </cfRule>
  </conditionalFormatting>
  <conditionalFormatting sqref="L847">
    <cfRule type="containsText" dxfId="939" priority="1214" operator="containsText" text="Positive">
      <formula>NOT(ISERROR(SEARCH("Positive",L847)))</formula>
    </cfRule>
    <cfRule type="containsText" dxfId="938" priority="1215" operator="containsText" text="Negative">
      <formula>NOT(ISERROR(SEARCH("Negative",L847)))</formula>
    </cfRule>
  </conditionalFormatting>
  <conditionalFormatting sqref="J850:K850">
    <cfRule type="containsText" dxfId="937" priority="1210" operator="containsText" text="Missing">
      <formula>NOT(ISERROR(SEARCH("Missing",J850)))</formula>
    </cfRule>
  </conditionalFormatting>
  <conditionalFormatting sqref="L850">
    <cfRule type="containsText" dxfId="936" priority="1206" operator="containsText" text="Positive">
      <formula>NOT(ISERROR(SEARCH("Positive",L850)))</formula>
    </cfRule>
    <cfRule type="containsText" dxfId="935" priority="1207" operator="containsText" text="Negative">
      <formula>NOT(ISERROR(SEARCH("Negative",L850)))</formula>
    </cfRule>
  </conditionalFormatting>
  <conditionalFormatting sqref="L853">
    <cfRule type="containsText" dxfId="934" priority="1200" operator="containsText" text="Positive">
      <formula>NOT(ISERROR(SEARCH("Positive",L853)))</formula>
    </cfRule>
    <cfRule type="containsText" dxfId="933" priority="1201" operator="containsText" text="Negative">
      <formula>NOT(ISERROR(SEARCH("Negative",L853)))</formula>
    </cfRule>
  </conditionalFormatting>
  <conditionalFormatting sqref="L853">
    <cfRule type="containsText" dxfId="932" priority="1195" operator="containsText" text="Positive">
      <formula>NOT(ISERROR(SEARCH("Positive",L853)))</formula>
    </cfRule>
    <cfRule type="containsText" dxfId="931" priority="1196" operator="containsText" text="Negative">
      <formula>NOT(ISERROR(SEARCH("Negative",L853)))</formula>
    </cfRule>
  </conditionalFormatting>
  <conditionalFormatting sqref="J853:K853">
    <cfRule type="containsText" dxfId="930" priority="1202" operator="containsText" text="Missing">
      <formula>NOT(ISERROR(SEARCH("Missing",J853)))</formula>
    </cfRule>
  </conditionalFormatting>
  <conditionalFormatting sqref="L853">
    <cfRule type="containsText" dxfId="929" priority="1198" operator="containsText" text="Positive">
      <formula>NOT(ISERROR(SEARCH("Positive",L853)))</formula>
    </cfRule>
    <cfRule type="containsText" dxfId="928" priority="1199" operator="containsText" text="Negative">
      <formula>NOT(ISERROR(SEARCH("Negative",L853)))</formula>
    </cfRule>
  </conditionalFormatting>
  <conditionalFormatting sqref="H841">
    <cfRule type="containsText" dxfId="927" priority="1193" operator="containsText" text="Missing">
      <formula>NOT(ISERROR(SEARCH("Missing",H841)))</formula>
    </cfRule>
  </conditionalFormatting>
  <conditionalFormatting sqref="H890">
    <cfRule type="containsText" dxfId="926" priority="1041" operator="containsText" text="Missing">
      <formula>NOT(ISERROR(SEARCH("Missing",H890)))</formula>
    </cfRule>
  </conditionalFormatting>
  <conditionalFormatting sqref="H844">
    <cfRule type="containsText" dxfId="925" priority="1191" operator="containsText" text="Missing">
      <formula>NOT(ISERROR(SEARCH("Missing",H844)))</formula>
    </cfRule>
  </conditionalFormatting>
  <conditionalFormatting sqref="H853">
    <cfRule type="containsText" dxfId="924" priority="1185" operator="containsText" text="Missing">
      <formula>NOT(ISERROR(SEARCH("Missing",H853)))</formula>
    </cfRule>
  </conditionalFormatting>
  <conditionalFormatting sqref="L856 L865">
    <cfRule type="containsText" dxfId="923" priority="1175" operator="containsText" text="Positive">
      <formula>NOT(ISERROR(SEARCH("Positive",L856)))</formula>
    </cfRule>
    <cfRule type="containsText" dxfId="922" priority="1176" operator="containsText" text="Negative">
      <formula>NOT(ISERROR(SEARCH("Negative",L856)))</formula>
    </cfRule>
  </conditionalFormatting>
  <conditionalFormatting sqref="L866:L879">
    <cfRule type="containsText" dxfId="921" priority="1171" operator="containsText" text="Positive">
      <formula>NOT(ISERROR(SEARCH("Positive",L866)))</formula>
    </cfRule>
    <cfRule type="containsText" dxfId="920" priority="1172" operator="containsText" text="Negative">
      <formula>NOT(ISERROR(SEARCH("Negative",L866)))</formula>
    </cfRule>
  </conditionalFormatting>
  <conditionalFormatting sqref="L866:L879">
    <cfRule type="containsText" dxfId="919" priority="1173" operator="containsText" text="Positive">
      <formula>NOT(ISERROR(SEARCH("Positive",L866)))</formula>
    </cfRule>
    <cfRule type="containsText" dxfId="918" priority="1174" operator="containsText" text="Negative">
      <formula>NOT(ISERROR(SEARCH("Negative",L866)))</formula>
    </cfRule>
  </conditionalFormatting>
  <conditionalFormatting sqref="L865">
    <cfRule type="containsText" dxfId="917" priority="1163" operator="containsText" text="Positive">
      <formula>NOT(ISERROR(SEARCH("Positive",L865)))</formula>
    </cfRule>
    <cfRule type="containsText" dxfId="916" priority="1164" operator="containsText" text="Negative">
      <formula>NOT(ISERROR(SEARCH("Negative",L865)))</formula>
    </cfRule>
  </conditionalFormatting>
  <conditionalFormatting sqref="L865">
    <cfRule type="containsText" dxfId="915" priority="1165" operator="containsText" text="Positive">
      <formula>NOT(ISERROR(SEARCH("Positive",L865)))</formula>
    </cfRule>
    <cfRule type="containsText" dxfId="914" priority="1166" operator="containsText" text="Negative">
      <formula>NOT(ISERROR(SEARCH("Negative",L865)))</formula>
    </cfRule>
  </conditionalFormatting>
  <conditionalFormatting sqref="H937">
    <cfRule type="containsText" dxfId="913" priority="876" operator="containsText" text="Missing">
      <formula>NOT(ISERROR(SEARCH("Missing",H937)))</formula>
    </cfRule>
  </conditionalFormatting>
  <conditionalFormatting sqref="H937">
    <cfRule type="containsText" dxfId="912" priority="877" operator="containsText" text="Missing">
      <formula>NOT(ISERROR(SEARCH("Missing",H937)))</formula>
    </cfRule>
  </conditionalFormatting>
  <conditionalFormatting sqref="I896">
    <cfRule type="containsText" dxfId="911" priority="987" operator="containsText" text="Missing">
      <formula>NOT(ISERROR(SEARCH("Missing",I896)))</formula>
    </cfRule>
  </conditionalFormatting>
  <conditionalFormatting sqref="I835:I836">
    <cfRule type="containsText" dxfId="910" priority="1140" operator="containsText" text="Missing">
      <formula>NOT(ISERROR(SEARCH("Missing",I835)))</formula>
    </cfRule>
  </conditionalFormatting>
  <conditionalFormatting sqref="I837:I838">
    <cfRule type="containsText" dxfId="909" priority="1139" operator="containsText" text="Missing">
      <formula>NOT(ISERROR(SEARCH("Missing",I837)))</formula>
    </cfRule>
  </conditionalFormatting>
  <conditionalFormatting sqref="H838">
    <cfRule type="containsText" dxfId="908" priority="1137" operator="containsText" text="Missing">
      <formula>NOT(ISERROR(SEARCH("Missing",H838)))</formula>
    </cfRule>
  </conditionalFormatting>
  <conditionalFormatting sqref="H838">
    <cfRule type="containsText" dxfId="907" priority="1138" operator="containsText" text="Missing">
      <formula>NOT(ISERROR(SEARCH("Missing",H838)))</formula>
    </cfRule>
  </conditionalFormatting>
  <conditionalFormatting sqref="H835">
    <cfRule type="containsText" dxfId="906" priority="1135" operator="containsText" text="Missing">
      <formula>NOT(ISERROR(SEARCH("Missing",H835)))</formula>
    </cfRule>
  </conditionalFormatting>
  <conditionalFormatting sqref="H835">
    <cfRule type="containsText" dxfId="905" priority="1136" operator="containsText" text="Missing">
      <formula>NOT(ISERROR(SEARCH("Missing",H835)))</formula>
    </cfRule>
  </conditionalFormatting>
  <conditionalFormatting sqref="H836">
    <cfRule type="containsText" dxfId="904" priority="1133" operator="containsText" text="Missing">
      <formula>NOT(ISERROR(SEARCH("Missing",H836)))</formula>
    </cfRule>
  </conditionalFormatting>
  <conditionalFormatting sqref="H836">
    <cfRule type="containsText" dxfId="903" priority="1134" operator="containsText" text="Missing">
      <formula>NOT(ISERROR(SEARCH("Missing",H836)))</formula>
    </cfRule>
  </conditionalFormatting>
  <conditionalFormatting sqref="H837">
    <cfRule type="containsText" dxfId="902" priority="1131" operator="containsText" text="Missing">
      <formula>NOT(ISERROR(SEARCH("Missing",H837)))</formula>
    </cfRule>
  </conditionalFormatting>
  <conditionalFormatting sqref="H837">
    <cfRule type="containsText" dxfId="901" priority="1132" operator="containsText" text="Missing">
      <formula>NOT(ISERROR(SEARCH("Missing",H837)))</formula>
    </cfRule>
  </conditionalFormatting>
  <conditionalFormatting sqref="I847">
    <cfRule type="containsText" dxfId="900" priority="1130" operator="containsText" text="Missing">
      <formula>NOT(ISERROR(SEARCH("Missing",I847)))</formula>
    </cfRule>
  </conditionalFormatting>
  <conditionalFormatting sqref="H851">
    <cfRule type="containsText" dxfId="899" priority="1129" operator="containsText" text="Missing">
      <formula>NOT(ISERROR(SEARCH("Missing",H851)))</formula>
    </cfRule>
  </conditionalFormatting>
  <conditionalFormatting sqref="H851">
    <cfRule type="containsText" dxfId="898" priority="1128" operator="containsText" text="Missing">
      <formula>NOT(ISERROR(SEARCH("Missing",H851)))</formula>
    </cfRule>
  </conditionalFormatting>
  <conditionalFormatting sqref="H848">
    <cfRule type="containsText" dxfId="897" priority="1127" operator="containsText" text="Missing">
      <formula>NOT(ISERROR(SEARCH("Missing",H848)))</formula>
    </cfRule>
  </conditionalFormatting>
  <conditionalFormatting sqref="H848">
    <cfRule type="containsText" dxfId="896" priority="1126" operator="containsText" text="Missing">
      <formula>NOT(ISERROR(SEARCH("Missing",H848)))</formula>
    </cfRule>
  </conditionalFormatting>
  <conditionalFormatting sqref="I851:I852">
    <cfRule type="containsText" dxfId="895" priority="1125" operator="containsText" text="Missing">
      <formula>NOT(ISERROR(SEARCH("Missing",I851)))</formula>
    </cfRule>
  </conditionalFormatting>
  <conditionalFormatting sqref="H849">
    <cfRule type="containsText" dxfId="894" priority="1123" operator="containsText" text="Missing">
      <formula>NOT(ISERROR(SEARCH("Missing",H849)))</formula>
    </cfRule>
  </conditionalFormatting>
  <conditionalFormatting sqref="H849">
    <cfRule type="containsText" dxfId="893" priority="1122" operator="containsText" text="Missing">
      <formula>NOT(ISERROR(SEARCH("Missing",H849)))</formula>
    </cfRule>
  </conditionalFormatting>
  <conditionalFormatting sqref="H852">
    <cfRule type="containsText" dxfId="892" priority="1121" operator="containsText" text="Missing">
      <formula>NOT(ISERROR(SEARCH("Missing",H852)))</formula>
    </cfRule>
  </conditionalFormatting>
  <conditionalFormatting sqref="H852">
    <cfRule type="containsText" dxfId="891" priority="1120" operator="containsText" text="Missing">
      <formula>NOT(ISERROR(SEARCH("Missing",H852)))</formula>
    </cfRule>
  </conditionalFormatting>
  <conditionalFormatting sqref="J896:K896">
    <cfRule type="containsText" dxfId="890" priority="1060" operator="containsText" text="Missing">
      <formula>NOT(ISERROR(SEARCH("Missing",J896)))</formula>
    </cfRule>
  </conditionalFormatting>
  <conditionalFormatting sqref="H899">
    <cfRule type="containsText" dxfId="889" priority="1035" operator="containsText" text="Missing">
      <formula>NOT(ISERROR(SEARCH("Missing",H899)))</formula>
    </cfRule>
  </conditionalFormatting>
  <conditionalFormatting sqref="H899">
    <cfRule type="containsText" dxfId="888" priority="1034" operator="containsText" text="Missing">
      <formula>NOT(ISERROR(SEARCH("Missing",H899)))</formula>
    </cfRule>
  </conditionalFormatting>
  <conditionalFormatting sqref="I882:I883">
    <cfRule type="containsText" dxfId="887" priority="1003" operator="containsText" text="Missing">
      <formula>NOT(ISERROR(SEARCH("Missing",I882)))</formula>
    </cfRule>
  </conditionalFormatting>
  <conditionalFormatting sqref="H882">
    <cfRule type="containsText" dxfId="886" priority="1001" operator="containsText" text="Missing">
      <formula>NOT(ISERROR(SEARCH("Missing",H882)))</formula>
    </cfRule>
  </conditionalFormatting>
  <conditionalFormatting sqref="I890:I892">
    <cfRule type="containsText" dxfId="885" priority="1008" operator="containsText" text="Missing">
      <formula>NOT(ISERROR(SEARCH("Missing",I890)))</formula>
    </cfRule>
  </conditionalFormatting>
  <conditionalFormatting sqref="J902:K902">
    <cfRule type="containsText" dxfId="884" priority="1044" operator="containsText" text="Missing">
      <formula>NOT(ISERROR(SEARCH("Missing",J902)))</formula>
    </cfRule>
  </conditionalFormatting>
  <conditionalFormatting sqref="I893">
    <cfRule type="containsText" dxfId="883" priority="997" operator="containsText" text="Missing">
      <formula>NOT(ISERROR(SEARCH("Missing",I893)))</formula>
    </cfRule>
  </conditionalFormatting>
  <conditionalFormatting sqref="J892:K892">
    <cfRule type="containsText" dxfId="882" priority="1089" operator="containsText" text="Missing">
      <formula>NOT(ISERROR(SEARCH("Missing",J892)))</formula>
    </cfRule>
  </conditionalFormatting>
  <conditionalFormatting sqref="H883">
    <cfRule type="containsText" dxfId="881" priority="1000" operator="containsText" text="Missing">
      <formula>NOT(ISERROR(SEARCH("Missing",H883)))</formula>
    </cfRule>
  </conditionalFormatting>
  <conditionalFormatting sqref="H883">
    <cfRule type="containsText" dxfId="880" priority="999" operator="containsText" text="Missing">
      <formula>NOT(ISERROR(SEARCH("Missing",H883)))</formula>
    </cfRule>
  </conditionalFormatting>
  <conditionalFormatting sqref="H948">
    <cfRule type="containsText" dxfId="879" priority="882" operator="containsText" text="Missing">
      <formula>NOT(ISERROR(SEARCH("Missing",H948)))</formula>
    </cfRule>
  </conditionalFormatting>
  <conditionalFormatting sqref="H881">
    <cfRule type="containsText" dxfId="878" priority="1010" operator="containsText" text="Missing">
      <formula>NOT(ISERROR(SEARCH("Missing",H881)))</formula>
    </cfRule>
  </conditionalFormatting>
  <conditionalFormatting sqref="H880">
    <cfRule type="containsText" dxfId="877" priority="1012" operator="containsText" text="Missing">
      <formula>NOT(ISERROR(SEARCH("Missing",H880)))</formula>
    </cfRule>
  </conditionalFormatting>
  <conditionalFormatting sqref="H880">
    <cfRule type="containsText" dxfId="876" priority="1011" operator="containsText" text="Missing">
      <formula>NOT(ISERROR(SEARCH("Missing",H880)))</formula>
    </cfRule>
  </conditionalFormatting>
  <conditionalFormatting sqref="J894:K895 J897:K898 J900:K901 J903:K904">
    <cfRule type="containsText" dxfId="875" priority="1100" operator="containsText" text="Missing">
      <formula>NOT(ISERROR(SEARCH("Missing",J894)))</formula>
    </cfRule>
  </conditionalFormatting>
  <conditionalFormatting sqref="J892:K892">
    <cfRule type="containsText" dxfId="874" priority="1084" operator="containsText" text="Missing">
      <formula>NOT(ISERROR(SEARCH("Missing",J892)))</formula>
    </cfRule>
  </conditionalFormatting>
  <conditionalFormatting sqref="J891:K891">
    <cfRule type="containsText" dxfId="873" priority="1097" operator="containsText" text="Missing">
      <formula>NOT(ISERROR(SEARCH("Missing",J891)))</formula>
    </cfRule>
  </conditionalFormatting>
  <conditionalFormatting sqref="J928:K928">
    <cfRule type="containsText" dxfId="872" priority="1021" operator="containsText" text="Missing">
      <formula>NOT(ISERROR(SEARCH("Missing",J928)))</formula>
    </cfRule>
  </conditionalFormatting>
  <conditionalFormatting sqref="J893:K893">
    <cfRule type="containsText" dxfId="871" priority="1068" operator="containsText" text="Missing">
      <formula>NOT(ISERROR(SEARCH("Missing",J893)))</formula>
    </cfRule>
  </conditionalFormatting>
  <conditionalFormatting sqref="J882:K889">
    <cfRule type="containsText" dxfId="870" priority="1119" operator="containsText" text="Missing">
      <formula>NOT(ISERROR(SEARCH("Missing",J882)))</formula>
    </cfRule>
  </conditionalFormatting>
  <conditionalFormatting sqref="L882:L889">
    <cfRule type="containsText" dxfId="869" priority="1117" operator="containsText" text="Positive">
      <formula>NOT(ISERROR(SEARCH("Positive",L882)))</formula>
    </cfRule>
    <cfRule type="containsText" dxfId="868" priority="1118" operator="containsText" text="Negative">
      <formula>NOT(ISERROR(SEARCH("Negative",L882)))</formula>
    </cfRule>
  </conditionalFormatting>
  <conditionalFormatting sqref="J880:K880">
    <cfRule type="containsText" dxfId="867" priority="1116" operator="containsText" text="Missing">
      <formula>NOT(ISERROR(SEARCH("Missing",J880)))</formula>
    </cfRule>
  </conditionalFormatting>
  <conditionalFormatting sqref="J940:K940">
    <cfRule type="containsText" dxfId="866" priority="934" operator="containsText" text="Missing">
      <formula>NOT(ISERROR(SEARCH("Missing",J940)))</formula>
    </cfRule>
  </conditionalFormatting>
  <conditionalFormatting sqref="L880">
    <cfRule type="containsText" dxfId="865" priority="1114" operator="containsText" text="Positive">
      <formula>NOT(ISERROR(SEARCH("Positive",L880)))</formula>
    </cfRule>
    <cfRule type="containsText" dxfId="864" priority="1115" operator="containsText" text="Negative">
      <formula>NOT(ISERROR(SEARCH("Negative",L880)))</formula>
    </cfRule>
  </conditionalFormatting>
  <conditionalFormatting sqref="L880">
    <cfRule type="containsText" dxfId="863" priority="1112" operator="containsText" text="Positive">
      <formula>NOT(ISERROR(SEARCH("Positive",L880)))</formula>
    </cfRule>
    <cfRule type="containsText" dxfId="862" priority="1113" operator="containsText" text="Negative">
      <formula>NOT(ISERROR(SEARCH("Negative",L880)))</formula>
    </cfRule>
  </conditionalFormatting>
  <conditionalFormatting sqref="J880:K880">
    <cfRule type="containsText" dxfId="861" priority="1111" operator="containsText" text="Missing">
      <formula>NOT(ISERROR(SEARCH("Missing",J880)))</formula>
    </cfRule>
  </conditionalFormatting>
  <conditionalFormatting sqref="L880">
    <cfRule type="containsText" dxfId="860" priority="1109" operator="containsText" text="Positive">
      <formula>NOT(ISERROR(SEARCH("Positive",L880)))</formula>
    </cfRule>
    <cfRule type="containsText" dxfId="859" priority="1110" operator="containsText" text="Negative">
      <formula>NOT(ISERROR(SEARCH("Negative",L880)))</formula>
    </cfRule>
  </conditionalFormatting>
  <conditionalFormatting sqref="J881:K881">
    <cfRule type="containsText" dxfId="858" priority="1108" operator="containsText" text="Missing">
      <formula>NOT(ISERROR(SEARCH("Missing",J881)))</formula>
    </cfRule>
  </conditionalFormatting>
  <conditionalFormatting sqref="L881">
    <cfRule type="containsText" dxfId="857" priority="1106" operator="containsText" text="Positive">
      <formula>NOT(ISERROR(SEARCH("Positive",L881)))</formula>
    </cfRule>
    <cfRule type="containsText" dxfId="856" priority="1107" operator="containsText" text="Negative">
      <formula>NOT(ISERROR(SEARCH("Negative",L881)))</formula>
    </cfRule>
  </conditionalFormatting>
  <conditionalFormatting sqref="L881">
    <cfRule type="containsText" dxfId="855" priority="1104" operator="containsText" text="Positive">
      <formula>NOT(ISERROR(SEARCH("Positive",L881)))</formula>
    </cfRule>
    <cfRule type="containsText" dxfId="854" priority="1105" operator="containsText" text="Negative">
      <formula>NOT(ISERROR(SEARCH("Negative",L881)))</formula>
    </cfRule>
  </conditionalFormatting>
  <conditionalFormatting sqref="J881:K881">
    <cfRule type="containsText" dxfId="853" priority="1103" operator="containsText" text="Missing">
      <formula>NOT(ISERROR(SEARCH("Missing",J881)))</formula>
    </cfRule>
  </conditionalFormatting>
  <conditionalFormatting sqref="L881">
    <cfRule type="containsText" dxfId="852" priority="1101" operator="containsText" text="Positive">
      <formula>NOT(ISERROR(SEARCH("Positive",L881)))</formula>
    </cfRule>
    <cfRule type="containsText" dxfId="851" priority="1102" operator="containsText" text="Negative">
      <formula>NOT(ISERROR(SEARCH("Negative",L881)))</formula>
    </cfRule>
  </conditionalFormatting>
  <conditionalFormatting sqref="J891:K891">
    <cfRule type="containsText" dxfId="850" priority="1092" operator="containsText" text="Missing">
      <formula>NOT(ISERROR(SEARCH("Missing",J891)))</formula>
    </cfRule>
  </conditionalFormatting>
  <conditionalFormatting sqref="L890">
    <cfRule type="containsText" dxfId="849" priority="1079" operator="containsText" text="Positive">
      <formula>NOT(ISERROR(SEARCH("Positive",L890)))</formula>
    </cfRule>
    <cfRule type="containsText" dxfId="848" priority="1080" operator="containsText" text="Negative">
      <formula>NOT(ISERROR(SEARCH("Negative",L890)))</formula>
    </cfRule>
  </conditionalFormatting>
  <conditionalFormatting sqref="L890">
    <cfRule type="containsText" dxfId="847" priority="1074" operator="containsText" text="Positive">
      <formula>NOT(ISERROR(SEARCH("Positive",L890)))</formula>
    </cfRule>
    <cfRule type="containsText" dxfId="846" priority="1075" operator="containsText" text="Negative">
      <formula>NOT(ISERROR(SEARCH("Negative",L890)))</formula>
    </cfRule>
  </conditionalFormatting>
  <conditionalFormatting sqref="L894:L895 L897:L898 L900:L901 L903:L904">
    <cfRule type="containsText" dxfId="845" priority="1098" operator="containsText" text="Positive">
      <formula>NOT(ISERROR(SEARCH("Positive",L894)))</formula>
    </cfRule>
    <cfRule type="containsText" dxfId="844" priority="1099" operator="containsText" text="Negative">
      <formula>NOT(ISERROR(SEARCH("Negative",L894)))</formula>
    </cfRule>
  </conditionalFormatting>
  <conditionalFormatting sqref="L891">
    <cfRule type="containsText" dxfId="843" priority="1095" operator="containsText" text="Positive">
      <formula>NOT(ISERROR(SEARCH("Positive",L891)))</formula>
    </cfRule>
    <cfRule type="containsText" dxfId="842" priority="1096" operator="containsText" text="Negative">
      <formula>NOT(ISERROR(SEARCH("Negative",L891)))</formula>
    </cfRule>
  </conditionalFormatting>
  <conditionalFormatting sqref="L891">
    <cfRule type="containsText" dxfId="841" priority="1093" operator="containsText" text="Positive">
      <formula>NOT(ISERROR(SEARCH("Positive",L891)))</formula>
    </cfRule>
    <cfRule type="containsText" dxfId="840" priority="1094" operator="containsText" text="Negative">
      <formula>NOT(ISERROR(SEARCH("Negative",L891)))</formula>
    </cfRule>
  </conditionalFormatting>
  <conditionalFormatting sqref="L891">
    <cfRule type="containsText" dxfId="839" priority="1090" operator="containsText" text="Positive">
      <formula>NOT(ISERROR(SEARCH("Positive",L891)))</formula>
    </cfRule>
    <cfRule type="containsText" dxfId="838" priority="1091" operator="containsText" text="Negative">
      <formula>NOT(ISERROR(SEARCH("Negative",L891)))</formula>
    </cfRule>
  </conditionalFormatting>
  <conditionalFormatting sqref="L892">
    <cfRule type="containsText" dxfId="837" priority="1087" operator="containsText" text="Positive">
      <formula>NOT(ISERROR(SEARCH("Positive",L892)))</formula>
    </cfRule>
    <cfRule type="containsText" dxfId="836" priority="1088" operator="containsText" text="Negative">
      <formula>NOT(ISERROR(SEARCH("Negative",L892)))</formula>
    </cfRule>
  </conditionalFormatting>
  <conditionalFormatting sqref="L892">
    <cfRule type="containsText" dxfId="835" priority="1085" operator="containsText" text="Positive">
      <formula>NOT(ISERROR(SEARCH("Positive",L892)))</formula>
    </cfRule>
    <cfRule type="containsText" dxfId="834" priority="1086" operator="containsText" text="Negative">
      <formula>NOT(ISERROR(SEARCH("Negative",L892)))</formula>
    </cfRule>
  </conditionalFormatting>
  <conditionalFormatting sqref="J943:K944 J946:K947 J949:K950 J952:K955">
    <cfRule type="containsText" dxfId="833" priority="942" operator="containsText" text="Missing">
      <formula>NOT(ISERROR(SEARCH("Missing",J943)))</formula>
    </cfRule>
  </conditionalFormatting>
  <conditionalFormatting sqref="L892">
    <cfRule type="containsText" dxfId="832" priority="1082" operator="containsText" text="Positive">
      <formula>NOT(ISERROR(SEARCH("Positive",L892)))</formula>
    </cfRule>
    <cfRule type="containsText" dxfId="831" priority="1083" operator="containsText" text="Negative">
      <formula>NOT(ISERROR(SEARCH("Negative",L892)))</formula>
    </cfRule>
  </conditionalFormatting>
  <conditionalFormatting sqref="J890:K890">
    <cfRule type="containsText" dxfId="830" priority="1076" operator="containsText" text="Missing">
      <formula>NOT(ISERROR(SEARCH("Missing",J890)))</formula>
    </cfRule>
  </conditionalFormatting>
  <conditionalFormatting sqref="L893">
    <cfRule type="containsText" dxfId="829" priority="1071" operator="containsText" text="Positive">
      <formula>NOT(ISERROR(SEARCH("Positive",L893)))</formula>
    </cfRule>
    <cfRule type="containsText" dxfId="828" priority="1072" operator="containsText" text="Negative">
      <formula>NOT(ISERROR(SEARCH("Negative",L893)))</formula>
    </cfRule>
  </conditionalFormatting>
  <conditionalFormatting sqref="L890">
    <cfRule type="containsText" dxfId="827" priority="1077" operator="containsText" text="Positive">
      <formula>NOT(ISERROR(SEARCH("Positive",L890)))</formula>
    </cfRule>
    <cfRule type="containsText" dxfId="826" priority="1078" operator="containsText" text="Negative">
      <formula>NOT(ISERROR(SEARCH("Negative",L890)))</formula>
    </cfRule>
  </conditionalFormatting>
  <conditionalFormatting sqref="L893">
    <cfRule type="containsText" dxfId="825" priority="1066" operator="containsText" text="Positive">
      <formula>NOT(ISERROR(SEARCH("Positive",L893)))</formula>
    </cfRule>
    <cfRule type="containsText" dxfId="824" priority="1067" operator="containsText" text="Negative">
      <formula>NOT(ISERROR(SEARCH("Negative",L893)))</formula>
    </cfRule>
  </conditionalFormatting>
  <conditionalFormatting sqref="L896">
    <cfRule type="containsText" dxfId="823" priority="1063" operator="containsText" text="Positive">
      <formula>NOT(ISERROR(SEARCH("Positive",L896)))</formula>
    </cfRule>
    <cfRule type="containsText" dxfId="822" priority="1064" operator="containsText" text="Negative">
      <formula>NOT(ISERROR(SEARCH("Negative",L896)))</formula>
    </cfRule>
  </conditionalFormatting>
  <conditionalFormatting sqref="L896">
    <cfRule type="containsText" dxfId="821" priority="1058" operator="containsText" text="Positive">
      <formula>NOT(ISERROR(SEARCH("Positive",L896)))</formula>
    </cfRule>
    <cfRule type="containsText" dxfId="820" priority="1059" operator="containsText" text="Negative">
      <formula>NOT(ISERROR(SEARCH("Negative",L896)))</formula>
    </cfRule>
  </conditionalFormatting>
  <conditionalFormatting sqref="J893:K893">
    <cfRule type="containsText" dxfId="819" priority="1073" operator="containsText" text="Missing">
      <formula>NOT(ISERROR(SEARCH("Missing",J893)))</formula>
    </cfRule>
  </conditionalFormatting>
  <conditionalFormatting sqref="L893">
    <cfRule type="containsText" dxfId="818" priority="1069" operator="containsText" text="Positive">
      <formula>NOT(ISERROR(SEARCH("Positive",L893)))</formula>
    </cfRule>
    <cfRule type="containsText" dxfId="817" priority="1070" operator="containsText" text="Negative">
      <formula>NOT(ISERROR(SEARCH("Negative",L893)))</formula>
    </cfRule>
  </conditionalFormatting>
  <conditionalFormatting sqref="L899">
    <cfRule type="containsText" dxfId="816" priority="1055" operator="containsText" text="Positive">
      <formula>NOT(ISERROR(SEARCH("Positive",L899)))</formula>
    </cfRule>
    <cfRule type="containsText" dxfId="815" priority="1056" operator="containsText" text="Negative">
      <formula>NOT(ISERROR(SEARCH("Negative",L899)))</formula>
    </cfRule>
  </conditionalFormatting>
  <conditionalFormatting sqref="L899">
    <cfRule type="containsText" dxfId="814" priority="1050" operator="containsText" text="Positive">
      <formula>NOT(ISERROR(SEARCH("Positive",L899)))</formula>
    </cfRule>
    <cfRule type="containsText" dxfId="813" priority="1051" operator="containsText" text="Negative">
      <formula>NOT(ISERROR(SEARCH("Negative",L899)))</formula>
    </cfRule>
  </conditionalFormatting>
  <conditionalFormatting sqref="J896:K896">
    <cfRule type="containsText" dxfId="812" priority="1065" operator="containsText" text="Missing">
      <formula>NOT(ISERROR(SEARCH("Missing",J896)))</formula>
    </cfRule>
  </conditionalFormatting>
  <conditionalFormatting sqref="L896">
    <cfRule type="containsText" dxfId="811" priority="1061" operator="containsText" text="Positive">
      <formula>NOT(ISERROR(SEARCH("Positive",L896)))</formula>
    </cfRule>
    <cfRule type="containsText" dxfId="810" priority="1062" operator="containsText" text="Negative">
      <formula>NOT(ISERROR(SEARCH("Negative",L896)))</formula>
    </cfRule>
  </conditionalFormatting>
  <conditionalFormatting sqref="J899:K899">
    <cfRule type="containsText" dxfId="809" priority="1057" operator="containsText" text="Missing">
      <formula>NOT(ISERROR(SEARCH("Missing",J899)))</formula>
    </cfRule>
  </conditionalFormatting>
  <conditionalFormatting sqref="L899">
    <cfRule type="containsText" dxfId="808" priority="1053" operator="containsText" text="Positive">
      <formula>NOT(ISERROR(SEARCH("Positive",L899)))</formula>
    </cfRule>
    <cfRule type="containsText" dxfId="807" priority="1054" operator="containsText" text="Negative">
      <formula>NOT(ISERROR(SEARCH("Negative",L899)))</formula>
    </cfRule>
  </conditionalFormatting>
  <conditionalFormatting sqref="L902">
    <cfRule type="containsText" dxfId="806" priority="1047" operator="containsText" text="Positive">
      <formula>NOT(ISERROR(SEARCH("Positive",L902)))</formula>
    </cfRule>
    <cfRule type="containsText" dxfId="805" priority="1048" operator="containsText" text="Negative">
      <formula>NOT(ISERROR(SEARCH("Negative",L902)))</formula>
    </cfRule>
  </conditionalFormatting>
  <conditionalFormatting sqref="L902">
    <cfRule type="containsText" dxfId="804" priority="1042" operator="containsText" text="Positive">
      <formula>NOT(ISERROR(SEARCH("Positive",L902)))</formula>
    </cfRule>
    <cfRule type="containsText" dxfId="803" priority="1043" operator="containsText" text="Negative">
      <formula>NOT(ISERROR(SEARCH("Negative",L902)))</formula>
    </cfRule>
  </conditionalFormatting>
  <conditionalFormatting sqref="J902:K902">
    <cfRule type="containsText" dxfId="802" priority="1049" operator="containsText" text="Missing">
      <formula>NOT(ISERROR(SEARCH("Missing",J902)))</formula>
    </cfRule>
  </conditionalFormatting>
  <conditionalFormatting sqref="L902">
    <cfRule type="containsText" dxfId="801" priority="1045" operator="containsText" text="Positive">
      <formula>NOT(ISERROR(SEARCH("Positive",L902)))</formula>
    </cfRule>
    <cfRule type="containsText" dxfId="800" priority="1046" operator="containsText" text="Negative">
      <formula>NOT(ISERROR(SEARCH("Negative",L902)))</formula>
    </cfRule>
  </conditionalFormatting>
  <conditionalFormatting sqref="H890">
    <cfRule type="containsText" dxfId="799" priority="1040" operator="containsText" text="Missing">
      <formula>NOT(ISERROR(SEARCH("Missing",H890)))</formula>
    </cfRule>
  </conditionalFormatting>
  <conditionalFormatting sqref="H893">
    <cfRule type="containsText" dxfId="798" priority="1039" operator="containsText" text="Missing">
      <formula>NOT(ISERROR(SEARCH("Missing",H893)))</formula>
    </cfRule>
  </conditionalFormatting>
  <conditionalFormatting sqref="H902">
    <cfRule type="containsText" dxfId="797" priority="1033" operator="containsText" text="Missing">
      <formula>NOT(ISERROR(SEARCH("Missing",H902)))</formula>
    </cfRule>
  </conditionalFormatting>
  <conditionalFormatting sqref="L913:L914">
    <cfRule type="containsText" dxfId="796" priority="1027" operator="containsText" text="Positive">
      <formula>NOT(ISERROR(SEARCH("Positive",L913)))</formula>
    </cfRule>
    <cfRule type="containsText" dxfId="795" priority="1028" operator="containsText" text="Negative">
      <formula>NOT(ISERROR(SEARCH("Negative",L913)))</formula>
    </cfRule>
  </conditionalFormatting>
  <conditionalFormatting sqref="L915:L928">
    <cfRule type="containsText" dxfId="794" priority="1023" operator="containsText" text="Positive">
      <formula>NOT(ISERROR(SEARCH("Positive",L915)))</formula>
    </cfRule>
    <cfRule type="containsText" dxfId="793" priority="1024" operator="containsText" text="Negative">
      <formula>NOT(ISERROR(SEARCH("Negative",L915)))</formula>
    </cfRule>
  </conditionalFormatting>
  <conditionalFormatting sqref="L915:L928">
    <cfRule type="containsText" dxfId="792" priority="1025" operator="containsText" text="Positive">
      <formula>NOT(ISERROR(SEARCH("Positive",L915)))</formula>
    </cfRule>
    <cfRule type="containsText" dxfId="791" priority="1026" operator="containsText" text="Negative">
      <formula>NOT(ISERROR(SEARCH("Negative",L915)))</formula>
    </cfRule>
  </conditionalFormatting>
  <conditionalFormatting sqref="L914">
    <cfRule type="containsText" dxfId="790" priority="1015" operator="containsText" text="Positive">
      <formula>NOT(ISERROR(SEARCH("Positive",L914)))</formula>
    </cfRule>
    <cfRule type="containsText" dxfId="789" priority="1016" operator="containsText" text="Negative">
      <formula>NOT(ISERROR(SEARCH("Negative",L914)))</formula>
    </cfRule>
  </conditionalFormatting>
  <conditionalFormatting sqref="L914">
    <cfRule type="containsText" dxfId="788" priority="1017" operator="containsText" text="Positive">
      <formula>NOT(ISERROR(SEARCH("Positive",L914)))</formula>
    </cfRule>
    <cfRule type="containsText" dxfId="787" priority="1018" operator="containsText" text="Negative">
      <formula>NOT(ISERROR(SEARCH("Negative",L914)))</formula>
    </cfRule>
  </conditionalFormatting>
  <conditionalFormatting sqref="H887">
    <cfRule type="containsText" dxfId="786" priority="980" operator="containsText" text="Missing">
      <formula>NOT(ISERROR(SEARCH("Missing",H887)))</formula>
    </cfRule>
  </conditionalFormatting>
  <conditionalFormatting sqref="H887">
    <cfRule type="containsText" dxfId="785" priority="981" operator="containsText" text="Missing">
      <formula>NOT(ISERROR(SEARCH("Missing",H887)))</formula>
    </cfRule>
  </conditionalFormatting>
  <conditionalFormatting sqref="H939">
    <cfRule type="containsText" dxfId="784" priority="841" operator="containsText" text="Missing">
      <formula>NOT(ISERROR(SEARCH("Missing",H939)))</formula>
    </cfRule>
  </conditionalFormatting>
  <conditionalFormatting sqref="I952:I953">
    <cfRule type="containsText" dxfId="783" priority="872" operator="containsText" text="Missing">
      <formula>NOT(ISERROR(SEARCH("Missing",I952)))</formula>
    </cfRule>
  </conditionalFormatting>
  <conditionalFormatting sqref="H889">
    <cfRule type="containsText" dxfId="782" priority="976" operator="containsText" text="Missing">
      <formula>NOT(ISERROR(SEARCH("Missing",H889)))</formula>
    </cfRule>
  </conditionalFormatting>
  <conditionalFormatting sqref="H889">
    <cfRule type="containsText" dxfId="781" priority="977" operator="containsText" text="Missing">
      <formula>NOT(ISERROR(SEARCH("Missing",H889)))</formula>
    </cfRule>
  </conditionalFormatting>
  <conditionalFormatting sqref="I931:I932">
    <cfRule type="containsText" dxfId="780" priority="865" operator="containsText" text="Missing">
      <formula>NOT(ISERROR(SEARCH("Missing",I931)))</formula>
    </cfRule>
  </conditionalFormatting>
  <conditionalFormatting sqref="H886">
    <cfRule type="containsText" dxfId="779" priority="975" operator="containsText" text="Missing">
      <formula>NOT(ISERROR(SEARCH("Missing",H886)))</formula>
    </cfRule>
  </conditionalFormatting>
  <conditionalFormatting sqref="I937:I938">
    <cfRule type="containsText" dxfId="778" priority="873" operator="containsText" text="Missing">
      <formula>NOT(ISERROR(SEARCH("Missing",I937)))</formula>
    </cfRule>
  </conditionalFormatting>
  <conditionalFormatting sqref="I886:I887">
    <cfRule type="containsText" dxfId="777" priority="972" operator="containsText" text="Missing">
      <formula>NOT(ISERROR(SEARCH("Missing",I886)))</formula>
    </cfRule>
  </conditionalFormatting>
  <conditionalFormatting sqref="J948:K948">
    <cfRule type="containsText" dxfId="776" priority="894" operator="containsText" text="Missing">
      <formula>NOT(ISERROR(SEARCH("Missing",J948)))</formula>
    </cfRule>
  </conditionalFormatting>
  <conditionalFormatting sqref="I903:I904">
    <cfRule type="containsText" dxfId="775" priority="971" operator="containsText" text="Missing">
      <formula>NOT(ISERROR(SEARCH("Missing",I903)))</formula>
    </cfRule>
  </conditionalFormatting>
  <conditionalFormatting sqref="H901">
    <cfRule type="containsText" dxfId="774" priority="969" operator="containsText" text="Missing">
      <formula>NOT(ISERROR(SEARCH("Missing",H901)))</formula>
    </cfRule>
  </conditionalFormatting>
  <conditionalFormatting sqref="H901">
    <cfRule type="containsText" dxfId="773" priority="970" operator="containsText" text="Missing">
      <formula>NOT(ISERROR(SEARCH("Missing",H901)))</formula>
    </cfRule>
  </conditionalFormatting>
  <conditionalFormatting sqref="H903">
    <cfRule type="containsText" dxfId="772" priority="968" operator="containsText" text="Missing">
      <formula>NOT(ISERROR(SEARCH("Missing",H903)))</formula>
    </cfRule>
  </conditionalFormatting>
  <conditionalFormatting sqref="H903">
    <cfRule type="containsText" dxfId="771" priority="967" operator="containsText" text="Missing">
      <formula>NOT(ISERROR(SEARCH("Missing",H903)))</formula>
    </cfRule>
  </conditionalFormatting>
  <conditionalFormatting sqref="H904">
    <cfRule type="containsText" dxfId="770" priority="966" operator="containsText" text="Missing">
      <formula>NOT(ISERROR(SEARCH("Missing",H904)))</formula>
    </cfRule>
  </conditionalFormatting>
  <conditionalFormatting sqref="H904">
    <cfRule type="containsText" dxfId="769" priority="965" operator="containsText" text="Missing">
      <formula>NOT(ISERROR(SEARCH("Missing",H904)))</formula>
    </cfRule>
  </conditionalFormatting>
  <conditionalFormatting sqref="I899:I901">
    <cfRule type="containsText" dxfId="768" priority="962" operator="containsText" text="Missing">
      <formula>NOT(ISERROR(SEARCH("Missing",I899)))</formula>
    </cfRule>
  </conditionalFormatting>
  <conditionalFormatting sqref="I935:I936">
    <cfRule type="containsText" dxfId="767" priority="867" operator="containsText" text="Missing">
      <formula>NOT(ISERROR(SEARCH("Missing",I935)))</formula>
    </cfRule>
  </conditionalFormatting>
  <conditionalFormatting sqref="H900">
    <cfRule type="containsText" dxfId="766" priority="963" operator="containsText" text="Missing">
      <formula>NOT(ISERROR(SEARCH("Missing",H900)))</formula>
    </cfRule>
  </conditionalFormatting>
  <conditionalFormatting sqref="H900">
    <cfRule type="containsText" dxfId="765" priority="964" operator="containsText" text="Missing">
      <formula>NOT(ISERROR(SEARCH("Missing",H900)))</formula>
    </cfRule>
  </conditionalFormatting>
  <conditionalFormatting sqref="I980">
    <cfRule type="containsText" dxfId="764" priority="815" operator="containsText" text="Missing">
      <formula>NOT(ISERROR(SEARCH("Missing",I980)))</formula>
    </cfRule>
  </conditionalFormatting>
  <conditionalFormatting sqref="H952">
    <cfRule type="containsText" dxfId="763" priority="870" operator="containsText" text="Missing">
      <formula>NOT(ISERROR(SEARCH("Missing",H952)))</formula>
    </cfRule>
  </conditionalFormatting>
  <conditionalFormatting sqref="H946">
    <cfRule type="containsText" dxfId="762" priority="851" operator="containsText" text="Missing">
      <formula>NOT(ISERROR(SEARCH("Missing",H946)))</formula>
    </cfRule>
  </conditionalFormatting>
  <conditionalFormatting sqref="H953">
    <cfRule type="containsText" dxfId="761" priority="868" operator="containsText" text="Missing">
      <formula>NOT(ISERROR(SEARCH("Missing",H953)))</formula>
    </cfRule>
  </conditionalFormatting>
  <conditionalFormatting sqref="H953">
    <cfRule type="containsText" dxfId="760" priority="869" operator="containsText" text="Missing">
      <formula>NOT(ISERROR(SEARCH("Missing",H953)))</formula>
    </cfRule>
  </conditionalFormatting>
  <conditionalFormatting sqref="I940:I941">
    <cfRule type="containsText" dxfId="759" priority="860" operator="containsText" text="Missing">
      <formula>NOT(ISERROR(SEARCH("Missing",I940)))</formula>
    </cfRule>
  </conditionalFormatting>
  <conditionalFormatting sqref="H947">
    <cfRule type="containsText" dxfId="758" priority="852" operator="containsText" text="Missing">
      <formula>NOT(ISERROR(SEARCH("Missing",H947)))</formula>
    </cfRule>
  </conditionalFormatting>
  <conditionalFormatting sqref="H949">
    <cfRule type="containsText" dxfId="757" priority="859" operator="containsText" text="Missing">
      <formula>NOT(ISERROR(SEARCH("Missing",H949)))</formula>
    </cfRule>
  </conditionalFormatting>
  <conditionalFormatting sqref="H941">
    <cfRule type="containsText" dxfId="756" priority="842" operator="containsText" text="Missing">
      <formula>NOT(ISERROR(SEARCH("Missing",H941)))</formula>
    </cfRule>
  </conditionalFormatting>
  <conditionalFormatting sqref="H861">
    <cfRule type="containsText" dxfId="755" priority="802" operator="containsText" text="Missing">
      <formula>NOT(ISERROR(SEARCH("Missing",H861)))</formula>
    </cfRule>
  </conditionalFormatting>
  <conditionalFormatting sqref="I933:I934">
    <cfRule type="containsText" dxfId="754" priority="866" operator="containsText" text="Missing">
      <formula>NOT(ISERROR(SEARCH("Missing",I933)))</formula>
    </cfRule>
  </conditionalFormatting>
  <conditionalFormatting sqref="H949">
    <cfRule type="containsText" dxfId="753" priority="858" operator="containsText" text="Missing">
      <formula>NOT(ISERROR(SEARCH("Missing",H949)))</formula>
    </cfRule>
  </conditionalFormatting>
  <conditionalFormatting sqref="H952">
    <cfRule type="containsText" dxfId="752" priority="871" operator="containsText" text="Missing">
      <formula>NOT(ISERROR(SEARCH("Missing",H952)))</formula>
    </cfRule>
  </conditionalFormatting>
  <conditionalFormatting sqref="H950">
    <cfRule type="containsText" dxfId="751" priority="856" operator="containsText" text="Missing">
      <formula>NOT(ISERROR(SEARCH("Missing",H950)))</formula>
    </cfRule>
  </conditionalFormatting>
  <conditionalFormatting sqref="H951">
    <cfRule type="containsText" dxfId="750" priority="880" operator="containsText" text="Missing">
      <formula>NOT(ISERROR(SEARCH("Missing",H951)))</formula>
    </cfRule>
  </conditionalFormatting>
  <conditionalFormatting sqref="J939:K939">
    <cfRule type="containsText" dxfId="749" priority="923" operator="containsText" text="Missing">
      <formula>NOT(ISERROR(SEARCH("Missing",J939)))</formula>
    </cfRule>
  </conditionalFormatting>
  <conditionalFormatting sqref="H946">
    <cfRule type="containsText" dxfId="748" priority="850" operator="containsText" text="Missing">
      <formula>NOT(ISERROR(SEARCH("Missing",H946)))</formula>
    </cfRule>
  </conditionalFormatting>
  <conditionalFormatting sqref="J945:K945">
    <cfRule type="containsText" dxfId="747" priority="902" operator="containsText" text="Missing">
      <formula>NOT(ISERROR(SEARCH("Missing",J945)))</formula>
    </cfRule>
  </conditionalFormatting>
  <conditionalFormatting sqref="H948">
    <cfRule type="containsText" dxfId="746" priority="883" operator="containsText" text="Missing">
      <formula>NOT(ISERROR(SEARCH("Missing",H948)))</formula>
    </cfRule>
  </conditionalFormatting>
  <conditionalFormatting sqref="I939">
    <cfRule type="containsText" dxfId="745" priority="879" operator="containsText" text="Missing">
      <formula>NOT(ISERROR(SEARCH("Missing",I939)))</formula>
    </cfRule>
  </conditionalFormatting>
  <conditionalFormatting sqref="J951:K951">
    <cfRule type="containsText" dxfId="744" priority="886" operator="containsText" text="Missing">
      <formula>NOT(ISERROR(SEARCH("Missing",J951)))</formula>
    </cfRule>
  </conditionalFormatting>
  <conditionalFormatting sqref="H931">
    <cfRule type="containsText" dxfId="743" priority="829" operator="containsText" text="Missing">
      <formula>NOT(ISERROR(SEARCH("Missing",H931)))</formula>
    </cfRule>
  </conditionalFormatting>
  <conditionalFormatting sqref="J941:K941">
    <cfRule type="containsText" dxfId="742" priority="931" operator="containsText" text="Missing">
      <formula>NOT(ISERROR(SEARCH("Missing",J941)))</formula>
    </cfRule>
  </conditionalFormatting>
  <conditionalFormatting sqref="J941:K941">
    <cfRule type="containsText" dxfId="741" priority="926" operator="containsText" text="Missing">
      <formula>NOT(ISERROR(SEARCH("Missing",J941)))</formula>
    </cfRule>
  </conditionalFormatting>
  <conditionalFormatting sqref="J940:K940">
    <cfRule type="containsText" dxfId="740" priority="939" operator="containsText" text="Missing">
      <formula>NOT(ISERROR(SEARCH("Missing",J940)))</formula>
    </cfRule>
  </conditionalFormatting>
  <conditionalFormatting sqref="J942:K942">
    <cfRule type="containsText" dxfId="739" priority="910" operator="containsText" text="Missing">
      <formula>NOT(ISERROR(SEARCH("Missing",J942)))</formula>
    </cfRule>
  </conditionalFormatting>
  <conditionalFormatting sqref="J931:K938">
    <cfRule type="containsText" dxfId="738" priority="961" operator="containsText" text="Missing">
      <formula>NOT(ISERROR(SEARCH("Missing",J931)))</formula>
    </cfRule>
  </conditionalFormatting>
  <conditionalFormatting sqref="L931:L938">
    <cfRule type="containsText" dxfId="737" priority="959" operator="containsText" text="Positive">
      <formula>NOT(ISERROR(SEARCH("Positive",L931)))</formula>
    </cfRule>
    <cfRule type="containsText" dxfId="736" priority="960" operator="containsText" text="Negative">
      <formula>NOT(ISERROR(SEARCH("Negative",L931)))</formula>
    </cfRule>
  </conditionalFormatting>
  <conditionalFormatting sqref="J929:K929">
    <cfRule type="containsText" dxfId="735" priority="958" operator="containsText" text="Missing">
      <formula>NOT(ISERROR(SEARCH("Missing",J929)))</formula>
    </cfRule>
  </conditionalFormatting>
  <conditionalFormatting sqref="L929">
    <cfRule type="containsText" dxfId="734" priority="956" operator="containsText" text="Positive">
      <formula>NOT(ISERROR(SEARCH("Positive",L929)))</formula>
    </cfRule>
    <cfRule type="containsText" dxfId="733" priority="957" operator="containsText" text="Negative">
      <formula>NOT(ISERROR(SEARCH("Negative",L929)))</formula>
    </cfRule>
  </conditionalFormatting>
  <conditionalFormatting sqref="L929">
    <cfRule type="containsText" dxfId="732" priority="954" operator="containsText" text="Positive">
      <formula>NOT(ISERROR(SEARCH("Positive",L929)))</formula>
    </cfRule>
    <cfRule type="containsText" dxfId="731" priority="955" operator="containsText" text="Negative">
      <formula>NOT(ISERROR(SEARCH("Negative",L929)))</formula>
    </cfRule>
  </conditionalFormatting>
  <conditionalFormatting sqref="J929:K929">
    <cfRule type="containsText" dxfId="730" priority="953" operator="containsText" text="Missing">
      <formula>NOT(ISERROR(SEARCH("Missing",J929)))</formula>
    </cfRule>
  </conditionalFormatting>
  <conditionalFormatting sqref="L929">
    <cfRule type="containsText" dxfId="729" priority="951" operator="containsText" text="Positive">
      <formula>NOT(ISERROR(SEARCH("Positive",L929)))</formula>
    </cfRule>
    <cfRule type="containsText" dxfId="728" priority="952" operator="containsText" text="Negative">
      <formula>NOT(ISERROR(SEARCH("Negative",L929)))</formula>
    </cfRule>
  </conditionalFormatting>
  <conditionalFormatting sqref="J930:K930">
    <cfRule type="containsText" dxfId="727" priority="950" operator="containsText" text="Missing">
      <formula>NOT(ISERROR(SEARCH("Missing",J930)))</formula>
    </cfRule>
  </conditionalFormatting>
  <conditionalFormatting sqref="L930">
    <cfRule type="containsText" dxfId="726" priority="948" operator="containsText" text="Positive">
      <formula>NOT(ISERROR(SEARCH("Positive",L930)))</formula>
    </cfRule>
    <cfRule type="containsText" dxfId="725" priority="949" operator="containsText" text="Negative">
      <formula>NOT(ISERROR(SEARCH("Negative",L930)))</formula>
    </cfRule>
  </conditionalFormatting>
  <conditionalFormatting sqref="L930">
    <cfRule type="containsText" dxfId="724" priority="946" operator="containsText" text="Positive">
      <formula>NOT(ISERROR(SEARCH("Positive",L930)))</formula>
    </cfRule>
    <cfRule type="containsText" dxfId="723" priority="947" operator="containsText" text="Negative">
      <formula>NOT(ISERROR(SEARCH("Negative",L930)))</formula>
    </cfRule>
  </conditionalFormatting>
  <conditionalFormatting sqref="J930:K930">
    <cfRule type="containsText" dxfId="722" priority="945" operator="containsText" text="Missing">
      <formula>NOT(ISERROR(SEARCH("Missing",J930)))</formula>
    </cfRule>
  </conditionalFormatting>
  <conditionalFormatting sqref="L930">
    <cfRule type="containsText" dxfId="721" priority="943" operator="containsText" text="Positive">
      <formula>NOT(ISERROR(SEARCH("Positive",L930)))</formula>
    </cfRule>
    <cfRule type="containsText" dxfId="720" priority="944" operator="containsText" text="Negative">
      <formula>NOT(ISERROR(SEARCH("Negative",L930)))</formula>
    </cfRule>
  </conditionalFormatting>
  <conditionalFormatting sqref="L939">
    <cfRule type="containsText" dxfId="719" priority="921" operator="containsText" text="Positive">
      <formula>NOT(ISERROR(SEARCH("Positive",L939)))</formula>
    </cfRule>
    <cfRule type="containsText" dxfId="718" priority="922" operator="containsText" text="Negative">
      <formula>NOT(ISERROR(SEARCH("Negative",L939)))</formula>
    </cfRule>
  </conditionalFormatting>
  <conditionalFormatting sqref="L939">
    <cfRule type="containsText" dxfId="717" priority="916" operator="containsText" text="Positive">
      <formula>NOT(ISERROR(SEARCH("Positive",L939)))</formula>
    </cfRule>
    <cfRule type="containsText" dxfId="716" priority="917" operator="containsText" text="Negative">
      <formula>NOT(ISERROR(SEARCH("Negative",L939)))</formula>
    </cfRule>
  </conditionalFormatting>
  <conditionalFormatting sqref="L943:L944 L946:L947 L949:L950 L952:L955">
    <cfRule type="containsText" dxfId="715" priority="940" operator="containsText" text="Positive">
      <formula>NOT(ISERROR(SEARCH("Positive",L943)))</formula>
    </cfRule>
    <cfRule type="containsText" dxfId="714" priority="941" operator="containsText" text="Negative">
      <formula>NOT(ISERROR(SEARCH("Negative",L943)))</formula>
    </cfRule>
  </conditionalFormatting>
  <conditionalFormatting sqref="L940">
    <cfRule type="containsText" dxfId="713" priority="937" operator="containsText" text="Positive">
      <formula>NOT(ISERROR(SEARCH("Positive",L940)))</formula>
    </cfRule>
    <cfRule type="containsText" dxfId="712" priority="938" operator="containsText" text="Negative">
      <formula>NOT(ISERROR(SEARCH("Negative",L940)))</formula>
    </cfRule>
  </conditionalFormatting>
  <conditionalFormatting sqref="L940">
    <cfRule type="containsText" dxfId="711" priority="935" operator="containsText" text="Positive">
      <formula>NOT(ISERROR(SEARCH("Positive",L940)))</formula>
    </cfRule>
    <cfRule type="containsText" dxfId="710" priority="936" operator="containsText" text="Negative">
      <formula>NOT(ISERROR(SEARCH("Negative",L940)))</formula>
    </cfRule>
  </conditionalFormatting>
  <conditionalFormatting sqref="L940">
    <cfRule type="containsText" dxfId="709" priority="932" operator="containsText" text="Positive">
      <formula>NOT(ISERROR(SEARCH("Positive",L940)))</formula>
    </cfRule>
    <cfRule type="containsText" dxfId="708" priority="933" operator="containsText" text="Negative">
      <formula>NOT(ISERROR(SEARCH("Negative",L940)))</formula>
    </cfRule>
  </conditionalFormatting>
  <conditionalFormatting sqref="L941">
    <cfRule type="containsText" dxfId="707" priority="929" operator="containsText" text="Positive">
      <formula>NOT(ISERROR(SEARCH("Positive",L941)))</formula>
    </cfRule>
    <cfRule type="containsText" dxfId="706" priority="930" operator="containsText" text="Negative">
      <formula>NOT(ISERROR(SEARCH("Negative",L941)))</formula>
    </cfRule>
  </conditionalFormatting>
  <conditionalFormatting sqref="L941">
    <cfRule type="containsText" dxfId="705" priority="927" operator="containsText" text="Positive">
      <formula>NOT(ISERROR(SEARCH("Positive",L941)))</formula>
    </cfRule>
    <cfRule type="containsText" dxfId="704" priority="928" operator="containsText" text="Negative">
      <formula>NOT(ISERROR(SEARCH("Negative",L941)))</formula>
    </cfRule>
  </conditionalFormatting>
  <conditionalFormatting sqref="L941">
    <cfRule type="containsText" dxfId="703" priority="924" operator="containsText" text="Positive">
      <formula>NOT(ISERROR(SEARCH("Positive",L941)))</formula>
    </cfRule>
    <cfRule type="containsText" dxfId="702" priority="925" operator="containsText" text="Negative">
      <formula>NOT(ISERROR(SEARCH("Negative",L941)))</formula>
    </cfRule>
  </conditionalFormatting>
  <conditionalFormatting sqref="J939:K939">
    <cfRule type="containsText" dxfId="701" priority="918" operator="containsText" text="Missing">
      <formula>NOT(ISERROR(SEARCH("Missing",J939)))</formula>
    </cfRule>
  </conditionalFormatting>
  <conditionalFormatting sqref="L942">
    <cfRule type="containsText" dxfId="700" priority="913" operator="containsText" text="Positive">
      <formula>NOT(ISERROR(SEARCH("Positive",L942)))</formula>
    </cfRule>
    <cfRule type="containsText" dxfId="699" priority="914" operator="containsText" text="Negative">
      <formula>NOT(ISERROR(SEARCH("Negative",L942)))</formula>
    </cfRule>
  </conditionalFormatting>
  <conditionalFormatting sqref="L939">
    <cfRule type="containsText" dxfId="698" priority="919" operator="containsText" text="Positive">
      <formula>NOT(ISERROR(SEARCH("Positive",L939)))</formula>
    </cfRule>
    <cfRule type="containsText" dxfId="697" priority="920" operator="containsText" text="Negative">
      <formula>NOT(ISERROR(SEARCH("Negative",L939)))</formula>
    </cfRule>
  </conditionalFormatting>
  <conditionalFormatting sqref="L942">
    <cfRule type="containsText" dxfId="696" priority="908" operator="containsText" text="Positive">
      <formula>NOT(ISERROR(SEARCH("Positive",L942)))</formula>
    </cfRule>
    <cfRule type="containsText" dxfId="695" priority="909" operator="containsText" text="Negative">
      <formula>NOT(ISERROR(SEARCH("Negative",L942)))</formula>
    </cfRule>
  </conditionalFormatting>
  <conditionalFormatting sqref="L945">
    <cfRule type="containsText" dxfId="694" priority="905" operator="containsText" text="Positive">
      <formula>NOT(ISERROR(SEARCH("Positive",L945)))</formula>
    </cfRule>
    <cfRule type="containsText" dxfId="693" priority="906" operator="containsText" text="Negative">
      <formula>NOT(ISERROR(SEARCH("Negative",L945)))</formula>
    </cfRule>
  </conditionalFormatting>
  <conditionalFormatting sqref="L945">
    <cfRule type="containsText" dxfId="692" priority="900" operator="containsText" text="Positive">
      <formula>NOT(ISERROR(SEARCH("Positive",L945)))</formula>
    </cfRule>
    <cfRule type="containsText" dxfId="691" priority="901" operator="containsText" text="Negative">
      <formula>NOT(ISERROR(SEARCH("Negative",L945)))</formula>
    </cfRule>
  </conditionalFormatting>
  <conditionalFormatting sqref="J942:K942">
    <cfRule type="containsText" dxfId="690" priority="915" operator="containsText" text="Missing">
      <formula>NOT(ISERROR(SEARCH("Missing",J942)))</formula>
    </cfRule>
  </conditionalFormatting>
  <conditionalFormatting sqref="L942">
    <cfRule type="containsText" dxfId="689" priority="911" operator="containsText" text="Positive">
      <formula>NOT(ISERROR(SEARCH("Positive",L942)))</formula>
    </cfRule>
    <cfRule type="containsText" dxfId="688" priority="912" operator="containsText" text="Negative">
      <formula>NOT(ISERROR(SEARCH("Negative",L942)))</formula>
    </cfRule>
  </conditionalFormatting>
  <conditionalFormatting sqref="L948">
    <cfRule type="containsText" dxfId="687" priority="897" operator="containsText" text="Positive">
      <formula>NOT(ISERROR(SEARCH("Positive",L948)))</formula>
    </cfRule>
    <cfRule type="containsText" dxfId="686" priority="898" operator="containsText" text="Negative">
      <formula>NOT(ISERROR(SEARCH("Negative",L948)))</formula>
    </cfRule>
  </conditionalFormatting>
  <conditionalFormatting sqref="L948">
    <cfRule type="containsText" dxfId="685" priority="892" operator="containsText" text="Positive">
      <formula>NOT(ISERROR(SEARCH("Positive",L948)))</formula>
    </cfRule>
    <cfRule type="containsText" dxfId="684" priority="893" operator="containsText" text="Negative">
      <formula>NOT(ISERROR(SEARCH("Negative",L948)))</formula>
    </cfRule>
  </conditionalFormatting>
  <conditionalFormatting sqref="J945:K945">
    <cfRule type="containsText" dxfId="683" priority="907" operator="containsText" text="Missing">
      <formula>NOT(ISERROR(SEARCH("Missing",J945)))</formula>
    </cfRule>
  </conditionalFormatting>
  <conditionalFormatting sqref="L945">
    <cfRule type="containsText" dxfId="682" priority="903" operator="containsText" text="Positive">
      <formula>NOT(ISERROR(SEARCH("Positive",L945)))</formula>
    </cfRule>
    <cfRule type="containsText" dxfId="681" priority="904" operator="containsText" text="Negative">
      <formula>NOT(ISERROR(SEARCH("Negative",L945)))</formula>
    </cfRule>
  </conditionalFormatting>
  <conditionalFormatting sqref="J948:K948">
    <cfRule type="containsText" dxfId="680" priority="899" operator="containsText" text="Missing">
      <formula>NOT(ISERROR(SEARCH("Missing",J948)))</formula>
    </cfRule>
  </conditionalFormatting>
  <conditionalFormatting sqref="L948">
    <cfRule type="containsText" dxfId="679" priority="895" operator="containsText" text="Positive">
      <formula>NOT(ISERROR(SEARCH("Positive",L948)))</formula>
    </cfRule>
    <cfRule type="containsText" dxfId="678" priority="896" operator="containsText" text="Negative">
      <formula>NOT(ISERROR(SEARCH("Negative",L948)))</formula>
    </cfRule>
  </conditionalFormatting>
  <conditionalFormatting sqref="L951">
    <cfRule type="containsText" dxfId="677" priority="889" operator="containsText" text="Positive">
      <formula>NOT(ISERROR(SEARCH("Positive",L951)))</formula>
    </cfRule>
    <cfRule type="containsText" dxfId="676" priority="890" operator="containsText" text="Negative">
      <formula>NOT(ISERROR(SEARCH("Negative",L951)))</formula>
    </cfRule>
  </conditionalFormatting>
  <conditionalFormatting sqref="L951">
    <cfRule type="containsText" dxfId="675" priority="884" operator="containsText" text="Positive">
      <formula>NOT(ISERROR(SEARCH("Positive",L951)))</formula>
    </cfRule>
    <cfRule type="containsText" dxfId="674" priority="885" operator="containsText" text="Negative">
      <formula>NOT(ISERROR(SEARCH("Negative",L951)))</formula>
    </cfRule>
  </conditionalFormatting>
  <conditionalFormatting sqref="J951:K951">
    <cfRule type="containsText" dxfId="673" priority="891" operator="containsText" text="Missing">
      <formula>NOT(ISERROR(SEARCH("Missing",J951)))</formula>
    </cfRule>
  </conditionalFormatting>
  <conditionalFormatting sqref="L951">
    <cfRule type="containsText" dxfId="672" priority="887" operator="containsText" text="Positive">
      <formula>NOT(ISERROR(SEARCH("Positive",L951)))</formula>
    </cfRule>
    <cfRule type="containsText" dxfId="671" priority="888" operator="containsText" text="Negative">
      <formula>NOT(ISERROR(SEARCH("Negative",L951)))</formula>
    </cfRule>
  </conditionalFormatting>
  <conditionalFormatting sqref="H951">
    <cfRule type="containsText" dxfId="670" priority="881" operator="containsText" text="Missing">
      <formula>NOT(ISERROR(SEARCH("Missing",H951)))</formula>
    </cfRule>
  </conditionalFormatting>
  <conditionalFormatting sqref="H942">
    <cfRule type="containsText" dxfId="669" priority="849" operator="containsText" text="Missing">
      <formula>NOT(ISERROR(SEARCH("Missing",H942)))</formula>
    </cfRule>
  </conditionalFormatting>
  <conditionalFormatting sqref="H934">
    <cfRule type="containsText" dxfId="668" priority="835" operator="containsText" text="Missing">
      <formula>NOT(ISERROR(SEARCH("Missing",H934)))</formula>
    </cfRule>
  </conditionalFormatting>
  <conditionalFormatting sqref="H939">
    <cfRule type="containsText" dxfId="667" priority="840" operator="containsText" text="Missing">
      <formula>NOT(ISERROR(SEARCH("Missing",H939)))</formula>
    </cfRule>
  </conditionalFormatting>
  <conditionalFormatting sqref="H936">
    <cfRule type="containsText" dxfId="666" priority="837" operator="containsText" text="Missing">
      <formula>NOT(ISERROR(SEARCH("Missing",H936)))</formula>
    </cfRule>
  </conditionalFormatting>
  <conditionalFormatting sqref="H936">
    <cfRule type="containsText" dxfId="665" priority="836" operator="containsText" text="Missing">
      <formula>NOT(ISERROR(SEARCH("Missing",H936)))</formula>
    </cfRule>
  </conditionalFormatting>
  <conditionalFormatting sqref="H929">
    <cfRule type="containsText" dxfId="664" priority="824" operator="containsText" text="Missing">
      <formula>NOT(ISERROR(SEARCH("Missing",H929)))</formula>
    </cfRule>
  </conditionalFormatting>
  <conditionalFormatting sqref="H934">
    <cfRule type="containsText" dxfId="663" priority="834" operator="containsText" text="Missing">
      <formula>NOT(ISERROR(SEARCH("Missing",H934)))</formula>
    </cfRule>
  </conditionalFormatting>
  <conditionalFormatting sqref="H933">
    <cfRule type="containsText" dxfId="662" priority="832" operator="containsText" text="Missing">
      <formula>NOT(ISERROR(SEARCH("Missing",H933)))</formula>
    </cfRule>
  </conditionalFormatting>
  <conditionalFormatting sqref="I929:I930">
    <cfRule type="containsText" dxfId="661" priority="864" operator="containsText" text="Missing">
      <formula>NOT(ISERROR(SEARCH("Missing",I929)))</formula>
    </cfRule>
  </conditionalFormatting>
  <conditionalFormatting sqref="I949:I950">
    <cfRule type="containsText" dxfId="660" priority="863" operator="containsText" text="Missing">
      <formula>NOT(ISERROR(SEARCH("Missing",I949)))</formula>
    </cfRule>
  </conditionalFormatting>
  <conditionalFormatting sqref="I946:I947">
    <cfRule type="containsText" dxfId="659" priority="862" operator="containsText" text="Missing">
      <formula>NOT(ISERROR(SEARCH("Missing",I946)))</formula>
    </cfRule>
  </conditionalFormatting>
  <conditionalFormatting sqref="H950">
    <cfRule type="containsText" dxfId="658" priority="857" operator="containsText" text="Missing">
      <formula>NOT(ISERROR(SEARCH("Missing",H950)))</formula>
    </cfRule>
  </conditionalFormatting>
  <conditionalFormatting sqref="H945">
    <cfRule type="containsText" dxfId="657" priority="855" operator="containsText" text="Missing">
      <formula>NOT(ISERROR(SEARCH("Missing",H945)))</formula>
    </cfRule>
  </conditionalFormatting>
  <conditionalFormatting sqref="H945">
    <cfRule type="containsText" dxfId="656" priority="854" operator="containsText" text="Missing">
      <formula>NOT(ISERROR(SEARCH("Missing",H945)))</formula>
    </cfRule>
  </conditionalFormatting>
  <conditionalFormatting sqref="H947">
    <cfRule type="containsText" dxfId="655" priority="853" operator="containsText" text="Missing">
      <formula>NOT(ISERROR(SEARCH("Missing",H947)))</formula>
    </cfRule>
  </conditionalFormatting>
  <conditionalFormatting sqref="H942">
    <cfRule type="containsText" dxfId="654" priority="848" operator="containsText" text="Missing">
      <formula>NOT(ISERROR(SEARCH("Missing",H942)))</formula>
    </cfRule>
  </conditionalFormatting>
  <conditionalFormatting sqref="H943:H944">
    <cfRule type="containsText" dxfId="653" priority="846" operator="containsText" text="Missing">
      <formula>NOT(ISERROR(SEARCH("Missing",H943)))</formula>
    </cfRule>
  </conditionalFormatting>
  <conditionalFormatting sqref="H943:H944">
    <cfRule type="containsText" dxfId="652" priority="847" operator="containsText" text="Missing">
      <formula>NOT(ISERROR(SEARCH("Missing",H943)))</formula>
    </cfRule>
  </conditionalFormatting>
  <conditionalFormatting sqref="H940">
    <cfRule type="containsText" dxfId="651" priority="845" operator="containsText" text="Missing">
      <formula>NOT(ISERROR(SEARCH("Missing",H940)))</formula>
    </cfRule>
  </conditionalFormatting>
  <conditionalFormatting sqref="H940">
    <cfRule type="containsText" dxfId="650" priority="844" operator="containsText" text="Missing">
      <formula>NOT(ISERROR(SEARCH("Missing",H940)))</formula>
    </cfRule>
  </conditionalFormatting>
  <conditionalFormatting sqref="H941">
    <cfRule type="containsText" dxfId="649" priority="843" operator="containsText" text="Missing">
      <formula>NOT(ISERROR(SEARCH("Missing",H941)))</formula>
    </cfRule>
  </conditionalFormatting>
  <conditionalFormatting sqref="H935">
    <cfRule type="containsText" dxfId="648" priority="838" operator="containsText" text="Missing">
      <formula>NOT(ISERROR(SEARCH("Missing",H935)))</formula>
    </cfRule>
  </conditionalFormatting>
  <conditionalFormatting sqref="H935">
    <cfRule type="containsText" dxfId="647" priority="839" operator="containsText" text="Missing">
      <formula>NOT(ISERROR(SEARCH("Missing",H935)))</formula>
    </cfRule>
  </conditionalFormatting>
  <conditionalFormatting sqref="H933">
    <cfRule type="containsText" dxfId="646" priority="833" operator="containsText" text="Missing">
      <formula>NOT(ISERROR(SEARCH("Missing",H933)))</formula>
    </cfRule>
  </conditionalFormatting>
  <conditionalFormatting sqref="H932">
    <cfRule type="containsText" dxfId="645" priority="830" operator="containsText" text="Missing">
      <formula>NOT(ISERROR(SEARCH("Missing",H932)))</formula>
    </cfRule>
  </conditionalFormatting>
  <conditionalFormatting sqref="H932">
    <cfRule type="containsText" dxfId="644" priority="831" operator="containsText" text="Missing">
      <formula>NOT(ISERROR(SEARCH("Missing",H932)))</formula>
    </cfRule>
  </conditionalFormatting>
  <conditionalFormatting sqref="H931">
    <cfRule type="containsText" dxfId="643" priority="828" operator="containsText" text="Missing">
      <formula>NOT(ISERROR(SEARCH("Missing",H931)))</formula>
    </cfRule>
  </conditionalFormatting>
  <conditionalFormatting sqref="H930">
    <cfRule type="containsText" dxfId="642" priority="826" operator="containsText" text="Missing">
      <formula>NOT(ISERROR(SEARCH("Missing",H930)))</formula>
    </cfRule>
  </conditionalFormatting>
  <conditionalFormatting sqref="H930">
    <cfRule type="containsText" dxfId="641" priority="827" operator="containsText" text="Missing">
      <formula>NOT(ISERROR(SEARCH("Missing",H930)))</formula>
    </cfRule>
  </conditionalFormatting>
  <conditionalFormatting sqref="H929">
    <cfRule type="containsText" dxfId="640" priority="825" operator="containsText" text="Missing">
      <formula>NOT(ISERROR(SEARCH("Missing",H929)))</formula>
    </cfRule>
  </conditionalFormatting>
  <conditionalFormatting sqref="J956:K985">
    <cfRule type="containsText" dxfId="639" priority="823" operator="containsText" text="Missing">
      <formula>NOT(ISERROR(SEARCH("Missing",J956)))</formula>
    </cfRule>
  </conditionalFormatting>
  <conditionalFormatting sqref="I978:I979 I981:I982 I984:I985">
    <cfRule type="containsText" dxfId="638" priority="820" operator="containsText" text="Missing">
      <formula>NOT(ISERROR(SEARCH("Missing",I978)))</formula>
    </cfRule>
  </conditionalFormatting>
  <conditionalFormatting sqref="L956:L985">
    <cfRule type="containsText" dxfId="637" priority="821" operator="containsText" text="Positive">
      <formula>NOT(ISERROR(SEARCH("Positive",L956)))</formula>
    </cfRule>
    <cfRule type="containsText" dxfId="636" priority="822" operator="containsText" text="Negative">
      <formula>NOT(ISERROR(SEARCH("Negative",L956)))</formula>
    </cfRule>
  </conditionalFormatting>
  <conditionalFormatting sqref="J986:K987">
    <cfRule type="containsText" dxfId="635" priority="819" operator="containsText" text="Missing">
      <formula>NOT(ISERROR(SEARCH("Missing",J986)))</formula>
    </cfRule>
  </conditionalFormatting>
  <conditionalFormatting sqref="I986:I987">
    <cfRule type="containsText" dxfId="634" priority="816" operator="containsText" text="Missing">
      <formula>NOT(ISERROR(SEARCH("Missing",I986)))</formula>
    </cfRule>
  </conditionalFormatting>
  <conditionalFormatting sqref="L986:L987">
    <cfRule type="containsText" dxfId="633" priority="817" operator="containsText" text="Positive">
      <formula>NOT(ISERROR(SEARCH("Positive",L986)))</formula>
    </cfRule>
    <cfRule type="containsText" dxfId="632" priority="818" operator="containsText" text="Negative">
      <formula>NOT(ISERROR(SEARCH("Negative",L986)))</formula>
    </cfRule>
  </conditionalFormatting>
  <conditionalFormatting sqref="H907">
    <cfRule type="containsText" dxfId="631" priority="788" operator="containsText" text="Missing">
      <formula>NOT(ISERROR(SEARCH("Missing",H907)))</formula>
    </cfRule>
  </conditionalFormatting>
  <conditionalFormatting sqref="I983">
    <cfRule type="containsText" dxfId="630" priority="814" operator="containsText" text="Missing">
      <formula>NOT(ISERROR(SEARCH("Missing",I983)))</formula>
    </cfRule>
  </conditionalFormatting>
  <conditionalFormatting sqref="I956 I972:I977 I959:I970">
    <cfRule type="containsText" dxfId="629" priority="813" operator="containsText" text="Missing">
      <formula>NOT(ISERROR(SEARCH("Missing",I956)))</formula>
    </cfRule>
  </conditionalFormatting>
  <conditionalFormatting sqref="I863">
    <cfRule type="containsText" dxfId="628" priority="793" operator="containsText" text="Missing">
      <formula>NOT(ISERROR(SEARCH("Missing",I863)))</formula>
    </cfRule>
  </conditionalFormatting>
  <conditionalFormatting sqref="K857:K864">
    <cfRule type="containsText" dxfId="627" priority="792" operator="containsText" text="Missing">
      <formula>NOT(ISERROR(SEARCH("Missing",K857)))</formula>
    </cfRule>
  </conditionalFormatting>
  <conditionalFormatting sqref="H859">
    <cfRule type="containsText" dxfId="626" priority="812" operator="containsText" text="Missing">
      <formula>NOT(ISERROR(SEARCH("Missing",H859)))</formula>
    </cfRule>
  </conditionalFormatting>
  <conditionalFormatting sqref="H859">
    <cfRule type="containsText" dxfId="625" priority="811" operator="containsText" text="Missing">
      <formula>NOT(ISERROR(SEARCH("Missing",H859)))</formula>
    </cfRule>
  </conditionalFormatting>
  <conditionalFormatting sqref="H862">
    <cfRule type="containsText" dxfId="624" priority="801" operator="containsText" text="Missing">
      <formula>NOT(ISERROR(SEARCH("Missing",H862)))</formula>
    </cfRule>
  </conditionalFormatting>
  <conditionalFormatting sqref="H862">
    <cfRule type="containsText" dxfId="623" priority="800" operator="containsText" text="Missing">
      <formula>NOT(ISERROR(SEARCH("Missing",H862)))</formula>
    </cfRule>
  </conditionalFormatting>
  <conditionalFormatting sqref="H912">
    <cfRule type="containsText" dxfId="622" priority="767" operator="containsText" text="Missing">
      <formula>NOT(ISERROR(SEARCH("Missing",H912)))</formula>
    </cfRule>
  </conditionalFormatting>
  <conditionalFormatting sqref="H912">
    <cfRule type="containsText" dxfId="621" priority="766" operator="containsText" text="Missing">
      <formula>NOT(ISERROR(SEARCH("Missing",H912)))</formula>
    </cfRule>
  </conditionalFormatting>
  <conditionalFormatting sqref="J857:J858">
    <cfRule type="containsText" dxfId="620" priority="810" operator="containsText" text="Missing">
      <formula>NOT(ISERROR(SEARCH("Missing",J857)))</formula>
    </cfRule>
  </conditionalFormatting>
  <conditionalFormatting sqref="H910">
    <cfRule type="containsText" dxfId="619" priority="769" operator="containsText" text="Missing">
      <formula>NOT(ISERROR(SEARCH("Missing",H910)))</formula>
    </cfRule>
  </conditionalFormatting>
  <conditionalFormatting sqref="H857">
    <cfRule type="containsText" dxfId="618" priority="809" operator="containsText" text="Missing">
      <formula>NOT(ISERROR(SEARCH("Missing",H857)))</formula>
    </cfRule>
  </conditionalFormatting>
  <conditionalFormatting sqref="H857">
    <cfRule type="containsText" dxfId="617" priority="808" operator="containsText" text="Missing">
      <formula>NOT(ISERROR(SEARCH("Missing",H857)))</formula>
    </cfRule>
  </conditionalFormatting>
  <conditionalFormatting sqref="H758">
    <cfRule type="containsText" dxfId="616" priority="737" operator="containsText" text="Missing">
      <formula>NOT(ISERROR(SEARCH("Missing",H758)))</formula>
    </cfRule>
  </conditionalFormatting>
  <conditionalFormatting sqref="I857">
    <cfRule type="containsText" dxfId="615" priority="807" operator="containsText" text="Missing">
      <formula>NOT(ISERROR(SEARCH("Missing",I857)))</formula>
    </cfRule>
  </conditionalFormatting>
  <conditionalFormatting sqref="I859">
    <cfRule type="containsText" dxfId="614" priority="806" operator="containsText" text="Missing">
      <formula>NOT(ISERROR(SEARCH("Missing",I859)))</formula>
    </cfRule>
  </conditionalFormatting>
  <conditionalFormatting sqref="H858">
    <cfRule type="containsText" dxfId="613" priority="805" operator="containsText" text="Missing">
      <formula>NOT(ISERROR(SEARCH("Missing",H858)))</formula>
    </cfRule>
  </conditionalFormatting>
  <conditionalFormatting sqref="H858">
    <cfRule type="containsText" dxfId="612" priority="804" operator="containsText" text="Missing">
      <formula>NOT(ISERROR(SEARCH("Missing",H858)))</formula>
    </cfRule>
  </conditionalFormatting>
  <conditionalFormatting sqref="H861">
    <cfRule type="containsText" dxfId="611" priority="803" operator="containsText" text="Missing">
      <formula>NOT(ISERROR(SEARCH("Missing",H861)))</formula>
    </cfRule>
  </conditionalFormatting>
  <conditionalFormatting sqref="I861">
    <cfRule type="containsText" dxfId="610" priority="794" operator="containsText" text="Missing">
      <formula>NOT(ISERROR(SEARCH("Missing",I861)))</formula>
    </cfRule>
  </conditionalFormatting>
  <conditionalFormatting sqref="H814">
    <cfRule type="containsText" dxfId="609" priority="743" operator="containsText" text="Missing">
      <formula>NOT(ISERROR(SEARCH("Missing",H814)))</formula>
    </cfRule>
  </conditionalFormatting>
  <conditionalFormatting sqref="H814">
    <cfRule type="containsText" dxfId="608" priority="742" operator="containsText" text="Missing">
      <formula>NOT(ISERROR(SEARCH("Missing",H814)))</formula>
    </cfRule>
  </conditionalFormatting>
  <conditionalFormatting sqref="H765">
    <cfRule type="containsText" dxfId="607" priority="719" operator="containsText" text="Missing">
      <formula>NOT(ISERROR(SEARCH("Missing",H765)))</formula>
    </cfRule>
  </conditionalFormatting>
  <conditionalFormatting sqref="H765">
    <cfRule type="containsText" dxfId="606" priority="718" operator="containsText" text="Missing">
      <formula>NOT(ISERROR(SEARCH("Missing",H765)))</formula>
    </cfRule>
  </conditionalFormatting>
  <conditionalFormatting sqref="J863:J864">
    <cfRule type="containsText" dxfId="605" priority="799" operator="containsText" text="Missing">
      <formula>NOT(ISERROR(SEARCH("Missing",J863)))</formula>
    </cfRule>
  </conditionalFormatting>
  <conditionalFormatting sqref="H863">
    <cfRule type="containsText" dxfId="604" priority="797" operator="containsText" text="Missing">
      <formula>NOT(ISERROR(SEARCH("Missing",H863)))</formula>
    </cfRule>
  </conditionalFormatting>
  <conditionalFormatting sqref="H863">
    <cfRule type="containsText" dxfId="603" priority="798" operator="containsText" text="Missing">
      <formula>NOT(ISERROR(SEARCH("Missing",H863)))</formula>
    </cfRule>
  </conditionalFormatting>
  <conditionalFormatting sqref="H864">
    <cfRule type="containsText" dxfId="602" priority="795" operator="containsText" text="Missing">
      <formula>NOT(ISERROR(SEARCH("Missing",H864)))</formula>
    </cfRule>
  </conditionalFormatting>
  <conditionalFormatting sqref="H864">
    <cfRule type="containsText" dxfId="601" priority="796" operator="containsText" text="Missing">
      <formula>NOT(ISERROR(SEARCH("Missing",H864)))</formula>
    </cfRule>
  </conditionalFormatting>
  <conditionalFormatting sqref="H910">
    <cfRule type="containsText" dxfId="600" priority="768" operator="containsText" text="Missing">
      <formula>NOT(ISERROR(SEARCH("Missing",H910)))</formula>
    </cfRule>
  </conditionalFormatting>
  <conditionalFormatting sqref="H812">
    <cfRule type="containsText" dxfId="599" priority="745" operator="containsText" text="Missing">
      <formula>NOT(ISERROR(SEARCH("Missing",H812)))</formula>
    </cfRule>
  </conditionalFormatting>
  <conditionalFormatting sqref="H812">
    <cfRule type="containsText" dxfId="598" priority="744" operator="containsText" text="Missing">
      <formula>NOT(ISERROR(SEARCH("Missing",H812)))</formula>
    </cfRule>
  </conditionalFormatting>
  <conditionalFormatting sqref="L857:L864">
    <cfRule type="containsText" dxfId="597" priority="790" operator="containsText" text="Positive">
      <formula>NOT(ISERROR(SEARCH("Positive",L857)))</formula>
    </cfRule>
    <cfRule type="containsText" dxfId="596" priority="791" operator="containsText" text="Negative">
      <formula>NOT(ISERROR(SEARCH("Negative",L857)))</formula>
    </cfRule>
  </conditionalFormatting>
  <conditionalFormatting sqref="J907:J910">
    <cfRule type="containsText" dxfId="595" priority="789" operator="containsText" text="Missing">
      <formula>NOT(ISERROR(SEARCH("Missing",J907)))</formula>
    </cfRule>
  </conditionalFormatting>
  <conditionalFormatting sqref="I911">
    <cfRule type="containsText" dxfId="594" priority="775" operator="containsText" text="Missing">
      <formula>NOT(ISERROR(SEARCH("Missing",I911)))</formula>
    </cfRule>
  </conditionalFormatting>
  <conditionalFormatting sqref="K905:K912">
    <cfRule type="containsText" dxfId="593" priority="774" operator="containsText" text="Missing">
      <formula>NOT(ISERROR(SEARCH("Missing",K905)))</formula>
    </cfRule>
  </conditionalFormatting>
  <conditionalFormatting sqref="I905">
    <cfRule type="containsText" dxfId="592" priority="783" operator="containsText" text="Missing">
      <formula>NOT(ISERROR(SEARCH("Missing",I905)))</formula>
    </cfRule>
  </conditionalFormatting>
  <conditionalFormatting sqref="I907">
    <cfRule type="containsText" dxfId="591" priority="782" operator="containsText" text="Missing">
      <formula>NOT(ISERROR(SEARCH("Missing",I907)))</formula>
    </cfRule>
  </conditionalFormatting>
  <conditionalFormatting sqref="H907">
    <cfRule type="containsText" dxfId="590" priority="787" operator="containsText" text="Missing">
      <formula>NOT(ISERROR(SEARCH("Missing",H907)))</formula>
    </cfRule>
  </conditionalFormatting>
  <conditionalFormatting sqref="H911">
    <cfRule type="containsText" dxfId="589" priority="777" operator="containsText" text="Missing">
      <formula>NOT(ISERROR(SEARCH("Missing",H911)))</formula>
    </cfRule>
  </conditionalFormatting>
  <conditionalFormatting sqref="H813">
    <cfRule type="containsText" dxfId="588" priority="754" operator="containsText" text="Missing">
      <formula>NOT(ISERROR(SEARCH("Missing",H813)))</formula>
    </cfRule>
  </conditionalFormatting>
  <conditionalFormatting sqref="J905:J906">
    <cfRule type="containsText" dxfId="587" priority="786" operator="containsText" text="Missing">
      <formula>NOT(ISERROR(SEARCH("Missing",J905)))</formula>
    </cfRule>
  </conditionalFormatting>
  <conditionalFormatting sqref="H909">
    <cfRule type="containsText" dxfId="586" priority="780" operator="containsText" text="Missing">
      <formula>NOT(ISERROR(SEARCH("Missing",H909)))</formula>
    </cfRule>
  </conditionalFormatting>
  <conditionalFormatting sqref="H905">
    <cfRule type="containsText" dxfId="585" priority="785" operator="containsText" text="Missing">
      <formula>NOT(ISERROR(SEARCH("Missing",H905)))</formula>
    </cfRule>
  </conditionalFormatting>
  <conditionalFormatting sqref="H905">
    <cfRule type="containsText" dxfId="584" priority="784" operator="containsText" text="Missing">
      <formula>NOT(ISERROR(SEARCH("Missing",H905)))</formula>
    </cfRule>
  </conditionalFormatting>
  <conditionalFormatting sqref="I711">
    <cfRule type="containsText" dxfId="583" priority="710" operator="containsText" text="Missing">
      <formula>NOT(ISERROR(SEARCH("Missing",I711)))</formula>
    </cfRule>
  </conditionalFormatting>
  <conditionalFormatting sqref="H809">
    <cfRule type="containsText" dxfId="582" priority="764" operator="containsText" text="Missing">
      <formula>NOT(ISERROR(SEARCH("Missing",H809)))</formula>
    </cfRule>
  </conditionalFormatting>
  <conditionalFormatting sqref="H809">
    <cfRule type="containsText" dxfId="581" priority="763" operator="containsText" text="Missing">
      <formula>NOT(ISERROR(SEARCH("Missing",H809)))</formula>
    </cfRule>
  </conditionalFormatting>
  <conditionalFormatting sqref="J813:J814">
    <cfRule type="containsText" dxfId="580" priority="755" operator="containsText" text="Missing">
      <formula>NOT(ISERROR(SEARCH("Missing",J813)))</formula>
    </cfRule>
  </conditionalFormatting>
  <conditionalFormatting sqref="H764">
    <cfRule type="containsText" dxfId="579" priority="730" operator="containsText" text="Missing">
      <formula>NOT(ISERROR(SEARCH("Missing",H764)))</formula>
    </cfRule>
  </conditionalFormatting>
  <conditionalFormatting sqref="H909">
    <cfRule type="containsText" dxfId="578" priority="781" operator="containsText" text="Missing">
      <formula>NOT(ISERROR(SEARCH("Missing",H909)))</formula>
    </cfRule>
  </conditionalFormatting>
  <conditionalFormatting sqref="I909:I912">
    <cfRule type="containsText" dxfId="577" priority="776" operator="containsText" text="Missing">
      <formula>NOT(ISERROR(SEARCH("Missing",I909)))</formula>
    </cfRule>
  </conditionalFormatting>
  <conditionalFormatting sqref="J911:J912">
    <cfRule type="containsText" dxfId="576" priority="779" operator="containsText" text="Missing">
      <formula>NOT(ISERROR(SEARCH("Missing",J911)))</formula>
    </cfRule>
  </conditionalFormatting>
  <conditionalFormatting sqref="J764:J765">
    <cfRule type="containsText" dxfId="575" priority="731" operator="containsText" text="Missing">
      <formula>NOT(ISERROR(SEARCH("Missing",J764)))</formula>
    </cfRule>
  </conditionalFormatting>
  <conditionalFormatting sqref="H911">
    <cfRule type="containsText" dxfId="574" priority="778" operator="containsText" text="Missing">
      <formula>NOT(ISERROR(SEARCH("Missing",H911)))</formula>
    </cfRule>
  </conditionalFormatting>
  <conditionalFormatting sqref="I813">
    <cfRule type="containsText" dxfId="573" priority="751" operator="containsText" text="Missing">
      <formula>NOT(ISERROR(SEARCH("Missing",I813)))</formula>
    </cfRule>
  </conditionalFormatting>
  <conditionalFormatting sqref="I811:I814">
    <cfRule type="containsText" dxfId="572" priority="752" operator="containsText" text="Missing">
      <formula>NOT(ISERROR(SEARCH("Missing",I811)))</formula>
    </cfRule>
  </conditionalFormatting>
  <conditionalFormatting sqref="L905:L912">
    <cfRule type="containsText" dxfId="571" priority="772" operator="containsText" text="Positive">
      <formula>NOT(ISERROR(SEARCH("Positive",L905)))</formula>
    </cfRule>
    <cfRule type="containsText" dxfId="570" priority="773" operator="containsText" text="Negative">
      <formula>NOT(ISERROR(SEARCH("Negative",L905)))</formula>
    </cfRule>
  </conditionalFormatting>
  <conditionalFormatting sqref="H906">
    <cfRule type="containsText" dxfId="569" priority="771" operator="containsText" text="Missing">
      <formula>NOT(ISERROR(SEARCH("Missing",H906)))</formula>
    </cfRule>
  </conditionalFormatting>
  <conditionalFormatting sqref="H906">
    <cfRule type="containsText" dxfId="568" priority="770" operator="containsText" text="Missing">
      <formula>NOT(ISERROR(SEARCH("Missing",H906)))</formula>
    </cfRule>
  </conditionalFormatting>
  <conditionalFormatting sqref="H763">
    <cfRule type="containsText" dxfId="567" priority="720" operator="containsText" text="Missing">
      <formula>NOT(ISERROR(SEARCH("Missing",H763)))</formula>
    </cfRule>
  </conditionalFormatting>
  <conditionalFormatting sqref="H763">
    <cfRule type="containsText" dxfId="566" priority="721" operator="containsText" text="Missing">
      <formula>NOT(ISERROR(SEARCH("Missing",H763)))</formula>
    </cfRule>
  </conditionalFormatting>
  <conditionalFormatting sqref="J809:J812">
    <cfRule type="containsText" dxfId="565" priority="765" operator="containsText" text="Missing">
      <formula>NOT(ISERROR(SEARCH("Missing",J809)))</formula>
    </cfRule>
  </conditionalFormatting>
  <conditionalFormatting sqref="I764">
    <cfRule type="containsText" dxfId="564" priority="727" operator="containsText" text="Missing">
      <formula>NOT(ISERROR(SEARCH("Missing",I764)))</formula>
    </cfRule>
  </conditionalFormatting>
  <conditionalFormatting sqref="K807:K814">
    <cfRule type="containsText" dxfId="563" priority="750" operator="containsText" text="Missing">
      <formula>NOT(ISERROR(SEARCH("Missing",K807)))</formula>
    </cfRule>
  </conditionalFormatting>
  <conditionalFormatting sqref="I807">
    <cfRule type="containsText" dxfId="562" priority="759" operator="containsText" text="Missing">
      <formula>NOT(ISERROR(SEARCH("Missing",I807)))</formula>
    </cfRule>
  </conditionalFormatting>
  <conditionalFormatting sqref="I809">
    <cfRule type="containsText" dxfId="561" priority="758" operator="containsText" text="Missing">
      <formula>NOT(ISERROR(SEARCH("Missing",I809)))</formula>
    </cfRule>
  </conditionalFormatting>
  <conditionalFormatting sqref="H760">
    <cfRule type="containsText" dxfId="560" priority="740" operator="containsText" text="Missing">
      <formula>NOT(ISERROR(SEARCH("Missing",H760)))</formula>
    </cfRule>
  </conditionalFormatting>
  <conditionalFormatting sqref="H760">
    <cfRule type="containsText" dxfId="559" priority="739" operator="containsText" text="Missing">
      <formula>NOT(ISERROR(SEARCH("Missing",H760)))</formula>
    </cfRule>
  </conditionalFormatting>
  <conditionalFormatting sqref="H813">
    <cfRule type="containsText" dxfId="558" priority="753" operator="containsText" text="Missing">
      <formula>NOT(ISERROR(SEARCH("Missing",H813)))</formula>
    </cfRule>
  </conditionalFormatting>
  <conditionalFormatting sqref="J807:J808">
    <cfRule type="containsText" dxfId="557" priority="762" operator="containsText" text="Missing">
      <formula>NOT(ISERROR(SEARCH("Missing",J807)))</formula>
    </cfRule>
  </conditionalFormatting>
  <conditionalFormatting sqref="H811">
    <cfRule type="containsText" dxfId="556" priority="756" operator="containsText" text="Missing">
      <formula>NOT(ISERROR(SEARCH("Missing",H811)))</formula>
    </cfRule>
  </conditionalFormatting>
  <conditionalFormatting sqref="H807">
    <cfRule type="containsText" dxfId="555" priority="761" operator="containsText" text="Missing">
      <formula>NOT(ISERROR(SEARCH("Missing",H807)))</formula>
    </cfRule>
  </conditionalFormatting>
  <conditionalFormatting sqref="H807">
    <cfRule type="containsText" dxfId="554" priority="760" operator="containsText" text="Missing">
      <formula>NOT(ISERROR(SEARCH("Missing",H807)))</formula>
    </cfRule>
  </conditionalFormatting>
  <conditionalFormatting sqref="I850">
    <cfRule type="containsText" dxfId="553" priority="678" operator="containsText" text="Missing">
      <formula>NOT(ISERROR(SEARCH("Missing",I850)))</formula>
    </cfRule>
  </conditionalFormatting>
  <conditionalFormatting sqref="H811">
    <cfRule type="containsText" dxfId="552" priority="757" operator="containsText" text="Missing">
      <formula>NOT(ISERROR(SEARCH("Missing",H811)))</formula>
    </cfRule>
  </conditionalFormatting>
  <conditionalFormatting sqref="I762:I765">
    <cfRule type="containsText" dxfId="551" priority="728" operator="containsText" text="Missing">
      <formula>NOT(ISERROR(SEARCH("Missing",I762)))</formula>
    </cfRule>
  </conditionalFormatting>
  <conditionalFormatting sqref="L807:L814">
    <cfRule type="containsText" dxfId="550" priority="748" operator="containsText" text="Positive">
      <formula>NOT(ISERROR(SEARCH("Positive",L807)))</formula>
    </cfRule>
    <cfRule type="containsText" dxfId="549" priority="749" operator="containsText" text="Negative">
      <formula>NOT(ISERROR(SEARCH("Negative",L807)))</formula>
    </cfRule>
  </conditionalFormatting>
  <conditionalFormatting sqref="H808">
    <cfRule type="containsText" dxfId="548" priority="747" operator="containsText" text="Missing">
      <formula>NOT(ISERROR(SEARCH("Missing",H808)))</formula>
    </cfRule>
  </conditionalFormatting>
  <conditionalFormatting sqref="H808">
    <cfRule type="containsText" dxfId="547" priority="746" operator="containsText" text="Missing">
      <formula>NOT(ISERROR(SEARCH("Missing",H808)))</formula>
    </cfRule>
  </conditionalFormatting>
  <conditionalFormatting sqref="J760:J763">
    <cfRule type="containsText" dxfId="546" priority="741" operator="containsText" text="Missing">
      <formula>NOT(ISERROR(SEARCH("Missing",J760)))</formula>
    </cfRule>
  </conditionalFormatting>
  <conditionalFormatting sqref="K758:K765">
    <cfRule type="containsText" dxfId="545" priority="726" operator="containsText" text="Missing">
      <formula>NOT(ISERROR(SEARCH("Missing",K758)))</formula>
    </cfRule>
  </conditionalFormatting>
  <conditionalFormatting sqref="I758">
    <cfRule type="containsText" dxfId="544" priority="735" operator="containsText" text="Missing">
      <formula>NOT(ISERROR(SEARCH("Missing",I758)))</formula>
    </cfRule>
  </conditionalFormatting>
  <conditionalFormatting sqref="I760">
    <cfRule type="containsText" dxfId="543" priority="734" operator="containsText" text="Missing">
      <formula>NOT(ISERROR(SEARCH("Missing",I760)))</formula>
    </cfRule>
  </conditionalFormatting>
  <conditionalFormatting sqref="H764">
    <cfRule type="containsText" dxfId="542" priority="729" operator="containsText" text="Missing">
      <formula>NOT(ISERROR(SEARCH("Missing",H764)))</formula>
    </cfRule>
  </conditionalFormatting>
  <conditionalFormatting sqref="J758:J759">
    <cfRule type="containsText" dxfId="541" priority="738" operator="containsText" text="Missing">
      <formula>NOT(ISERROR(SEARCH("Missing",J758)))</formula>
    </cfRule>
  </conditionalFormatting>
  <conditionalFormatting sqref="H762">
    <cfRule type="containsText" dxfId="540" priority="732" operator="containsText" text="Missing">
      <formula>NOT(ISERROR(SEARCH("Missing",H762)))</formula>
    </cfRule>
  </conditionalFormatting>
  <conditionalFormatting sqref="H714">
    <cfRule type="containsText" dxfId="539" priority="697" operator="containsText" text="Missing">
      <formula>NOT(ISERROR(SEARCH("Missing",H714)))</formula>
    </cfRule>
  </conditionalFormatting>
  <conditionalFormatting sqref="H758">
    <cfRule type="containsText" dxfId="538" priority="736" operator="containsText" text="Missing">
      <formula>NOT(ISERROR(SEARCH("Missing",H758)))</formula>
    </cfRule>
  </conditionalFormatting>
  <conditionalFormatting sqref="H762">
    <cfRule type="containsText" dxfId="537" priority="733" operator="containsText" text="Missing">
      <formula>NOT(ISERROR(SEARCH("Missing",H762)))</formula>
    </cfRule>
  </conditionalFormatting>
  <conditionalFormatting sqref="L758:L765">
    <cfRule type="containsText" dxfId="536" priority="724" operator="containsText" text="Positive">
      <formula>NOT(ISERROR(SEARCH("Positive",L758)))</formula>
    </cfRule>
    <cfRule type="containsText" dxfId="535" priority="725" operator="containsText" text="Negative">
      <formula>NOT(ISERROR(SEARCH("Negative",L758)))</formula>
    </cfRule>
  </conditionalFormatting>
  <conditionalFormatting sqref="H759">
    <cfRule type="containsText" dxfId="534" priority="723" operator="containsText" text="Missing">
      <formula>NOT(ISERROR(SEARCH("Missing",H759)))</formula>
    </cfRule>
  </conditionalFormatting>
  <conditionalFormatting sqref="H759">
    <cfRule type="containsText" dxfId="533" priority="722" operator="containsText" text="Missing">
      <formula>NOT(ISERROR(SEARCH("Missing",H759)))</formula>
    </cfRule>
  </conditionalFormatting>
  <conditionalFormatting sqref="H716">
    <cfRule type="containsText" dxfId="532" priority="696" operator="containsText" text="Missing">
      <formula>NOT(ISERROR(SEARCH("Missing",H716)))</formula>
    </cfRule>
  </conditionalFormatting>
  <conditionalFormatting sqref="H716">
    <cfRule type="containsText" dxfId="531" priority="695" operator="containsText" text="Missing">
      <formula>NOT(ISERROR(SEARCH("Missing",H716)))</formula>
    </cfRule>
  </conditionalFormatting>
  <conditionalFormatting sqref="H715">
    <cfRule type="containsText" dxfId="530" priority="707" operator="containsText" text="Missing">
      <formula>NOT(ISERROR(SEARCH("Missing",H715)))</formula>
    </cfRule>
  </conditionalFormatting>
  <conditionalFormatting sqref="H714">
    <cfRule type="containsText" dxfId="529" priority="698" operator="containsText" text="Missing">
      <formula>NOT(ISERROR(SEARCH("Missing",H714)))</formula>
    </cfRule>
  </conditionalFormatting>
  <conditionalFormatting sqref="I715">
    <cfRule type="containsText" dxfId="528" priority="704" operator="containsText" text="Missing">
      <formula>NOT(ISERROR(SEARCH("Missing",I715)))</formula>
    </cfRule>
  </conditionalFormatting>
  <conditionalFormatting sqref="H711">
    <cfRule type="containsText" dxfId="527" priority="716" operator="containsText" text="Missing">
      <formula>NOT(ISERROR(SEARCH("Missing",H711)))</formula>
    </cfRule>
  </conditionalFormatting>
  <conditionalFormatting sqref="H711">
    <cfRule type="containsText" dxfId="526" priority="715" operator="containsText" text="Missing">
      <formula>NOT(ISERROR(SEARCH("Missing",H711)))</formula>
    </cfRule>
  </conditionalFormatting>
  <conditionalFormatting sqref="I713:I716">
    <cfRule type="containsText" dxfId="525" priority="705" operator="containsText" text="Missing">
      <formula>NOT(ISERROR(SEARCH("Missing",I713)))</formula>
    </cfRule>
  </conditionalFormatting>
  <conditionalFormatting sqref="J711 J713:J714">
    <cfRule type="containsText" dxfId="524" priority="717" operator="containsText" text="Missing">
      <formula>NOT(ISERROR(SEARCH("Missing",J711)))</formula>
    </cfRule>
  </conditionalFormatting>
  <conditionalFormatting sqref="K709:K716">
    <cfRule type="containsText" dxfId="523" priority="703" operator="containsText" text="Missing">
      <formula>NOT(ISERROR(SEARCH("Missing",K709)))</formula>
    </cfRule>
  </conditionalFormatting>
  <conditionalFormatting sqref="I709">
    <cfRule type="containsText" dxfId="522" priority="711" operator="containsText" text="Missing">
      <formula>NOT(ISERROR(SEARCH("Missing",I709)))</formula>
    </cfRule>
  </conditionalFormatting>
  <conditionalFormatting sqref="I951">
    <cfRule type="containsText" dxfId="521" priority="669" operator="containsText" text="Missing">
      <formula>NOT(ISERROR(SEARCH("Missing",I951)))</formula>
    </cfRule>
  </conditionalFormatting>
  <conditionalFormatting sqref="H715">
    <cfRule type="containsText" dxfId="520" priority="706" operator="containsText" text="Missing">
      <formula>NOT(ISERROR(SEARCH("Missing",H715)))</formula>
    </cfRule>
  </conditionalFormatting>
  <conditionalFormatting sqref="J709:J710">
    <cfRule type="containsText" dxfId="519" priority="714" operator="containsText" text="Missing">
      <formula>NOT(ISERROR(SEARCH("Missing",J709)))</formula>
    </cfRule>
  </conditionalFormatting>
  <conditionalFormatting sqref="H713">
    <cfRule type="containsText" dxfId="518" priority="708" operator="containsText" text="Missing">
      <formula>NOT(ISERROR(SEARCH("Missing",H713)))</formula>
    </cfRule>
  </conditionalFormatting>
  <conditionalFormatting sqref="H709">
    <cfRule type="containsText" dxfId="517" priority="713" operator="containsText" text="Missing">
      <formula>NOT(ISERROR(SEARCH("Missing",H709)))</formula>
    </cfRule>
  </conditionalFormatting>
  <conditionalFormatting sqref="H709">
    <cfRule type="containsText" dxfId="516" priority="712" operator="containsText" text="Missing">
      <formula>NOT(ISERROR(SEARCH("Missing",H709)))</formula>
    </cfRule>
  </conditionalFormatting>
  <conditionalFormatting sqref="H713">
    <cfRule type="containsText" dxfId="515" priority="709" operator="containsText" text="Missing">
      <formula>NOT(ISERROR(SEARCH("Missing",H713)))</formula>
    </cfRule>
  </conditionalFormatting>
  <conditionalFormatting sqref="L709:L716">
    <cfRule type="containsText" dxfId="514" priority="701" operator="containsText" text="Positive">
      <formula>NOT(ISERROR(SEARCH("Positive",L709)))</formula>
    </cfRule>
    <cfRule type="containsText" dxfId="513" priority="702" operator="containsText" text="Negative">
      <formula>NOT(ISERROR(SEARCH("Negative",L709)))</formula>
    </cfRule>
  </conditionalFormatting>
  <conditionalFormatting sqref="H710">
    <cfRule type="containsText" dxfId="512" priority="700" operator="containsText" text="Missing">
      <formula>NOT(ISERROR(SEARCH("Missing",H710)))</formula>
    </cfRule>
  </conditionalFormatting>
  <conditionalFormatting sqref="H710">
    <cfRule type="containsText" dxfId="511" priority="699" operator="containsText" text="Missing">
      <formula>NOT(ISERROR(SEARCH("Missing",H710)))</formula>
    </cfRule>
  </conditionalFormatting>
  <conditionalFormatting sqref="J715">
    <cfRule type="containsText" dxfId="510" priority="694" operator="containsText" text="Missing">
      <formula>NOT(ISERROR(SEARCH("Missing",J715)))</formula>
    </cfRule>
  </conditionalFormatting>
  <conditionalFormatting sqref="J716">
    <cfRule type="containsText" dxfId="509" priority="693" operator="containsText" text="Missing">
      <formula>NOT(ISERROR(SEARCH("Missing",J716)))</formula>
    </cfRule>
  </conditionalFormatting>
  <conditionalFormatting sqref="I759">
    <cfRule type="containsText" dxfId="508" priority="692" operator="containsText" text="Missing">
      <formula>NOT(ISERROR(SEARCH("Missing",I759)))</formula>
    </cfRule>
  </conditionalFormatting>
  <conditionalFormatting sqref="I810">
    <cfRule type="containsText" dxfId="507" priority="691" operator="containsText" text="Missing">
      <formula>NOT(ISERROR(SEARCH("Missing",I810)))</formula>
    </cfRule>
  </conditionalFormatting>
  <conditionalFormatting sqref="I808">
    <cfRule type="containsText" dxfId="506" priority="690" operator="containsText" text="Missing">
      <formula>NOT(ISERROR(SEARCH("Missing",I808)))</formula>
    </cfRule>
  </conditionalFormatting>
  <conditionalFormatting sqref="I860">
    <cfRule type="containsText" dxfId="505" priority="689" operator="containsText" text="Missing">
      <formula>NOT(ISERROR(SEARCH("Missing",I860)))</formula>
    </cfRule>
  </conditionalFormatting>
  <conditionalFormatting sqref="I858">
    <cfRule type="containsText" dxfId="504" priority="688" operator="containsText" text="Missing">
      <formula>NOT(ISERROR(SEARCH("Missing",I858)))</formula>
    </cfRule>
  </conditionalFormatting>
  <conditionalFormatting sqref="I906">
    <cfRule type="containsText" dxfId="503" priority="687" operator="containsText" text="Missing">
      <formula>NOT(ISERROR(SEARCH("Missing",I906)))</formula>
    </cfRule>
  </conditionalFormatting>
  <conditionalFormatting sqref="I908">
    <cfRule type="containsText" dxfId="502" priority="686" operator="containsText" text="Missing">
      <formula>NOT(ISERROR(SEARCH("Missing",I908)))</formula>
    </cfRule>
  </conditionalFormatting>
  <conditionalFormatting sqref="I731">
    <cfRule type="containsText" dxfId="501" priority="685" operator="containsText" text="Missing">
      <formula>NOT(ISERROR(SEARCH("Missing",I731)))</formula>
    </cfRule>
  </conditionalFormatting>
  <conditionalFormatting sqref="I746">
    <cfRule type="containsText" dxfId="500" priority="683" operator="containsText" text="Missing">
      <formula>NOT(ISERROR(SEARCH("Missing",I746)))</formula>
    </cfRule>
  </conditionalFormatting>
  <conditionalFormatting sqref="I746">
    <cfRule type="containsText" dxfId="499" priority="684" operator="containsText" text="Missing">
      <formula>NOT(ISERROR(SEARCH("Missing",I746)))</formula>
    </cfRule>
  </conditionalFormatting>
  <conditionalFormatting sqref="K746">
    <cfRule type="containsText" dxfId="498" priority="682" operator="containsText" text="Missing">
      <formula>NOT(ISERROR(SEARCH("Missing",K746)))</formula>
    </cfRule>
  </conditionalFormatting>
  <conditionalFormatting sqref="K746">
    <cfRule type="containsText" dxfId="497" priority="681" operator="containsText" text="Missing">
      <formula>NOT(ISERROR(SEARCH("Missing",K746)))</formula>
    </cfRule>
  </conditionalFormatting>
  <conditionalFormatting sqref="I780">
    <cfRule type="containsText" dxfId="496" priority="680" operator="containsText" text="Missing">
      <formula>NOT(ISERROR(SEARCH("Missing",I780)))</formula>
    </cfRule>
  </conditionalFormatting>
  <conditionalFormatting sqref="I829">
    <cfRule type="containsText" dxfId="495" priority="679" operator="containsText" text="Missing">
      <formula>NOT(ISERROR(SEARCH("Missing",I829)))</formula>
    </cfRule>
  </conditionalFormatting>
  <conditionalFormatting sqref="I850">
    <cfRule type="containsText" dxfId="494" priority="677" operator="containsText" text="Missing">
      <formula>NOT(ISERROR(SEARCH("Missing",I850)))</formula>
    </cfRule>
  </conditionalFormatting>
  <conditionalFormatting sqref="I878">
    <cfRule type="containsText" dxfId="493" priority="676" operator="containsText" text="Missing">
      <formula>NOT(ISERROR(SEARCH("Missing",I878)))</formula>
    </cfRule>
  </conditionalFormatting>
  <conditionalFormatting sqref="I902">
    <cfRule type="containsText" dxfId="492" priority="674" operator="containsText" text="Missing">
      <formula>NOT(ISERROR(SEARCH("Missing",I902)))</formula>
    </cfRule>
  </conditionalFormatting>
  <conditionalFormatting sqref="I902">
    <cfRule type="containsText" dxfId="491" priority="675" operator="containsText" text="Missing">
      <formula>NOT(ISERROR(SEARCH("Missing",I902)))</formula>
    </cfRule>
  </conditionalFormatting>
  <conditionalFormatting sqref="I942">
    <cfRule type="containsText" dxfId="490" priority="672" operator="containsText" text="Missing">
      <formula>NOT(ISERROR(SEARCH("Missing",I942)))</formula>
    </cfRule>
  </conditionalFormatting>
  <conditionalFormatting sqref="I942">
    <cfRule type="containsText" dxfId="489" priority="673" operator="containsText" text="Missing">
      <formula>NOT(ISERROR(SEARCH("Missing",I942)))</formula>
    </cfRule>
  </conditionalFormatting>
  <conditionalFormatting sqref="I948">
    <cfRule type="containsText" dxfId="488" priority="670" operator="containsText" text="Missing">
      <formula>NOT(ISERROR(SEARCH("Missing",I948)))</formula>
    </cfRule>
  </conditionalFormatting>
  <conditionalFormatting sqref="I948">
    <cfRule type="containsText" dxfId="487" priority="671" operator="containsText" text="Missing">
      <formula>NOT(ISERROR(SEARCH("Missing",I948)))</formula>
    </cfRule>
  </conditionalFormatting>
  <conditionalFormatting sqref="I951">
    <cfRule type="containsText" dxfId="486" priority="668" operator="containsText" text="Missing">
      <formula>NOT(ISERROR(SEARCH("Missing",I951)))</formula>
    </cfRule>
  </conditionalFormatting>
  <conditionalFormatting sqref="I954">
    <cfRule type="containsText" dxfId="485" priority="667" operator="containsText" text="Missing">
      <formula>NOT(ISERROR(SEARCH("Missing",I954)))</formula>
    </cfRule>
  </conditionalFormatting>
  <conditionalFormatting sqref="I971">
    <cfRule type="containsText" dxfId="484" priority="666" operator="containsText" text="Missing">
      <formula>NOT(ISERROR(SEARCH("Missing",I971)))</formula>
    </cfRule>
  </conditionalFormatting>
  <conditionalFormatting sqref="J712">
    <cfRule type="containsText" dxfId="483" priority="665" operator="containsText" text="Missing">
      <formula>NOT(ISERROR(SEARCH("Missing",J712)))</formula>
    </cfRule>
  </conditionalFormatting>
  <conditionalFormatting sqref="H712">
    <cfRule type="containsText" dxfId="482" priority="664" operator="containsText" text="Missing">
      <formula>NOT(ISERROR(SEARCH("Missing",H712)))</formula>
    </cfRule>
  </conditionalFormatting>
  <conditionalFormatting sqref="H712">
    <cfRule type="containsText" dxfId="481" priority="663" operator="containsText" text="Missing">
      <formula>NOT(ISERROR(SEARCH("Missing",H712)))</formula>
    </cfRule>
  </conditionalFormatting>
  <conditionalFormatting sqref="I712">
    <cfRule type="containsText" dxfId="480" priority="662" operator="containsText" text="Missing">
      <formula>NOT(ISERROR(SEARCH("Missing",I712)))</formula>
    </cfRule>
  </conditionalFormatting>
  <conditionalFormatting sqref="I710">
    <cfRule type="containsText" dxfId="479" priority="661" operator="containsText" text="Missing">
      <formula>NOT(ISERROR(SEARCH("Missing",I710)))</formula>
    </cfRule>
  </conditionalFormatting>
  <conditionalFormatting sqref="I761">
    <cfRule type="containsText" dxfId="478" priority="660" operator="containsText" text="Missing">
      <formula>NOT(ISERROR(SEARCH("Missing",I761)))</formula>
    </cfRule>
  </conditionalFormatting>
  <conditionalFormatting sqref="H761">
    <cfRule type="containsText" dxfId="477" priority="659" operator="containsText" text="Missing">
      <formula>NOT(ISERROR(SEARCH("Missing",H761)))</formula>
    </cfRule>
  </conditionalFormatting>
  <conditionalFormatting sqref="H761">
    <cfRule type="containsText" dxfId="476" priority="658" operator="containsText" text="Missing">
      <formula>NOT(ISERROR(SEARCH("Missing",H761)))</formula>
    </cfRule>
  </conditionalFormatting>
  <conditionalFormatting sqref="H810">
    <cfRule type="containsText" dxfId="475" priority="657" operator="containsText" text="Missing">
      <formula>NOT(ISERROR(SEARCH("Missing",H810)))</formula>
    </cfRule>
  </conditionalFormatting>
  <conditionalFormatting sqref="H810">
    <cfRule type="containsText" dxfId="474" priority="656" operator="containsText" text="Missing">
      <formula>NOT(ISERROR(SEARCH("Missing",H810)))</formula>
    </cfRule>
  </conditionalFormatting>
  <conditionalFormatting sqref="H860">
    <cfRule type="containsText" dxfId="473" priority="655" operator="containsText" text="Missing">
      <formula>NOT(ISERROR(SEARCH("Missing",H860)))</formula>
    </cfRule>
  </conditionalFormatting>
  <conditionalFormatting sqref="H860">
    <cfRule type="containsText" dxfId="472" priority="654" operator="containsText" text="Missing">
      <formula>NOT(ISERROR(SEARCH("Missing",H860)))</formula>
    </cfRule>
  </conditionalFormatting>
  <conditionalFormatting sqref="H908">
    <cfRule type="containsText" dxfId="471" priority="653" operator="containsText" text="Missing">
      <formula>NOT(ISERROR(SEARCH("Missing",H908)))</formula>
    </cfRule>
  </conditionalFormatting>
  <conditionalFormatting sqref="H908">
    <cfRule type="containsText" dxfId="470" priority="652" operator="containsText" text="Missing">
      <formula>NOT(ISERROR(SEARCH("Missing",H908)))</formula>
    </cfRule>
  </conditionalFormatting>
  <conditionalFormatting sqref="I1253:I1272">
    <cfRule type="containsText" dxfId="469" priority="647" operator="containsText" text="Missing">
      <formula>NOT(ISERROR(SEARCH("Missing",I1253)))</formula>
    </cfRule>
  </conditionalFormatting>
  <conditionalFormatting sqref="L1253">
    <cfRule type="containsText" dxfId="468" priority="649" operator="containsText" text="Positive">
      <formula>NOT(ISERROR(SEARCH("Positive",L1253)))</formula>
    </cfRule>
    <cfRule type="containsText" dxfId="467" priority="650" operator="containsText" text="Negative">
      <formula>NOT(ISERROR(SEARCH("Negative",L1253)))</formula>
    </cfRule>
  </conditionalFormatting>
  <conditionalFormatting sqref="J1253:K1253">
    <cfRule type="containsText" dxfId="466" priority="651" operator="containsText" text="Missing">
      <formula>NOT(ISERROR(SEARCH("Missing",J1253)))</formula>
    </cfRule>
  </conditionalFormatting>
  <conditionalFormatting sqref="H1253">
    <cfRule type="containsText" dxfId="465" priority="648" operator="containsText" text="Missing">
      <formula>NOT(ISERROR(SEARCH("Missing",H1253)))</formula>
    </cfRule>
  </conditionalFormatting>
  <conditionalFormatting sqref="U1512">
    <cfRule type="containsText" dxfId="464" priority="405" operator="containsText" text="Missing">
      <formula>NOT(ISERROR(SEARCH("Missing",U1512)))</formula>
    </cfRule>
  </conditionalFormatting>
  <conditionalFormatting sqref="L1254">
    <cfRule type="containsText" dxfId="463" priority="644" operator="containsText" text="Positive">
      <formula>NOT(ISERROR(SEARCH("Positive",L1254)))</formula>
    </cfRule>
    <cfRule type="containsText" dxfId="462" priority="645" operator="containsText" text="Negative">
      <formula>NOT(ISERROR(SEARCH("Negative",L1254)))</formula>
    </cfRule>
  </conditionalFormatting>
  <conditionalFormatting sqref="J1254:K1254">
    <cfRule type="containsText" dxfId="461" priority="646" operator="containsText" text="Missing">
      <formula>NOT(ISERROR(SEARCH("Missing",J1254)))</formula>
    </cfRule>
  </conditionalFormatting>
  <conditionalFormatting sqref="H1254">
    <cfRule type="containsText" dxfId="460" priority="643" operator="containsText" text="Missing">
      <formula>NOT(ISERROR(SEARCH("Missing",H1254)))</formula>
    </cfRule>
  </conditionalFormatting>
  <conditionalFormatting sqref="J1508:K1508">
    <cfRule type="containsText" dxfId="459" priority="501" operator="containsText" text="Missing">
      <formula>NOT(ISERROR(SEARCH("Missing",J1508)))</formula>
    </cfRule>
  </conditionalFormatting>
  <conditionalFormatting sqref="L1255">
    <cfRule type="containsText" dxfId="458" priority="639" operator="containsText" text="Positive">
      <formula>NOT(ISERROR(SEARCH("Positive",L1255)))</formula>
    </cfRule>
    <cfRule type="containsText" dxfId="457" priority="640" operator="containsText" text="Negative">
      <formula>NOT(ISERROR(SEARCH("Negative",L1255)))</formula>
    </cfRule>
  </conditionalFormatting>
  <conditionalFormatting sqref="J1255:K1255">
    <cfRule type="containsText" dxfId="456" priority="641" operator="containsText" text="Missing">
      <formula>NOT(ISERROR(SEARCH("Missing",J1255)))</formula>
    </cfRule>
  </conditionalFormatting>
  <conditionalFormatting sqref="H1255">
    <cfRule type="containsText" dxfId="455" priority="638" operator="containsText" text="Missing">
      <formula>NOT(ISERROR(SEARCH("Missing",H1255)))</formula>
    </cfRule>
  </conditionalFormatting>
  <conditionalFormatting sqref="J1728:K1728">
    <cfRule type="containsText" dxfId="454" priority="395" operator="containsText" text="Missing">
      <formula>NOT(ISERROR(SEARCH("Missing",J1728)))</formula>
    </cfRule>
  </conditionalFormatting>
  <conditionalFormatting sqref="L1256">
    <cfRule type="containsText" dxfId="453" priority="634" operator="containsText" text="Positive">
      <formula>NOT(ISERROR(SEARCH("Positive",L1256)))</formula>
    </cfRule>
    <cfRule type="containsText" dxfId="452" priority="635" operator="containsText" text="Negative">
      <formula>NOT(ISERROR(SEARCH("Negative",L1256)))</formula>
    </cfRule>
  </conditionalFormatting>
  <conditionalFormatting sqref="J1256:K1256">
    <cfRule type="containsText" dxfId="451" priority="636" operator="containsText" text="Missing">
      <formula>NOT(ISERROR(SEARCH("Missing",J1256)))</formula>
    </cfRule>
  </conditionalFormatting>
  <conditionalFormatting sqref="H1256">
    <cfRule type="containsText" dxfId="450" priority="633" operator="containsText" text="Missing">
      <formula>NOT(ISERROR(SEARCH("Missing",H1256)))</formula>
    </cfRule>
  </conditionalFormatting>
  <conditionalFormatting sqref="J1729:K1729">
    <cfRule type="containsText" dxfId="449" priority="390" operator="containsText" text="Missing">
      <formula>NOT(ISERROR(SEARCH("Missing",J1729)))</formula>
    </cfRule>
  </conditionalFormatting>
  <conditionalFormatting sqref="L1257">
    <cfRule type="containsText" dxfId="448" priority="629" operator="containsText" text="Positive">
      <formula>NOT(ISERROR(SEARCH("Positive",L1257)))</formula>
    </cfRule>
    <cfRule type="containsText" dxfId="447" priority="630" operator="containsText" text="Negative">
      <formula>NOT(ISERROR(SEARCH("Negative",L1257)))</formula>
    </cfRule>
  </conditionalFormatting>
  <conditionalFormatting sqref="J1257:K1257">
    <cfRule type="containsText" dxfId="446" priority="631" operator="containsText" text="Missing">
      <formula>NOT(ISERROR(SEARCH("Missing",J1257)))</formula>
    </cfRule>
  </conditionalFormatting>
  <conditionalFormatting sqref="H1257">
    <cfRule type="containsText" dxfId="445" priority="628" operator="containsText" text="Missing">
      <formula>NOT(ISERROR(SEARCH("Missing",H1257)))</formula>
    </cfRule>
  </conditionalFormatting>
  <conditionalFormatting sqref="U1253">
    <cfRule type="containsText" dxfId="444" priority="626" operator="containsText" text="Missing">
      <formula>NOT(ISERROR(SEARCH("Missing",U1253)))</formula>
    </cfRule>
  </conditionalFormatting>
  <conditionalFormatting sqref="U1254">
    <cfRule type="containsText" dxfId="443" priority="625" operator="containsText" text="Missing">
      <formula>NOT(ISERROR(SEARCH("Missing",U1254)))</formula>
    </cfRule>
  </conditionalFormatting>
  <conditionalFormatting sqref="U1255">
    <cfRule type="containsText" dxfId="442" priority="624" operator="containsText" text="Missing">
      <formula>NOT(ISERROR(SEARCH("Missing",U1255)))</formula>
    </cfRule>
  </conditionalFormatting>
  <conditionalFormatting sqref="U1256">
    <cfRule type="containsText" dxfId="441" priority="623" operator="containsText" text="Missing">
      <formula>NOT(ISERROR(SEARCH("Missing",U1256)))</formula>
    </cfRule>
  </conditionalFormatting>
  <conditionalFormatting sqref="U1257">
    <cfRule type="containsText" dxfId="440" priority="622" operator="containsText" text="Missing">
      <formula>NOT(ISERROR(SEARCH("Missing",U1257)))</formula>
    </cfRule>
  </conditionalFormatting>
  <conditionalFormatting sqref="J2221:K2221">
    <cfRule type="containsText" dxfId="439" priority="145" operator="containsText" text="Missing">
      <formula>NOT(ISERROR(SEARCH("Missing",J2221)))</formula>
    </cfRule>
  </conditionalFormatting>
  <conditionalFormatting sqref="L1258">
    <cfRule type="containsText" dxfId="438" priority="619" operator="containsText" text="Positive">
      <formula>NOT(ISERROR(SEARCH("Positive",L1258)))</formula>
    </cfRule>
    <cfRule type="containsText" dxfId="437" priority="620" operator="containsText" text="Negative">
      <formula>NOT(ISERROR(SEARCH("Negative",L1258)))</formula>
    </cfRule>
  </conditionalFormatting>
  <conditionalFormatting sqref="J1258:K1258">
    <cfRule type="containsText" dxfId="436" priority="621" operator="containsText" text="Missing">
      <formula>NOT(ISERROR(SEARCH("Missing",J1258)))</formula>
    </cfRule>
  </conditionalFormatting>
  <conditionalFormatting sqref="H1258">
    <cfRule type="containsText" dxfId="435" priority="618" operator="containsText" text="Missing">
      <formula>NOT(ISERROR(SEARCH("Missing",H1258)))</formula>
    </cfRule>
  </conditionalFormatting>
  <conditionalFormatting sqref="J1513:K1513">
    <cfRule type="containsText" dxfId="434" priority="476" operator="containsText" text="Missing">
      <formula>NOT(ISERROR(SEARCH("Missing",J1513)))</formula>
    </cfRule>
  </conditionalFormatting>
  <conditionalFormatting sqref="L1259">
    <cfRule type="containsText" dxfId="433" priority="614" operator="containsText" text="Positive">
      <formula>NOT(ISERROR(SEARCH("Positive",L1259)))</formula>
    </cfRule>
    <cfRule type="containsText" dxfId="432" priority="615" operator="containsText" text="Negative">
      <formula>NOT(ISERROR(SEARCH("Negative",L1259)))</formula>
    </cfRule>
  </conditionalFormatting>
  <conditionalFormatting sqref="J1259:K1259">
    <cfRule type="containsText" dxfId="431" priority="616" operator="containsText" text="Missing">
      <formula>NOT(ISERROR(SEARCH("Missing",J1259)))</formula>
    </cfRule>
  </conditionalFormatting>
  <conditionalFormatting sqref="H1259">
    <cfRule type="containsText" dxfId="430" priority="613" operator="containsText" text="Missing">
      <formula>NOT(ISERROR(SEARCH("Missing",H1259)))</formula>
    </cfRule>
  </conditionalFormatting>
  <conditionalFormatting sqref="L1260">
    <cfRule type="containsText" dxfId="429" priority="609" operator="containsText" text="Positive">
      <formula>NOT(ISERROR(SEARCH("Positive",L1260)))</formula>
    </cfRule>
    <cfRule type="containsText" dxfId="428" priority="610" operator="containsText" text="Negative">
      <formula>NOT(ISERROR(SEARCH("Negative",L1260)))</formula>
    </cfRule>
  </conditionalFormatting>
  <conditionalFormatting sqref="J1260:K1260">
    <cfRule type="containsText" dxfId="427" priority="611" operator="containsText" text="Missing">
      <formula>NOT(ISERROR(SEARCH("Missing",J1260)))</formula>
    </cfRule>
  </conditionalFormatting>
  <conditionalFormatting sqref="H1260">
    <cfRule type="containsText" dxfId="426" priority="608" operator="containsText" text="Missing">
      <formula>NOT(ISERROR(SEARCH("Missing",H1260)))</formula>
    </cfRule>
  </conditionalFormatting>
  <conditionalFormatting sqref="J1736:K1736">
    <cfRule type="containsText" dxfId="425" priority="365" operator="containsText" text="Missing">
      <formula>NOT(ISERROR(SEARCH("Missing",J1736)))</formula>
    </cfRule>
  </conditionalFormatting>
  <conditionalFormatting sqref="L1261">
    <cfRule type="containsText" dxfId="424" priority="604" operator="containsText" text="Positive">
      <formula>NOT(ISERROR(SEARCH("Positive",L1261)))</formula>
    </cfRule>
    <cfRule type="containsText" dxfId="423" priority="605" operator="containsText" text="Negative">
      <formula>NOT(ISERROR(SEARCH("Negative",L1261)))</formula>
    </cfRule>
  </conditionalFormatting>
  <conditionalFormatting sqref="J1261:K1261">
    <cfRule type="containsText" dxfId="422" priority="606" operator="containsText" text="Missing">
      <formula>NOT(ISERROR(SEARCH("Missing",J1261)))</formula>
    </cfRule>
  </conditionalFormatting>
  <conditionalFormatting sqref="H1261">
    <cfRule type="containsText" dxfId="421" priority="603" operator="containsText" text="Missing">
      <formula>NOT(ISERROR(SEARCH("Missing",H1261)))</formula>
    </cfRule>
  </conditionalFormatting>
  <conditionalFormatting sqref="L1262">
    <cfRule type="containsText" dxfId="420" priority="599" operator="containsText" text="Positive">
      <formula>NOT(ISERROR(SEARCH("Positive",L1262)))</formula>
    </cfRule>
    <cfRule type="containsText" dxfId="419" priority="600" operator="containsText" text="Negative">
      <formula>NOT(ISERROR(SEARCH("Negative",L1262)))</formula>
    </cfRule>
  </conditionalFormatting>
  <conditionalFormatting sqref="J1262:K1262">
    <cfRule type="containsText" dxfId="418" priority="601" operator="containsText" text="Missing">
      <formula>NOT(ISERROR(SEARCH("Missing",J1262)))</formula>
    </cfRule>
  </conditionalFormatting>
  <conditionalFormatting sqref="H1262">
    <cfRule type="containsText" dxfId="417" priority="598" operator="containsText" text="Missing">
      <formula>NOT(ISERROR(SEARCH("Missing",H1262)))</formula>
    </cfRule>
  </conditionalFormatting>
  <conditionalFormatting sqref="U1258">
    <cfRule type="containsText" dxfId="416" priority="596" operator="containsText" text="Missing">
      <formula>NOT(ISERROR(SEARCH("Missing",U1258)))</formula>
    </cfRule>
  </conditionalFormatting>
  <conditionalFormatting sqref="U1259">
    <cfRule type="containsText" dxfId="415" priority="595" operator="containsText" text="Missing">
      <formula>NOT(ISERROR(SEARCH("Missing",U1259)))</formula>
    </cfRule>
  </conditionalFormatting>
  <conditionalFormatting sqref="U1260">
    <cfRule type="containsText" dxfId="414" priority="594" operator="containsText" text="Missing">
      <formula>NOT(ISERROR(SEARCH("Missing",U1260)))</formula>
    </cfRule>
  </conditionalFormatting>
  <conditionalFormatting sqref="U1261">
    <cfRule type="containsText" dxfId="413" priority="593" operator="containsText" text="Missing">
      <formula>NOT(ISERROR(SEARCH("Missing",U1261)))</formula>
    </cfRule>
  </conditionalFormatting>
  <conditionalFormatting sqref="U1262">
    <cfRule type="containsText" dxfId="412" priority="592" operator="containsText" text="Missing">
      <formula>NOT(ISERROR(SEARCH("Missing",U1262)))</formula>
    </cfRule>
  </conditionalFormatting>
  <conditionalFormatting sqref="J1518:K1518">
    <cfRule type="containsText" dxfId="411" priority="451" operator="containsText" text="Missing">
      <formula>NOT(ISERROR(SEARCH("Missing",J1518)))</formula>
    </cfRule>
  </conditionalFormatting>
  <conditionalFormatting sqref="L1263">
    <cfRule type="containsText" dxfId="410" priority="589" operator="containsText" text="Positive">
      <formula>NOT(ISERROR(SEARCH("Positive",L1263)))</formula>
    </cfRule>
    <cfRule type="containsText" dxfId="409" priority="590" operator="containsText" text="Negative">
      <formula>NOT(ISERROR(SEARCH("Negative",L1263)))</formula>
    </cfRule>
  </conditionalFormatting>
  <conditionalFormatting sqref="J1263:K1263">
    <cfRule type="containsText" dxfId="408" priority="591" operator="containsText" text="Missing">
      <formula>NOT(ISERROR(SEARCH("Missing",J1263)))</formula>
    </cfRule>
  </conditionalFormatting>
  <conditionalFormatting sqref="H1263">
    <cfRule type="containsText" dxfId="407" priority="588" operator="containsText" text="Missing">
      <formula>NOT(ISERROR(SEARCH("Missing",H1263)))</formula>
    </cfRule>
  </conditionalFormatting>
  <conditionalFormatting sqref="L1264">
    <cfRule type="containsText" dxfId="406" priority="584" operator="containsText" text="Positive">
      <formula>NOT(ISERROR(SEARCH("Positive",L1264)))</formula>
    </cfRule>
    <cfRule type="containsText" dxfId="405" priority="585" operator="containsText" text="Negative">
      <formula>NOT(ISERROR(SEARCH("Negative",L1264)))</formula>
    </cfRule>
  </conditionalFormatting>
  <conditionalFormatting sqref="J1264:K1264">
    <cfRule type="containsText" dxfId="404" priority="586" operator="containsText" text="Missing">
      <formula>NOT(ISERROR(SEARCH("Missing",J1264)))</formula>
    </cfRule>
  </conditionalFormatting>
  <conditionalFormatting sqref="H1264">
    <cfRule type="containsText" dxfId="403" priority="583" operator="containsText" text="Missing">
      <formula>NOT(ISERROR(SEARCH("Missing",H1264)))</formula>
    </cfRule>
  </conditionalFormatting>
  <conditionalFormatting sqref="L1265">
    <cfRule type="containsText" dxfId="402" priority="579" operator="containsText" text="Positive">
      <formula>NOT(ISERROR(SEARCH("Positive",L1265)))</formula>
    </cfRule>
    <cfRule type="containsText" dxfId="401" priority="580" operator="containsText" text="Negative">
      <formula>NOT(ISERROR(SEARCH("Negative",L1265)))</formula>
    </cfRule>
  </conditionalFormatting>
  <conditionalFormatting sqref="J1265:K1265">
    <cfRule type="containsText" dxfId="400" priority="581" operator="containsText" text="Missing">
      <formula>NOT(ISERROR(SEARCH("Missing",J1265)))</formula>
    </cfRule>
  </conditionalFormatting>
  <conditionalFormatting sqref="H1265">
    <cfRule type="containsText" dxfId="399" priority="578" operator="containsText" text="Missing">
      <formula>NOT(ISERROR(SEARCH("Missing",H1265)))</formula>
    </cfRule>
  </conditionalFormatting>
  <conditionalFormatting sqref="J1746:K1746">
    <cfRule type="containsText" dxfId="398" priority="335" operator="containsText" text="Missing">
      <formula>NOT(ISERROR(SEARCH("Missing",J1746)))</formula>
    </cfRule>
  </conditionalFormatting>
  <conditionalFormatting sqref="L1266">
    <cfRule type="containsText" dxfId="397" priority="574" operator="containsText" text="Positive">
      <formula>NOT(ISERROR(SEARCH("Positive",L1266)))</formula>
    </cfRule>
    <cfRule type="containsText" dxfId="396" priority="575" operator="containsText" text="Negative">
      <formula>NOT(ISERROR(SEARCH("Negative",L1266)))</formula>
    </cfRule>
  </conditionalFormatting>
  <conditionalFormatting sqref="J1266:K1266">
    <cfRule type="containsText" dxfId="395" priority="576" operator="containsText" text="Missing">
      <formula>NOT(ISERROR(SEARCH("Missing",J1266)))</formula>
    </cfRule>
  </conditionalFormatting>
  <conditionalFormatting sqref="H1266">
    <cfRule type="containsText" dxfId="394" priority="573" operator="containsText" text="Missing">
      <formula>NOT(ISERROR(SEARCH("Missing",H1266)))</formula>
    </cfRule>
  </conditionalFormatting>
  <conditionalFormatting sqref="L1267">
    <cfRule type="containsText" dxfId="393" priority="569" operator="containsText" text="Positive">
      <formula>NOT(ISERROR(SEARCH("Positive",L1267)))</formula>
    </cfRule>
    <cfRule type="containsText" dxfId="392" priority="570" operator="containsText" text="Negative">
      <formula>NOT(ISERROR(SEARCH("Negative",L1267)))</formula>
    </cfRule>
  </conditionalFormatting>
  <conditionalFormatting sqref="J1267:K1267">
    <cfRule type="containsText" dxfId="391" priority="571" operator="containsText" text="Missing">
      <formula>NOT(ISERROR(SEARCH("Missing",J1267)))</formula>
    </cfRule>
  </conditionalFormatting>
  <conditionalFormatting sqref="H1267">
    <cfRule type="containsText" dxfId="390" priority="568" operator="containsText" text="Missing">
      <formula>NOT(ISERROR(SEARCH("Missing",H1267)))</formula>
    </cfRule>
  </conditionalFormatting>
  <conditionalFormatting sqref="U1263">
    <cfRule type="containsText" dxfId="389" priority="566" operator="containsText" text="Missing">
      <formula>NOT(ISERROR(SEARCH("Missing",U1263)))</formula>
    </cfRule>
  </conditionalFormatting>
  <conditionalFormatting sqref="U1264">
    <cfRule type="containsText" dxfId="388" priority="565" operator="containsText" text="Missing">
      <formula>NOT(ISERROR(SEARCH("Missing",U1264)))</formula>
    </cfRule>
  </conditionalFormatting>
  <conditionalFormatting sqref="U1265">
    <cfRule type="containsText" dxfId="387" priority="564" operator="containsText" text="Missing">
      <formula>NOT(ISERROR(SEARCH("Missing",U1265)))</formula>
    </cfRule>
  </conditionalFormatting>
  <conditionalFormatting sqref="U1266">
    <cfRule type="containsText" dxfId="386" priority="563" operator="containsText" text="Missing">
      <formula>NOT(ISERROR(SEARCH("Missing",U1266)))</formula>
    </cfRule>
  </conditionalFormatting>
  <conditionalFormatting sqref="U1267">
    <cfRule type="containsText" dxfId="385" priority="562" operator="containsText" text="Missing">
      <formula>NOT(ISERROR(SEARCH("Missing",U1267)))</formula>
    </cfRule>
  </conditionalFormatting>
  <conditionalFormatting sqref="H1516">
    <cfRule type="containsText" dxfId="384" priority="421" operator="containsText" text="Missing">
      <formula>NOT(ISERROR(SEARCH("Missing",H1516)))</formula>
    </cfRule>
  </conditionalFormatting>
  <conditionalFormatting sqref="L1268">
    <cfRule type="containsText" dxfId="383" priority="559" operator="containsText" text="Positive">
      <formula>NOT(ISERROR(SEARCH("Positive",L1268)))</formula>
    </cfRule>
    <cfRule type="containsText" dxfId="382" priority="560" operator="containsText" text="Negative">
      <formula>NOT(ISERROR(SEARCH("Negative",L1268)))</formula>
    </cfRule>
  </conditionalFormatting>
  <conditionalFormatting sqref="J1268:K1268">
    <cfRule type="containsText" dxfId="381" priority="561" operator="containsText" text="Missing">
      <formula>NOT(ISERROR(SEARCH("Missing",J1268)))</formula>
    </cfRule>
  </conditionalFormatting>
  <conditionalFormatting sqref="H1268">
    <cfRule type="containsText" dxfId="380" priority="558" operator="containsText" text="Missing">
      <formula>NOT(ISERROR(SEARCH("Missing",H1268)))</formula>
    </cfRule>
  </conditionalFormatting>
  <conditionalFormatting sqref="H1521">
    <cfRule type="containsText" dxfId="379" priority="416" operator="containsText" text="Missing">
      <formula>NOT(ISERROR(SEARCH("Missing",H1521)))</formula>
    </cfRule>
  </conditionalFormatting>
  <conditionalFormatting sqref="L1269">
    <cfRule type="containsText" dxfId="378" priority="554" operator="containsText" text="Positive">
      <formula>NOT(ISERROR(SEARCH("Positive",L1269)))</formula>
    </cfRule>
    <cfRule type="containsText" dxfId="377" priority="555" operator="containsText" text="Negative">
      <formula>NOT(ISERROR(SEARCH("Negative",L1269)))</formula>
    </cfRule>
  </conditionalFormatting>
  <conditionalFormatting sqref="J1269:K1269">
    <cfRule type="containsText" dxfId="376" priority="556" operator="containsText" text="Missing">
      <formula>NOT(ISERROR(SEARCH("Missing",J1269)))</formula>
    </cfRule>
  </conditionalFormatting>
  <conditionalFormatting sqref="H1269">
    <cfRule type="containsText" dxfId="375" priority="553" operator="containsText" text="Missing">
      <formula>NOT(ISERROR(SEARCH("Missing",H1269)))</formula>
    </cfRule>
  </conditionalFormatting>
  <conditionalFormatting sqref="U1506">
    <cfRule type="containsText" dxfId="374" priority="411" operator="containsText" text="Missing">
      <formula>NOT(ISERROR(SEARCH("Missing",U1506)))</formula>
    </cfRule>
  </conditionalFormatting>
  <conditionalFormatting sqref="L1270">
    <cfRule type="containsText" dxfId="373" priority="549" operator="containsText" text="Positive">
      <formula>NOT(ISERROR(SEARCH("Positive",L1270)))</formula>
    </cfRule>
    <cfRule type="containsText" dxfId="372" priority="550" operator="containsText" text="Negative">
      <formula>NOT(ISERROR(SEARCH("Negative",L1270)))</formula>
    </cfRule>
  </conditionalFormatting>
  <conditionalFormatting sqref="J1270:K1270">
    <cfRule type="containsText" dxfId="371" priority="551" operator="containsText" text="Missing">
      <formula>NOT(ISERROR(SEARCH("Missing",J1270)))</formula>
    </cfRule>
  </conditionalFormatting>
  <conditionalFormatting sqref="H1270">
    <cfRule type="containsText" dxfId="370" priority="548" operator="containsText" text="Missing">
      <formula>NOT(ISERROR(SEARCH("Missing",H1270)))</formula>
    </cfRule>
  </conditionalFormatting>
  <conditionalFormatting sqref="U1511">
    <cfRule type="containsText" dxfId="369" priority="406" operator="containsText" text="Missing">
      <formula>NOT(ISERROR(SEARCH("Missing",U1511)))</formula>
    </cfRule>
  </conditionalFormatting>
  <conditionalFormatting sqref="L1271">
    <cfRule type="containsText" dxfId="368" priority="544" operator="containsText" text="Positive">
      <formula>NOT(ISERROR(SEARCH("Positive",L1271)))</formula>
    </cfRule>
    <cfRule type="containsText" dxfId="367" priority="545" operator="containsText" text="Negative">
      <formula>NOT(ISERROR(SEARCH("Negative",L1271)))</formula>
    </cfRule>
  </conditionalFormatting>
  <conditionalFormatting sqref="J1271:K1271">
    <cfRule type="containsText" dxfId="366" priority="546" operator="containsText" text="Missing">
      <formula>NOT(ISERROR(SEARCH("Missing",J1271)))</formula>
    </cfRule>
  </conditionalFormatting>
  <conditionalFormatting sqref="H1271">
    <cfRule type="containsText" dxfId="365" priority="543" operator="containsText" text="Missing">
      <formula>NOT(ISERROR(SEARCH("Missing",H1271)))</formula>
    </cfRule>
  </conditionalFormatting>
  <conditionalFormatting sqref="U1516">
    <cfRule type="containsText" dxfId="364" priority="401" operator="containsText" text="Missing">
      <formula>NOT(ISERROR(SEARCH("Missing",U1516)))</formula>
    </cfRule>
  </conditionalFormatting>
  <conditionalFormatting sqref="L1272">
    <cfRule type="containsText" dxfId="363" priority="539" operator="containsText" text="Positive">
      <formula>NOT(ISERROR(SEARCH("Positive",L1272)))</formula>
    </cfRule>
    <cfRule type="containsText" dxfId="362" priority="540" operator="containsText" text="Negative">
      <formula>NOT(ISERROR(SEARCH("Negative",L1272)))</formula>
    </cfRule>
  </conditionalFormatting>
  <conditionalFormatting sqref="J1272:K1272">
    <cfRule type="containsText" dxfId="361" priority="541" operator="containsText" text="Missing">
      <formula>NOT(ISERROR(SEARCH("Missing",J1272)))</formula>
    </cfRule>
  </conditionalFormatting>
  <conditionalFormatting sqref="H1272">
    <cfRule type="containsText" dxfId="360" priority="538" operator="containsText" text="Missing">
      <formula>NOT(ISERROR(SEARCH("Missing",H1272)))</formula>
    </cfRule>
  </conditionalFormatting>
  <conditionalFormatting sqref="U1268">
    <cfRule type="containsText" dxfId="359" priority="536" operator="containsText" text="Missing">
      <formula>NOT(ISERROR(SEARCH("Missing",U1268)))</formula>
    </cfRule>
  </conditionalFormatting>
  <conditionalFormatting sqref="U1269">
    <cfRule type="containsText" dxfId="358" priority="535" operator="containsText" text="Missing">
      <formula>NOT(ISERROR(SEARCH("Missing",U1269)))</formula>
    </cfRule>
  </conditionalFormatting>
  <conditionalFormatting sqref="U1270">
    <cfRule type="containsText" dxfId="357" priority="534" operator="containsText" text="Missing">
      <formula>NOT(ISERROR(SEARCH("Missing",U1270)))</formula>
    </cfRule>
  </conditionalFormatting>
  <conditionalFormatting sqref="U1271">
    <cfRule type="containsText" dxfId="356" priority="533" operator="containsText" text="Missing">
      <formula>NOT(ISERROR(SEARCH("Missing",U1271)))</formula>
    </cfRule>
  </conditionalFormatting>
  <conditionalFormatting sqref="U1272">
    <cfRule type="containsText" dxfId="355" priority="532" operator="containsText" text="Missing">
      <formula>NOT(ISERROR(SEARCH("Missing",U1272)))</formula>
    </cfRule>
  </conditionalFormatting>
  <conditionalFormatting sqref="I1502:I1521">
    <cfRule type="containsText" dxfId="354" priority="527" operator="containsText" text="Missing">
      <formula>NOT(ISERROR(SEARCH("Missing",I1502)))</formula>
    </cfRule>
  </conditionalFormatting>
  <conditionalFormatting sqref="L1502">
    <cfRule type="containsText" dxfId="353" priority="529" operator="containsText" text="Positive">
      <formula>NOT(ISERROR(SEARCH("Positive",L1502)))</formula>
    </cfRule>
    <cfRule type="containsText" dxfId="352" priority="530" operator="containsText" text="Negative">
      <formula>NOT(ISERROR(SEARCH("Negative",L1502)))</formula>
    </cfRule>
  </conditionalFormatting>
  <conditionalFormatting sqref="J1502:K1502">
    <cfRule type="containsText" dxfId="351" priority="531" operator="containsText" text="Missing">
      <formula>NOT(ISERROR(SEARCH("Missing",J1502)))</formula>
    </cfRule>
  </conditionalFormatting>
  <conditionalFormatting sqref="H1502">
    <cfRule type="containsText" dxfId="350" priority="528" operator="containsText" text="Missing">
      <formula>NOT(ISERROR(SEARCH("Missing",H1502)))</formula>
    </cfRule>
  </conditionalFormatting>
  <conditionalFormatting sqref="L1503">
    <cfRule type="containsText" dxfId="349" priority="524" operator="containsText" text="Positive">
      <formula>NOT(ISERROR(SEARCH("Positive",L1503)))</formula>
    </cfRule>
    <cfRule type="containsText" dxfId="348" priority="525" operator="containsText" text="Negative">
      <formula>NOT(ISERROR(SEARCH("Negative",L1503)))</formula>
    </cfRule>
  </conditionalFormatting>
  <conditionalFormatting sqref="J1503:K1503">
    <cfRule type="containsText" dxfId="347" priority="526" operator="containsText" text="Missing">
      <formula>NOT(ISERROR(SEARCH("Missing",J1503)))</formula>
    </cfRule>
  </conditionalFormatting>
  <conditionalFormatting sqref="H1503">
    <cfRule type="containsText" dxfId="346" priority="523" operator="containsText" text="Missing">
      <formula>NOT(ISERROR(SEARCH("Missing",H1503)))</formula>
    </cfRule>
  </conditionalFormatting>
  <conditionalFormatting sqref="L1504">
    <cfRule type="containsText" dxfId="345" priority="520" operator="containsText" text="Positive">
      <formula>NOT(ISERROR(SEARCH("Positive",L1504)))</formula>
    </cfRule>
    <cfRule type="containsText" dxfId="344" priority="521" operator="containsText" text="Negative">
      <formula>NOT(ISERROR(SEARCH("Negative",L1504)))</formula>
    </cfRule>
  </conditionalFormatting>
  <conditionalFormatting sqref="J1504:K1504">
    <cfRule type="containsText" dxfId="343" priority="522" operator="containsText" text="Missing">
      <formula>NOT(ISERROR(SEARCH("Missing",J1504)))</formula>
    </cfRule>
  </conditionalFormatting>
  <conditionalFormatting sqref="H1504">
    <cfRule type="containsText" dxfId="342" priority="519" operator="containsText" text="Missing">
      <formula>NOT(ISERROR(SEARCH("Missing",H1504)))</formula>
    </cfRule>
  </conditionalFormatting>
  <conditionalFormatting sqref="L1505">
    <cfRule type="containsText" dxfId="341" priority="516" operator="containsText" text="Positive">
      <formula>NOT(ISERROR(SEARCH("Positive",L1505)))</formula>
    </cfRule>
    <cfRule type="containsText" dxfId="340" priority="517" operator="containsText" text="Negative">
      <formula>NOT(ISERROR(SEARCH("Negative",L1505)))</formula>
    </cfRule>
  </conditionalFormatting>
  <conditionalFormatting sqref="J1505:K1505">
    <cfRule type="containsText" dxfId="339" priority="518" operator="containsText" text="Missing">
      <formula>NOT(ISERROR(SEARCH("Missing",J1505)))</formula>
    </cfRule>
  </conditionalFormatting>
  <conditionalFormatting sqref="H1505">
    <cfRule type="containsText" dxfId="338" priority="515" operator="containsText" text="Missing">
      <formula>NOT(ISERROR(SEARCH("Missing",H1505)))</formula>
    </cfRule>
  </conditionalFormatting>
  <conditionalFormatting sqref="L1506">
    <cfRule type="containsText" dxfId="337" priority="512" operator="containsText" text="Positive">
      <formula>NOT(ISERROR(SEARCH("Positive",L1506)))</formula>
    </cfRule>
    <cfRule type="containsText" dxfId="336" priority="513" operator="containsText" text="Negative">
      <formula>NOT(ISERROR(SEARCH("Negative",L1506)))</formula>
    </cfRule>
  </conditionalFormatting>
  <conditionalFormatting sqref="J1506:K1506">
    <cfRule type="containsText" dxfId="335" priority="514" operator="containsText" text="Missing">
      <formula>NOT(ISERROR(SEARCH("Missing",J1506)))</formula>
    </cfRule>
  </conditionalFormatting>
  <conditionalFormatting sqref="H1506">
    <cfRule type="containsText" dxfId="334" priority="511" operator="containsText" text="Missing">
      <formula>NOT(ISERROR(SEARCH("Missing",H1506)))</formula>
    </cfRule>
  </conditionalFormatting>
  <conditionalFormatting sqref="J2218:K2218">
    <cfRule type="containsText" dxfId="333" priority="154" operator="containsText" text="Missing">
      <formula>NOT(ISERROR(SEARCH("Missing",J2218)))</formula>
    </cfRule>
  </conditionalFormatting>
  <conditionalFormatting sqref="J1511:K1511">
    <cfRule type="containsText" dxfId="332" priority="489" operator="containsText" text="Missing">
      <formula>NOT(ISERROR(SEARCH("Missing",J1511)))</formula>
    </cfRule>
  </conditionalFormatting>
  <conditionalFormatting sqref="J1730:K1730">
    <cfRule type="containsText" dxfId="331" priority="386" operator="containsText" text="Missing">
      <formula>NOT(ISERROR(SEARCH("Missing",J1730)))</formula>
    </cfRule>
  </conditionalFormatting>
  <conditionalFormatting sqref="L1507">
    <cfRule type="containsText" dxfId="330" priority="503" operator="containsText" text="Positive">
      <formula>NOT(ISERROR(SEARCH("Positive",L1507)))</formula>
    </cfRule>
    <cfRule type="containsText" dxfId="329" priority="504" operator="containsText" text="Negative">
      <formula>NOT(ISERROR(SEARCH("Negative",L1507)))</formula>
    </cfRule>
  </conditionalFormatting>
  <conditionalFormatting sqref="J1507:K1507">
    <cfRule type="containsText" dxfId="328" priority="505" operator="containsText" text="Missing">
      <formula>NOT(ISERROR(SEARCH("Missing",J1507)))</formula>
    </cfRule>
  </conditionalFormatting>
  <conditionalFormatting sqref="L1508">
    <cfRule type="containsText" dxfId="327" priority="499" operator="containsText" text="Positive">
      <formula>NOT(ISERROR(SEARCH("Positive",L1508)))</formula>
    </cfRule>
    <cfRule type="containsText" dxfId="326" priority="500" operator="containsText" text="Negative">
      <formula>NOT(ISERROR(SEARCH("Negative",L1508)))</formula>
    </cfRule>
  </conditionalFormatting>
  <conditionalFormatting sqref="U1517">
    <cfRule type="containsText" dxfId="325" priority="400" operator="containsText" text="Missing">
      <formula>NOT(ISERROR(SEARCH("Missing",U1517)))</formula>
    </cfRule>
  </conditionalFormatting>
  <conditionalFormatting sqref="J1737:K1737">
    <cfRule type="containsText" dxfId="324" priority="362" operator="containsText" text="Missing">
      <formula>NOT(ISERROR(SEARCH("Missing",J1737)))</formula>
    </cfRule>
  </conditionalFormatting>
  <conditionalFormatting sqref="L1509">
    <cfRule type="containsText" dxfId="323" priority="495" operator="containsText" text="Positive">
      <formula>NOT(ISERROR(SEARCH("Positive",L1509)))</formula>
    </cfRule>
    <cfRule type="containsText" dxfId="322" priority="496" operator="containsText" text="Negative">
      <formula>NOT(ISERROR(SEARCH("Negative",L1509)))</formula>
    </cfRule>
  </conditionalFormatting>
  <conditionalFormatting sqref="J1509:K1509">
    <cfRule type="containsText" dxfId="321" priority="497" operator="containsText" text="Missing">
      <formula>NOT(ISERROR(SEARCH("Missing",J1509)))</formula>
    </cfRule>
  </conditionalFormatting>
  <conditionalFormatting sqref="L1510">
    <cfRule type="containsText" dxfId="320" priority="491" operator="containsText" text="Positive">
      <formula>NOT(ISERROR(SEARCH("Positive",L1510)))</formula>
    </cfRule>
    <cfRule type="containsText" dxfId="319" priority="492" operator="containsText" text="Negative">
      <formula>NOT(ISERROR(SEARCH("Negative",L1510)))</formula>
    </cfRule>
  </conditionalFormatting>
  <conditionalFormatting sqref="J1510:K1510">
    <cfRule type="containsText" dxfId="318" priority="493" operator="containsText" text="Missing">
      <formula>NOT(ISERROR(SEARCH("Missing",J1510)))</formula>
    </cfRule>
  </conditionalFormatting>
  <conditionalFormatting sqref="J1517:K1517">
    <cfRule type="containsText" dxfId="317" priority="455" operator="containsText" text="Missing">
      <formula>NOT(ISERROR(SEARCH("Missing",J1517)))</formula>
    </cfRule>
  </conditionalFormatting>
  <conditionalFormatting sqref="L1511">
    <cfRule type="containsText" dxfId="316" priority="487" operator="containsText" text="Positive">
      <formula>NOT(ISERROR(SEARCH("Positive",L1511)))</formula>
    </cfRule>
    <cfRule type="containsText" dxfId="315" priority="488" operator="containsText" text="Negative">
      <formula>NOT(ISERROR(SEARCH("Negative",L1511)))</formula>
    </cfRule>
  </conditionalFormatting>
  <conditionalFormatting sqref="J1741:K1741">
    <cfRule type="containsText" dxfId="314" priority="350" operator="containsText" text="Missing">
      <formula>NOT(ISERROR(SEARCH("Missing",J1741)))</formula>
    </cfRule>
  </conditionalFormatting>
  <conditionalFormatting sqref="J1735:K1735">
    <cfRule type="containsText" dxfId="313" priority="368" operator="containsText" text="Missing">
      <formula>NOT(ISERROR(SEARCH("Missing",J1735)))</formula>
    </cfRule>
  </conditionalFormatting>
  <conditionalFormatting sqref="J1515:K1515">
    <cfRule type="containsText" dxfId="312" priority="468" operator="containsText" text="Missing">
      <formula>NOT(ISERROR(SEARCH("Missing",J1515)))</formula>
    </cfRule>
  </conditionalFormatting>
  <conditionalFormatting sqref="J1947:K1947">
    <cfRule type="containsText" dxfId="311" priority="264" operator="containsText" text="Missing">
      <formula>NOT(ISERROR(SEARCH("Missing",J1947)))</formula>
    </cfRule>
  </conditionalFormatting>
  <conditionalFormatting sqref="L1512">
    <cfRule type="containsText" dxfId="310" priority="478" operator="containsText" text="Positive">
      <formula>NOT(ISERROR(SEARCH("Positive",L1512)))</formula>
    </cfRule>
    <cfRule type="containsText" dxfId="309" priority="479" operator="containsText" text="Negative">
      <formula>NOT(ISERROR(SEARCH("Negative",L1512)))</formula>
    </cfRule>
  </conditionalFormatting>
  <conditionalFormatting sqref="J1512:K1512">
    <cfRule type="containsText" dxfId="308" priority="480" operator="containsText" text="Missing">
      <formula>NOT(ISERROR(SEARCH("Missing",J1512)))</formula>
    </cfRule>
  </conditionalFormatting>
  <conditionalFormatting sqref="J1519:K1519">
    <cfRule type="containsText" dxfId="307" priority="447" operator="containsText" text="Missing">
      <formula>NOT(ISERROR(SEARCH("Missing",J1519)))</formula>
    </cfRule>
  </conditionalFormatting>
  <conditionalFormatting sqref="L1513">
    <cfRule type="containsText" dxfId="306" priority="474" operator="containsText" text="Positive">
      <formula>NOT(ISERROR(SEARCH("Positive",L1513)))</formula>
    </cfRule>
    <cfRule type="containsText" dxfId="305" priority="475" operator="containsText" text="Negative">
      <formula>NOT(ISERROR(SEARCH("Negative",L1513)))</formula>
    </cfRule>
  </conditionalFormatting>
  <conditionalFormatting sqref="J1520:K1520">
    <cfRule type="containsText" dxfId="304" priority="443" operator="containsText" text="Missing">
      <formula>NOT(ISERROR(SEARCH("Missing",J1520)))</formula>
    </cfRule>
  </conditionalFormatting>
  <conditionalFormatting sqref="L1514">
    <cfRule type="containsText" dxfId="303" priority="470" operator="containsText" text="Positive">
      <formula>NOT(ISERROR(SEARCH("Positive",L1514)))</formula>
    </cfRule>
    <cfRule type="containsText" dxfId="302" priority="471" operator="containsText" text="Negative">
      <formula>NOT(ISERROR(SEARCH("Negative",L1514)))</formula>
    </cfRule>
  </conditionalFormatting>
  <conditionalFormatting sqref="J1514:K1514">
    <cfRule type="containsText" dxfId="301" priority="472" operator="containsText" text="Missing">
      <formula>NOT(ISERROR(SEARCH("Missing",J1514)))</formula>
    </cfRule>
  </conditionalFormatting>
  <conditionalFormatting sqref="J1521:K1521">
    <cfRule type="containsText" dxfId="300" priority="439" operator="containsText" text="Missing">
      <formula>NOT(ISERROR(SEARCH("Missing",J1521)))</formula>
    </cfRule>
  </conditionalFormatting>
  <conditionalFormatting sqref="L1515">
    <cfRule type="containsText" dxfId="299" priority="466" operator="containsText" text="Positive">
      <formula>NOT(ISERROR(SEARCH("Positive",L1515)))</formula>
    </cfRule>
    <cfRule type="containsText" dxfId="298" priority="467" operator="containsText" text="Negative">
      <formula>NOT(ISERROR(SEARCH("Negative",L1515)))</formula>
    </cfRule>
  </conditionalFormatting>
  <conditionalFormatting sqref="L1516">
    <cfRule type="containsText" dxfId="297" priority="462" operator="containsText" text="Positive">
      <formula>NOT(ISERROR(SEARCH("Positive",L1516)))</formula>
    </cfRule>
    <cfRule type="containsText" dxfId="296" priority="463" operator="containsText" text="Negative">
      <formula>NOT(ISERROR(SEARCH("Negative",L1516)))</formula>
    </cfRule>
  </conditionalFormatting>
  <conditionalFormatting sqref="J1516:K1516">
    <cfRule type="containsText" dxfId="295" priority="464" operator="containsText" text="Missing">
      <formula>NOT(ISERROR(SEARCH("Missing",J1516)))</formula>
    </cfRule>
  </conditionalFormatting>
  <conditionalFormatting sqref="J1742:K1742">
    <cfRule type="containsText" dxfId="294" priority="347" operator="containsText" text="Missing">
      <formula>NOT(ISERROR(SEARCH("Missing",J1742)))</formula>
    </cfRule>
  </conditionalFormatting>
  <conditionalFormatting sqref="L1517">
    <cfRule type="containsText" dxfId="293" priority="453" operator="containsText" text="Positive">
      <formula>NOT(ISERROR(SEARCH("Positive",L1517)))</formula>
    </cfRule>
    <cfRule type="containsText" dxfId="292" priority="454" operator="containsText" text="Negative">
      <formula>NOT(ISERROR(SEARCH("Negative",L1517)))</formula>
    </cfRule>
  </conditionalFormatting>
  <conditionalFormatting sqref="H1510">
    <cfRule type="containsText" dxfId="291" priority="427" operator="containsText" text="Missing">
      <formula>NOT(ISERROR(SEARCH("Missing",H1510)))</formula>
    </cfRule>
  </conditionalFormatting>
  <conditionalFormatting sqref="L1518">
    <cfRule type="containsText" dxfId="290" priority="449" operator="containsText" text="Positive">
      <formula>NOT(ISERROR(SEARCH("Positive",L1518)))</formula>
    </cfRule>
    <cfRule type="containsText" dxfId="289" priority="450" operator="containsText" text="Negative">
      <formula>NOT(ISERROR(SEARCH("Negative",L1518)))</formula>
    </cfRule>
  </conditionalFormatting>
  <conditionalFormatting sqref="J1952:K1952">
    <cfRule type="containsText" dxfId="288" priority="249" operator="containsText" text="Missing">
      <formula>NOT(ISERROR(SEARCH("Missing",J1952)))</formula>
    </cfRule>
  </conditionalFormatting>
  <conditionalFormatting sqref="H1514">
    <cfRule type="containsText" dxfId="287" priority="423" operator="containsText" text="Missing">
      <formula>NOT(ISERROR(SEARCH("Missing",H1514)))</formula>
    </cfRule>
  </conditionalFormatting>
  <conditionalFormatting sqref="L1519">
    <cfRule type="containsText" dxfId="286" priority="445" operator="containsText" text="Positive">
      <formula>NOT(ISERROR(SEARCH("Positive",L1519)))</formula>
    </cfRule>
    <cfRule type="containsText" dxfId="285" priority="446" operator="containsText" text="Negative">
      <formula>NOT(ISERROR(SEARCH("Negative",L1519)))</formula>
    </cfRule>
  </conditionalFormatting>
  <conditionalFormatting sqref="H1518">
    <cfRule type="containsText" dxfId="284" priority="419" operator="containsText" text="Missing">
      <formula>NOT(ISERROR(SEARCH("Missing",H1518)))</formula>
    </cfRule>
  </conditionalFormatting>
  <conditionalFormatting sqref="L1520">
    <cfRule type="containsText" dxfId="283" priority="441" operator="containsText" text="Positive">
      <formula>NOT(ISERROR(SEARCH("Positive",L1520)))</formula>
    </cfRule>
    <cfRule type="containsText" dxfId="282" priority="442" operator="containsText" text="Negative">
      <formula>NOT(ISERROR(SEARCH("Negative",L1520)))</formula>
    </cfRule>
  </conditionalFormatting>
  <conditionalFormatting sqref="U1502">
    <cfRule type="containsText" dxfId="281" priority="415" operator="containsText" text="Missing">
      <formula>NOT(ISERROR(SEARCH("Missing",U1502)))</formula>
    </cfRule>
  </conditionalFormatting>
  <conditionalFormatting sqref="L1521">
    <cfRule type="containsText" dxfId="280" priority="437" operator="containsText" text="Positive">
      <formula>NOT(ISERROR(SEARCH("Positive",L1521)))</formula>
    </cfRule>
    <cfRule type="containsText" dxfId="279" priority="438" operator="containsText" text="Negative">
      <formula>NOT(ISERROR(SEARCH("Negative",L1521)))</formula>
    </cfRule>
  </conditionalFormatting>
  <conditionalFormatting sqref="J1745:K1745">
    <cfRule type="containsText" dxfId="278" priority="338" operator="containsText" text="Missing">
      <formula>NOT(ISERROR(SEARCH("Missing",J1745)))</formula>
    </cfRule>
  </conditionalFormatting>
  <conditionalFormatting sqref="U1732">
    <cfRule type="containsText" dxfId="277" priority="310" operator="containsText" text="Missing">
      <formula>NOT(ISERROR(SEARCH("Missing",U1732)))</formula>
    </cfRule>
  </conditionalFormatting>
  <conditionalFormatting sqref="H1507">
    <cfRule type="containsText" dxfId="276" priority="430" operator="containsText" text="Missing">
      <formula>NOT(ISERROR(SEARCH("Missing",H1507)))</formula>
    </cfRule>
  </conditionalFormatting>
  <conditionalFormatting sqref="H1508">
    <cfRule type="containsText" dxfId="275" priority="429" operator="containsText" text="Missing">
      <formula>NOT(ISERROR(SEARCH("Missing",H1508)))</formula>
    </cfRule>
  </conditionalFormatting>
  <conditionalFormatting sqref="H1509">
    <cfRule type="containsText" dxfId="274" priority="428" operator="containsText" text="Missing">
      <formula>NOT(ISERROR(SEARCH("Missing",H1509)))</formula>
    </cfRule>
  </conditionalFormatting>
  <conditionalFormatting sqref="H1511">
    <cfRule type="containsText" dxfId="273" priority="426" operator="containsText" text="Missing">
      <formula>NOT(ISERROR(SEARCH("Missing",H1511)))</formula>
    </cfRule>
  </conditionalFormatting>
  <conditionalFormatting sqref="J1939:K1939">
    <cfRule type="containsText" dxfId="272" priority="294" operator="containsText" text="Missing">
      <formula>NOT(ISERROR(SEARCH("Missing",J1939)))</formula>
    </cfRule>
  </conditionalFormatting>
  <conditionalFormatting sqref="H1512">
    <cfRule type="containsText" dxfId="271" priority="425" operator="containsText" text="Missing">
      <formula>NOT(ISERROR(SEARCH("Missing",H1512)))</formula>
    </cfRule>
  </conditionalFormatting>
  <conditionalFormatting sqref="H1513">
    <cfRule type="containsText" dxfId="270" priority="424" operator="containsText" text="Missing">
      <formula>NOT(ISERROR(SEARCH("Missing",H1513)))</formula>
    </cfRule>
  </conditionalFormatting>
  <conditionalFormatting sqref="I1939:I1958">
    <cfRule type="containsText" dxfId="269" priority="290" operator="containsText" text="Missing">
      <formula>NOT(ISERROR(SEARCH("Missing",I1939)))</formula>
    </cfRule>
  </conditionalFormatting>
  <conditionalFormatting sqref="H1515">
    <cfRule type="containsText" dxfId="268" priority="422" operator="containsText" text="Missing">
      <formula>NOT(ISERROR(SEARCH("Missing",H1515)))</formula>
    </cfRule>
  </conditionalFormatting>
  <conditionalFormatting sqref="H1517">
    <cfRule type="containsText" dxfId="267" priority="420" operator="containsText" text="Missing">
      <formula>NOT(ISERROR(SEARCH("Missing",H1517)))</formula>
    </cfRule>
  </conditionalFormatting>
  <conditionalFormatting sqref="H1519">
    <cfRule type="containsText" dxfId="266" priority="418" operator="containsText" text="Missing">
      <formula>NOT(ISERROR(SEARCH("Missing",H1519)))</formula>
    </cfRule>
  </conditionalFormatting>
  <conditionalFormatting sqref="H1520">
    <cfRule type="containsText" dxfId="265" priority="417" operator="containsText" text="Missing">
      <formula>NOT(ISERROR(SEARCH("Missing",H1520)))</formula>
    </cfRule>
  </conditionalFormatting>
  <conditionalFormatting sqref="U1728:U1731">
    <cfRule type="containsText" dxfId="264" priority="314" operator="containsText" text="Missing">
      <formula>NOT(ISERROR(SEARCH("Missing",U1728)))</formula>
    </cfRule>
  </conditionalFormatting>
  <conditionalFormatting sqref="U1503">
    <cfRule type="containsText" dxfId="263" priority="414" operator="containsText" text="Missing">
      <formula>NOT(ISERROR(SEARCH("Missing",U1503)))</formula>
    </cfRule>
  </conditionalFormatting>
  <conditionalFormatting sqref="U1504">
    <cfRule type="containsText" dxfId="262" priority="413" operator="containsText" text="Missing">
      <formula>NOT(ISERROR(SEARCH("Missing",U1504)))</formula>
    </cfRule>
  </conditionalFormatting>
  <conditionalFormatting sqref="U1505">
    <cfRule type="containsText" dxfId="261" priority="412" operator="containsText" text="Missing">
      <formula>NOT(ISERROR(SEARCH("Missing",U1505)))</formula>
    </cfRule>
  </conditionalFormatting>
  <conditionalFormatting sqref="U1943">
    <cfRule type="containsText" dxfId="260" priority="209" operator="containsText" text="Missing">
      <formula>NOT(ISERROR(SEARCH("Missing",U1943)))</formula>
    </cfRule>
  </conditionalFormatting>
  <conditionalFormatting sqref="U1507">
    <cfRule type="containsText" dxfId="259" priority="410" operator="containsText" text="Missing">
      <formula>NOT(ISERROR(SEARCH("Missing",U1507)))</formula>
    </cfRule>
  </conditionalFormatting>
  <conditionalFormatting sqref="U1508">
    <cfRule type="containsText" dxfId="258" priority="409" operator="containsText" text="Missing">
      <formula>NOT(ISERROR(SEARCH("Missing",U1508)))</formula>
    </cfRule>
  </conditionalFormatting>
  <conditionalFormatting sqref="U1509">
    <cfRule type="containsText" dxfId="257" priority="408" operator="containsText" text="Missing">
      <formula>NOT(ISERROR(SEARCH("Missing",U1509)))</formula>
    </cfRule>
  </conditionalFormatting>
  <conditionalFormatting sqref="U1510">
    <cfRule type="containsText" dxfId="256" priority="407" operator="containsText" text="Missing">
      <formula>NOT(ISERROR(SEARCH("Missing",U1510)))</formula>
    </cfRule>
  </conditionalFormatting>
  <conditionalFormatting sqref="U1513">
    <cfRule type="containsText" dxfId="255" priority="404" operator="containsText" text="Missing">
      <formula>NOT(ISERROR(SEARCH("Missing",U1513)))</formula>
    </cfRule>
  </conditionalFormatting>
  <conditionalFormatting sqref="U1514">
    <cfRule type="containsText" dxfId="254" priority="403" operator="containsText" text="Missing">
      <formula>NOT(ISERROR(SEARCH("Missing",U1514)))</formula>
    </cfRule>
  </conditionalFormatting>
  <conditionalFormatting sqref="U1515">
    <cfRule type="containsText" dxfId="253" priority="402" operator="containsText" text="Missing">
      <formula>NOT(ISERROR(SEARCH("Missing",U1515)))</formula>
    </cfRule>
  </conditionalFormatting>
  <conditionalFormatting sqref="J1944:K1944">
    <cfRule type="containsText" dxfId="252" priority="273" operator="containsText" text="Missing">
      <formula>NOT(ISERROR(SEARCH("Missing",J1944)))</formula>
    </cfRule>
  </conditionalFormatting>
  <conditionalFormatting sqref="U1518">
    <cfRule type="containsText" dxfId="251" priority="399" operator="containsText" text="Missing">
      <formula>NOT(ISERROR(SEARCH("Missing",U1518)))</formula>
    </cfRule>
  </conditionalFormatting>
  <conditionalFormatting sqref="U1519">
    <cfRule type="containsText" dxfId="250" priority="398" operator="containsText" text="Missing">
      <formula>NOT(ISERROR(SEARCH("Missing",U1519)))</formula>
    </cfRule>
  </conditionalFormatting>
  <conditionalFormatting sqref="U1520">
    <cfRule type="containsText" dxfId="249" priority="397" operator="containsText" text="Missing">
      <formula>NOT(ISERROR(SEARCH("Missing",U1520)))</formula>
    </cfRule>
  </conditionalFormatting>
  <conditionalFormatting sqref="U1521">
    <cfRule type="containsText" dxfId="248" priority="396" operator="containsText" text="Missing">
      <formula>NOT(ISERROR(SEARCH("Missing",U1521)))</formula>
    </cfRule>
  </conditionalFormatting>
  <conditionalFormatting sqref="J1734:K1734">
    <cfRule type="containsText" dxfId="247" priority="371" operator="containsText" text="Missing">
      <formula>NOT(ISERROR(SEARCH("Missing",J1734)))</formula>
    </cfRule>
  </conditionalFormatting>
  <conditionalFormatting sqref="J1739:K1739">
    <cfRule type="containsText" dxfId="246" priority="356" operator="containsText" text="Missing">
      <formula>NOT(ISERROR(SEARCH("Missing",J1739)))</formula>
    </cfRule>
  </conditionalFormatting>
  <conditionalFormatting sqref="J1744:K1744">
    <cfRule type="containsText" dxfId="245" priority="341" operator="containsText" text="Missing">
      <formula>NOT(ISERROR(SEARCH("Missing",J1744)))</formula>
    </cfRule>
  </conditionalFormatting>
  <conditionalFormatting sqref="U1949:U1952">
    <cfRule type="containsText" dxfId="244" priority="75" operator="containsText" text="Missing">
      <formula>NOT(ISERROR(SEARCH("Missing",U1949)))</formula>
    </cfRule>
  </conditionalFormatting>
  <conditionalFormatting sqref="I1728:I1747">
    <cfRule type="containsText" dxfId="243" priority="391" operator="containsText" text="Missing">
      <formula>NOT(ISERROR(SEARCH("Missing",I1728)))</formula>
    </cfRule>
  </conditionalFormatting>
  <conditionalFormatting sqref="L1728">
    <cfRule type="containsText" dxfId="242" priority="393" operator="containsText" text="Positive">
      <formula>NOT(ISERROR(SEARCH("Positive",L1728)))</formula>
    </cfRule>
    <cfRule type="containsText" dxfId="241" priority="394" operator="containsText" text="Negative">
      <formula>NOT(ISERROR(SEARCH("Negative",L1728)))</formula>
    </cfRule>
  </conditionalFormatting>
  <conditionalFormatting sqref="H1728:H1732">
    <cfRule type="containsText" dxfId="240" priority="392" operator="containsText" text="Missing">
      <formula>NOT(ISERROR(SEARCH("Missing",H1728)))</formula>
    </cfRule>
  </conditionalFormatting>
  <conditionalFormatting sqref="L1729">
    <cfRule type="containsText" dxfId="239" priority="388" operator="containsText" text="Positive">
      <formula>NOT(ISERROR(SEARCH("Positive",L1729)))</formula>
    </cfRule>
    <cfRule type="containsText" dxfId="238" priority="389" operator="containsText" text="Negative">
      <formula>NOT(ISERROR(SEARCH("Negative",L1729)))</formula>
    </cfRule>
  </conditionalFormatting>
  <conditionalFormatting sqref="J1940:K1940">
    <cfRule type="containsText" dxfId="237" priority="289" operator="containsText" text="Missing">
      <formula>NOT(ISERROR(SEARCH("Missing",J1940)))</formula>
    </cfRule>
  </conditionalFormatting>
  <conditionalFormatting sqref="L1730">
    <cfRule type="containsText" dxfId="236" priority="384" operator="containsText" text="Positive">
      <formula>NOT(ISERROR(SEARCH("Positive",L1730)))</formula>
    </cfRule>
    <cfRule type="containsText" dxfId="235" priority="385" operator="containsText" text="Negative">
      <formula>NOT(ISERROR(SEARCH("Negative",L1730)))</formula>
    </cfRule>
  </conditionalFormatting>
  <conditionalFormatting sqref="J1941:K1941">
    <cfRule type="containsText" dxfId="234" priority="285" operator="containsText" text="Missing">
      <formula>NOT(ISERROR(SEARCH("Missing",J1941)))</formula>
    </cfRule>
  </conditionalFormatting>
  <conditionalFormatting sqref="L1731">
    <cfRule type="containsText" dxfId="233" priority="380" operator="containsText" text="Positive">
      <formula>NOT(ISERROR(SEARCH("Positive",L1731)))</formula>
    </cfRule>
    <cfRule type="containsText" dxfId="232" priority="381" operator="containsText" text="Negative">
      <formula>NOT(ISERROR(SEARCH("Negative",L1731)))</formula>
    </cfRule>
  </conditionalFormatting>
  <conditionalFormatting sqref="J1731:K1731">
    <cfRule type="containsText" dxfId="231" priority="382" operator="containsText" text="Missing">
      <formula>NOT(ISERROR(SEARCH("Missing",J1731)))</formula>
    </cfRule>
  </conditionalFormatting>
  <conditionalFormatting sqref="L1732">
    <cfRule type="containsText" dxfId="230" priority="376" operator="containsText" text="Positive">
      <formula>NOT(ISERROR(SEARCH("Positive",L1732)))</formula>
    </cfRule>
    <cfRule type="containsText" dxfId="229" priority="377" operator="containsText" text="Negative">
      <formula>NOT(ISERROR(SEARCH("Negative",L1732)))</formula>
    </cfRule>
  </conditionalFormatting>
  <conditionalFormatting sqref="J1732:K1732">
    <cfRule type="containsText" dxfId="228" priority="378" operator="containsText" text="Missing">
      <formula>NOT(ISERROR(SEARCH("Missing",J1732)))</formula>
    </cfRule>
  </conditionalFormatting>
  <conditionalFormatting sqref="H1943">
    <cfRule type="containsText" dxfId="227" priority="274" operator="containsText" text="Missing">
      <formula>NOT(ISERROR(SEARCH("Missing",H1943)))</formula>
    </cfRule>
  </conditionalFormatting>
  <conditionalFormatting sqref="J1948:K1948">
    <cfRule type="containsText" dxfId="226" priority="261" operator="containsText" text="Missing">
      <formula>NOT(ISERROR(SEARCH("Missing",J1948)))</formula>
    </cfRule>
  </conditionalFormatting>
  <conditionalFormatting sqref="L1733">
    <cfRule type="containsText" dxfId="225" priority="372" operator="containsText" text="Positive">
      <formula>NOT(ISERROR(SEARCH("Positive",L1733)))</formula>
    </cfRule>
    <cfRule type="containsText" dxfId="224" priority="373" operator="containsText" text="Negative">
      <formula>NOT(ISERROR(SEARCH("Negative",L1733)))</formula>
    </cfRule>
  </conditionalFormatting>
  <conditionalFormatting sqref="J1733:K1733">
    <cfRule type="containsText" dxfId="223" priority="374" operator="containsText" text="Missing">
      <formula>NOT(ISERROR(SEARCH("Missing",J1733)))</formula>
    </cfRule>
  </conditionalFormatting>
  <conditionalFormatting sqref="L1734">
    <cfRule type="containsText" dxfId="222" priority="369" operator="containsText" text="Positive">
      <formula>NOT(ISERROR(SEARCH("Positive",L1734)))</formula>
    </cfRule>
    <cfRule type="containsText" dxfId="221" priority="370" operator="containsText" text="Negative">
      <formula>NOT(ISERROR(SEARCH("Negative",L1734)))</formula>
    </cfRule>
  </conditionalFormatting>
  <conditionalFormatting sqref="L1735">
    <cfRule type="containsText" dxfId="220" priority="366" operator="containsText" text="Positive">
      <formula>NOT(ISERROR(SEARCH("Positive",L1735)))</formula>
    </cfRule>
    <cfRule type="containsText" dxfId="219" priority="367" operator="containsText" text="Negative">
      <formula>NOT(ISERROR(SEARCH("Negative",L1735)))</formula>
    </cfRule>
  </conditionalFormatting>
  <conditionalFormatting sqref="J1946:K1946">
    <cfRule type="containsText" dxfId="218" priority="267" operator="containsText" text="Missing">
      <formula>NOT(ISERROR(SEARCH("Missing",J1946)))</formula>
    </cfRule>
  </conditionalFormatting>
  <conditionalFormatting sqref="L1736">
    <cfRule type="containsText" dxfId="217" priority="363" operator="containsText" text="Positive">
      <formula>NOT(ISERROR(SEARCH("Positive",L1736)))</formula>
    </cfRule>
    <cfRule type="containsText" dxfId="216" priority="364" operator="containsText" text="Negative">
      <formula>NOT(ISERROR(SEARCH("Negative",L1736)))</formula>
    </cfRule>
  </conditionalFormatting>
  <conditionalFormatting sqref="J2226:K2226">
    <cfRule type="containsText" dxfId="215" priority="130" operator="containsText" text="Missing">
      <formula>NOT(ISERROR(SEARCH("Missing",J2226)))</formula>
    </cfRule>
  </conditionalFormatting>
  <conditionalFormatting sqref="J1743:K1743">
    <cfRule type="containsText" dxfId="214" priority="344" operator="containsText" text="Missing">
      <formula>NOT(ISERROR(SEARCH("Missing",J1743)))</formula>
    </cfRule>
  </conditionalFormatting>
  <conditionalFormatting sqref="L1737">
    <cfRule type="containsText" dxfId="213" priority="360" operator="containsText" text="Positive">
      <formula>NOT(ISERROR(SEARCH("Positive",L1737)))</formula>
    </cfRule>
    <cfRule type="containsText" dxfId="212" priority="361" operator="containsText" text="Negative">
      <formula>NOT(ISERROR(SEARCH("Negative",L1737)))</formula>
    </cfRule>
  </conditionalFormatting>
  <conditionalFormatting sqref="L1738">
    <cfRule type="containsText" dxfId="211" priority="357" operator="containsText" text="Positive">
      <formula>NOT(ISERROR(SEARCH("Positive",L1738)))</formula>
    </cfRule>
    <cfRule type="containsText" dxfId="210" priority="358" operator="containsText" text="Negative">
      <formula>NOT(ISERROR(SEARCH("Negative",L1738)))</formula>
    </cfRule>
  </conditionalFormatting>
  <conditionalFormatting sqref="J1738:K1738">
    <cfRule type="containsText" dxfId="209" priority="359" operator="containsText" text="Missing">
      <formula>NOT(ISERROR(SEARCH("Missing",J1738)))</formula>
    </cfRule>
  </conditionalFormatting>
  <conditionalFormatting sqref="J1956:K1956">
    <cfRule type="containsText" dxfId="208" priority="237" operator="containsText" text="Missing">
      <formula>NOT(ISERROR(SEARCH("Missing",J1956)))</formula>
    </cfRule>
  </conditionalFormatting>
  <conditionalFormatting sqref="L1739">
    <cfRule type="containsText" dxfId="207" priority="354" operator="containsText" text="Positive">
      <formula>NOT(ISERROR(SEARCH("Positive",L1739)))</formula>
    </cfRule>
    <cfRule type="containsText" dxfId="206" priority="355" operator="containsText" text="Negative">
      <formula>NOT(ISERROR(SEARCH("Negative",L1739)))</formula>
    </cfRule>
  </conditionalFormatting>
  <conditionalFormatting sqref="J1957:K1957">
    <cfRule type="containsText" dxfId="205" priority="234" operator="containsText" text="Missing">
      <formula>NOT(ISERROR(SEARCH("Missing",J1957)))</formula>
    </cfRule>
  </conditionalFormatting>
  <conditionalFormatting sqref="L1740">
    <cfRule type="containsText" dxfId="204" priority="351" operator="containsText" text="Positive">
      <formula>NOT(ISERROR(SEARCH("Positive",L1740)))</formula>
    </cfRule>
    <cfRule type="containsText" dxfId="203" priority="352" operator="containsText" text="Negative">
      <formula>NOT(ISERROR(SEARCH("Negative",L1740)))</formula>
    </cfRule>
  </conditionalFormatting>
  <conditionalFormatting sqref="J1740:K1740">
    <cfRule type="containsText" dxfId="202" priority="353" operator="containsText" text="Missing">
      <formula>NOT(ISERROR(SEARCH("Missing",J1740)))</formula>
    </cfRule>
  </conditionalFormatting>
  <conditionalFormatting sqref="J1747:K1747">
    <cfRule type="containsText" dxfId="201" priority="332" operator="containsText" text="Missing">
      <formula>NOT(ISERROR(SEARCH("Missing",J1747)))</formula>
    </cfRule>
  </conditionalFormatting>
  <conditionalFormatting sqref="L1741">
    <cfRule type="containsText" dxfId="200" priority="348" operator="containsText" text="Positive">
      <formula>NOT(ISERROR(SEARCH("Positive",L1741)))</formula>
    </cfRule>
    <cfRule type="containsText" dxfId="199" priority="349" operator="containsText" text="Negative">
      <formula>NOT(ISERROR(SEARCH("Negative",L1741)))</formula>
    </cfRule>
  </conditionalFormatting>
  <conditionalFormatting sqref="L1742">
    <cfRule type="containsText" dxfId="198" priority="345" operator="containsText" text="Positive">
      <formula>NOT(ISERROR(SEARCH("Positive",L1742)))</formula>
    </cfRule>
    <cfRule type="containsText" dxfId="197" priority="346" operator="containsText" text="Negative">
      <formula>NOT(ISERROR(SEARCH("Negative",L1742)))</formula>
    </cfRule>
  </conditionalFormatting>
  <conditionalFormatting sqref="J1953:K1953">
    <cfRule type="containsText" dxfId="196" priority="246" operator="containsText" text="Missing">
      <formula>NOT(ISERROR(SEARCH("Missing",J1953)))</formula>
    </cfRule>
  </conditionalFormatting>
  <conditionalFormatting sqref="L1743">
    <cfRule type="containsText" dxfId="195" priority="342" operator="containsText" text="Positive">
      <formula>NOT(ISERROR(SEARCH("Positive",L1743)))</formula>
    </cfRule>
    <cfRule type="containsText" dxfId="194" priority="343" operator="containsText" text="Negative">
      <formula>NOT(ISERROR(SEARCH("Negative",L1743)))</formula>
    </cfRule>
  </conditionalFormatting>
  <conditionalFormatting sqref="H1738:H1742">
    <cfRule type="containsText" dxfId="193" priority="91" operator="containsText" text="Missing">
      <formula>NOT(ISERROR(SEARCH("Missing",H1738)))</formula>
    </cfRule>
  </conditionalFormatting>
  <conditionalFormatting sqref="L1744">
    <cfRule type="containsText" dxfId="192" priority="339" operator="containsText" text="Positive">
      <formula>NOT(ISERROR(SEARCH("Positive",L1744)))</formula>
    </cfRule>
    <cfRule type="containsText" dxfId="191" priority="340" operator="containsText" text="Negative">
      <formula>NOT(ISERROR(SEARCH("Negative",L1744)))</formula>
    </cfRule>
  </conditionalFormatting>
  <conditionalFormatting sqref="L1745">
    <cfRule type="containsText" dxfId="190" priority="336" operator="containsText" text="Positive">
      <formula>NOT(ISERROR(SEARCH("Positive",L1745)))</formula>
    </cfRule>
    <cfRule type="containsText" dxfId="189" priority="337" operator="containsText" text="Negative">
      <formula>NOT(ISERROR(SEARCH("Negative",L1745)))</formula>
    </cfRule>
  </conditionalFormatting>
  <conditionalFormatting sqref="L1746">
    <cfRule type="containsText" dxfId="188" priority="333" operator="containsText" text="Positive">
      <formula>NOT(ISERROR(SEARCH("Positive",L1746)))</formula>
    </cfRule>
    <cfRule type="containsText" dxfId="187" priority="334" operator="containsText" text="Negative">
      <formula>NOT(ISERROR(SEARCH("Negative",L1746)))</formula>
    </cfRule>
  </conditionalFormatting>
  <conditionalFormatting sqref="U1939:U1942">
    <cfRule type="containsText" dxfId="186" priority="213" operator="containsText" text="Missing">
      <formula>NOT(ISERROR(SEARCH("Missing",U1939)))</formula>
    </cfRule>
  </conditionalFormatting>
  <conditionalFormatting sqref="L1747">
    <cfRule type="containsText" dxfId="185" priority="330" operator="containsText" text="Positive">
      <formula>NOT(ISERROR(SEARCH("Positive",L1747)))</formula>
    </cfRule>
    <cfRule type="containsText" dxfId="184" priority="331" operator="containsText" text="Negative">
      <formula>NOT(ISERROR(SEARCH("Negative",L1747)))</formula>
    </cfRule>
  </conditionalFormatting>
  <conditionalFormatting sqref="H1939:H1942">
    <cfRule type="containsText" dxfId="183" priority="291" operator="containsText" text="Missing">
      <formula>NOT(ISERROR(SEARCH("Missing",H1939)))</formula>
    </cfRule>
  </conditionalFormatting>
  <conditionalFormatting sqref="J1942:K1942">
    <cfRule type="containsText" dxfId="182" priority="281" operator="containsText" text="Missing">
      <formula>NOT(ISERROR(SEARCH("Missing",J1942)))</formula>
    </cfRule>
  </conditionalFormatting>
  <conditionalFormatting sqref="J1943:K1943">
    <cfRule type="containsText" dxfId="181" priority="277" operator="containsText" text="Missing">
      <formula>NOT(ISERROR(SEARCH("Missing",J1943)))</formula>
    </cfRule>
  </conditionalFormatting>
  <conditionalFormatting sqref="J1945:K1945">
    <cfRule type="containsText" dxfId="180" priority="270" operator="containsText" text="Missing">
      <formula>NOT(ISERROR(SEARCH("Missing",J1945)))</formula>
    </cfRule>
  </conditionalFormatting>
  <conditionalFormatting sqref="J2216:K2216">
    <cfRule type="containsText" dxfId="179" priority="160" operator="containsText" text="Missing">
      <formula>NOT(ISERROR(SEARCH("Missing",J2216)))</formula>
    </cfRule>
  </conditionalFormatting>
  <conditionalFormatting sqref="J2219:K2219">
    <cfRule type="containsText" dxfId="178" priority="151" operator="containsText" text="Missing">
      <formula>NOT(ISERROR(SEARCH("Missing",J2219)))</formula>
    </cfRule>
  </conditionalFormatting>
  <conditionalFormatting sqref="J2225:K2225">
    <cfRule type="containsText" dxfId="177" priority="133" operator="containsText" text="Missing">
      <formula>NOT(ISERROR(SEARCH("Missing",J2225)))</formula>
    </cfRule>
  </conditionalFormatting>
  <conditionalFormatting sqref="U2207:U2210">
    <cfRule type="containsText" dxfId="176" priority="112" operator="containsText" text="Missing">
      <formula>NOT(ISERROR(SEARCH("Missing",U2207)))</formula>
    </cfRule>
  </conditionalFormatting>
  <conditionalFormatting sqref="H1733:H1737">
    <cfRule type="containsText" dxfId="175" priority="92" operator="containsText" text="Missing">
      <formula>NOT(ISERROR(SEARCH("Missing",H1733)))</formula>
    </cfRule>
  </conditionalFormatting>
  <conditionalFormatting sqref="H1743:H1747">
    <cfRule type="containsText" dxfId="174" priority="90" operator="containsText" text="Missing">
      <formula>NOT(ISERROR(SEARCH("Missing",H1743)))</formula>
    </cfRule>
  </conditionalFormatting>
  <conditionalFormatting sqref="U1738:U1741">
    <cfRule type="containsText" dxfId="173" priority="87" operator="containsText" text="Missing">
      <formula>NOT(ISERROR(SEARCH("Missing",U1738)))</formula>
    </cfRule>
  </conditionalFormatting>
  <conditionalFormatting sqref="U1743:U1746">
    <cfRule type="containsText" dxfId="172" priority="85" operator="containsText" text="Missing">
      <formula>NOT(ISERROR(SEARCH("Missing",U1743)))</formula>
    </cfRule>
  </conditionalFormatting>
  <conditionalFormatting sqref="H1944:H1947">
    <cfRule type="containsText" dxfId="171" priority="83" operator="containsText" text="Missing">
      <formula>NOT(ISERROR(SEARCH("Missing",H1944)))</formula>
    </cfRule>
  </conditionalFormatting>
  <conditionalFormatting sqref="H1953">
    <cfRule type="containsText" dxfId="170" priority="80" operator="containsText" text="Missing">
      <formula>NOT(ISERROR(SEARCH("Missing",H1953)))</formula>
    </cfRule>
  </conditionalFormatting>
  <conditionalFormatting sqref="H1954:H1957">
    <cfRule type="containsText" dxfId="169" priority="79" operator="containsText" text="Missing">
      <formula>NOT(ISERROR(SEARCH("Missing",H1954)))</formula>
    </cfRule>
  </conditionalFormatting>
  <conditionalFormatting sqref="H2216">
    <cfRule type="containsText" dxfId="168" priority="70" operator="containsText" text="Missing">
      <formula>NOT(ISERROR(SEARCH("Missing",H2216)))</formula>
    </cfRule>
  </conditionalFormatting>
  <conditionalFormatting sqref="U2212:U2215">
    <cfRule type="containsText" dxfId="167" priority="65" operator="containsText" text="Missing">
      <formula>NOT(ISERROR(SEARCH("Missing",U2212)))</formula>
    </cfRule>
  </conditionalFormatting>
  <conditionalFormatting sqref="J1950:K1950">
    <cfRule type="containsText" dxfId="166" priority="255" operator="containsText" text="Missing">
      <formula>NOT(ISERROR(SEARCH("Missing",J1950)))</formula>
    </cfRule>
  </conditionalFormatting>
  <conditionalFormatting sqref="J1955:K1955">
    <cfRule type="containsText" dxfId="165" priority="240" operator="containsText" text="Missing">
      <formula>NOT(ISERROR(SEARCH("Missing",J1955)))</formula>
    </cfRule>
  </conditionalFormatting>
  <conditionalFormatting sqref="L1939">
    <cfRule type="containsText" dxfId="164" priority="292" operator="containsText" text="Positive">
      <formula>NOT(ISERROR(SEARCH("Positive",L1939)))</formula>
    </cfRule>
    <cfRule type="containsText" dxfId="163" priority="293" operator="containsText" text="Negative">
      <formula>NOT(ISERROR(SEARCH("Negative",L1939)))</formula>
    </cfRule>
  </conditionalFormatting>
  <conditionalFormatting sqref="L1940">
    <cfRule type="containsText" dxfId="162" priority="287" operator="containsText" text="Positive">
      <formula>NOT(ISERROR(SEARCH("Positive",L1940)))</formula>
    </cfRule>
    <cfRule type="containsText" dxfId="161" priority="288" operator="containsText" text="Negative">
      <formula>NOT(ISERROR(SEARCH("Negative",L1940)))</formula>
    </cfRule>
  </conditionalFormatting>
  <conditionalFormatting sqref="L1941">
    <cfRule type="containsText" dxfId="160" priority="283" operator="containsText" text="Positive">
      <formula>NOT(ISERROR(SEARCH("Positive",L1941)))</formula>
    </cfRule>
    <cfRule type="containsText" dxfId="159" priority="284" operator="containsText" text="Negative">
      <formula>NOT(ISERROR(SEARCH("Negative",L1941)))</formula>
    </cfRule>
  </conditionalFormatting>
  <conditionalFormatting sqref="J1949:K1949">
    <cfRule type="containsText" dxfId="158" priority="258" operator="containsText" text="Missing">
      <formula>NOT(ISERROR(SEARCH("Missing",J1949)))</formula>
    </cfRule>
  </conditionalFormatting>
  <conditionalFormatting sqref="L1942">
    <cfRule type="containsText" dxfId="157" priority="279" operator="containsText" text="Positive">
      <formula>NOT(ISERROR(SEARCH("Positive",L1942)))</formula>
    </cfRule>
    <cfRule type="containsText" dxfId="156" priority="280" operator="containsText" text="Negative">
      <formula>NOT(ISERROR(SEARCH("Negative",L1942)))</formula>
    </cfRule>
  </conditionalFormatting>
  <conditionalFormatting sqref="L1943">
    <cfRule type="containsText" dxfId="155" priority="275" operator="containsText" text="Positive">
      <formula>NOT(ISERROR(SEARCH("Positive",L1943)))</formula>
    </cfRule>
    <cfRule type="containsText" dxfId="154" priority="276" operator="containsText" text="Negative">
      <formula>NOT(ISERROR(SEARCH("Negative",L1943)))</formula>
    </cfRule>
  </conditionalFormatting>
  <conditionalFormatting sqref="L1944">
    <cfRule type="containsText" dxfId="153" priority="271" operator="containsText" text="Positive">
      <formula>NOT(ISERROR(SEARCH("Positive",L1944)))</formula>
    </cfRule>
    <cfRule type="containsText" dxfId="152" priority="272" operator="containsText" text="Negative">
      <formula>NOT(ISERROR(SEARCH("Negative",L1944)))</formula>
    </cfRule>
  </conditionalFormatting>
  <conditionalFormatting sqref="L1945">
    <cfRule type="containsText" dxfId="151" priority="268" operator="containsText" text="Positive">
      <formula>NOT(ISERROR(SEARCH("Positive",L1945)))</formula>
    </cfRule>
    <cfRule type="containsText" dxfId="150" priority="269" operator="containsText" text="Negative">
      <formula>NOT(ISERROR(SEARCH("Negative",L1945)))</formula>
    </cfRule>
  </conditionalFormatting>
  <conditionalFormatting sqref="L1946">
    <cfRule type="containsText" dxfId="149" priority="265" operator="containsText" text="Positive">
      <formula>NOT(ISERROR(SEARCH("Positive",L1946)))</formula>
    </cfRule>
    <cfRule type="containsText" dxfId="148" priority="266" operator="containsText" text="Negative">
      <formula>NOT(ISERROR(SEARCH("Negative",L1946)))</formula>
    </cfRule>
  </conditionalFormatting>
  <conditionalFormatting sqref="L1947">
    <cfRule type="containsText" dxfId="147" priority="262" operator="containsText" text="Positive">
      <formula>NOT(ISERROR(SEARCH("Positive",L1947)))</formula>
    </cfRule>
    <cfRule type="containsText" dxfId="146" priority="263" operator="containsText" text="Negative">
      <formula>NOT(ISERROR(SEARCH("Negative",L1947)))</formula>
    </cfRule>
  </conditionalFormatting>
  <conditionalFormatting sqref="J1954:K1954">
    <cfRule type="containsText" dxfId="145" priority="243" operator="containsText" text="Missing">
      <formula>NOT(ISERROR(SEARCH("Missing",J1954)))</formula>
    </cfRule>
  </conditionalFormatting>
  <conditionalFormatting sqref="L1948">
    <cfRule type="containsText" dxfId="144" priority="259" operator="containsText" text="Positive">
      <formula>NOT(ISERROR(SEARCH("Positive",L1948)))</formula>
    </cfRule>
    <cfRule type="containsText" dxfId="143" priority="260" operator="containsText" text="Negative">
      <formula>NOT(ISERROR(SEARCH("Negative",L1948)))</formula>
    </cfRule>
  </conditionalFormatting>
  <conditionalFormatting sqref="L1949">
    <cfRule type="containsText" dxfId="142" priority="256" operator="containsText" text="Positive">
      <formula>NOT(ISERROR(SEARCH("Positive",L1949)))</formula>
    </cfRule>
    <cfRule type="containsText" dxfId="141" priority="257" operator="containsText" text="Negative">
      <formula>NOT(ISERROR(SEARCH("Negative",L1949)))</formula>
    </cfRule>
  </conditionalFormatting>
  <conditionalFormatting sqref="L1950">
    <cfRule type="containsText" dxfId="140" priority="253" operator="containsText" text="Positive">
      <formula>NOT(ISERROR(SEARCH("Positive",L1950)))</formula>
    </cfRule>
    <cfRule type="containsText" dxfId="139" priority="254" operator="containsText" text="Negative">
      <formula>NOT(ISERROR(SEARCH("Negative",L1950)))</formula>
    </cfRule>
  </conditionalFormatting>
  <conditionalFormatting sqref="L1951">
    <cfRule type="containsText" dxfId="138" priority="250" operator="containsText" text="Positive">
      <formula>NOT(ISERROR(SEARCH("Positive",L1951)))</formula>
    </cfRule>
    <cfRule type="containsText" dxfId="137" priority="251" operator="containsText" text="Negative">
      <formula>NOT(ISERROR(SEARCH("Negative",L1951)))</formula>
    </cfRule>
  </conditionalFormatting>
  <conditionalFormatting sqref="J1951:K1951">
    <cfRule type="containsText" dxfId="136" priority="252" operator="containsText" text="Missing">
      <formula>NOT(ISERROR(SEARCH("Missing",J1951)))</formula>
    </cfRule>
  </conditionalFormatting>
  <conditionalFormatting sqref="J1958:K1958">
    <cfRule type="containsText" dxfId="135" priority="231" operator="containsText" text="Missing">
      <formula>NOT(ISERROR(SEARCH("Missing",J1958)))</formula>
    </cfRule>
  </conditionalFormatting>
  <conditionalFormatting sqref="L1952">
    <cfRule type="containsText" dxfId="134" priority="247" operator="containsText" text="Positive">
      <formula>NOT(ISERROR(SEARCH("Positive",L1952)))</formula>
    </cfRule>
    <cfRule type="containsText" dxfId="133" priority="248" operator="containsText" text="Negative">
      <formula>NOT(ISERROR(SEARCH("Negative",L1952)))</formula>
    </cfRule>
  </conditionalFormatting>
  <conditionalFormatting sqref="L1953">
    <cfRule type="containsText" dxfId="132" priority="244" operator="containsText" text="Positive">
      <formula>NOT(ISERROR(SEARCH("Positive",L1953)))</formula>
    </cfRule>
    <cfRule type="containsText" dxfId="131" priority="245" operator="containsText" text="Negative">
      <formula>NOT(ISERROR(SEARCH("Negative",L1953)))</formula>
    </cfRule>
  </conditionalFormatting>
  <conditionalFormatting sqref="L1954">
    <cfRule type="containsText" dxfId="130" priority="241" operator="containsText" text="Positive">
      <formula>NOT(ISERROR(SEARCH("Positive",L1954)))</formula>
    </cfRule>
    <cfRule type="containsText" dxfId="129" priority="242" operator="containsText" text="Negative">
      <formula>NOT(ISERROR(SEARCH("Negative",L1954)))</formula>
    </cfRule>
  </conditionalFormatting>
  <conditionalFormatting sqref="L1955">
    <cfRule type="containsText" dxfId="128" priority="238" operator="containsText" text="Positive">
      <formula>NOT(ISERROR(SEARCH("Positive",L1955)))</formula>
    </cfRule>
    <cfRule type="containsText" dxfId="127" priority="239" operator="containsText" text="Negative">
      <formula>NOT(ISERROR(SEARCH("Negative",L1955)))</formula>
    </cfRule>
  </conditionalFormatting>
  <conditionalFormatting sqref="L1956">
    <cfRule type="containsText" dxfId="126" priority="235" operator="containsText" text="Positive">
      <formula>NOT(ISERROR(SEARCH("Positive",L1956)))</formula>
    </cfRule>
    <cfRule type="containsText" dxfId="125" priority="236" operator="containsText" text="Negative">
      <formula>NOT(ISERROR(SEARCH("Negative",L1956)))</formula>
    </cfRule>
  </conditionalFormatting>
  <conditionalFormatting sqref="L1957">
    <cfRule type="containsText" dxfId="124" priority="232" operator="containsText" text="Positive">
      <formula>NOT(ISERROR(SEARCH("Positive",L1957)))</formula>
    </cfRule>
    <cfRule type="containsText" dxfId="123" priority="233" operator="containsText" text="Negative">
      <formula>NOT(ISERROR(SEARCH("Negative",L1957)))</formula>
    </cfRule>
  </conditionalFormatting>
  <conditionalFormatting sqref="L1958">
    <cfRule type="containsText" dxfId="122" priority="229" operator="containsText" text="Positive">
      <formula>NOT(ISERROR(SEARCH("Positive",L1958)))</formula>
    </cfRule>
    <cfRule type="containsText" dxfId="121" priority="230" operator="containsText" text="Negative">
      <formula>NOT(ISERROR(SEARCH("Negative",L1958)))</formula>
    </cfRule>
  </conditionalFormatting>
  <conditionalFormatting sqref="J2207:K2207">
    <cfRule type="containsText" dxfId="120" priority="193" operator="containsText" text="Missing">
      <formula>NOT(ISERROR(SEARCH("Missing",J2207)))</formula>
    </cfRule>
  </conditionalFormatting>
  <conditionalFormatting sqref="H2207:H2210">
    <cfRule type="containsText" dxfId="119" priority="190" operator="containsText" text="Missing">
      <formula>NOT(ISERROR(SEARCH("Missing",H2207)))</formula>
    </cfRule>
  </conditionalFormatting>
  <conditionalFormatting sqref="I2207:I2226">
    <cfRule type="containsText" dxfId="118" priority="189" operator="containsText" text="Missing">
      <formula>NOT(ISERROR(SEARCH("Missing",I2207)))</formula>
    </cfRule>
  </conditionalFormatting>
  <conditionalFormatting sqref="J2208:K2208">
    <cfRule type="containsText" dxfId="117" priority="188" operator="containsText" text="Missing">
      <formula>NOT(ISERROR(SEARCH("Missing",J2208)))</formula>
    </cfRule>
  </conditionalFormatting>
  <conditionalFormatting sqref="J2209:K2209">
    <cfRule type="containsText" dxfId="116" priority="184" operator="containsText" text="Missing">
      <formula>NOT(ISERROR(SEARCH("Missing",J2209)))</formula>
    </cfRule>
  </conditionalFormatting>
  <conditionalFormatting sqref="J2210:K2210">
    <cfRule type="containsText" dxfId="115" priority="180" operator="containsText" text="Missing">
      <formula>NOT(ISERROR(SEARCH("Missing",J2210)))</formula>
    </cfRule>
  </conditionalFormatting>
  <conditionalFormatting sqref="J2215:K2215">
    <cfRule type="containsText" dxfId="114" priority="163" operator="containsText" text="Missing">
      <formula>NOT(ISERROR(SEARCH("Missing",J2215)))</formula>
    </cfRule>
  </conditionalFormatting>
  <conditionalFormatting sqref="J2220:K2220">
    <cfRule type="containsText" dxfId="113" priority="148" operator="containsText" text="Missing">
      <formula>NOT(ISERROR(SEARCH("Missing",J2220)))</formula>
    </cfRule>
  </conditionalFormatting>
  <conditionalFormatting sqref="U2211">
    <cfRule type="containsText" dxfId="112" priority="108" operator="containsText" text="Missing">
      <formula>NOT(ISERROR(SEARCH("Missing",U2211)))</formula>
    </cfRule>
  </conditionalFormatting>
  <conditionalFormatting sqref="H2211">
    <cfRule type="containsText" dxfId="111" priority="173" operator="containsText" text="Missing">
      <formula>NOT(ISERROR(SEARCH("Missing",H2211)))</formula>
    </cfRule>
  </conditionalFormatting>
  <conditionalFormatting sqref="J2214:K2214">
    <cfRule type="containsText" dxfId="110" priority="166" operator="containsText" text="Missing">
      <formula>NOT(ISERROR(SEARCH("Missing",J2214)))</formula>
    </cfRule>
  </conditionalFormatting>
  <conditionalFormatting sqref="J2224:K2224">
    <cfRule type="containsText" dxfId="109" priority="136" operator="containsText" text="Missing">
      <formula>NOT(ISERROR(SEARCH("Missing",J2224)))</formula>
    </cfRule>
  </conditionalFormatting>
  <conditionalFormatting sqref="J2213:K2213">
    <cfRule type="containsText" dxfId="108" priority="169" operator="containsText" text="Missing">
      <formula>NOT(ISERROR(SEARCH("Missing",J2213)))</formula>
    </cfRule>
  </conditionalFormatting>
  <conditionalFormatting sqref="J2223:K2223">
    <cfRule type="containsText" dxfId="107" priority="139" operator="containsText" text="Missing">
      <formula>NOT(ISERROR(SEARCH("Missing",J2223)))</formula>
    </cfRule>
  </conditionalFormatting>
  <conditionalFormatting sqref="L2207">
    <cfRule type="containsText" dxfId="106" priority="191" operator="containsText" text="Positive">
      <formula>NOT(ISERROR(SEARCH("Positive",L2207)))</formula>
    </cfRule>
    <cfRule type="containsText" dxfId="105" priority="192" operator="containsText" text="Negative">
      <formula>NOT(ISERROR(SEARCH("Negative",L2207)))</formula>
    </cfRule>
  </conditionalFormatting>
  <conditionalFormatting sqref="L2208">
    <cfRule type="containsText" dxfId="104" priority="186" operator="containsText" text="Positive">
      <formula>NOT(ISERROR(SEARCH("Positive",L2208)))</formula>
    </cfRule>
    <cfRule type="containsText" dxfId="103" priority="187" operator="containsText" text="Negative">
      <formula>NOT(ISERROR(SEARCH("Negative",L2208)))</formula>
    </cfRule>
  </conditionalFormatting>
  <conditionalFormatting sqref="L2209">
    <cfRule type="containsText" dxfId="102" priority="182" operator="containsText" text="Positive">
      <formula>NOT(ISERROR(SEARCH("Positive",L2209)))</formula>
    </cfRule>
    <cfRule type="containsText" dxfId="101" priority="183" operator="containsText" text="Negative">
      <formula>NOT(ISERROR(SEARCH("Negative",L2209)))</formula>
    </cfRule>
  </conditionalFormatting>
  <conditionalFormatting sqref="L2210">
    <cfRule type="containsText" dxfId="100" priority="178" operator="containsText" text="Positive">
      <formula>NOT(ISERROR(SEARCH("Positive",L2210)))</formula>
    </cfRule>
    <cfRule type="containsText" dxfId="99" priority="179" operator="containsText" text="Negative">
      <formula>NOT(ISERROR(SEARCH("Negative",L2210)))</formula>
    </cfRule>
  </conditionalFormatting>
  <conditionalFormatting sqref="L2211">
    <cfRule type="containsText" dxfId="98" priority="174" operator="containsText" text="Positive">
      <formula>NOT(ISERROR(SEARCH("Positive",L2211)))</formula>
    </cfRule>
    <cfRule type="containsText" dxfId="97" priority="175" operator="containsText" text="Negative">
      <formula>NOT(ISERROR(SEARCH("Negative",L2211)))</formula>
    </cfRule>
  </conditionalFormatting>
  <conditionalFormatting sqref="J2211:K2211">
    <cfRule type="containsText" dxfId="96" priority="176" operator="containsText" text="Missing">
      <formula>NOT(ISERROR(SEARCH("Missing",J2211)))</formula>
    </cfRule>
  </conditionalFormatting>
  <conditionalFormatting sqref="L2212">
    <cfRule type="containsText" dxfId="95" priority="170" operator="containsText" text="Positive">
      <formula>NOT(ISERROR(SEARCH("Positive",L2212)))</formula>
    </cfRule>
    <cfRule type="containsText" dxfId="94" priority="171" operator="containsText" text="Negative">
      <formula>NOT(ISERROR(SEARCH("Negative",L2212)))</formula>
    </cfRule>
  </conditionalFormatting>
  <conditionalFormatting sqref="J2212:K2212">
    <cfRule type="containsText" dxfId="93" priority="172" operator="containsText" text="Missing">
      <formula>NOT(ISERROR(SEARCH("Missing",J2212)))</formula>
    </cfRule>
  </conditionalFormatting>
  <conditionalFormatting sqref="L2213">
    <cfRule type="containsText" dxfId="92" priority="167" operator="containsText" text="Positive">
      <formula>NOT(ISERROR(SEARCH("Positive",L2213)))</formula>
    </cfRule>
    <cfRule type="containsText" dxfId="91" priority="168" operator="containsText" text="Negative">
      <formula>NOT(ISERROR(SEARCH("Negative",L2213)))</formula>
    </cfRule>
  </conditionalFormatting>
  <conditionalFormatting sqref="L2214">
    <cfRule type="containsText" dxfId="90" priority="164" operator="containsText" text="Positive">
      <formula>NOT(ISERROR(SEARCH("Positive",L2214)))</formula>
    </cfRule>
    <cfRule type="containsText" dxfId="89" priority="165" operator="containsText" text="Negative">
      <formula>NOT(ISERROR(SEARCH("Negative",L2214)))</formula>
    </cfRule>
  </conditionalFormatting>
  <conditionalFormatting sqref="L2215">
    <cfRule type="containsText" dxfId="88" priority="161" operator="containsText" text="Positive">
      <formula>NOT(ISERROR(SEARCH("Positive",L2215)))</formula>
    </cfRule>
    <cfRule type="containsText" dxfId="87" priority="162" operator="containsText" text="Negative">
      <formula>NOT(ISERROR(SEARCH("Negative",L2215)))</formula>
    </cfRule>
  </conditionalFormatting>
  <conditionalFormatting sqref="J2222:K2222">
    <cfRule type="containsText" dxfId="86" priority="142" operator="containsText" text="Missing">
      <formula>NOT(ISERROR(SEARCH("Missing",J2222)))</formula>
    </cfRule>
  </conditionalFormatting>
  <conditionalFormatting sqref="L2216">
    <cfRule type="containsText" dxfId="85" priority="158" operator="containsText" text="Positive">
      <formula>NOT(ISERROR(SEARCH("Positive",L2216)))</formula>
    </cfRule>
    <cfRule type="containsText" dxfId="84" priority="159" operator="containsText" text="Negative">
      <formula>NOT(ISERROR(SEARCH("Negative",L2216)))</formula>
    </cfRule>
  </conditionalFormatting>
  <conditionalFormatting sqref="L2217">
    <cfRule type="containsText" dxfId="83" priority="155" operator="containsText" text="Positive">
      <formula>NOT(ISERROR(SEARCH("Positive",L2217)))</formula>
    </cfRule>
    <cfRule type="containsText" dxfId="82" priority="156" operator="containsText" text="Negative">
      <formula>NOT(ISERROR(SEARCH("Negative",L2217)))</formula>
    </cfRule>
  </conditionalFormatting>
  <conditionalFormatting sqref="J2217:K2217">
    <cfRule type="containsText" dxfId="81" priority="157" operator="containsText" text="Missing">
      <formula>NOT(ISERROR(SEARCH("Missing",J2217)))</formula>
    </cfRule>
  </conditionalFormatting>
  <conditionalFormatting sqref="L2218">
    <cfRule type="containsText" dxfId="80" priority="152" operator="containsText" text="Positive">
      <formula>NOT(ISERROR(SEARCH("Positive",L2218)))</formula>
    </cfRule>
    <cfRule type="containsText" dxfId="79" priority="153" operator="containsText" text="Negative">
      <formula>NOT(ISERROR(SEARCH("Negative",L2218)))</formula>
    </cfRule>
  </conditionalFormatting>
  <conditionalFormatting sqref="L2219">
    <cfRule type="containsText" dxfId="78" priority="149" operator="containsText" text="Positive">
      <formula>NOT(ISERROR(SEARCH("Positive",L2219)))</formula>
    </cfRule>
    <cfRule type="containsText" dxfId="77" priority="150" operator="containsText" text="Negative">
      <formula>NOT(ISERROR(SEARCH("Negative",L2219)))</formula>
    </cfRule>
  </conditionalFormatting>
  <conditionalFormatting sqref="L2220">
    <cfRule type="containsText" dxfId="76" priority="146" operator="containsText" text="Positive">
      <formula>NOT(ISERROR(SEARCH("Positive",L2220)))</formula>
    </cfRule>
    <cfRule type="containsText" dxfId="75" priority="147" operator="containsText" text="Negative">
      <formula>NOT(ISERROR(SEARCH("Negative",L2220)))</formula>
    </cfRule>
  </conditionalFormatting>
  <conditionalFormatting sqref="L2221">
    <cfRule type="containsText" dxfId="74" priority="143" operator="containsText" text="Positive">
      <formula>NOT(ISERROR(SEARCH("Positive",L2221)))</formula>
    </cfRule>
    <cfRule type="containsText" dxfId="73" priority="144" operator="containsText" text="Negative">
      <formula>NOT(ISERROR(SEARCH("Negative",L2221)))</formula>
    </cfRule>
  </conditionalFormatting>
  <conditionalFormatting sqref="L2222">
    <cfRule type="containsText" dxfId="72" priority="140" operator="containsText" text="Positive">
      <formula>NOT(ISERROR(SEARCH("Positive",L2222)))</formula>
    </cfRule>
    <cfRule type="containsText" dxfId="71" priority="141" operator="containsText" text="Negative">
      <formula>NOT(ISERROR(SEARCH("Negative",L2222)))</formula>
    </cfRule>
  </conditionalFormatting>
  <conditionalFormatting sqref="L2223">
    <cfRule type="containsText" dxfId="70" priority="137" operator="containsText" text="Positive">
      <formula>NOT(ISERROR(SEARCH("Positive",L2223)))</formula>
    </cfRule>
    <cfRule type="containsText" dxfId="69" priority="138" operator="containsText" text="Negative">
      <formula>NOT(ISERROR(SEARCH("Negative",L2223)))</formula>
    </cfRule>
  </conditionalFormatting>
  <conditionalFormatting sqref="L2224">
    <cfRule type="containsText" dxfId="68" priority="134" operator="containsText" text="Positive">
      <formula>NOT(ISERROR(SEARCH("Positive",L2224)))</formula>
    </cfRule>
    <cfRule type="containsText" dxfId="67" priority="135" operator="containsText" text="Negative">
      <formula>NOT(ISERROR(SEARCH("Negative",L2224)))</formula>
    </cfRule>
  </conditionalFormatting>
  <conditionalFormatting sqref="L2225">
    <cfRule type="containsText" dxfId="66" priority="131" operator="containsText" text="Positive">
      <formula>NOT(ISERROR(SEARCH("Positive",L2225)))</formula>
    </cfRule>
    <cfRule type="containsText" dxfId="65" priority="132" operator="containsText" text="Negative">
      <formula>NOT(ISERROR(SEARCH("Negative",L2225)))</formula>
    </cfRule>
  </conditionalFormatting>
  <conditionalFormatting sqref="L2226">
    <cfRule type="containsText" dxfId="64" priority="128" operator="containsText" text="Positive">
      <formula>NOT(ISERROR(SEARCH("Positive",L2226)))</formula>
    </cfRule>
    <cfRule type="containsText" dxfId="63" priority="129" operator="containsText" text="Negative">
      <formula>NOT(ISERROR(SEARCH("Negative",L2226)))</formula>
    </cfRule>
  </conditionalFormatting>
  <conditionalFormatting sqref="U1737">
    <cfRule type="containsText" dxfId="62" priority="88" operator="containsText" text="Missing">
      <formula>NOT(ISERROR(SEARCH("Missing",U1737)))</formula>
    </cfRule>
  </conditionalFormatting>
  <conditionalFormatting sqref="U1733:U1736">
    <cfRule type="containsText" dxfId="61" priority="89" operator="containsText" text="Missing">
      <formula>NOT(ISERROR(SEARCH("Missing",U1733)))</formula>
    </cfRule>
  </conditionalFormatting>
  <conditionalFormatting sqref="U1742">
    <cfRule type="containsText" dxfId="60" priority="86" operator="containsText" text="Missing">
      <formula>NOT(ISERROR(SEARCH("Missing",U1742)))</formula>
    </cfRule>
  </conditionalFormatting>
  <conditionalFormatting sqref="U1747">
    <cfRule type="containsText" dxfId="59" priority="84" operator="containsText" text="Missing">
      <formula>NOT(ISERROR(SEARCH("Missing",U1747)))</formula>
    </cfRule>
  </conditionalFormatting>
  <conditionalFormatting sqref="H1948">
    <cfRule type="containsText" dxfId="58" priority="82" operator="containsText" text="Missing">
      <formula>NOT(ISERROR(SEARCH("Missing",H1948)))</formula>
    </cfRule>
  </conditionalFormatting>
  <conditionalFormatting sqref="H1949:H1952">
    <cfRule type="containsText" dxfId="57" priority="81" operator="containsText" text="Missing">
      <formula>NOT(ISERROR(SEARCH("Missing",H1949)))</formula>
    </cfRule>
  </conditionalFormatting>
  <conditionalFormatting sqref="H1958">
    <cfRule type="containsText" dxfId="56" priority="78" operator="containsText" text="Missing">
      <formula>NOT(ISERROR(SEARCH("Missing",H1958)))</formula>
    </cfRule>
  </conditionalFormatting>
  <conditionalFormatting sqref="U1948">
    <cfRule type="containsText" dxfId="55" priority="76" operator="containsText" text="Missing">
      <formula>NOT(ISERROR(SEARCH("Missing",U1948)))</formula>
    </cfRule>
  </conditionalFormatting>
  <conditionalFormatting sqref="U1944:U1947">
    <cfRule type="containsText" dxfId="54" priority="77" operator="containsText" text="Missing">
      <formula>NOT(ISERROR(SEARCH("Missing",U1944)))</formula>
    </cfRule>
  </conditionalFormatting>
  <conditionalFormatting sqref="U1953">
    <cfRule type="containsText" dxfId="53" priority="74" operator="containsText" text="Missing">
      <formula>NOT(ISERROR(SEARCH("Missing",U1953)))</formula>
    </cfRule>
  </conditionalFormatting>
  <conditionalFormatting sqref="U1958">
    <cfRule type="containsText" dxfId="52" priority="72" operator="containsText" text="Missing">
      <formula>NOT(ISERROR(SEARCH("Missing",U1958)))</formula>
    </cfRule>
  </conditionalFormatting>
  <conditionalFormatting sqref="U1954:U1957">
    <cfRule type="containsText" dxfId="51" priority="73" operator="containsText" text="Missing">
      <formula>NOT(ISERROR(SEARCH("Missing",U1954)))</formula>
    </cfRule>
  </conditionalFormatting>
  <conditionalFormatting sqref="H2212:H2215">
    <cfRule type="containsText" dxfId="50" priority="71" operator="containsText" text="Missing">
      <formula>NOT(ISERROR(SEARCH("Missing",H2212)))</formula>
    </cfRule>
  </conditionalFormatting>
  <conditionalFormatting sqref="H2221">
    <cfRule type="containsText" dxfId="49" priority="68" operator="containsText" text="Missing">
      <formula>NOT(ISERROR(SEARCH("Missing",H2221)))</formula>
    </cfRule>
  </conditionalFormatting>
  <conditionalFormatting sqref="H2217:H2220">
    <cfRule type="containsText" dxfId="48" priority="69" operator="containsText" text="Missing">
      <formula>NOT(ISERROR(SEARCH("Missing",H2217)))</formula>
    </cfRule>
  </conditionalFormatting>
  <conditionalFormatting sqref="H2226">
    <cfRule type="containsText" dxfId="47" priority="66" operator="containsText" text="Missing">
      <formula>NOT(ISERROR(SEARCH("Missing",H2226)))</formula>
    </cfRule>
  </conditionalFormatting>
  <conditionalFormatting sqref="H2222:H2225">
    <cfRule type="containsText" dxfId="46" priority="67" operator="containsText" text="Missing">
      <formula>NOT(ISERROR(SEARCH("Missing",H2222)))</formula>
    </cfRule>
  </conditionalFormatting>
  <conditionalFormatting sqref="U2216">
    <cfRule type="containsText" dxfId="45" priority="64" operator="containsText" text="Missing">
      <formula>NOT(ISERROR(SEARCH("Missing",U2216)))</formula>
    </cfRule>
  </conditionalFormatting>
  <conditionalFormatting sqref="U2221">
    <cfRule type="containsText" dxfId="44" priority="62" operator="containsText" text="Missing">
      <formula>NOT(ISERROR(SEARCH("Missing",U2221)))</formula>
    </cfRule>
  </conditionalFormatting>
  <conditionalFormatting sqref="U2217:U2220">
    <cfRule type="containsText" dxfId="43" priority="63" operator="containsText" text="Missing">
      <formula>NOT(ISERROR(SEARCH("Missing",U2217)))</formula>
    </cfRule>
  </conditionalFormatting>
  <conditionalFormatting sqref="U2226">
    <cfRule type="containsText" dxfId="42" priority="60" operator="containsText" text="Missing">
      <formula>NOT(ISERROR(SEARCH("Missing",U2226)))</formula>
    </cfRule>
  </conditionalFormatting>
  <conditionalFormatting sqref="U2222:U2225">
    <cfRule type="containsText" dxfId="41" priority="61" operator="containsText" text="Missing">
      <formula>NOT(ISERROR(SEARCH("Missing",U2222)))</formula>
    </cfRule>
  </conditionalFormatting>
  <conditionalFormatting sqref="I958">
    <cfRule type="containsText" dxfId="40" priority="59" operator="containsText" text="Missing">
      <formula>NOT(ISERROR(SEARCH("Missing",I958)))</formula>
    </cfRule>
  </conditionalFormatting>
  <conditionalFormatting sqref="I957">
    <cfRule type="containsText" dxfId="39" priority="58" operator="containsText" text="Missing">
      <formula>NOT(ISERROR(SEARCH("Missing",I957)))</formula>
    </cfRule>
  </conditionalFormatting>
  <conditionalFormatting sqref="I955">
    <cfRule type="containsText" dxfId="38" priority="57" operator="containsText" text="Missing">
      <formula>NOT(ISERROR(SEARCH("Missing",I955)))</formula>
    </cfRule>
  </conditionalFormatting>
  <conditionalFormatting sqref="I2293">
    <cfRule type="containsText" dxfId="37" priority="56" operator="containsText" text="Missing">
      <formula>NOT(ISERROR(SEARCH("Missing",I2293)))</formula>
    </cfRule>
  </conditionalFormatting>
  <conditionalFormatting sqref="I2294">
    <cfRule type="containsText" dxfId="36" priority="53" operator="containsText" text="Missing">
      <formula>NOT(ISERROR(SEARCH("Missing",I2294)))</formula>
    </cfRule>
  </conditionalFormatting>
  <conditionalFormatting sqref="I2293">
    <cfRule type="containsText" dxfId="35" priority="54" operator="containsText" text="Missing">
      <formula>NOT(ISERROR(SEARCH("Missing",I2293)))</formula>
    </cfRule>
  </conditionalFormatting>
  <conditionalFormatting sqref="I2293">
    <cfRule type="containsText" dxfId="34" priority="55" operator="containsText" text="Missing">
      <formula>NOT(ISERROR(SEARCH("Missing",I2293)))</formula>
    </cfRule>
  </conditionalFormatting>
  <conditionalFormatting sqref="I2294">
    <cfRule type="containsText" dxfId="33" priority="52" operator="containsText" text="Missing">
      <formula>NOT(ISERROR(SEARCH("Missing",I2294)))</formula>
    </cfRule>
  </conditionalFormatting>
  <conditionalFormatting sqref="I2294">
    <cfRule type="containsText" dxfId="32" priority="51" operator="containsText" text="Missing">
      <formula>NOT(ISERROR(SEARCH("Missing",I2294)))</formula>
    </cfRule>
  </conditionalFormatting>
  <conditionalFormatting sqref="I2295">
    <cfRule type="containsText" dxfId="31" priority="50" operator="containsText" text="Missing">
      <formula>NOT(ISERROR(SEARCH("Missing",I2295)))</formula>
    </cfRule>
  </conditionalFormatting>
  <conditionalFormatting sqref="I2296">
    <cfRule type="containsText" dxfId="30" priority="47" operator="containsText" text="Missing">
      <formula>NOT(ISERROR(SEARCH("Missing",I2296)))</formula>
    </cfRule>
  </conditionalFormatting>
  <conditionalFormatting sqref="I2295">
    <cfRule type="containsText" dxfId="29" priority="48" operator="containsText" text="Missing">
      <formula>NOT(ISERROR(SEARCH("Missing",I2295)))</formula>
    </cfRule>
  </conditionalFormatting>
  <conditionalFormatting sqref="I2295">
    <cfRule type="containsText" dxfId="28" priority="49" operator="containsText" text="Missing">
      <formula>NOT(ISERROR(SEARCH("Missing",I2295)))</formula>
    </cfRule>
  </conditionalFormatting>
  <conditionalFormatting sqref="I2296">
    <cfRule type="containsText" dxfId="27" priority="46" operator="containsText" text="Missing">
      <formula>NOT(ISERROR(SEARCH("Missing",I2296)))</formula>
    </cfRule>
  </conditionalFormatting>
  <conditionalFormatting sqref="I2296">
    <cfRule type="containsText" dxfId="26" priority="45" operator="containsText" text="Missing">
      <formula>NOT(ISERROR(SEARCH("Missing",I2296)))</formula>
    </cfRule>
  </conditionalFormatting>
  <conditionalFormatting sqref="I2391">
    <cfRule type="containsText" dxfId="25" priority="43" operator="containsText" text="Missing">
      <formula>NOT(ISERROR(SEARCH("Missing",I2391)))</formula>
    </cfRule>
  </conditionalFormatting>
  <conditionalFormatting sqref="I2391">
    <cfRule type="containsText" dxfId="24" priority="44" operator="containsText" text="Missing">
      <formula>NOT(ISERROR(SEARCH("Missing",I2391)))</formula>
    </cfRule>
  </conditionalFormatting>
  <conditionalFormatting sqref="I2390">
    <cfRule type="containsText" dxfId="23" priority="41" operator="containsText" text="Missing">
      <formula>NOT(ISERROR(SEARCH("Missing",I2390)))</formula>
    </cfRule>
  </conditionalFormatting>
  <conditionalFormatting sqref="I2390">
    <cfRule type="containsText" dxfId="22" priority="42" operator="containsText" text="Missing">
      <formula>NOT(ISERROR(SEARCH("Missing",I2390)))</formula>
    </cfRule>
  </conditionalFormatting>
  <conditionalFormatting sqref="J2486">
    <cfRule type="containsText" dxfId="21" priority="20" operator="containsText" text="Missing">
      <formula>NOT(ISERROR(SEARCH("Missing",J2486)))</formula>
    </cfRule>
  </conditionalFormatting>
  <conditionalFormatting sqref="H2486">
    <cfRule type="containsText" dxfId="20" priority="13" operator="containsText" text="Missing">
      <formula>NOT(ISERROR(SEARCH("Missing",H2486)))</formula>
    </cfRule>
  </conditionalFormatting>
  <conditionalFormatting sqref="L2486">
    <cfRule type="containsText" dxfId="19" priority="25" operator="containsText" text="Positive">
      <formula>NOT(ISERROR(SEARCH("Positive",L2486)))</formula>
    </cfRule>
    <cfRule type="containsText" dxfId="18" priority="26" operator="containsText" text="Negative">
      <formula>NOT(ISERROR(SEARCH("Negative",L2486)))</formula>
    </cfRule>
  </conditionalFormatting>
  <conditionalFormatting sqref="J2486">
    <cfRule type="containsText" dxfId="17" priority="19" operator="containsText" text="Missing">
      <formula>NOT(ISERROR(SEARCH("Missing",J2486)))</formula>
    </cfRule>
  </conditionalFormatting>
  <conditionalFormatting sqref="K2486">
    <cfRule type="containsText" dxfId="16" priority="18" operator="containsText" text="Missing">
      <formula>NOT(ISERROR(SEARCH("Missing",K2486)))</formula>
    </cfRule>
  </conditionalFormatting>
  <conditionalFormatting sqref="K2486">
    <cfRule type="containsText" dxfId="15" priority="17" operator="containsText" text="Missing">
      <formula>NOT(ISERROR(SEARCH("Missing",K2486)))</formula>
    </cfRule>
  </conditionalFormatting>
  <conditionalFormatting sqref="K2486">
    <cfRule type="containsText" dxfId="14" priority="16" operator="containsText" text="Missing">
      <formula>NOT(ISERROR(SEARCH("Missing",K2486)))</formula>
    </cfRule>
  </conditionalFormatting>
  <conditionalFormatting sqref="H2486">
    <cfRule type="containsText" dxfId="13" priority="14" operator="containsText" text="Missing">
      <formula>NOT(ISERROR(SEARCH("Missing",H2486)))</formula>
    </cfRule>
  </conditionalFormatting>
  <conditionalFormatting sqref="I2486">
    <cfRule type="containsText" dxfId="12" priority="15" operator="containsText" text="Missing">
      <formula>NOT(ISERROR(SEARCH("Missing",I2486)))</formula>
    </cfRule>
  </conditionalFormatting>
  <conditionalFormatting sqref="L2486">
    <cfRule type="containsText" dxfId="11" priority="21" operator="containsText" text="Positive">
      <formula>NOT(ISERROR(SEARCH("Positive",L2486)))</formula>
    </cfRule>
    <cfRule type="containsText" dxfId="10" priority="22" operator="containsText" text="Negative">
      <formula>NOT(ISERROR(SEARCH("Negative",L2486)))</formula>
    </cfRule>
  </conditionalFormatting>
  <conditionalFormatting sqref="L2486">
    <cfRule type="containsText" dxfId="9" priority="23" operator="containsText" text="Positive">
      <formula>NOT(ISERROR(SEARCH("Positive",L2486)))</formula>
    </cfRule>
    <cfRule type="containsText" dxfId="8" priority="24" operator="containsText" text="Negative">
      <formula>NOT(ISERROR(SEARCH("Negative",L2486)))</formula>
    </cfRule>
  </conditionalFormatting>
  <conditionalFormatting sqref="I2492">
    <cfRule type="containsText" dxfId="7" priority="11" operator="containsText" text="Missing">
      <formula>NOT(ISERROR(SEARCH("Missing",I2492)))</formula>
    </cfRule>
  </conditionalFormatting>
  <conditionalFormatting sqref="I2492">
    <cfRule type="containsText" dxfId="6" priority="12" operator="containsText" text="Missing">
      <formula>NOT(ISERROR(SEARCH("Missing",I2492)))</formula>
    </cfRule>
  </conditionalFormatting>
  <conditionalFormatting sqref="I2493">
    <cfRule type="containsText" dxfId="5" priority="5" operator="containsText" text="Missing">
      <formula>NOT(ISERROR(SEARCH("Missing",I2493)))</formula>
    </cfRule>
  </conditionalFormatting>
  <conditionalFormatting sqref="I2493">
    <cfRule type="containsText" dxfId="4" priority="6" operator="containsText" text="Missing">
      <formula>NOT(ISERROR(SEARCH("Missing",I2493)))</formula>
    </cfRule>
  </conditionalFormatting>
  <conditionalFormatting sqref="I2494">
    <cfRule type="containsText" dxfId="3" priority="3" operator="containsText" text="Missing">
      <formula>NOT(ISERROR(SEARCH("Missing",I2494)))</formula>
    </cfRule>
  </conditionalFormatting>
  <conditionalFormatting sqref="I2494">
    <cfRule type="containsText" dxfId="2" priority="4" operator="containsText" text="Missing">
      <formula>NOT(ISERROR(SEARCH("Missing",I2494)))</formula>
    </cfRule>
  </conditionalFormatting>
  <conditionalFormatting sqref="I2495">
    <cfRule type="containsText" dxfId="1" priority="1" operator="containsText" text="Missing">
      <formula>NOT(ISERROR(SEARCH("Missing",I2495)))</formula>
    </cfRule>
  </conditionalFormatting>
  <conditionalFormatting sqref="I2495">
    <cfRule type="containsText" dxfId="0" priority="2" operator="containsText" text="Missing">
      <formula>NOT(ISERROR(SEARCH("Missing",I2495)))</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F1BCAFAD-1272-4480-85DC-60F093F5B573}">
          <x14:formula1>
            <xm:f>'C:\Users\Camilla.Lund\Accenture\ICI Retracer - Documents\Test\Flexfilter\Main\[FF_Spgskema_TC_12D.xlsx]Krav'!#REF!</xm:f>
          </x14:formula1>
          <xm:sqref>D352:D353 D355:D371 D441 D375:D391 D212:D299 D683 D2230 D2244 D2297:D2298 D2308 D2317 D2328 D2338 D2348 D2399 D2449 D2503 D2553</xm:sqref>
        </x14:dataValidation>
        <x14:dataValidation type="list" allowBlank="1" showInputMessage="1" showErrorMessage="1" xr:uid="{3F94606F-9355-4A90-BC21-3DCB7A3A2A41}">
          <x14:formula1>
            <xm:f>'https://ts.accenture.com/sites/ICIRetracer/Shared Documents/Test/Flexfilter/Main/[FF_Spgskema_TC_12D.xlsx]Krav'!#REF!</xm:f>
          </x14:formula1>
          <xm:sqref>D178:D210</xm:sqref>
        </x14:dataValidation>
        <x14:dataValidation type="list" allowBlank="1" showInputMessage="1" showErrorMessage="1" xr:uid="{95B92C61-9D1C-4A26-8023-4AB990085E1E}">
          <x14:formula1>
            <xm:f>'C:\Users\Camilla.Lund\Accenture\ICI Retracer - Documents\Test\Flexfilter\Martin\[FF_Spgskema_TC_12D.xlsx]Krav'!#REF!</xm:f>
          </x14:formula1>
          <xm:sqref>D301:D351 D993 D1281 D1528 D1757 D1967</xm:sqref>
        </x14:dataValidation>
        <x14:dataValidation type="list" allowBlank="1" showInputMessage="1" showErrorMessage="1" xr:uid="{32AC9507-F4E8-4B7C-A060-D0AC43B652FE}">
          <x14:formula1>
            <xm:f>'C:\Users\Camilla.Lund\Accenture\ICI Retracer - Documents\Test\Flexfilter\Main\[FF_Spgskema_TC_form13.xlsx]Validering'!#REF!</xm:f>
          </x14:formula1>
          <xm:sqref>F549:F573 F628:F652 F450:F474 F483:F507 F516:F540 F582:F606 F392:F436 F438</xm:sqref>
        </x14:dataValidation>
        <x14:dataValidation type="list" allowBlank="1" showInputMessage="1" showErrorMessage="1" xr:uid="{E3B0D3E2-7C4B-44D9-B0DB-25A492025422}">
          <x14:formula1>
            <xm:f>'C:\Users\Camilla.Lund\Accenture\ICI Retracer - Documents\Test\Flexfilter\Main\[FF_Spgskema_TC_form13.xlsx]Krav'!#REF!</xm:f>
          </x14:formula1>
          <xm:sqref>D392:D438</xm:sqref>
        </x14:dataValidation>
        <x14:dataValidation type="list" allowBlank="1" showInputMessage="1" showErrorMessage="1" xr:uid="{061111AD-1CC8-4C3E-B4C6-661E155423FC}">
          <x14:formula1>
            <xm:f>'C:\Users\Camilla.Lund\Accenture\ICI Retracer - Documents\Test\Flexfilter\Camilla\[FF_Spgskema_TC_main_CAMILLA.xlsm]Krav'!#REF!</xm:f>
          </x14:formula1>
          <xm:sqref>D628:D679 D619:D626 D439:D440 D442:D606 D681:D682 D733:D757 D782:D806 D880:D904 D831:D855 D929:D987 D684:D708 D2228:D2229 D2231:D2242 D2318:D2324 D2309:D2315 D2329:D2336 D2299:D2306 D2339:D2347 D2396:D2398 D2447:D2448 D2498:D2502 D2601:D2633 D2551:D2552</xm:sqref>
        </x14:dataValidation>
        <x14:dataValidation type="list" allowBlank="1" showInputMessage="1" showErrorMessage="1" xr:uid="{CDF274B0-06FE-4EBC-A7C4-C2CFE20AF8E3}">
          <x14:formula1>
            <xm:f>Krav!$C:$C</xm:f>
          </x14:formula1>
          <xm:sqref>D988:D990 D680 D2634:D1048576 D2243</xm:sqref>
        </x14:dataValidation>
        <x14:dataValidation type="list" allowBlank="1" showInputMessage="1" showErrorMessage="1" xr:uid="{494BFBC0-5798-4FAF-A0A3-249BD684CA13}">
          <x14:formula1>
            <xm:f>'C:\Users\Camilla.Lund\Accenture\ICI Retracer - Documents\Test\Flexfilter\Camilla\old\[FF_Spgskema_TC_main_copy.xlsm]Krav'!#REF!</xm:f>
          </x14:formula1>
          <xm:sqref>D211 D300 D354 D1:D177 D372:D374</xm:sqref>
        </x14:dataValidation>
        <x14:dataValidation type="list" allowBlank="1" showInputMessage="1" showErrorMessage="1" xr:uid="{3232610F-BF78-4B87-97BC-A0B031E6377C}">
          <x14:formula1>
            <xm:f>'https://ts.accenture.com/sites/ICIRetracer/Shared Documents/Test/Flexfilter/Joel/[FF_Spgskema_TC_Joel5.xlsx]Krav'!#REF!</xm:f>
          </x14:formula1>
          <xm:sqref>D991:D992 D1526:D1527 D1755:D1756 D1965:D1966</xm:sqref>
        </x14:dataValidation>
        <x14:dataValidation type="list" allowBlank="1" showInputMessage="1" showErrorMessage="1" xr:uid="{EADF0C29-384E-4EE2-856A-8FBFC2E24457}">
          <x14:formula1>
            <xm:f>'C:\Users\Camilla.Lund\Accenture\ICI Retracer - Documents\Test\Flexfilter\Camilla\[FF_Spgskema_TC_main_Cam.xlsm]Krav'!#REF!</xm:f>
          </x14:formula1>
          <xm:sqref>D709:D732 D758:D781 D807:D830 D856:D879 D905:D928 D2239:D2242 D2612:D2633</xm:sqref>
        </x14:dataValidation>
        <x14:dataValidation type="list" allowBlank="1" showInputMessage="1" showErrorMessage="1" xr:uid="{5B8DA5CF-F632-4929-9E0A-94C0A338E83C}">
          <x14:formula1>
            <xm:f>[FF_Spgskema_TC_Joel6.xlsm]Krav!#REF!</xm:f>
          </x14:formula1>
          <xm:sqref>D2307 D2316 D2325:D2327 D2337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C6428-5914-48B0-AE87-A332B62D08A3}">
  <sheetPr codeName="Sheet6"/>
  <dimension ref="A1:D1000"/>
  <sheetViews>
    <sheetView topLeftCell="A4" workbookViewId="0">
      <selection activeCell="B14" sqref="B14"/>
    </sheetView>
  </sheetViews>
  <sheetFormatPr defaultRowHeight="14.4" x14ac:dyDescent="0.3"/>
  <cols>
    <col min="1" max="2" width="9.109375" style="130"/>
    <col min="3" max="3" width="18.44140625" style="130" bestFit="1" customWidth="1"/>
  </cols>
  <sheetData>
    <row r="1" spans="1:4" x14ac:dyDescent="0.3">
      <c r="A1" s="130" t="s">
        <v>598</v>
      </c>
      <c r="B1" s="130" t="s">
        <v>599</v>
      </c>
      <c r="C1" s="130" t="s">
        <v>216</v>
      </c>
    </row>
    <row r="2" spans="1:4" x14ac:dyDescent="0.3">
      <c r="A2" s="130" t="s">
        <v>1281</v>
      </c>
      <c r="B2" s="130" t="s">
        <v>1588</v>
      </c>
      <c r="C2" s="130" t="s">
        <v>418</v>
      </c>
    </row>
    <row r="3" spans="1:4" x14ac:dyDescent="0.3">
      <c r="A3" s="130" t="s">
        <v>1281</v>
      </c>
      <c r="B3" s="130" t="s">
        <v>1282</v>
      </c>
      <c r="C3" s="130" t="s">
        <v>418</v>
      </c>
    </row>
    <row r="4" spans="1:4" x14ac:dyDescent="0.3">
      <c r="A4" s="130" t="s">
        <v>1281</v>
      </c>
      <c r="B4" s="130" t="s">
        <v>1283</v>
      </c>
      <c r="C4" s="130" t="s">
        <v>174</v>
      </c>
    </row>
    <row r="5" spans="1:4" x14ac:dyDescent="0.3">
      <c r="A5" s="130" t="s">
        <v>1281</v>
      </c>
      <c r="B5" s="130" t="s">
        <v>1284</v>
      </c>
      <c r="C5" s="130" t="s">
        <v>418</v>
      </c>
    </row>
    <row r="6" spans="1:4" x14ac:dyDescent="0.3">
      <c r="A6" s="130" t="s">
        <v>1281</v>
      </c>
      <c r="B6" s="130" t="s">
        <v>1285</v>
      </c>
      <c r="C6" s="130" t="s">
        <v>418</v>
      </c>
    </row>
    <row r="7" spans="1:4" x14ac:dyDescent="0.3">
      <c r="A7" s="130" t="s">
        <v>1281</v>
      </c>
      <c r="B7" s="130" t="s">
        <v>1286</v>
      </c>
      <c r="C7" s="130" t="s">
        <v>174</v>
      </c>
    </row>
    <row r="8" spans="1:4" x14ac:dyDescent="0.3">
      <c r="A8" s="130" t="s">
        <v>1281</v>
      </c>
      <c r="B8" s="130" t="s">
        <v>1287</v>
      </c>
      <c r="C8" s="130" t="s">
        <v>418</v>
      </c>
    </row>
    <row r="9" spans="1:4" x14ac:dyDescent="0.3">
      <c r="A9" s="130" t="s">
        <v>1281</v>
      </c>
      <c r="B9" s="130" t="s">
        <v>1589</v>
      </c>
      <c r="C9" s="130" t="s">
        <v>174</v>
      </c>
    </row>
    <row r="10" spans="1:4" x14ac:dyDescent="0.3">
      <c r="A10" s="130" t="s">
        <v>1281</v>
      </c>
      <c r="B10" s="130" t="s">
        <v>1357</v>
      </c>
      <c r="C10" s="130" t="s">
        <v>418</v>
      </c>
    </row>
    <row r="11" spans="1:4" x14ac:dyDescent="0.3">
      <c r="A11" s="130" t="s">
        <v>1281</v>
      </c>
      <c r="B11" s="130" t="s">
        <v>1590</v>
      </c>
      <c r="C11" s="130" t="s">
        <v>418</v>
      </c>
    </row>
    <row r="12" spans="1:4" x14ac:dyDescent="0.3">
      <c r="A12" s="130" t="s">
        <v>601</v>
      </c>
      <c r="B12" s="130" t="s">
        <v>602</v>
      </c>
      <c r="C12" s="130" t="s">
        <v>418</v>
      </c>
      <c r="D12" s="130"/>
    </row>
    <row r="13" spans="1:4" x14ac:dyDescent="0.3">
      <c r="A13" s="130" t="s">
        <v>601</v>
      </c>
      <c r="B13" s="130" t="s">
        <v>1323</v>
      </c>
      <c r="C13" s="130" t="s">
        <v>226</v>
      </c>
      <c r="D13" s="130"/>
    </row>
    <row r="14" spans="1:4" x14ac:dyDescent="0.3">
      <c r="A14" s="130" t="s">
        <v>601</v>
      </c>
      <c r="B14" s="130" t="s">
        <v>1328</v>
      </c>
      <c r="C14" s="130" t="s">
        <v>418</v>
      </c>
      <c r="D14" s="130"/>
    </row>
    <row r="15" spans="1:4" x14ac:dyDescent="0.3">
      <c r="A15" s="130" t="s">
        <v>601</v>
      </c>
      <c r="B15" s="130" t="s">
        <v>1329</v>
      </c>
      <c r="C15" s="130" t="s">
        <v>226</v>
      </c>
      <c r="D15" s="130"/>
    </row>
    <row r="16" spans="1:4" x14ac:dyDescent="0.3">
      <c r="A16" s="130" t="s">
        <v>601</v>
      </c>
      <c r="B16" s="130" t="s">
        <v>603</v>
      </c>
      <c r="C16" s="130" t="s">
        <v>226</v>
      </c>
      <c r="D16" s="130"/>
    </row>
    <row r="17" spans="1:4" x14ac:dyDescent="0.3">
      <c r="A17" s="130" t="s">
        <v>601</v>
      </c>
      <c r="B17" s="130" t="s">
        <v>1324</v>
      </c>
      <c r="C17" s="130" t="s">
        <v>418</v>
      </c>
      <c r="D17" s="130"/>
    </row>
    <row r="18" spans="1:4" x14ac:dyDescent="0.3">
      <c r="A18" s="130" t="s">
        <v>601</v>
      </c>
      <c r="B18" s="130" t="s">
        <v>604</v>
      </c>
      <c r="C18" s="130" t="s">
        <v>226</v>
      </c>
      <c r="D18" s="130"/>
    </row>
    <row r="19" spans="1:4" x14ac:dyDescent="0.3">
      <c r="A19" s="130" t="s">
        <v>601</v>
      </c>
      <c r="B19" s="130" t="s">
        <v>1325</v>
      </c>
      <c r="C19" s="130" t="s">
        <v>226</v>
      </c>
      <c r="D19" s="130"/>
    </row>
    <row r="20" spans="1:4" x14ac:dyDescent="0.3">
      <c r="A20" s="130" t="s">
        <v>601</v>
      </c>
      <c r="B20" s="130" t="s">
        <v>1326</v>
      </c>
      <c r="C20" s="130" t="s">
        <v>226</v>
      </c>
      <c r="D20" s="130"/>
    </row>
    <row r="21" spans="1:4" x14ac:dyDescent="0.3">
      <c r="A21" s="130" t="s">
        <v>601</v>
      </c>
      <c r="B21" s="130" t="s">
        <v>1327</v>
      </c>
      <c r="C21" s="130" t="s">
        <v>226</v>
      </c>
      <c r="D21" s="130"/>
    </row>
    <row r="22" spans="1:4" x14ac:dyDescent="0.3">
      <c r="A22" s="130" t="s">
        <v>601</v>
      </c>
      <c r="B22" s="130" t="s">
        <v>1591</v>
      </c>
      <c r="C22" s="130" t="s">
        <v>143</v>
      </c>
      <c r="D22" s="130"/>
    </row>
    <row r="23" spans="1:4" x14ac:dyDescent="0.3">
      <c r="A23" s="130" t="s">
        <v>601</v>
      </c>
      <c r="B23" s="130" t="s">
        <v>1330</v>
      </c>
      <c r="C23" s="130" t="s">
        <v>418</v>
      </c>
      <c r="D23" s="130"/>
    </row>
    <row r="24" spans="1:4" x14ac:dyDescent="0.3">
      <c r="A24" s="130" t="s">
        <v>601</v>
      </c>
      <c r="B24" s="130" t="s">
        <v>1331</v>
      </c>
      <c r="C24" s="130" t="s">
        <v>418</v>
      </c>
      <c r="D24" s="130"/>
    </row>
    <row r="25" spans="1:4" x14ac:dyDescent="0.3">
      <c r="A25" s="130" t="s">
        <v>601</v>
      </c>
      <c r="B25" s="130" t="s">
        <v>1332</v>
      </c>
      <c r="C25" s="130" t="s">
        <v>226</v>
      </c>
      <c r="D25" s="130"/>
    </row>
    <row r="26" spans="1:4" x14ac:dyDescent="0.3">
      <c r="A26" s="130" t="s">
        <v>601</v>
      </c>
      <c r="B26" s="130" t="s">
        <v>1333</v>
      </c>
      <c r="C26" s="130" t="s">
        <v>143</v>
      </c>
      <c r="D26" s="130"/>
    </row>
    <row r="27" spans="1:4" x14ac:dyDescent="0.3">
      <c r="A27" s="130" t="s">
        <v>601</v>
      </c>
      <c r="B27" s="130" t="s">
        <v>1334</v>
      </c>
      <c r="C27" s="130" t="s">
        <v>228</v>
      </c>
      <c r="D27" s="130"/>
    </row>
    <row r="28" spans="1:4" x14ac:dyDescent="0.3">
      <c r="A28" s="130" t="s">
        <v>601</v>
      </c>
      <c r="B28" s="130" t="s">
        <v>1335</v>
      </c>
      <c r="C28" s="130" t="s">
        <v>143</v>
      </c>
      <c r="D28" s="130"/>
    </row>
    <row r="29" spans="1:4" x14ac:dyDescent="0.3">
      <c r="A29" s="130" t="s">
        <v>601</v>
      </c>
      <c r="B29" s="130" t="s">
        <v>1336</v>
      </c>
      <c r="C29" s="130" t="s">
        <v>228</v>
      </c>
      <c r="D29" s="130"/>
    </row>
    <row r="30" spans="1:4" x14ac:dyDescent="0.3">
      <c r="A30" s="130" t="s">
        <v>601</v>
      </c>
      <c r="B30" s="130" t="s">
        <v>1337</v>
      </c>
      <c r="C30" s="130" t="s">
        <v>143</v>
      </c>
      <c r="D30" s="130"/>
    </row>
    <row r="31" spans="1:4" x14ac:dyDescent="0.3">
      <c r="A31" s="130" t="s">
        <v>601</v>
      </c>
      <c r="B31" s="130" t="s">
        <v>1338</v>
      </c>
      <c r="C31" s="130" t="s">
        <v>228</v>
      </c>
      <c r="D31" s="130"/>
    </row>
    <row r="32" spans="1:4" x14ac:dyDescent="0.3">
      <c r="A32" s="130" t="s">
        <v>601</v>
      </c>
      <c r="B32" s="130" t="s">
        <v>1339</v>
      </c>
      <c r="C32" s="130" t="s">
        <v>143</v>
      </c>
      <c r="D32" s="130"/>
    </row>
    <row r="33" spans="1:4" x14ac:dyDescent="0.3">
      <c r="A33" s="130" t="s">
        <v>601</v>
      </c>
      <c r="B33" s="130" t="s">
        <v>1340</v>
      </c>
      <c r="C33" s="130" t="s">
        <v>228</v>
      </c>
      <c r="D33" s="130"/>
    </row>
    <row r="34" spans="1:4" x14ac:dyDescent="0.3">
      <c r="A34" s="130" t="s">
        <v>601</v>
      </c>
      <c r="B34" s="130" t="s">
        <v>1341</v>
      </c>
      <c r="C34" s="130" t="s">
        <v>174</v>
      </c>
      <c r="D34" s="130"/>
    </row>
    <row r="35" spans="1:4" x14ac:dyDescent="0.3">
      <c r="A35" s="130" t="s">
        <v>601</v>
      </c>
      <c r="B35" s="130" t="s">
        <v>1342</v>
      </c>
      <c r="C35" s="130" t="s">
        <v>418</v>
      </c>
      <c r="D35" s="130"/>
    </row>
    <row r="36" spans="1:4" x14ac:dyDescent="0.3">
      <c r="A36" s="130" t="s">
        <v>601</v>
      </c>
      <c r="B36" s="130" t="s">
        <v>1343</v>
      </c>
      <c r="C36" s="130" t="s">
        <v>174</v>
      </c>
      <c r="D36" s="130"/>
    </row>
    <row r="37" spans="1:4" x14ac:dyDescent="0.3">
      <c r="A37" s="130" t="s">
        <v>601</v>
      </c>
      <c r="B37" s="130" t="s">
        <v>1344</v>
      </c>
      <c r="C37" s="130" t="s">
        <v>418</v>
      </c>
      <c r="D37" s="130"/>
    </row>
    <row r="38" spans="1:4" x14ac:dyDescent="0.3">
      <c r="A38" s="130" t="s">
        <v>601</v>
      </c>
      <c r="B38" s="130" t="s">
        <v>1345</v>
      </c>
      <c r="C38" s="130" t="s">
        <v>143</v>
      </c>
      <c r="D38" s="130"/>
    </row>
    <row r="39" spans="1:4" x14ac:dyDescent="0.3">
      <c r="A39" s="130" t="s">
        <v>601</v>
      </c>
      <c r="B39" s="130" t="s">
        <v>1346</v>
      </c>
      <c r="C39" s="130" t="s">
        <v>221</v>
      </c>
      <c r="D39" s="130"/>
    </row>
    <row r="40" spans="1:4" x14ac:dyDescent="0.3">
      <c r="A40" s="130" t="s">
        <v>601</v>
      </c>
      <c r="B40" s="130" t="s">
        <v>1347</v>
      </c>
      <c r="C40" s="130" t="s">
        <v>227</v>
      </c>
      <c r="D40" s="130"/>
    </row>
    <row r="41" spans="1:4" x14ac:dyDescent="0.3">
      <c r="A41" s="130" t="s">
        <v>601</v>
      </c>
      <c r="B41" s="130" t="s">
        <v>1348</v>
      </c>
      <c r="C41" s="130" t="s">
        <v>418</v>
      </c>
      <c r="D41" s="130"/>
    </row>
    <row r="42" spans="1:4" x14ac:dyDescent="0.3">
      <c r="A42" s="130" t="s">
        <v>601</v>
      </c>
      <c r="B42" s="130" t="s">
        <v>1349</v>
      </c>
      <c r="C42" s="130" t="s">
        <v>143</v>
      </c>
    </row>
    <row r="43" spans="1:4" x14ac:dyDescent="0.3">
      <c r="A43" s="130" t="s">
        <v>601</v>
      </c>
      <c r="B43" s="130" t="s">
        <v>1592</v>
      </c>
      <c r="C43" s="130" t="s">
        <v>143</v>
      </c>
    </row>
    <row r="44" spans="1:4" x14ac:dyDescent="0.3">
      <c r="A44" s="130" t="s">
        <v>601</v>
      </c>
      <c r="B44" s="130" t="s">
        <v>1350</v>
      </c>
      <c r="C44" s="130" t="s">
        <v>418</v>
      </c>
    </row>
    <row r="45" spans="1:4" x14ac:dyDescent="0.3">
      <c r="A45" s="130" t="s">
        <v>601</v>
      </c>
      <c r="B45" s="130" t="s">
        <v>1351</v>
      </c>
      <c r="C45" s="130" t="s">
        <v>185</v>
      </c>
    </row>
    <row r="46" spans="1:4" x14ac:dyDescent="0.3">
      <c r="A46" s="130" t="s">
        <v>601</v>
      </c>
      <c r="B46" s="130" t="s">
        <v>1593</v>
      </c>
      <c r="C46" s="130" t="s">
        <v>224</v>
      </c>
    </row>
    <row r="47" spans="1:4" x14ac:dyDescent="0.3">
      <c r="A47" s="130" t="s">
        <v>1594</v>
      </c>
      <c r="B47" s="130" t="s">
        <v>1595</v>
      </c>
      <c r="C47" s="130" t="s">
        <v>221</v>
      </c>
    </row>
    <row r="48" spans="1:4" x14ac:dyDescent="0.3">
      <c r="A48" s="130" t="s">
        <v>1594</v>
      </c>
      <c r="B48" s="130" t="s">
        <v>1596</v>
      </c>
      <c r="C48" s="130" t="s">
        <v>221</v>
      </c>
    </row>
    <row r="49" spans="1:3" x14ac:dyDescent="0.3">
      <c r="A49" s="130" t="s">
        <v>1594</v>
      </c>
      <c r="B49" s="130" t="s">
        <v>1597</v>
      </c>
      <c r="C49" s="130" t="s">
        <v>225</v>
      </c>
    </row>
    <row r="50" spans="1:3" x14ac:dyDescent="0.3">
      <c r="A50" s="130" t="s">
        <v>1594</v>
      </c>
      <c r="B50" s="130" t="s">
        <v>1598</v>
      </c>
      <c r="C50" s="130" t="s">
        <v>225</v>
      </c>
    </row>
    <row r="51" spans="1:3" x14ac:dyDescent="0.3">
      <c r="A51" s="130" t="s">
        <v>1594</v>
      </c>
      <c r="B51" s="130" t="s">
        <v>1599</v>
      </c>
      <c r="C51" s="130" t="s">
        <v>174</v>
      </c>
    </row>
    <row r="52" spans="1:3" x14ac:dyDescent="0.3">
      <c r="A52" s="130" t="s">
        <v>1594</v>
      </c>
      <c r="B52" s="130" t="s">
        <v>1600</v>
      </c>
      <c r="C52" s="130" t="s">
        <v>418</v>
      </c>
    </row>
    <row r="53" spans="1:3" x14ac:dyDescent="0.3">
      <c r="A53" s="130" t="s">
        <v>1594</v>
      </c>
      <c r="B53" s="130" t="s">
        <v>1601</v>
      </c>
      <c r="C53" s="130" t="s">
        <v>224</v>
      </c>
    </row>
    <row r="54" spans="1:3" x14ac:dyDescent="0.3">
      <c r="A54" s="130" t="s">
        <v>1594</v>
      </c>
      <c r="B54" s="130" t="s">
        <v>1602</v>
      </c>
      <c r="C54" s="130" t="s">
        <v>224</v>
      </c>
    </row>
    <row r="55" spans="1:3" x14ac:dyDescent="0.3">
      <c r="A55" s="130" t="s">
        <v>1594</v>
      </c>
      <c r="B55" s="130" t="s">
        <v>1603</v>
      </c>
      <c r="C55" s="130" t="s">
        <v>224</v>
      </c>
    </row>
    <row r="56" spans="1:3" x14ac:dyDescent="0.3">
      <c r="A56" s="130" t="s">
        <v>1594</v>
      </c>
      <c r="B56" s="130" t="s">
        <v>1604</v>
      </c>
      <c r="C56" s="130" t="s">
        <v>224</v>
      </c>
    </row>
    <row r="57" spans="1:3" x14ac:dyDescent="0.3">
      <c r="A57" s="130" t="s">
        <v>1594</v>
      </c>
      <c r="B57" s="130" t="s">
        <v>1605</v>
      </c>
      <c r="C57" s="130" t="s">
        <v>224</v>
      </c>
    </row>
    <row r="58" spans="1:3" x14ac:dyDescent="0.3">
      <c r="A58" s="130" t="s">
        <v>1594</v>
      </c>
      <c r="B58" s="130" t="s">
        <v>1606</v>
      </c>
      <c r="C58" s="130" t="s">
        <v>224</v>
      </c>
    </row>
    <row r="59" spans="1:3" x14ac:dyDescent="0.3">
      <c r="A59" s="130" t="s">
        <v>1594</v>
      </c>
      <c r="B59" s="130" t="s">
        <v>1607</v>
      </c>
      <c r="C59" s="130" t="s">
        <v>224</v>
      </c>
    </row>
    <row r="60" spans="1:3" x14ac:dyDescent="0.3">
      <c r="A60" s="130" t="s">
        <v>1594</v>
      </c>
      <c r="B60" s="130" t="s">
        <v>1608</v>
      </c>
      <c r="C60" s="130" t="s">
        <v>224</v>
      </c>
    </row>
    <row r="61" spans="1:3" x14ac:dyDescent="0.3">
      <c r="A61" s="130" t="s">
        <v>1594</v>
      </c>
      <c r="B61" s="130" t="s">
        <v>1609</v>
      </c>
      <c r="C61" s="130" t="s">
        <v>224</v>
      </c>
    </row>
    <row r="62" spans="1:3" x14ac:dyDescent="0.3">
      <c r="A62" s="130" t="s">
        <v>1594</v>
      </c>
      <c r="B62" s="130" t="s">
        <v>1610</v>
      </c>
      <c r="C62" s="130" t="s">
        <v>224</v>
      </c>
    </row>
    <row r="63" spans="1:3" x14ac:dyDescent="0.3">
      <c r="A63" s="130" t="s">
        <v>1611</v>
      </c>
      <c r="B63" s="130" t="s">
        <v>1612</v>
      </c>
      <c r="C63" s="130" t="s">
        <v>224</v>
      </c>
    </row>
    <row r="64" spans="1:3" x14ac:dyDescent="0.3">
      <c r="A64" s="130" t="s">
        <v>1611</v>
      </c>
      <c r="B64" s="130" t="s">
        <v>1613</v>
      </c>
      <c r="C64" s="130" t="s">
        <v>224</v>
      </c>
    </row>
    <row r="65" spans="1:3" x14ac:dyDescent="0.3">
      <c r="A65" s="130" t="s">
        <v>1611</v>
      </c>
      <c r="B65" s="130" t="s">
        <v>1614</v>
      </c>
      <c r="C65" s="130" t="s">
        <v>224</v>
      </c>
    </row>
    <row r="66" spans="1:3" x14ac:dyDescent="0.3">
      <c r="A66" s="130" t="s">
        <v>1611</v>
      </c>
      <c r="B66" s="130" t="s">
        <v>1615</v>
      </c>
      <c r="C66" s="130" t="s">
        <v>224</v>
      </c>
    </row>
    <row r="67" spans="1:3" x14ac:dyDescent="0.3">
      <c r="A67" s="130" t="s">
        <v>1616</v>
      </c>
      <c r="B67" s="130" t="s">
        <v>1617</v>
      </c>
      <c r="C67" s="130" t="s">
        <v>227</v>
      </c>
    </row>
    <row r="68" spans="1:3" x14ac:dyDescent="0.3">
      <c r="A68" s="130" t="s">
        <v>1616</v>
      </c>
      <c r="B68" s="130" t="s">
        <v>1618</v>
      </c>
      <c r="C68" s="130" t="s">
        <v>225</v>
      </c>
    </row>
    <row r="69" spans="1:3" x14ac:dyDescent="0.3">
      <c r="A69" s="130" t="s">
        <v>1616</v>
      </c>
      <c r="B69" s="130" t="s">
        <v>1619</v>
      </c>
      <c r="C69" s="130" t="s">
        <v>221</v>
      </c>
    </row>
    <row r="70" spans="1:3" x14ac:dyDescent="0.3">
      <c r="A70" s="130" t="s">
        <v>1616</v>
      </c>
      <c r="B70" s="130" t="s">
        <v>1620</v>
      </c>
      <c r="C70" s="130" t="s">
        <v>174</v>
      </c>
    </row>
    <row r="71" spans="1:3" x14ac:dyDescent="0.3">
      <c r="A71" s="130" t="s">
        <v>1616</v>
      </c>
      <c r="B71" s="130" t="s">
        <v>1621</v>
      </c>
      <c r="C71" s="130" t="s">
        <v>174</v>
      </c>
    </row>
    <row r="72" spans="1:3" x14ac:dyDescent="0.3">
      <c r="A72" s="130" t="s">
        <v>1616</v>
      </c>
      <c r="B72" s="130" t="s">
        <v>1622</v>
      </c>
      <c r="C72" s="130" t="s">
        <v>174</v>
      </c>
    </row>
    <row r="73" spans="1:3" x14ac:dyDescent="0.3">
      <c r="A73" s="130" t="s">
        <v>1616</v>
      </c>
      <c r="B73" s="130" t="s">
        <v>1623</v>
      </c>
      <c r="C73" s="130" t="s">
        <v>174</v>
      </c>
    </row>
    <row r="74" spans="1:3" x14ac:dyDescent="0.3">
      <c r="A74" s="130" t="s">
        <v>1616</v>
      </c>
      <c r="B74" s="130" t="s">
        <v>1624</v>
      </c>
      <c r="C74" s="130" t="s">
        <v>174</v>
      </c>
    </row>
    <row r="75" spans="1:3" x14ac:dyDescent="0.3">
      <c r="A75" s="130" t="s">
        <v>1616</v>
      </c>
      <c r="B75" s="130" t="s">
        <v>1625</v>
      </c>
      <c r="C75" s="130" t="s">
        <v>418</v>
      </c>
    </row>
    <row r="76" spans="1:3" x14ac:dyDescent="0.3">
      <c r="A76" s="130" t="s">
        <v>1616</v>
      </c>
      <c r="B76" s="130" t="s">
        <v>1626</v>
      </c>
      <c r="C76" s="130" t="s">
        <v>174</v>
      </c>
    </row>
    <row r="77" spans="1:3" x14ac:dyDescent="0.3">
      <c r="A77" s="130" t="s">
        <v>1616</v>
      </c>
      <c r="B77" s="130" t="s">
        <v>1627</v>
      </c>
      <c r="C77" s="130" t="s">
        <v>418</v>
      </c>
    </row>
    <row r="78" spans="1:3" x14ac:dyDescent="0.3">
      <c r="A78" s="130" t="s">
        <v>1616</v>
      </c>
      <c r="B78" s="130" t="s">
        <v>1628</v>
      </c>
      <c r="C78" s="130" t="s">
        <v>221</v>
      </c>
    </row>
    <row r="79" spans="1:3" x14ac:dyDescent="0.3">
      <c r="A79" s="130" t="s">
        <v>1616</v>
      </c>
      <c r="B79" s="130" t="s">
        <v>1629</v>
      </c>
      <c r="C79" s="130" t="s">
        <v>225</v>
      </c>
    </row>
    <row r="80" spans="1:3" x14ac:dyDescent="0.3">
      <c r="A80" s="130" t="s">
        <v>1616</v>
      </c>
      <c r="B80" s="130" t="s">
        <v>1630</v>
      </c>
      <c r="C80" s="130" t="s">
        <v>225</v>
      </c>
    </row>
    <row r="81" spans="1:3" x14ac:dyDescent="0.3">
      <c r="A81" s="130" t="s">
        <v>1616</v>
      </c>
      <c r="B81" s="130" t="s">
        <v>1631</v>
      </c>
      <c r="C81" s="130" t="s">
        <v>227</v>
      </c>
    </row>
    <row r="82" spans="1:3" x14ac:dyDescent="0.3">
      <c r="A82" s="130" t="s">
        <v>1616</v>
      </c>
      <c r="B82" s="130" t="s">
        <v>1632</v>
      </c>
      <c r="C82" s="130" t="s">
        <v>174</v>
      </c>
    </row>
    <row r="83" spans="1:3" x14ac:dyDescent="0.3">
      <c r="A83" s="130" t="s">
        <v>1616</v>
      </c>
      <c r="B83" s="130" t="s">
        <v>1633</v>
      </c>
      <c r="C83" s="130" t="s">
        <v>174</v>
      </c>
    </row>
    <row r="84" spans="1:3" x14ac:dyDescent="0.3">
      <c r="A84" s="130" t="s">
        <v>1616</v>
      </c>
      <c r="B84" s="130" t="s">
        <v>1634</v>
      </c>
      <c r="C84" s="130" t="s">
        <v>174</v>
      </c>
    </row>
    <row r="85" spans="1:3" x14ac:dyDescent="0.3">
      <c r="A85" s="130" t="s">
        <v>1616</v>
      </c>
      <c r="B85" s="130" t="s">
        <v>1635</v>
      </c>
      <c r="C85" s="130" t="s">
        <v>174</v>
      </c>
    </row>
    <row r="86" spans="1:3" x14ac:dyDescent="0.3">
      <c r="A86" s="130" t="s">
        <v>1616</v>
      </c>
      <c r="B86" s="130" t="s">
        <v>1636</v>
      </c>
      <c r="C86" s="130" t="s">
        <v>174</v>
      </c>
    </row>
    <row r="87" spans="1:3" x14ac:dyDescent="0.3">
      <c r="A87" s="130" t="s">
        <v>1616</v>
      </c>
      <c r="B87" s="130" t="s">
        <v>1637</v>
      </c>
      <c r="C87" s="130" t="s">
        <v>174</v>
      </c>
    </row>
    <row r="88" spans="1:3" x14ac:dyDescent="0.3">
      <c r="A88" s="130" t="s">
        <v>1616</v>
      </c>
      <c r="B88" s="130" t="s">
        <v>1638</v>
      </c>
      <c r="C88" s="130" t="s">
        <v>143</v>
      </c>
    </row>
    <row r="89" spans="1:3" x14ac:dyDescent="0.3">
      <c r="A89" s="130" t="s">
        <v>1616</v>
      </c>
      <c r="B89" s="130" t="s">
        <v>1639</v>
      </c>
      <c r="C89" s="130" t="s">
        <v>143</v>
      </c>
    </row>
    <row r="90" spans="1:3" x14ac:dyDescent="0.3">
      <c r="A90" s="130" t="s">
        <v>1616</v>
      </c>
      <c r="B90" s="130" t="s">
        <v>1640</v>
      </c>
      <c r="C90" s="130" t="s">
        <v>143</v>
      </c>
    </row>
    <row r="91" spans="1:3" x14ac:dyDescent="0.3">
      <c r="A91" s="130" t="s">
        <v>1616</v>
      </c>
      <c r="B91" s="130" t="s">
        <v>1641</v>
      </c>
      <c r="C91" s="130" t="s">
        <v>143</v>
      </c>
    </row>
    <row r="92" spans="1:3" x14ac:dyDescent="0.3">
      <c r="A92" s="130" t="s">
        <v>1616</v>
      </c>
      <c r="B92" s="130" t="s">
        <v>1642</v>
      </c>
      <c r="C92" s="130" t="s">
        <v>143</v>
      </c>
    </row>
    <row r="93" spans="1:3" x14ac:dyDescent="0.3">
      <c r="A93" s="130" t="s">
        <v>1616</v>
      </c>
      <c r="B93" s="130" t="s">
        <v>1643</v>
      </c>
      <c r="C93" s="130" t="s">
        <v>143</v>
      </c>
    </row>
    <row r="94" spans="1:3" x14ac:dyDescent="0.3">
      <c r="A94" s="130" t="s">
        <v>1616</v>
      </c>
      <c r="B94" s="130" t="s">
        <v>1644</v>
      </c>
      <c r="C94" s="130" t="s">
        <v>143</v>
      </c>
    </row>
    <row r="95" spans="1:3" x14ac:dyDescent="0.3">
      <c r="A95" s="130" t="s">
        <v>1616</v>
      </c>
      <c r="B95" s="130" t="s">
        <v>1645</v>
      </c>
      <c r="C95" s="130" t="s">
        <v>143</v>
      </c>
    </row>
    <row r="96" spans="1:3" x14ac:dyDescent="0.3">
      <c r="A96" s="130" t="s">
        <v>1616</v>
      </c>
      <c r="B96" s="130" t="s">
        <v>1646</v>
      </c>
      <c r="C96" s="130" t="s">
        <v>143</v>
      </c>
    </row>
    <row r="97" spans="1:3" x14ac:dyDescent="0.3">
      <c r="A97" s="130" t="s">
        <v>1616</v>
      </c>
      <c r="B97" s="130" t="s">
        <v>1647</v>
      </c>
      <c r="C97" s="130" t="s">
        <v>143</v>
      </c>
    </row>
    <row r="98" spans="1:3" x14ac:dyDescent="0.3">
      <c r="A98" s="130" t="s">
        <v>1616</v>
      </c>
      <c r="B98" s="130" t="s">
        <v>1648</v>
      </c>
      <c r="C98" s="130" t="s">
        <v>143</v>
      </c>
    </row>
    <row r="99" spans="1:3" x14ac:dyDescent="0.3">
      <c r="A99" s="130" t="s">
        <v>1616</v>
      </c>
      <c r="B99" s="130" t="s">
        <v>1649</v>
      </c>
      <c r="C99" s="130" t="s">
        <v>143</v>
      </c>
    </row>
    <row r="100" spans="1:3" x14ac:dyDescent="0.3">
      <c r="A100" s="130" t="s">
        <v>1616</v>
      </c>
      <c r="B100" s="130" t="s">
        <v>1650</v>
      </c>
      <c r="C100" s="130" t="s">
        <v>221</v>
      </c>
    </row>
    <row r="101" spans="1:3" x14ac:dyDescent="0.3">
      <c r="A101" s="130" t="s">
        <v>1616</v>
      </c>
      <c r="B101" s="130" t="s">
        <v>1651</v>
      </c>
      <c r="C101" s="130" t="s">
        <v>227</v>
      </c>
    </row>
    <row r="102" spans="1:3" x14ac:dyDescent="0.3">
      <c r="A102" s="130" t="s">
        <v>1616</v>
      </c>
      <c r="B102" s="130" t="s">
        <v>1652</v>
      </c>
      <c r="C102" s="130" t="s">
        <v>225</v>
      </c>
    </row>
    <row r="103" spans="1:3" x14ac:dyDescent="0.3">
      <c r="A103" s="130" t="s">
        <v>1616</v>
      </c>
      <c r="B103" s="130" t="s">
        <v>1653</v>
      </c>
      <c r="C103" s="130" t="s">
        <v>225</v>
      </c>
    </row>
    <row r="104" spans="1:3" x14ac:dyDescent="0.3">
      <c r="A104" s="130" t="s">
        <v>1616</v>
      </c>
      <c r="B104" s="130" t="s">
        <v>1654</v>
      </c>
      <c r="C104" s="130" t="s">
        <v>174</v>
      </c>
    </row>
    <row r="105" spans="1:3" x14ac:dyDescent="0.3">
      <c r="A105" s="130" t="s">
        <v>1616</v>
      </c>
      <c r="B105" s="130" t="s">
        <v>1655</v>
      </c>
      <c r="C105" s="130" t="s">
        <v>174</v>
      </c>
    </row>
    <row r="106" spans="1:3" x14ac:dyDescent="0.3">
      <c r="A106" s="130" t="s">
        <v>1616</v>
      </c>
      <c r="B106" s="130" t="s">
        <v>1656</v>
      </c>
      <c r="C106" s="130" t="s">
        <v>174</v>
      </c>
    </row>
    <row r="107" spans="1:3" x14ac:dyDescent="0.3">
      <c r="A107" s="130" t="s">
        <v>1616</v>
      </c>
      <c r="B107" s="130" t="s">
        <v>1657</v>
      </c>
      <c r="C107" s="130" t="s">
        <v>174</v>
      </c>
    </row>
    <row r="108" spans="1:3" x14ac:dyDescent="0.3">
      <c r="A108" s="130" t="s">
        <v>1616</v>
      </c>
      <c r="B108" s="130" t="s">
        <v>1658</v>
      </c>
      <c r="C108" s="130" t="s">
        <v>174</v>
      </c>
    </row>
    <row r="109" spans="1:3" x14ac:dyDescent="0.3">
      <c r="A109" s="130" t="s">
        <v>1616</v>
      </c>
      <c r="B109" s="130" t="s">
        <v>1659</v>
      </c>
      <c r="C109" s="130" t="s">
        <v>174</v>
      </c>
    </row>
    <row r="110" spans="1:3" x14ac:dyDescent="0.3">
      <c r="A110" s="130" t="s">
        <v>1616</v>
      </c>
      <c r="B110" s="130" t="s">
        <v>1660</v>
      </c>
      <c r="C110" s="130" t="s">
        <v>143</v>
      </c>
    </row>
    <row r="111" spans="1:3" x14ac:dyDescent="0.3">
      <c r="A111" s="130" t="s">
        <v>1616</v>
      </c>
      <c r="B111" s="130" t="s">
        <v>1661</v>
      </c>
      <c r="C111" s="130" t="s">
        <v>143</v>
      </c>
    </row>
    <row r="112" spans="1:3" x14ac:dyDescent="0.3">
      <c r="A112" s="130" t="s">
        <v>1616</v>
      </c>
      <c r="B112" s="130" t="s">
        <v>1662</v>
      </c>
      <c r="C112" s="130" t="s">
        <v>143</v>
      </c>
    </row>
    <row r="113" spans="1:3" x14ac:dyDescent="0.3">
      <c r="A113" s="130" t="s">
        <v>1616</v>
      </c>
      <c r="B113" s="130" t="s">
        <v>1663</v>
      </c>
      <c r="C113" s="130" t="s">
        <v>143</v>
      </c>
    </row>
    <row r="114" spans="1:3" x14ac:dyDescent="0.3">
      <c r="A114" s="130" t="s">
        <v>1616</v>
      </c>
      <c r="B114" s="130" t="s">
        <v>1664</v>
      </c>
      <c r="C114" s="130" t="s">
        <v>143</v>
      </c>
    </row>
    <row r="115" spans="1:3" x14ac:dyDescent="0.3">
      <c r="A115" s="130" t="s">
        <v>1616</v>
      </c>
      <c r="B115" s="130" t="s">
        <v>1665</v>
      </c>
      <c r="C115" s="130" t="s">
        <v>143</v>
      </c>
    </row>
    <row r="116" spans="1:3" x14ac:dyDescent="0.3">
      <c r="A116" s="130" t="s">
        <v>1616</v>
      </c>
      <c r="B116" s="130" t="s">
        <v>1666</v>
      </c>
      <c r="C116" s="130" t="s">
        <v>143</v>
      </c>
    </row>
    <row r="117" spans="1:3" x14ac:dyDescent="0.3">
      <c r="A117" s="130" t="s">
        <v>1616</v>
      </c>
      <c r="B117" s="130" t="s">
        <v>1667</v>
      </c>
      <c r="C117" s="130" t="s">
        <v>143</v>
      </c>
    </row>
    <row r="118" spans="1:3" x14ac:dyDescent="0.3">
      <c r="A118" s="130" t="s">
        <v>1616</v>
      </c>
      <c r="B118" s="130" t="s">
        <v>1668</v>
      </c>
      <c r="C118" s="130" t="s">
        <v>143</v>
      </c>
    </row>
    <row r="119" spans="1:3" x14ac:dyDescent="0.3">
      <c r="A119" s="130" t="s">
        <v>1616</v>
      </c>
      <c r="B119" s="130" t="s">
        <v>1669</v>
      </c>
      <c r="C119" s="130" t="s">
        <v>143</v>
      </c>
    </row>
    <row r="120" spans="1:3" x14ac:dyDescent="0.3">
      <c r="A120" s="130" t="s">
        <v>1616</v>
      </c>
      <c r="B120" s="130" t="s">
        <v>1670</v>
      </c>
      <c r="C120" s="130" t="s">
        <v>143</v>
      </c>
    </row>
    <row r="121" spans="1:3" x14ac:dyDescent="0.3">
      <c r="A121" s="130" t="s">
        <v>1616</v>
      </c>
      <c r="B121" s="130" t="s">
        <v>1671</v>
      </c>
      <c r="C121" s="130" t="s">
        <v>143</v>
      </c>
    </row>
    <row r="122" spans="1:3" x14ac:dyDescent="0.3">
      <c r="A122" s="130" t="s">
        <v>1616</v>
      </c>
      <c r="B122" s="130" t="s">
        <v>1672</v>
      </c>
      <c r="C122" s="130" t="s">
        <v>174</v>
      </c>
    </row>
    <row r="123" spans="1:3" x14ac:dyDescent="0.3">
      <c r="A123" s="130" t="s">
        <v>1616</v>
      </c>
      <c r="B123" s="130" t="s">
        <v>1673</v>
      </c>
      <c r="C123" s="130" t="s">
        <v>227</v>
      </c>
    </row>
    <row r="124" spans="1:3" x14ac:dyDescent="0.3">
      <c r="A124" s="130" t="s">
        <v>1616</v>
      </c>
      <c r="B124" s="130" t="s">
        <v>1674</v>
      </c>
      <c r="C124" s="130" t="s">
        <v>225</v>
      </c>
    </row>
    <row r="125" spans="1:3" x14ac:dyDescent="0.3">
      <c r="A125" s="130" t="s">
        <v>1616</v>
      </c>
      <c r="B125" s="130" t="s">
        <v>1675</v>
      </c>
      <c r="C125" s="130" t="s">
        <v>226</v>
      </c>
    </row>
    <row r="126" spans="1:3" x14ac:dyDescent="0.3">
      <c r="A126" s="130" t="s">
        <v>1616</v>
      </c>
      <c r="B126" s="130" t="s">
        <v>1676</v>
      </c>
      <c r="C126" s="130" t="s">
        <v>226</v>
      </c>
    </row>
    <row r="127" spans="1:3" x14ac:dyDescent="0.3">
      <c r="A127" s="130" t="s">
        <v>1616</v>
      </c>
      <c r="B127" s="130" t="s">
        <v>1677</v>
      </c>
      <c r="C127" s="130" t="s">
        <v>226</v>
      </c>
    </row>
    <row r="128" spans="1:3" x14ac:dyDescent="0.3">
      <c r="A128" s="130" t="s">
        <v>1616</v>
      </c>
      <c r="B128" s="130" t="s">
        <v>1678</v>
      </c>
      <c r="C128" s="130" t="s">
        <v>226</v>
      </c>
    </row>
    <row r="129" spans="1:3" x14ac:dyDescent="0.3">
      <c r="A129" s="130" t="s">
        <v>1616</v>
      </c>
      <c r="B129" s="130" t="s">
        <v>1679</v>
      </c>
      <c r="C129" s="130" t="s">
        <v>226</v>
      </c>
    </row>
    <row r="130" spans="1:3" x14ac:dyDescent="0.3">
      <c r="A130" s="130" t="s">
        <v>1616</v>
      </c>
      <c r="B130" s="130" t="s">
        <v>1680</v>
      </c>
      <c r="C130" s="130" t="s">
        <v>221</v>
      </c>
    </row>
    <row r="131" spans="1:3" x14ac:dyDescent="0.3">
      <c r="A131" s="130" t="s">
        <v>1616</v>
      </c>
      <c r="B131" s="130" t="s">
        <v>1681</v>
      </c>
      <c r="C131" s="130" t="s">
        <v>174</v>
      </c>
    </row>
    <row r="132" spans="1:3" x14ac:dyDescent="0.3">
      <c r="A132" s="130" t="s">
        <v>1616</v>
      </c>
      <c r="B132" s="130" t="s">
        <v>1682</v>
      </c>
      <c r="C132" s="130" t="s">
        <v>174</v>
      </c>
    </row>
    <row r="133" spans="1:3" x14ac:dyDescent="0.3">
      <c r="A133" s="130" t="s">
        <v>1616</v>
      </c>
      <c r="B133" s="130" t="s">
        <v>1683</v>
      </c>
      <c r="C133" s="130" t="s">
        <v>174</v>
      </c>
    </row>
    <row r="134" spans="1:3" x14ac:dyDescent="0.3">
      <c r="A134" s="130" t="s">
        <v>1616</v>
      </c>
      <c r="B134" s="130" t="s">
        <v>1684</v>
      </c>
      <c r="C134" s="130" t="s">
        <v>174</v>
      </c>
    </row>
    <row r="135" spans="1:3" x14ac:dyDescent="0.3">
      <c r="A135" s="130" t="s">
        <v>1616</v>
      </c>
      <c r="B135" s="130" t="s">
        <v>1685</v>
      </c>
      <c r="C135" s="130" t="s">
        <v>174</v>
      </c>
    </row>
    <row r="136" spans="1:3" x14ac:dyDescent="0.3">
      <c r="A136" s="130" t="s">
        <v>1616</v>
      </c>
      <c r="B136" s="130" t="s">
        <v>1686</v>
      </c>
      <c r="C136" s="130" t="s">
        <v>418</v>
      </c>
    </row>
    <row r="137" spans="1:3" x14ac:dyDescent="0.3">
      <c r="A137" s="130" t="s">
        <v>1616</v>
      </c>
      <c r="B137" s="130" t="s">
        <v>1687</v>
      </c>
      <c r="C137" s="130" t="s">
        <v>174</v>
      </c>
    </row>
    <row r="138" spans="1:3" x14ac:dyDescent="0.3">
      <c r="A138" s="130" t="s">
        <v>1616</v>
      </c>
      <c r="B138" s="130" t="s">
        <v>1688</v>
      </c>
      <c r="C138" s="130" t="s">
        <v>418</v>
      </c>
    </row>
    <row r="139" spans="1:3" x14ac:dyDescent="0.3">
      <c r="A139" s="130" t="s">
        <v>1616</v>
      </c>
      <c r="B139" s="130" t="s">
        <v>1689</v>
      </c>
      <c r="C139" s="130" t="s">
        <v>221</v>
      </c>
    </row>
    <row r="140" spans="1:3" x14ac:dyDescent="0.3">
      <c r="A140" s="130" t="s">
        <v>1616</v>
      </c>
      <c r="B140" s="130" t="s">
        <v>1690</v>
      </c>
      <c r="C140" s="130" t="s">
        <v>225</v>
      </c>
    </row>
    <row r="141" spans="1:3" x14ac:dyDescent="0.3">
      <c r="A141" s="130" t="s">
        <v>1616</v>
      </c>
      <c r="B141" s="130" t="s">
        <v>1691</v>
      </c>
      <c r="C141" s="130" t="s">
        <v>225</v>
      </c>
    </row>
    <row r="142" spans="1:3" x14ac:dyDescent="0.3">
      <c r="A142" s="130" t="s">
        <v>1616</v>
      </c>
      <c r="B142" s="130" t="s">
        <v>1692</v>
      </c>
      <c r="C142" s="130" t="s">
        <v>225</v>
      </c>
    </row>
    <row r="143" spans="1:3" x14ac:dyDescent="0.3">
      <c r="A143" s="130" t="s">
        <v>1616</v>
      </c>
      <c r="B143" s="130" t="s">
        <v>1693</v>
      </c>
      <c r="C143" s="130" t="s">
        <v>227</v>
      </c>
    </row>
    <row r="144" spans="1:3" x14ac:dyDescent="0.3">
      <c r="A144" s="130" t="s">
        <v>1616</v>
      </c>
      <c r="B144" s="130" t="s">
        <v>1694</v>
      </c>
      <c r="C144" s="130" t="s">
        <v>174</v>
      </c>
    </row>
    <row r="145" spans="1:3" x14ac:dyDescent="0.3">
      <c r="A145" s="130" t="s">
        <v>1616</v>
      </c>
      <c r="B145" s="130" t="s">
        <v>1695</v>
      </c>
      <c r="C145" s="130" t="s">
        <v>174</v>
      </c>
    </row>
    <row r="146" spans="1:3" x14ac:dyDescent="0.3">
      <c r="A146" s="130" t="s">
        <v>1616</v>
      </c>
      <c r="B146" s="130" t="s">
        <v>1696</v>
      </c>
      <c r="C146" s="130" t="s">
        <v>174</v>
      </c>
    </row>
    <row r="147" spans="1:3" x14ac:dyDescent="0.3">
      <c r="A147" s="130" t="s">
        <v>1616</v>
      </c>
      <c r="B147" s="130" t="s">
        <v>1697</v>
      </c>
      <c r="C147" s="130" t="s">
        <v>174</v>
      </c>
    </row>
    <row r="148" spans="1:3" x14ac:dyDescent="0.3">
      <c r="A148" s="130" t="s">
        <v>1616</v>
      </c>
      <c r="B148" s="130" t="s">
        <v>1698</v>
      </c>
      <c r="C148" s="130" t="s">
        <v>174</v>
      </c>
    </row>
    <row r="149" spans="1:3" x14ac:dyDescent="0.3">
      <c r="A149" s="130" t="s">
        <v>1616</v>
      </c>
      <c r="B149" s="130" t="s">
        <v>1699</v>
      </c>
      <c r="C149" s="130" t="s">
        <v>174</v>
      </c>
    </row>
    <row r="150" spans="1:3" x14ac:dyDescent="0.3">
      <c r="A150" s="130" t="s">
        <v>1616</v>
      </c>
      <c r="B150" s="130" t="s">
        <v>1700</v>
      </c>
      <c r="C150" s="130" t="s">
        <v>143</v>
      </c>
    </row>
    <row r="151" spans="1:3" x14ac:dyDescent="0.3">
      <c r="A151" s="130" t="s">
        <v>1616</v>
      </c>
      <c r="B151" s="130" t="s">
        <v>1701</v>
      </c>
      <c r="C151" s="130" t="s">
        <v>143</v>
      </c>
    </row>
    <row r="152" spans="1:3" x14ac:dyDescent="0.3">
      <c r="A152" s="130" t="s">
        <v>1616</v>
      </c>
      <c r="B152" s="130" t="s">
        <v>1702</v>
      </c>
      <c r="C152" s="130" t="s">
        <v>143</v>
      </c>
    </row>
    <row r="153" spans="1:3" x14ac:dyDescent="0.3">
      <c r="A153" s="130" t="s">
        <v>1616</v>
      </c>
      <c r="B153" s="130" t="s">
        <v>1703</v>
      </c>
      <c r="C153" s="130" t="s">
        <v>143</v>
      </c>
    </row>
    <row r="154" spans="1:3" x14ac:dyDescent="0.3">
      <c r="A154" s="130" t="s">
        <v>1616</v>
      </c>
      <c r="B154" s="130" t="s">
        <v>1704</v>
      </c>
      <c r="C154" s="130" t="s">
        <v>143</v>
      </c>
    </row>
    <row r="155" spans="1:3" x14ac:dyDescent="0.3">
      <c r="A155" s="130" t="s">
        <v>1616</v>
      </c>
      <c r="B155" s="130" t="s">
        <v>1705</v>
      </c>
      <c r="C155" s="130" t="s">
        <v>143</v>
      </c>
    </row>
    <row r="156" spans="1:3" x14ac:dyDescent="0.3">
      <c r="A156" s="130" t="s">
        <v>1616</v>
      </c>
      <c r="B156" s="130" t="s">
        <v>1706</v>
      </c>
      <c r="C156" s="130" t="s">
        <v>143</v>
      </c>
    </row>
    <row r="157" spans="1:3" x14ac:dyDescent="0.3">
      <c r="A157" s="130" t="s">
        <v>1616</v>
      </c>
      <c r="B157" s="130" t="s">
        <v>1707</v>
      </c>
      <c r="C157" s="130" t="s">
        <v>143</v>
      </c>
    </row>
    <row r="158" spans="1:3" x14ac:dyDescent="0.3">
      <c r="A158" s="130" t="s">
        <v>1616</v>
      </c>
      <c r="B158" s="130" t="s">
        <v>1708</v>
      </c>
      <c r="C158" s="130" t="s">
        <v>143</v>
      </c>
    </row>
    <row r="159" spans="1:3" x14ac:dyDescent="0.3">
      <c r="A159" s="130" t="s">
        <v>1616</v>
      </c>
      <c r="B159" s="130" t="s">
        <v>1709</v>
      </c>
      <c r="C159" s="130" t="s">
        <v>143</v>
      </c>
    </row>
    <row r="160" spans="1:3" x14ac:dyDescent="0.3">
      <c r="A160" s="130" t="s">
        <v>1616</v>
      </c>
      <c r="B160" s="130" t="s">
        <v>1710</v>
      </c>
      <c r="C160" s="130" t="s">
        <v>143</v>
      </c>
    </row>
    <row r="161" spans="1:3" x14ac:dyDescent="0.3">
      <c r="A161" s="130" t="s">
        <v>1616</v>
      </c>
      <c r="B161" s="130" t="s">
        <v>1711</v>
      </c>
      <c r="C161" s="130" t="s">
        <v>143</v>
      </c>
    </row>
    <row r="162" spans="1:3" x14ac:dyDescent="0.3">
      <c r="A162" s="130" t="s">
        <v>1616</v>
      </c>
      <c r="B162" s="130" t="s">
        <v>1712</v>
      </c>
      <c r="C162" s="130" t="s">
        <v>221</v>
      </c>
    </row>
    <row r="163" spans="1:3" x14ac:dyDescent="0.3">
      <c r="A163" s="130" t="s">
        <v>1616</v>
      </c>
      <c r="B163" s="130" t="s">
        <v>1713</v>
      </c>
      <c r="C163" s="130" t="s">
        <v>227</v>
      </c>
    </row>
    <row r="164" spans="1:3" x14ac:dyDescent="0.3">
      <c r="A164" s="130" t="s">
        <v>1616</v>
      </c>
      <c r="B164" s="130" t="s">
        <v>1714</v>
      </c>
      <c r="C164" s="130" t="s">
        <v>225</v>
      </c>
    </row>
    <row r="165" spans="1:3" x14ac:dyDescent="0.3">
      <c r="A165" s="130" t="s">
        <v>1616</v>
      </c>
      <c r="B165" s="130" t="s">
        <v>1715</v>
      </c>
      <c r="C165" s="130" t="s">
        <v>225</v>
      </c>
    </row>
    <row r="166" spans="1:3" x14ac:dyDescent="0.3">
      <c r="A166" s="130" t="s">
        <v>1616</v>
      </c>
      <c r="B166" s="130" t="s">
        <v>1716</v>
      </c>
      <c r="C166" s="130" t="s">
        <v>174</v>
      </c>
    </row>
    <row r="167" spans="1:3" x14ac:dyDescent="0.3">
      <c r="A167" s="130" t="s">
        <v>1616</v>
      </c>
      <c r="B167" s="130" t="s">
        <v>1717</v>
      </c>
      <c r="C167" s="130" t="s">
        <v>174</v>
      </c>
    </row>
    <row r="168" spans="1:3" x14ac:dyDescent="0.3">
      <c r="A168" s="130" t="s">
        <v>1616</v>
      </c>
      <c r="B168" s="130" t="s">
        <v>1718</v>
      </c>
      <c r="C168" s="130" t="s">
        <v>174</v>
      </c>
    </row>
    <row r="169" spans="1:3" x14ac:dyDescent="0.3">
      <c r="A169" s="130" t="s">
        <v>1616</v>
      </c>
      <c r="B169" s="130" t="s">
        <v>1719</v>
      </c>
      <c r="C169" s="130" t="s">
        <v>174</v>
      </c>
    </row>
    <row r="170" spans="1:3" x14ac:dyDescent="0.3">
      <c r="A170" s="130" t="s">
        <v>1616</v>
      </c>
      <c r="B170" s="130" t="s">
        <v>1720</v>
      </c>
      <c r="C170" s="130" t="s">
        <v>174</v>
      </c>
    </row>
    <row r="171" spans="1:3" x14ac:dyDescent="0.3">
      <c r="A171" s="130" t="s">
        <v>1616</v>
      </c>
      <c r="B171" s="130" t="s">
        <v>1721</v>
      </c>
      <c r="C171" s="130" t="s">
        <v>174</v>
      </c>
    </row>
    <row r="172" spans="1:3" x14ac:dyDescent="0.3">
      <c r="A172" s="130" t="s">
        <v>1616</v>
      </c>
      <c r="B172" s="130" t="s">
        <v>1722</v>
      </c>
      <c r="C172" s="130" t="s">
        <v>143</v>
      </c>
    </row>
    <row r="173" spans="1:3" x14ac:dyDescent="0.3">
      <c r="A173" s="130" t="s">
        <v>1616</v>
      </c>
      <c r="B173" s="130" t="s">
        <v>1723</v>
      </c>
      <c r="C173" s="130" t="s">
        <v>143</v>
      </c>
    </row>
    <row r="174" spans="1:3" x14ac:dyDescent="0.3">
      <c r="A174" s="130" t="s">
        <v>1616</v>
      </c>
      <c r="B174" s="130" t="s">
        <v>1724</v>
      </c>
      <c r="C174" s="130" t="s">
        <v>143</v>
      </c>
    </row>
    <row r="175" spans="1:3" x14ac:dyDescent="0.3">
      <c r="A175" s="130" t="s">
        <v>1616</v>
      </c>
      <c r="B175" s="130" t="s">
        <v>1725</v>
      </c>
      <c r="C175" s="130" t="s">
        <v>143</v>
      </c>
    </row>
    <row r="176" spans="1:3" x14ac:dyDescent="0.3">
      <c r="A176" s="130" t="s">
        <v>1616</v>
      </c>
      <c r="B176" s="130" t="s">
        <v>1726</v>
      </c>
      <c r="C176" s="130" t="s">
        <v>143</v>
      </c>
    </row>
    <row r="177" spans="1:3" x14ac:dyDescent="0.3">
      <c r="A177" s="130" t="s">
        <v>1616</v>
      </c>
      <c r="B177" s="130" t="s">
        <v>1727</v>
      </c>
      <c r="C177" s="130" t="s">
        <v>143</v>
      </c>
    </row>
    <row r="178" spans="1:3" x14ac:dyDescent="0.3">
      <c r="A178" s="130" t="s">
        <v>1616</v>
      </c>
      <c r="B178" s="130" t="s">
        <v>1728</v>
      </c>
      <c r="C178" s="130" t="s">
        <v>143</v>
      </c>
    </row>
    <row r="179" spans="1:3" x14ac:dyDescent="0.3">
      <c r="A179" s="130" t="s">
        <v>1616</v>
      </c>
      <c r="B179" s="130" t="s">
        <v>1729</v>
      </c>
      <c r="C179" s="130" t="s">
        <v>143</v>
      </c>
    </row>
    <row r="180" spans="1:3" x14ac:dyDescent="0.3">
      <c r="A180" s="130" t="s">
        <v>1616</v>
      </c>
      <c r="B180" s="130" t="s">
        <v>1730</v>
      </c>
      <c r="C180" s="130" t="s">
        <v>143</v>
      </c>
    </row>
    <row r="181" spans="1:3" x14ac:dyDescent="0.3">
      <c r="A181" s="130" t="s">
        <v>1616</v>
      </c>
      <c r="B181" s="130" t="s">
        <v>1731</v>
      </c>
      <c r="C181" s="130" t="s">
        <v>143</v>
      </c>
    </row>
    <row r="182" spans="1:3" x14ac:dyDescent="0.3">
      <c r="A182" s="130" t="s">
        <v>1616</v>
      </c>
      <c r="B182" s="130" t="s">
        <v>1732</v>
      </c>
      <c r="C182" s="130" t="s">
        <v>143</v>
      </c>
    </row>
    <row r="183" spans="1:3" x14ac:dyDescent="0.3">
      <c r="A183" s="130" t="s">
        <v>1616</v>
      </c>
      <c r="B183" s="130" t="s">
        <v>1733</v>
      </c>
      <c r="C183" s="130" t="s">
        <v>143</v>
      </c>
    </row>
    <row r="184" spans="1:3" x14ac:dyDescent="0.3">
      <c r="A184" s="130" t="s">
        <v>1616</v>
      </c>
      <c r="B184" s="130" t="s">
        <v>1734</v>
      </c>
      <c r="C184" s="130" t="s">
        <v>224</v>
      </c>
    </row>
    <row r="185" spans="1:3" x14ac:dyDescent="0.3">
      <c r="A185" s="130" t="s">
        <v>1616</v>
      </c>
      <c r="B185" s="130" t="s">
        <v>1735</v>
      </c>
      <c r="C185" s="130" t="s">
        <v>224</v>
      </c>
    </row>
    <row r="186" spans="1:3" x14ac:dyDescent="0.3">
      <c r="A186" s="130" t="s">
        <v>1616</v>
      </c>
      <c r="B186" s="130" t="s">
        <v>1736</v>
      </c>
      <c r="C186" s="130" t="s">
        <v>418</v>
      </c>
    </row>
    <row r="187" spans="1:3" x14ac:dyDescent="0.3">
      <c r="A187" s="130" t="s">
        <v>1616</v>
      </c>
      <c r="B187" s="130" t="s">
        <v>1737</v>
      </c>
      <c r="C187" s="130" t="s">
        <v>418</v>
      </c>
    </row>
    <row r="188" spans="1:3" x14ac:dyDescent="0.3">
      <c r="A188" s="130" t="s">
        <v>1616</v>
      </c>
      <c r="B188" s="130" t="s">
        <v>1738</v>
      </c>
      <c r="C188" s="130" t="s">
        <v>418</v>
      </c>
    </row>
    <row r="189" spans="1:3" x14ac:dyDescent="0.3">
      <c r="A189" s="130" t="s">
        <v>1616</v>
      </c>
      <c r="B189" s="130" t="s">
        <v>1739</v>
      </c>
      <c r="C189" s="130" t="s">
        <v>418</v>
      </c>
    </row>
    <row r="190" spans="1:3" x14ac:dyDescent="0.3">
      <c r="A190" s="130" t="s">
        <v>1616</v>
      </c>
      <c r="B190" s="130" t="s">
        <v>1740</v>
      </c>
      <c r="C190" s="130" t="s">
        <v>418</v>
      </c>
    </row>
    <row r="191" spans="1:3" x14ac:dyDescent="0.3">
      <c r="A191" s="130" t="s">
        <v>1616</v>
      </c>
      <c r="B191" s="130" t="s">
        <v>1741</v>
      </c>
      <c r="C191" s="130" t="s">
        <v>418</v>
      </c>
    </row>
    <row r="192" spans="1:3" x14ac:dyDescent="0.3">
      <c r="A192" s="130" t="s">
        <v>1742</v>
      </c>
      <c r="B192" s="130" t="s">
        <v>1743</v>
      </c>
      <c r="C192" s="130" t="s">
        <v>227</v>
      </c>
    </row>
    <row r="193" spans="1:3" x14ac:dyDescent="0.3">
      <c r="A193" s="130" t="s">
        <v>1742</v>
      </c>
      <c r="B193" s="130" t="s">
        <v>1744</v>
      </c>
      <c r="C193" s="130" t="s">
        <v>225</v>
      </c>
    </row>
    <row r="194" spans="1:3" x14ac:dyDescent="0.3">
      <c r="A194" s="130" t="s">
        <v>1742</v>
      </c>
      <c r="B194" s="130" t="s">
        <v>1745</v>
      </c>
      <c r="C194" s="130" t="s">
        <v>221</v>
      </c>
    </row>
    <row r="195" spans="1:3" x14ac:dyDescent="0.3">
      <c r="A195" s="130" t="s">
        <v>1742</v>
      </c>
      <c r="B195" s="130" t="s">
        <v>1746</v>
      </c>
      <c r="C195" s="130" t="s">
        <v>174</v>
      </c>
    </row>
    <row r="196" spans="1:3" x14ac:dyDescent="0.3">
      <c r="A196" s="130" t="s">
        <v>1742</v>
      </c>
      <c r="B196" s="130" t="s">
        <v>1747</v>
      </c>
      <c r="C196" s="130" t="s">
        <v>174</v>
      </c>
    </row>
    <row r="197" spans="1:3" x14ac:dyDescent="0.3">
      <c r="A197" s="130" t="s">
        <v>1742</v>
      </c>
      <c r="B197" s="130" t="s">
        <v>1748</v>
      </c>
      <c r="C197" s="130" t="s">
        <v>174</v>
      </c>
    </row>
    <row r="198" spans="1:3" x14ac:dyDescent="0.3">
      <c r="A198" s="130" t="s">
        <v>1742</v>
      </c>
      <c r="B198" s="130" t="s">
        <v>1749</v>
      </c>
      <c r="C198" s="130" t="s">
        <v>174</v>
      </c>
    </row>
    <row r="199" spans="1:3" x14ac:dyDescent="0.3">
      <c r="A199" s="130" t="s">
        <v>1742</v>
      </c>
      <c r="B199" s="130" t="s">
        <v>1750</v>
      </c>
      <c r="C199" s="130" t="s">
        <v>174</v>
      </c>
    </row>
    <row r="200" spans="1:3" x14ac:dyDescent="0.3">
      <c r="A200" s="130" t="s">
        <v>1742</v>
      </c>
      <c r="B200" s="130" t="s">
        <v>1751</v>
      </c>
      <c r="C200" s="130" t="s">
        <v>418</v>
      </c>
    </row>
    <row r="201" spans="1:3" x14ac:dyDescent="0.3">
      <c r="A201" s="130" t="s">
        <v>1742</v>
      </c>
      <c r="B201" s="130" t="s">
        <v>1752</v>
      </c>
      <c r="C201" s="130" t="s">
        <v>174</v>
      </c>
    </row>
    <row r="202" spans="1:3" x14ac:dyDescent="0.3">
      <c r="A202" s="130" t="s">
        <v>1742</v>
      </c>
      <c r="B202" s="130" t="s">
        <v>1753</v>
      </c>
      <c r="C202" s="130" t="s">
        <v>418</v>
      </c>
    </row>
    <row r="203" spans="1:3" x14ac:dyDescent="0.3">
      <c r="A203" s="130" t="s">
        <v>1742</v>
      </c>
      <c r="B203" s="130" t="s">
        <v>1754</v>
      </c>
      <c r="C203" s="130" t="s">
        <v>221</v>
      </c>
    </row>
    <row r="204" spans="1:3" x14ac:dyDescent="0.3">
      <c r="A204" s="130" t="s">
        <v>1742</v>
      </c>
      <c r="B204" s="130" t="s">
        <v>1755</v>
      </c>
      <c r="C204" s="130" t="s">
        <v>225</v>
      </c>
    </row>
    <row r="205" spans="1:3" x14ac:dyDescent="0.3">
      <c r="A205" s="130" t="s">
        <v>1742</v>
      </c>
      <c r="B205" s="130" t="s">
        <v>1756</v>
      </c>
      <c r="C205" s="130" t="s">
        <v>225</v>
      </c>
    </row>
    <row r="206" spans="1:3" x14ac:dyDescent="0.3">
      <c r="A206" s="130" t="s">
        <v>1742</v>
      </c>
      <c r="B206" s="130" t="s">
        <v>1757</v>
      </c>
      <c r="C206" s="130" t="s">
        <v>227</v>
      </c>
    </row>
    <row r="207" spans="1:3" x14ac:dyDescent="0.3">
      <c r="A207" s="130" t="s">
        <v>1742</v>
      </c>
      <c r="B207" s="130" t="s">
        <v>1758</v>
      </c>
      <c r="C207" s="130" t="s">
        <v>174</v>
      </c>
    </row>
    <row r="208" spans="1:3" x14ac:dyDescent="0.3">
      <c r="A208" s="130" t="s">
        <v>1742</v>
      </c>
      <c r="B208" s="130" t="s">
        <v>1759</v>
      </c>
      <c r="C208" s="130" t="s">
        <v>174</v>
      </c>
    </row>
    <row r="209" spans="1:3" x14ac:dyDescent="0.3">
      <c r="A209" s="130" t="s">
        <v>1742</v>
      </c>
      <c r="B209" s="130" t="s">
        <v>1760</v>
      </c>
      <c r="C209" s="130" t="s">
        <v>174</v>
      </c>
    </row>
    <row r="210" spans="1:3" x14ac:dyDescent="0.3">
      <c r="A210" s="130" t="s">
        <v>1742</v>
      </c>
      <c r="B210" s="130" t="s">
        <v>1761</v>
      </c>
      <c r="C210" s="130" t="s">
        <v>174</v>
      </c>
    </row>
    <row r="211" spans="1:3" x14ac:dyDescent="0.3">
      <c r="A211" s="130" t="s">
        <v>1742</v>
      </c>
      <c r="B211" s="130" t="s">
        <v>1762</v>
      </c>
      <c r="C211" s="130" t="s">
        <v>174</v>
      </c>
    </row>
    <row r="212" spans="1:3" x14ac:dyDescent="0.3">
      <c r="A212" s="130" t="s">
        <v>1742</v>
      </c>
      <c r="B212" s="130" t="s">
        <v>1763</v>
      </c>
      <c r="C212" s="130" t="s">
        <v>174</v>
      </c>
    </row>
    <row r="213" spans="1:3" x14ac:dyDescent="0.3">
      <c r="A213" s="130" t="s">
        <v>1742</v>
      </c>
      <c r="B213" s="130" t="s">
        <v>1764</v>
      </c>
      <c r="C213" s="130" t="s">
        <v>143</v>
      </c>
    </row>
    <row r="214" spans="1:3" x14ac:dyDescent="0.3">
      <c r="A214" s="130" t="s">
        <v>1742</v>
      </c>
      <c r="B214" s="130" t="s">
        <v>1765</v>
      </c>
      <c r="C214" s="130" t="s">
        <v>143</v>
      </c>
    </row>
    <row r="215" spans="1:3" x14ac:dyDescent="0.3">
      <c r="A215" s="130" t="s">
        <v>1742</v>
      </c>
      <c r="B215" s="130" t="s">
        <v>1766</v>
      </c>
      <c r="C215" s="130" t="s">
        <v>143</v>
      </c>
    </row>
    <row r="216" spans="1:3" x14ac:dyDescent="0.3">
      <c r="A216" s="130" t="s">
        <v>1742</v>
      </c>
      <c r="B216" s="130" t="s">
        <v>1767</v>
      </c>
      <c r="C216" s="130" t="s">
        <v>143</v>
      </c>
    </row>
    <row r="217" spans="1:3" x14ac:dyDescent="0.3">
      <c r="A217" s="130" t="s">
        <v>1742</v>
      </c>
      <c r="B217" s="130" t="s">
        <v>1768</v>
      </c>
      <c r="C217" s="130" t="s">
        <v>143</v>
      </c>
    </row>
    <row r="218" spans="1:3" x14ac:dyDescent="0.3">
      <c r="A218" s="130" t="s">
        <v>1742</v>
      </c>
      <c r="B218" s="130" t="s">
        <v>1769</v>
      </c>
      <c r="C218" s="130" t="s">
        <v>143</v>
      </c>
    </row>
    <row r="219" spans="1:3" x14ac:dyDescent="0.3">
      <c r="A219" s="130" t="s">
        <v>1742</v>
      </c>
      <c r="B219" s="130" t="s">
        <v>1770</v>
      </c>
      <c r="C219" s="130" t="s">
        <v>143</v>
      </c>
    </row>
    <row r="220" spans="1:3" x14ac:dyDescent="0.3">
      <c r="A220" s="130" t="s">
        <v>1742</v>
      </c>
      <c r="B220" s="130" t="s">
        <v>1771</v>
      </c>
      <c r="C220" s="130" t="s">
        <v>143</v>
      </c>
    </row>
    <row r="221" spans="1:3" x14ac:dyDescent="0.3">
      <c r="A221" s="130" t="s">
        <v>1742</v>
      </c>
      <c r="B221" s="130" t="s">
        <v>1772</v>
      </c>
      <c r="C221" s="130" t="s">
        <v>221</v>
      </c>
    </row>
    <row r="222" spans="1:3" x14ac:dyDescent="0.3">
      <c r="A222" s="130" t="s">
        <v>1742</v>
      </c>
      <c r="B222" s="130" t="s">
        <v>1773</v>
      </c>
      <c r="C222" s="130" t="s">
        <v>227</v>
      </c>
    </row>
    <row r="223" spans="1:3" x14ac:dyDescent="0.3">
      <c r="A223" s="130" t="s">
        <v>1742</v>
      </c>
      <c r="B223" s="130" t="s">
        <v>1774</v>
      </c>
      <c r="C223" s="130" t="s">
        <v>225</v>
      </c>
    </row>
    <row r="224" spans="1:3" x14ac:dyDescent="0.3">
      <c r="A224" s="130" t="s">
        <v>1742</v>
      </c>
      <c r="B224" s="130" t="s">
        <v>1775</v>
      </c>
      <c r="C224" s="130" t="s">
        <v>225</v>
      </c>
    </row>
    <row r="225" spans="1:3" x14ac:dyDescent="0.3">
      <c r="A225" s="130" t="s">
        <v>1742</v>
      </c>
      <c r="B225" s="130" t="s">
        <v>1776</v>
      </c>
      <c r="C225" s="130" t="s">
        <v>174</v>
      </c>
    </row>
    <row r="226" spans="1:3" x14ac:dyDescent="0.3">
      <c r="A226" s="130" t="s">
        <v>1742</v>
      </c>
      <c r="B226" s="130" t="s">
        <v>1777</v>
      </c>
      <c r="C226" s="130" t="s">
        <v>174</v>
      </c>
    </row>
    <row r="227" spans="1:3" x14ac:dyDescent="0.3">
      <c r="A227" s="130" t="s">
        <v>1742</v>
      </c>
      <c r="B227" s="130" t="s">
        <v>1778</v>
      </c>
      <c r="C227" s="130" t="s">
        <v>174</v>
      </c>
    </row>
    <row r="228" spans="1:3" x14ac:dyDescent="0.3">
      <c r="A228" s="130" t="s">
        <v>1742</v>
      </c>
      <c r="B228" s="130" t="s">
        <v>1779</v>
      </c>
      <c r="C228" s="130" t="s">
        <v>174</v>
      </c>
    </row>
    <row r="229" spans="1:3" x14ac:dyDescent="0.3">
      <c r="A229" s="130" t="s">
        <v>1742</v>
      </c>
      <c r="B229" s="130" t="s">
        <v>1780</v>
      </c>
      <c r="C229" s="130" t="s">
        <v>174</v>
      </c>
    </row>
    <row r="230" spans="1:3" x14ac:dyDescent="0.3">
      <c r="A230" s="130" t="s">
        <v>1742</v>
      </c>
      <c r="B230" s="130" t="s">
        <v>1781</v>
      </c>
      <c r="C230" s="130" t="s">
        <v>174</v>
      </c>
    </row>
    <row r="231" spans="1:3" x14ac:dyDescent="0.3">
      <c r="A231" s="130" t="s">
        <v>1742</v>
      </c>
      <c r="B231" s="130" t="s">
        <v>1782</v>
      </c>
      <c r="C231" s="130" t="s">
        <v>143</v>
      </c>
    </row>
    <row r="232" spans="1:3" x14ac:dyDescent="0.3">
      <c r="A232" s="130" t="s">
        <v>1742</v>
      </c>
      <c r="B232" s="130" t="s">
        <v>1783</v>
      </c>
      <c r="C232" s="130" t="s">
        <v>143</v>
      </c>
    </row>
    <row r="233" spans="1:3" x14ac:dyDescent="0.3">
      <c r="A233" s="130" t="s">
        <v>1742</v>
      </c>
      <c r="B233" s="130" t="s">
        <v>1784</v>
      </c>
      <c r="C233" s="130" t="s">
        <v>143</v>
      </c>
    </row>
    <row r="234" spans="1:3" x14ac:dyDescent="0.3">
      <c r="A234" s="130" t="s">
        <v>1742</v>
      </c>
      <c r="B234" s="130" t="s">
        <v>1785</v>
      </c>
      <c r="C234" s="130" t="s">
        <v>143</v>
      </c>
    </row>
    <row r="235" spans="1:3" x14ac:dyDescent="0.3">
      <c r="A235" s="130" t="s">
        <v>1742</v>
      </c>
      <c r="B235" s="130" t="s">
        <v>1786</v>
      </c>
      <c r="C235" s="130" t="s">
        <v>143</v>
      </c>
    </row>
    <row r="236" spans="1:3" x14ac:dyDescent="0.3">
      <c r="A236" s="130" t="s">
        <v>1742</v>
      </c>
      <c r="B236" s="130" t="s">
        <v>1787</v>
      </c>
      <c r="C236" s="130" t="s">
        <v>143</v>
      </c>
    </row>
    <row r="237" spans="1:3" x14ac:dyDescent="0.3">
      <c r="A237" s="130" t="s">
        <v>1742</v>
      </c>
      <c r="B237" s="130" t="s">
        <v>1788</v>
      </c>
      <c r="C237" s="130" t="s">
        <v>143</v>
      </c>
    </row>
    <row r="238" spans="1:3" x14ac:dyDescent="0.3">
      <c r="A238" s="130" t="s">
        <v>1742</v>
      </c>
      <c r="B238" s="130" t="s">
        <v>1789</v>
      </c>
      <c r="C238" s="130" t="s">
        <v>143</v>
      </c>
    </row>
    <row r="239" spans="1:3" x14ac:dyDescent="0.3">
      <c r="A239" s="130" t="s">
        <v>1742</v>
      </c>
      <c r="B239" s="130" t="s">
        <v>1790</v>
      </c>
      <c r="C239" s="130" t="s">
        <v>174</v>
      </c>
    </row>
    <row r="240" spans="1:3" x14ac:dyDescent="0.3">
      <c r="A240" s="130" t="s">
        <v>1742</v>
      </c>
      <c r="B240" s="130" t="s">
        <v>1791</v>
      </c>
      <c r="C240" s="130" t="s">
        <v>227</v>
      </c>
    </row>
    <row r="241" spans="1:3" x14ac:dyDescent="0.3">
      <c r="A241" s="130" t="s">
        <v>1742</v>
      </c>
      <c r="B241" s="130" t="s">
        <v>1792</v>
      </c>
      <c r="C241" s="130" t="s">
        <v>225</v>
      </c>
    </row>
    <row r="242" spans="1:3" x14ac:dyDescent="0.3">
      <c r="A242" s="130" t="s">
        <v>1742</v>
      </c>
      <c r="B242" s="130" t="s">
        <v>1793</v>
      </c>
      <c r="C242" s="130" t="s">
        <v>226</v>
      </c>
    </row>
    <row r="243" spans="1:3" x14ac:dyDescent="0.3">
      <c r="A243" s="130" t="s">
        <v>1742</v>
      </c>
      <c r="B243" s="130" t="s">
        <v>1794</v>
      </c>
      <c r="C243" s="130" t="s">
        <v>226</v>
      </c>
    </row>
    <row r="244" spans="1:3" x14ac:dyDescent="0.3">
      <c r="A244" s="130" t="s">
        <v>1742</v>
      </c>
      <c r="B244" s="130" t="s">
        <v>1795</v>
      </c>
      <c r="C244" s="130" t="s">
        <v>226</v>
      </c>
    </row>
    <row r="245" spans="1:3" x14ac:dyDescent="0.3">
      <c r="A245" s="130" t="s">
        <v>1742</v>
      </c>
      <c r="B245" s="130" t="s">
        <v>1796</v>
      </c>
      <c r="C245" s="130" t="s">
        <v>226</v>
      </c>
    </row>
    <row r="246" spans="1:3" x14ac:dyDescent="0.3">
      <c r="A246" s="130" t="s">
        <v>1742</v>
      </c>
      <c r="B246" s="130" t="s">
        <v>1797</v>
      </c>
      <c r="C246" s="130" t="s">
        <v>226</v>
      </c>
    </row>
    <row r="247" spans="1:3" x14ac:dyDescent="0.3">
      <c r="A247" s="130" t="s">
        <v>1742</v>
      </c>
      <c r="B247" s="130" t="s">
        <v>1798</v>
      </c>
      <c r="C247" s="130" t="s">
        <v>221</v>
      </c>
    </row>
    <row r="248" spans="1:3" x14ac:dyDescent="0.3">
      <c r="A248" s="130" t="s">
        <v>1742</v>
      </c>
      <c r="B248" s="130" t="s">
        <v>1799</v>
      </c>
      <c r="C248" s="130" t="s">
        <v>174</v>
      </c>
    </row>
    <row r="249" spans="1:3" x14ac:dyDescent="0.3">
      <c r="A249" s="130" t="s">
        <v>1742</v>
      </c>
      <c r="B249" s="130" t="s">
        <v>1800</v>
      </c>
      <c r="C249" s="130" t="s">
        <v>174</v>
      </c>
    </row>
    <row r="250" spans="1:3" x14ac:dyDescent="0.3">
      <c r="A250" s="130" t="s">
        <v>1742</v>
      </c>
      <c r="B250" s="130" t="s">
        <v>1801</v>
      </c>
      <c r="C250" s="130" t="s">
        <v>174</v>
      </c>
    </row>
    <row r="251" spans="1:3" x14ac:dyDescent="0.3">
      <c r="A251" s="130" t="s">
        <v>1742</v>
      </c>
      <c r="B251" s="130" t="s">
        <v>1802</v>
      </c>
      <c r="C251" s="130" t="s">
        <v>174</v>
      </c>
    </row>
    <row r="252" spans="1:3" x14ac:dyDescent="0.3">
      <c r="A252" s="130" t="s">
        <v>1742</v>
      </c>
      <c r="B252" s="130" t="s">
        <v>1803</v>
      </c>
      <c r="C252" s="130" t="s">
        <v>174</v>
      </c>
    </row>
    <row r="253" spans="1:3" x14ac:dyDescent="0.3">
      <c r="A253" s="130" t="s">
        <v>1742</v>
      </c>
      <c r="B253" s="130" t="s">
        <v>1804</v>
      </c>
      <c r="C253" s="130" t="s">
        <v>418</v>
      </c>
    </row>
    <row r="254" spans="1:3" x14ac:dyDescent="0.3">
      <c r="A254" s="130" t="s">
        <v>1742</v>
      </c>
      <c r="B254" s="130" t="s">
        <v>1805</v>
      </c>
      <c r="C254" s="130" t="s">
        <v>174</v>
      </c>
    </row>
    <row r="255" spans="1:3" x14ac:dyDescent="0.3">
      <c r="A255" s="130" t="s">
        <v>1742</v>
      </c>
      <c r="B255" s="130" t="s">
        <v>1806</v>
      </c>
      <c r="C255" s="130" t="s">
        <v>418</v>
      </c>
    </row>
    <row r="256" spans="1:3" x14ac:dyDescent="0.3">
      <c r="A256" s="130" t="s">
        <v>1742</v>
      </c>
      <c r="B256" s="130" t="s">
        <v>1807</v>
      </c>
      <c r="C256" s="130" t="s">
        <v>221</v>
      </c>
    </row>
    <row r="257" spans="1:3" x14ac:dyDescent="0.3">
      <c r="A257" s="130" t="s">
        <v>1742</v>
      </c>
      <c r="B257" s="130" t="s">
        <v>1808</v>
      </c>
      <c r="C257" s="130" t="s">
        <v>225</v>
      </c>
    </row>
    <row r="258" spans="1:3" x14ac:dyDescent="0.3">
      <c r="A258" s="130" t="s">
        <v>1742</v>
      </c>
      <c r="B258" s="130" t="s">
        <v>1809</v>
      </c>
      <c r="C258" s="130" t="s">
        <v>225</v>
      </c>
    </row>
    <row r="259" spans="1:3" x14ac:dyDescent="0.3">
      <c r="A259" s="130" t="s">
        <v>1742</v>
      </c>
      <c r="B259" s="130" t="s">
        <v>1810</v>
      </c>
      <c r="C259" s="130" t="s">
        <v>225</v>
      </c>
    </row>
    <row r="260" spans="1:3" x14ac:dyDescent="0.3">
      <c r="A260" s="130" t="s">
        <v>1742</v>
      </c>
      <c r="B260" s="130" t="s">
        <v>1811</v>
      </c>
      <c r="C260" s="130" t="s">
        <v>227</v>
      </c>
    </row>
    <row r="261" spans="1:3" x14ac:dyDescent="0.3">
      <c r="A261" s="130" t="s">
        <v>1742</v>
      </c>
      <c r="B261" s="130" t="s">
        <v>1812</v>
      </c>
      <c r="C261" s="130" t="s">
        <v>174</v>
      </c>
    </row>
    <row r="262" spans="1:3" x14ac:dyDescent="0.3">
      <c r="A262" s="130" t="s">
        <v>1742</v>
      </c>
      <c r="B262" s="130" t="s">
        <v>1813</v>
      </c>
      <c r="C262" s="130" t="s">
        <v>174</v>
      </c>
    </row>
    <row r="263" spans="1:3" x14ac:dyDescent="0.3">
      <c r="A263" s="130" t="s">
        <v>1742</v>
      </c>
      <c r="B263" s="130" t="s">
        <v>1814</v>
      </c>
      <c r="C263" s="130" t="s">
        <v>174</v>
      </c>
    </row>
    <row r="264" spans="1:3" x14ac:dyDescent="0.3">
      <c r="A264" s="130" t="s">
        <v>1742</v>
      </c>
      <c r="B264" s="130" t="s">
        <v>1815</v>
      </c>
      <c r="C264" s="130" t="s">
        <v>174</v>
      </c>
    </row>
    <row r="265" spans="1:3" x14ac:dyDescent="0.3">
      <c r="A265" s="130" t="s">
        <v>1742</v>
      </c>
      <c r="B265" s="130" t="s">
        <v>1816</v>
      </c>
      <c r="C265" s="130" t="s">
        <v>174</v>
      </c>
    </row>
    <row r="266" spans="1:3" x14ac:dyDescent="0.3">
      <c r="A266" s="130" t="s">
        <v>1742</v>
      </c>
      <c r="B266" s="130" t="s">
        <v>1817</v>
      </c>
      <c r="C266" s="130" t="s">
        <v>174</v>
      </c>
    </row>
    <row r="267" spans="1:3" x14ac:dyDescent="0.3">
      <c r="A267" s="130" t="s">
        <v>1742</v>
      </c>
      <c r="B267" s="130" t="s">
        <v>1818</v>
      </c>
      <c r="C267" s="130" t="s">
        <v>143</v>
      </c>
    </row>
    <row r="268" spans="1:3" x14ac:dyDescent="0.3">
      <c r="A268" s="130" t="s">
        <v>1742</v>
      </c>
      <c r="B268" s="130" t="s">
        <v>1819</v>
      </c>
      <c r="C268" s="130" t="s">
        <v>143</v>
      </c>
    </row>
    <row r="269" spans="1:3" x14ac:dyDescent="0.3">
      <c r="A269" s="130" t="s">
        <v>1742</v>
      </c>
      <c r="B269" s="130" t="s">
        <v>1820</v>
      </c>
      <c r="C269" s="130" t="s">
        <v>143</v>
      </c>
    </row>
    <row r="270" spans="1:3" x14ac:dyDescent="0.3">
      <c r="A270" s="130" t="s">
        <v>1742</v>
      </c>
      <c r="B270" s="130" t="s">
        <v>1821</v>
      </c>
      <c r="C270" s="130" t="s">
        <v>143</v>
      </c>
    </row>
    <row r="271" spans="1:3" x14ac:dyDescent="0.3">
      <c r="A271" s="130" t="s">
        <v>1742</v>
      </c>
      <c r="B271" s="130" t="s">
        <v>1822</v>
      </c>
      <c r="C271" s="130" t="s">
        <v>143</v>
      </c>
    </row>
    <row r="272" spans="1:3" x14ac:dyDescent="0.3">
      <c r="A272" s="130" t="s">
        <v>1742</v>
      </c>
      <c r="B272" s="130" t="s">
        <v>1823</v>
      </c>
      <c r="C272" s="130" t="s">
        <v>143</v>
      </c>
    </row>
    <row r="273" spans="1:3" x14ac:dyDescent="0.3">
      <c r="A273" s="130" t="s">
        <v>1742</v>
      </c>
      <c r="B273" s="130" t="s">
        <v>1824</v>
      </c>
      <c r="C273" s="130" t="s">
        <v>143</v>
      </c>
    </row>
    <row r="274" spans="1:3" x14ac:dyDescent="0.3">
      <c r="A274" s="130" t="s">
        <v>1742</v>
      </c>
      <c r="B274" s="130" t="s">
        <v>1825</v>
      </c>
      <c r="C274" s="130" t="s">
        <v>143</v>
      </c>
    </row>
    <row r="275" spans="1:3" x14ac:dyDescent="0.3">
      <c r="A275" s="130" t="s">
        <v>1742</v>
      </c>
      <c r="B275" s="130" t="s">
        <v>1826</v>
      </c>
      <c r="C275" s="130" t="s">
        <v>221</v>
      </c>
    </row>
    <row r="276" spans="1:3" x14ac:dyDescent="0.3">
      <c r="A276" s="130" t="s">
        <v>1742</v>
      </c>
      <c r="B276" s="130" t="s">
        <v>1827</v>
      </c>
      <c r="C276" s="130" t="s">
        <v>227</v>
      </c>
    </row>
    <row r="277" spans="1:3" x14ac:dyDescent="0.3">
      <c r="A277" s="130" t="s">
        <v>1742</v>
      </c>
      <c r="B277" s="130" t="s">
        <v>1828</v>
      </c>
      <c r="C277" s="130" t="s">
        <v>225</v>
      </c>
    </row>
    <row r="278" spans="1:3" x14ac:dyDescent="0.3">
      <c r="A278" s="130" t="s">
        <v>1742</v>
      </c>
      <c r="B278" s="130" t="s">
        <v>1829</v>
      </c>
      <c r="C278" s="130" t="s">
        <v>225</v>
      </c>
    </row>
    <row r="279" spans="1:3" x14ac:dyDescent="0.3">
      <c r="A279" s="130" t="s">
        <v>1742</v>
      </c>
      <c r="B279" s="130" t="s">
        <v>1830</v>
      </c>
      <c r="C279" s="130" t="s">
        <v>174</v>
      </c>
    </row>
    <row r="280" spans="1:3" x14ac:dyDescent="0.3">
      <c r="A280" s="130" t="s">
        <v>1742</v>
      </c>
      <c r="B280" s="130" t="s">
        <v>1831</v>
      </c>
      <c r="C280" s="130" t="s">
        <v>174</v>
      </c>
    </row>
    <row r="281" spans="1:3" x14ac:dyDescent="0.3">
      <c r="A281" s="130" t="s">
        <v>1742</v>
      </c>
      <c r="B281" s="130" t="s">
        <v>1832</v>
      </c>
      <c r="C281" s="130" t="s">
        <v>174</v>
      </c>
    </row>
    <row r="282" spans="1:3" x14ac:dyDescent="0.3">
      <c r="A282" s="130" t="s">
        <v>1742</v>
      </c>
      <c r="B282" s="130" t="s">
        <v>1833</v>
      </c>
      <c r="C282" s="130" t="s">
        <v>174</v>
      </c>
    </row>
    <row r="283" spans="1:3" x14ac:dyDescent="0.3">
      <c r="A283" s="130" t="s">
        <v>1742</v>
      </c>
      <c r="B283" s="130" t="s">
        <v>1834</v>
      </c>
      <c r="C283" s="130" t="s">
        <v>174</v>
      </c>
    </row>
    <row r="284" spans="1:3" x14ac:dyDescent="0.3">
      <c r="A284" s="130" t="s">
        <v>1742</v>
      </c>
      <c r="B284" s="130" t="s">
        <v>1835</v>
      </c>
      <c r="C284" s="130" t="s">
        <v>174</v>
      </c>
    </row>
    <row r="285" spans="1:3" x14ac:dyDescent="0.3">
      <c r="A285" s="130" t="s">
        <v>1742</v>
      </c>
      <c r="B285" s="130" t="s">
        <v>1836</v>
      </c>
      <c r="C285" s="130" t="s">
        <v>143</v>
      </c>
    </row>
    <row r="286" spans="1:3" x14ac:dyDescent="0.3">
      <c r="A286" s="130" t="s">
        <v>1742</v>
      </c>
      <c r="B286" s="130" t="s">
        <v>1837</v>
      </c>
      <c r="C286" s="130" t="s">
        <v>143</v>
      </c>
    </row>
    <row r="287" spans="1:3" x14ac:dyDescent="0.3">
      <c r="A287" s="130" t="s">
        <v>1742</v>
      </c>
      <c r="B287" s="130" t="s">
        <v>1838</v>
      </c>
      <c r="C287" s="130" t="s">
        <v>143</v>
      </c>
    </row>
    <row r="288" spans="1:3" x14ac:dyDescent="0.3">
      <c r="A288" s="130" t="s">
        <v>1742</v>
      </c>
      <c r="B288" s="130" t="s">
        <v>1839</v>
      </c>
      <c r="C288" s="130" t="s">
        <v>143</v>
      </c>
    </row>
    <row r="289" spans="1:3" x14ac:dyDescent="0.3">
      <c r="A289" s="130" t="s">
        <v>1742</v>
      </c>
      <c r="B289" s="130" t="s">
        <v>1840</v>
      </c>
      <c r="C289" s="130" t="s">
        <v>143</v>
      </c>
    </row>
    <row r="290" spans="1:3" x14ac:dyDescent="0.3">
      <c r="A290" s="130" t="s">
        <v>1742</v>
      </c>
      <c r="B290" s="130" t="s">
        <v>1841</v>
      </c>
      <c r="C290" s="130" t="s">
        <v>143</v>
      </c>
    </row>
    <row r="291" spans="1:3" x14ac:dyDescent="0.3">
      <c r="A291" s="130" t="s">
        <v>1742</v>
      </c>
      <c r="B291" s="130" t="s">
        <v>1842</v>
      </c>
      <c r="C291" s="130" t="s">
        <v>143</v>
      </c>
    </row>
    <row r="292" spans="1:3" x14ac:dyDescent="0.3">
      <c r="A292" s="130" t="s">
        <v>1742</v>
      </c>
      <c r="B292" s="130" t="s">
        <v>1843</v>
      </c>
      <c r="C292" s="130" t="s">
        <v>143</v>
      </c>
    </row>
    <row r="293" spans="1:3" x14ac:dyDescent="0.3">
      <c r="A293" s="130" t="s">
        <v>1742</v>
      </c>
      <c r="B293" s="130" t="s">
        <v>1844</v>
      </c>
      <c r="C293" s="130" t="s">
        <v>224</v>
      </c>
    </row>
    <row r="294" spans="1:3" x14ac:dyDescent="0.3">
      <c r="A294" s="130" t="s">
        <v>1742</v>
      </c>
      <c r="B294" s="130" t="s">
        <v>1845</v>
      </c>
      <c r="C294" s="130" t="s">
        <v>224</v>
      </c>
    </row>
    <row r="295" spans="1:3" x14ac:dyDescent="0.3">
      <c r="A295" s="130" t="s">
        <v>1742</v>
      </c>
      <c r="B295" s="130" t="s">
        <v>1846</v>
      </c>
      <c r="C295" s="130" t="s">
        <v>418</v>
      </c>
    </row>
    <row r="296" spans="1:3" x14ac:dyDescent="0.3">
      <c r="A296" s="130" t="s">
        <v>1742</v>
      </c>
      <c r="B296" s="130" t="s">
        <v>1847</v>
      </c>
      <c r="C296" s="130" t="s">
        <v>418</v>
      </c>
    </row>
    <row r="297" spans="1:3" x14ac:dyDescent="0.3">
      <c r="A297" s="130" t="s">
        <v>1742</v>
      </c>
      <c r="B297" s="130" t="s">
        <v>1848</v>
      </c>
      <c r="C297" s="130" t="s">
        <v>418</v>
      </c>
    </row>
    <row r="298" spans="1:3" x14ac:dyDescent="0.3">
      <c r="A298" s="130" t="s">
        <v>1742</v>
      </c>
      <c r="B298" s="130" t="s">
        <v>1849</v>
      </c>
      <c r="C298" s="130" t="s">
        <v>418</v>
      </c>
    </row>
    <row r="299" spans="1:3" x14ac:dyDescent="0.3">
      <c r="A299" s="130" t="s">
        <v>1742</v>
      </c>
      <c r="B299" s="130" t="s">
        <v>1850</v>
      </c>
      <c r="C299" s="130" t="s">
        <v>418</v>
      </c>
    </row>
    <row r="300" spans="1:3" x14ac:dyDescent="0.3">
      <c r="A300" s="130" t="s">
        <v>1742</v>
      </c>
      <c r="B300" s="130" t="s">
        <v>1851</v>
      </c>
      <c r="C300" s="130" t="s">
        <v>418</v>
      </c>
    </row>
    <row r="301" spans="1:3" x14ac:dyDescent="0.3">
      <c r="A301" s="130" t="s">
        <v>1852</v>
      </c>
      <c r="B301" s="130" t="s">
        <v>1853</v>
      </c>
      <c r="C301" s="130" t="s">
        <v>227</v>
      </c>
    </row>
    <row r="302" spans="1:3" x14ac:dyDescent="0.3">
      <c r="A302" s="130" t="s">
        <v>1852</v>
      </c>
      <c r="B302" s="130" t="s">
        <v>1854</v>
      </c>
      <c r="C302" s="130" t="s">
        <v>225</v>
      </c>
    </row>
    <row r="303" spans="1:3" x14ac:dyDescent="0.3">
      <c r="A303" s="130" t="s">
        <v>1852</v>
      </c>
      <c r="B303" s="130" t="s">
        <v>1855</v>
      </c>
      <c r="C303" s="130" t="s">
        <v>221</v>
      </c>
    </row>
    <row r="304" spans="1:3" x14ac:dyDescent="0.3">
      <c r="A304" s="130" t="s">
        <v>1852</v>
      </c>
      <c r="B304" s="130" t="s">
        <v>1856</v>
      </c>
      <c r="C304" s="130" t="s">
        <v>174</v>
      </c>
    </row>
    <row r="305" spans="1:3" x14ac:dyDescent="0.3">
      <c r="A305" s="130" t="s">
        <v>1852</v>
      </c>
      <c r="B305" s="130" t="s">
        <v>1857</v>
      </c>
      <c r="C305" s="130" t="s">
        <v>174</v>
      </c>
    </row>
    <row r="306" spans="1:3" x14ac:dyDescent="0.3">
      <c r="A306" s="130" t="s">
        <v>1852</v>
      </c>
      <c r="B306" s="130" t="s">
        <v>1858</v>
      </c>
      <c r="C306" s="130" t="s">
        <v>174</v>
      </c>
    </row>
    <row r="307" spans="1:3" x14ac:dyDescent="0.3">
      <c r="A307" s="130" t="s">
        <v>1852</v>
      </c>
      <c r="B307" s="130" t="s">
        <v>1859</v>
      </c>
      <c r="C307" s="130" t="s">
        <v>174</v>
      </c>
    </row>
    <row r="308" spans="1:3" x14ac:dyDescent="0.3">
      <c r="A308" s="130" t="s">
        <v>1852</v>
      </c>
      <c r="B308" s="130" t="s">
        <v>1860</v>
      </c>
      <c r="C308" s="130" t="s">
        <v>174</v>
      </c>
    </row>
    <row r="309" spans="1:3" x14ac:dyDescent="0.3">
      <c r="A309" s="130" t="s">
        <v>1852</v>
      </c>
      <c r="B309" s="130" t="s">
        <v>1861</v>
      </c>
      <c r="C309" s="130" t="s">
        <v>418</v>
      </c>
    </row>
    <row r="310" spans="1:3" x14ac:dyDescent="0.3">
      <c r="A310" s="130" t="s">
        <v>1852</v>
      </c>
      <c r="B310" s="130" t="s">
        <v>1862</v>
      </c>
      <c r="C310" s="130" t="s">
        <v>174</v>
      </c>
    </row>
    <row r="311" spans="1:3" x14ac:dyDescent="0.3">
      <c r="A311" s="130" t="s">
        <v>1852</v>
      </c>
      <c r="B311" s="130" t="s">
        <v>1863</v>
      </c>
      <c r="C311" s="130" t="s">
        <v>418</v>
      </c>
    </row>
    <row r="312" spans="1:3" x14ac:dyDescent="0.3">
      <c r="A312" s="130" t="s">
        <v>1852</v>
      </c>
      <c r="B312" s="130" t="s">
        <v>1864</v>
      </c>
      <c r="C312" s="130" t="s">
        <v>221</v>
      </c>
    </row>
    <row r="313" spans="1:3" x14ac:dyDescent="0.3">
      <c r="A313" s="130" t="s">
        <v>1852</v>
      </c>
      <c r="B313" s="130" t="s">
        <v>1865</v>
      </c>
      <c r="C313" s="130" t="s">
        <v>225</v>
      </c>
    </row>
    <row r="314" spans="1:3" x14ac:dyDescent="0.3">
      <c r="A314" s="130" t="s">
        <v>1852</v>
      </c>
      <c r="B314" s="130" t="s">
        <v>1866</v>
      </c>
      <c r="C314" s="130" t="s">
        <v>225</v>
      </c>
    </row>
    <row r="315" spans="1:3" x14ac:dyDescent="0.3">
      <c r="A315" s="130" t="s">
        <v>1852</v>
      </c>
      <c r="B315" s="130" t="s">
        <v>1867</v>
      </c>
      <c r="C315" s="130" t="s">
        <v>227</v>
      </c>
    </row>
    <row r="316" spans="1:3" x14ac:dyDescent="0.3">
      <c r="A316" s="130" t="s">
        <v>1852</v>
      </c>
      <c r="B316" s="130" t="s">
        <v>1868</v>
      </c>
      <c r="C316" s="130" t="s">
        <v>174</v>
      </c>
    </row>
    <row r="317" spans="1:3" x14ac:dyDescent="0.3">
      <c r="A317" s="130" t="s">
        <v>1852</v>
      </c>
      <c r="B317" s="130" t="s">
        <v>1869</v>
      </c>
      <c r="C317" s="130" t="s">
        <v>174</v>
      </c>
    </row>
    <row r="318" spans="1:3" x14ac:dyDescent="0.3">
      <c r="A318" s="130" t="s">
        <v>1852</v>
      </c>
      <c r="B318" s="130" t="s">
        <v>1870</v>
      </c>
      <c r="C318" s="130" t="s">
        <v>174</v>
      </c>
    </row>
    <row r="319" spans="1:3" x14ac:dyDescent="0.3">
      <c r="A319" s="130" t="s">
        <v>1852</v>
      </c>
      <c r="B319" s="130" t="s">
        <v>1871</v>
      </c>
      <c r="C319" s="130" t="s">
        <v>174</v>
      </c>
    </row>
    <row r="320" spans="1:3" x14ac:dyDescent="0.3">
      <c r="A320" s="130" t="s">
        <v>1852</v>
      </c>
      <c r="B320" s="130" t="s">
        <v>1872</v>
      </c>
      <c r="C320" s="130" t="s">
        <v>174</v>
      </c>
    </row>
    <row r="321" spans="1:3" x14ac:dyDescent="0.3">
      <c r="A321" s="130" t="s">
        <v>1852</v>
      </c>
      <c r="B321" s="130" t="s">
        <v>1873</v>
      </c>
      <c r="C321" s="130" t="s">
        <v>174</v>
      </c>
    </row>
    <row r="322" spans="1:3" x14ac:dyDescent="0.3">
      <c r="A322" s="130" t="s">
        <v>1852</v>
      </c>
      <c r="B322" s="130" t="s">
        <v>1874</v>
      </c>
      <c r="C322" s="130" t="s">
        <v>143</v>
      </c>
    </row>
    <row r="323" spans="1:3" x14ac:dyDescent="0.3">
      <c r="A323" s="130" t="s">
        <v>1852</v>
      </c>
      <c r="B323" s="130" t="s">
        <v>1875</v>
      </c>
      <c r="C323" s="130" t="s">
        <v>143</v>
      </c>
    </row>
    <row r="324" spans="1:3" x14ac:dyDescent="0.3">
      <c r="A324" s="130" t="s">
        <v>1852</v>
      </c>
      <c r="B324" s="130" t="s">
        <v>1876</v>
      </c>
      <c r="C324" s="130" t="s">
        <v>143</v>
      </c>
    </row>
    <row r="325" spans="1:3" x14ac:dyDescent="0.3">
      <c r="A325" s="130" t="s">
        <v>1852</v>
      </c>
      <c r="B325" s="130" t="s">
        <v>1877</v>
      </c>
      <c r="C325" s="130" t="s">
        <v>143</v>
      </c>
    </row>
    <row r="326" spans="1:3" x14ac:dyDescent="0.3">
      <c r="A326" s="130" t="s">
        <v>1852</v>
      </c>
      <c r="B326" s="130" t="s">
        <v>1878</v>
      </c>
      <c r="C326" s="130" t="s">
        <v>221</v>
      </c>
    </row>
    <row r="327" spans="1:3" x14ac:dyDescent="0.3">
      <c r="A327" s="130" t="s">
        <v>1852</v>
      </c>
      <c r="B327" s="130" t="s">
        <v>1879</v>
      </c>
      <c r="C327" s="130" t="s">
        <v>227</v>
      </c>
    </row>
    <row r="328" spans="1:3" x14ac:dyDescent="0.3">
      <c r="A328" s="130" t="s">
        <v>1852</v>
      </c>
      <c r="B328" s="130" t="s">
        <v>1880</v>
      </c>
      <c r="C328" s="130" t="s">
        <v>225</v>
      </c>
    </row>
    <row r="329" spans="1:3" x14ac:dyDescent="0.3">
      <c r="A329" s="130" t="s">
        <v>1852</v>
      </c>
      <c r="B329" s="130" t="s">
        <v>1881</v>
      </c>
      <c r="C329" s="130" t="s">
        <v>225</v>
      </c>
    </row>
    <row r="330" spans="1:3" x14ac:dyDescent="0.3">
      <c r="A330" s="130" t="s">
        <v>1852</v>
      </c>
      <c r="B330" s="130" t="s">
        <v>1882</v>
      </c>
      <c r="C330" s="130" t="s">
        <v>174</v>
      </c>
    </row>
    <row r="331" spans="1:3" x14ac:dyDescent="0.3">
      <c r="A331" s="130" t="s">
        <v>1852</v>
      </c>
      <c r="B331" s="130" t="s">
        <v>1883</v>
      </c>
      <c r="C331" s="130" t="s">
        <v>174</v>
      </c>
    </row>
    <row r="332" spans="1:3" x14ac:dyDescent="0.3">
      <c r="A332" s="130" t="s">
        <v>1852</v>
      </c>
      <c r="B332" s="130" t="s">
        <v>1884</v>
      </c>
      <c r="C332" s="130" t="s">
        <v>174</v>
      </c>
    </row>
    <row r="333" spans="1:3" x14ac:dyDescent="0.3">
      <c r="A333" s="130" t="s">
        <v>1852</v>
      </c>
      <c r="B333" s="130" t="s">
        <v>1885</v>
      </c>
      <c r="C333" s="130" t="s">
        <v>174</v>
      </c>
    </row>
    <row r="334" spans="1:3" x14ac:dyDescent="0.3">
      <c r="A334" s="130" t="s">
        <v>1852</v>
      </c>
      <c r="B334" s="130" t="s">
        <v>1886</v>
      </c>
      <c r="C334" s="130" t="s">
        <v>174</v>
      </c>
    </row>
    <row r="335" spans="1:3" x14ac:dyDescent="0.3">
      <c r="A335" s="130" t="s">
        <v>1852</v>
      </c>
      <c r="B335" s="130" t="s">
        <v>1887</v>
      </c>
      <c r="C335" s="130" t="s">
        <v>174</v>
      </c>
    </row>
    <row r="336" spans="1:3" x14ac:dyDescent="0.3">
      <c r="A336" s="130" t="s">
        <v>1852</v>
      </c>
      <c r="B336" s="130" t="s">
        <v>1888</v>
      </c>
      <c r="C336" s="130" t="s">
        <v>143</v>
      </c>
    </row>
    <row r="337" spans="1:3" x14ac:dyDescent="0.3">
      <c r="A337" s="130" t="s">
        <v>1852</v>
      </c>
      <c r="B337" s="130" t="s">
        <v>1889</v>
      </c>
      <c r="C337" s="130" t="s">
        <v>143</v>
      </c>
    </row>
    <row r="338" spans="1:3" x14ac:dyDescent="0.3">
      <c r="A338" s="130" t="s">
        <v>1852</v>
      </c>
      <c r="B338" s="130" t="s">
        <v>1890</v>
      </c>
      <c r="C338" s="130" t="s">
        <v>143</v>
      </c>
    </row>
    <row r="339" spans="1:3" x14ac:dyDescent="0.3">
      <c r="A339" s="130" t="s">
        <v>1852</v>
      </c>
      <c r="B339" s="130" t="s">
        <v>1891</v>
      </c>
      <c r="C339" s="130" t="s">
        <v>143</v>
      </c>
    </row>
    <row r="340" spans="1:3" x14ac:dyDescent="0.3">
      <c r="A340" s="130" t="s">
        <v>1852</v>
      </c>
      <c r="B340" s="130" t="s">
        <v>1892</v>
      </c>
      <c r="C340" s="130" t="s">
        <v>174</v>
      </c>
    </row>
    <row r="341" spans="1:3" x14ac:dyDescent="0.3">
      <c r="A341" s="130" t="s">
        <v>1852</v>
      </c>
      <c r="B341" s="130" t="s">
        <v>1893</v>
      </c>
      <c r="C341" s="130" t="s">
        <v>227</v>
      </c>
    </row>
    <row r="342" spans="1:3" x14ac:dyDescent="0.3">
      <c r="A342" s="130" t="s">
        <v>1852</v>
      </c>
      <c r="B342" s="130" t="s">
        <v>1894</v>
      </c>
      <c r="C342" s="130" t="s">
        <v>225</v>
      </c>
    </row>
    <row r="343" spans="1:3" x14ac:dyDescent="0.3">
      <c r="A343" s="130" t="s">
        <v>1852</v>
      </c>
      <c r="B343" s="130" t="s">
        <v>1895</v>
      </c>
      <c r="C343" s="130" t="s">
        <v>226</v>
      </c>
    </row>
    <row r="344" spans="1:3" x14ac:dyDescent="0.3">
      <c r="A344" s="130" t="s">
        <v>1852</v>
      </c>
      <c r="B344" s="130" t="s">
        <v>1896</v>
      </c>
      <c r="C344" s="130" t="s">
        <v>226</v>
      </c>
    </row>
    <row r="345" spans="1:3" x14ac:dyDescent="0.3">
      <c r="A345" s="130" t="s">
        <v>1852</v>
      </c>
      <c r="B345" s="130" t="s">
        <v>1897</v>
      </c>
      <c r="C345" s="130" t="s">
        <v>226</v>
      </c>
    </row>
    <row r="346" spans="1:3" x14ac:dyDescent="0.3">
      <c r="A346" s="130" t="s">
        <v>1852</v>
      </c>
      <c r="B346" s="130" t="s">
        <v>1898</v>
      </c>
      <c r="C346" s="130" t="s">
        <v>226</v>
      </c>
    </row>
    <row r="347" spans="1:3" x14ac:dyDescent="0.3">
      <c r="A347" s="130" t="s">
        <v>1852</v>
      </c>
      <c r="B347" s="130" t="s">
        <v>1899</v>
      </c>
      <c r="C347" s="130" t="s">
        <v>226</v>
      </c>
    </row>
    <row r="348" spans="1:3" x14ac:dyDescent="0.3">
      <c r="A348" s="130" t="s">
        <v>1852</v>
      </c>
      <c r="B348" s="130" t="s">
        <v>1900</v>
      </c>
      <c r="C348" s="130" t="s">
        <v>221</v>
      </c>
    </row>
    <row r="349" spans="1:3" x14ac:dyDescent="0.3">
      <c r="A349" s="130" t="s">
        <v>1852</v>
      </c>
      <c r="B349" s="130" t="s">
        <v>1901</v>
      </c>
      <c r="C349" s="130" t="s">
        <v>174</v>
      </c>
    </row>
    <row r="350" spans="1:3" x14ac:dyDescent="0.3">
      <c r="A350" s="130" t="s">
        <v>1852</v>
      </c>
      <c r="B350" s="130" t="s">
        <v>1902</v>
      </c>
      <c r="C350" s="130" t="s">
        <v>174</v>
      </c>
    </row>
    <row r="351" spans="1:3" x14ac:dyDescent="0.3">
      <c r="A351" s="130" t="s">
        <v>1852</v>
      </c>
      <c r="B351" s="130" t="s">
        <v>1903</v>
      </c>
      <c r="C351" s="130" t="s">
        <v>174</v>
      </c>
    </row>
    <row r="352" spans="1:3" x14ac:dyDescent="0.3">
      <c r="A352" s="130" t="s">
        <v>1852</v>
      </c>
      <c r="B352" s="130" t="s">
        <v>1904</v>
      </c>
      <c r="C352" s="130" t="s">
        <v>174</v>
      </c>
    </row>
    <row r="353" spans="1:3" x14ac:dyDescent="0.3">
      <c r="A353" s="130" t="s">
        <v>1852</v>
      </c>
      <c r="B353" s="130" t="s">
        <v>1905</v>
      </c>
      <c r="C353" s="130" t="s">
        <v>174</v>
      </c>
    </row>
    <row r="354" spans="1:3" x14ac:dyDescent="0.3">
      <c r="A354" s="130" t="s">
        <v>1852</v>
      </c>
      <c r="B354" s="130" t="s">
        <v>1906</v>
      </c>
      <c r="C354" s="130" t="s">
        <v>418</v>
      </c>
    </row>
    <row r="355" spans="1:3" x14ac:dyDescent="0.3">
      <c r="A355" s="130" t="s">
        <v>1852</v>
      </c>
      <c r="B355" s="130" t="s">
        <v>1907</v>
      </c>
      <c r="C355" s="130" t="s">
        <v>174</v>
      </c>
    </row>
    <row r="356" spans="1:3" x14ac:dyDescent="0.3">
      <c r="A356" s="130" t="s">
        <v>1852</v>
      </c>
      <c r="B356" s="130" t="s">
        <v>1908</v>
      </c>
      <c r="C356" s="130" t="s">
        <v>418</v>
      </c>
    </row>
    <row r="357" spans="1:3" x14ac:dyDescent="0.3">
      <c r="A357" s="130" t="s">
        <v>1852</v>
      </c>
      <c r="B357" s="130" t="s">
        <v>1909</v>
      </c>
      <c r="C357" s="130" t="s">
        <v>221</v>
      </c>
    </row>
    <row r="358" spans="1:3" x14ac:dyDescent="0.3">
      <c r="A358" s="130" t="s">
        <v>1852</v>
      </c>
      <c r="B358" s="130" t="s">
        <v>1910</v>
      </c>
      <c r="C358" s="130" t="s">
        <v>225</v>
      </c>
    </row>
    <row r="359" spans="1:3" x14ac:dyDescent="0.3">
      <c r="A359" s="130" t="s">
        <v>1852</v>
      </c>
      <c r="B359" s="130" t="s">
        <v>1911</v>
      </c>
      <c r="C359" s="130" t="s">
        <v>225</v>
      </c>
    </row>
    <row r="360" spans="1:3" x14ac:dyDescent="0.3">
      <c r="A360" s="130" t="s">
        <v>1852</v>
      </c>
      <c r="B360" s="130" t="s">
        <v>1912</v>
      </c>
      <c r="C360" s="130" t="s">
        <v>225</v>
      </c>
    </row>
    <row r="361" spans="1:3" x14ac:dyDescent="0.3">
      <c r="A361" s="130" t="s">
        <v>1852</v>
      </c>
      <c r="B361" s="130" t="s">
        <v>1913</v>
      </c>
      <c r="C361" s="130" t="s">
        <v>227</v>
      </c>
    </row>
    <row r="362" spans="1:3" x14ac:dyDescent="0.3">
      <c r="A362" s="130" t="s">
        <v>1852</v>
      </c>
      <c r="B362" s="130" t="s">
        <v>1914</v>
      </c>
      <c r="C362" s="130" t="s">
        <v>174</v>
      </c>
    </row>
    <row r="363" spans="1:3" x14ac:dyDescent="0.3">
      <c r="A363" s="130" t="s">
        <v>1852</v>
      </c>
      <c r="B363" s="130" t="s">
        <v>1915</v>
      </c>
      <c r="C363" s="130" t="s">
        <v>174</v>
      </c>
    </row>
    <row r="364" spans="1:3" x14ac:dyDescent="0.3">
      <c r="A364" s="130" t="s">
        <v>1852</v>
      </c>
      <c r="B364" s="130" t="s">
        <v>1916</v>
      </c>
      <c r="C364" s="130" t="s">
        <v>174</v>
      </c>
    </row>
    <row r="365" spans="1:3" x14ac:dyDescent="0.3">
      <c r="A365" s="130" t="s">
        <v>1852</v>
      </c>
      <c r="B365" s="130" t="s">
        <v>1917</v>
      </c>
      <c r="C365" s="130" t="s">
        <v>174</v>
      </c>
    </row>
    <row r="366" spans="1:3" x14ac:dyDescent="0.3">
      <c r="A366" s="130" t="s">
        <v>1852</v>
      </c>
      <c r="B366" s="130" t="s">
        <v>1918</v>
      </c>
      <c r="C366" s="130" t="s">
        <v>174</v>
      </c>
    </row>
    <row r="367" spans="1:3" x14ac:dyDescent="0.3">
      <c r="A367" s="130" t="s">
        <v>1852</v>
      </c>
      <c r="B367" s="130" t="s">
        <v>1919</v>
      </c>
      <c r="C367" s="130" t="s">
        <v>174</v>
      </c>
    </row>
    <row r="368" spans="1:3" x14ac:dyDescent="0.3">
      <c r="A368" s="130" t="s">
        <v>1852</v>
      </c>
      <c r="B368" s="130" t="s">
        <v>1920</v>
      </c>
      <c r="C368" s="130" t="s">
        <v>143</v>
      </c>
    </row>
    <row r="369" spans="1:3" x14ac:dyDescent="0.3">
      <c r="A369" s="130" t="s">
        <v>1852</v>
      </c>
      <c r="B369" s="130" t="s">
        <v>1921</v>
      </c>
      <c r="C369" s="130" t="s">
        <v>143</v>
      </c>
    </row>
    <row r="370" spans="1:3" x14ac:dyDescent="0.3">
      <c r="A370" s="130" t="s">
        <v>1852</v>
      </c>
      <c r="B370" s="130" t="s">
        <v>1922</v>
      </c>
      <c r="C370" s="130" t="s">
        <v>143</v>
      </c>
    </row>
    <row r="371" spans="1:3" x14ac:dyDescent="0.3">
      <c r="A371" s="130" t="s">
        <v>1852</v>
      </c>
      <c r="B371" s="130" t="s">
        <v>1923</v>
      </c>
      <c r="C371" s="130" t="s">
        <v>143</v>
      </c>
    </row>
    <row r="372" spans="1:3" x14ac:dyDescent="0.3">
      <c r="A372" s="130" t="s">
        <v>1852</v>
      </c>
      <c r="B372" s="130" t="s">
        <v>1924</v>
      </c>
      <c r="C372" s="130" t="s">
        <v>221</v>
      </c>
    </row>
    <row r="373" spans="1:3" x14ac:dyDescent="0.3">
      <c r="A373" s="130" t="s">
        <v>1852</v>
      </c>
      <c r="B373" s="130" t="s">
        <v>1925</v>
      </c>
      <c r="C373" s="130" t="s">
        <v>227</v>
      </c>
    </row>
    <row r="374" spans="1:3" x14ac:dyDescent="0.3">
      <c r="A374" s="130" t="s">
        <v>1852</v>
      </c>
      <c r="B374" s="130" t="s">
        <v>1926</v>
      </c>
      <c r="C374" s="130" t="s">
        <v>225</v>
      </c>
    </row>
    <row r="375" spans="1:3" x14ac:dyDescent="0.3">
      <c r="A375" s="130" t="s">
        <v>1852</v>
      </c>
      <c r="B375" s="130" t="s">
        <v>1927</v>
      </c>
      <c r="C375" s="130" t="s">
        <v>225</v>
      </c>
    </row>
    <row r="376" spans="1:3" x14ac:dyDescent="0.3">
      <c r="A376" s="130" t="s">
        <v>1852</v>
      </c>
      <c r="B376" s="130" t="s">
        <v>1928</v>
      </c>
      <c r="C376" s="130" t="s">
        <v>174</v>
      </c>
    </row>
    <row r="377" spans="1:3" x14ac:dyDescent="0.3">
      <c r="A377" s="130" t="s">
        <v>1852</v>
      </c>
      <c r="B377" s="130" t="s">
        <v>1929</v>
      </c>
      <c r="C377" s="130" t="s">
        <v>174</v>
      </c>
    </row>
    <row r="378" spans="1:3" x14ac:dyDescent="0.3">
      <c r="A378" s="130" t="s">
        <v>1852</v>
      </c>
      <c r="B378" s="130" t="s">
        <v>1930</v>
      </c>
      <c r="C378" s="130" t="s">
        <v>174</v>
      </c>
    </row>
    <row r="379" spans="1:3" x14ac:dyDescent="0.3">
      <c r="A379" s="130" t="s">
        <v>1852</v>
      </c>
      <c r="B379" s="130" t="s">
        <v>1931</v>
      </c>
      <c r="C379" s="130" t="s">
        <v>174</v>
      </c>
    </row>
    <row r="380" spans="1:3" x14ac:dyDescent="0.3">
      <c r="A380" s="130" t="s">
        <v>1852</v>
      </c>
      <c r="B380" s="130" t="s">
        <v>1932</v>
      </c>
      <c r="C380" s="130" t="s">
        <v>174</v>
      </c>
    </row>
    <row r="381" spans="1:3" x14ac:dyDescent="0.3">
      <c r="A381" s="130" t="s">
        <v>1852</v>
      </c>
      <c r="B381" s="130" t="s">
        <v>1933</v>
      </c>
      <c r="C381" s="130" t="s">
        <v>174</v>
      </c>
    </row>
    <row r="382" spans="1:3" x14ac:dyDescent="0.3">
      <c r="A382" s="130" t="s">
        <v>1852</v>
      </c>
      <c r="B382" s="130" t="s">
        <v>1934</v>
      </c>
      <c r="C382" s="130" t="s">
        <v>143</v>
      </c>
    </row>
    <row r="383" spans="1:3" x14ac:dyDescent="0.3">
      <c r="A383" s="130" t="s">
        <v>1852</v>
      </c>
      <c r="B383" s="130" t="s">
        <v>1935</v>
      </c>
      <c r="C383" s="130" t="s">
        <v>143</v>
      </c>
    </row>
    <row r="384" spans="1:3" x14ac:dyDescent="0.3">
      <c r="A384" s="130" t="s">
        <v>1852</v>
      </c>
      <c r="B384" s="130" t="s">
        <v>1936</v>
      </c>
      <c r="C384" s="130" t="s">
        <v>143</v>
      </c>
    </row>
    <row r="385" spans="1:3" x14ac:dyDescent="0.3">
      <c r="A385" s="130" t="s">
        <v>1852</v>
      </c>
      <c r="B385" s="130" t="s">
        <v>1937</v>
      </c>
      <c r="C385" s="130" t="s">
        <v>143</v>
      </c>
    </row>
    <row r="386" spans="1:3" x14ac:dyDescent="0.3">
      <c r="A386" s="130" t="s">
        <v>1852</v>
      </c>
      <c r="B386" s="130" t="s">
        <v>1938</v>
      </c>
      <c r="C386" s="130" t="s">
        <v>224</v>
      </c>
    </row>
    <row r="387" spans="1:3" x14ac:dyDescent="0.3">
      <c r="A387" s="130" t="s">
        <v>1852</v>
      </c>
      <c r="B387" s="130" t="s">
        <v>1939</v>
      </c>
      <c r="C387" s="130" t="s">
        <v>224</v>
      </c>
    </row>
    <row r="388" spans="1:3" x14ac:dyDescent="0.3">
      <c r="A388" s="130" t="s">
        <v>1852</v>
      </c>
      <c r="B388" s="130" t="s">
        <v>1940</v>
      </c>
      <c r="C388" s="130" t="s">
        <v>418</v>
      </c>
    </row>
    <row r="389" spans="1:3" x14ac:dyDescent="0.3">
      <c r="A389" s="130" t="s">
        <v>1852</v>
      </c>
      <c r="B389" s="130" t="s">
        <v>1941</v>
      </c>
      <c r="C389" s="130" t="s">
        <v>418</v>
      </c>
    </row>
    <row r="390" spans="1:3" x14ac:dyDescent="0.3">
      <c r="A390" s="130" t="s">
        <v>1852</v>
      </c>
      <c r="B390" s="130" t="s">
        <v>1942</v>
      </c>
      <c r="C390" s="130" t="s">
        <v>418</v>
      </c>
    </row>
    <row r="391" spans="1:3" x14ac:dyDescent="0.3">
      <c r="A391" s="130" t="s">
        <v>1852</v>
      </c>
      <c r="B391" s="130" t="s">
        <v>1943</v>
      </c>
      <c r="C391" s="130" t="s">
        <v>418</v>
      </c>
    </row>
    <row r="392" spans="1:3" x14ac:dyDescent="0.3">
      <c r="A392" s="130" t="s">
        <v>1852</v>
      </c>
      <c r="B392" s="130" t="s">
        <v>1944</v>
      </c>
      <c r="C392" s="130" t="s">
        <v>418</v>
      </c>
    </row>
    <row r="393" spans="1:3" x14ac:dyDescent="0.3">
      <c r="A393" s="130" t="s">
        <v>1852</v>
      </c>
      <c r="B393" s="130" t="s">
        <v>1945</v>
      </c>
      <c r="C393" s="130" t="s">
        <v>418</v>
      </c>
    </row>
    <row r="394" spans="1:3" x14ac:dyDescent="0.3">
      <c r="A394" s="130" t="s">
        <v>1946</v>
      </c>
      <c r="B394" s="130" t="s">
        <v>1947</v>
      </c>
      <c r="C394" s="130" t="s">
        <v>227</v>
      </c>
    </row>
    <row r="395" spans="1:3" x14ac:dyDescent="0.3">
      <c r="A395" s="130" t="s">
        <v>1946</v>
      </c>
      <c r="B395" s="130" t="s">
        <v>1948</v>
      </c>
      <c r="C395" s="130" t="s">
        <v>225</v>
      </c>
    </row>
    <row r="396" spans="1:3" x14ac:dyDescent="0.3">
      <c r="A396" s="130" t="s">
        <v>1946</v>
      </c>
      <c r="B396" s="130" t="s">
        <v>1949</v>
      </c>
      <c r="C396" s="130" t="s">
        <v>221</v>
      </c>
    </row>
    <row r="397" spans="1:3" x14ac:dyDescent="0.3">
      <c r="A397" s="130" t="s">
        <v>1946</v>
      </c>
      <c r="B397" s="130" t="s">
        <v>1950</v>
      </c>
      <c r="C397" s="130" t="s">
        <v>143</v>
      </c>
    </row>
    <row r="398" spans="1:3" x14ac:dyDescent="0.3">
      <c r="A398" s="130" t="s">
        <v>1946</v>
      </c>
      <c r="B398" s="130" t="s">
        <v>1951</v>
      </c>
      <c r="C398" s="130" t="s">
        <v>143</v>
      </c>
    </row>
    <row r="399" spans="1:3" x14ac:dyDescent="0.3">
      <c r="A399" s="130" t="s">
        <v>1946</v>
      </c>
      <c r="B399" s="130" t="s">
        <v>1952</v>
      </c>
      <c r="C399" s="130" t="s">
        <v>143</v>
      </c>
    </row>
    <row r="400" spans="1:3" x14ac:dyDescent="0.3">
      <c r="A400" s="130" t="s">
        <v>1946</v>
      </c>
      <c r="B400" s="130" t="s">
        <v>1953</v>
      </c>
      <c r="C400" s="130" t="s">
        <v>143</v>
      </c>
    </row>
    <row r="401" spans="1:3" x14ac:dyDescent="0.3">
      <c r="A401" s="130" t="s">
        <v>1946</v>
      </c>
      <c r="B401" s="130" t="s">
        <v>1954</v>
      </c>
      <c r="C401" s="130" t="s">
        <v>143</v>
      </c>
    </row>
    <row r="402" spans="1:3" x14ac:dyDescent="0.3">
      <c r="A402" s="130" t="s">
        <v>1946</v>
      </c>
      <c r="B402" s="130" t="s">
        <v>1955</v>
      </c>
      <c r="C402" s="130" t="s">
        <v>174</v>
      </c>
    </row>
    <row r="403" spans="1:3" x14ac:dyDescent="0.3">
      <c r="A403" s="130" t="s">
        <v>1946</v>
      </c>
      <c r="B403" s="130" t="s">
        <v>1956</v>
      </c>
      <c r="C403" s="130" t="s">
        <v>174</v>
      </c>
    </row>
    <row r="404" spans="1:3" x14ac:dyDescent="0.3">
      <c r="A404" s="130" t="s">
        <v>1946</v>
      </c>
      <c r="B404" s="130" t="s">
        <v>1957</v>
      </c>
      <c r="C404" s="130" t="s">
        <v>174</v>
      </c>
    </row>
    <row r="405" spans="1:3" x14ac:dyDescent="0.3">
      <c r="A405" s="130" t="s">
        <v>1946</v>
      </c>
      <c r="B405" s="130" t="s">
        <v>1958</v>
      </c>
      <c r="C405" s="130" t="s">
        <v>174</v>
      </c>
    </row>
    <row r="406" spans="1:3" x14ac:dyDescent="0.3">
      <c r="A406" s="130" t="s">
        <v>1946</v>
      </c>
      <c r="B406" s="130" t="s">
        <v>1959</v>
      </c>
      <c r="C406" s="130" t="s">
        <v>174</v>
      </c>
    </row>
    <row r="407" spans="1:3" x14ac:dyDescent="0.3">
      <c r="A407" s="130" t="s">
        <v>1946</v>
      </c>
      <c r="B407" s="130" t="s">
        <v>1960</v>
      </c>
      <c r="C407" s="130" t="s">
        <v>418</v>
      </c>
    </row>
    <row r="408" spans="1:3" x14ac:dyDescent="0.3">
      <c r="A408" s="130" t="s">
        <v>1946</v>
      </c>
      <c r="B408" s="130" t="s">
        <v>1961</v>
      </c>
      <c r="C408" s="130" t="s">
        <v>174</v>
      </c>
    </row>
    <row r="409" spans="1:3" x14ac:dyDescent="0.3">
      <c r="A409" s="130" t="s">
        <v>1946</v>
      </c>
      <c r="B409" s="130" t="s">
        <v>1962</v>
      </c>
      <c r="C409" s="130" t="s">
        <v>418</v>
      </c>
    </row>
    <row r="410" spans="1:3" x14ac:dyDescent="0.3">
      <c r="A410" s="130" t="s">
        <v>1946</v>
      </c>
      <c r="B410" s="130" t="s">
        <v>1963</v>
      </c>
      <c r="C410" s="130" t="s">
        <v>221</v>
      </c>
    </row>
    <row r="411" spans="1:3" x14ac:dyDescent="0.3">
      <c r="A411" s="130" t="s">
        <v>1946</v>
      </c>
      <c r="B411" s="130" t="s">
        <v>1964</v>
      </c>
      <c r="C411" s="130" t="s">
        <v>225</v>
      </c>
    </row>
    <row r="412" spans="1:3" x14ac:dyDescent="0.3">
      <c r="A412" s="130" t="s">
        <v>1946</v>
      </c>
      <c r="B412" s="130" t="s">
        <v>1965</v>
      </c>
      <c r="C412" s="130" t="s">
        <v>225</v>
      </c>
    </row>
    <row r="413" spans="1:3" x14ac:dyDescent="0.3">
      <c r="A413" s="130" t="s">
        <v>1946</v>
      </c>
      <c r="B413" s="130" t="s">
        <v>1966</v>
      </c>
      <c r="C413" s="130" t="s">
        <v>227</v>
      </c>
    </row>
    <row r="414" spans="1:3" x14ac:dyDescent="0.3">
      <c r="A414" s="130" t="s">
        <v>1946</v>
      </c>
      <c r="B414" s="130" t="s">
        <v>1967</v>
      </c>
      <c r="C414" s="130" t="s">
        <v>174</v>
      </c>
    </row>
    <row r="415" spans="1:3" x14ac:dyDescent="0.3">
      <c r="A415" s="130" t="s">
        <v>1946</v>
      </c>
      <c r="B415" s="130" t="s">
        <v>1968</v>
      </c>
      <c r="C415" s="130" t="s">
        <v>174</v>
      </c>
    </row>
    <row r="416" spans="1:3" x14ac:dyDescent="0.3">
      <c r="A416" s="130" t="s">
        <v>1946</v>
      </c>
      <c r="B416" s="130" t="s">
        <v>1969</v>
      </c>
      <c r="C416" s="130" t="s">
        <v>174</v>
      </c>
    </row>
    <row r="417" spans="1:3" x14ac:dyDescent="0.3">
      <c r="A417" s="130" t="s">
        <v>1946</v>
      </c>
      <c r="B417" s="130" t="s">
        <v>1970</v>
      </c>
      <c r="C417" s="130" t="s">
        <v>174</v>
      </c>
    </row>
    <row r="418" spans="1:3" x14ac:dyDescent="0.3">
      <c r="A418" s="130" t="s">
        <v>1946</v>
      </c>
      <c r="B418" s="130" t="s">
        <v>1971</v>
      </c>
      <c r="C418" s="130" t="s">
        <v>174</v>
      </c>
    </row>
    <row r="419" spans="1:3" x14ac:dyDescent="0.3">
      <c r="A419" s="130" t="s">
        <v>1946</v>
      </c>
      <c r="B419" s="130" t="s">
        <v>1972</v>
      </c>
      <c r="C419" s="130" t="s">
        <v>174</v>
      </c>
    </row>
    <row r="420" spans="1:3" x14ac:dyDescent="0.3">
      <c r="A420" s="130" t="s">
        <v>1946</v>
      </c>
      <c r="B420" s="130" t="s">
        <v>1973</v>
      </c>
      <c r="C420" s="130" t="s">
        <v>143</v>
      </c>
    </row>
    <row r="421" spans="1:3" x14ac:dyDescent="0.3">
      <c r="A421" s="130" t="s">
        <v>1946</v>
      </c>
      <c r="B421" s="130" t="s">
        <v>1974</v>
      </c>
      <c r="C421" s="130" t="s">
        <v>143</v>
      </c>
    </row>
    <row r="422" spans="1:3" x14ac:dyDescent="0.3">
      <c r="A422" s="130" t="s">
        <v>1946</v>
      </c>
      <c r="B422" s="130" t="s">
        <v>1975</v>
      </c>
      <c r="C422" s="130" t="s">
        <v>143</v>
      </c>
    </row>
    <row r="423" spans="1:3" x14ac:dyDescent="0.3">
      <c r="A423" s="130" t="s">
        <v>1946</v>
      </c>
      <c r="B423" s="130" t="s">
        <v>1976</v>
      </c>
      <c r="C423" s="130" t="s">
        <v>143</v>
      </c>
    </row>
    <row r="424" spans="1:3" x14ac:dyDescent="0.3">
      <c r="A424" s="130" t="s">
        <v>1946</v>
      </c>
      <c r="B424" s="130" t="s">
        <v>1977</v>
      </c>
      <c r="C424" s="130" t="s">
        <v>143</v>
      </c>
    </row>
    <row r="425" spans="1:3" x14ac:dyDescent="0.3">
      <c r="A425" s="130" t="s">
        <v>1946</v>
      </c>
      <c r="B425" s="130" t="s">
        <v>1978</v>
      </c>
      <c r="C425" s="130" t="s">
        <v>143</v>
      </c>
    </row>
    <row r="426" spans="1:3" x14ac:dyDescent="0.3">
      <c r="A426" s="130" t="s">
        <v>1946</v>
      </c>
      <c r="B426" s="130" t="s">
        <v>1979</v>
      </c>
      <c r="C426" s="130" t="s">
        <v>143</v>
      </c>
    </row>
    <row r="427" spans="1:3" x14ac:dyDescent="0.3">
      <c r="A427" s="130" t="s">
        <v>1946</v>
      </c>
      <c r="B427" s="130" t="s">
        <v>1980</v>
      </c>
      <c r="C427" s="130" t="s">
        <v>143</v>
      </c>
    </row>
    <row r="428" spans="1:3" x14ac:dyDescent="0.3">
      <c r="A428" s="130" t="s">
        <v>1946</v>
      </c>
      <c r="B428" s="130" t="s">
        <v>1981</v>
      </c>
      <c r="C428" s="130" t="s">
        <v>143</v>
      </c>
    </row>
    <row r="429" spans="1:3" x14ac:dyDescent="0.3">
      <c r="A429" s="130" t="s">
        <v>1946</v>
      </c>
      <c r="B429" s="130" t="s">
        <v>1982</v>
      </c>
      <c r="C429" s="130" t="s">
        <v>143</v>
      </c>
    </row>
    <row r="430" spans="1:3" x14ac:dyDescent="0.3">
      <c r="A430" s="130" t="s">
        <v>1946</v>
      </c>
      <c r="B430" s="130" t="s">
        <v>1983</v>
      </c>
      <c r="C430" s="130" t="s">
        <v>143</v>
      </c>
    </row>
    <row r="431" spans="1:3" x14ac:dyDescent="0.3">
      <c r="A431" s="130" t="s">
        <v>1946</v>
      </c>
      <c r="B431" s="130" t="s">
        <v>1984</v>
      </c>
      <c r="C431" s="130" t="s">
        <v>143</v>
      </c>
    </row>
    <row r="432" spans="1:3" x14ac:dyDescent="0.3">
      <c r="A432" s="130" t="s">
        <v>1946</v>
      </c>
      <c r="B432" s="130" t="s">
        <v>1985</v>
      </c>
      <c r="C432" s="130" t="s">
        <v>143</v>
      </c>
    </row>
    <row r="433" spans="1:3" x14ac:dyDescent="0.3">
      <c r="A433" s="130" t="s">
        <v>1946</v>
      </c>
      <c r="B433" s="130" t="s">
        <v>1986</v>
      </c>
      <c r="C433" s="130" t="s">
        <v>143</v>
      </c>
    </row>
    <row r="434" spans="1:3" x14ac:dyDescent="0.3">
      <c r="A434" s="130" t="s">
        <v>1946</v>
      </c>
      <c r="B434" s="130" t="s">
        <v>1987</v>
      </c>
      <c r="C434" s="130" t="s">
        <v>143</v>
      </c>
    </row>
    <row r="435" spans="1:3" x14ac:dyDescent="0.3">
      <c r="A435" s="130" t="s">
        <v>1946</v>
      </c>
      <c r="B435" s="130" t="s">
        <v>1988</v>
      </c>
      <c r="C435" s="130" t="s">
        <v>143</v>
      </c>
    </row>
    <row r="436" spans="1:3" x14ac:dyDescent="0.3">
      <c r="A436" s="130" t="s">
        <v>1946</v>
      </c>
      <c r="B436" s="130" t="s">
        <v>1989</v>
      </c>
      <c r="C436" s="130" t="s">
        <v>221</v>
      </c>
    </row>
    <row r="437" spans="1:3" x14ac:dyDescent="0.3">
      <c r="A437" s="130" t="s">
        <v>1946</v>
      </c>
      <c r="B437" s="130" t="s">
        <v>1990</v>
      </c>
      <c r="C437" s="130" t="s">
        <v>227</v>
      </c>
    </row>
    <row r="438" spans="1:3" x14ac:dyDescent="0.3">
      <c r="A438" s="130" t="s">
        <v>1946</v>
      </c>
      <c r="B438" s="130" t="s">
        <v>1991</v>
      </c>
      <c r="C438" s="130" t="s">
        <v>225</v>
      </c>
    </row>
    <row r="439" spans="1:3" x14ac:dyDescent="0.3">
      <c r="A439" s="130" t="s">
        <v>1946</v>
      </c>
      <c r="B439" s="130" t="s">
        <v>1992</v>
      </c>
      <c r="C439" s="130" t="s">
        <v>225</v>
      </c>
    </row>
    <row r="440" spans="1:3" x14ac:dyDescent="0.3">
      <c r="A440" s="130" t="s">
        <v>1946</v>
      </c>
      <c r="B440" s="130" t="s">
        <v>1993</v>
      </c>
      <c r="C440" s="130" t="s">
        <v>174</v>
      </c>
    </row>
    <row r="441" spans="1:3" x14ac:dyDescent="0.3">
      <c r="A441" s="130" t="s">
        <v>1946</v>
      </c>
      <c r="B441" s="130" t="s">
        <v>1994</v>
      </c>
      <c r="C441" s="130" t="s">
        <v>174</v>
      </c>
    </row>
    <row r="442" spans="1:3" x14ac:dyDescent="0.3">
      <c r="A442" s="130" t="s">
        <v>1946</v>
      </c>
      <c r="B442" s="130" t="s">
        <v>1995</v>
      </c>
      <c r="C442" s="130" t="s">
        <v>174</v>
      </c>
    </row>
    <row r="443" spans="1:3" x14ac:dyDescent="0.3">
      <c r="A443" s="130" t="s">
        <v>1946</v>
      </c>
      <c r="B443" s="130" t="s">
        <v>1996</v>
      </c>
      <c r="C443" s="130" t="s">
        <v>174</v>
      </c>
    </row>
    <row r="444" spans="1:3" x14ac:dyDescent="0.3">
      <c r="A444" s="130" t="s">
        <v>1946</v>
      </c>
      <c r="B444" s="130" t="s">
        <v>1997</v>
      </c>
      <c r="C444" s="130" t="s">
        <v>174</v>
      </c>
    </row>
    <row r="445" spans="1:3" x14ac:dyDescent="0.3">
      <c r="A445" s="130" t="s">
        <v>1946</v>
      </c>
      <c r="B445" s="130" t="s">
        <v>1998</v>
      </c>
      <c r="C445" s="130" t="s">
        <v>174</v>
      </c>
    </row>
    <row r="446" spans="1:3" x14ac:dyDescent="0.3">
      <c r="A446" s="130" t="s">
        <v>1946</v>
      </c>
      <c r="B446" s="130" t="s">
        <v>1999</v>
      </c>
      <c r="C446" s="130" t="s">
        <v>143</v>
      </c>
    </row>
    <row r="447" spans="1:3" x14ac:dyDescent="0.3">
      <c r="A447" s="130" t="s">
        <v>1946</v>
      </c>
      <c r="B447" s="130" t="s">
        <v>2000</v>
      </c>
      <c r="C447" s="130" t="s">
        <v>143</v>
      </c>
    </row>
    <row r="448" spans="1:3" x14ac:dyDescent="0.3">
      <c r="A448" s="130" t="s">
        <v>1946</v>
      </c>
      <c r="B448" s="130" t="s">
        <v>2001</v>
      </c>
      <c r="C448" s="130" t="s">
        <v>143</v>
      </c>
    </row>
    <row r="449" spans="1:3" x14ac:dyDescent="0.3">
      <c r="A449" s="130" t="s">
        <v>1946</v>
      </c>
      <c r="B449" s="130" t="s">
        <v>2002</v>
      </c>
      <c r="C449" s="130" t="s">
        <v>143</v>
      </c>
    </row>
    <row r="450" spans="1:3" x14ac:dyDescent="0.3">
      <c r="A450" s="130" t="s">
        <v>1946</v>
      </c>
      <c r="B450" s="130" t="s">
        <v>2003</v>
      </c>
      <c r="C450" s="130" t="s">
        <v>143</v>
      </c>
    </row>
    <row r="451" spans="1:3" x14ac:dyDescent="0.3">
      <c r="A451" s="130" t="s">
        <v>1946</v>
      </c>
      <c r="B451" s="130" t="s">
        <v>2004</v>
      </c>
      <c r="C451" s="130" t="s">
        <v>143</v>
      </c>
    </row>
    <row r="452" spans="1:3" x14ac:dyDescent="0.3">
      <c r="A452" s="130" t="s">
        <v>1946</v>
      </c>
      <c r="B452" s="130" t="s">
        <v>2005</v>
      </c>
      <c r="C452" s="130" t="s">
        <v>143</v>
      </c>
    </row>
    <row r="453" spans="1:3" x14ac:dyDescent="0.3">
      <c r="A453" s="130" t="s">
        <v>1946</v>
      </c>
      <c r="B453" s="130" t="s">
        <v>2006</v>
      </c>
      <c r="C453" s="130" t="s">
        <v>143</v>
      </c>
    </row>
    <row r="454" spans="1:3" x14ac:dyDescent="0.3">
      <c r="A454" s="130" t="s">
        <v>1946</v>
      </c>
      <c r="B454" s="130" t="s">
        <v>2007</v>
      </c>
      <c r="C454" s="130" t="s">
        <v>143</v>
      </c>
    </row>
    <row r="455" spans="1:3" x14ac:dyDescent="0.3">
      <c r="A455" s="130" t="s">
        <v>1946</v>
      </c>
      <c r="B455" s="130" t="s">
        <v>2008</v>
      </c>
      <c r="C455" s="130" t="s">
        <v>143</v>
      </c>
    </row>
    <row r="456" spans="1:3" x14ac:dyDescent="0.3">
      <c r="A456" s="130" t="s">
        <v>1946</v>
      </c>
      <c r="B456" s="130" t="s">
        <v>2009</v>
      </c>
      <c r="C456" s="130" t="s">
        <v>143</v>
      </c>
    </row>
    <row r="457" spans="1:3" x14ac:dyDescent="0.3">
      <c r="A457" s="130" t="s">
        <v>1946</v>
      </c>
      <c r="B457" s="130" t="s">
        <v>2010</v>
      </c>
      <c r="C457" s="130" t="s">
        <v>143</v>
      </c>
    </row>
    <row r="458" spans="1:3" x14ac:dyDescent="0.3">
      <c r="A458" s="130" t="s">
        <v>1946</v>
      </c>
      <c r="B458" s="130" t="s">
        <v>2011</v>
      </c>
      <c r="C458" s="130" t="s">
        <v>143</v>
      </c>
    </row>
    <row r="459" spans="1:3" x14ac:dyDescent="0.3">
      <c r="A459" s="130" t="s">
        <v>1946</v>
      </c>
      <c r="B459" s="130" t="s">
        <v>2012</v>
      </c>
      <c r="C459" s="130" t="s">
        <v>143</v>
      </c>
    </row>
    <row r="460" spans="1:3" x14ac:dyDescent="0.3">
      <c r="A460" s="130" t="s">
        <v>1946</v>
      </c>
      <c r="B460" s="130" t="s">
        <v>2013</v>
      </c>
      <c r="C460" s="130" t="s">
        <v>143</v>
      </c>
    </row>
    <row r="461" spans="1:3" x14ac:dyDescent="0.3">
      <c r="A461" s="130" t="s">
        <v>1946</v>
      </c>
      <c r="B461" s="130" t="s">
        <v>2014</v>
      </c>
      <c r="C461" s="130" t="s">
        <v>143</v>
      </c>
    </row>
    <row r="462" spans="1:3" x14ac:dyDescent="0.3">
      <c r="A462" s="130" t="s">
        <v>1946</v>
      </c>
      <c r="B462" s="130" t="s">
        <v>2015</v>
      </c>
      <c r="C462" s="130" t="s">
        <v>174</v>
      </c>
    </row>
    <row r="463" spans="1:3" x14ac:dyDescent="0.3">
      <c r="A463" s="130" t="s">
        <v>1946</v>
      </c>
      <c r="B463" s="130" t="s">
        <v>2016</v>
      </c>
      <c r="C463" s="130" t="s">
        <v>227</v>
      </c>
    </row>
    <row r="464" spans="1:3" x14ac:dyDescent="0.3">
      <c r="A464" s="130" t="s">
        <v>222</v>
      </c>
      <c r="B464" s="130" t="s">
        <v>222</v>
      </c>
      <c r="C464" s="130" t="s">
        <v>222</v>
      </c>
    </row>
    <row r="465" spans="1:3" x14ac:dyDescent="0.3">
      <c r="A465" s="130" t="s">
        <v>222</v>
      </c>
      <c r="B465" s="130" t="s">
        <v>222</v>
      </c>
      <c r="C465" s="130" t="s">
        <v>222</v>
      </c>
    </row>
    <row r="466" spans="1:3" x14ac:dyDescent="0.3">
      <c r="A466" s="130" t="s">
        <v>222</v>
      </c>
      <c r="B466" s="130" t="s">
        <v>222</v>
      </c>
      <c r="C466" s="130" t="s">
        <v>222</v>
      </c>
    </row>
    <row r="467" spans="1:3" x14ac:dyDescent="0.3">
      <c r="A467" s="130" t="s">
        <v>222</v>
      </c>
      <c r="B467" s="130" t="s">
        <v>222</v>
      </c>
      <c r="C467" s="130" t="s">
        <v>222</v>
      </c>
    </row>
    <row r="468" spans="1:3" x14ac:dyDescent="0.3">
      <c r="A468" s="130" t="s">
        <v>222</v>
      </c>
      <c r="B468" s="130" t="s">
        <v>222</v>
      </c>
      <c r="C468" s="130" t="s">
        <v>222</v>
      </c>
    </row>
    <row r="469" spans="1:3" x14ac:dyDescent="0.3">
      <c r="A469" s="130" t="s">
        <v>222</v>
      </c>
      <c r="B469" s="130" t="s">
        <v>222</v>
      </c>
      <c r="C469" s="130" t="s">
        <v>222</v>
      </c>
    </row>
    <row r="470" spans="1:3" x14ac:dyDescent="0.3">
      <c r="A470" s="130" t="s">
        <v>222</v>
      </c>
      <c r="B470" s="130" t="s">
        <v>222</v>
      </c>
      <c r="C470" s="130" t="s">
        <v>222</v>
      </c>
    </row>
    <row r="471" spans="1:3" x14ac:dyDescent="0.3">
      <c r="A471" s="130" t="s">
        <v>222</v>
      </c>
      <c r="B471" s="130" t="s">
        <v>222</v>
      </c>
      <c r="C471" s="130" t="s">
        <v>222</v>
      </c>
    </row>
    <row r="472" spans="1:3" x14ac:dyDescent="0.3">
      <c r="A472" s="130" t="s">
        <v>222</v>
      </c>
      <c r="B472" s="130" t="s">
        <v>222</v>
      </c>
      <c r="C472" s="130" t="s">
        <v>222</v>
      </c>
    </row>
    <row r="473" spans="1:3" x14ac:dyDescent="0.3">
      <c r="A473" s="130" t="s">
        <v>222</v>
      </c>
      <c r="B473" s="130" t="s">
        <v>222</v>
      </c>
      <c r="C473" s="130" t="s">
        <v>222</v>
      </c>
    </row>
    <row r="474" spans="1:3" x14ac:dyDescent="0.3">
      <c r="A474" s="130" t="s">
        <v>222</v>
      </c>
      <c r="B474" s="130" t="s">
        <v>222</v>
      </c>
      <c r="C474" s="130" t="s">
        <v>222</v>
      </c>
    </row>
    <row r="475" spans="1:3" x14ac:dyDescent="0.3">
      <c r="A475" s="130" t="s">
        <v>222</v>
      </c>
      <c r="B475" s="130" t="s">
        <v>222</v>
      </c>
      <c r="C475" s="130" t="s">
        <v>222</v>
      </c>
    </row>
    <row r="476" spans="1:3" x14ac:dyDescent="0.3">
      <c r="A476" s="130" t="s">
        <v>222</v>
      </c>
      <c r="B476" s="130" t="s">
        <v>222</v>
      </c>
      <c r="C476" s="130" t="s">
        <v>222</v>
      </c>
    </row>
    <row r="477" spans="1:3" x14ac:dyDescent="0.3">
      <c r="A477" s="130" t="s">
        <v>222</v>
      </c>
      <c r="B477" s="130" t="s">
        <v>222</v>
      </c>
      <c r="C477" s="130" t="s">
        <v>222</v>
      </c>
    </row>
    <row r="478" spans="1:3" x14ac:dyDescent="0.3">
      <c r="A478" s="130" t="s">
        <v>222</v>
      </c>
      <c r="B478" s="130" t="s">
        <v>222</v>
      </c>
      <c r="C478" s="130" t="s">
        <v>222</v>
      </c>
    </row>
    <row r="479" spans="1:3" x14ac:dyDescent="0.3">
      <c r="A479" s="130" t="s">
        <v>222</v>
      </c>
      <c r="B479" s="130" t="s">
        <v>222</v>
      </c>
      <c r="C479" s="130" t="s">
        <v>222</v>
      </c>
    </row>
    <row r="480" spans="1:3" x14ac:dyDescent="0.3">
      <c r="A480" s="130" t="s">
        <v>222</v>
      </c>
      <c r="B480" s="130" t="s">
        <v>222</v>
      </c>
      <c r="C480" s="130" t="s">
        <v>222</v>
      </c>
    </row>
    <row r="481" spans="1:3" x14ac:dyDescent="0.3">
      <c r="A481" s="130" t="s">
        <v>222</v>
      </c>
      <c r="B481" s="130" t="s">
        <v>222</v>
      </c>
      <c r="C481" s="130" t="s">
        <v>222</v>
      </c>
    </row>
    <row r="482" spans="1:3" x14ac:dyDescent="0.3">
      <c r="A482" s="130" t="s">
        <v>222</v>
      </c>
      <c r="B482" s="130" t="s">
        <v>222</v>
      </c>
      <c r="C482" s="130" t="s">
        <v>222</v>
      </c>
    </row>
    <row r="483" spans="1:3" x14ac:dyDescent="0.3">
      <c r="A483" s="130" t="s">
        <v>222</v>
      </c>
      <c r="B483" s="130" t="s">
        <v>222</v>
      </c>
      <c r="C483" s="130" t="s">
        <v>222</v>
      </c>
    </row>
    <row r="484" spans="1:3" x14ac:dyDescent="0.3">
      <c r="A484" s="130" t="s">
        <v>222</v>
      </c>
      <c r="B484" s="130" t="s">
        <v>222</v>
      </c>
      <c r="C484" s="130" t="s">
        <v>222</v>
      </c>
    </row>
    <row r="485" spans="1:3" x14ac:dyDescent="0.3">
      <c r="A485" s="130" t="s">
        <v>222</v>
      </c>
      <c r="B485" s="130" t="s">
        <v>222</v>
      </c>
      <c r="C485" s="130" t="s">
        <v>222</v>
      </c>
    </row>
    <row r="486" spans="1:3" x14ac:dyDescent="0.3">
      <c r="A486" s="130" t="s">
        <v>222</v>
      </c>
      <c r="B486" s="130" t="s">
        <v>222</v>
      </c>
      <c r="C486" s="130" t="s">
        <v>222</v>
      </c>
    </row>
    <row r="487" spans="1:3" x14ac:dyDescent="0.3">
      <c r="A487" s="130" t="s">
        <v>222</v>
      </c>
      <c r="B487" s="130" t="s">
        <v>222</v>
      </c>
      <c r="C487" s="130" t="s">
        <v>222</v>
      </c>
    </row>
    <row r="488" spans="1:3" x14ac:dyDescent="0.3">
      <c r="A488" s="130" t="s">
        <v>222</v>
      </c>
      <c r="B488" s="130" t="s">
        <v>222</v>
      </c>
      <c r="C488" s="130" t="s">
        <v>222</v>
      </c>
    </row>
    <row r="489" spans="1:3" x14ac:dyDescent="0.3">
      <c r="A489" s="130" t="s">
        <v>222</v>
      </c>
      <c r="B489" s="130" t="s">
        <v>222</v>
      </c>
      <c r="C489" s="130" t="s">
        <v>222</v>
      </c>
    </row>
    <row r="490" spans="1:3" x14ac:dyDescent="0.3">
      <c r="A490" s="130" t="s">
        <v>222</v>
      </c>
      <c r="B490" s="130" t="s">
        <v>222</v>
      </c>
      <c r="C490" s="130" t="s">
        <v>222</v>
      </c>
    </row>
    <row r="491" spans="1:3" x14ac:dyDescent="0.3">
      <c r="A491" s="130" t="s">
        <v>222</v>
      </c>
      <c r="B491" s="130" t="s">
        <v>222</v>
      </c>
      <c r="C491" s="130" t="s">
        <v>222</v>
      </c>
    </row>
    <row r="492" spans="1:3" x14ac:dyDescent="0.3">
      <c r="A492" s="130" t="s">
        <v>222</v>
      </c>
      <c r="B492" s="130" t="s">
        <v>222</v>
      </c>
      <c r="C492" s="130" t="s">
        <v>222</v>
      </c>
    </row>
    <row r="493" spans="1:3" x14ac:dyDescent="0.3">
      <c r="A493" s="130" t="s">
        <v>222</v>
      </c>
      <c r="B493" s="130" t="s">
        <v>222</v>
      </c>
      <c r="C493" s="130" t="s">
        <v>222</v>
      </c>
    </row>
    <row r="494" spans="1:3" x14ac:dyDescent="0.3">
      <c r="A494" s="130" t="s">
        <v>222</v>
      </c>
      <c r="B494" s="130" t="s">
        <v>222</v>
      </c>
      <c r="C494" s="130" t="s">
        <v>222</v>
      </c>
    </row>
    <row r="495" spans="1:3" x14ac:dyDescent="0.3">
      <c r="A495" s="130" t="s">
        <v>222</v>
      </c>
      <c r="B495" s="130" t="s">
        <v>222</v>
      </c>
      <c r="C495" s="130" t="s">
        <v>222</v>
      </c>
    </row>
    <row r="496" spans="1:3" x14ac:dyDescent="0.3">
      <c r="A496" s="130" t="s">
        <v>222</v>
      </c>
      <c r="B496" s="130" t="s">
        <v>222</v>
      </c>
      <c r="C496" s="130" t="s">
        <v>222</v>
      </c>
    </row>
    <row r="497" spans="1:3" x14ac:dyDescent="0.3">
      <c r="A497" s="130" t="s">
        <v>222</v>
      </c>
      <c r="B497" s="130" t="s">
        <v>222</v>
      </c>
      <c r="C497" s="130" t="s">
        <v>222</v>
      </c>
    </row>
    <row r="498" spans="1:3" x14ac:dyDescent="0.3">
      <c r="A498" s="130" t="s">
        <v>222</v>
      </c>
      <c r="B498" s="130" t="s">
        <v>222</v>
      </c>
      <c r="C498" s="130" t="s">
        <v>222</v>
      </c>
    </row>
    <row r="499" spans="1:3" x14ac:dyDescent="0.3">
      <c r="A499" s="130" t="s">
        <v>222</v>
      </c>
      <c r="B499" s="130" t="s">
        <v>222</v>
      </c>
      <c r="C499" s="130" t="s">
        <v>222</v>
      </c>
    </row>
    <row r="500" spans="1:3" x14ac:dyDescent="0.3">
      <c r="A500" s="130" t="s">
        <v>222</v>
      </c>
      <c r="B500" s="130" t="s">
        <v>222</v>
      </c>
      <c r="C500" s="130" t="s">
        <v>222</v>
      </c>
    </row>
    <row r="501" spans="1:3" x14ac:dyDescent="0.3">
      <c r="A501" s="130" t="s">
        <v>222</v>
      </c>
      <c r="B501" s="130" t="s">
        <v>222</v>
      </c>
      <c r="C501" s="130" t="s">
        <v>222</v>
      </c>
    </row>
    <row r="502" spans="1:3" x14ac:dyDescent="0.3">
      <c r="A502" s="130" t="s">
        <v>222</v>
      </c>
      <c r="B502" s="130" t="s">
        <v>222</v>
      </c>
      <c r="C502" s="130" t="s">
        <v>222</v>
      </c>
    </row>
    <row r="503" spans="1:3" x14ac:dyDescent="0.3">
      <c r="A503" s="130" t="s">
        <v>222</v>
      </c>
      <c r="B503" s="130" t="s">
        <v>222</v>
      </c>
      <c r="C503" s="130" t="s">
        <v>222</v>
      </c>
    </row>
    <row r="504" spans="1:3" x14ac:dyDescent="0.3">
      <c r="A504" s="130" t="s">
        <v>222</v>
      </c>
      <c r="B504" s="130" t="s">
        <v>222</v>
      </c>
      <c r="C504" s="130" t="s">
        <v>222</v>
      </c>
    </row>
    <row r="505" spans="1:3" x14ac:dyDescent="0.3">
      <c r="A505" s="130" t="s">
        <v>222</v>
      </c>
      <c r="B505" s="130" t="s">
        <v>222</v>
      </c>
      <c r="C505" s="130" t="s">
        <v>222</v>
      </c>
    </row>
    <row r="506" spans="1:3" x14ac:dyDescent="0.3">
      <c r="A506" s="130" t="s">
        <v>222</v>
      </c>
      <c r="B506" s="130" t="s">
        <v>222</v>
      </c>
      <c r="C506" s="130" t="s">
        <v>222</v>
      </c>
    </row>
    <row r="507" spans="1:3" x14ac:dyDescent="0.3">
      <c r="A507" s="130" t="s">
        <v>222</v>
      </c>
      <c r="B507" s="130" t="s">
        <v>222</v>
      </c>
      <c r="C507" s="130" t="s">
        <v>222</v>
      </c>
    </row>
    <row r="508" spans="1:3" x14ac:dyDescent="0.3">
      <c r="A508" s="130" t="s">
        <v>222</v>
      </c>
      <c r="B508" s="130" t="s">
        <v>222</v>
      </c>
      <c r="C508" s="130" t="s">
        <v>222</v>
      </c>
    </row>
    <row r="509" spans="1:3" x14ac:dyDescent="0.3">
      <c r="A509" s="130" t="s">
        <v>222</v>
      </c>
      <c r="B509" s="130" t="s">
        <v>222</v>
      </c>
      <c r="C509" s="130" t="s">
        <v>222</v>
      </c>
    </row>
    <row r="510" spans="1:3" x14ac:dyDescent="0.3">
      <c r="A510" s="130" t="s">
        <v>222</v>
      </c>
      <c r="B510" s="130" t="s">
        <v>222</v>
      </c>
      <c r="C510" s="130" t="s">
        <v>222</v>
      </c>
    </row>
    <row r="511" spans="1:3" x14ac:dyDescent="0.3">
      <c r="A511" s="130" t="s">
        <v>222</v>
      </c>
      <c r="B511" s="130" t="s">
        <v>222</v>
      </c>
      <c r="C511" s="130" t="s">
        <v>222</v>
      </c>
    </row>
    <row r="512" spans="1:3" x14ac:dyDescent="0.3">
      <c r="A512" s="130" t="s">
        <v>222</v>
      </c>
      <c r="B512" s="130" t="s">
        <v>222</v>
      </c>
      <c r="C512" s="130" t="s">
        <v>222</v>
      </c>
    </row>
    <row r="513" spans="1:3" x14ac:dyDescent="0.3">
      <c r="A513" s="130" t="s">
        <v>222</v>
      </c>
      <c r="B513" s="130" t="s">
        <v>222</v>
      </c>
      <c r="C513" s="130" t="s">
        <v>222</v>
      </c>
    </row>
    <row r="514" spans="1:3" x14ac:dyDescent="0.3">
      <c r="A514" s="130" t="s">
        <v>222</v>
      </c>
      <c r="B514" s="130" t="s">
        <v>222</v>
      </c>
      <c r="C514" s="130" t="s">
        <v>222</v>
      </c>
    </row>
    <row r="515" spans="1:3" x14ac:dyDescent="0.3">
      <c r="A515" s="130" t="s">
        <v>222</v>
      </c>
      <c r="B515" s="130" t="s">
        <v>222</v>
      </c>
      <c r="C515" s="130" t="s">
        <v>222</v>
      </c>
    </row>
    <row r="516" spans="1:3" x14ac:dyDescent="0.3">
      <c r="A516" s="130" t="s">
        <v>222</v>
      </c>
      <c r="B516" s="130" t="s">
        <v>222</v>
      </c>
      <c r="C516" s="130" t="s">
        <v>222</v>
      </c>
    </row>
    <row r="517" spans="1:3" x14ac:dyDescent="0.3">
      <c r="A517" s="130" t="s">
        <v>222</v>
      </c>
      <c r="B517" s="130" t="s">
        <v>222</v>
      </c>
      <c r="C517" s="130" t="s">
        <v>222</v>
      </c>
    </row>
    <row r="518" spans="1:3" x14ac:dyDescent="0.3">
      <c r="A518" s="130" t="s">
        <v>222</v>
      </c>
      <c r="B518" s="130" t="s">
        <v>222</v>
      </c>
      <c r="C518" s="130" t="s">
        <v>222</v>
      </c>
    </row>
    <row r="519" spans="1:3" x14ac:dyDescent="0.3">
      <c r="A519" s="130" t="s">
        <v>222</v>
      </c>
      <c r="B519" s="130" t="s">
        <v>222</v>
      </c>
      <c r="C519" s="130" t="s">
        <v>222</v>
      </c>
    </row>
    <row r="520" spans="1:3" x14ac:dyDescent="0.3">
      <c r="A520" s="130" t="s">
        <v>222</v>
      </c>
      <c r="B520" s="130" t="s">
        <v>222</v>
      </c>
      <c r="C520" s="130" t="s">
        <v>222</v>
      </c>
    </row>
    <row r="521" spans="1:3" x14ac:dyDescent="0.3">
      <c r="A521" s="130" t="s">
        <v>222</v>
      </c>
      <c r="B521" s="130" t="s">
        <v>222</v>
      </c>
      <c r="C521" s="130" t="s">
        <v>222</v>
      </c>
    </row>
    <row r="522" spans="1:3" x14ac:dyDescent="0.3">
      <c r="A522" s="130" t="s">
        <v>222</v>
      </c>
      <c r="B522" s="130" t="s">
        <v>222</v>
      </c>
      <c r="C522" s="130" t="s">
        <v>222</v>
      </c>
    </row>
    <row r="523" spans="1:3" x14ac:dyDescent="0.3">
      <c r="A523" s="130" t="s">
        <v>222</v>
      </c>
      <c r="B523" s="130" t="s">
        <v>222</v>
      </c>
      <c r="C523" s="130" t="s">
        <v>222</v>
      </c>
    </row>
    <row r="524" spans="1:3" x14ac:dyDescent="0.3">
      <c r="A524" s="130" t="s">
        <v>222</v>
      </c>
      <c r="B524" s="130" t="s">
        <v>222</v>
      </c>
      <c r="C524" s="130" t="s">
        <v>222</v>
      </c>
    </row>
    <row r="525" spans="1:3" x14ac:dyDescent="0.3">
      <c r="A525" s="130" t="s">
        <v>222</v>
      </c>
      <c r="B525" s="130" t="s">
        <v>222</v>
      </c>
      <c r="C525" s="130" t="s">
        <v>222</v>
      </c>
    </row>
    <row r="526" spans="1:3" x14ac:dyDescent="0.3">
      <c r="A526" s="130" t="s">
        <v>222</v>
      </c>
      <c r="B526" s="130" t="s">
        <v>222</v>
      </c>
      <c r="C526" s="130" t="s">
        <v>222</v>
      </c>
    </row>
    <row r="527" spans="1:3" x14ac:dyDescent="0.3">
      <c r="A527" s="130" t="s">
        <v>222</v>
      </c>
      <c r="B527" s="130" t="s">
        <v>222</v>
      </c>
      <c r="C527" s="130" t="s">
        <v>222</v>
      </c>
    </row>
    <row r="528" spans="1:3" x14ac:dyDescent="0.3">
      <c r="A528" s="130" t="s">
        <v>222</v>
      </c>
      <c r="B528" s="130" t="s">
        <v>222</v>
      </c>
      <c r="C528" s="130" t="s">
        <v>222</v>
      </c>
    </row>
    <row r="529" spans="1:3" x14ac:dyDescent="0.3">
      <c r="A529" s="130" t="s">
        <v>222</v>
      </c>
      <c r="B529" s="130" t="s">
        <v>222</v>
      </c>
      <c r="C529" s="130" t="s">
        <v>222</v>
      </c>
    </row>
    <row r="530" spans="1:3" x14ac:dyDescent="0.3">
      <c r="A530" s="130" t="s">
        <v>222</v>
      </c>
      <c r="B530" s="130" t="s">
        <v>222</v>
      </c>
      <c r="C530" s="130" t="s">
        <v>222</v>
      </c>
    </row>
    <row r="531" spans="1:3" x14ac:dyDescent="0.3">
      <c r="A531" s="130" t="s">
        <v>222</v>
      </c>
      <c r="B531" s="130" t="s">
        <v>222</v>
      </c>
      <c r="C531" s="130" t="s">
        <v>222</v>
      </c>
    </row>
    <row r="532" spans="1:3" x14ac:dyDescent="0.3">
      <c r="A532" s="130" t="s">
        <v>222</v>
      </c>
      <c r="B532" s="130" t="s">
        <v>222</v>
      </c>
      <c r="C532" s="130" t="s">
        <v>222</v>
      </c>
    </row>
    <row r="533" spans="1:3" x14ac:dyDescent="0.3">
      <c r="A533" s="130" t="s">
        <v>222</v>
      </c>
      <c r="B533" s="130" t="s">
        <v>222</v>
      </c>
      <c r="C533" s="130" t="s">
        <v>222</v>
      </c>
    </row>
    <row r="534" spans="1:3" x14ac:dyDescent="0.3">
      <c r="A534" s="130" t="s">
        <v>222</v>
      </c>
      <c r="B534" s="130" t="s">
        <v>222</v>
      </c>
      <c r="C534" s="130" t="s">
        <v>222</v>
      </c>
    </row>
    <row r="535" spans="1:3" x14ac:dyDescent="0.3">
      <c r="A535" s="130" t="s">
        <v>222</v>
      </c>
      <c r="B535" s="130" t="s">
        <v>222</v>
      </c>
      <c r="C535" s="130" t="s">
        <v>222</v>
      </c>
    </row>
    <row r="536" spans="1:3" x14ac:dyDescent="0.3">
      <c r="A536" s="130" t="s">
        <v>222</v>
      </c>
      <c r="B536" s="130" t="s">
        <v>222</v>
      </c>
      <c r="C536" s="130" t="s">
        <v>222</v>
      </c>
    </row>
    <row r="537" spans="1:3" x14ac:dyDescent="0.3">
      <c r="A537" s="130" t="s">
        <v>222</v>
      </c>
      <c r="B537" s="130" t="s">
        <v>222</v>
      </c>
      <c r="C537" s="130" t="s">
        <v>222</v>
      </c>
    </row>
    <row r="538" spans="1:3" x14ac:dyDescent="0.3">
      <c r="A538" s="130" t="s">
        <v>222</v>
      </c>
      <c r="B538" s="130" t="s">
        <v>222</v>
      </c>
      <c r="C538" s="130" t="s">
        <v>222</v>
      </c>
    </row>
    <row r="539" spans="1:3" x14ac:dyDescent="0.3">
      <c r="A539" s="130" t="s">
        <v>222</v>
      </c>
      <c r="B539" s="130" t="s">
        <v>222</v>
      </c>
      <c r="C539" s="130" t="s">
        <v>222</v>
      </c>
    </row>
    <row r="540" spans="1:3" x14ac:dyDescent="0.3">
      <c r="A540" s="130" t="s">
        <v>222</v>
      </c>
      <c r="B540" s="130" t="s">
        <v>222</v>
      </c>
      <c r="C540" s="130" t="s">
        <v>222</v>
      </c>
    </row>
    <row r="541" spans="1:3" x14ac:dyDescent="0.3">
      <c r="A541" s="130" t="s">
        <v>222</v>
      </c>
      <c r="B541" s="130" t="s">
        <v>222</v>
      </c>
      <c r="C541" s="130" t="s">
        <v>222</v>
      </c>
    </row>
    <row r="542" spans="1:3" x14ac:dyDescent="0.3">
      <c r="A542" s="130" t="s">
        <v>222</v>
      </c>
      <c r="B542" s="130" t="s">
        <v>222</v>
      </c>
      <c r="C542" s="130" t="s">
        <v>222</v>
      </c>
    </row>
    <row r="543" spans="1:3" x14ac:dyDescent="0.3">
      <c r="A543" s="130" t="s">
        <v>222</v>
      </c>
      <c r="B543" s="130" t="s">
        <v>222</v>
      </c>
      <c r="C543" s="130" t="s">
        <v>222</v>
      </c>
    </row>
    <row r="544" spans="1:3" x14ac:dyDescent="0.3">
      <c r="A544" s="130" t="s">
        <v>222</v>
      </c>
      <c r="B544" s="130" t="s">
        <v>222</v>
      </c>
      <c r="C544" s="130" t="s">
        <v>222</v>
      </c>
    </row>
    <row r="545" spans="1:3" x14ac:dyDescent="0.3">
      <c r="A545" s="130" t="s">
        <v>222</v>
      </c>
      <c r="B545" s="130" t="s">
        <v>222</v>
      </c>
      <c r="C545" s="130" t="s">
        <v>222</v>
      </c>
    </row>
    <row r="546" spans="1:3" x14ac:dyDescent="0.3">
      <c r="A546" s="130" t="s">
        <v>222</v>
      </c>
      <c r="B546" s="130" t="s">
        <v>222</v>
      </c>
      <c r="C546" s="130" t="s">
        <v>222</v>
      </c>
    </row>
    <row r="547" spans="1:3" x14ac:dyDescent="0.3">
      <c r="A547" s="130" t="s">
        <v>222</v>
      </c>
      <c r="B547" s="130" t="s">
        <v>222</v>
      </c>
      <c r="C547" s="130" t="s">
        <v>222</v>
      </c>
    </row>
    <row r="548" spans="1:3" x14ac:dyDescent="0.3">
      <c r="A548" s="130" t="s">
        <v>222</v>
      </c>
      <c r="B548" s="130" t="s">
        <v>222</v>
      </c>
      <c r="C548" s="130" t="s">
        <v>222</v>
      </c>
    </row>
    <row r="549" spans="1:3" x14ac:dyDescent="0.3">
      <c r="A549" s="130" t="s">
        <v>222</v>
      </c>
      <c r="B549" s="130" t="s">
        <v>222</v>
      </c>
      <c r="C549" s="130" t="s">
        <v>222</v>
      </c>
    </row>
    <row r="550" spans="1:3" x14ac:dyDescent="0.3">
      <c r="A550" s="130" t="s">
        <v>222</v>
      </c>
      <c r="B550" s="130" t="s">
        <v>222</v>
      </c>
      <c r="C550" s="130" t="s">
        <v>222</v>
      </c>
    </row>
    <row r="551" spans="1:3" x14ac:dyDescent="0.3">
      <c r="A551" s="130" t="s">
        <v>222</v>
      </c>
      <c r="B551" s="130" t="s">
        <v>222</v>
      </c>
      <c r="C551" s="130" t="s">
        <v>222</v>
      </c>
    </row>
    <row r="552" spans="1:3" x14ac:dyDescent="0.3">
      <c r="A552" s="130" t="s">
        <v>222</v>
      </c>
      <c r="B552" s="130" t="s">
        <v>222</v>
      </c>
      <c r="C552" s="130" t="s">
        <v>222</v>
      </c>
    </row>
    <row r="553" spans="1:3" x14ac:dyDescent="0.3">
      <c r="A553" s="130" t="s">
        <v>222</v>
      </c>
      <c r="B553" s="130" t="s">
        <v>222</v>
      </c>
      <c r="C553" s="130" t="s">
        <v>222</v>
      </c>
    </row>
    <row r="554" spans="1:3" x14ac:dyDescent="0.3">
      <c r="A554" s="130" t="s">
        <v>222</v>
      </c>
      <c r="B554" s="130" t="s">
        <v>222</v>
      </c>
      <c r="C554" s="130" t="s">
        <v>222</v>
      </c>
    </row>
    <row r="555" spans="1:3" x14ac:dyDescent="0.3">
      <c r="A555" s="130" t="s">
        <v>222</v>
      </c>
      <c r="B555" s="130" t="s">
        <v>222</v>
      </c>
      <c r="C555" s="130" t="s">
        <v>222</v>
      </c>
    </row>
    <row r="556" spans="1:3" x14ac:dyDescent="0.3">
      <c r="A556" s="130" t="s">
        <v>222</v>
      </c>
      <c r="B556" s="130" t="s">
        <v>222</v>
      </c>
      <c r="C556" s="130" t="s">
        <v>222</v>
      </c>
    </row>
    <row r="557" spans="1:3" x14ac:dyDescent="0.3">
      <c r="A557" s="130" t="s">
        <v>222</v>
      </c>
      <c r="B557" s="130" t="s">
        <v>222</v>
      </c>
      <c r="C557" s="130" t="s">
        <v>222</v>
      </c>
    </row>
    <row r="558" spans="1:3" x14ac:dyDescent="0.3">
      <c r="A558" s="130" t="s">
        <v>222</v>
      </c>
      <c r="B558" s="130" t="s">
        <v>222</v>
      </c>
      <c r="C558" s="130" t="s">
        <v>222</v>
      </c>
    </row>
    <row r="559" spans="1:3" x14ac:dyDescent="0.3">
      <c r="A559" s="130" t="s">
        <v>222</v>
      </c>
      <c r="B559" s="130" t="s">
        <v>222</v>
      </c>
      <c r="C559" s="130" t="s">
        <v>222</v>
      </c>
    </row>
    <row r="560" spans="1:3" x14ac:dyDescent="0.3">
      <c r="A560" s="130" t="s">
        <v>222</v>
      </c>
      <c r="B560" s="130" t="s">
        <v>222</v>
      </c>
      <c r="C560" s="130" t="s">
        <v>222</v>
      </c>
    </row>
    <row r="561" spans="1:3" x14ac:dyDescent="0.3">
      <c r="A561" s="130" t="s">
        <v>222</v>
      </c>
      <c r="B561" s="130" t="s">
        <v>222</v>
      </c>
      <c r="C561" s="130" t="s">
        <v>222</v>
      </c>
    </row>
    <row r="562" spans="1:3" x14ac:dyDescent="0.3">
      <c r="A562" s="130" t="s">
        <v>222</v>
      </c>
      <c r="B562" s="130" t="s">
        <v>222</v>
      </c>
      <c r="C562" s="130" t="s">
        <v>222</v>
      </c>
    </row>
    <row r="563" spans="1:3" x14ac:dyDescent="0.3">
      <c r="A563" s="130" t="s">
        <v>222</v>
      </c>
      <c r="B563" s="130" t="s">
        <v>222</v>
      </c>
      <c r="C563" s="130" t="s">
        <v>222</v>
      </c>
    </row>
    <row r="564" spans="1:3" x14ac:dyDescent="0.3">
      <c r="A564" s="130" t="s">
        <v>222</v>
      </c>
      <c r="B564" s="130" t="s">
        <v>222</v>
      </c>
      <c r="C564" s="130" t="s">
        <v>222</v>
      </c>
    </row>
    <row r="565" spans="1:3" x14ac:dyDescent="0.3">
      <c r="A565" s="130" t="s">
        <v>222</v>
      </c>
      <c r="B565" s="130" t="s">
        <v>222</v>
      </c>
      <c r="C565" s="130" t="s">
        <v>222</v>
      </c>
    </row>
    <row r="566" spans="1:3" x14ac:dyDescent="0.3">
      <c r="A566" s="130" t="s">
        <v>222</v>
      </c>
      <c r="B566" s="130" t="s">
        <v>222</v>
      </c>
      <c r="C566" s="130" t="s">
        <v>222</v>
      </c>
    </row>
    <row r="567" spans="1:3" x14ac:dyDescent="0.3">
      <c r="A567" s="130" t="s">
        <v>222</v>
      </c>
      <c r="B567" s="130" t="s">
        <v>222</v>
      </c>
      <c r="C567" s="130" t="s">
        <v>222</v>
      </c>
    </row>
    <row r="568" spans="1:3" x14ac:dyDescent="0.3">
      <c r="A568" s="130" t="s">
        <v>222</v>
      </c>
      <c r="B568" s="130" t="s">
        <v>222</v>
      </c>
      <c r="C568" s="130" t="s">
        <v>222</v>
      </c>
    </row>
    <row r="569" spans="1:3" x14ac:dyDescent="0.3">
      <c r="A569" s="130" t="s">
        <v>222</v>
      </c>
      <c r="B569" s="130" t="s">
        <v>222</v>
      </c>
      <c r="C569" s="130" t="s">
        <v>222</v>
      </c>
    </row>
    <row r="570" spans="1:3" x14ac:dyDescent="0.3">
      <c r="A570" s="130" t="s">
        <v>222</v>
      </c>
      <c r="B570" s="130" t="s">
        <v>222</v>
      </c>
      <c r="C570" s="130" t="s">
        <v>222</v>
      </c>
    </row>
    <row r="571" spans="1:3" x14ac:dyDescent="0.3">
      <c r="A571" s="130" t="s">
        <v>222</v>
      </c>
      <c r="B571" s="130" t="s">
        <v>222</v>
      </c>
      <c r="C571" s="130" t="s">
        <v>222</v>
      </c>
    </row>
    <row r="572" spans="1:3" x14ac:dyDescent="0.3">
      <c r="A572" s="130" t="s">
        <v>222</v>
      </c>
      <c r="B572" s="130" t="s">
        <v>222</v>
      </c>
      <c r="C572" s="130" t="s">
        <v>222</v>
      </c>
    </row>
    <row r="573" spans="1:3" x14ac:dyDescent="0.3">
      <c r="A573" s="130" t="s">
        <v>222</v>
      </c>
      <c r="B573" s="130" t="s">
        <v>222</v>
      </c>
      <c r="C573" s="130" t="s">
        <v>222</v>
      </c>
    </row>
    <row r="574" spans="1:3" x14ac:dyDescent="0.3">
      <c r="A574" s="130" t="s">
        <v>222</v>
      </c>
      <c r="B574" s="130" t="s">
        <v>222</v>
      </c>
      <c r="C574" s="130" t="s">
        <v>222</v>
      </c>
    </row>
    <row r="575" spans="1:3" x14ac:dyDescent="0.3">
      <c r="A575" s="130" t="s">
        <v>222</v>
      </c>
      <c r="B575" s="130" t="s">
        <v>222</v>
      </c>
      <c r="C575" s="130" t="s">
        <v>222</v>
      </c>
    </row>
    <row r="576" spans="1:3" x14ac:dyDescent="0.3">
      <c r="A576" s="130" t="s">
        <v>222</v>
      </c>
      <c r="B576" s="130" t="s">
        <v>222</v>
      </c>
      <c r="C576" s="130" t="s">
        <v>222</v>
      </c>
    </row>
    <row r="577" spans="1:3" x14ac:dyDescent="0.3">
      <c r="A577" s="130" t="s">
        <v>222</v>
      </c>
      <c r="B577" s="130" t="s">
        <v>222</v>
      </c>
      <c r="C577" s="130" t="s">
        <v>222</v>
      </c>
    </row>
    <row r="578" spans="1:3" x14ac:dyDescent="0.3">
      <c r="A578" s="130" t="s">
        <v>222</v>
      </c>
      <c r="B578" s="130" t="s">
        <v>222</v>
      </c>
      <c r="C578" s="130" t="s">
        <v>222</v>
      </c>
    </row>
    <row r="579" spans="1:3" x14ac:dyDescent="0.3">
      <c r="A579" s="130" t="s">
        <v>222</v>
      </c>
      <c r="B579" s="130" t="s">
        <v>222</v>
      </c>
      <c r="C579" s="130" t="s">
        <v>222</v>
      </c>
    </row>
    <row r="580" spans="1:3" x14ac:dyDescent="0.3">
      <c r="A580" s="130" t="s">
        <v>222</v>
      </c>
      <c r="B580" s="130" t="s">
        <v>222</v>
      </c>
      <c r="C580" s="130" t="s">
        <v>222</v>
      </c>
    </row>
    <row r="581" spans="1:3" x14ac:dyDescent="0.3">
      <c r="A581" s="130" t="s">
        <v>222</v>
      </c>
      <c r="B581" s="130" t="s">
        <v>222</v>
      </c>
      <c r="C581" s="130" t="s">
        <v>222</v>
      </c>
    </row>
    <row r="582" spans="1:3" x14ac:dyDescent="0.3">
      <c r="A582" s="130" t="s">
        <v>222</v>
      </c>
      <c r="B582" s="130" t="s">
        <v>222</v>
      </c>
      <c r="C582" s="130" t="s">
        <v>222</v>
      </c>
    </row>
    <row r="583" spans="1:3" x14ac:dyDescent="0.3">
      <c r="A583" s="130" t="s">
        <v>222</v>
      </c>
      <c r="B583" s="130" t="s">
        <v>222</v>
      </c>
      <c r="C583" s="130" t="s">
        <v>222</v>
      </c>
    </row>
    <row r="584" spans="1:3" x14ac:dyDescent="0.3">
      <c r="A584" s="130" t="s">
        <v>222</v>
      </c>
      <c r="B584" s="130" t="s">
        <v>222</v>
      </c>
      <c r="C584" s="130" t="s">
        <v>222</v>
      </c>
    </row>
    <row r="585" spans="1:3" x14ac:dyDescent="0.3">
      <c r="A585" s="130" t="s">
        <v>222</v>
      </c>
      <c r="B585" s="130" t="s">
        <v>222</v>
      </c>
      <c r="C585" s="130" t="s">
        <v>222</v>
      </c>
    </row>
    <row r="586" spans="1:3" x14ac:dyDescent="0.3">
      <c r="A586" s="130" t="s">
        <v>222</v>
      </c>
      <c r="B586" s="130" t="s">
        <v>222</v>
      </c>
      <c r="C586" s="130" t="s">
        <v>222</v>
      </c>
    </row>
    <row r="587" spans="1:3" x14ac:dyDescent="0.3">
      <c r="A587" s="130" t="s">
        <v>222</v>
      </c>
      <c r="B587" s="130" t="s">
        <v>222</v>
      </c>
      <c r="C587" s="130" t="s">
        <v>222</v>
      </c>
    </row>
    <row r="588" spans="1:3" x14ac:dyDescent="0.3">
      <c r="A588" s="130" t="s">
        <v>222</v>
      </c>
      <c r="B588" s="130" t="s">
        <v>222</v>
      </c>
      <c r="C588" s="130" t="s">
        <v>222</v>
      </c>
    </row>
    <row r="589" spans="1:3" x14ac:dyDescent="0.3">
      <c r="A589" s="130" t="s">
        <v>222</v>
      </c>
      <c r="B589" s="130" t="s">
        <v>222</v>
      </c>
      <c r="C589" s="130" t="s">
        <v>222</v>
      </c>
    </row>
    <row r="590" spans="1:3" x14ac:dyDescent="0.3">
      <c r="A590" s="130" t="s">
        <v>222</v>
      </c>
      <c r="B590" s="130" t="s">
        <v>222</v>
      </c>
      <c r="C590" s="130" t="s">
        <v>222</v>
      </c>
    </row>
    <row r="591" spans="1:3" x14ac:dyDescent="0.3">
      <c r="A591" s="130" t="s">
        <v>222</v>
      </c>
      <c r="B591" s="130" t="s">
        <v>222</v>
      </c>
      <c r="C591" s="130" t="s">
        <v>222</v>
      </c>
    </row>
    <row r="592" spans="1:3" x14ac:dyDescent="0.3">
      <c r="A592" s="130" t="s">
        <v>222</v>
      </c>
      <c r="B592" s="130" t="s">
        <v>222</v>
      </c>
      <c r="C592" s="130" t="s">
        <v>222</v>
      </c>
    </row>
    <row r="593" spans="1:3" x14ac:dyDescent="0.3">
      <c r="A593" s="130" t="s">
        <v>222</v>
      </c>
      <c r="B593" s="130" t="s">
        <v>222</v>
      </c>
      <c r="C593" s="130" t="s">
        <v>222</v>
      </c>
    </row>
    <row r="594" spans="1:3" x14ac:dyDescent="0.3">
      <c r="A594" s="130" t="s">
        <v>222</v>
      </c>
      <c r="B594" s="130" t="s">
        <v>222</v>
      </c>
      <c r="C594" s="130" t="s">
        <v>222</v>
      </c>
    </row>
    <row r="595" spans="1:3" x14ac:dyDescent="0.3">
      <c r="A595" s="130" t="s">
        <v>222</v>
      </c>
      <c r="B595" s="130" t="s">
        <v>222</v>
      </c>
      <c r="C595" s="130" t="s">
        <v>222</v>
      </c>
    </row>
    <row r="596" spans="1:3" x14ac:dyDescent="0.3">
      <c r="A596" s="130" t="s">
        <v>222</v>
      </c>
      <c r="B596" s="130" t="s">
        <v>222</v>
      </c>
      <c r="C596" s="130" t="s">
        <v>222</v>
      </c>
    </row>
    <row r="597" spans="1:3" x14ac:dyDescent="0.3">
      <c r="A597" s="130" t="s">
        <v>222</v>
      </c>
      <c r="B597" s="130" t="s">
        <v>222</v>
      </c>
      <c r="C597" s="130" t="s">
        <v>222</v>
      </c>
    </row>
    <row r="598" spans="1:3" x14ac:dyDescent="0.3">
      <c r="A598" s="130" t="s">
        <v>222</v>
      </c>
      <c r="B598" s="130" t="s">
        <v>222</v>
      </c>
      <c r="C598" s="130" t="s">
        <v>222</v>
      </c>
    </row>
    <row r="599" spans="1:3" x14ac:dyDescent="0.3">
      <c r="A599" s="130" t="s">
        <v>222</v>
      </c>
      <c r="B599" s="130" t="s">
        <v>222</v>
      </c>
      <c r="C599" s="130" t="s">
        <v>222</v>
      </c>
    </row>
    <row r="600" spans="1:3" x14ac:dyDescent="0.3">
      <c r="A600" s="130" t="s">
        <v>222</v>
      </c>
      <c r="B600" s="130" t="s">
        <v>222</v>
      </c>
      <c r="C600" s="130" t="s">
        <v>222</v>
      </c>
    </row>
    <row r="601" spans="1:3" x14ac:dyDescent="0.3">
      <c r="A601" s="130" t="s">
        <v>222</v>
      </c>
      <c r="B601" s="130" t="s">
        <v>222</v>
      </c>
      <c r="C601" s="130" t="s">
        <v>222</v>
      </c>
    </row>
    <row r="602" spans="1:3" x14ac:dyDescent="0.3">
      <c r="A602" s="130" t="s">
        <v>222</v>
      </c>
      <c r="B602" s="130" t="s">
        <v>222</v>
      </c>
      <c r="C602" s="130" t="s">
        <v>222</v>
      </c>
    </row>
    <row r="603" spans="1:3" x14ac:dyDescent="0.3">
      <c r="A603" s="130" t="s">
        <v>222</v>
      </c>
      <c r="B603" s="130" t="s">
        <v>222</v>
      </c>
      <c r="C603" s="130" t="s">
        <v>222</v>
      </c>
    </row>
    <row r="604" spans="1:3" x14ac:dyDescent="0.3">
      <c r="A604" s="130" t="s">
        <v>222</v>
      </c>
      <c r="B604" s="130" t="s">
        <v>222</v>
      </c>
      <c r="C604" s="130" t="s">
        <v>222</v>
      </c>
    </row>
    <row r="605" spans="1:3" x14ac:dyDescent="0.3">
      <c r="A605" s="130" t="s">
        <v>222</v>
      </c>
      <c r="B605" s="130" t="s">
        <v>222</v>
      </c>
      <c r="C605" s="130" t="s">
        <v>222</v>
      </c>
    </row>
    <row r="606" spans="1:3" x14ac:dyDescent="0.3">
      <c r="A606" s="130" t="s">
        <v>222</v>
      </c>
      <c r="B606" s="130" t="s">
        <v>222</v>
      </c>
      <c r="C606" s="130" t="s">
        <v>222</v>
      </c>
    </row>
    <row r="607" spans="1:3" x14ac:dyDescent="0.3">
      <c r="A607" s="130" t="s">
        <v>222</v>
      </c>
      <c r="B607" s="130" t="s">
        <v>222</v>
      </c>
      <c r="C607" s="130" t="s">
        <v>222</v>
      </c>
    </row>
    <row r="608" spans="1:3" x14ac:dyDescent="0.3">
      <c r="A608" s="130" t="s">
        <v>222</v>
      </c>
      <c r="B608" s="130" t="s">
        <v>222</v>
      </c>
      <c r="C608" s="130" t="s">
        <v>222</v>
      </c>
    </row>
    <row r="609" spans="1:3" x14ac:dyDescent="0.3">
      <c r="A609" s="130" t="s">
        <v>222</v>
      </c>
      <c r="B609" s="130" t="s">
        <v>222</v>
      </c>
      <c r="C609" s="130" t="s">
        <v>222</v>
      </c>
    </row>
    <row r="610" spans="1:3" x14ac:dyDescent="0.3">
      <c r="A610" s="130" t="s">
        <v>222</v>
      </c>
      <c r="B610" s="130" t="s">
        <v>222</v>
      </c>
      <c r="C610" s="130" t="s">
        <v>222</v>
      </c>
    </row>
    <row r="611" spans="1:3" x14ac:dyDescent="0.3">
      <c r="A611" s="130" t="s">
        <v>222</v>
      </c>
      <c r="B611" s="130" t="s">
        <v>222</v>
      </c>
      <c r="C611" s="130" t="s">
        <v>222</v>
      </c>
    </row>
    <row r="612" spans="1:3" x14ac:dyDescent="0.3">
      <c r="A612" s="130" t="s">
        <v>222</v>
      </c>
      <c r="B612" s="130" t="s">
        <v>222</v>
      </c>
      <c r="C612" s="130" t="s">
        <v>222</v>
      </c>
    </row>
    <row r="613" spans="1:3" x14ac:dyDescent="0.3">
      <c r="A613" s="130" t="s">
        <v>222</v>
      </c>
      <c r="B613" s="130" t="s">
        <v>222</v>
      </c>
      <c r="C613" s="130" t="s">
        <v>222</v>
      </c>
    </row>
    <row r="614" spans="1:3" x14ac:dyDescent="0.3">
      <c r="A614" s="130" t="s">
        <v>222</v>
      </c>
      <c r="B614" s="130" t="s">
        <v>222</v>
      </c>
      <c r="C614" s="130" t="s">
        <v>222</v>
      </c>
    </row>
    <row r="615" spans="1:3" x14ac:dyDescent="0.3">
      <c r="A615" s="130" t="s">
        <v>222</v>
      </c>
      <c r="B615" s="130" t="s">
        <v>222</v>
      </c>
      <c r="C615" s="130" t="s">
        <v>222</v>
      </c>
    </row>
    <row r="616" spans="1:3" x14ac:dyDescent="0.3">
      <c r="A616" s="130" t="s">
        <v>222</v>
      </c>
      <c r="B616" s="130" t="s">
        <v>222</v>
      </c>
      <c r="C616" s="130" t="s">
        <v>222</v>
      </c>
    </row>
    <row r="617" spans="1:3" x14ac:dyDescent="0.3">
      <c r="A617" s="130" t="s">
        <v>222</v>
      </c>
      <c r="B617" s="130" t="s">
        <v>222</v>
      </c>
      <c r="C617" s="130" t="s">
        <v>222</v>
      </c>
    </row>
    <row r="618" spans="1:3" x14ac:dyDescent="0.3">
      <c r="A618" s="130" t="s">
        <v>222</v>
      </c>
      <c r="B618" s="130" t="s">
        <v>222</v>
      </c>
      <c r="C618" s="130" t="s">
        <v>222</v>
      </c>
    </row>
    <row r="619" spans="1:3" x14ac:dyDescent="0.3">
      <c r="A619" s="130" t="s">
        <v>222</v>
      </c>
      <c r="B619" s="130" t="s">
        <v>222</v>
      </c>
      <c r="C619" s="130" t="s">
        <v>222</v>
      </c>
    </row>
    <row r="620" spans="1:3" x14ac:dyDescent="0.3">
      <c r="A620" s="130" t="s">
        <v>222</v>
      </c>
      <c r="B620" s="130" t="s">
        <v>222</v>
      </c>
      <c r="C620" s="130" t="s">
        <v>222</v>
      </c>
    </row>
    <row r="621" spans="1:3" x14ac:dyDescent="0.3">
      <c r="A621" s="130" t="s">
        <v>222</v>
      </c>
      <c r="B621" s="130" t="s">
        <v>222</v>
      </c>
      <c r="C621" s="130" t="s">
        <v>222</v>
      </c>
    </row>
    <row r="622" spans="1:3" x14ac:dyDescent="0.3">
      <c r="A622" s="130" t="s">
        <v>222</v>
      </c>
      <c r="B622" s="130" t="s">
        <v>222</v>
      </c>
      <c r="C622" s="130" t="s">
        <v>222</v>
      </c>
    </row>
    <row r="623" spans="1:3" x14ac:dyDescent="0.3">
      <c r="A623" s="130" t="s">
        <v>222</v>
      </c>
      <c r="B623" s="130" t="s">
        <v>222</v>
      </c>
      <c r="C623" s="130" t="s">
        <v>222</v>
      </c>
    </row>
    <row r="624" spans="1:3" x14ac:dyDescent="0.3">
      <c r="A624" s="130" t="s">
        <v>222</v>
      </c>
      <c r="B624" s="130" t="s">
        <v>222</v>
      </c>
      <c r="C624" s="130" t="s">
        <v>222</v>
      </c>
    </row>
    <row r="625" spans="1:3" x14ac:dyDescent="0.3">
      <c r="A625" s="130" t="s">
        <v>222</v>
      </c>
      <c r="B625" s="130" t="s">
        <v>222</v>
      </c>
      <c r="C625" s="130" t="s">
        <v>222</v>
      </c>
    </row>
    <row r="626" spans="1:3" x14ac:dyDescent="0.3">
      <c r="A626" s="130" t="s">
        <v>222</v>
      </c>
      <c r="B626" s="130" t="s">
        <v>222</v>
      </c>
      <c r="C626" s="130" t="s">
        <v>222</v>
      </c>
    </row>
    <row r="627" spans="1:3" x14ac:dyDescent="0.3">
      <c r="A627" s="130" t="s">
        <v>222</v>
      </c>
      <c r="B627" s="130" t="s">
        <v>222</v>
      </c>
      <c r="C627" s="130" t="s">
        <v>222</v>
      </c>
    </row>
    <row r="628" spans="1:3" x14ac:dyDescent="0.3">
      <c r="A628" s="130" t="s">
        <v>222</v>
      </c>
      <c r="B628" s="130" t="s">
        <v>222</v>
      </c>
      <c r="C628" s="130" t="s">
        <v>222</v>
      </c>
    </row>
    <row r="629" spans="1:3" x14ac:dyDescent="0.3">
      <c r="A629" s="130" t="s">
        <v>222</v>
      </c>
      <c r="B629" s="130" t="s">
        <v>222</v>
      </c>
      <c r="C629" s="130" t="s">
        <v>222</v>
      </c>
    </row>
    <row r="630" spans="1:3" x14ac:dyDescent="0.3">
      <c r="A630" s="130" t="s">
        <v>222</v>
      </c>
      <c r="B630" s="130" t="s">
        <v>222</v>
      </c>
      <c r="C630" s="130" t="s">
        <v>222</v>
      </c>
    </row>
    <row r="631" spans="1:3" x14ac:dyDescent="0.3">
      <c r="A631" s="130" t="s">
        <v>222</v>
      </c>
      <c r="B631" s="130" t="s">
        <v>222</v>
      </c>
      <c r="C631" s="130" t="s">
        <v>222</v>
      </c>
    </row>
    <row r="632" spans="1:3" x14ac:dyDescent="0.3">
      <c r="A632" s="130" t="s">
        <v>222</v>
      </c>
      <c r="B632" s="130" t="s">
        <v>222</v>
      </c>
      <c r="C632" s="130" t="s">
        <v>222</v>
      </c>
    </row>
    <row r="633" spans="1:3" x14ac:dyDescent="0.3">
      <c r="A633" s="130" t="s">
        <v>222</v>
      </c>
      <c r="B633" s="130" t="s">
        <v>222</v>
      </c>
      <c r="C633" s="130" t="s">
        <v>222</v>
      </c>
    </row>
    <row r="634" spans="1:3" x14ac:dyDescent="0.3">
      <c r="A634" s="130" t="s">
        <v>222</v>
      </c>
      <c r="B634" s="130" t="s">
        <v>222</v>
      </c>
      <c r="C634" s="130" t="s">
        <v>222</v>
      </c>
    </row>
    <row r="635" spans="1:3" x14ac:dyDescent="0.3">
      <c r="A635" s="130" t="s">
        <v>222</v>
      </c>
      <c r="B635" s="130" t="s">
        <v>222</v>
      </c>
      <c r="C635" s="130" t="s">
        <v>222</v>
      </c>
    </row>
    <row r="636" spans="1:3" x14ac:dyDescent="0.3">
      <c r="A636" s="130" t="s">
        <v>222</v>
      </c>
      <c r="B636" s="130" t="s">
        <v>222</v>
      </c>
      <c r="C636" s="130" t="s">
        <v>222</v>
      </c>
    </row>
    <row r="637" spans="1:3" x14ac:dyDescent="0.3">
      <c r="A637" s="130" t="s">
        <v>222</v>
      </c>
      <c r="B637" s="130" t="s">
        <v>222</v>
      </c>
      <c r="C637" s="130" t="s">
        <v>222</v>
      </c>
    </row>
    <row r="638" spans="1:3" x14ac:dyDescent="0.3">
      <c r="A638" s="130" t="s">
        <v>222</v>
      </c>
      <c r="B638" s="130" t="s">
        <v>222</v>
      </c>
      <c r="C638" s="130" t="s">
        <v>222</v>
      </c>
    </row>
    <row r="639" spans="1:3" x14ac:dyDescent="0.3">
      <c r="A639" s="130" t="s">
        <v>222</v>
      </c>
      <c r="B639" s="130" t="s">
        <v>222</v>
      </c>
      <c r="C639" s="130" t="s">
        <v>222</v>
      </c>
    </row>
    <row r="640" spans="1:3" x14ac:dyDescent="0.3">
      <c r="A640" s="130" t="s">
        <v>222</v>
      </c>
      <c r="B640" s="130" t="s">
        <v>222</v>
      </c>
      <c r="C640" s="130" t="s">
        <v>222</v>
      </c>
    </row>
    <row r="641" spans="1:3" x14ac:dyDescent="0.3">
      <c r="A641" s="130" t="s">
        <v>222</v>
      </c>
      <c r="B641" s="130" t="s">
        <v>222</v>
      </c>
      <c r="C641" s="130" t="s">
        <v>222</v>
      </c>
    </row>
    <row r="642" spans="1:3" x14ac:dyDescent="0.3">
      <c r="A642" s="130" t="s">
        <v>222</v>
      </c>
      <c r="B642" s="130" t="s">
        <v>222</v>
      </c>
      <c r="C642" s="130" t="s">
        <v>222</v>
      </c>
    </row>
    <row r="643" spans="1:3" x14ac:dyDescent="0.3">
      <c r="A643" s="130" t="s">
        <v>222</v>
      </c>
      <c r="B643" s="130" t="s">
        <v>222</v>
      </c>
      <c r="C643" s="130" t="s">
        <v>222</v>
      </c>
    </row>
    <row r="644" spans="1:3" x14ac:dyDescent="0.3">
      <c r="A644" s="130" t="s">
        <v>222</v>
      </c>
      <c r="B644" s="130" t="s">
        <v>222</v>
      </c>
      <c r="C644" s="130" t="s">
        <v>222</v>
      </c>
    </row>
    <row r="645" spans="1:3" x14ac:dyDescent="0.3">
      <c r="A645" s="130" t="s">
        <v>222</v>
      </c>
      <c r="B645" s="130" t="s">
        <v>222</v>
      </c>
      <c r="C645" s="130" t="s">
        <v>222</v>
      </c>
    </row>
    <row r="646" spans="1:3" x14ac:dyDescent="0.3">
      <c r="A646" s="130" t="s">
        <v>222</v>
      </c>
      <c r="B646" s="130" t="s">
        <v>222</v>
      </c>
      <c r="C646" s="130" t="s">
        <v>222</v>
      </c>
    </row>
    <row r="647" spans="1:3" x14ac:dyDescent="0.3">
      <c r="A647" s="130" t="s">
        <v>222</v>
      </c>
      <c r="B647" s="130" t="s">
        <v>222</v>
      </c>
      <c r="C647" s="130" t="s">
        <v>222</v>
      </c>
    </row>
    <row r="648" spans="1:3" x14ac:dyDescent="0.3">
      <c r="A648" s="130" t="s">
        <v>222</v>
      </c>
      <c r="B648" s="130" t="s">
        <v>222</v>
      </c>
      <c r="C648" s="130" t="s">
        <v>222</v>
      </c>
    </row>
    <row r="649" spans="1:3" x14ac:dyDescent="0.3">
      <c r="A649" s="130" t="s">
        <v>222</v>
      </c>
      <c r="B649" s="130" t="s">
        <v>222</v>
      </c>
      <c r="C649" s="130" t="s">
        <v>222</v>
      </c>
    </row>
    <row r="650" spans="1:3" x14ac:dyDescent="0.3">
      <c r="A650" s="130" t="s">
        <v>222</v>
      </c>
      <c r="B650" s="130" t="s">
        <v>222</v>
      </c>
      <c r="C650" s="130" t="s">
        <v>222</v>
      </c>
    </row>
    <row r="651" spans="1:3" x14ac:dyDescent="0.3">
      <c r="A651" s="130" t="s">
        <v>222</v>
      </c>
      <c r="B651" s="130" t="s">
        <v>222</v>
      </c>
      <c r="C651" s="130" t="s">
        <v>222</v>
      </c>
    </row>
    <row r="652" spans="1:3" x14ac:dyDescent="0.3">
      <c r="A652" s="130" t="s">
        <v>222</v>
      </c>
      <c r="B652" s="130" t="s">
        <v>222</v>
      </c>
      <c r="C652" s="130" t="s">
        <v>222</v>
      </c>
    </row>
    <row r="653" spans="1:3" x14ac:dyDescent="0.3">
      <c r="A653" s="130" t="s">
        <v>222</v>
      </c>
      <c r="B653" s="130" t="s">
        <v>222</v>
      </c>
      <c r="C653" s="130" t="s">
        <v>222</v>
      </c>
    </row>
    <row r="654" spans="1:3" x14ac:dyDescent="0.3">
      <c r="A654" s="130" t="s">
        <v>222</v>
      </c>
      <c r="B654" s="130" t="s">
        <v>222</v>
      </c>
      <c r="C654" s="130" t="s">
        <v>222</v>
      </c>
    </row>
    <row r="655" spans="1:3" x14ac:dyDescent="0.3">
      <c r="A655" s="130" t="s">
        <v>222</v>
      </c>
      <c r="B655" s="130" t="s">
        <v>222</v>
      </c>
      <c r="C655" s="130" t="s">
        <v>222</v>
      </c>
    </row>
    <row r="656" spans="1:3" x14ac:dyDescent="0.3">
      <c r="A656" s="130" t="s">
        <v>222</v>
      </c>
      <c r="B656" s="130" t="s">
        <v>222</v>
      </c>
      <c r="C656" s="130" t="s">
        <v>222</v>
      </c>
    </row>
    <row r="657" spans="1:3" x14ac:dyDescent="0.3">
      <c r="A657" s="130" t="s">
        <v>222</v>
      </c>
      <c r="B657" s="130" t="s">
        <v>222</v>
      </c>
      <c r="C657" s="130" t="s">
        <v>222</v>
      </c>
    </row>
    <row r="658" spans="1:3" x14ac:dyDescent="0.3">
      <c r="A658" s="130" t="s">
        <v>222</v>
      </c>
      <c r="B658" s="130" t="s">
        <v>222</v>
      </c>
      <c r="C658" s="130" t="s">
        <v>222</v>
      </c>
    </row>
    <row r="659" spans="1:3" x14ac:dyDescent="0.3">
      <c r="A659" s="130" t="s">
        <v>222</v>
      </c>
      <c r="B659" s="130" t="s">
        <v>222</v>
      </c>
      <c r="C659" s="130" t="s">
        <v>222</v>
      </c>
    </row>
    <row r="660" spans="1:3" x14ac:dyDescent="0.3">
      <c r="A660" s="130" t="s">
        <v>222</v>
      </c>
      <c r="B660" s="130" t="s">
        <v>222</v>
      </c>
      <c r="C660" s="130" t="s">
        <v>222</v>
      </c>
    </row>
    <row r="661" spans="1:3" x14ac:dyDescent="0.3">
      <c r="A661" s="130" t="s">
        <v>222</v>
      </c>
      <c r="B661" s="130" t="s">
        <v>222</v>
      </c>
      <c r="C661" s="130" t="s">
        <v>222</v>
      </c>
    </row>
    <row r="662" spans="1:3" x14ac:dyDescent="0.3">
      <c r="A662" s="130" t="s">
        <v>222</v>
      </c>
      <c r="B662" s="130" t="s">
        <v>222</v>
      </c>
      <c r="C662" s="130" t="s">
        <v>222</v>
      </c>
    </row>
    <row r="663" spans="1:3" x14ac:dyDescent="0.3">
      <c r="A663" s="130" t="s">
        <v>222</v>
      </c>
      <c r="B663" s="130" t="s">
        <v>222</v>
      </c>
      <c r="C663" s="130" t="s">
        <v>222</v>
      </c>
    </row>
    <row r="664" spans="1:3" x14ac:dyDescent="0.3">
      <c r="A664" s="130" t="s">
        <v>222</v>
      </c>
      <c r="B664" s="130" t="s">
        <v>222</v>
      </c>
      <c r="C664" s="130" t="s">
        <v>222</v>
      </c>
    </row>
    <row r="665" spans="1:3" x14ac:dyDescent="0.3">
      <c r="A665" s="130" t="s">
        <v>222</v>
      </c>
      <c r="B665" s="130" t="s">
        <v>222</v>
      </c>
      <c r="C665" s="130" t="s">
        <v>222</v>
      </c>
    </row>
    <row r="666" spans="1:3" x14ac:dyDescent="0.3">
      <c r="A666" s="130" t="s">
        <v>222</v>
      </c>
      <c r="B666" s="130" t="s">
        <v>222</v>
      </c>
      <c r="C666" s="130" t="s">
        <v>222</v>
      </c>
    </row>
    <row r="667" spans="1:3" x14ac:dyDescent="0.3">
      <c r="A667" s="130" t="s">
        <v>222</v>
      </c>
      <c r="B667" s="130" t="s">
        <v>222</v>
      </c>
      <c r="C667" s="130" t="s">
        <v>222</v>
      </c>
    </row>
    <row r="668" spans="1:3" x14ac:dyDescent="0.3">
      <c r="A668" s="130" t="s">
        <v>222</v>
      </c>
      <c r="B668" s="130" t="s">
        <v>222</v>
      </c>
      <c r="C668" s="130" t="s">
        <v>222</v>
      </c>
    </row>
    <row r="669" spans="1:3" x14ac:dyDescent="0.3">
      <c r="A669" s="130" t="s">
        <v>222</v>
      </c>
      <c r="B669" s="130" t="s">
        <v>222</v>
      </c>
      <c r="C669" s="130" t="s">
        <v>222</v>
      </c>
    </row>
    <row r="670" spans="1:3" x14ac:dyDescent="0.3">
      <c r="A670" s="130" t="s">
        <v>222</v>
      </c>
      <c r="B670" s="130" t="s">
        <v>222</v>
      </c>
      <c r="C670" s="130" t="s">
        <v>222</v>
      </c>
    </row>
    <row r="671" spans="1:3" x14ac:dyDescent="0.3">
      <c r="A671" s="130" t="s">
        <v>222</v>
      </c>
      <c r="B671" s="130" t="s">
        <v>222</v>
      </c>
      <c r="C671" s="130" t="s">
        <v>222</v>
      </c>
    </row>
    <row r="672" spans="1:3" x14ac:dyDescent="0.3">
      <c r="A672" s="130" t="s">
        <v>222</v>
      </c>
      <c r="B672" s="130" t="s">
        <v>222</v>
      </c>
      <c r="C672" s="130" t="s">
        <v>222</v>
      </c>
    </row>
    <row r="673" spans="1:3" x14ac:dyDescent="0.3">
      <c r="A673" s="130" t="s">
        <v>222</v>
      </c>
      <c r="B673" s="130" t="s">
        <v>222</v>
      </c>
      <c r="C673" s="130" t="s">
        <v>222</v>
      </c>
    </row>
    <row r="674" spans="1:3" x14ac:dyDescent="0.3">
      <c r="A674" s="130" t="s">
        <v>222</v>
      </c>
      <c r="B674" s="130" t="s">
        <v>222</v>
      </c>
      <c r="C674" s="130" t="s">
        <v>222</v>
      </c>
    </row>
    <row r="675" spans="1:3" x14ac:dyDescent="0.3">
      <c r="A675" s="130" t="s">
        <v>222</v>
      </c>
      <c r="B675" s="130" t="s">
        <v>222</v>
      </c>
      <c r="C675" s="130" t="s">
        <v>222</v>
      </c>
    </row>
    <row r="676" spans="1:3" x14ac:dyDescent="0.3">
      <c r="A676" s="130" t="s">
        <v>222</v>
      </c>
      <c r="B676" s="130" t="s">
        <v>222</v>
      </c>
      <c r="C676" s="130" t="s">
        <v>222</v>
      </c>
    </row>
    <row r="677" spans="1:3" x14ac:dyDescent="0.3">
      <c r="A677" s="130" t="s">
        <v>222</v>
      </c>
      <c r="B677" s="130" t="s">
        <v>222</v>
      </c>
      <c r="C677" s="130" t="s">
        <v>222</v>
      </c>
    </row>
    <row r="678" spans="1:3" x14ac:dyDescent="0.3">
      <c r="A678" s="130" t="s">
        <v>222</v>
      </c>
      <c r="B678" s="130" t="s">
        <v>222</v>
      </c>
      <c r="C678" s="130" t="s">
        <v>222</v>
      </c>
    </row>
    <row r="679" spans="1:3" x14ac:dyDescent="0.3">
      <c r="A679" s="130" t="s">
        <v>222</v>
      </c>
      <c r="B679" s="130" t="s">
        <v>222</v>
      </c>
      <c r="C679" s="130" t="s">
        <v>222</v>
      </c>
    </row>
    <row r="680" spans="1:3" x14ac:dyDescent="0.3">
      <c r="A680" s="130" t="s">
        <v>222</v>
      </c>
      <c r="B680" s="130" t="s">
        <v>222</v>
      </c>
      <c r="C680" s="130" t="s">
        <v>222</v>
      </c>
    </row>
    <row r="681" spans="1:3" x14ac:dyDescent="0.3">
      <c r="A681" s="130" t="s">
        <v>222</v>
      </c>
      <c r="B681" s="130" t="s">
        <v>222</v>
      </c>
      <c r="C681" s="130" t="s">
        <v>222</v>
      </c>
    </row>
    <row r="682" spans="1:3" x14ac:dyDescent="0.3">
      <c r="A682" s="130" t="s">
        <v>222</v>
      </c>
      <c r="B682" s="130" t="s">
        <v>222</v>
      </c>
      <c r="C682" s="130" t="s">
        <v>222</v>
      </c>
    </row>
    <row r="683" spans="1:3" x14ac:dyDescent="0.3">
      <c r="A683" s="130" t="s">
        <v>222</v>
      </c>
      <c r="B683" s="130" t="s">
        <v>222</v>
      </c>
      <c r="C683" s="130" t="s">
        <v>222</v>
      </c>
    </row>
    <row r="684" spans="1:3" x14ac:dyDescent="0.3">
      <c r="A684" s="130" t="s">
        <v>222</v>
      </c>
      <c r="B684" s="130" t="s">
        <v>222</v>
      </c>
      <c r="C684" s="130" t="s">
        <v>222</v>
      </c>
    </row>
    <row r="685" spans="1:3" x14ac:dyDescent="0.3">
      <c r="A685" s="130" t="s">
        <v>222</v>
      </c>
      <c r="B685" s="130" t="s">
        <v>222</v>
      </c>
      <c r="C685" s="130" t="s">
        <v>222</v>
      </c>
    </row>
    <row r="686" spans="1:3" x14ac:dyDescent="0.3">
      <c r="A686" s="130" t="s">
        <v>222</v>
      </c>
      <c r="B686" s="130" t="s">
        <v>222</v>
      </c>
      <c r="C686" s="130" t="s">
        <v>222</v>
      </c>
    </row>
    <row r="687" spans="1:3" x14ac:dyDescent="0.3">
      <c r="A687" s="130" t="s">
        <v>222</v>
      </c>
      <c r="B687" s="130" t="s">
        <v>222</v>
      </c>
      <c r="C687" s="130" t="s">
        <v>222</v>
      </c>
    </row>
    <row r="688" spans="1:3" x14ac:dyDescent="0.3">
      <c r="A688" s="130" t="s">
        <v>222</v>
      </c>
      <c r="B688" s="130" t="s">
        <v>222</v>
      </c>
      <c r="C688" s="130" t="s">
        <v>222</v>
      </c>
    </row>
    <row r="689" spans="1:3" x14ac:dyDescent="0.3">
      <c r="A689" s="130" t="s">
        <v>222</v>
      </c>
      <c r="B689" s="130" t="s">
        <v>222</v>
      </c>
      <c r="C689" s="130" t="s">
        <v>222</v>
      </c>
    </row>
    <row r="690" spans="1:3" x14ac:dyDescent="0.3">
      <c r="A690" s="130" t="s">
        <v>222</v>
      </c>
      <c r="B690" s="130" t="s">
        <v>222</v>
      </c>
      <c r="C690" s="130" t="s">
        <v>222</v>
      </c>
    </row>
    <row r="691" spans="1:3" x14ac:dyDescent="0.3">
      <c r="A691" s="130" t="s">
        <v>222</v>
      </c>
      <c r="B691" s="130" t="s">
        <v>222</v>
      </c>
      <c r="C691" s="130" t="s">
        <v>222</v>
      </c>
    </row>
    <row r="692" spans="1:3" x14ac:dyDescent="0.3">
      <c r="A692" s="130" t="s">
        <v>222</v>
      </c>
      <c r="B692" s="130" t="s">
        <v>222</v>
      </c>
      <c r="C692" s="130" t="s">
        <v>222</v>
      </c>
    </row>
    <row r="693" spans="1:3" x14ac:dyDescent="0.3">
      <c r="A693" s="130" t="s">
        <v>222</v>
      </c>
      <c r="B693" s="130" t="s">
        <v>222</v>
      </c>
      <c r="C693" s="130" t="s">
        <v>222</v>
      </c>
    </row>
    <row r="694" spans="1:3" x14ac:dyDescent="0.3">
      <c r="A694" s="130" t="s">
        <v>222</v>
      </c>
      <c r="B694" s="130" t="s">
        <v>222</v>
      </c>
      <c r="C694" s="130" t="s">
        <v>222</v>
      </c>
    </row>
    <row r="695" spans="1:3" x14ac:dyDescent="0.3">
      <c r="A695" s="130" t="s">
        <v>222</v>
      </c>
      <c r="B695" s="130" t="s">
        <v>222</v>
      </c>
      <c r="C695" s="130" t="s">
        <v>222</v>
      </c>
    </row>
    <row r="696" spans="1:3" x14ac:dyDescent="0.3">
      <c r="A696" s="130" t="s">
        <v>222</v>
      </c>
      <c r="B696" s="130" t="s">
        <v>222</v>
      </c>
      <c r="C696" s="130" t="s">
        <v>222</v>
      </c>
    </row>
    <row r="697" spans="1:3" x14ac:dyDescent="0.3">
      <c r="A697" s="130" t="s">
        <v>222</v>
      </c>
      <c r="B697" s="130" t="s">
        <v>222</v>
      </c>
      <c r="C697" s="130" t="s">
        <v>222</v>
      </c>
    </row>
    <row r="698" spans="1:3" x14ac:dyDescent="0.3">
      <c r="A698" s="130" t="s">
        <v>222</v>
      </c>
      <c r="B698" s="130" t="s">
        <v>222</v>
      </c>
      <c r="C698" s="130" t="s">
        <v>222</v>
      </c>
    </row>
    <row r="699" spans="1:3" x14ac:dyDescent="0.3">
      <c r="A699" s="130" t="s">
        <v>222</v>
      </c>
      <c r="B699" s="130" t="s">
        <v>222</v>
      </c>
      <c r="C699" s="130" t="s">
        <v>222</v>
      </c>
    </row>
    <row r="700" spans="1:3" x14ac:dyDescent="0.3">
      <c r="A700" s="130" t="s">
        <v>222</v>
      </c>
      <c r="B700" s="130" t="s">
        <v>222</v>
      </c>
      <c r="C700" s="130" t="s">
        <v>222</v>
      </c>
    </row>
    <row r="701" spans="1:3" x14ac:dyDescent="0.3">
      <c r="A701" s="130" t="s">
        <v>222</v>
      </c>
      <c r="B701" s="130" t="s">
        <v>222</v>
      </c>
      <c r="C701" s="130" t="s">
        <v>222</v>
      </c>
    </row>
    <row r="702" spans="1:3" x14ac:dyDescent="0.3">
      <c r="A702" s="130" t="s">
        <v>222</v>
      </c>
      <c r="B702" s="130" t="s">
        <v>222</v>
      </c>
      <c r="C702" s="130" t="s">
        <v>222</v>
      </c>
    </row>
    <row r="703" spans="1:3" x14ac:dyDescent="0.3">
      <c r="A703" s="130" t="s">
        <v>222</v>
      </c>
      <c r="B703" s="130" t="s">
        <v>222</v>
      </c>
      <c r="C703" s="130" t="s">
        <v>222</v>
      </c>
    </row>
    <row r="704" spans="1:3" x14ac:dyDescent="0.3">
      <c r="A704" s="130" t="s">
        <v>222</v>
      </c>
      <c r="B704" s="130" t="s">
        <v>222</v>
      </c>
      <c r="C704" s="130" t="s">
        <v>222</v>
      </c>
    </row>
    <row r="705" spans="1:3" x14ac:dyDescent="0.3">
      <c r="A705" s="130" t="s">
        <v>222</v>
      </c>
      <c r="B705" s="130" t="s">
        <v>222</v>
      </c>
      <c r="C705" s="130" t="s">
        <v>222</v>
      </c>
    </row>
    <row r="706" spans="1:3" x14ac:dyDescent="0.3">
      <c r="A706" s="130" t="s">
        <v>222</v>
      </c>
      <c r="B706" s="130" t="s">
        <v>222</v>
      </c>
      <c r="C706" s="130" t="s">
        <v>222</v>
      </c>
    </row>
    <row r="707" spans="1:3" x14ac:dyDescent="0.3">
      <c r="A707" s="130" t="s">
        <v>222</v>
      </c>
      <c r="B707" s="130" t="s">
        <v>222</v>
      </c>
      <c r="C707" s="130" t="s">
        <v>222</v>
      </c>
    </row>
    <row r="708" spans="1:3" x14ac:dyDescent="0.3">
      <c r="A708" s="130" t="s">
        <v>222</v>
      </c>
      <c r="B708" s="130" t="s">
        <v>222</v>
      </c>
      <c r="C708" s="130" t="s">
        <v>222</v>
      </c>
    </row>
    <row r="709" spans="1:3" x14ac:dyDescent="0.3">
      <c r="A709" s="130" t="s">
        <v>222</v>
      </c>
      <c r="B709" s="130" t="s">
        <v>222</v>
      </c>
      <c r="C709" s="130" t="s">
        <v>222</v>
      </c>
    </row>
    <row r="710" spans="1:3" x14ac:dyDescent="0.3">
      <c r="A710" s="130" t="s">
        <v>222</v>
      </c>
      <c r="B710" s="130" t="s">
        <v>222</v>
      </c>
      <c r="C710" s="130" t="s">
        <v>222</v>
      </c>
    </row>
    <row r="711" spans="1:3" x14ac:dyDescent="0.3">
      <c r="A711" s="130" t="s">
        <v>222</v>
      </c>
      <c r="B711" s="130" t="s">
        <v>222</v>
      </c>
      <c r="C711" s="130" t="s">
        <v>222</v>
      </c>
    </row>
    <row r="712" spans="1:3" x14ac:dyDescent="0.3">
      <c r="A712" s="130" t="s">
        <v>222</v>
      </c>
      <c r="B712" s="130" t="s">
        <v>222</v>
      </c>
      <c r="C712" s="130" t="s">
        <v>222</v>
      </c>
    </row>
    <row r="713" spans="1:3" x14ac:dyDescent="0.3">
      <c r="A713" s="130" t="s">
        <v>222</v>
      </c>
      <c r="B713" s="130" t="s">
        <v>222</v>
      </c>
      <c r="C713" s="130" t="s">
        <v>222</v>
      </c>
    </row>
    <row r="714" spans="1:3" x14ac:dyDescent="0.3">
      <c r="A714" s="130" t="s">
        <v>222</v>
      </c>
      <c r="B714" s="130" t="s">
        <v>222</v>
      </c>
      <c r="C714" s="130" t="s">
        <v>222</v>
      </c>
    </row>
    <row r="715" spans="1:3" x14ac:dyDescent="0.3">
      <c r="A715" s="130" t="s">
        <v>222</v>
      </c>
      <c r="B715" s="130" t="s">
        <v>222</v>
      </c>
      <c r="C715" s="130" t="s">
        <v>222</v>
      </c>
    </row>
    <row r="716" spans="1:3" x14ac:dyDescent="0.3">
      <c r="A716" s="130" t="s">
        <v>222</v>
      </c>
      <c r="B716" s="130" t="s">
        <v>222</v>
      </c>
      <c r="C716" s="130" t="s">
        <v>222</v>
      </c>
    </row>
    <row r="717" spans="1:3" x14ac:dyDescent="0.3">
      <c r="A717" s="130" t="s">
        <v>222</v>
      </c>
      <c r="B717" s="130" t="s">
        <v>222</v>
      </c>
      <c r="C717" s="130" t="s">
        <v>222</v>
      </c>
    </row>
    <row r="718" spans="1:3" x14ac:dyDescent="0.3">
      <c r="A718" s="130" t="s">
        <v>222</v>
      </c>
      <c r="B718" s="130" t="s">
        <v>222</v>
      </c>
      <c r="C718" s="130" t="s">
        <v>222</v>
      </c>
    </row>
    <row r="719" spans="1:3" x14ac:dyDescent="0.3">
      <c r="A719" s="130" t="s">
        <v>222</v>
      </c>
      <c r="B719" s="130" t="s">
        <v>222</v>
      </c>
      <c r="C719" s="130" t="s">
        <v>222</v>
      </c>
    </row>
    <row r="720" spans="1:3" x14ac:dyDescent="0.3">
      <c r="A720" s="130" t="s">
        <v>222</v>
      </c>
      <c r="B720" s="130" t="s">
        <v>222</v>
      </c>
      <c r="C720" s="130" t="s">
        <v>222</v>
      </c>
    </row>
    <row r="721" spans="1:3" x14ac:dyDescent="0.3">
      <c r="A721" s="130" t="s">
        <v>222</v>
      </c>
      <c r="B721" s="130" t="s">
        <v>222</v>
      </c>
      <c r="C721" s="130" t="s">
        <v>222</v>
      </c>
    </row>
    <row r="722" spans="1:3" x14ac:dyDescent="0.3">
      <c r="A722" s="130" t="s">
        <v>222</v>
      </c>
      <c r="B722" s="130" t="s">
        <v>222</v>
      </c>
      <c r="C722" s="130" t="s">
        <v>222</v>
      </c>
    </row>
    <row r="723" spans="1:3" x14ac:dyDescent="0.3">
      <c r="A723" s="130" t="s">
        <v>222</v>
      </c>
      <c r="B723" s="130" t="s">
        <v>222</v>
      </c>
      <c r="C723" s="130" t="s">
        <v>222</v>
      </c>
    </row>
    <row r="724" spans="1:3" x14ac:dyDescent="0.3">
      <c r="A724" s="130" t="s">
        <v>222</v>
      </c>
      <c r="B724" s="130" t="s">
        <v>222</v>
      </c>
      <c r="C724" s="130" t="s">
        <v>222</v>
      </c>
    </row>
    <row r="725" spans="1:3" x14ac:dyDescent="0.3">
      <c r="A725" s="130" t="s">
        <v>222</v>
      </c>
      <c r="B725" s="130" t="s">
        <v>222</v>
      </c>
      <c r="C725" s="130" t="s">
        <v>222</v>
      </c>
    </row>
    <row r="726" spans="1:3" x14ac:dyDescent="0.3">
      <c r="A726" s="130" t="s">
        <v>222</v>
      </c>
      <c r="B726" s="130" t="s">
        <v>222</v>
      </c>
      <c r="C726" s="130" t="s">
        <v>222</v>
      </c>
    </row>
    <row r="727" spans="1:3" x14ac:dyDescent="0.3">
      <c r="A727" s="130" t="s">
        <v>222</v>
      </c>
      <c r="B727" s="130" t="s">
        <v>222</v>
      </c>
      <c r="C727" s="130" t="s">
        <v>222</v>
      </c>
    </row>
    <row r="728" spans="1:3" x14ac:dyDescent="0.3">
      <c r="A728" s="130" t="s">
        <v>222</v>
      </c>
      <c r="B728" s="130" t="s">
        <v>222</v>
      </c>
      <c r="C728" s="130" t="s">
        <v>222</v>
      </c>
    </row>
    <row r="729" spans="1:3" x14ac:dyDescent="0.3">
      <c r="A729" s="130" t="s">
        <v>222</v>
      </c>
      <c r="B729" s="130" t="s">
        <v>222</v>
      </c>
      <c r="C729" s="130" t="s">
        <v>222</v>
      </c>
    </row>
    <row r="730" spans="1:3" x14ac:dyDescent="0.3">
      <c r="A730" s="130" t="s">
        <v>222</v>
      </c>
      <c r="B730" s="130" t="s">
        <v>222</v>
      </c>
      <c r="C730" s="130" t="s">
        <v>222</v>
      </c>
    </row>
    <row r="731" spans="1:3" x14ac:dyDescent="0.3">
      <c r="A731" s="130" t="s">
        <v>222</v>
      </c>
      <c r="B731" s="130" t="s">
        <v>222</v>
      </c>
      <c r="C731" s="130" t="s">
        <v>222</v>
      </c>
    </row>
    <row r="732" spans="1:3" x14ac:dyDescent="0.3">
      <c r="A732" s="130" t="s">
        <v>222</v>
      </c>
      <c r="B732" s="130" t="s">
        <v>222</v>
      </c>
      <c r="C732" s="130" t="s">
        <v>222</v>
      </c>
    </row>
    <row r="733" spans="1:3" x14ac:dyDescent="0.3">
      <c r="A733" s="130" t="s">
        <v>222</v>
      </c>
      <c r="B733" s="130" t="s">
        <v>222</v>
      </c>
      <c r="C733" s="130" t="s">
        <v>222</v>
      </c>
    </row>
    <row r="734" spans="1:3" x14ac:dyDescent="0.3">
      <c r="A734" s="130" t="s">
        <v>222</v>
      </c>
      <c r="B734" s="130" t="s">
        <v>222</v>
      </c>
      <c r="C734" s="130" t="s">
        <v>222</v>
      </c>
    </row>
    <row r="735" spans="1:3" x14ac:dyDescent="0.3">
      <c r="A735" s="130" t="s">
        <v>222</v>
      </c>
      <c r="B735" s="130" t="s">
        <v>222</v>
      </c>
      <c r="C735" s="130" t="s">
        <v>222</v>
      </c>
    </row>
    <row r="736" spans="1:3" x14ac:dyDescent="0.3">
      <c r="A736" s="130" t="s">
        <v>222</v>
      </c>
      <c r="B736" s="130" t="s">
        <v>222</v>
      </c>
      <c r="C736" s="130" t="s">
        <v>222</v>
      </c>
    </row>
    <row r="737" spans="1:3" x14ac:dyDescent="0.3">
      <c r="A737" s="130" t="s">
        <v>222</v>
      </c>
      <c r="B737" s="130" t="s">
        <v>222</v>
      </c>
      <c r="C737" s="130" t="s">
        <v>222</v>
      </c>
    </row>
    <row r="738" spans="1:3" x14ac:dyDescent="0.3">
      <c r="A738" s="130" t="s">
        <v>222</v>
      </c>
      <c r="B738" s="130" t="s">
        <v>222</v>
      </c>
      <c r="C738" s="130" t="s">
        <v>222</v>
      </c>
    </row>
    <row r="739" spans="1:3" x14ac:dyDescent="0.3">
      <c r="A739" s="130" t="s">
        <v>222</v>
      </c>
      <c r="B739" s="130" t="s">
        <v>222</v>
      </c>
      <c r="C739" s="130" t="s">
        <v>222</v>
      </c>
    </row>
    <row r="740" spans="1:3" x14ac:dyDescent="0.3">
      <c r="A740" s="130" t="s">
        <v>222</v>
      </c>
      <c r="B740" s="130" t="s">
        <v>222</v>
      </c>
      <c r="C740" s="130" t="s">
        <v>222</v>
      </c>
    </row>
    <row r="741" spans="1:3" x14ac:dyDescent="0.3">
      <c r="A741" s="130" t="s">
        <v>222</v>
      </c>
      <c r="B741" s="130" t="s">
        <v>222</v>
      </c>
      <c r="C741" s="130" t="s">
        <v>222</v>
      </c>
    </row>
    <row r="742" spans="1:3" x14ac:dyDescent="0.3">
      <c r="A742" s="130" t="s">
        <v>222</v>
      </c>
      <c r="B742" s="130" t="s">
        <v>222</v>
      </c>
      <c r="C742" s="130" t="s">
        <v>222</v>
      </c>
    </row>
    <row r="743" spans="1:3" x14ac:dyDescent="0.3">
      <c r="A743" s="130" t="s">
        <v>222</v>
      </c>
      <c r="B743" s="130" t="s">
        <v>222</v>
      </c>
      <c r="C743" s="130" t="s">
        <v>222</v>
      </c>
    </row>
    <row r="744" spans="1:3" x14ac:dyDescent="0.3">
      <c r="A744" s="130" t="s">
        <v>222</v>
      </c>
      <c r="B744" s="130" t="s">
        <v>222</v>
      </c>
      <c r="C744" s="130" t="s">
        <v>222</v>
      </c>
    </row>
    <row r="745" spans="1:3" x14ac:dyDescent="0.3">
      <c r="A745" s="130" t="s">
        <v>222</v>
      </c>
      <c r="B745" s="130" t="s">
        <v>222</v>
      </c>
      <c r="C745" s="130" t="s">
        <v>222</v>
      </c>
    </row>
    <row r="746" spans="1:3" x14ac:dyDescent="0.3">
      <c r="A746" s="130" t="s">
        <v>222</v>
      </c>
      <c r="B746" s="130" t="s">
        <v>222</v>
      </c>
      <c r="C746" s="130" t="s">
        <v>222</v>
      </c>
    </row>
    <row r="747" spans="1:3" x14ac:dyDescent="0.3">
      <c r="A747" s="130" t="s">
        <v>222</v>
      </c>
      <c r="B747" s="130" t="s">
        <v>222</v>
      </c>
      <c r="C747" s="130" t="s">
        <v>222</v>
      </c>
    </row>
    <row r="748" spans="1:3" x14ac:dyDescent="0.3">
      <c r="A748" s="130" t="s">
        <v>222</v>
      </c>
      <c r="B748" s="130" t="s">
        <v>222</v>
      </c>
      <c r="C748" s="130" t="s">
        <v>222</v>
      </c>
    </row>
    <row r="749" spans="1:3" x14ac:dyDescent="0.3">
      <c r="A749" s="130" t="s">
        <v>222</v>
      </c>
      <c r="B749" s="130" t="s">
        <v>222</v>
      </c>
      <c r="C749" s="130" t="s">
        <v>222</v>
      </c>
    </row>
    <row r="750" spans="1:3" x14ac:dyDescent="0.3">
      <c r="A750" s="130" t="s">
        <v>222</v>
      </c>
      <c r="B750" s="130" t="s">
        <v>222</v>
      </c>
      <c r="C750" s="130" t="s">
        <v>222</v>
      </c>
    </row>
    <row r="751" spans="1:3" x14ac:dyDescent="0.3">
      <c r="A751" s="130" t="s">
        <v>222</v>
      </c>
      <c r="B751" s="130" t="s">
        <v>222</v>
      </c>
      <c r="C751" s="130" t="s">
        <v>222</v>
      </c>
    </row>
    <row r="752" spans="1:3" x14ac:dyDescent="0.3">
      <c r="A752" s="130" t="s">
        <v>222</v>
      </c>
      <c r="B752" s="130" t="s">
        <v>222</v>
      </c>
      <c r="C752" s="130" t="s">
        <v>222</v>
      </c>
    </row>
    <row r="753" spans="1:3" x14ac:dyDescent="0.3">
      <c r="A753" s="130" t="s">
        <v>222</v>
      </c>
      <c r="B753" s="130" t="s">
        <v>222</v>
      </c>
      <c r="C753" s="130" t="s">
        <v>222</v>
      </c>
    </row>
    <row r="754" spans="1:3" x14ac:dyDescent="0.3">
      <c r="A754" s="130" t="s">
        <v>222</v>
      </c>
      <c r="B754" s="130" t="s">
        <v>222</v>
      </c>
      <c r="C754" s="130" t="s">
        <v>222</v>
      </c>
    </row>
    <row r="755" spans="1:3" x14ac:dyDescent="0.3">
      <c r="A755" s="130" t="s">
        <v>222</v>
      </c>
      <c r="B755" s="130" t="s">
        <v>222</v>
      </c>
      <c r="C755" s="130" t="s">
        <v>222</v>
      </c>
    </row>
    <row r="756" spans="1:3" x14ac:dyDescent="0.3">
      <c r="A756" s="130" t="s">
        <v>222</v>
      </c>
      <c r="B756" s="130" t="s">
        <v>222</v>
      </c>
      <c r="C756" s="130" t="s">
        <v>222</v>
      </c>
    </row>
    <row r="757" spans="1:3" x14ac:dyDescent="0.3">
      <c r="A757" s="130" t="s">
        <v>222</v>
      </c>
      <c r="B757" s="130" t="s">
        <v>222</v>
      </c>
      <c r="C757" s="130" t="s">
        <v>222</v>
      </c>
    </row>
    <row r="758" spans="1:3" x14ac:dyDescent="0.3">
      <c r="A758" s="130" t="s">
        <v>222</v>
      </c>
      <c r="B758" s="130" t="s">
        <v>222</v>
      </c>
      <c r="C758" s="130" t="s">
        <v>222</v>
      </c>
    </row>
    <row r="759" spans="1:3" x14ac:dyDescent="0.3">
      <c r="A759" s="130" t="s">
        <v>222</v>
      </c>
      <c r="B759" s="130" t="s">
        <v>222</v>
      </c>
      <c r="C759" s="130" t="s">
        <v>222</v>
      </c>
    </row>
    <row r="760" spans="1:3" x14ac:dyDescent="0.3">
      <c r="A760" s="130" t="s">
        <v>222</v>
      </c>
      <c r="B760" s="130" t="s">
        <v>222</v>
      </c>
      <c r="C760" s="130" t="s">
        <v>222</v>
      </c>
    </row>
    <row r="761" spans="1:3" x14ac:dyDescent="0.3">
      <c r="A761" s="130" t="s">
        <v>222</v>
      </c>
      <c r="B761" s="130" t="s">
        <v>222</v>
      </c>
      <c r="C761" s="130" t="s">
        <v>222</v>
      </c>
    </row>
    <row r="762" spans="1:3" x14ac:dyDescent="0.3">
      <c r="A762" s="130" t="s">
        <v>222</v>
      </c>
      <c r="B762" s="130" t="s">
        <v>222</v>
      </c>
      <c r="C762" s="130" t="s">
        <v>222</v>
      </c>
    </row>
    <row r="763" spans="1:3" x14ac:dyDescent="0.3">
      <c r="A763" s="130" t="s">
        <v>222</v>
      </c>
      <c r="B763" s="130" t="s">
        <v>222</v>
      </c>
      <c r="C763" s="130" t="s">
        <v>222</v>
      </c>
    </row>
    <row r="764" spans="1:3" x14ac:dyDescent="0.3">
      <c r="A764" s="130" t="s">
        <v>222</v>
      </c>
      <c r="B764" s="130" t="s">
        <v>222</v>
      </c>
      <c r="C764" s="130" t="s">
        <v>222</v>
      </c>
    </row>
    <row r="765" spans="1:3" x14ac:dyDescent="0.3">
      <c r="A765" s="130" t="s">
        <v>222</v>
      </c>
      <c r="B765" s="130" t="s">
        <v>222</v>
      </c>
      <c r="C765" s="130" t="s">
        <v>222</v>
      </c>
    </row>
    <row r="766" spans="1:3" x14ac:dyDescent="0.3">
      <c r="A766" s="130" t="s">
        <v>222</v>
      </c>
      <c r="B766" s="130" t="s">
        <v>222</v>
      </c>
      <c r="C766" s="130" t="s">
        <v>222</v>
      </c>
    </row>
    <row r="767" spans="1:3" x14ac:dyDescent="0.3">
      <c r="A767" s="130" t="s">
        <v>222</v>
      </c>
      <c r="B767" s="130" t="s">
        <v>222</v>
      </c>
      <c r="C767" s="130" t="s">
        <v>222</v>
      </c>
    </row>
    <row r="768" spans="1:3" x14ac:dyDescent="0.3">
      <c r="A768" s="130" t="s">
        <v>222</v>
      </c>
      <c r="B768" s="130" t="s">
        <v>222</v>
      </c>
      <c r="C768" s="130" t="s">
        <v>222</v>
      </c>
    </row>
    <row r="769" spans="1:3" x14ac:dyDescent="0.3">
      <c r="A769" s="130" t="s">
        <v>222</v>
      </c>
      <c r="B769" s="130" t="s">
        <v>222</v>
      </c>
      <c r="C769" s="130" t="s">
        <v>222</v>
      </c>
    </row>
    <row r="770" spans="1:3" x14ac:dyDescent="0.3">
      <c r="A770" s="130" t="s">
        <v>222</v>
      </c>
      <c r="B770" s="130" t="s">
        <v>222</v>
      </c>
      <c r="C770" s="130" t="s">
        <v>222</v>
      </c>
    </row>
    <row r="771" spans="1:3" x14ac:dyDescent="0.3">
      <c r="A771" s="130" t="s">
        <v>222</v>
      </c>
      <c r="B771" s="130" t="s">
        <v>222</v>
      </c>
      <c r="C771" s="130" t="s">
        <v>222</v>
      </c>
    </row>
    <row r="772" spans="1:3" x14ac:dyDescent="0.3">
      <c r="A772" s="130" t="s">
        <v>222</v>
      </c>
      <c r="B772" s="130" t="s">
        <v>222</v>
      </c>
      <c r="C772" s="130" t="s">
        <v>222</v>
      </c>
    </row>
    <row r="773" spans="1:3" x14ac:dyDescent="0.3">
      <c r="A773" s="130" t="s">
        <v>222</v>
      </c>
      <c r="B773" s="130" t="s">
        <v>222</v>
      </c>
      <c r="C773" s="130" t="s">
        <v>222</v>
      </c>
    </row>
    <row r="774" spans="1:3" x14ac:dyDescent="0.3">
      <c r="A774" s="130" t="s">
        <v>222</v>
      </c>
      <c r="B774" s="130" t="s">
        <v>222</v>
      </c>
      <c r="C774" s="130" t="s">
        <v>222</v>
      </c>
    </row>
    <row r="775" spans="1:3" x14ac:dyDescent="0.3">
      <c r="A775" s="130" t="s">
        <v>222</v>
      </c>
      <c r="B775" s="130" t="s">
        <v>222</v>
      </c>
      <c r="C775" s="130" t="s">
        <v>222</v>
      </c>
    </row>
    <row r="776" spans="1:3" x14ac:dyDescent="0.3">
      <c r="A776" s="130" t="s">
        <v>222</v>
      </c>
      <c r="B776" s="130" t="s">
        <v>222</v>
      </c>
      <c r="C776" s="130" t="s">
        <v>222</v>
      </c>
    </row>
    <row r="777" spans="1:3" x14ac:dyDescent="0.3">
      <c r="A777" s="130" t="s">
        <v>222</v>
      </c>
      <c r="B777" s="130" t="s">
        <v>222</v>
      </c>
      <c r="C777" s="130" t="s">
        <v>222</v>
      </c>
    </row>
    <row r="778" spans="1:3" x14ac:dyDescent="0.3">
      <c r="A778" s="130" t="s">
        <v>222</v>
      </c>
      <c r="B778" s="130" t="s">
        <v>222</v>
      </c>
      <c r="C778" s="130" t="s">
        <v>222</v>
      </c>
    </row>
    <row r="779" spans="1:3" x14ac:dyDescent="0.3">
      <c r="A779" s="130" t="s">
        <v>222</v>
      </c>
      <c r="B779" s="130" t="s">
        <v>222</v>
      </c>
      <c r="C779" s="130" t="s">
        <v>222</v>
      </c>
    </row>
    <row r="780" spans="1:3" x14ac:dyDescent="0.3">
      <c r="A780" s="130" t="s">
        <v>222</v>
      </c>
      <c r="B780" s="130" t="s">
        <v>222</v>
      </c>
      <c r="C780" s="130" t="s">
        <v>222</v>
      </c>
    </row>
    <row r="781" spans="1:3" x14ac:dyDescent="0.3">
      <c r="A781" s="130" t="s">
        <v>222</v>
      </c>
      <c r="B781" s="130" t="s">
        <v>222</v>
      </c>
      <c r="C781" s="130" t="s">
        <v>222</v>
      </c>
    </row>
    <row r="782" spans="1:3" x14ac:dyDescent="0.3">
      <c r="A782" s="130" t="s">
        <v>222</v>
      </c>
      <c r="B782" s="130" t="s">
        <v>222</v>
      </c>
      <c r="C782" s="130" t="s">
        <v>222</v>
      </c>
    </row>
    <row r="783" spans="1:3" x14ac:dyDescent="0.3">
      <c r="A783" s="130" t="s">
        <v>222</v>
      </c>
      <c r="B783" s="130" t="s">
        <v>222</v>
      </c>
      <c r="C783" s="130" t="s">
        <v>222</v>
      </c>
    </row>
    <row r="784" spans="1:3" x14ac:dyDescent="0.3">
      <c r="A784" s="130" t="s">
        <v>222</v>
      </c>
      <c r="B784" s="130" t="s">
        <v>222</v>
      </c>
      <c r="C784" s="130" t="s">
        <v>222</v>
      </c>
    </row>
    <row r="785" spans="1:3" x14ac:dyDescent="0.3">
      <c r="A785" s="130" t="s">
        <v>222</v>
      </c>
      <c r="B785" s="130" t="s">
        <v>222</v>
      </c>
      <c r="C785" s="130" t="s">
        <v>222</v>
      </c>
    </row>
    <row r="786" spans="1:3" x14ac:dyDescent="0.3">
      <c r="A786" s="130" t="s">
        <v>222</v>
      </c>
      <c r="B786" s="130" t="s">
        <v>222</v>
      </c>
      <c r="C786" s="130" t="s">
        <v>222</v>
      </c>
    </row>
    <row r="787" spans="1:3" x14ac:dyDescent="0.3">
      <c r="A787" s="130" t="s">
        <v>222</v>
      </c>
      <c r="B787" s="130" t="s">
        <v>222</v>
      </c>
      <c r="C787" s="130" t="s">
        <v>222</v>
      </c>
    </row>
    <row r="788" spans="1:3" x14ac:dyDescent="0.3">
      <c r="A788" s="130" t="s">
        <v>222</v>
      </c>
      <c r="B788" s="130" t="s">
        <v>222</v>
      </c>
      <c r="C788" s="130" t="s">
        <v>222</v>
      </c>
    </row>
    <row r="789" spans="1:3" x14ac:dyDescent="0.3">
      <c r="A789" s="130" t="s">
        <v>222</v>
      </c>
      <c r="B789" s="130" t="s">
        <v>222</v>
      </c>
      <c r="C789" s="130" t="s">
        <v>222</v>
      </c>
    </row>
    <row r="790" spans="1:3" x14ac:dyDescent="0.3">
      <c r="A790" s="130" t="s">
        <v>222</v>
      </c>
      <c r="B790" s="130" t="s">
        <v>222</v>
      </c>
      <c r="C790" s="130" t="s">
        <v>222</v>
      </c>
    </row>
    <row r="791" spans="1:3" x14ac:dyDescent="0.3">
      <c r="A791" s="130" t="s">
        <v>222</v>
      </c>
      <c r="B791" s="130" t="s">
        <v>222</v>
      </c>
      <c r="C791" s="130" t="s">
        <v>222</v>
      </c>
    </row>
    <row r="792" spans="1:3" x14ac:dyDescent="0.3">
      <c r="A792" s="130" t="s">
        <v>222</v>
      </c>
      <c r="B792" s="130" t="s">
        <v>222</v>
      </c>
      <c r="C792" s="130" t="s">
        <v>222</v>
      </c>
    </row>
    <row r="793" spans="1:3" x14ac:dyDescent="0.3">
      <c r="A793" s="130" t="s">
        <v>222</v>
      </c>
      <c r="B793" s="130" t="s">
        <v>222</v>
      </c>
      <c r="C793" s="130" t="s">
        <v>222</v>
      </c>
    </row>
    <row r="794" spans="1:3" x14ac:dyDescent="0.3">
      <c r="A794" s="130" t="s">
        <v>222</v>
      </c>
      <c r="B794" s="130" t="s">
        <v>222</v>
      </c>
      <c r="C794" s="130" t="s">
        <v>222</v>
      </c>
    </row>
    <row r="795" spans="1:3" x14ac:dyDescent="0.3">
      <c r="A795" s="130" t="s">
        <v>222</v>
      </c>
      <c r="B795" s="130" t="s">
        <v>222</v>
      </c>
      <c r="C795" s="130" t="s">
        <v>222</v>
      </c>
    </row>
    <row r="796" spans="1:3" x14ac:dyDescent="0.3">
      <c r="A796" s="130" t="s">
        <v>222</v>
      </c>
      <c r="B796" s="130" t="s">
        <v>222</v>
      </c>
      <c r="C796" s="130" t="s">
        <v>222</v>
      </c>
    </row>
    <row r="797" spans="1:3" x14ac:dyDescent="0.3">
      <c r="A797" s="130" t="s">
        <v>222</v>
      </c>
      <c r="B797" s="130" t="s">
        <v>222</v>
      </c>
      <c r="C797" s="130" t="s">
        <v>222</v>
      </c>
    </row>
    <row r="798" spans="1:3" x14ac:dyDescent="0.3">
      <c r="A798" s="130" t="s">
        <v>222</v>
      </c>
      <c r="B798" s="130" t="s">
        <v>222</v>
      </c>
      <c r="C798" s="130" t="s">
        <v>222</v>
      </c>
    </row>
    <row r="799" spans="1:3" x14ac:dyDescent="0.3">
      <c r="A799" s="130" t="s">
        <v>222</v>
      </c>
      <c r="B799" s="130" t="s">
        <v>222</v>
      </c>
      <c r="C799" s="130" t="s">
        <v>222</v>
      </c>
    </row>
    <row r="800" spans="1:3" x14ac:dyDescent="0.3">
      <c r="A800" s="130" t="s">
        <v>222</v>
      </c>
      <c r="B800" s="130" t="s">
        <v>222</v>
      </c>
      <c r="C800" s="130" t="s">
        <v>222</v>
      </c>
    </row>
    <row r="801" spans="1:3" x14ac:dyDescent="0.3">
      <c r="A801" s="130" t="s">
        <v>222</v>
      </c>
      <c r="B801" s="130" t="s">
        <v>222</v>
      </c>
      <c r="C801" s="130" t="s">
        <v>222</v>
      </c>
    </row>
    <row r="802" spans="1:3" x14ac:dyDescent="0.3">
      <c r="A802" s="130" t="s">
        <v>222</v>
      </c>
      <c r="B802" s="130" t="s">
        <v>222</v>
      </c>
      <c r="C802" s="130" t="s">
        <v>222</v>
      </c>
    </row>
    <row r="803" spans="1:3" x14ac:dyDescent="0.3">
      <c r="A803" s="130" t="s">
        <v>222</v>
      </c>
      <c r="B803" s="130" t="s">
        <v>222</v>
      </c>
      <c r="C803" s="130" t="s">
        <v>222</v>
      </c>
    </row>
    <row r="804" spans="1:3" x14ac:dyDescent="0.3">
      <c r="A804" s="130" t="s">
        <v>222</v>
      </c>
      <c r="B804" s="130" t="s">
        <v>222</v>
      </c>
      <c r="C804" s="130" t="s">
        <v>222</v>
      </c>
    </row>
    <row r="805" spans="1:3" x14ac:dyDescent="0.3">
      <c r="A805" s="130" t="s">
        <v>222</v>
      </c>
      <c r="B805" s="130" t="s">
        <v>222</v>
      </c>
      <c r="C805" s="130" t="s">
        <v>222</v>
      </c>
    </row>
    <row r="806" spans="1:3" x14ac:dyDescent="0.3">
      <c r="A806" s="130" t="s">
        <v>222</v>
      </c>
      <c r="B806" s="130" t="s">
        <v>222</v>
      </c>
      <c r="C806" s="130" t="s">
        <v>222</v>
      </c>
    </row>
    <row r="807" spans="1:3" x14ac:dyDescent="0.3">
      <c r="A807" s="130" t="s">
        <v>222</v>
      </c>
      <c r="B807" s="130" t="s">
        <v>222</v>
      </c>
      <c r="C807" s="130" t="s">
        <v>222</v>
      </c>
    </row>
    <row r="808" spans="1:3" x14ac:dyDescent="0.3">
      <c r="A808" s="130" t="s">
        <v>222</v>
      </c>
      <c r="B808" s="130" t="s">
        <v>222</v>
      </c>
      <c r="C808" s="130" t="s">
        <v>222</v>
      </c>
    </row>
    <row r="809" spans="1:3" x14ac:dyDescent="0.3">
      <c r="A809" s="130" t="s">
        <v>222</v>
      </c>
      <c r="B809" s="130" t="s">
        <v>222</v>
      </c>
      <c r="C809" s="130" t="s">
        <v>222</v>
      </c>
    </row>
    <row r="810" spans="1:3" x14ac:dyDescent="0.3">
      <c r="A810" s="130" t="s">
        <v>222</v>
      </c>
      <c r="B810" s="130" t="s">
        <v>222</v>
      </c>
      <c r="C810" s="130" t="s">
        <v>222</v>
      </c>
    </row>
    <row r="811" spans="1:3" x14ac:dyDescent="0.3">
      <c r="A811" s="130" t="s">
        <v>222</v>
      </c>
      <c r="B811" s="130" t="s">
        <v>222</v>
      </c>
      <c r="C811" s="130" t="s">
        <v>222</v>
      </c>
    </row>
    <row r="812" spans="1:3" x14ac:dyDescent="0.3">
      <c r="A812" s="130" t="s">
        <v>222</v>
      </c>
      <c r="B812" s="130" t="s">
        <v>222</v>
      </c>
      <c r="C812" s="130" t="s">
        <v>222</v>
      </c>
    </row>
    <row r="813" spans="1:3" x14ac:dyDescent="0.3">
      <c r="A813" s="130" t="s">
        <v>222</v>
      </c>
      <c r="B813" s="130" t="s">
        <v>222</v>
      </c>
      <c r="C813" s="130" t="s">
        <v>222</v>
      </c>
    </row>
    <row r="814" spans="1:3" x14ac:dyDescent="0.3">
      <c r="A814" s="130" t="s">
        <v>222</v>
      </c>
      <c r="B814" s="130" t="s">
        <v>222</v>
      </c>
      <c r="C814" s="130" t="s">
        <v>222</v>
      </c>
    </row>
    <row r="815" spans="1:3" x14ac:dyDescent="0.3">
      <c r="A815" s="130" t="s">
        <v>222</v>
      </c>
      <c r="B815" s="130" t="s">
        <v>222</v>
      </c>
      <c r="C815" s="130" t="s">
        <v>222</v>
      </c>
    </row>
    <row r="816" spans="1:3" x14ac:dyDescent="0.3">
      <c r="A816" s="130" t="s">
        <v>222</v>
      </c>
      <c r="B816" s="130" t="s">
        <v>222</v>
      </c>
      <c r="C816" s="130" t="s">
        <v>222</v>
      </c>
    </row>
    <row r="817" spans="1:3" x14ac:dyDescent="0.3">
      <c r="A817" s="130" t="s">
        <v>222</v>
      </c>
      <c r="B817" s="130" t="s">
        <v>222</v>
      </c>
      <c r="C817" s="130" t="s">
        <v>222</v>
      </c>
    </row>
    <row r="818" spans="1:3" x14ac:dyDescent="0.3">
      <c r="A818" s="130" t="s">
        <v>222</v>
      </c>
      <c r="B818" s="130" t="s">
        <v>222</v>
      </c>
      <c r="C818" s="130" t="s">
        <v>222</v>
      </c>
    </row>
    <row r="819" spans="1:3" x14ac:dyDescent="0.3">
      <c r="A819" s="130" t="s">
        <v>222</v>
      </c>
      <c r="B819" s="130" t="s">
        <v>222</v>
      </c>
      <c r="C819" s="130" t="s">
        <v>222</v>
      </c>
    </row>
    <row r="820" spans="1:3" x14ac:dyDescent="0.3">
      <c r="A820" s="130" t="s">
        <v>222</v>
      </c>
      <c r="B820" s="130" t="s">
        <v>222</v>
      </c>
      <c r="C820" s="130" t="s">
        <v>222</v>
      </c>
    </row>
    <row r="821" spans="1:3" x14ac:dyDescent="0.3">
      <c r="A821" s="130" t="s">
        <v>222</v>
      </c>
      <c r="B821" s="130" t="s">
        <v>222</v>
      </c>
      <c r="C821" s="130" t="s">
        <v>222</v>
      </c>
    </row>
    <row r="822" spans="1:3" x14ac:dyDescent="0.3">
      <c r="A822" s="130" t="s">
        <v>222</v>
      </c>
      <c r="B822" s="130" t="s">
        <v>222</v>
      </c>
      <c r="C822" s="130" t="s">
        <v>222</v>
      </c>
    </row>
    <row r="823" spans="1:3" x14ac:dyDescent="0.3">
      <c r="A823" s="130" t="s">
        <v>222</v>
      </c>
      <c r="B823" s="130" t="s">
        <v>222</v>
      </c>
      <c r="C823" s="130" t="s">
        <v>222</v>
      </c>
    </row>
    <row r="824" spans="1:3" x14ac:dyDescent="0.3">
      <c r="A824" s="130" t="s">
        <v>222</v>
      </c>
      <c r="B824" s="130" t="s">
        <v>222</v>
      </c>
      <c r="C824" s="130" t="s">
        <v>222</v>
      </c>
    </row>
    <row r="825" spans="1:3" x14ac:dyDescent="0.3">
      <c r="A825" s="130" t="s">
        <v>222</v>
      </c>
      <c r="B825" s="130" t="s">
        <v>222</v>
      </c>
      <c r="C825" s="130" t="s">
        <v>222</v>
      </c>
    </row>
    <row r="826" spans="1:3" x14ac:dyDescent="0.3">
      <c r="A826" s="130" t="s">
        <v>222</v>
      </c>
      <c r="B826" s="130" t="s">
        <v>222</v>
      </c>
      <c r="C826" s="130" t="s">
        <v>222</v>
      </c>
    </row>
    <row r="827" spans="1:3" x14ac:dyDescent="0.3">
      <c r="A827" s="130" t="s">
        <v>222</v>
      </c>
      <c r="B827" s="130" t="s">
        <v>222</v>
      </c>
      <c r="C827" s="130" t="s">
        <v>222</v>
      </c>
    </row>
    <row r="828" spans="1:3" x14ac:dyDescent="0.3">
      <c r="A828" s="130" t="s">
        <v>222</v>
      </c>
      <c r="B828" s="130" t="s">
        <v>222</v>
      </c>
      <c r="C828" s="130" t="s">
        <v>222</v>
      </c>
    </row>
    <row r="829" spans="1:3" x14ac:dyDescent="0.3">
      <c r="A829" s="130" t="s">
        <v>222</v>
      </c>
      <c r="B829" s="130" t="s">
        <v>222</v>
      </c>
      <c r="C829" s="130" t="s">
        <v>222</v>
      </c>
    </row>
    <row r="830" spans="1:3" x14ac:dyDescent="0.3">
      <c r="A830" s="130" t="s">
        <v>222</v>
      </c>
      <c r="B830" s="130" t="s">
        <v>222</v>
      </c>
      <c r="C830" s="130" t="s">
        <v>222</v>
      </c>
    </row>
    <row r="831" spans="1:3" x14ac:dyDescent="0.3">
      <c r="A831" s="130" t="s">
        <v>222</v>
      </c>
      <c r="B831" s="130" t="s">
        <v>222</v>
      </c>
      <c r="C831" s="130" t="s">
        <v>222</v>
      </c>
    </row>
    <row r="832" spans="1:3" x14ac:dyDescent="0.3">
      <c r="A832" s="130" t="s">
        <v>222</v>
      </c>
      <c r="B832" s="130" t="s">
        <v>222</v>
      </c>
      <c r="C832" s="130" t="s">
        <v>222</v>
      </c>
    </row>
    <row r="833" spans="1:3" x14ac:dyDescent="0.3">
      <c r="A833" s="130" t="s">
        <v>222</v>
      </c>
      <c r="B833" s="130" t="s">
        <v>222</v>
      </c>
      <c r="C833" s="130" t="s">
        <v>222</v>
      </c>
    </row>
    <row r="834" spans="1:3" x14ac:dyDescent="0.3">
      <c r="A834" s="130" t="s">
        <v>222</v>
      </c>
      <c r="B834" s="130" t="s">
        <v>222</v>
      </c>
      <c r="C834" s="130" t="s">
        <v>222</v>
      </c>
    </row>
    <row r="835" spans="1:3" x14ac:dyDescent="0.3">
      <c r="A835" s="130" t="s">
        <v>222</v>
      </c>
      <c r="B835" s="130" t="s">
        <v>222</v>
      </c>
      <c r="C835" s="130" t="s">
        <v>222</v>
      </c>
    </row>
    <row r="836" spans="1:3" x14ac:dyDescent="0.3">
      <c r="A836" s="130" t="s">
        <v>222</v>
      </c>
      <c r="B836" s="130" t="s">
        <v>222</v>
      </c>
      <c r="C836" s="130" t="s">
        <v>222</v>
      </c>
    </row>
    <row r="837" spans="1:3" x14ac:dyDescent="0.3">
      <c r="A837" s="130" t="s">
        <v>222</v>
      </c>
      <c r="B837" s="130" t="s">
        <v>222</v>
      </c>
      <c r="C837" s="130" t="s">
        <v>222</v>
      </c>
    </row>
    <row r="838" spans="1:3" x14ac:dyDescent="0.3">
      <c r="A838" s="130" t="s">
        <v>222</v>
      </c>
      <c r="B838" s="130" t="s">
        <v>222</v>
      </c>
      <c r="C838" s="130" t="s">
        <v>222</v>
      </c>
    </row>
    <row r="839" spans="1:3" x14ac:dyDescent="0.3">
      <c r="A839" s="130" t="s">
        <v>222</v>
      </c>
      <c r="B839" s="130" t="s">
        <v>222</v>
      </c>
      <c r="C839" s="130" t="s">
        <v>222</v>
      </c>
    </row>
    <row r="840" spans="1:3" x14ac:dyDescent="0.3">
      <c r="A840" s="130" t="s">
        <v>222</v>
      </c>
      <c r="B840" s="130" t="s">
        <v>222</v>
      </c>
      <c r="C840" s="130" t="s">
        <v>222</v>
      </c>
    </row>
    <row r="841" spans="1:3" x14ac:dyDescent="0.3">
      <c r="A841" s="130" t="s">
        <v>222</v>
      </c>
      <c r="B841" s="130" t="s">
        <v>222</v>
      </c>
      <c r="C841" s="130" t="s">
        <v>222</v>
      </c>
    </row>
    <row r="842" spans="1:3" x14ac:dyDescent="0.3">
      <c r="A842" s="130" t="s">
        <v>222</v>
      </c>
      <c r="B842" s="130" t="s">
        <v>222</v>
      </c>
      <c r="C842" s="130" t="s">
        <v>222</v>
      </c>
    </row>
    <row r="843" spans="1:3" x14ac:dyDescent="0.3">
      <c r="A843" s="130" t="s">
        <v>222</v>
      </c>
      <c r="B843" s="130" t="s">
        <v>222</v>
      </c>
      <c r="C843" s="130" t="s">
        <v>222</v>
      </c>
    </row>
    <row r="844" spans="1:3" x14ac:dyDescent="0.3">
      <c r="A844" s="130" t="s">
        <v>222</v>
      </c>
      <c r="B844" s="130" t="s">
        <v>222</v>
      </c>
      <c r="C844" s="130" t="s">
        <v>222</v>
      </c>
    </row>
    <row r="845" spans="1:3" x14ac:dyDescent="0.3">
      <c r="A845" s="130" t="s">
        <v>222</v>
      </c>
      <c r="B845" s="130" t="s">
        <v>222</v>
      </c>
      <c r="C845" s="130" t="s">
        <v>222</v>
      </c>
    </row>
    <row r="846" spans="1:3" x14ac:dyDescent="0.3">
      <c r="A846" s="130" t="s">
        <v>222</v>
      </c>
      <c r="B846" s="130" t="s">
        <v>222</v>
      </c>
      <c r="C846" s="130" t="s">
        <v>222</v>
      </c>
    </row>
    <row r="847" spans="1:3" x14ac:dyDescent="0.3">
      <c r="A847" s="130" t="s">
        <v>222</v>
      </c>
      <c r="B847" s="130" t="s">
        <v>222</v>
      </c>
      <c r="C847" s="130" t="s">
        <v>222</v>
      </c>
    </row>
    <row r="848" spans="1:3" x14ac:dyDescent="0.3">
      <c r="A848" s="130" t="s">
        <v>222</v>
      </c>
      <c r="B848" s="130" t="s">
        <v>222</v>
      </c>
      <c r="C848" s="130" t="s">
        <v>222</v>
      </c>
    </row>
    <row r="849" spans="1:3" x14ac:dyDescent="0.3">
      <c r="A849" s="130" t="s">
        <v>222</v>
      </c>
      <c r="B849" s="130" t="s">
        <v>222</v>
      </c>
      <c r="C849" s="130" t="s">
        <v>222</v>
      </c>
    </row>
    <row r="850" spans="1:3" x14ac:dyDescent="0.3">
      <c r="A850" s="130" t="s">
        <v>222</v>
      </c>
      <c r="B850" s="130" t="s">
        <v>222</v>
      </c>
      <c r="C850" s="130" t="s">
        <v>222</v>
      </c>
    </row>
    <row r="851" spans="1:3" x14ac:dyDescent="0.3">
      <c r="A851" s="130" t="s">
        <v>222</v>
      </c>
      <c r="B851" s="130" t="s">
        <v>222</v>
      </c>
      <c r="C851" s="130" t="s">
        <v>222</v>
      </c>
    </row>
    <row r="852" spans="1:3" x14ac:dyDescent="0.3">
      <c r="A852" s="130" t="s">
        <v>222</v>
      </c>
      <c r="B852" s="130" t="s">
        <v>222</v>
      </c>
      <c r="C852" s="130" t="s">
        <v>222</v>
      </c>
    </row>
    <row r="853" spans="1:3" x14ac:dyDescent="0.3">
      <c r="A853" s="130" t="s">
        <v>222</v>
      </c>
      <c r="B853" s="130" t="s">
        <v>222</v>
      </c>
      <c r="C853" s="130" t="s">
        <v>222</v>
      </c>
    </row>
    <row r="854" spans="1:3" x14ac:dyDescent="0.3">
      <c r="A854" s="130" t="s">
        <v>222</v>
      </c>
      <c r="B854" s="130" t="s">
        <v>222</v>
      </c>
      <c r="C854" s="130" t="s">
        <v>222</v>
      </c>
    </row>
    <row r="855" spans="1:3" x14ac:dyDescent="0.3">
      <c r="A855" s="130" t="s">
        <v>222</v>
      </c>
      <c r="B855" s="130" t="s">
        <v>222</v>
      </c>
      <c r="C855" s="130" t="s">
        <v>222</v>
      </c>
    </row>
    <row r="856" spans="1:3" x14ac:dyDescent="0.3">
      <c r="A856" s="130" t="s">
        <v>222</v>
      </c>
      <c r="B856" s="130" t="s">
        <v>222</v>
      </c>
      <c r="C856" s="130" t="s">
        <v>222</v>
      </c>
    </row>
    <row r="857" spans="1:3" x14ac:dyDescent="0.3">
      <c r="A857" s="130" t="s">
        <v>222</v>
      </c>
      <c r="B857" s="130" t="s">
        <v>222</v>
      </c>
      <c r="C857" s="130" t="s">
        <v>222</v>
      </c>
    </row>
    <row r="858" spans="1:3" x14ac:dyDescent="0.3">
      <c r="A858" s="130" t="s">
        <v>222</v>
      </c>
      <c r="B858" s="130" t="s">
        <v>222</v>
      </c>
      <c r="C858" s="130" t="s">
        <v>222</v>
      </c>
    </row>
    <row r="859" spans="1:3" x14ac:dyDescent="0.3">
      <c r="A859" s="130" t="s">
        <v>222</v>
      </c>
      <c r="B859" s="130" t="s">
        <v>222</v>
      </c>
      <c r="C859" s="130" t="s">
        <v>222</v>
      </c>
    </row>
    <row r="860" spans="1:3" x14ac:dyDescent="0.3">
      <c r="A860" s="130" t="s">
        <v>222</v>
      </c>
      <c r="B860" s="130" t="s">
        <v>222</v>
      </c>
      <c r="C860" s="130" t="s">
        <v>222</v>
      </c>
    </row>
    <row r="861" spans="1:3" x14ac:dyDescent="0.3">
      <c r="A861" s="130" t="s">
        <v>222</v>
      </c>
      <c r="B861" s="130" t="s">
        <v>222</v>
      </c>
      <c r="C861" s="130" t="s">
        <v>222</v>
      </c>
    </row>
    <row r="862" spans="1:3" x14ac:dyDescent="0.3">
      <c r="A862" s="130" t="s">
        <v>222</v>
      </c>
      <c r="B862" s="130" t="s">
        <v>222</v>
      </c>
      <c r="C862" s="130" t="s">
        <v>222</v>
      </c>
    </row>
    <row r="863" spans="1:3" x14ac:dyDescent="0.3">
      <c r="A863" s="130" t="s">
        <v>222</v>
      </c>
      <c r="B863" s="130" t="s">
        <v>222</v>
      </c>
      <c r="C863" s="130" t="s">
        <v>222</v>
      </c>
    </row>
    <row r="864" spans="1:3" x14ac:dyDescent="0.3">
      <c r="A864" s="130" t="s">
        <v>222</v>
      </c>
      <c r="B864" s="130" t="s">
        <v>222</v>
      </c>
      <c r="C864" s="130" t="s">
        <v>222</v>
      </c>
    </row>
    <row r="865" spans="1:3" x14ac:dyDescent="0.3">
      <c r="A865" s="130" t="s">
        <v>222</v>
      </c>
      <c r="B865" s="130" t="s">
        <v>222</v>
      </c>
      <c r="C865" s="130" t="s">
        <v>222</v>
      </c>
    </row>
    <row r="866" spans="1:3" x14ac:dyDescent="0.3">
      <c r="A866" s="130" t="s">
        <v>222</v>
      </c>
      <c r="B866" s="130" t="s">
        <v>222</v>
      </c>
      <c r="C866" s="130" t="s">
        <v>222</v>
      </c>
    </row>
    <row r="867" spans="1:3" x14ac:dyDescent="0.3">
      <c r="A867" s="130" t="s">
        <v>222</v>
      </c>
      <c r="B867" s="130" t="s">
        <v>222</v>
      </c>
      <c r="C867" s="130" t="s">
        <v>222</v>
      </c>
    </row>
    <row r="868" spans="1:3" x14ac:dyDescent="0.3">
      <c r="A868" s="130" t="s">
        <v>222</v>
      </c>
      <c r="B868" s="130" t="s">
        <v>222</v>
      </c>
      <c r="C868" s="130" t="s">
        <v>222</v>
      </c>
    </row>
    <row r="869" spans="1:3" x14ac:dyDescent="0.3">
      <c r="A869" s="130" t="s">
        <v>222</v>
      </c>
      <c r="B869" s="130" t="s">
        <v>222</v>
      </c>
      <c r="C869" s="130" t="s">
        <v>222</v>
      </c>
    </row>
    <row r="870" spans="1:3" x14ac:dyDescent="0.3">
      <c r="A870" s="130" t="s">
        <v>222</v>
      </c>
      <c r="B870" s="130" t="s">
        <v>222</v>
      </c>
      <c r="C870" s="130" t="s">
        <v>222</v>
      </c>
    </row>
    <row r="871" spans="1:3" x14ac:dyDescent="0.3">
      <c r="A871" s="130" t="s">
        <v>222</v>
      </c>
      <c r="B871" s="130" t="s">
        <v>222</v>
      </c>
      <c r="C871" s="130" t="s">
        <v>222</v>
      </c>
    </row>
    <row r="872" spans="1:3" x14ac:dyDescent="0.3">
      <c r="A872" s="130" t="s">
        <v>222</v>
      </c>
      <c r="B872" s="130" t="s">
        <v>222</v>
      </c>
      <c r="C872" s="130" t="s">
        <v>222</v>
      </c>
    </row>
    <row r="873" spans="1:3" x14ac:dyDescent="0.3">
      <c r="A873" s="130" t="s">
        <v>222</v>
      </c>
      <c r="B873" s="130" t="s">
        <v>222</v>
      </c>
      <c r="C873" s="130" t="s">
        <v>222</v>
      </c>
    </row>
    <row r="874" spans="1:3" x14ac:dyDescent="0.3">
      <c r="A874" s="130" t="s">
        <v>222</v>
      </c>
      <c r="B874" s="130" t="s">
        <v>222</v>
      </c>
      <c r="C874" s="130" t="s">
        <v>222</v>
      </c>
    </row>
    <row r="875" spans="1:3" x14ac:dyDescent="0.3">
      <c r="A875" s="130" t="s">
        <v>222</v>
      </c>
      <c r="B875" s="130" t="s">
        <v>222</v>
      </c>
      <c r="C875" s="130" t="s">
        <v>222</v>
      </c>
    </row>
    <row r="876" spans="1:3" x14ac:dyDescent="0.3">
      <c r="A876" s="130" t="s">
        <v>222</v>
      </c>
      <c r="B876" s="130" t="s">
        <v>222</v>
      </c>
      <c r="C876" s="130" t="s">
        <v>222</v>
      </c>
    </row>
    <row r="877" spans="1:3" x14ac:dyDescent="0.3">
      <c r="A877" s="130" t="s">
        <v>222</v>
      </c>
      <c r="B877" s="130" t="s">
        <v>222</v>
      </c>
      <c r="C877" s="130" t="s">
        <v>222</v>
      </c>
    </row>
    <row r="878" spans="1:3" x14ac:dyDescent="0.3">
      <c r="A878" s="130" t="s">
        <v>222</v>
      </c>
      <c r="B878" s="130" t="s">
        <v>222</v>
      </c>
      <c r="C878" s="130" t="s">
        <v>222</v>
      </c>
    </row>
    <row r="879" spans="1:3" x14ac:dyDescent="0.3">
      <c r="A879" s="130" t="s">
        <v>222</v>
      </c>
      <c r="B879" s="130" t="s">
        <v>222</v>
      </c>
      <c r="C879" s="130" t="s">
        <v>222</v>
      </c>
    </row>
    <row r="880" spans="1:3" x14ac:dyDescent="0.3">
      <c r="A880" s="130" t="s">
        <v>222</v>
      </c>
      <c r="B880" s="130" t="s">
        <v>222</v>
      </c>
      <c r="C880" s="130" t="s">
        <v>222</v>
      </c>
    </row>
    <row r="881" spans="1:3" x14ac:dyDescent="0.3">
      <c r="A881" s="130" t="s">
        <v>222</v>
      </c>
      <c r="B881" s="130" t="s">
        <v>222</v>
      </c>
      <c r="C881" s="130" t="s">
        <v>222</v>
      </c>
    </row>
    <row r="882" spans="1:3" x14ac:dyDescent="0.3">
      <c r="A882" s="130" t="s">
        <v>222</v>
      </c>
      <c r="B882" s="130" t="s">
        <v>222</v>
      </c>
      <c r="C882" s="130" t="s">
        <v>222</v>
      </c>
    </row>
    <row r="883" spans="1:3" x14ac:dyDescent="0.3">
      <c r="A883" s="130" t="s">
        <v>222</v>
      </c>
      <c r="B883" s="130" t="s">
        <v>222</v>
      </c>
      <c r="C883" s="130" t="s">
        <v>222</v>
      </c>
    </row>
    <row r="884" spans="1:3" x14ac:dyDescent="0.3">
      <c r="A884" s="130" t="s">
        <v>222</v>
      </c>
      <c r="B884" s="130" t="s">
        <v>222</v>
      </c>
      <c r="C884" s="130" t="s">
        <v>222</v>
      </c>
    </row>
    <row r="885" spans="1:3" x14ac:dyDescent="0.3">
      <c r="A885" s="130" t="s">
        <v>222</v>
      </c>
      <c r="B885" s="130" t="s">
        <v>222</v>
      </c>
      <c r="C885" s="130" t="s">
        <v>222</v>
      </c>
    </row>
    <row r="886" spans="1:3" x14ac:dyDescent="0.3">
      <c r="A886" s="130" t="s">
        <v>222</v>
      </c>
      <c r="B886" s="130" t="s">
        <v>222</v>
      </c>
      <c r="C886" s="130" t="s">
        <v>222</v>
      </c>
    </row>
    <row r="887" spans="1:3" x14ac:dyDescent="0.3">
      <c r="A887" s="130" t="s">
        <v>222</v>
      </c>
      <c r="B887" s="130" t="s">
        <v>222</v>
      </c>
      <c r="C887" s="130" t="s">
        <v>222</v>
      </c>
    </row>
    <row r="888" spans="1:3" x14ac:dyDescent="0.3">
      <c r="A888" s="130" t="s">
        <v>222</v>
      </c>
      <c r="B888" s="130" t="s">
        <v>222</v>
      </c>
      <c r="C888" s="130" t="s">
        <v>222</v>
      </c>
    </row>
    <row r="889" spans="1:3" x14ac:dyDescent="0.3">
      <c r="A889" s="130" t="s">
        <v>222</v>
      </c>
      <c r="B889" s="130" t="s">
        <v>222</v>
      </c>
      <c r="C889" s="130" t="s">
        <v>222</v>
      </c>
    </row>
    <row r="890" spans="1:3" x14ac:dyDescent="0.3">
      <c r="A890" s="130" t="s">
        <v>222</v>
      </c>
      <c r="B890" s="130" t="s">
        <v>222</v>
      </c>
      <c r="C890" s="130" t="s">
        <v>222</v>
      </c>
    </row>
    <row r="891" spans="1:3" x14ac:dyDescent="0.3">
      <c r="A891" s="130" t="s">
        <v>222</v>
      </c>
      <c r="B891" s="130" t="s">
        <v>222</v>
      </c>
      <c r="C891" s="130" t="s">
        <v>222</v>
      </c>
    </row>
    <row r="892" spans="1:3" x14ac:dyDescent="0.3">
      <c r="A892" s="130" t="s">
        <v>222</v>
      </c>
      <c r="B892" s="130" t="s">
        <v>222</v>
      </c>
      <c r="C892" s="130" t="s">
        <v>222</v>
      </c>
    </row>
    <row r="893" spans="1:3" x14ac:dyDescent="0.3">
      <c r="A893" s="130" t="s">
        <v>222</v>
      </c>
      <c r="B893" s="130" t="s">
        <v>222</v>
      </c>
      <c r="C893" s="130" t="s">
        <v>222</v>
      </c>
    </row>
    <row r="894" spans="1:3" x14ac:dyDescent="0.3">
      <c r="A894" s="130" t="s">
        <v>222</v>
      </c>
      <c r="B894" s="130" t="s">
        <v>222</v>
      </c>
      <c r="C894" s="130" t="s">
        <v>222</v>
      </c>
    </row>
    <row r="895" spans="1:3" x14ac:dyDescent="0.3">
      <c r="A895" s="130" t="s">
        <v>222</v>
      </c>
      <c r="B895" s="130" t="s">
        <v>222</v>
      </c>
      <c r="C895" s="130" t="s">
        <v>222</v>
      </c>
    </row>
    <row r="896" spans="1:3" x14ac:dyDescent="0.3">
      <c r="A896" s="130" t="s">
        <v>222</v>
      </c>
      <c r="B896" s="130" t="s">
        <v>222</v>
      </c>
      <c r="C896" s="130" t="s">
        <v>222</v>
      </c>
    </row>
    <row r="897" spans="1:3" x14ac:dyDescent="0.3">
      <c r="A897" s="130" t="s">
        <v>222</v>
      </c>
      <c r="B897" s="130" t="s">
        <v>222</v>
      </c>
      <c r="C897" s="130" t="s">
        <v>222</v>
      </c>
    </row>
    <row r="898" spans="1:3" x14ac:dyDescent="0.3">
      <c r="A898" s="130" t="s">
        <v>222</v>
      </c>
      <c r="B898" s="130" t="s">
        <v>222</v>
      </c>
      <c r="C898" s="130" t="s">
        <v>222</v>
      </c>
    </row>
    <row r="899" spans="1:3" x14ac:dyDescent="0.3">
      <c r="A899" s="130" t="s">
        <v>222</v>
      </c>
      <c r="B899" s="130" t="s">
        <v>222</v>
      </c>
      <c r="C899" s="130" t="s">
        <v>222</v>
      </c>
    </row>
    <row r="900" spans="1:3" x14ac:dyDescent="0.3">
      <c r="A900" s="130" t="s">
        <v>222</v>
      </c>
      <c r="B900" s="130" t="s">
        <v>222</v>
      </c>
      <c r="C900" s="130" t="s">
        <v>222</v>
      </c>
    </row>
    <row r="901" spans="1:3" x14ac:dyDescent="0.3">
      <c r="A901" s="130" t="s">
        <v>222</v>
      </c>
      <c r="B901" s="130" t="s">
        <v>222</v>
      </c>
      <c r="C901" s="130" t="s">
        <v>222</v>
      </c>
    </row>
    <row r="902" spans="1:3" x14ac:dyDescent="0.3">
      <c r="A902" s="130" t="s">
        <v>222</v>
      </c>
      <c r="B902" s="130" t="s">
        <v>222</v>
      </c>
      <c r="C902" s="130" t="s">
        <v>222</v>
      </c>
    </row>
    <row r="903" spans="1:3" x14ac:dyDescent="0.3">
      <c r="A903" s="130" t="s">
        <v>222</v>
      </c>
      <c r="B903" s="130" t="s">
        <v>222</v>
      </c>
      <c r="C903" s="130" t="s">
        <v>222</v>
      </c>
    </row>
    <row r="904" spans="1:3" x14ac:dyDescent="0.3">
      <c r="A904" s="130" t="s">
        <v>222</v>
      </c>
      <c r="B904" s="130" t="s">
        <v>222</v>
      </c>
      <c r="C904" s="130" t="s">
        <v>222</v>
      </c>
    </row>
    <row r="905" spans="1:3" x14ac:dyDescent="0.3">
      <c r="A905" s="130" t="s">
        <v>222</v>
      </c>
      <c r="B905" s="130" t="s">
        <v>222</v>
      </c>
      <c r="C905" s="130" t="s">
        <v>222</v>
      </c>
    </row>
    <row r="906" spans="1:3" x14ac:dyDescent="0.3">
      <c r="A906" s="130" t="s">
        <v>222</v>
      </c>
      <c r="B906" s="130" t="s">
        <v>222</v>
      </c>
      <c r="C906" s="130" t="s">
        <v>222</v>
      </c>
    </row>
    <row r="907" spans="1:3" x14ac:dyDescent="0.3">
      <c r="A907" s="130" t="s">
        <v>222</v>
      </c>
      <c r="B907" s="130" t="s">
        <v>222</v>
      </c>
      <c r="C907" s="130" t="s">
        <v>222</v>
      </c>
    </row>
    <row r="908" spans="1:3" x14ac:dyDescent="0.3">
      <c r="A908" s="130" t="s">
        <v>222</v>
      </c>
      <c r="B908" s="130" t="s">
        <v>222</v>
      </c>
      <c r="C908" s="130" t="s">
        <v>222</v>
      </c>
    </row>
    <row r="909" spans="1:3" x14ac:dyDescent="0.3">
      <c r="A909" s="130" t="s">
        <v>222</v>
      </c>
      <c r="B909" s="130" t="s">
        <v>222</v>
      </c>
      <c r="C909" s="130" t="s">
        <v>222</v>
      </c>
    </row>
    <row r="910" spans="1:3" x14ac:dyDescent="0.3">
      <c r="A910" s="130" t="s">
        <v>222</v>
      </c>
      <c r="B910" s="130" t="s">
        <v>222</v>
      </c>
      <c r="C910" s="130" t="s">
        <v>222</v>
      </c>
    </row>
    <row r="911" spans="1:3" x14ac:dyDescent="0.3">
      <c r="A911" s="130" t="s">
        <v>222</v>
      </c>
      <c r="B911" s="130" t="s">
        <v>222</v>
      </c>
      <c r="C911" s="130" t="s">
        <v>222</v>
      </c>
    </row>
    <row r="912" spans="1:3" x14ac:dyDescent="0.3">
      <c r="A912" s="130" t="s">
        <v>222</v>
      </c>
      <c r="B912" s="130" t="s">
        <v>222</v>
      </c>
      <c r="C912" s="130" t="s">
        <v>222</v>
      </c>
    </row>
    <row r="913" spans="1:3" x14ac:dyDescent="0.3">
      <c r="A913" s="130" t="s">
        <v>222</v>
      </c>
      <c r="B913" s="130" t="s">
        <v>222</v>
      </c>
      <c r="C913" s="130" t="s">
        <v>222</v>
      </c>
    </row>
    <row r="914" spans="1:3" x14ac:dyDescent="0.3">
      <c r="A914" s="130" t="s">
        <v>222</v>
      </c>
      <c r="B914" s="130" t="s">
        <v>222</v>
      </c>
      <c r="C914" s="130" t="s">
        <v>222</v>
      </c>
    </row>
    <row r="915" spans="1:3" x14ac:dyDescent="0.3">
      <c r="A915" s="130" t="s">
        <v>222</v>
      </c>
      <c r="B915" s="130" t="s">
        <v>222</v>
      </c>
      <c r="C915" s="130" t="s">
        <v>222</v>
      </c>
    </row>
    <row r="916" spans="1:3" x14ac:dyDescent="0.3">
      <c r="A916" s="130" t="s">
        <v>222</v>
      </c>
      <c r="B916" s="130" t="s">
        <v>222</v>
      </c>
      <c r="C916" s="130" t="s">
        <v>222</v>
      </c>
    </row>
    <row r="917" spans="1:3" x14ac:dyDescent="0.3">
      <c r="A917" s="130" t="s">
        <v>222</v>
      </c>
      <c r="B917" s="130" t="s">
        <v>222</v>
      </c>
      <c r="C917" s="130" t="s">
        <v>222</v>
      </c>
    </row>
    <row r="918" spans="1:3" x14ac:dyDescent="0.3">
      <c r="A918" s="130" t="s">
        <v>222</v>
      </c>
      <c r="B918" s="130" t="s">
        <v>222</v>
      </c>
      <c r="C918" s="130" t="s">
        <v>222</v>
      </c>
    </row>
    <row r="919" spans="1:3" x14ac:dyDescent="0.3">
      <c r="A919" s="130" t="s">
        <v>222</v>
      </c>
      <c r="B919" s="130" t="s">
        <v>222</v>
      </c>
      <c r="C919" s="130" t="s">
        <v>222</v>
      </c>
    </row>
    <row r="920" spans="1:3" x14ac:dyDescent="0.3">
      <c r="A920" s="130" t="s">
        <v>222</v>
      </c>
      <c r="B920" s="130" t="s">
        <v>222</v>
      </c>
      <c r="C920" s="130" t="s">
        <v>222</v>
      </c>
    </row>
    <row r="921" spans="1:3" x14ac:dyDescent="0.3">
      <c r="A921" s="130" t="s">
        <v>222</v>
      </c>
      <c r="B921" s="130" t="s">
        <v>222</v>
      </c>
      <c r="C921" s="130" t="s">
        <v>222</v>
      </c>
    </row>
    <row r="922" spans="1:3" x14ac:dyDescent="0.3">
      <c r="A922" s="130" t="s">
        <v>222</v>
      </c>
      <c r="B922" s="130" t="s">
        <v>222</v>
      </c>
      <c r="C922" s="130" t="s">
        <v>222</v>
      </c>
    </row>
    <row r="923" spans="1:3" x14ac:dyDescent="0.3">
      <c r="A923" s="130" t="s">
        <v>222</v>
      </c>
      <c r="B923" s="130" t="s">
        <v>222</v>
      </c>
      <c r="C923" s="130" t="s">
        <v>222</v>
      </c>
    </row>
    <row r="924" spans="1:3" x14ac:dyDescent="0.3">
      <c r="A924" s="130" t="s">
        <v>222</v>
      </c>
      <c r="B924" s="130" t="s">
        <v>222</v>
      </c>
      <c r="C924" s="130" t="s">
        <v>222</v>
      </c>
    </row>
    <row r="925" spans="1:3" x14ac:dyDescent="0.3">
      <c r="A925" s="130" t="s">
        <v>222</v>
      </c>
      <c r="B925" s="130" t="s">
        <v>222</v>
      </c>
      <c r="C925" s="130" t="s">
        <v>222</v>
      </c>
    </row>
    <row r="926" spans="1:3" x14ac:dyDescent="0.3">
      <c r="A926" s="130" t="s">
        <v>222</v>
      </c>
      <c r="B926" s="130" t="s">
        <v>222</v>
      </c>
      <c r="C926" s="130" t="s">
        <v>222</v>
      </c>
    </row>
    <row r="927" spans="1:3" x14ac:dyDescent="0.3">
      <c r="A927" s="130" t="s">
        <v>222</v>
      </c>
      <c r="B927" s="130" t="s">
        <v>222</v>
      </c>
      <c r="C927" s="130" t="s">
        <v>222</v>
      </c>
    </row>
    <row r="928" spans="1:3" x14ac:dyDescent="0.3">
      <c r="A928" s="130" t="s">
        <v>222</v>
      </c>
      <c r="B928" s="130" t="s">
        <v>222</v>
      </c>
      <c r="C928" s="130" t="s">
        <v>222</v>
      </c>
    </row>
    <row r="929" spans="1:3" x14ac:dyDescent="0.3">
      <c r="A929" s="130" t="s">
        <v>222</v>
      </c>
      <c r="B929" s="130" t="s">
        <v>222</v>
      </c>
      <c r="C929" s="130" t="s">
        <v>222</v>
      </c>
    </row>
    <row r="930" spans="1:3" x14ac:dyDescent="0.3">
      <c r="A930" s="130" t="s">
        <v>222</v>
      </c>
      <c r="B930" s="130" t="s">
        <v>222</v>
      </c>
      <c r="C930" s="130" t="s">
        <v>222</v>
      </c>
    </row>
    <row r="931" spans="1:3" x14ac:dyDescent="0.3">
      <c r="A931" s="130" t="s">
        <v>222</v>
      </c>
      <c r="B931" s="130" t="s">
        <v>222</v>
      </c>
      <c r="C931" s="130" t="s">
        <v>222</v>
      </c>
    </row>
    <row r="932" spans="1:3" x14ac:dyDescent="0.3">
      <c r="A932" s="130" t="s">
        <v>222</v>
      </c>
      <c r="B932" s="130" t="s">
        <v>222</v>
      </c>
      <c r="C932" s="130" t="s">
        <v>222</v>
      </c>
    </row>
    <row r="933" spans="1:3" x14ac:dyDescent="0.3">
      <c r="A933" s="130" t="s">
        <v>222</v>
      </c>
      <c r="B933" s="130" t="s">
        <v>222</v>
      </c>
      <c r="C933" s="130" t="s">
        <v>222</v>
      </c>
    </row>
    <row r="934" spans="1:3" x14ac:dyDescent="0.3">
      <c r="A934" s="130" t="s">
        <v>222</v>
      </c>
      <c r="B934" s="130" t="s">
        <v>222</v>
      </c>
      <c r="C934" s="130" t="s">
        <v>222</v>
      </c>
    </row>
    <row r="935" spans="1:3" x14ac:dyDescent="0.3">
      <c r="A935" s="130" t="s">
        <v>222</v>
      </c>
      <c r="B935" s="130" t="s">
        <v>222</v>
      </c>
      <c r="C935" s="130" t="s">
        <v>222</v>
      </c>
    </row>
    <row r="936" spans="1:3" x14ac:dyDescent="0.3">
      <c r="A936" s="130" t="s">
        <v>222</v>
      </c>
      <c r="B936" s="130" t="s">
        <v>222</v>
      </c>
      <c r="C936" s="130" t="s">
        <v>222</v>
      </c>
    </row>
    <row r="937" spans="1:3" x14ac:dyDescent="0.3">
      <c r="A937" s="130" t="s">
        <v>222</v>
      </c>
      <c r="B937" s="130" t="s">
        <v>222</v>
      </c>
      <c r="C937" s="130" t="s">
        <v>222</v>
      </c>
    </row>
    <row r="938" spans="1:3" x14ac:dyDescent="0.3">
      <c r="A938" s="130" t="s">
        <v>222</v>
      </c>
      <c r="B938" s="130" t="s">
        <v>222</v>
      </c>
      <c r="C938" s="130" t="s">
        <v>222</v>
      </c>
    </row>
    <row r="939" spans="1:3" x14ac:dyDescent="0.3">
      <c r="A939" s="130" t="s">
        <v>222</v>
      </c>
      <c r="B939" s="130" t="s">
        <v>222</v>
      </c>
      <c r="C939" s="130" t="s">
        <v>222</v>
      </c>
    </row>
    <row r="940" spans="1:3" x14ac:dyDescent="0.3">
      <c r="A940" s="130" t="s">
        <v>222</v>
      </c>
      <c r="B940" s="130" t="s">
        <v>222</v>
      </c>
      <c r="C940" s="130" t="s">
        <v>222</v>
      </c>
    </row>
    <row r="941" spans="1:3" x14ac:dyDescent="0.3">
      <c r="A941" s="130" t="s">
        <v>222</v>
      </c>
      <c r="B941" s="130" t="s">
        <v>222</v>
      </c>
      <c r="C941" s="130" t="s">
        <v>222</v>
      </c>
    </row>
    <row r="942" spans="1:3" x14ac:dyDescent="0.3">
      <c r="A942" s="130" t="s">
        <v>222</v>
      </c>
      <c r="B942" s="130" t="s">
        <v>222</v>
      </c>
      <c r="C942" s="130" t="s">
        <v>222</v>
      </c>
    </row>
    <row r="943" spans="1:3" x14ac:dyDescent="0.3">
      <c r="A943" s="130" t="s">
        <v>222</v>
      </c>
      <c r="B943" s="130" t="s">
        <v>222</v>
      </c>
      <c r="C943" s="130" t="s">
        <v>222</v>
      </c>
    </row>
    <row r="944" spans="1:3" x14ac:dyDescent="0.3">
      <c r="A944" s="130" t="s">
        <v>222</v>
      </c>
      <c r="B944" s="130" t="s">
        <v>222</v>
      </c>
      <c r="C944" s="130" t="s">
        <v>222</v>
      </c>
    </row>
    <row r="945" spans="1:3" x14ac:dyDescent="0.3">
      <c r="A945" s="130" t="s">
        <v>222</v>
      </c>
      <c r="B945" s="130" t="s">
        <v>222</v>
      </c>
      <c r="C945" s="130" t="s">
        <v>222</v>
      </c>
    </row>
    <row r="946" spans="1:3" x14ac:dyDescent="0.3">
      <c r="A946" s="130" t="s">
        <v>222</v>
      </c>
      <c r="B946" s="130" t="s">
        <v>222</v>
      </c>
      <c r="C946" s="130" t="s">
        <v>222</v>
      </c>
    </row>
    <row r="947" spans="1:3" x14ac:dyDescent="0.3">
      <c r="A947" s="130" t="s">
        <v>222</v>
      </c>
      <c r="B947" s="130" t="s">
        <v>222</v>
      </c>
      <c r="C947" s="130" t="s">
        <v>222</v>
      </c>
    </row>
    <row r="948" spans="1:3" x14ac:dyDescent="0.3">
      <c r="A948" s="130" t="s">
        <v>222</v>
      </c>
      <c r="B948" s="130" t="s">
        <v>222</v>
      </c>
      <c r="C948" s="130" t="s">
        <v>222</v>
      </c>
    </row>
    <row r="949" spans="1:3" x14ac:dyDescent="0.3">
      <c r="A949" s="130" t="s">
        <v>222</v>
      </c>
      <c r="B949" s="130" t="s">
        <v>222</v>
      </c>
      <c r="C949" s="130" t="s">
        <v>222</v>
      </c>
    </row>
    <row r="950" spans="1:3" x14ac:dyDescent="0.3">
      <c r="A950" s="130" t="s">
        <v>222</v>
      </c>
      <c r="B950" s="130" t="s">
        <v>222</v>
      </c>
      <c r="C950" s="130" t="s">
        <v>222</v>
      </c>
    </row>
    <row r="951" spans="1:3" x14ac:dyDescent="0.3">
      <c r="A951" s="130" t="s">
        <v>222</v>
      </c>
      <c r="B951" s="130" t="s">
        <v>222</v>
      </c>
      <c r="C951" s="130" t="s">
        <v>222</v>
      </c>
    </row>
    <row r="952" spans="1:3" x14ac:dyDescent="0.3">
      <c r="A952" s="130" t="s">
        <v>222</v>
      </c>
      <c r="B952" s="130" t="s">
        <v>222</v>
      </c>
      <c r="C952" s="130" t="s">
        <v>222</v>
      </c>
    </row>
    <row r="953" spans="1:3" x14ac:dyDescent="0.3">
      <c r="A953" s="130" t="s">
        <v>222</v>
      </c>
      <c r="B953" s="130" t="s">
        <v>222</v>
      </c>
      <c r="C953" s="130" t="s">
        <v>222</v>
      </c>
    </row>
    <row r="954" spans="1:3" x14ac:dyDescent="0.3">
      <c r="A954" s="130" t="s">
        <v>222</v>
      </c>
      <c r="B954" s="130" t="s">
        <v>222</v>
      </c>
      <c r="C954" s="130" t="s">
        <v>222</v>
      </c>
    </row>
    <row r="955" spans="1:3" x14ac:dyDescent="0.3">
      <c r="A955" s="130" t="s">
        <v>222</v>
      </c>
      <c r="B955" s="130" t="s">
        <v>222</v>
      </c>
      <c r="C955" s="130" t="s">
        <v>222</v>
      </c>
    </row>
    <row r="956" spans="1:3" x14ac:dyDescent="0.3">
      <c r="A956" s="130" t="s">
        <v>222</v>
      </c>
      <c r="B956" s="130" t="s">
        <v>222</v>
      </c>
      <c r="C956" s="130" t="s">
        <v>222</v>
      </c>
    </row>
    <row r="957" spans="1:3" x14ac:dyDescent="0.3">
      <c r="A957" s="130" t="s">
        <v>222</v>
      </c>
      <c r="B957" s="130" t="s">
        <v>222</v>
      </c>
      <c r="C957" s="130" t="s">
        <v>222</v>
      </c>
    </row>
    <row r="958" spans="1:3" x14ac:dyDescent="0.3">
      <c r="A958" s="130" t="s">
        <v>222</v>
      </c>
      <c r="B958" s="130" t="s">
        <v>222</v>
      </c>
      <c r="C958" s="130" t="s">
        <v>222</v>
      </c>
    </row>
    <row r="959" spans="1:3" x14ac:dyDescent="0.3">
      <c r="A959" s="130" t="s">
        <v>222</v>
      </c>
      <c r="B959" s="130" t="s">
        <v>222</v>
      </c>
      <c r="C959" s="130" t="s">
        <v>222</v>
      </c>
    </row>
    <row r="960" spans="1:3" x14ac:dyDescent="0.3">
      <c r="A960" s="130" t="s">
        <v>222</v>
      </c>
      <c r="B960" s="130" t="s">
        <v>222</v>
      </c>
      <c r="C960" s="130" t="s">
        <v>222</v>
      </c>
    </row>
    <row r="961" spans="1:3" x14ac:dyDescent="0.3">
      <c r="A961" s="130" t="s">
        <v>222</v>
      </c>
      <c r="B961" s="130" t="s">
        <v>222</v>
      </c>
      <c r="C961" s="130" t="s">
        <v>222</v>
      </c>
    </row>
    <row r="962" spans="1:3" x14ac:dyDescent="0.3">
      <c r="A962" s="130" t="s">
        <v>222</v>
      </c>
      <c r="B962" s="130" t="s">
        <v>222</v>
      </c>
      <c r="C962" s="130" t="s">
        <v>222</v>
      </c>
    </row>
    <row r="963" spans="1:3" x14ac:dyDescent="0.3">
      <c r="A963" s="130" t="s">
        <v>222</v>
      </c>
      <c r="B963" s="130" t="s">
        <v>222</v>
      </c>
      <c r="C963" s="130" t="s">
        <v>222</v>
      </c>
    </row>
    <row r="964" spans="1:3" x14ac:dyDescent="0.3">
      <c r="A964" s="130" t="s">
        <v>222</v>
      </c>
      <c r="B964" s="130" t="s">
        <v>222</v>
      </c>
      <c r="C964" s="130" t="s">
        <v>222</v>
      </c>
    </row>
    <row r="965" spans="1:3" x14ac:dyDescent="0.3">
      <c r="A965" s="130" t="s">
        <v>222</v>
      </c>
      <c r="B965" s="130" t="s">
        <v>222</v>
      </c>
      <c r="C965" s="130" t="s">
        <v>222</v>
      </c>
    </row>
    <row r="966" spans="1:3" x14ac:dyDescent="0.3">
      <c r="A966" s="130" t="s">
        <v>222</v>
      </c>
      <c r="B966" s="130" t="s">
        <v>222</v>
      </c>
      <c r="C966" s="130" t="s">
        <v>222</v>
      </c>
    </row>
    <row r="967" spans="1:3" x14ac:dyDescent="0.3">
      <c r="A967" s="130" t="s">
        <v>222</v>
      </c>
      <c r="B967" s="130" t="s">
        <v>222</v>
      </c>
      <c r="C967" s="130" t="s">
        <v>222</v>
      </c>
    </row>
    <row r="968" spans="1:3" x14ac:dyDescent="0.3">
      <c r="A968" s="130" t="s">
        <v>222</v>
      </c>
      <c r="B968" s="130" t="s">
        <v>222</v>
      </c>
      <c r="C968" s="130" t="s">
        <v>222</v>
      </c>
    </row>
    <row r="969" spans="1:3" x14ac:dyDescent="0.3">
      <c r="A969" s="130" t="s">
        <v>222</v>
      </c>
      <c r="B969" s="130" t="s">
        <v>222</v>
      </c>
      <c r="C969" s="130" t="s">
        <v>222</v>
      </c>
    </row>
    <row r="970" spans="1:3" x14ac:dyDescent="0.3">
      <c r="A970" s="130" t="s">
        <v>222</v>
      </c>
      <c r="B970" s="130" t="s">
        <v>222</v>
      </c>
      <c r="C970" s="130" t="s">
        <v>222</v>
      </c>
    </row>
    <row r="971" spans="1:3" x14ac:dyDescent="0.3">
      <c r="A971" s="130" t="s">
        <v>222</v>
      </c>
      <c r="B971" s="130" t="s">
        <v>222</v>
      </c>
      <c r="C971" s="130" t="s">
        <v>222</v>
      </c>
    </row>
    <row r="972" spans="1:3" x14ac:dyDescent="0.3">
      <c r="A972" s="130" t="s">
        <v>222</v>
      </c>
      <c r="B972" s="130" t="s">
        <v>222</v>
      </c>
      <c r="C972" s="130" t="s">
        <v>222</v>
      </c>
    </row>
    <row r="973" spans="1:3" x14ac:dyDescent="0.3">
      <c r="A973" s="130" t="s">
        <v>222</v>
      </c>
      <c r="B973" s="130" t="s">
        <v>222</v>
      </c>
      <c r="C973" s="130" t="s">
        <v>222</v>
      </c>
    </row>
    <row r="974" spans="1:3" x14ac:dyDescent="0.3">
      <c r="A974" s="130" t="s">
        <v>222</v>
      </c>
      <c r="B974" s="130" t="s">
        <v>222</v>
      </c>
      <c r="C974" s="130" t="s">
        <v>222</v>
      </c>
    </row>
    <row r="975" spans="1:3" x14ac:dyDescent="0.3">
      <c r="A975" s="130" t="s">
        <v>222</v>
      </c>
      <c r="B975" s="130" t="s">
        <v>222</v>
      </c>
      <c r="C975" s="130" t="s">
        <v>222</v>
      </c>
    </row>
    <row r="976" spans="1:3" x14ac:dyDescent="0.3">
      <c r="A976" s="130" t="s">
        <v>222</v>
      </c>
      <c r="B976" s="130" t="s">
        <v>222</v>
      </c>
      <c r="C976" s="130" t="s">
        <v>222</v>
      </c>
    </row>
    <row r="977" spans="1:3" x14ac:dyDescent="0.3">
      <c r="A977" s="130" t="s">
        <v>222</v>
      </c>
      <c r="B977" s="130" t="s">
        <v>222</v>
      </c>
      <c r="C977" s="130" t="s">
        <v>222</v>
      </c>
    </row>
    <row r="978" spans="1:3" x14ac:dyDescent="0.3">
      <c r="A978" s="130" t="s">
        <v>222</v>
      </c>
      <c r="B978" s="130" t="s">
        <v>222</v>
      </c>
      <c r="C978" s="130" t="s">
        <v>222</v>
      </c>
    </row>
    <row r="979" spans="1:3" x14ac:dyDescent="0.3">
      <c r="A979" s="130" t="s">
        <v>222</v>
      </c>
      <c r="B979" s="130" t="s">
        <v>222</v>
      </c>
      <c r="C979" s="130" t="s">
        <v>222</v>
      </c>
    </row>
    <row r="980" spans="1:3" x14ac:dyDescent="0.3">
      <c r="A980" s="130" t="s">
        <v>222</v>
      </c>
      <c r="B980" s="130" t="s">
        <v>222</v>
      </c>
      <c r="C980" s="130" t="s">
        <v>222</v>
      </c>
    </row>
    <row r="981" spans="1:3" x14ac:dyDescent="0.3">
      <c r="A981" s="130" t="s">
        <v>222</v>
      </c>
      <c r="B981" s="130" t="s">
        <v>222</v>
      </c>
      <c r="C981" s="130" t="s">
        <v>222</v>
      </c>
    </row>
    <row r="982" spans="1:3" x14ac:dyDescent="0.3">
      <c r="A982" s="130" t="s">
        <v>222</v>
      </c>
      <c r="B982" s="130" t="s">
        <v>222</v>
      </c>
      <c r="C982" s="130" t="s">
        <v>222</v>
      </c>
    </row>
    <row r="983" spans="1:3" x14ac:dyDescent="0.3">
      <c r="A983" s="130" t="s">
        <v>222</v>
      </c>
      <c r="B983" s="130" t="s">
        <v>222</v>
      </c>
      <c r="C983" s="130" t="s">
        <v>222</v>
      </c>
    </row>
    <row r="984" spans="1:3" x14ac:dyDescent="0.3">
      <c r="A984" s="130" t="s">
        <v>222</v>
      </c>
      <c r="B984" s="130" t="s">
        <v>222</v>
      </c>
      <c r="C984" s="130" t="s">
        <v>222</v>
      </c>
    </row>
    <row r="985" spans="1:3" x14ac:dyDescent="0.3">
      <c r="A985" s="130" t="s">
        <v>222</v>
      </c>
      <c r="B985" s="130" t="s">
        <v>222</v>
      </c>
      <c r="C985" s="130" t="s">
        <v>222</v>
      </c>
    </row>
    <row r="986" spans="1:3" x14ac:dyDescent="0.3">
      <c r="A986" s="130" t="s">
        <v>222</v>
      </c>
      <c r="B986" s="130" t="s">
        <v>222</v>
      </c>
      <c r="C986" s="130" t="s">
        <v>222</v>
      </c>
    </row>
    <row r="987" spans="1:3" x14ac:dyDescent="0.3">
      <c r="A987" s="130" t="s">
        <v>222</v>
      </c>
      <c r="B987" s="130" t="s">
        <v>222</v>
      </c>
      <c r="C987" s="130" t="s">
        <v>222</v>
      </c>
    </row>
    <row r="988" spans="1:3" x14ac:dyDescent="0.3">
      <c r="A988" s="130" t="s">
        <v>222</v>
      </c>
      <c r="B988" s="130" t="s">
        <v>222</v>
      </c>
      <c r="C988" s="130" t="s">
        <v>222</v>
      </c>
    </row>
    <row r="989" spans="1:3" x14ac:dyDescent="0.3">
      <c r="A989" s="130" t="s">
        <v>222</v>
      </c>
      <c r="B989" s="130" t="s">
        <v>222</v>
      </c>
      <c r="C989" s="130" t="s">
        <v>222</v>
      </c>
    </row>
    <row r="990" spans="1:3" x14ac:dyDescent="0.3">
      <c r="A990" s="130" t="s">
        <v>222</v>
      </c>
      <c r="B990" s="130" t="s">
        <v>222</v>
      </c>
      <c r="C990" s="130" t="s">
        <v>222</v>
      </c>
    </row>
    <row r="991" spans="1:3" x14ac:dyDescent="0.3">
      <c r="A991" s="130" t="s">
        <v>222</v>
      </c>
      <c r="B991" s="130" t="s">
        <v>222</v>
      </c>
      <c r="C991" s="130" t="s">
        <v>222</v>
      </c>
    </row>
    <row r="992" spans="1:3" x14ac:dyDescent="0.3">
      <c r="A992" s="130" t="s">
        <v>222</v>
      </c>
      <c r="B992" s="130" t="s">
        <v>222</v>
      </c>
      <c r="C992" s="130" t="s">
        <v>222</v>
      </c>
    </row>
    <row r="993" spans="1:3" x14ac:dyDescent="0.3">
      <c r="A993" s="130" t="s">
        <v>222</v>
      </c>
      <c r="B993" s="130" t="s">
        <v>222</v>
      </c>
      <c r="C993" s="130" t="s">
        <v>222</v>
      </c>
    </row>
    <row r="994" spans="1:3" x14ac:dyDescent="0.3">
      <c r="A994" s="130" t="s">
        <v>222</v>
      </c>
      <c r="B994" s="130" t="s">
        <v>222</v>
      </c>
      <c r="C994" s="130" t="s">
        <v>222</v>
      </c>
    </row>
    <row r="995" spans="1:3" x14ac:dyDescent="0.3">
      <c r="A995" s="130" t="s">
        <v>222</v>
      </c>
      <c r="B995" s="130" t="s">
        <v>222</v>
      </c>
      <c r="C995" s="130" t="s">
        <v>222</v>
      </c>
    </row>
    <row r="996" spans="1:3" x14ac:dyDescent="0.3">
      <c r="A996" s="130" t="s">
        <v>222</v>
      </c>
      <c r="B996" s="130" t="s">
        <v>222</v>
      </c>
      <c r="C996" s="130" t="s">
        <v>222</v>
      </c>
    </row>
    <row r="997" spans="1:3" x14ac:dyDescent="0.3">
      <c r="A997" s="130" t="s">
        <v>222</v>
      </c>
      <c r="B997" s="130" t="s">
        <v>222</v>
      </c>
      <c r="C997" s="130" t="s">
        <v>222</v>
      </c>
    </row>
    <row r="998" spans="1:3" x14ac:dyDescent="0.3">
      <c r="A998" s="130" t="s">
        <v>222</v>
      </c>
      <c r="B998" s="130" t="s">
        <v>222</v>
      </c>
      <c r="C998" s="130" t="s">
        <v>222</v>
      </c>
    </row>
    <row r="999" spans="1:3" x14ac:dyDescent="0.3">
      <c r="A999" s="130" t="s">
        <v>222</v>
      </c>
      <c r="B999" s="130" t="s">
        <v>222</v>
      </c>
      <c r="C999" s="130" t="s">
        <v>222</v>
      </c>
    </row>
    <row r="1000" spans="1:3" x14ac:dyDescent="0.3">
      <c r="A1000" s="130" t="s">
        <v>222</v>
      </c>
      <c r="B1000" s="130" t="s">
        <v>222</v>
      </c>
      <c r="C1000" s="130" t="s">
        <v>222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tErrors_Click">
                <anchor moveWithCells="1" sizeWithCells="1">
                  <from>
                    <xdr:col>5</xdr:col>
                    <xdr:colOff>160020</xdr:colOff>
                    <xdr:row>5</xdr:row>
                    <xdr:rowOff>175260</xdr:rowOff>
                  </from>
                  <to>
                    <xdr:col>9</xdr:col>
                    <xdr:colOff>342900</xdr:colOff>
                    <xdr:row>10</xdr:row>
                    <xdr:rowOff>106680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CE1F5-1272-4F3F-87CB-040805AACA21}">
  <sheetPr codeName="Sheet5"/>
  <dimension ref="A1"/>
  <sheetViews>
    <sheetView workbookViewId="0"/>
  </sheetViews>
  <sheetFormatPr defaultRowHeight="14.4" x14ac:dyDescent="0.3"/>
  <sheetData/>
  <dataConsolidate/>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0E652-5655-4A50-82BF-0AF115E9FED8}">
  <sheetPr codeName="Sheet4"/>
  <dimension ref="A2:A281"/>
  <sheetViews>
    <sheetView workbookViewId="0">
      <selection activeCell="A2" sqref="A2:A13"/>
    </sheetView>
  </sheetViews>
  <sheetFormatPr defaultRowHeight="14.4" x14ac:dyDescent="0.3"/>
  <cols>
    <col min="1" max="1" width="17.6640625" style="57" customWidth="1"/>
  </cols>
  <sheetData>
    <row r="2" spans="1:1" x14ac:dyDescent="0.3">
      <c r="A2" s="69" t="s">
        <v>217</v>
      </c>
    </row>
    <row r="3" spans="1:1" x14ac:dyDescent="0.3">
      <c r="A3" s="70" t="s">
        <v>211</v>
      </c>
    </row>
    <row r="4" spans="1:1" x14ac:dyDescent="0.3">
      <c r="A4" s="19" t="s">
        <v>210</v>
      </c>
    </row>
    <row r="5" spans="1:1" x14ac:dyDescent="0.3">
      <c r="A5" s="19" t="s">
        <v>173</v>
      </c>
    </row>
    <row r="6" spans="1:1" x14ac:dyDescent="0.3">
      <c r="A6" s="19" t="s">
        <v>177</v>
      </c>
    </row>
    <row r="7" spans="1:1" x14ac:dyDescent="0.3">
      <c r="A7" s="19" t="s">
        <v>179</v>
      </c>
    </row>
    <row r="8" spans="1:1" x14ac:dyDescent="0.3">
      <c r="A8" s="19" t="s">
        <v>180</v>
      </c>
    </row>
    <row r="9" spans="1:1" x14ac:dyDescent="0.3">
      <c r="A9" s="19" t="s">
        <v>127</v>
      </c>
    </row>
    <row r="10" spans="1:1" x14ac:dyDescent="0.3">
      <c r="A10" s="19" t="s">
        <v>16</v>
      </c>
    </row>
    <row r="11" spans="1:1" x14ac:dyDescent="0.3">
      <c r="A11" s="19" t="s">
        <v>230</v>
      </c>
    </row>
    <row r="12" spans="1:1" x14ac:dyDescent="0.3">
      <c r="A12" s="19" t="s">
        <v>231</v>
      </c>
    </row>
    <row r="13" spans="1:1" x14ac:dyDescent="0.3">
      <c r="A13" s="19" t="s">
        <v>232</v>
      </c>
    </row>
    <row r="14" spans="1:1" x14ac:dyDescent="0.3">
      <c r="A14"/>
    </row>
    <row r="15" spans="1:1" x14ac:dyDescent="0.3">
      <c r="A15"/>
    </row>
    <row r="16" spans="1:1" x14ac:dyDescent="0.3">
      <c r="A16"/>
    </row>
    <row r="17" spans="1:1" x14ac:dyDescent="0.3">
      <c r="A17"/>
    </row>
    <row r="18" spans="1:1" x14ac:dyDescent="0.3">
      <c r="A18"/>
    </row>
    <row r="19" spans="1:1" x14ac:dyDescent="0.3">
      <c r="A19"/>
    </row>
    <row r="20" spans="1:1" x14ac:dyDescent="0.3">
      <c r="A20"/>
    </row>
    <row r="21" spans="1:1" x14ac:dyDescent="0.3">
      <c r="A21"/>
    </row>
    <row r="22" spans="1:1" x14ac:dyDescent="0.3">
      <c r="A22"/>
    </row>
    <row r="23" spans="1:1" x14ac:dyDescent="0.3">
      <c r="A23"/>
    </row>
    <row r="24" spans="1:1" x14ac:dyDescent="0.3">
      <c r="A24"/>
    </row>
    <row r="25" spans="1:1" x14ac:dyDescent="0.3">
      <c r="A25"/>
    </row>
    <row r="26" spans="1:1" x14ac:dyDescent="0.3">
      <c r="A26"/>
    </row>
    <row r="27" spans="1:1" x14ac:dyDescent="0.3">
      <c r="A27"/>
    </row>
    <row r="28" spans="1:1" x14ac:dyDescent="0.3">
      <c r="A28"/>
    </row>
    <row r="29" spans="1:1" x14ac:dyDescent="0.3">
      <c r="A29"/>
    </row>
    <row r="30" spans="1:1" x14ac:dyDescent="0.3">
      <c r="A30"/>
    </row>
    <row r="31" spans="1:1" x14ac:dyDescent="0.3">
      <c r="A31"/>
    </row>
    <row r="32" spans="1:1"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row r="138" spans="1:1" x14ac:dyDescent="0.3">
      <c r="A138"/>
    </row>
    <row r="139" spans="1:1" x14ac:dyDescent="0.3">
      <c r="A139"/>
    </row>
    <row r="140" spans="1:1" x14ac:dyDescent="0.3">
      <c r="A140"/>
    </row>
    <row r="141" spans="1:1" x14ac:dyDescent="0.3">
      <c r="A141"/>
    </row>
    <row r="142" spans="1:1" x14ac:dyDescent="0.3">
      <c r="A142"/>
    </row>
    <row r="143" spans="1:1" x14ac:dyDescent="0.3">
      <c r="A143"/>
    </row>
    <row r="144" spans="1:1" x14ac:dyDescent="0.3">
      <c r="A144"/>
    </row>
    <row r="145" spans="1:1" x14ac:dyDescent="0.3">
      <c r="A145"/>
    </row>
    <row r="146" spans="1:1" x14ac:dyDescent="0.3">
      <c r="A146"/>
    </row>
    <row r="147" spans="1:1" x14ac:dyDescent="0.3">
      <c r="A147"/>
    </row>
    <row r="148" spans="1:1" x14ac:dyDescent="0.3">
      <c r="A148"/>
    </row>
    <row r="149" spans="1:1" x14ac:dyDescent="0.3">
      <c r="A149"/>
    </row>
    <row r="150" spans="1:1" x14ac:dyDescent="0.3">
      <c r="A150"/>
    </row>
    <row r="151" spans="1:1" x14ac:dyDescent="0.3">
      <c r="A151"/>
    </row>
    <row r="152" spans="1:1" x14ac:dyDescent="0.3">
      <c r="A152"/>
    </row>
    <row r="153" spans="1:1" x14ac:dyDescent="0.3">
      <c r="A153"/>
    </row>
    <row r="154" spans="1:1" x14ac:dyDescent="0.3">
      <c r="A154"/>
    </row>
    <row r="155" spans="1:1" x14ac:dyDescent="0.3">
      <c r="A155"/>
    </row>
    <row r="156" spans="1:1" x14ac:dyDescent="0.3">
      <c r="A156"/>
    </row>
    <row r="157" spans="1:1" x14ac:dyDescent="0.3">
      <c r="A157"/>
    </row>
    <row r="158" spans="1:1" x14ac:dyDescent="0.3">
      <c r="A158"/>
    </row>
    <row r="159" spans="1:1" x14ac:dyDescent="0.3">
      <c r="A159"/>
    </row>
    <row r="160" spans="1:1" x14ac:dyDescent="0.3">
      <c r="A160"/>
    </row>
    <row r="161" spans="1:1" x14ac:dyDescent="0.3">
      <c r="A161"/>
    </row>
    <row r="162" spans="1:1" x14ac:dyDescent="0.3">
      <c r="A162"/>
    </row>
    <row r="163" spans="1:1" x14ac:dyDescent="0.3">
      <c r="A163"/>
    </row>
    <row r="164" spans="1:1" x14ac:dyDescent="0.3">
      <c r="A164"/>
    </row>
    <row r="165" spans="1:1" x14ac:dyDescent="0.3">
      <c r="A165"/>
    </row>
    <row r="166" spans="1:1" x14ac:dyDescent="0.3">
      <c r="A166"/>
    </row>
    <row r="167" spans="1:1" x14ac:dyDescent="0.3">
      <c r="A167"/>
    </row>
    <row r="168" spans="1:1" x14ac:dyDescent="0.3">
      <c r="A168"/>
    </row>
    <row r="169" spans="1:1" x14ac:dyDescent="0.3">
      <c r="A169"/>
    </row>
    <row r="170" spans="1:1" x14ac:dyDescent="0.3">
      <c r="A170"/>
    </row>
    <row r="171" spans="1:1" x14ac:dyDescent="0.3">
      <c r="A171"/>
    </row>
    <row r="172" spans="1:1" x14ac:dyDescent="0.3">
      <c r="A172"/>
    </row>
    <row r="173" spans="1:1" x14ac:dyDescent="0.3">
      <c r="A173"/>
    </row>
    <row r="174" spans="1:1" x14ac:dyDescent="0.3">
      <c r="A174"/>
    </row>
    <row r="175" spans="1:1" x14ac:dyDescent="0.3">
      <c r="A175"/>
    </row>
    <row r="176" spans="1:1"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7EAF-30AE-4AC3-BA0B-3AAF3326749B}">
  <sheetPr codeName="Sheet3"/>
  <dimension ref="A1:B281"/>
  <sheetViews>
    <sheetView workbookViewId="0">
      <selection activeCell="B16" sqref="B16"/>
    </sheetView>
  </sheetViews>
  <sheetFormatPr defaultRowHeight="14.4" x14ac:dyDescent="0.3"/>
  <cols>
    <col min="1" max="1" width="25.109375" style="5" bestFit="1" customWidth="1"/>
  </cols>
  <sheetData>
    <row r="1" spans="1:2" s="6" customFormat="1" x14ac:dyDescent="0.3">
      <c r="A1" s="71" t="s">
        <v>216</v>
      </c>
      <c r="B1" s="6" t="s">
        <v>252</v>
      </c>
    </row>
    <row r="2" spans="1:2" x14ac:dyDescent="0.3">
      <c r="A2" s="73" t="s">
        <v>225</v>
      </c>
      <c r="B2" t="s">
        <v>254</v>
      </c>
    </row>
    <row r="3" spans="1:2" x14ac:dyDescent="0.3">
      <c r="A3" s="53" t="s">
        <v>221</v>
      </c>
      <c r="B3" s="57" t="s">
        <v>253</v>
      </c>
    </row>
    <row r="4" spans="1:2" x14ac:dyDescent="0.3">
      <c r="A4" s="53" t="s">
        <v>226</v>
      </c>
      <c r="B4" s="57" t="s">
        <v>255</v>
      </c>
    </row>
    <row r="5" spans="1:2" x14ac:dyDescent="0.3">
      <c r="A5" s="53" t="s">
        <v>227</v>
      </c>
      <c r="B5" s="57" t="s">
        <v>256</v>
      </c>
    </row>
    <row r="6" spans="1:2" x14ac:dyDescent="0.3">
      <c r="A6" s="29" t="s">
        <v>185</v>
      </c>
      <c r="B6" t="s">
        <v>257</v>
      </c>
    </row>
    <row r="7" spans="1:2" x14ac:dyDescent="0.3">
      <c r="A7" s="72" t="s">
        <v>174</v>
      </c>
      <c r="B7" s="57" t="s">
        <v>258</v>
      </c>
    </row>
    <row r="8" spans="1:2" x14ac:dyDescent="0.3">
      <c r="A8" s="19" t="s">
        <v>143</v>
      </c>
      <c r="B8" t="s">
        <v>259</v>
      </c>
    </row>
    <row r="9" spans="1:2" x14ac:dyDescent="0.3">
      <c r="A9" s="74" t="s">
        <v>223</v>
      </c>
    </row>
    <row r="10" spans="1:2" x14ac:dyDescent="0.3">
      <c r="A10" s="63" t="s">
        <v>224</v>
      </c>
      <c r="B10" t="s">
        <v>260</v>
      </c>
    </row>
    <row r="11" spans="1:2" x14ac:dyDescent="0.3">
      <c r="A11" s="75" t="s">
        <v>228</v>
      </c>
    </row>
    <row r="12" spans="1:2" x14ac:dyDescent="0.3">
      <c r="A12" s="75" t="s">
        <v>229</v>
      </c>
    </row>
    <row r="14" spans="1:2" x14ac:dyDescent="0.3">
      <c r="A14"/>
    </row>
    <row r="15" spans="1:2" x14ac:dyDescent="0.3">
      <c r="A15"/>
    </row>
    <row r="16" spans="1:2" x14ac:dyDescent="0.3">
      <c r="A16"/>
    </row>
    <row r="17" spans="1:1" x14ac:dyDescent="0.3">
      <c r="A17"/>
    </row>
    <row r="18" spans="1:1" x14ac:dyDescent="0.3">
      <c r="A18"/>
    </row>
    <row r="19" spans="1:1" x14ac:dyDescent="0.3">
      <c r="A19"/>
    </row>
    <row r="20" spans="1:1" x14ac:dyDescent="0.3">
      <c r="A20"/>
    </row>
    <row r="21" spans="1:1" x14ac:dyDescent="0.3">
      <c r="A21"/>
    </row>
    <row r="22" spans="1:1" x14ac:dyDescent="0.3">
      <c r="A22"/>
    </row>
    <row r="23" spans="1:1" x14ac:dyDescent="0.3">
      <c r="A23"/>
    </row>
    <row r="24" spans="1:1" x14ac:dyDescent="0.3">
      <c r="A24"/>
    </row>
    <row r="25" spans="1:1" x14ac:dyDescent="0.3">
      <c r="A25"/>
    </row>
    <row r="26" spans="1:1" x14ac:dyDescent="0.3">
      <c r="A26"/>
    </row>
    <row r="27" spans="1:1" x14ac:dyDescent="0.3">
      <c r="A27"/>
    </row>
    <row r="28" spans="1:1" x14ac:dyDescent="0.3">
      <c r="A28"/>
    </row>
    <row r="29" spans="1:1" x14ac:dyDescent="0.3">
      <c r="A29"/>
    </row>
    <row r="30" spans="1:1" x14ac:dyDescent="0.3">
      <c r="A30"/>
    </row>
    <row r="31" spans="1:1" x14ac:dyDescent="0.3">
      <c r="A31"/>
    </row>
    <row r="32" spans="1:1"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row r="138" spans="1:1" x14ac:dyDescent="0.3">
      <c r="A138"/>
    </row>
    <row r="139" spans="1:1" x14ac:dyDescent="0.3">
      <c r="A139"/>
    </row>
    <row r="140" spans="1:1" x14ac:dyDescent="0.3">
      <c r="A140"/>
    </row>
    <row r="141" spans="1:1" x14ac:dyDescent="0.3">
      <c r="A141"/>
    </row>
    <row r="142" spans="1:1" x14ac:dyDescent="0.3">
      <c r="A142"/>
    </row>
    <row r="143" spans="1:1" x14ac:dyDescent="0.3">
      <c r="A143"/>
    </row>
    <row r="144" spans="1:1" x14ac:dyDescent="0.3">
      <c r="A144"/>
    </row>
    <row r="145" spans="1:1" x14ac:dyDescent="0.3">
      <c r="A145"/>
    </row>
    <row r="146" spans="1:1" x14ac:dyDescent="0.3">
      <c r="A146"/>
    </row>
    <row r="147" spans="1:1" x14ac:dyDescent="0.3">
      <c r="A147"/>
    </row>
    <row r="148" spans="1:1" x14ac:dyDescent="0.3">
      <c r="A148"/>
    </row>
    <row r="149" spans="1:1" x14ac:dyDescent="0.3">
      <c r="A149"/>
    </row>
    <row r="150" spans="1:1" x14ac:dyDescent="0.3">
      <c r="A150"/>
    </row>
    <row r="151" spans="1:1" x14ac:dyDescent="0.3">
      <c r="A151"/>
    </row>
    <row r="152" spans="1:1" x14ac:dyDescent="0.3">
      <c r="A152"/>
    </row>
    <row r="153" spans="1:1" x14ac:dyDescent="0.3">
      <c r="A153"/>
    </row>
    <row r="154" spans="1:1" x14ac:dyDescent="0.3">
      <c r="A154"/>
    </row>
    <row r="155" spans="1:1" x14ac:dyDescent="0.3">
      <c r="A155"/>
    </row>
    <row r="156" spans="1:1" x14ac:dyDescent="0.3">
      <c r="A156"/>
    </row>
    <row r="157" spans="1:1" x14ac:dyDescent="0.3">
      <c r="A157"/>
    </row>
    <row r="158" spans="1:1" x14ac:dyDescent="0.3">
      <c r="A158"/>
    </row>
    <row r="159" spans="1:1" x14ac:dyDescent="0.3">
      <c r="A159"/>
    </row>
    <row r="160" spans="1:1" x14ac:dyDescent="0.3">
      <c r="A160"/>
    </row>
    <row r="161" spans="1:1" x14ac:dyDescent="0.3">
      <c r="A161"/>
    </row>
    <row r="162" spans="1:1" x14ac:dyDescent="0.3">
      <c r="A162"/>
    </row>
    <row r="163" spans="1:1" x14ac:dyDescent="0.3">
      <c r="A163"/>
    </row>
    <row r="164" spans="1:1" x14ac:dyDescent="0.3">
      <c r="A164"/>
    </row>
    <row r="165" spans="1:1" x14ac:dyDescent="0.3">
      <c r="A165"/>
    </row>
    <row r="166" spans="1:1" x14ac:dyDescent="0.3">
      <c r="A166"/>
    </row>
    <row r="167" spans="1:1" x14ac:dyDescent="0.3">
      <c r="A167"/>
    </row>
    <row r="168" spans="1:1" x14ac:dyDescent="0.3">
      <c r="A168"/>
    </row>
    <row r="169" spans="1:1" x14ac:dyDescent="0.3">
      <c r="A169"/>
    </row>
    <row r="170" spans="1:1" x14ac:dyDescent="0.3">
      <c r="A170"/>
    </row>
    <row r="171" spans="1:1" x14ac:dyDescent="0.3">
      <c r="A171"/>
    </row>
    <row r="172" spans="1:1" x14ac:dyDescent="0.3">
      <c r="A172"/>
    </row>
    <row r="173" spans="1:1" x14ac:dyDescent="0.3">
      <c r="A173"/>
    </row>
    <row r="174" spans="1:1" x14ac:dyDescent="0.3">
      <c r="A174"/>
    </row>
    <row r="175" spans="1:1" x14ac:dyDescent="0.3">
      <c r="A175"/>
    </row>
    <row r="176" spans="1:1"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0C832505F640E4D8FBC20056C3FEDA5" ma:contentTypeVersion="8" ma:contentTypeDescription="Create a new document." ma:contentTypeScope="" ma:versionID="30dee122b9ab05b5bf06e1d59cc684f6">
  <xsd:schema xmlns:xsd="http://www.w3.org/2001/XMLSchema" xmlns:xs="http://www.w3.org/2001/XMLSchema" xmlns:p="http://schemas.microsoft.com/office/2006/metadata/properties" xmlns:ns2="f7fa3494-ffca-4f5b-bf96-8e35991b90a0" targetNamespace="http://schemas.microsoft.com/office/2006/metadata/properties" ma:root="true" ma:fieldsID="ec3e5c3f28018d2458dbaf0d209f3ef8" ns2:_="">
    <xsd:import namespace="f7fa3494-ffca-4f5b-bf96-8e35991b90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2:MediaServiceLocation" minOccurs="0"/>
                <xsd:element ref="ns2:MediaServiceEventHashCode" minOccurs="0"/>
                <xsd:element ref="ns2:MediaServiceGenerationTim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fa3494-ffca-4f5b-bf96-8e35991b90a0"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AE72BA-2B20-48D8-BE24-AC09CD770BA1}"/>
</file>

<file path=customXml/itemProps2.xml><?xml version="1.0" encoding="utf-8"?>
<ds:datastoreItem xmlns:ds="http://schemas.openxmlformats.org/officeDocument/2006/customXml" ds:itemID="{A57192A6-B16E-4F6E-905A-25470221A553}">
  <ds:schemaRef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f7fa3494-ffca-4f5b-bf96-8e35991b90a0"/>
    <ds:schemaRef ds:uri="http://www.w3.org/XML/1998/namespace"/>
  </ds:schemaRefs>
</ds:datastoreItem>
</file>

<file path=customXml/itemProps3.xml><?xml version="1.0" encoding="utf-8"?>
<ds:datastoreItem xmlns:ds="http://schemas.openxmlformats.org/officeDocument/2006/customXml" ds:itemID="{F8A64D81-C015-4BA8-A0DE-A872482F407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Krav-status</vt:lpstr>
      <vt:lpstr>Krav</vt:lpstr>
      <vt:lpstr>Copy</vt:lpstr>
      <vt:lpstr>FF - Test Design</vt:lpstr>
      <vt:lpstr>Errors</vt:lpstr>
      <vt:lpstr>Sheet2</vt:lpstr>
      <vt:lpstr>Sheet1</vt:lpstr>
      <vt:lpstr>Validering</vt:lpstr>
      <vt:lpstr>kravTable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Rask, Martin Hejgaard</dc:creator>
  <cp:lastModifiedBy>Brøgger, David</cp:lastModifiedBy>
  <dcterms:created xsi:type="dcterms:W3CDTF">2018-09-27T11:57:19Z</dcterms:created>
  <dcterms:modified xsi:type="dcterms:W3CDTF">2019-01-03T12:45:31Z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0x01010010C832505F640E4D8FBC20056C3FEDA5</vt:lpwstr>
  </property>
</Properties>
</file>